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524B8B9-4E64-41E3-AD9D-F74B4B3E9BF1}" xr6:coauthVersionLast="47" xr6:coauthVersionMax="47" xr10:uidLastSave="{00000000-0000-0000-0000-000000000000}"/>
  <bookViews>
    <workbookView xWindow="780" yWindow="0" windowWidth="18420" windowHeight="10170" xr2:uid="{1C3BA7FD-91E3-44D3-924A-95ACC453FC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L2" i="1"/>
  <c r="M2" i="1"/>
  <c r="N2" i="1"/>
  <c r="O2" i="1"/>
  <c r="Q2" i="1"/>
  <c r="R2" i="1"/>
  <c r="S2" i="1"/>
  <c r="T2" i="1"/>
  <c r="U2" i="1"/>
  <c r="V2" i="1"/>
  <c r="K3" i="1"/>
  <c r="L3" i="1"/>
  <c r="M3" i="1"/>
  <c r="N3" i="1"/>
  <c r="O3" i="1"/>
  <c r="Q3" i="1"/>
  <c r="R3" i="1"/>
  <c r="S3" i="1"/>
  <c r="T3" i="1"/>
  <c r="U3" i="1"/>
  <c r="V3" i="1"/>
  <c r="K4" i="1"/>
  <c r="L4" i="1"/>
  <c r="M4" i="1"/>
  <c r="N4" i="1"/>
  <c r="O4" i="1"/>
  <c r="Q4" i="1"/>
  <c r="R4" i="1"/>
  <c r="S4" i="1"/>
  <c r="T4" i="1"/>
  <c r="U4" i="1"/>
  <c r="V4" i="1"/>
  <c r="K5" i="1"/>
  <c r="L5" i="1"/>
  <c r="M5" i="1"/>
  <c r="N5" i="1"/>
  <c r="O5" i="1"/>
  <c r="Q5" i="1"/>
  <c r="R5" i="1"/>
  <c r="S5" i="1"/>
  <c r="T5" i="1"/>
  <c r="U5" i="1"/>
  <c r="V5" i="1"/>
  <c r="K6" i="1"/>
  <c r="L6" i="1"/>
  <c r="M6" i="1"/>
  <c r="N6" i="1"/>
  <c r="O6" i="1"/>
  <c r="Q6" i="1"/>
  <c r="R6" i="1"/>
  <c r="S6" i="1"/>
  <c r="T6" i="1"/>
  <c r="U6" i="1"/>
  <c r="V6" i="1"/>
  <c r="K7" i="1"/>
  <c r="L7" i="1"/>
  <c r="M7" i="1"/>
  <c r="N7" i="1"/>
  <c r="O7" i="1"/>
  <c r="Q7" i="1"/>
  <c r="R7" i="1"/>
  <c r="S7" i="1"/>
  <c r="T7" i="1"/>
  <c r="U7" i="1"/>
  <c r="V7" i="1"/>
  <c r="K8" i="1"/>
  <c r="L8" i="1"/>
  <c r="M8" i="1"/>
  <c r="N8" i="1"/>
  <c r="O8" i="1"/>
  <c r="Q8" i="1"/>
  <c r="R8" i="1"/>
  <c r="S8" i="1"/>
  <c r="T8" i="1"/>
  <c r="U8" i="1"/>
  <c r="V8" i="1"/>
  <c r="K9" i="1"/>
  <c r="L9" i="1"/>
  <c r="M9" i="1"/>
  <c r="N9" i="1"/>
  <c r="O9" i="1"/>
  <c r="Q9" i="1"/>
  <c r="R9" i="1"/>
  <c r="S9" i="1"/>
  <c r="T9" i="1"/>
  <c r="U9" i="1"/>
  <c r="V9" i="1"/>
  <c r="K10" i="1"/>
  <c r="L10" i="1"/>
  <c r="M10" i="1"/>
  <c r="N10" i="1"/>
  <c r="O10" i="1"/>
  <c r="Q10" i="1"/>
  <c r="R10" i="1"/>
  <c r="S10" i="1"/>
  <c r="T10" i="1"/>
  <c r="U10" i="1"/>
  <c r="V10" i="1"/>
  <c r="K11" i="1"/>
  <c r="L11" i="1"/>
  <c r="M11" i="1"/>
  <c r="N11" i="1"/>
  <c r="O11" i="1"/>
  <c r="Q11" i="1"/>
  <c r="R11" i="1"/>
  <c r="S11" i="1"/>
  <c r="T11" i="1"/>
  <c r="U11" i="1"/>
  <c r="V11" i="1"/>
  <c r="K12" i="1"/>
  <c r="L12" i="1"/>
  <c r="M12" i="1"/>
  <c r="N12" i="1"/>
  <c r="O12" i="1"/>
  <c r="Q12" i="1"/>
  <c r="R12" i="1"/>
  <c r="S12" i="1"/>
  <c r="T12" i="1"/>
  <c r="U12" i="1"/>
  <c r="V12" i="1"/>
  <c r="K13" i="1"/>
  <c r="L13" i="1"/>
  <c r="M13" i="1"/>
  <c r="N13" i="1"/>
  <c r="O13" i="1"/>
  <c r="Q13" i="1"/>
  <c r="R13" i="1"/>
  <c r="S13" i="1"/>
  <c r="T13" i="1"/>
  <c r="U13" i="1"/>
  <c r="V13" i="1"/>
  <c r="K14" i="1"/>
  <c r="L14" i="1"/>
  <c r="M14" i="1"/>
  <c r="N14" i="1"/>
  <c r="O14" i="1"/>
  <c r="Q14" i="1"/>
  <c r="R14" i="1"/>
  <c r="S14" i="1"/>
  <c r="T14" i="1"/>
  <c r="U14" i="1"/>
  <c r="V14" i="1"/>
  <c r="K15" i="1"/>
  <c r="L15" i="1"/>
  <c r="M15" i="1"/>
  <c r="N15" i="1"/>
  <c r="O15" i="1"/>
  <c r="Q15" i="1"/>
  <c r="R15" i="1"/>
  <c r="S15" i="1"/>
  <c r="T15" i="1"/>
  <c r="U15" i="1"/>
  <c r="V15" i="1"/>
  <c r="K16" i="1"/>
  <c r="L16" i="1"/>
  <c r="M16" i="1"/>
  <c r="N16" i="1"/>
  <c r="O16" i="1"/>
  <c r="Q16" i="1"/>
  <c r="R16" i="1"/>
  <c r="S16" i="1"/>
  <c r="T16" i="1"/>
  <c r="U16" i="1"/>
  <c r="V16" i="1"/>
  <c r="K17" i="1"/>
  <c r="L17" i="1"/>
  <c r="M17" i="1"/>
  <c r="N17" i="1"/>
  <c r="O17" i="1"/>
  <c r="Q17" i="1"/>
  <c r="R17" i="1"/>
  <c r="S17" i="1"/>
  <c r="T17" i="1"/>
  <c r="U17" i="1"/>
  <c r="V17" i="1"/>
  <c r="K18" i="1"/>
  <c r="L18" i="1"/>
  <c r="M18" i="1"/>
  <c r="N18" i="1"/>
  <c r="O18" i="1"/>
  <c r="Q18" i="1"/>
  <c r="R18" i="1"/>
  <c r="S18" i="1"/>
  <c r="T18" i="1"/>
  <c r="U18" i="1"/>
  <c r="V18" i="1"/>
  <c r="K19" i="1"/>
  <c r="L19" i="1"/>
  <c r="M19" i="1"/>
  <c r="N19" i="1"/>
  <c r="O19" i="1"/>
  <c r="Q19" i="1"/>
  <c r="R19" i="1"/>
  <c r="S19" i="1"/>
  <c r="T19" i="1"/>
  <c r="U19" i="1"/>
  <c r="V19" i="1"/>
  <c r="K20" i="1"/>
  <c r="L20" i="1"/>
  <c r="M20" i="1"/>
  <c r="N20" i="1"/>
  <c r="O20" i="1"/>
  <c r="Q20" i="1"/>
  <c r="R20" i="1"/>
  <c r="S20" i="1"/>
  <c r="T20" i="1"/>
  <c r="U20" i="1"/>
  <c r="V20" i="1"/>
  <c r="K21" i="1"/>
  <c r="L21" i="1"/>
  <c r="M21" i="1"/>
  <c r="N21" i="1"/>
  <c r="O21" i="1"/>
  <c r="Q21" i="1"/>
  <c r="R21" i="1"/>
  <c r="S21" i="1"/>
  <c r="T21" i="1"/>
  <c r="U21" i="1"/>
  <c r="V21" i="1"/>
  <c r="K22" i="1"/>
  <c r="L22" i="1"/>
  <c r="M22" i="1"/>
  <c r="N22" i="1"/>
  <c r="O22" i="1"/>
  <c r="Q22" i="1"/>
  <c r="R22" i="1"/>
  <c r="S22" i="1"/>
  <c r="T22" i="1"/>
  <c r="U22" i="1"/>
  <c r="V22" i="1"/>
  <c r="K23" i="1"/>
  <c r="L23" i="1"/>
  <c r="M23" i="1"/>
  <c r="N23" i="1"/>
  <c r="O23" i="1"/>
  <c r="Q23" i="1"/>
  <c r="R23" i="1"/>
  <c r="S23" i="1"/>
  <c r="T23" i="1"/>
  <c r="U23" i="1"/>
  <c r="V23" i="1"/>
  <c r="K24" i="1"/>
  <c r="L24" i="1"/>
  <c r="M24" i="1"/>
  <c r="N24" i="1"/>
  <c r="O24" i="1"/>
  <c r="Q24" i="1"/>
  <c r="R24" i="1"/>
  <c r="S24" i="1"/>
  <c r="T24" i="1"/>
  <c r="U24" i="1"/>
  <c r="V24" i="1"/>
  <c r="K25" i="1"/>
  <c r="L25" i="1"/>
  <c r="M25" i="1"/>
  <c r="N25" i="1"/>
  <c r="O25" i="1"/>
  <c r="Q25" i="1"/>
  <c r="R25" i="1"/>
  <c r="S25" i="1"/>
  <c r="T25" i="1"/>
  <c r="U25" i="1"/>
  <c r="V25" i="1"/>
  <c r="K26" i="1"/>
  <c r="L26" i="1"/>
  <c r="M26" i="1"/>
  <c r="N26" i="1"/>
  <c r="O26" i="1"/>
  <c r="Q26" i="1"/>
  <c r="R26" i="1"/>
  <c r="S26" i="1"/>
  <c r="T26" i="1"/>
  <c r="U26" i="1"/>
  <c r="V26" i="1"/>
  <c r="K27" i="1"/>
  <c r="L27" i="1"/>
  <c r="M27" i="1"/>
  <c r="N27" i="1"/>
  <c r="O27" i="1"/>
  <c r="Q27" i="1"/>
  <c r="R27" i="1"/>
  <c r="S27" i="1"/>
  <c r="T27" i="1"/>
  <c r="U27" i="1"/>
  <c r="V27" i="1"/>
  <c r="K28" i="1"/>
  <c r="L28" i="1"/>
  <c r="M28" i="1"/>
  <c r="N28" i="1"/>
  <c r="O28" i="1"/>
  <c r="Q28" i="1"/>
  <c r="R28" i="1"/>
  <c r="S28" i="1"/>
  <c r="T28" i="1"/>
  <c r="U28" i="1"/>
  <c r="V28" i="1"/>
  <c r="K29" i="1"/>
  <c r="L29" i="1"/>
  <c r="M29" i="1"/>
  <c r="N29" i="1"/>
  <c r="O29" i="1"/>
  <c r="Q29" i="1"/>
  <c r="R29" i="1"/>
  <c r="S29" i="1"/>
  <c r="T29" i="1"/>
  <c r="U29" i="1"/>
  <c r="V29" i="1"/>
  <c r="K30" i="1"/>
  <c r="L30" i="1"/>
  <c r="M30" i="1"/>
  <c r="N30" i="1"/>
  <c r="O30" i="1"/>
  <c r="Q30" i="1"/>
  <c r="R30" i="1"/>
  <c r="S30" i="1"/>
  <c r="T30" i="1"/>
  <c r="U30" i="1"/>
  <c r="V30" i="1"/>
  <c r="K31" i="1"/>
  <c r="L31" i="1"/>
  <c r="M31" i="1"/>
  <c r="N31" i="1"/>
  <c r="O31" i="1"/>
  <c r="Q31" i="1"/>
  <c r="R31" i="1"/>
  <c r="S31" i="1"/>
  <c r="T31" i="1"/>
  <c r="U31" i="1"/>
  <c r="V31" i="1"/>
  <c r="K32" i="1"/>
  <c r="L32" i="1"/>
  <c r="M32" i="1"/>
  <c r="N32" i="1"/>
  <c r="O32" i="1"/>
  <c r="Q32" i="1"/>
  <c r="R32" i="1"/>
  <c r="S32" i="1"/>
  <c r="T32" i="1"/>
  <c r="U32" i="1"/>
  <c r="V32" i="1"/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2" i="1"/>
</calcChain>
</file>

<file path=xl/sharedStrings.xml><?xml version="1.0" encoding="utf-8"?>
<sst xmlns="http://schemas.openxmlformats.org/spreadsheetml/2006/main" count="57" uniqueCount="57">
  <si>
    <t>Province name</t>
  </si>
  <si>
    <t>Anhui</t>
  </si>
  <si>
    <t>Beijing</t>
  </si>
  <si>
    <t>Fujian</t>
  </si>
  <si>
    <t>Gansu</t>
  </si>
  <si>
    <t>Guangdong</t>
  </si>
  <si>
    <t>Guizhou</t>
  </si>
  <si>
    <t>Hainan</t>
  </si>
  <si>
    <t>Hebei</t>
  </si>
  <si>
    <t>Henan</t>
  </si>
  <si>
    <t>Heilongjiang</t>
  </si>
  <si>
    <t>Hubei</t>
  </si>
  <si>
    <t>Hunan</t>
  </si>
  <si>
    <t>Jilin</t>
  </si>
  <si>
    <t>Jiangsu</t>
  </si>
  <si>
    <t>Jiangxi</t>
  </si>
  <si>
    <t>Liaoning</t>
  </si>
  <si>
    <t>Qinghai</t>
  </si>
  <si>
    <t>Shandong</t>
  </si>
  <si>
    <t>Shanxi</t>
  </si>
  <si>
    <t>Shaanxi</t>
  </si>
  <si>
    <t>Shanghai</t>
  </si>
  <si>
    <t>Sichuan</t>
  </si>
  <si>
    <t>Tianjin</t>
  </si>
  <si>
    <t>Yunnan</t>
  </si>
  <si>
    <t>Zhejiang</t>
  </si>
  <si>
    <t>Chongqing</t>
  </si>
  <si>
    <t>Storage potential-DSA (Mt)</t>
  </si>
  <si>
    <t>Injection rate capability-DSA (Mt/a) (Average)</t>
  </si>
  <si>
    <t>CO2_2025</t>
  </si>
  <si>
    <t>CO2_2030</t>
  </si>
  <si>
    <t>CO2_2035</t>
  </si>
  <si>
    <t>CO2_2040</t>
  </si>
  <si>
    <t>CO2_2045</t>
  </si>
  <si>
    <t>CO2_2050</t>
  </si>
  <si>
    <t>Guangxi</t>
  </si>
  <si>
    <t>Inner Mongolia</t>
  </si>
  <si>
    <t>Tibet</t>
  </si>
  <si>
    <t xml:space="preserve">Xinjiang </t>
  </si>
  <si>
    <t>C_2025</t>
  </si>
  <si>
    <t>C_2030</t>
  </si>
  <si>
    <t>C_2035</t>
  </si>
  <si>
    <t>C_2040</t>
  </si>
  <si>
    <t>C_2045</t>
  </si>
  <si>
    <t>C_2050</t>
  </si>
  <si>
    <t>S_2030</t>
  </si>
  <si>
    <t>S_2035</t>
  </si>
  <si>
    <t>S_2040</t>
  </si>
  <si>
    <t>S_2045</t>
  </si>
  <si>
    <t>S_2050</t>
  </si>
  <si>
    <t>P_2025</t>
  </si>
  <si>
    <t>P_2030</t>
  </si>
  <si>
    <t>P_2035</t>
  </si>
  <si>
    <t>P_2040</t>
  </si>
  <si>
    <t>P_2045</t>
  </si>
  <si>
    <t>P_2050</t>
  </si>
  <si>
    <t>Ningxia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</si>
</sst>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0" borderId="0" xfId="0" applyAlignment="1">
      <alignment vertical="center"/>
    </xf>
    <xf numFmtId="0" fontId="0" fillId="3" borderId="0" xfId="0" applyFill="1"/>
    <xf numFmtId="0" fontId="3" fillId="0" borderId="0" xfId="0" applyFont="1" applyAlignment="1">
      <alignment vertical="center"/>
    </xf>
    <xf numFmtId="0" fontId="3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B3EB2-1021-4556-B06F-770418FA2C22}">
  <dimension ref="A1:AC34"/>
  <sheetViews>
    <sheetView tabSelected="1" topLeftCell="A16" zoomScale="70" zoomScaleNormal="70" workbookViewId="0">
      <selection activeCell="A20" sqref="A20"/>
    </sheetView>
  </sheetViews>
  <sheetFormatPr defaultRowHeight="14.5" x14ac:dyDescent="0.35"/>
  <cols>
    <col min="1" max="1" width="15.7265625" style="4" customWidth="1"/>
    <col min="2" max="2" width="27.1796875" style="4" customWidth="1"/>
    <col min="3" max="3" width="44.7265625" style="4" customWidth="1"/>
    <col min="4" max="4" width="15.453125" customWidth="1"/>
    <col min="5" max="5" width="13.26953125" customWidth="1"/>
    <col min="6" max="6" width="15.26953125" customWidth="1"/>
    <col min="7" max="7" width="13.7265625" customWidth="1"/>
    <col min="8" max="8" width="15.7265625" customWidth="1"/>
    <col min="9" max="9" width="14.81640625" customWidth="1"/>
    <col min="10" max="10" width="9.1796875" style="5"/>
    <col min="11" max="12" width="14.54296875" customWidth="1"/>
    <col min="13" max="13" width="16.7265625" customWidth="1"/>
    <col min="14" max="14" width="14.81640625" customWidth="1"/>
    <col min="15" max="15" width="15" customWidth="1"/>
    <col min="16" max="16" width="9.1796875" style="5"/>
    <col min="17" max="17" width="15" customWidth="1"/>
    <col min="18" max="18" width="14.54296875" customWidth="1"/>
    <col min="19" max="19" width="14.81640625" customWidth="1"/>
    <col min="20" max="20" width="14.26953125" customWidth="1"/>
    <col min="21" max="21" width="14.81640625" customWidth="1"/>
    <col min="22" max="22" width="15.54296875" customWidth="1"/>
  </cols>
  <sheetData>
    <row r="1" spans="1:29" x14ac:dyDescent="0.3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8"/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</row>
    <row r="2" spans="1:29" x14ac:dyDescent="0.35">
      <c r="A2" s="2" t="s">
        <v>1</v>
      </c>
      <c r="B2" s="2">
        <v>82366.759999999995</v>
      </c>
      <c r="C2" s="2">
        <v>7.49</v>
      </c>
      <c r="D2" s="6">
        <v>4378.58</v>
      </c>
      <c r="E2" s="2">
        <v>3689.1930000000002</v>
      </c>
      <c r="F2" s="2">
        <v>3178.9029999999998</v>
      </c>
      <c r="G2" s="2">
        <v>1914.627</v>
      </c>
      <c r="H2" s="2">
        <v>407.6902</v>
      </c>
      <c r="I2" s="2">
        <v>234.5317</v>
      </c>
      <c r="J2" s="8"/>
      <c r="K2" s="7">
        <f>B2-C2*(2030-2025)</f>
        <v>82329.31</v>
      </c>
      <c r="L2" s="7">
        <f>B2-C2*(2035-2025)</f>
        <v>82291.86</v>
      </c>
      <c r="M2" s="7">
        <f>B2-C2*(2040-2025)</f>
        <v>82254.409999999989</v>
      </c>
      <c r="N2" s="7">
        <f>B2-C2*(2045-2025)</f>
        <v>82216.959999999992</v>
      </c>
      <c r="O2" s="7">
        <f>B2-C2*(2050-2025)</f>
        <v>82179.509999999995</v>
      </c>
      <c r="Q2" s="7">
        <f>(C2/D2)*100</f>
        <v>0.17106002402605411</v>
      </c>
      <c r="R2" s="7">
        <f>((C2*(2030-2025))/E2)*100</f>
        <v>1.0151271565353182</v>
      </c>
      <c r="S2" s="7">
        <f>((C2*(2035-2025))/F2)*100</f>
        <v>2.3561587126124959</v>
      </c>
      <c r="T2" s="7">
        <f>((C2*(2040-2025))/G2)*100</f>
        <v>5.8679836855951581</v>
      </c>
      <c r="U2" s="7">
        <f>((C2*(2045-2025))/H2)*100</f>
        <v>36.743586183822913</v>
      </c>
      <c r="V2" s="7">
        <f>((C2*(2050-2025))/I2)*100</f>
        <v>79.839953405019443</v>
      </c>
      <c r="X2" s="4">
        <f>B2</f>
        <v>82366.759999999995</v>
      </c>
      <c r="Y2" s="4">
        <f>B2-(C2*(2030-2025))</f>
        <v>82329.31</v>
      </c>
      <c r="Z2" s="4">
        <f>B2-(C2*(2035-2025))</f>
        <v>82291.86</v>
      </c>
      <c r="AA2" s="4">
        <f>B2-(C2*(2040-2025))</f>
        <v>82254.409999999989</v>
      </c>
      <c r="AB2" s="4">
        <f>B2-(C2*(2045-2025))</f>
        <v>82216.959999999992</v>
      </c>
      <c r="AC2" s="4">
        <f>B2-(C2*(2050-2025))</f>
        <v>82179.509999999995</v>
      </c>
    </row>
    <row r="3" spans="1:29" x14ac:dyDescent="0.35">
      <c r="A3" s="2" t="s">
        <v>2</v>
      </c>
      <c r="B3" s="2">
        <v>0</v>
      </c>
      <c r="C3" s="2">
        <v>0</v>
      </c>
      <c r="D3" s="7">
        <v>1971.05</v>
      </c>
      <c r="E3" s="2">
        <v>1749.212</v>
      </c>
      <c r="F3" s="2">
        <v>1599.127</v>
      </c>
      <c r="G3" s="2">
        <v>1016.713</v>
      </c>
      <c r="H3" s="2">
        <v>516.47379999999998</v>
      </c>
      <c r="I3" s="2">
        <v>304.32049999999998</v>
      </c>
      <c r="J3" s="8"/>
      <c r="K3" s="7">
        <f>B3-C3*(2030-2025)</f>
        <v>0</v>
      </c>
      <c r="L3" s="7">
        <f>B3-C3*(2035-2025)</f>
        <v>0</v>
      </c>
      <c r="M3" s="7">
        <f>B3-C3*(2040-2025)</f>
        <v>0</v>
      </c>
      <c r="N3" s="7">
        <f>B3-C3*(2045-2025)</f>
        <v>0</v>
      </c>
      <c r="O3" s="7">
        <f>B3-C3*(2050-2025)</f>
        <v>0</v>
      </c>
      <c r="Q3" s="7">
        <f>(C3/D3)*100</f>
        <v>0</v>
      </c>
      <c r="R3" s="7">
        <f>((C3*(2030-2025))/E3)*100</f>
        <v>0</v>
      </c>
      <c r="S3" s="7">
        <f>((C3*(2035-2025))/F3)*100</f>
        <v>0</v>
      </c>
      <c r="T3" s="7">
        <f>((C3*(2040-2025))/G3)*100</f>
        <v>0</v>
      </c>
      <c r="U3" s="7">
        <f>((C3*(2045-2025))/H3)*100</f>
        <v>0</v>
      </c>
      <c r="V3" s="7">
        <f>((C3*(2050-2025))/I3)*100</f>
        <v>0</v>
      </c>
      <c r="X3" s="4">
        <f>B3</f>
        <v>0</v>
      </c>
      <c r="Y3" s="4">
        <f>B3-(C3*(2030-2025))</f>
        <v>0</v>
      </c>
      <c r="Z3" s="4">
        <f>B3-(C3*(2035-2025))</f>
        <v>0</v>
      </c>
      <c r="AA3" s="4">
        <f>B3-(C3*(2040-2025))</f>
        <v>0</v>
      </c>
      <c r="AB3" s="4">
        <f>B3-(C3*(2045-2025))</f>
        <v>0</v>
      </c>
      <c r="AC3" s="4">
        <f>B3-(C3*(2050-2025))</f>
        <v>0</v>
      </c>
    </row>
    <row r="4" spans="1:29" x14ac:dyDescent="0.35">
      <c r="A4" s="2" t="s">
        <v>3</v>
      </c>
      <c r="B4" s="2">
        <v>0</v>
      </c>
      <c r="C4" s="2">
        <v>0</v>
      </c>
      <c r="D4" s="7">
        <v>2457.08</v>
      </c>
      <c r="E4" s="2">
        <v>2572.0740000000001</v>
      </c>
      <c r="F4" s="2">
        <v>1816.4069999999999</v>
      </c>
      <c r="G4" s="2">
        <v>852.12289999999996</v>
      </c>
      <c r="H4" s="2">
        <v>357.34199999999998</v>
      </c>
      <c r="I4" s="2">
        <v>201.02010000000001</v>
      </c>
      <c r="J4" s="8"/>
      <c r="K4" s="7">
        <f>B4-C4*(2030-2025)</f>
        <v>0</v>
      </c>
      <c r="L4" s="7">
        <f>B4-C4*(2035-2025)</f>
        <v>0</v>
      </c>
      <c r="M4" s="7">
        <f>B4-C4*(2040-2025)</f>
        <v>0</v>
      </c>
      <c r="N4" s="7">
        <f>B4-C4*(2045-2025)</f>
        <v>0</v>
      </c>
      <c r="O4" s="7">
        <f>B4-C4*(2050-2025)</f>
        <v>0</v>
      </c>
      <c r="Q4" s="7">
        <f>(C4/D4)*100</f>
        <v>0</v>
      </c>
      <c r="R4" s="7">
        <f>((C4*(2030-2025))/E4)*100</f>
        <v>0</v>
      </c>
      <c r="S4" s="7">
        <f>((C4*(2035-2025))/F4)*100</f>
        <v>0</v>
      </c>
      <c r="T4" s="7">
        <f>((C4*(2040-2025))/G4)*100</f>
        <v>0</v>
      </c>
      <c r="U4" s="7">
        <f>((C4*(2045-2025))/H4)*100</f>
        <v>0</v>
      </c>
      <c r="V4" s="7">
        <f>((C4*(2050-2025))/I4)*100</f>
        <v>0</v>
      </c>
      <c r="X4" s="4">
        <f>B4</f>
        <v>0</v>
      </c>
      <c r="Y4" s="4">
        <f>B4-(C4*(2030-2025))</f>
        <v>0</v>
      </c>
      <c r="Z4" s="4">
        <f>B4-(C4*(2035-2025))</f>
        <v>0</v>
      </c>
      <c r="AA4" s="4">
        <f>B4-(C4*(2040-2025))</f>
        <v>0</v>
      </c>
      <c r="AB4" s="4">
        <f>B4-(C4*(2045-2025))</f>
        <v>0</v>
      </c>
      <c r="AC4" s="4">
        <f>B4-(C4*(2050-2025))</f>
        <v>0</v>
      </c>
    </row>
    <row r="5" spans="1:29" x14ac:dyDescent="0.35">
      <c r="A5" s="2" t="s">
        <v>4</v>
      </c>
      <c r="B5" s="2">
        <v>1558.05</v>
      </c>
      <c r="C5" s="2">
        <v>0.12</v>
      </c>
      <c r="D5" s="7">
        <v>3074.12</v>
      </c>
      <c r="E5" s="2">
        <v>2009.136</v>
      </c>
      <c r="F5" s="2">
        <v>821.88199999999995</v>
      </c>
      <c r="G5" s="2">
        <v>344.5652</v>
      </c>
      <c r="H5" s="2">
        <v>335.3974</v>
      </c>
      <c r="I5" s="2">
        <v>269.32260000000002</v>
      </c>
      <c r="J5" s="8"/>
      <c r="K5" s="7">
        <f>B5-C5*(2030-2025)</f>
        <v>1557.45</v>
      </c>
      <c r="L5" s="7">
        <f>B5-C5*(2035-2025)</f>
        <v>1556.85</v>
      </c>
      <c r="M5" s="7">
        <f>B5-C5*(2040-2025)</f>
        <v>1556.25</v>
      </c>
      <c r="N5" s="7">
        <f>B5-C5*(2045-2025)</f>
        <v>1555.6499999999999</v>
      </c>
      <c r="O5" s="7">
        <f>B5-C5*(2050-2025)</f>
        <v>1555.05</v>
      </c>
      <c r="Q5" s="7">
        <f>(C5/D5)*100</f>
        <v>3.9035561396432153E-3</v>
      </c>
      <c r="R5" s="7">
        <f>((C5*(2030-2025))/E5)*100</f>
        <v>2.9863583152160929E-2</v>
      </c>
      <c r="S5" s="7">
        <f>((C5*(2035-2025))/F5)*100</f>
        <v>0.14600636101046138</v>
      </c>
      <c r="T5" s="7">
        <f>((C5*(2040-2025))/G5)*100</f>
        <v>0.52239750270776042</v>
      </c>
      <c r="U5" s="7">
        <f>((C5*(2045-2025))/H5)*100</f>
        <v>0.7155690533081055</v>
      </c>
      <c r="V5" s="7">
        <f>((C5*(2050-2025))/I5)*100</f>
        <v>1.1139057769381404</v>
      </c>
      <c r="X5" s="4">
        <f>B5</f>
        <v>1558.05</v>
      </c>
      <c r="Y5" s="4">
        <f>B5-(C5*(2030-2025))</f>
        <v>1557.45</v>
      </c>
      <c r="Z5" s="4">
        <f>B5-(C5*(2035-2025))</f>
        <v>1556.85</v>
      </c>
      <c r="AA5" s="4">
        <f>B5-(C5*(2040-2025))</f>
        <v>1556.25</v>
      </c>
      <c r="AB5" s="4">
        <f>B5-(C5*(2045-2025))</f>
        <v>1555.6499999999999</v>
      </c>
      <c r="AC5" s="4">
        <f>B5-(C5*(2050-2025))</f>
        <v>1555.05</v>
      </c>
    </row>
    <row r="6" spans="1:29" x14ac:dyDescent="0.35">
      <c r="A6" s="2" t="s">
        <v>5</v>
      </c>
      <c r="B6" s="2">
        <v>0</v>
      </c>
      <c r="C6" s="2">
        <v>0</v>
      </c>
      <c r="D6" s="7">
        <v>2348.14</v>
      </c>
      <c r="E6" s="2">
        <v>2291.625</v>
      </c>
      <c r="F6" s="2">
        <v>1376.8979999999999</v>
      </c>
      <c r="G6" s="2">
        <v>888.69359999999995</v>
      </c>
      <c r="H6" s="2">
        <v>312.2568</v>
      </c>
      <c r="I6" s="2">
        <v>123.547</v>
      </c>
      <c r="J6" s="8"/>
      <c r="K6" s="7">
        <f>B6-C6*(2030-2025)</f>
        <v>0</v>
      </c>
      <c r="L6" s="7">
        <f>B6-C6*(2035-2025)</f>
        <v>0</v>
      </c>
      <c r="M6" s="7">
        <f>B6-C6*(2040-2025)</f>
        <v>0</v>
      </c>
      <c r="N6" s="7">
        <f>B6-C6*(2045-2025)</f>
        <v>0</v>
      </c>
      <c r="O6" s="7">
        <f>B6-C6*(2050-2025)</f>
        <v>0</v>
      </c>
      <c r="Q6" s="7">
        <f>(C6/D6)*100</f>
        <v>0</v>
      </c>
      <c r="R6" s="7">
        <f>((C6*(2030-2025))/E6)*100</f>
        <v>0</v>
      </c>
      <c r="S6" s="7">
        <f>((C6*(2035-2025))/F6)*100</f>
        <v>0</v>
      </c>
      <c r="T6" s="7">
        <f>((C6*(2040-2025))/G6)*100</f>
        <v>0</v>
      </c>
      <c r="U6" s="7">
        <f>((C6*(2045-2025))/H6)*100</f>
        <v>0</v>
      </c>
      <c r="V6" s="7">
        <f>((C6*(2050-2025))/I6)*100</f>
        <v>0</v>
      </c>
      <c r="X6" s="4">
        <f>B6</f>
        <v>0</v>
      </c>
      <c r="Y6" s="4">
        <f>B6-(C6*(2030-2025))</f>
        <v>0</v>
      </c>
      <c r="Z6" s="4">
        <f>B6-(C6*(2035-2025))</f>
        <v>0</v>
      </c>
      <c r="AA6" s="4">
        <f>B6-(C6*(2040-2025))</f>
        <v>0</v>
      </c>
      <c r="AB6" s="4">
        <f>B6-(C6*(2045-2025))</f>
        <v>0</v>
      </c>
      <c r="AC6" s="4">
        <f>B6-(C6*(2050-2025))</f>
        <v>0</v>
      </c>
    </row>
    <row r="7" spans="1:29" x14ac:dyDescent="0.35">
      <c r="A7" s="2" t="s">
        <v>35</v>
      </c>
      <c r="B7" s="2">
        <v>0</v>
      </c>
      <c r="C7" s="2">
        <v>0</v>
      </c>
      <c r="D7" s="7">
        <v>2476.31</v>
      </c>
      <c r="E7" s="2">
        <v>2897.5929999999998</v>
      </c>
      <c r="F7" s="2">
        <v>2146.759</v>
      </c>
      <c r="G7" s="2">
        <v>1597.4670000000001</v>
      </c>
      <c r="H7" s="2">
        <v>542.27459999999996</v>
      </c>
      <c r="I7" s="2">
        <v>210.9802</v>
      </c>
      <c r="J7" s="8"/>
      <c r="K7" s="7">
        <f>B7-C7*(2030-2025)</f>
        <v>0</v>
      </c>
      <c r="L7" s="7">
        <f>B7-C7*(2035-2025)</f>
        <v>0</v>
      </c>
      <c r="M7" s="7">
        <f>B7-C7*(2040-2025)</f>
        <v>0</v>
      </c>
      <c r="N7" s="7">
        <f>B7-C7*(2045-2025)</f>
        <v>0</v>
      </c>
      <c r="O7" s="7">
        <f>B7-C7*(2050-2025)</f>
        <v>0</v>
      </c>
      <c r="Q7" s="7">
        <f>(C7/D7)*100</f>
        <v>0</v>
      </c>
      <c r="R7" s="7">
        <f>((C7*(2030-2025))/E7)*100</f>
        <v>0</v>
      </c>
      <c r="S7" s="7">
        <f>((C7*(2035-2025))/F7)*100</f>
        <v>0</v>
      </c>
      <c r="T7" s="7">
        <f>((C7*(2040-2025))/G7)*100</f>
        <v>0</v>
      </c>
      <c r="U7" s="7">
        <f>((C7*(2045-2025))/H7)*100</f>
        <v>0</v>
      </c>
      <c r="V7" s="7">
        <f>((C7*(2050-2025))/I7)*100</f>
        <v>0</v>
      </c>
      <c r="X7" s="4">
        <f>B7</f>
        <v>0</v>
      </c>
      <c r="Y7" s="4">
        <f>B7-(C7*(2030-2025))</f>
        <v>0</v>
      </c>
      <c r="Z7" s="4">
        <f>B7-(C7*(2035-2025))</f>
        <v>0</v>
      </c>
      <c r="AA7" s="4">
        <f>B7-(C7*(2040-2025))</f>
        <v>0</v>
      </c>
      <c r="AB7" s="4">
        <f>B7-(C7*(2045-2025))</f>
        <v>0</v>
      </c>
      <c r="AC7" s="4">
        <f>B7-(C7*(2050-2025))</f>
        <v>0</v>
      </c>
    </row>
    <row r="8" spans="1:29" x14ac:dyDescent="0.35">
      <c r="A8" s="2" t="s">
        <v>6</v>
      </c>
      <c r="B8" s="2">
        <v>479.72</v>
      </c>
      <c r="C8" s="2">
        <v>0.01</v>
      </c>
      <c r="D8" s="7">
        <v>2482.21</v>
      </c>
      <c r="E8" s="2">
        <v>3619.174</v>
      </c>
      <c r="F8" s="2">
        <v>2765.4589999999998</v>
      </c>
      <c r="G8" s="2">
        <v>1845.836</v>
      </c>
      <c r="H8" s="2">
        <v>1135.347</v>
      </c>
      <c r="I8" s="2">
        <v>995.2192</v>
      </c>
      <c r="J8" s="8"/>
      <c r="K8" s="7">
        <f>B8-C8*(2030-2025)</f>
        <v>479.67</v>
      </c>
      <c r="L8" s="7">
        <f>B8-C8*(2035-2025)</f>
        <v>479.62</v>
      </c>
      <c r="M8" s="7">
        <f>B8-C8*(2040-2025)</f>
        <v>479.57000000000005</v>
      </c>
      <c r="N8" s="7">
        <f>B8-C8*(2045-2025)</f>
        <v>479.52000000000004</v>
      </c>
      <c r="O8" s="7">
        <f>B8-C8*(2050-2025)</f>
        <v>479.47</v>
      </c>
      <c r="Q8" s="7">
        <f>(C8/D8)*100</f>
        <v>4.0286680014986649E-4</v>
      </c>
      <c r="R8" s="7">
        <f>((C8*(2030-2025))/E8)*100</f>
        <v>1.3815307028620344E-3</v>
      </c>
      <c r="S8" s="7">
        <f>((C8*(2035-2025))/F8)*100</f>
        <v>3.6160362529330577E-3</v>
      </c>
      <c r="T8" s="7">
        <f>((C8*(2040-2025))/G8)*100</f>
        <v>8.1263990950441976E-3</v>
      </c>
      <c r="U8" s="7">
        <f>((C8*(2045-2025))/H8)*100</f>
        <v>1.7615759763314653E-2</v>
      </c>
      <c r="V8" s="7">
        <f>((C8*(2050-2025))/I8)*100</f>
        <v>2.5120094146093643E-2</v>
      </c>
      <c r="X8" s="4">
        <f>B8</f>
        <v>479.72</v>
      </c>
      <c r="Y8" s="4">
        <f>B8-(C8*(2030-2025))</f>
        <v>479.67</v>
      </c>
      <c r="Z8" s="4">
        <f>B8-(C8*(2035-2025))</f>
        <v>479.62</v>
      </c>
      <c r="AA8" s="4">
        <f>B8-(C8*(2040-2025))</f>
        <v>479.57000000000005</v>
      </c>
      <c r="AB8" s="4">
        <f>B8-(C8*(2045-2025))</f>
        <v>479.52000000000004</v>
      </c>
      <c r="AC8" s="4">
        <f>B8-(C8*(2050-2025))</f>
        <v>479.47</v>
      </c>
    </row>
    <row r="9" spans="1:29" x14ac:dyDescent="0.35">
      <c r="A9" s="2" t="s">
        <v>7</v>
      </c>
      <c r="B9" s="2">
        <v>0</v>
      </c>
      <c r="C9" s="2">
        <v>0</v>
      </c>
      <c r="D9" s="7">
        <v>963.44500000000005</v>
      </c>
      <c r="E9" s="2">
        <v>498.30070000000001</v>
      </c>
      <c r="F9" s="2">
        <v>276.93029999999999</v>
      </c>
      <c r="G9" s="2">
        <v>150.03800000000001</v>
      </c>
      <c r="H9" s="2">
        <v>135.25579999999999</v>
      </c>
      <c r="I9" s="2">
        <v>113.2484</v>
      </c>
      <c r="J9" s="8"/>
      <c r="K9" s="7">
        <f>B9-C9*(2030-2025)</f>
        <v>0</v>
      </c>
      <c r="L9" s="7">
        <f>B9-C9*(2035-2025)</f>
        <v>0</v>
      </c>
      <c r="M9" s="7">
        <f>B9-C9*(2040-2025)</f>
        <v>0</v>
      </c>
      <c r="N9" s="7">
        <f>B9-C9*(2045-2025)</f>
        <v>0</v>
      </c>
      <c r="O9" s="7">
        <f>B9-C9*(2050-2025)</f>
        <v>0</v>
      </c>
      <c r="Q9" s="7">
        <f>(C9/D9)*100</f>
        <v>0</v>
      </c>
      <c r="R9" s="7">
        <f>((C9*(2030-2025))/E9)*100</f>
        <v>0</v>
      </c>
      <c r="S9" s="7">
        <f>((C9*(2035-2025))/F9)*100</f>
        <v>0</v>
      </c>
      <c r="T9" s="7">
        <f>((C9*(2040-2025))/G9)*100</f>
        <v>0</v>
      </c>
      <c r="U9" s="7">
        <f>((C9*(2045-2025))/H9)*100</f>
        <v>0</v>
      </c>
      <c r="V9" s="7">
        <f>((C9*(2050-2025))/I9)*100</f>
        <v>0</v>
      </c>
      <c r="X9" s="4">
        <f>B9</f>
        <v>0</v>
      </c>
      <c r="Y9" s="4">
        <f>B9-(C9*(2030-2025))</f>
        <v>0</v>
      </c>
      <c r="Z9" s="4">
        <f>B9-(C9*(2035-2025))</f>
        <v>0</v>
      </c>
      <c r="AA9" s="4">
        <f>B9-(C9*(2040-2025))</f>
        <v>0</v>
      </c>
      <c r="AB9" s="4">
        <f>B9-(C9*(2045-2025))</f>
        <v>0</v>
      </c>
      <c r="AC9" s="4">
        <f>B9-(C9*(2050-2025))</f>
        <v>0</v>
      </c>
    </row>
    <row r="10" spans="1:29" x14ac:dyDescent="0.35">
      <c r="A10" s="2" t="s">
        <v>8</v>
      </c>
      <c r="B10" s="2">
        <v>55671.16</v>
      </c>
      <c r="C10" s="2">
        <v>29.78</v>
      </c>
      <c r="D10" s="7">
        <v>2785.88</v>
      </c>
      <c r="E10" s="2">
        <v>2927.7489999999998</v>
      </c>
      <c r="F10" s="2">
        <v>2697.6329999999998</v>
      </c>
      <c r="G10" s="2">
        <v>1829.404</v>
      </c>
      <c r="H10" s="2">
        <v>917.54849999999999</v>
      </c>
      <c r="I10" s="2">
        <v>711.31679999999994</v>
      </c>
      <c r="J10" s="8"/>
      <c r="K10" s="7">
        <f>B10-C10*(2030-2025)</f>
        <v>55522.26</v>
      </c>
      <c r="L10" s="7">
        <f>B10-C10*(2035-2025)</f>
        <v>55373.36</v>
      </c>
      <c r="M10" s="7">
        <f>B10-C10*(2040-2025)</f>
        <v>55224.460000000006</v>
      </c>
      <c r="N10" s="7">
        <f>B10-C10*(2045-2025)</f>
        <v>55075.560000000005</v>
      </c>
      <c r="O10" s="7">
        <f>B10-C10*(2050-2025)</f>
        <v>54926.66</v>
      </c>
      <c r="Q10" s="7">
        <f>(C10/D10)*100</f>
        <v>1.0689620514882192</v>
      </c>
      <c r="R10" s="7">
        <f>((C10*(2030-2025))/E10)*100</f>
        <v>5.0858184905878208</v>
      </c>
      <c r="S10" s="7">
        <f>((C10*(2035-2025))/F10)*100</f>
        <v>11.039307422469996</v>
      </c>
      <c r="T10" s="7">
        <f>((C10*(2040-2025))/G10)*100</f>
        <v>24.417788525661912</v>
      </c>
      <c r="U10" s="7">
        <f>((C10*(2045-2025))/H10)*100</f>
        <v>64.912100014331671</v>
      </c>
      <c r="V10" s="7">
        <f>((C10*(2050-2025))/I10)*100</f>
        <v>104.66503813771868</v>
      </c>
      <c r="X10" s="4">
        <f>B10</f>
        <v>55671.16</v>
      </c>
      <c r="Y10" s="4">
        <f>B10-(C10*(2030-2025))</f>
        <v>55522.26</v>
      </c>
      <c r="Z10" s="4">
        <f>B10-(C10*(2035-2025))</f>
        <v>55373.36</v>
      </c>
      <c r="AA10" s="4">
        <f>B10-(C10*(2040-2025))</f>
        <v>55224.460000000006</v>
      </c>
      <c r="AB10" s="4">
        <f>B10-(C10*(2045-2025))</f>
        <v>55075.560000000005</v>
      </c>
      <c r="AC10" s="4">
        <f>B10-(C10*(2050-2025))</f>
        <v>54926.66</v>
      </c>
    </row>
    <row r="11" spans="1:29" x14ac:dyDescent="0.35">
      <c r="A11" s="2" t="s">
        <v>9</v>
      </c>
      <c r="B11" s="2">
        <v>49237.26</v>
      </c>
      <c r="C11" s="2">
        <v>19.23</v>
      </c>
      <c r="D11" s="7">
        <v>4209.6099999999997</v>
      </c>
      <c r="E11" s="2">
        <v>4483.4250000000002</v>
      </c>
      <c r="F11" s="2">
        <v>3357.8829999999998</v>
      </c>
      <c r="G11" s="2">
        <v>2811.3420000000001</v>
      </c>
      <c r="H11" s="2">
        <v>1501.845</v>
      </c>
      <c r="I11" s="2">
        <v>676.96400000000006</v>
      </c>
      <c r="J11" s="8"/>
      <c r="K11" s="7">
        <f>B11-C11*(2030-2025)</f>
        <v>49141.11</v>
      </c>
      <c r="L11" s="7">
        <f>B11-C11*(2035-2025)</f>
        <v>49044.959999999999</v>
      </c>
      <c r="M11" s="7">
        <f>B11-C11*(2040-2025)</f>
        <v>48948.810000000005</v>
      </c>
      <c r="N11" s="7">
        <f>B11-C11*(2045-2025)</f>
        <v>48852.66</v>
      </c>
      <c r="O11" s="7">
        <f>B11-C11*(2050-2025)</f>
        <v>48756.51</v>
      </c>
      <c r="Q11" s="7">
        <f>(C11/D11)*100</f>
        <v>0.45681191369271745</v>
      </c>
      <c r="R11" s="7">
        <f>((C11*(2030-2025))/E11)*100</f>
        <v>2.1445658174275248</v>
      </c>
      <c r="S11" s="7">
        <f>((C11*(2035-2025))/F11)*100</f>
        <v>5.7268225247871953</v>
      </c>
      <c r="T11" s="7">
        <f>((C11*(2040-2025))/G11)*100</f>
        <v>10.260224476424426</v>
      </c>
      <c r="U11" s="7">
        <f>((C11*(2045-2025))/H11)*100</f>
        <v>25.608501543101987</v>
      </c>
      <c r="V11" s="7">
        <f>((C11*(2050-2025))/I11)*100</f>
        <v>71.015593148232398</v>
      </c>
      <c r="X11" s="4">
        <f>B11</f>
        <v>49237.26</v>
      </c>
      <c r="Y11" s="4">
        <f>B11-(C11*(2030-2025))</f>
        <v>49141.11</v>
      </c>
      <c r="Z11" s="4">
        <f>B11-(C11*(2035-2025))</f>
        <v>49044.959999999999</v>
      </c>
      <c r="AA11" s="4">
        <f>B11-(C11*(2040-2025))</f>
        <v>48948.810000000005</v>
      </c>
      <c r="AB11" s="4">
        <f>B11-(C11*(2045-2025))</f>
        <v>48852.66</v>
      </c>
      <c r="AC11" s="4">
        <f>B11-(C11*(2050-2025))</f>
        <v>48756.51</v>
      </c>
    </row>
    <row r="12" spans="1:29" x14ac:dyDescent="0.35">
      <c r="A12" s="2" t="s">
        <v>10</v>
      </c>
      <c r="B12" s="2">
        <v>139802.91</v>
      </c>
      <c r="C12" s="2">
        <v>8.73</v>
      </c>
      <c r="D12" s="7">
        <v>3075.4</v>
      </c>
      <c r="E12" s="2">
        <v>2660.7510000000002</v>
      </c>
      <c r="F12" s="2">
        <v>2767.8580000000002</v>
      </c>
      <c r="G12" s="2">
        <v>1302.1790000000001</v>
      </c>
      <c r="H12" s="2">
        <v>703.9461</v>
      </c>
      <c r="I12" s="2">
        <v>452.23649999999998</v>
      </c>
      <c r="J12" s="8"/>
      <c r="K12" s="7">
        <f>B12-C12*(2030-2025)</f>
        <v>139759.26</v>
      </c>
      <c r="L12" s="7">
        <f>B12-C12*(2035-2025)</f>
        <v>139715.61000000002</v>
      </c>
      <c r="M12" s="7">
        <f>B12-C12*(2040-2025)</f>
        <v>139671.96</v>
      </c>
      <c r="N12" s="7">
        <f>B12-C12*(2045-2025)</f>
        <v>139628.31</v>
      </c>
      <c r="O12" s="7">
        <f>B12-C12*(2050-2025)</f>
        <v>139584.66</v>
      </c>
      <c r="Q12" s="7">
        <f>(C12/D12)*100</f>
        <v>0.28386551342914745</v>
      </c>
      <c r="R12" s="7">
        <f>((C12*(2030-2025))/E12)*100</f>
        <v>1.6405142758567037</v>
      </c>
      <c r="S12" s="7">
        <f>((C12*(2035-2025))/F12)*100</f>
        <v>3.1540635393867746</v>
      </c>
      <c r="T12" s="7">
        <f>((C12*(2040-2025))/G12)*100</f>
        <v>10.056221149319718</v>
      </c>
      <c r="U12" s="7">
        <f>((C12*(2045-2025))/H12)*100</f>
        <v>24.803035346030047</v>
      </c>
      <c r="V12" s="7">
        <f>((C12*(2050-2025))/I12)*100</f>
        <v>48.26014706906674</v>
      </c>
      <c r="X12" s="4">
        <f>B12</f>
        <v>139802.91</v>
      </c>
      <c r="Y12" s="4">
        <f>B12-(C12*(2030-2025))</f>
        <v>139759.26</v>
      </c>
      <c r="Z12" s="4">
        <f>B12-(C12*(2035-2025))</f>
        <v>139715.61000000002</v>
      </c>
      <c r="AA12" s="4">
        <f>B12-(C12*(2040-2025))</f>
        <v>139671.96</v>
      </c>
      <c r="AB12" s="4">
        <f>B12-(C12*(2045-2025))</f>
        <v>139628.31</v>
      </c>
      <c r="AC12" s="4">
        <f>B12-(C12*(2050-2025))</f>
        <v>139584.66</v>
      </c>
    </row>
    <row r="13" spans="1:29" x14ac:dyDescent="0.35">
      <c r="A13" s="2" t="s">
        <v>11</v>
      </c>
      <c r="B13" s="2">
        <v>5875.22</v>
      </c>
      <c r="C13" s="2">
        <v>0.35</v>
      </c>
      <c r="D13" s="7">
        <v>3285.78</v>
      </c>
      <c r="E13" s="2">
        <v>3294.1819999999998</v>
      </c>
      <c r="F13" s="2">
        <v>2130.1120000000001</v>
      </c>
      <c r="G13" s="2">
        <v>1234.0530000000001</v>
      </c>
      <c r="H13" s="2">
        <v>483.35840000000002</v>
      </c>
      <c r="I13" s="2">
        <v>323.11900000000003</v>
      </c>
      <c r="J13" s="8"/>
      <c r="K13" s="7">
        <f>B13-C13*(2030-2025)</f>
        <v>5873.47</v>
      </c>
      <c r="L13" s="7">
        <f>B13-C13*(2035-2025)</f>
        <v>5871.72</v>
      </c>
      <c r="M13" s="7">
        <f>B13-C13*(2040-2025)</f>
        <v>5869.97</v>
      </c>
      <c r="N13" s="7">
        <f>B13-C13*(2045-2025)</f>
        <v>5868.22</v>
      </c>
      <c r="O13" s="7">
        <f>B13-C13*(2050-2025)</f>
        <v>5866.47</v>
      </c>
      <c r="Q13" s="7">
        <f>(C13/D13)*100</f>
        <v>1.0651960873826001E-2</v>
      </c>
      <c r="R13" s="7">
        <f>((C13*(2030-2025))/E13)*100</f>
        <v>5.3123962185453018E-2</v>
      </c>
      <c r="S13" s="7">
        <f>((C13*(2035-2025))/F13)*100</f>
        <v>0.16431060901961964</v>
      </c>
      <c r="T13" s="7">
        <f>((C13*(2040-2025))/G13)*100</f>
        <v>0.42542743301948938</v>
      </c>
      <c r="U13" s="7">
        <f>((C13*(2045-2025))/H13)*100</f>
        <v>1.4482007553815139</v>
      </c>
      <c r="V13" s="7">
        <f>((C13*(2050-2025))/I13)*100</f>
        <v>2.7079806510913933</v>
      </c>
      <c r="X13" s="4">
        <f>B13</f>
        <v>5875.22</v>
      </c>
      <c r="Y13" s="4">
        <f>B13-(C13*(2030-2025))</f>
        <v>5873.47</v>
      </c>
      <c r="Z13" s="4">
        <f>B13-(C13*(2035-2025))</f>
        <v>5871.72</v>
      </c>
      <c r="AA13" s="4">
        <f>B13-(C13*(2040-2025))</f>
        <v>5869.97</v>
      </c>
      <c r="AB13" s="4">
        <f>B13-(C13*(2045-2025))</f>
        <v>5868.22</v>
      </c>
      <c r="AC13" s="4">
        <f>B13-(C13*(2050-2025))</f>
        <v>5866.47</v>
      </c>
    </row>
    <row r="14" spans="1:29" x14ac:dyDescent="0.35">
      <c r="A14" s="2" t="s">
        <v>12</v>
      </c>
      <c r="B14" s="2">
        <v>7.64</v>
      </c>
      <c r="C14" s="2">
        <v>0.05</v>
      </c>
      <c r="D14" s="7">
        <v>3037.34</v>
      </c>
      <c r="E14" s="2">
        <v>3265.8919999999998</v>
      </c>
      <c r="F14" s="2">
        <v>1493.915</v>
      </c>
      <c r="G14" s="2">
        <v>685.07529999999997</v>
      </c>
      <c r="H14" s="2">
        <v>226.6651</v>
      </c>
      <c r="I14" s="2">
        <v>120.6104</v>
      </c>
      <c r="J14" s="8"/>
      <c r="K14" s="7">
        <f>B14-C14*(2030-2025)</f>
        <v>7.39</v>
      </c>
      <c r="L14" s="7">
        <f>B14-C14*(2035-2025)</f>
        <v>7.14</v>
      </c>
      <c r="M14" s="7">
        <f>B14-C14*(2040-2025)</f>
        <v>6.89</v>
      </c>
      <c r="N14" s="7">
        <f>B14-C14*(2045-2025)</f>
        <v>6.64</v>
      </c>
      <c r="O14" s="7">
        <f>B14-C14*(2050-2025)</f>
        <v>6.39</v>
      </c>
      <c r="Q14" s="7">
        <f>(C14/D14)*100</f>
        <v>1.6461772471965601E-3</v>
      </c>
      <c r="R14" s="7">
        <f>((C14*(2030-2025))/E14)*100</f>
        <v>7.6548765237797215E-3</v>
      </c>
      <c r="S14" s="7">
        <f>((C14*(2035-2025))/F14)*100</f>
        <v>3.346910634139158E-2</v>
      </c>
      <c r="T14" s="7">
        <f>((C14*(2040-2025))/G14)*100</f>
        <v>0.10947701661408607</v>
      </c>
      <c r="U14" s="7">
        <f>((C14*(2045-2025))/H14)*100</f>
        <v>0.44117951991727006</v>
      </c>
      <c r="V14" s="7">
        <f>((C14*(2050-2025))/I14)*100</f>
        <v>1.0363948714207067</v>
      </c>
      <c r="X14" s="4">
        <f>B14</f>
        <v>7.64</v>
      </c>
      <c r="Y14" s="4">
        <f>B14-(C14*(2030-2025))</f>
        <v>7.39</v>
      </c>
      <c r="Z14" s="4">
        <f>B14-(C14*(2035-2025))</f>
        <v>7.14</v>
      </c>
      <c r="AA14" s="4">
        <f>B14-(C14*(2040-2025))</f>
        <v>6.89</v>
      </c>
      <c r="AB14" s="4">
        <f>B14-(C14*(2045-2025))</f>
        <v>6.64</v>
      </c>
      <c r="AC14" s="4">
        <f>B14-(C14*(2050-2025))</f>
        <v>6.39</v>
      </c>
    </row>
    <row r="15" spans="1:29" x14ac:dyDescent="0.35">
      <c r="A15" s="3" t="s">
        <v>13</v>
      </c>
      <c r="B15" s="3">
        <v>43325.64</v>
      </c>
      <c r="C15" s="3">
        <v>0.43</v>
      </c>
      <c r="D15" s="7">
        <v>1685.28</v>
      </c>
      <c r="E15" s="3">
        <v>1012.49</v>
      </c>
      <c r="F15" s="3">
        <v>536.38340000000005</v>
      </c>
      <c r="G15" s="3">
        <v>346.1764</v>
      </c>
      <c r="H15" s="3">
        <v>287.36799999999999</v>
      </c>
      <c r="I15" s="3">
        <v>170.0831</v>
      </c>
      <c r="J15" s="8"/>
      <c r="K15" s="7">
        <f>B15-C15*(2030-2025)</f>
        <v>43323.49</v>
      </c>
      <c r="L15" s="7">
        <f>B15-C15*(2035-2025)</f>
        <v>43321.34</v>
      </c>
      <c r="M15" s="7">
        <f>B15-C15*(2040-2025)</f>
        <v>43319.19</v>
      </c>
      <c r="N15" s="7">
        <f>B15-C15*(2045-2025)</f>
        <v>43317.04</v>
      </c>
      <c r="O15" s="7">
        <f>B15-C15*(2050-2025)</f>
        <v>43314.89</v>
      </c>
      <c r="Q15" s="7">
        <f>(C15/D15)*100</f>
        <v>2.5515047944555204E-2</v>
      </c>
      <c r="R15" s="7">
        <f>((C15*(2030-2025))/E15)*100</f>
        <v>0.21234777627433354</v>
      </c>
      <c r="S15" s="7">
        <f>((C15*(2035-2025))/F15)*100</f>
        <v>0.8016653759232667</v>
      </c>
      <c r="T15" s="7">
        <f>((C15*(2040-2025))/G15)*100</f>
        <v>1.8632119347246086</v>
      </c>
      <c r="U15" s="7">
        <f>((C15*(2045-2025))/H15)*100</f>
        <v>2.9926783775507362</v>
      </c>
      <c r="V15" s="7">
        <f>((C15*(2050-2025))/I15)*100</f>
        <v>6.3204398320585637</v>
      </c>
      <c r="X15" s="4">
        <f>B15</f>
        <v>43325.64</v>
      </c>
      <c r="Y15" s="4">
        <f>B15-(C15*(2030-2025))</f>
        <v>43323.49</v>
      </c>
      <c r="Z15" s="4">
        <f>B15-(C15*(2035-2025))</f>
        <v>43321.34</v>
      </c>
      <c r="AA15" s="4">
        <f>B15-(C15*(2040-2025))</f>
        <v>43319.19</v>
      </c>
      <c r="AB15" s="4">
        <f>B15-(C15*(2045-2025))</f>
        <v>43317.04</v>
      </c>
      <c r="AC15" s="4">
        <f>B15-(C15*(2050-2025))</f>
        <v>43314.89</v>
      </c>
    </row>
    <row r="16" spans="1:29" x14ac:dyDescent="0.35">
      <c r="A16" s="2" t="s">
        <v>14</v>
      </c>
      <c r="B16" s="2">
        <v>75089.42</v>
      </c>
      <c r="C16" s="2">
        <v>15.76</v>
      </c>
      <c r="D16" s="7">
        <v>3148.21</v>
      </c>
      <c r="E16" s="2">
        <v>2392.0549999999998</v>
      </c>
      <c r="F16" s="2">
        <v>1375.431</v>
      </c>
      <c r="G16" s="2">
        <v>665.77340000000004</v>
      </c>
      <c r="H16" s="2">
        <v>237.5608</v>
      </c>
      <c r="I16" s="2">
        <v>133.56030000000001</v>
      </c>
      <c r="J16" s="8"/>
      <c r="K16" s="7">
        <f>B16-C16*(2030-2025)</f>
        <v>75010.62</v>
      </c>
      <c r="L16" s="7">
        <f>B16-C16*(2035-2025)</f>
        <v>74931.819999999992</v>
      </c>
      <c r="M16" s="7">
        <f>B16-C16*(2040-2025)</f>
        <v>74853.02</v>
      </c>
      <c r="N16" s="7">
        <f>B16-C16*(2045-2025)</f>
        <v>74774.22</v>
      </c>
      <c r="O16" s="7">
        <f>B16-C16*(2050-2025)</f>
        <v>74695.42</v>
      </c>
      <c r="Q16" s="7">
        <f>(C16/D16)*100</f>
        <v>0.50060192935032921</v>
      </c>
      <c r="R16" s="7">
        <f>((C16*(2030-2025))/E16)*100</f>
        <v>3.2942386358173206</v>
      </c>
      <c r="S16" s="7">
        <f>((C16*(2035-2025))/F16)*100</f>
        <v>11.458226548623667</v>
      </c>
      <c r="T16" s="7">
        <f>((C16*(2040-2025))/G16)*100</f>
        <v>35.507576601888871</v>
      </c>
      <c r="U16" s="7">
        <f>((C16*(2045-2025))/H16)*100</f>
        <v>132.68182292701488</v>
      </c>
      <c r="V16" s="7">
        <f>((C16*(2050-2025))/I16)*100</f>
        <v>294.99783992698428</v>
      </c>
      <c r="X16" s="4">
        <f>B16</f>
        <v>75089.42</v>
      </c>
      <c r="Y16" s="4">
        <f>B16-(C16*(2030-2025))</f>
        <v>75010.62</v>
      </c>
      <c r="Z16" s="4">
        <f>B16-(C16*(2035-2025))</f>
        <v>74931.819999999992</v>
      </c>
      <c r="AA16" s="4">
        <f>B16-(C16*(2040-2025))</f>
        <v>74853.02</v>
      </c>
      <c r="AB16" s="4">
        <f>B16-(C16*(2045-2025))</f>
        <v>74774.22</v>
      </c>
      <c r="AC16" s="4">
        <f>B16-(C16*(2050-2025))</f>
        <v>74695.42</v>
      </c>
    </row>
    <row r="17" spans="1:29" x14ac:dyDescent="0.35">
      <c r="A17" s="2" t="s">
        <v>15</v>
      </c>
      <c r="B17" s="2">
        <v>0</v>
      </c>
      <c r="C17" s="2">
        <v>0</v>
      </c>
      <c r="D17" s="7">
        <v>4825.6000000000004</v>
      </c>
      <c r="E17" s="2">
        <v>4954.4359999999997</v>
      </c>
      <c r="F17" s="2">
        <v>3220.6019999999999</v>
      </c>
      <c r="G17" s="2">
        <v>2135.1950000000002</v>
      </c>
      <c r="H17" s="2">
        <v>1146.049</v>
      </c>
      <c r="I17" s="2">
        <v>279.89159999999998</v>
      </c>
      <c r="J17" s="8"/>
      <c r="K17" s="7">
        <f>B17-C17*(2030-2025)</f>
        <v>0</v>
      </c>
      <c r="L17" s="7">
        <f>B17-C17*(2035-2025)</f>
        <v>0</v>
      </c>
      <c r="M17" s="7">
        <f>B17-C17*(2040-2025)</f>
        <v>0</v>
      </c>
      <c r="N17" s="7">
        <f>B17-C17*(2045-2025)</f>
        <v>0</v>
      </c>
      <c r="O17" s="7">
        <f>B17-C17*(2050-2025)</f>
        <v>0</v>
      </c>
      <c r="Q17" s="7">
        <f>(C17/D17)*100</f>
        <v>0</v>
      </c>
      <c r="R17" s="7">
        <f>((C17*(2030-2025))/E17)*100</f>
        <v>0</v>
      </c>
      <c r="S17" s="7">
        <f>((C17*(2035-2025))/F17)*100</f>
        <v>0</v>
      </c>
      <c r="T17" s="7">
        <f>((C17*(2040-2025))/G17)*100</f>
        <v>0</v>
      </c>
      <c r="U17" s="7">
        <f>((C17*(2045-2025))/H17)*100</f>
        <v>0</v>
      </c>
      <c r="V17" s="7">
        <f>((C17*(2050-2025))/I17)*100</f>
        <v>0</v>
      </c>
      <c r="X17" s="4">
        <f>B17</f>
        <v>0</v>
      </c>
      <c r="Y17" s="4">
        <f>B17-(C17*(2030-2025))</f>
        <v>0</v>
      </c>
      <c r="Z17" s="4">
        <f>B17-(C17*(2035-2025))</f>
        <v>0</v>
      </c>
      <c r="AA17" s="4">
        <f>B17-(C17*(2040-2025))</f>
        <v>0</v>
      </c>
      <c r="AB17" s="4">
        <f>B17-(C17*(2045-2025))</f>
        <v>0</v>
      </c>
      <c r="AC17" s="4">
        <f>B17-(C17*(2050-2025))</f>
        <v>0</v>
      </c>
    </row>
    <row r="18" spans="1:29" x14ac:dyDescent="0.35">
      <c r="A18" s="2" t="s">
        <v>16</v>
      </c>
      <c r="B18" s="2">
        <v>139.03</v>
      </c>
      <c r="C18" s="2">
        <v>0.1</v>
      </c>
      <c r="D18" s="7">
        <v>2620.37</v>
      </c>
      <c r="E18" s="2">
        <v>2548.1849999999999</v>
      </c>
      <c r="F18" s="2">
        <v>2047.4359999999999</v>
      </c>
      <c r="G18" s="2">
        <v>1255.681</v>
      </c>
      <c r="H18" s="2">
        <v>1042.518</v>
      </c>
      <c r="I18" s="2">
        <v>933.90880000000004</v>
      </c>
      <c r="J18" s="8"/>
      <c r="K18" s="7">
        <f>B18-C18*(2030-2025)</f>
        <v>138.53</v>
      </c>
      <c r="L18" s="7">
        <f>B18-C18*(2035-2025)</f>
        <v>138.03</v>
      </c>
      <c r="M18" s="7">
        <f>B18-C18*(2040-2025)</f>
        <v>137.53</v>
      </c>
      <c r="N18" s="7">
        <f>B18-C18*(2045-2025)</f>
        <v>137.03</v>
      </c>
      <c r="O18" s="7">
        <f>B18-C18*(2050-2025)</f>
        <v>136.53</v>
      </c>
      <c r="Q18" s="7">
        <f>(C18/D18)*100</f>
        <v>3.8162549563611251E-3</v>
      </c>
      <c r="R18" s="7">
        <f>((C18*(2030-2025))/E18)*100</f>
        <v>1.9621809248543572E-2</v>
      </c>
      <c r="S18" s="7">
        <f>((C18*(2035-2025))/F18)*100</f>
        <v>4.8841575512006234E-2</v>
      </c>
      <c r="T18" s="7">
        <f>((C18*(2040-2025))/G18)*100</f>
        <v>0.11945709141095548</v>
      </c>
      <c r="U18" s="7">
        <f>((C18*(2045-2025))/H18)*100</f>
        <v>0.19184321038101979</v>
      </c>
      <c r="V18" s="7">
        <f>((C18*(2050-2025))/I18)*100</f>
        <v>0.26769209156183132</v>
      </c>
      <c r="X18" s="4">
        <f>B18</f>
        <v>139.03</v>
      </c>
      <c r="Y18" s="4">
        <f>B18-(C18*(2030-2025))</f>
        <v>138.53</v>
      </c>
      <c r="Z18" s="4">
        <f>B18-(C18*(2035-2025))</f>
        <v>138.03</v>
      </c>
      <c r="AA18" s="4">
        <f>B18-(C18*(2040-2025))</f>
        <v>137.53</v>
      </c>
      <c r="AB18" s="4">
        <f>B18-(C18*(2045-2025))</f>
        <v>137.03</v>
      </c>
      <c r="AC18" s="4">
        <f>B18-(C18*(2050-2025))</f>
        <v>136.53</v>
      </c>
    </row>
    <row r="19" spans="1:29" x14ac:dyDescent="0.35">
      <c r="A19" s="2" t="s">
        <v>36</v>
      </c>
      <c r="B19" s="2">
        <v>75459.38</v>
      </c>
      <c r="C19" s="2">
        <v>3.39</v>
      </c>
      <c r="D19" s="7">
        <v>2538.88</v>
      </c>
      <c r="E19" s="2">
        <v>2114.86</v>
      </c>
      <c r="F19" s="2">
        <v>1275.748</v>
      </c>
      <c r="G19" s="2">
        <v>759.01189999999997</v>
      </c>
      <c r="H19" s="2">
        <v>470.53609999999998</v>
      </c>
      <c r="I19" s="2">
        <v>391.88569999999999</v>
      </c>
      <c r="J19" s="8"/>
      <c r="K19" s="7">
        <f>B19-C19*(2030-2025)</f>
        <v>75442.430000000008</v>
      </c>
      <c r="L19" s="7">
        <f>B19-C19*(2035-2025)</f>
        <v>75425.48000000001</v>
      </c>
      <c r="M19" s="7">
        <f>B19-C19*(2040-2025)</f>
        <v>75408.53</v>
      </c>
      <c r="N19" s="7">
        <f>B19-C19*(2045-2025)</f>
        <v>75391.58</v>
      </c>
      <c r="O19" s="7">
        <f>B19-C19*(2050-2025)</f>
        <v>75374.63</v>
      </c>
      <c r="Q19" s="7">
        <f>(C19/D19)*100</f>
        <v>0.13352344340811698</v>
      </c>
      <c r="R19" s="7">
        <f>((C19*(2030-2025))/E19)*100</f>
        <v>0.80147149220279346</v>
      </c>
      <c r="S19" s="7">
        <f>((C19*(2035-2025))/F19)*100</f>
        <v>2.6572646008459349</v>
      </c>
      <c r="T19" s="7">
        <f>((C19*(2040-2025))/G19)*100</f>
        <v>6.6994997048135874</v>
      </c>
      <c r="U19" s="7">
        <f>((C19*(2045-2025))/H19)*100</f>
        <v>14.409096347761627</v>
      </c>
      <c r="V19" s="7">
        <f>((C19*(2050-2025))/I19)*100</f>
        <v>21.626203762984971</v>
      </c>
      <c r="X19" s="4">
        <f>B19</f>
        <v>75459.38</v>
      </c>
      <c r="Y19" s="4">
        <f>B19-(C19*(2030-2025))</f>
        <v>75442.430000000008</v>
      </c>
      <c r="Z19" s="4">
        <f>B19-(C19*(2035-2025))</f>
        <v>75425.48000000001</v>
      </c>
      <c r="AA19" s="4">
        <f>B19-(C19*(2040-2025))</f>
        <v>75408.53</v>
      </c>
      <c r="AB19" s="4">
        <f>B19-(C19*(2045-2025))</f>
        <v>75391.58</v>
      </c>
      <c r="AC19" s="4">
        <f>B19-(C19*(2050-2025))</f>
        <v>75374.63</v>
      </c>
    </row>
    <row r="20" spans="1:29" x14ac:dyDescent="0.35">
      <c r="A20" s="2" t="s">
        <v>56</v>
      </c>
      <c r="B20" s="2">
        <v>2185.7600000000002</v>
      </c>
      <c r="C20" s="2">
        <v>0.16</v>
      </c>
      <c r="D20" s="7">
        <v>4514.6000000000004</v>
      </c>
      <c r="E20" s="2">
        <v>3900.9960000000001</v>
      </c>
      <c r="F20" s="2">
        <v>2704.848</v>
      </c>
      <c r="G20" s="2">
        <v>1300.2919999999999</v>
      </c>
      <c r="H20" s="2">
        <v>1008.396</v>
      </c>
      <c r="I20" s="2">
        <v>1070.7950000000001</v>
      </c>
      <c r="J20" s="8"/>
      <c r="K20" s="7">
        <f>B20-C20*(2030-2025)</f>
        <v>2184.96</v>
      </c>
      <c r="L20" s="7">
        <f>B20-C20*(2035-2025)</f>
        <v>2184.1600000000003</v>
      </c>
      <c r="M20" s="7">
        <f>B20-C20*(2040-2025)</f>
        <v>2183.36</v>
      </c>
      <c r="N20" s="7">
        <f>B20-C20*(2045-2025)</f>
        <v>2182.5600000000004</v>
      </c>
      <c r="O20" s="7">
        <f>B20-C20*(2050-2025)</f>
        <v>2181.7600000000002</v>
      </c>
      <c r="Q20" s="7">
        <f>(C20/D20)*100</f>
        <v>3.5440570593186548E-3</v>
      </c>
      <c r="R20" s="7">
        <f>((C20*(2030-2025))/E20)*100</f>
        <v>2.0507583191574665E-2</v>
      </c>
      <c r="S20" s="7">
        <f>((C20*(2035-2025))/F20)*100</f>
        <v>5.9153046677669137E-2</v>
      </c>
      <c r="T20" s="7">
        <f>((C20*(2040-2025))/G20)*100</f>
        <v>0.18457392647190016</v>
      </c>
      <c r="U20" s="7">
        <f>((C20*(2045-2025))/H20)*100</f>
        <v>0.31733564988357754</v>
      </c>
      <c r="V20" s="7">
        <f>((C20*(2050-2025))/I20)*100</f>
        <v>0.37355422840039409</v>
      </c>
      <c r="X20" s="4">
        <f>B20</f>
        <v>2185.7600000000002</v>
      </c>
      <c r="Y20" s="4">
        <f>B20-(C20*(2030-2025))</f>
        <v>2184.96</v>
      </c>
      <c r="Z20" s="4">
        <f>B20-(C20*(2035-2025))</f>
        <v>2184.1600000000003</v>
      </c>
      <c r="AA20" s="4">
        <f>B20-(C20*(2040-2025))</f>
        <v>2183.36</v>
      </c>
      <c r="AB20" s="4">
        <f>B20-(C20*(2045-2025))</f>
        <v>2182.5600000000004</v>
      </c>
      <c r="AC20" s="4">
        <f>B20-(C20*(2050-2025))</f>
        <v>2181.7600000000002</v>
      </c>
    </row>
    <row r="21" spans="1:29" x14ac:dyDescent="0.35">
      <c r="A21" s="2" t="s">
        <v>17</v>
      </c>
      <c r="B21" s="2">
        <v>41735.550000000003</v>
      </c>
      <c r="C21" s="2">
        <v>13.17</v>
      </c>
      <c r="D21" s="7">
        <v>1320.22</v>
      </c>
      <c r="E21" s="2">
        <v>918.30449999999996</v>
      </c>
      <c r="F21" s="2">
        <v>339.93029999999999</v>
      </c>
      <c r="G21" s="2">
        <v>711.71220000000005</v>
      </c>
      <c r="H21" s="2">
        <v>346.99700000000001</v>
      </c>
      <c r="I21" s="2">
        <v>261.99209999999999</v>
      </c>
      <c r="J21" s="8"/>
      <c r="K21" s="7">
        <f>B21-C21*(2030-2025)</f>
        <v>41669.700000000004</v>
      </c>
      <c r="L21" s="7">
        <f>B21-C21*(2035-2025)</f>
        <v>41603.850000000006</v>
      </c>
      <c r="M21" s="7">
        <f>B21-C21*(2040-2025)</f>
        <v>41538</v>
      </c>
      <c r="N21" s="7">
        <f>B21-C21*(2045-2025)</f>
        <v>41472.15</v>
      </c>
      <c r="O21" s="7">
        <f>B21-C21*(2050-2025)</f>
        <v>41406.300000000003</v>
      </c>
      <c r="Q21" s="7">
        <f>(C21/D21)*100</f>
        <v>0.99756101255851304</v>
      </c>
      <c r="R21" s="7">
        <f>((C21*(2030-2025))/E21)*100</f>
        <v>7.1708240567262811</v>
      </c>
      <c r="S21" s="7">
        <f>((C21*(2035-2025))/F21)*100</f>
        <v>38.743236481125685</v>
      </c>
      <c r="T21" s="7">
        <f>((C21*(2040-2025))/G21)*100</f>
        <v>27.757006273041267</v>
      </c>
      <c r="U21" s="7">
        <f>((C21*(2045-2025))/H21)*100</f>
        <v>75.908437248737016</v>
      </c>
      <c r="V21" s="7">
        <f>((C21*(2050-2025))/I21)*100</f>
        <v>125.67172826966922</v>
      </c>
      <c r="X21" s="4">
        <f>B21</f>
        <v>41735.550000000003</v>
      </c>
      <c r="Y21" s="4">
        <f>B21-(C21*(2030-2025))</f>
        <v>41669.700000000004</v>
      </c>
      <c r="Z21" s="4">
        <f>B21-(C21*(2035-2025))</f>
        <v>41603.850000000006</v>
      </c>
      <c r="AA21" s="4">
        <f>B21-(C21*(2040-2025))</f>
        <v>41538</v>
      </c>
      <c r="AB21" s="4">
        <f>B21-(C21*(2045-2025))</f>
        <v>41472.15</v>
      </c>
      <c r="AC21" s="4">
        <f>B21-(C21*(2050-2025))</f>
        <v>41406.300000000003</v>
      </c>
    </row>
    <row r="22" spans="1:29" x14ac:dyDescent="0.35">
      <c r="A22" s="2" t="s">
        <v>18</v>
      </c>
      <c r="B22" s="2">
        <v>167.69</v>
      </c>
      <c r="C22" s="2">
        <v>15</v>
      </c>
      <c r="D22" s="7">
        <v>3762.54</v>
      </c>
      <c r="E22" s="2">
        <v>3592.19</v>
      </c>
      <c r="F22" s="2">
        <v>2948.12</v>
      </c>
      <c r="G22" s="2">
        <v>1780.6890000000001</v>
      </c>
      <c r="H22" s="2">
        <v>574.745</v>
      </c>
      <c r="I22" s="2">
        <v>226.85839999999999</v>
      </c>
      <c r="J22" s="8"/>
      <c r="K22" s="7">
        <f>B22-C22*(2030-2025)</f>
        <v>92.69</v>
      </c>
      <c r="L22" s="7">
        <f>B22-C22*(2035-2025)</f>
        <v>17.689999999999998</v>
      </c>
      <c r="M22" s="7">
        <f>B22-C22*(2040-2025)</f>
        <v>-57.31</v>
      </c>
      <c r="N22" s="7">
        <f>B22-C22*(2045-2025)</f>
        <v>-132.31</v>
      </c>
      <c r="O22" s="7">
        <f>B22-C22*(2050-2025)</f>
        <v>-207.31</v>
      </c>
      <c r="Q22" s="7">
        <f>(C22/D22)*100</f>
        <v>0.39866685802675855</v>
      </c>
      <c r="R22" s="7">
        <f>((C22*(2030-2025))/E22)*100</f>
        <v>2.0878628357631417</v>
      </c>
      <c r="S22" s="7">
        <f>((C22*(2035-2025))/F22)*100</f>
        <v>5.0879882772750094</v>
      </c>
      <c r="T22" s="7">
        <f>((C22*(2040-2025))/G22)*100</f>
        <v>12.635558483261253</v>
      </c>
      <c r="U22" s="7">
        <f>((C22*(2045-2025))/H22)*100</f>
        <v>52.1970613054485</v>
      </c>
      <c r="V22" s="7">
        <f>((C22*(2050-2025))/I22)*100</f>
        <v>165.30135097488125</v>
      </c>
      <c r="X22" s="4">
        <f>B22</f>
        <v>167.69</v>
      </c>
      <c r="Y22" s="4">
        <f>B22-(C22*(2030-2025))</f>
        <v>92.69</v>
      </c>
      <c r="Z22" s="4">
        <f>B22-(C22*(2035-2025))</f>
        <v>17.689999999999998</v>
      </c>
      <c r="AA22" s="4">
        <f>B22-(C22*(2040-2025))</f>
        <v>-57.31</v>
      </c>
      <c r="AB22" s="4">
        <f>B22-(C22*(2045-2025))</f>
        <v>-132.31</v>
      </c>
      <c r="AC22" s="4">
        <f>B22-(C22*(2050-2025))</f>
        <v>-207.31</v>
      </c>
    </row>
    <row r="23" spans="1:29" x14ac:dyDescent="0.35">
      <c r="A23" s="2" t="s">
        <v>19</v>
      </c>
      <c r="B23" s="2">
        <v>12715.7</v>
      </c>
      <c r="C23" s="2">
        <v>0.11</v>
      </c>
      <c r="D23" s="7">
        <v>3631.23</v>
      </c>
      <c r="E23" s="2">
        <v>3277.3310000000001</v>
      </c>
      <c r="F23" s="2">
        <v>2671.7370000000001</v>
      </c>
      <c r="G23" s="2">
        <v>1398.884</v>
      </c>
      <c r="H23" s="2">
        <v>833.03769999999997</v>
      </c>
      <c r="I23" s="2">
        <v>616.47199999999998</v>
      </c>
      <c r="J23" s="8"/>
      <c r="K23" s="7">
        <f>B23-C23*(2030-2025)</f>
        <v>12715.150000000001</v>
      </c>
      <c r="L23" s="7">
        <f>B23-C23*(2035-2025)</f>
        <v>12714.6</v>
      </c>
      <c r="M23" s="7">
        <f>B23-C23*(2040-2025)</f>
        <v>12714.050000000001</v>
      </c>
      <c r="N23" s="7">
        <f>B23-C23*(2045-2025)</f>
        <v>12713.5</v>
      </c>
      <c r="O23" s="7">
        <f>B23-C23*(2050-2025)</f>
        <v>12712.95</v>
      </c>
      <c r="Q23" s="7">
        <f>(C23/D23)*100</f>
        <v>3.0292765812135283E-3</v>
      </c>
      <c r="R23" s="7">
        <f>((C23*(2030-2025))/E23)*100</f>
        <v>1.6781948481859172E-2</v>
      </c>
      <c r="S23" s="7">
        <f>((C23*(2035-2025))/F23)*100</f>
        <v>4.1171717126348886E-2</v>
      </c>
      <c r="T23" s="7">
        <f>((C23*(2040-2025))/G23)*100</f>
        <v>0.11795116678723896</v>
      </c>
      <c r="U23" s="7">
        <f>((C23*(2045-2025))/H23)*100</f>
        <v>0.26409368987742093</v>
      </c>
      <c r="V23" s="7">
        <f>((C23*(2050-2025))/I23)*100</f>
        <v>0.44608676468679848</v>
      </c>
      <c r="X23" s="4">
        <f>B23</f>
        <v>12715.7</v>
      </c>
      <c r="Y23" s="4">
        <f>B23-(C23*(2030-2025))</f>
        <v>12715.150000000001</v>
      </c>
      <c r="Z23" s="4">
        <f>B23-(C23*(2035-2025))</f>
        <v>12714.6</v>
      </c>
      <c r="AA23" s="4">
        <f>B23-(C23*(2040-2025))</f>
        <v>12714.050000000001</v>
      </c>
      <c r="AB23" s="4">
        <f>B23-(C23*(2045-2025))</f>
        <v>12713.5</v>
      </c>
      <c r="AC23" s="4">
        <f>B23-(C23*(2050-2025))</f>
        <v>12712.95</v>
      </c>
    </row>
    <row r="24" spans="1:29" x14ac:dyDescent="0.35">
      <c r="A24" s="2" t="s">
        <v>20</v>
      </c>
      <c r="B24" s="2">
        <v>5949.52</v>
      </c>
      <c r="C24" s="2">
        <v>0.1</v>
      </c>
      <c r="D24" s="7">
        <v>3884.05</v>
      </c>
      <c r="E24" s="2">
        <v>3505.4780000000001</v>
      </c>
      <c r="F24" s="2">
        <v>2203.683</v>
      </c>
      <c r="G24" s="2">
        <v>1000.838</v>
      </c>
      <c r="H24" s="2">
        <v>1202.2339999999999</v>
      </c>
      <c r="I24" s="2">
        <v>1014.024</v>
      </c>
      <c r="J24" s="8"/>
      <c r="K24" s="7">
        <f>B24-C24*(2030-2025)</f>
        <v>5949.02</v>
      </c>
      <c r="L24" s="7">
        <f>B24-C24*(2035-2025)</f>
        <v>5948.52</v>
      </c>
      <c r="M24" s="7">
        <f>B24-C24*(2040-2025)</f>
        <v>5948.02</v>
      </c>
      <c r="N24" s="7">
        <f>B24-C24*(2045-2025)</f>
        <v>5947.52</v>
      </c>
      <c r="O24" s="7">
        <f>B24-C24*(2050-2025)</f>
        <v>5947.02</v>
      </c>
      <c r="Q24" s="7">
        <f>(C24/D24)*100</f>
        <v>2.5746321494316501E-3</v>
      </c>
      <c r="R24" s="7">
        <f>((C24*(2030-2025))/E24)*100</f>
        <v>1.4263390042670358E-2</v>
      </c>
      <c r="S24" s="7">
        <f>((C24*(2035-2025))/F24)*100</f>
        <v>4.5378577590334E-2</v>
      </c>
      <c r="T24" s="7">
        <f>((C24*(2040-2025))/G24)*100</f>
        <v>0.14987440524840184</v>
      </c>
      <c r="U24" s="7">
        <f>((C24*(2045-2025))/H24)*100</f>
        <v>0.16635696544932185</v>
      </c>
      <c r="V24" s="7">
        <f>((C24*(2050-2025))/I24)*100</f>
        <v>0.24654248814623717</v>
      </c>
      <c r="X24" s="4">
        <f>B24</f>
        <v>5949.52</v>
      </c>
      <c r="Y24" s="4">
        <f>B24-(C24*(2030-2025))</f>
        <v>5949.02</v>
      </c>
      <c r="Z24" s="4">
        <f>B24-(C24*(2035-2025))</f>
        <v>5948.52</v>
      </c>
      <c r="AA24" s="4">
        <f>B24-(C24*(2040-2025))</f>
        <v>5948.02</v>
      </c>
      <c r="AB24" s="4">
        <f>B24-(C24*(2045-2025))</f>
        <v>5947.52</v>
      </c>
      <c r="AC24" s="4">
        <f>B24-(C24*(2050-2025))</f>
        <v>5947.02</v>
      </c>
    </row>
    <row r="25" spans="1:29" x14ac:dyDescent="0.35">
      <c r="A25" s="2" t="s">
        <v>21</v>
      </c>
      <c r="B25" s="2">
        <v>0</v>
      </c>
      <c r="C25" s="2">
        <v>0</v>
      </c>
      <c r="D25" s="7">
        <v>2948.21</v>
      </c>
      <c r="E25" s="2">
        <v>3689.6709999999998</v>
      </c>
      <c r="F25" s="2">
        <v>2890.6010000000001</v>
      </c>
      <c r="G25" s="2">
        <v>2061.6</v>
      </c>
      <c r="H25" s="2">
        <v>700.62099999999998</v>
      </c>
      <c r="I25" s="2">
        <v>342.09359999999998</v>
      </c>
      <c r="J25" s="8"/>
      <c r="K25" s="7">
        <f>B25-C25*(2030-2025)</f>
        <v>0</v>
      </c>
      <c r="L25" s="7">
        <f>B25-C25*(2035-2025)</f>
        <v>0</v>
      </c>
      <c r="M25" s="7">
        <f>B25-C25*(2040-2025)</f>
        <v>0</v>
      </c>
      <c r="N25" s="7">
        <f>B25-C25*(2045-2025)</f>
        <v>0</v>
      </c>
      <c r="O25" s="7">
        <f>B25-C25*(2050-2025)</f>
        <v>0</v>
      </c>
      <c r="Q25" s="7">
        <f>(C25/D25)*100</f>
        <v>0</v>
      </c>
      <c r="R25" s="7">
        <f>((C25*(2030-2025))/E25)*100</f>
        <v>0</v>
      </c>
      <c r="S25" s="7">
        <f>((C25*(2035-2025))/F25)*100</f>
        <v>0</v>
      </c>
      <c r="T25" s="7">
        <f>((C25*(2040-2025))/G25)*100</f>
        <v>0</v>
      </c>
      <c r="U25" s="7">
        <f>((C25*(2045-2025))/H25)*100</f>
        <v>0</v>
      </c>
      <c r="V25" s="7">
        <f>((C25*(2050-2025))/I25)*100</f>
        <v>0</v>
      </c>
      <c r="X25" s="4">
        <f>B25</f>
        <v>0</v>
      </c>
      <c r="Y25" s="4">
        <f>B25-(C25*(2030-2025))</f>
        <v>0</v>
      </c>
      <c r="Z25" s="4">
        <f>B25-(C25*(2035-2025))</f>
        <v>0</v>
      </c>
      <c r="AA25" s="4">
        <f>B25-(C25*(2040-2025))</f>
        <v>0</v>
      </c>
      <c r="AB25" s="4">
        <f>B25-(C25*(2045-2025))</f>
        <v>0</v>
      </c>
      <c r="AC25" s="4">
        <f>B25-(C25*(2050-2025))</f>
        <v>0</v>
      </c>
    </row>
    <row r="26" spans="1:29" x14ac:dyDescent="0.35">
      <c r="A26" s="2" t="s">
        <v>22</v>
      </c>
      <c r="B26" s="2">
        <v>28086.32</v>
      </c>
      <c r="C26" s="2">
        <v>0.01</v>
      </c>
      <c r="D26" s="7">
        <v>590.58799999999997</v>
      </c>
      <c r="E26" s="2">
        <v>454.0111</v>
      </c>
      <c r="F26" s="2">
        <v>356.1728</v>
      </c>
      <c r="G26" s="2">
        <v>290.12700000000001</v>
      </c>
      <c r="H26" s="2">
        <v>205.25649999999999</v>
      </c>
      <c r="I26" s="2">
        <v>115.8563</v>
      </c>
      <c r="J26" s="8"/>
      <c r="K26" s="7">
        <f>B26-C26*(2030-2025)</f>
        <v>28086.27</v>
      </c>
      <c r="L26" s="7">
        <f>B26-C26*(2035-2025)</f>
        <v>28086.22</v>
      </c>
      <c r="M26" s="7">
        <f>B26-C26*(2040-2025)</f>
        <v>28086.17</v>
      </c>
      <c r="N26" s="7">
        <f>B26-C26*(2045-2025)</f>
        <v>28086.12</v>
      </c>
      <c r="O26" s="7">
        <f>B26-C26*(2050-2025)</f>
        <v>28086.07</v>
      </c>
      <c r="Q26" s="7">
        <f>(C26/D26)*100</f>
        <v>1.6932277662262017E-3</v>
      </c>
      <c r="R26" s="7">
        <f>((C26*(2030-2025))/E26)*100</f>
        <v>1.101294659976375E-2</v>
      </c>
      <c r="S26" s="7">
        <f>((C26*(2035-2025))/F26)*100</f>
        <v>2.8076259613311293E-2</v>
      </c>
      <c r="T26" s="7">
        <f>((C26*(2040-2025))/G26)*100</f>
        <v>5.1701496241301222E-2</v>
      </c>
      <c r="U26" s="7">
        <f>((C26*(2045-2025))/H26)*100</f>
        <v>9.7439057959187669E-2</v>
      </c>
      <c r="V26" s="7">
        <f>((C26*(2050-2025))/I26)*100</f>
        <v>0.21578455379638395</v>
      </c>
      <c r="X26" s="4">
        <f>B26</f>
        <v>28086.32</v>
      </c>
      <c r="Y26" s="4">
        <f>B26-(C26*(2030-2025))</f>
        <v>28086.27</v>
      </c>
      <c r="Z26" s="4">
        <f>B26-(C26*(2035-2025))</f>
        <v>28086.22</v>
      </c>
      <c r="AA26" s="4">
        <f>B26-(C26*(2040-2025))</f>
        <v>28086.17</v>
      </c>
      <c r="AB26" s="4">
        <f>B26-(C26*(2045-2025))</f>
        <v>28086.12</v>
      </c>
      <c r="AC26" s="4">
        <f>B26-(C26*(2050-2025))</f>
        <v>28086.07</v>
      </c>
    </row>
    <row r="27" spans="1:29" x14ac:dyDescent="0.35">
      <c r="A27" s="2" t="s">
        <v>23</v>
      </c>
      <c r="B27" s="2">
        <v>10298.94</v>
      </c>
      <c r="C27" s="2">
        <v>88.41</v>
      </c>
      <c r="D27" s="7">
        <v>4269.97</v>
      </c>
      <c r="E27" s="2">
        <v>4636.808</v>
      </c>
      <c r="F27" s="2">
        <v>4075.4119999999998</v>
      </c>
      <c r="G27" s="2">
        <v>3229.7979999999998</v>
      </c>
      <c r="H27" s="2">
        <v>1994.145</v>
      </c>
      <c r="I27" s="2">
        <v>1573.5129999999999</v>
      </c>
      <c r="J27" s="8"/>
      <c r="K27" s="7">
        <f>B27-C27*(2030-2025)</f>
        <v>9856.8900000000012</v>
      </c>
      <c r="L27" s="7">
        <f>B27-C27*(2035-2025)</f>
        <v>9414.84</v>
      </c>
      <c r="M27" s="7">
        <f>B27-C27*(2040-2025)</f>
        <v>8972.7900000000009</v>
      </c>
      <c r="N27" s="7">
        <f>B27-C27*(2045-2025)</f>
        <v>8530.7400000000016</v>
      </c>
      <c r="O27" s="7">
        <f>B27-C27*(2050-2025)</f>
        <v>8088.6900000000005</v>
      </c>
      <c r="Q27" s="7">
        <f>(C27/D27)*100</f>
        <v>2.0705063501617103</v>
      </c>
      <c r="R27" s="7">
        <f>((C27*(2030-2025))/E27)*100</f>
        <v>9.5334980443442969</v>
      </c>
      <c r="S27" s="7">
        <f>((C27*(2035-2025))/F27)*100</f>
        <v>21.693512214225212</v>
      </c>
      <c r="T27" s="7">
        <f>((C27*(2040-2025))/G27)*100</f>
        <v>41.059843371009578</v>
      </c>
      <c r="U27" s="7">
        <f>((C27*(2045-2025))/H27)*100</f>
        <v>88.669580196023858</v>
      </c>
      <c r="V27" s="7">
        <f>((C27*(2050-2025))/I27)*100</f>
        <v>140.46595102804997</v>
      </c>
      <c r="X27" s="4">
        <f>B27</f>
        <v>10298.94</v>
      </c>
      <c r="Y27" s="4">
        <f>B27-(C27*(2030-2025))</f>
        <v>9856.8900000000012</v>
      </c>
      <c r="Z27" s="4">
        <f>B27-(C27*(2035-2025))</f>
        <v>9414.84</v>
      </c>
      <c r="AA27" s="4">
        <f>B27-(C27*(2040-2025))</f>
        <v>8972.7900000000009</v>
      </c>
      <c r="AB27" s="4">
        <f>B27-(C27*(2045-2025))</f>
        <v>8530.7400000000016</v>
      </c>
      <c r="AC27" s="4">
        <f>B27-(C27*(2050-2025))</f>
        <v>8088.6900000000005</v>
      </c>
    </row>
    <row r="28" spans="1:29" x14ac:dyDescent="0.35">
      <c r="A28" s="2" t="s">
        <v>37</v>
      </c>
      <c r="B28" s="2">
        <v>0</v>
      </c>
      <c r="C28" s="2">
        <v>0</v>
      </c>
      <c r="D28" s="7">
        <v>373.81799999999998</v>
      </c>
      <c r="E28" s="2">
        <v>267.6379</v>
      </c>
      <c r="F28" s="2">
        <v>162.44120000000001</v>
      </c>
      <c r="G28" s="2">
        <v>187.64619999999999</v>
      </c>
      <c r="H28" s="2">
        <v>99.86054</v>
      </c>
      <c r="I28" s="2">
        <v>49.902419999999999</v>
      </c>
      <c r="J28" s="8"/>
      <c r="K28" s="7">
        <f>B28-C28*(2030-2025)</f>
        <v>0</v>
      </c>
      <c r="L28" s="7">
        <f>B28-C28*(2035-2025)</f>
        <v>0</v>
      </c>
      <c r="M28" s="7">
        <f>B28-C28*(2040-2025)</f>
        <v>0</v>
      </c>
      <c r="N28" s="7">
        <f>B28-C28*(2045-2025)</f>
        <v>0</v>
      </c>
      <c r="O28" s="7">
        <f>B28-C28*(2050-2025)</f>
        <v>0</v>
      </c>
      <c r="Q28" s="7">
        <f>(C28/D28)*100</f>
        <v>0</v>
      </c>
      <c r="R28" s="7">
        <f>((C28*(2030-2025))/E28)*100</f>
        <v>0</v>
      </c>
      <c r="S28" s="7">
        <f>((C28*(2035-2025))/F28)*100</f>
        <v>0</v>
      </c>
      <c r="T28" s="7">
        <f>((C28*(2040-2025))/G28)*100</f>
        <v>0</v>
      </c>
      <c r="U28" s="7">
        <f>((C28*(2045-2025))/H28)*100</f>
        <v>0</v>
      </c>
      <c r="V28" s="7">
        <f>((C28*(2050-2025))/I28)*100</f>
        <v>0</v>
      </c>
      <c r="X28" s="4">
        <f>B28</f>
        <v>0</v>
      </c>
      <c r="Y28" s="4">
        <f>B28-(C28*(2030-2025))</f>
        <v>0</v>
      </c>
      <c r="Z28" s="4">
        <f>B28-(C28*(2035-2025))</f>
        <v>0</v>
      </c>
      <c r="AA28" s="4">
        <f>B28-(C28*(2040-2025))</f>
        <v>0</v>
      </c>
      <c r="AB28" s="4">
        <f>B28-(C28*(2045-2025))</f>
        <v>0</v>
      </c>
      <c r="AC28" s="4">
        <f>B28-(C28*(2050-2025))</f>
        <v>0</v>
      </c>
    </row>
    <row r="29" spans="1:29" x14ac:dyDescent="0.35">
      <c r="A29" s="2" t="s">
        <v>38</v>
      </c>
      <c r="B29" s="2">
        <v>361192.21</v>
      </c>
      <c r="C29" s="2">
        <v>7.38</v>
      </c>
      <c r="D29" s="7">
        <v>3630.85</v>
      </c>
      <c r="E29" s="2">
        <v>3006.386</v>
      </c>
      <c r="F29" s="2">
        <v>2519.7510000000002</v>
      </c>
      <c r="G29" s="2">
        <v>1596.6780000000001</v>
      </c>
      <c r="H29" s="2">
        <v>783.10389999999995</v>
      </c>
      <c r="I29" s="2">
        <v>647.18939999999998</v>
      </c>
      <c r="J29" s="8"/>
      <c r="K29" s="7">
        <f>B29-C29*(2030-2025)</f>
        <v>361155.31</v>
      </c>
      <c r="L29" s="7">
        <f>B29-C29*(2035-2025)</f>
        <v>361118.41000000003</v>
      </c>
      <c r="M29" s="7">
        <f>B29-C29*(2040-2025)</f>
        <v>361081.51</v>
      </c>
      <c r="N29" s="7">
        <f>B29-C29*(2045-2025)</f>
        <v>361044.61000000004</v>
      </c>
      <c r="O29" s="7">
        <f>B29-C29*(2050-2025)</f>
        <v>361007.71</v>
      </c>
      <c r="Q29" s="7">
        <f>(C29/D29)*100</f>
        <v>0.20325819023093764</v>
      </c>
      <c r="R29" s="7">
        <f>((C29*(2030-2025))/E29)*100</f>
        <v>1.2273873015640706</v>
      </c>
      <c r="S29" s="7">
        <f>((C29*(2035-2025))/F29)*100</f>
        <v>2.9288608279151389</v>
      </c>
      <c r="T29" s="7">
        <f>((C29*(2040-2025))/G29)*100</f>
        <v>6.933144942186213</v>
      </c>
      <c r="U29" s="7">
        <f>((C29*(2045-2025))/H29)*100</f>
        <v>18.848073671961028</v>
      </c>
      <c r="V29" s="7">
        <f>((C29*(2050-2025))/I29)*100</f>
        <v>28.507883472751562</v>
      </c>
      <c r="X29" s="4">
        <f>B29</f>
        <v>361192.21</v>
      </c>
      <c r="Y29" s="4">
        <f>B29-(C29*(2030-2025))</f>
        <v>361155.31</v>
      </c>
      <c r="Z29" s="4">
        <f>B29-(C29*(2035-2025))</f>
        <v>361118.41000000003</v>
      </c>
      <c r="AA29" s="4">
        <f>B29-(C29*(2040-2025))</f>
        <v>361081.51</v>
      </c>
      <c r="AB29" s="4">
        <f>B29-(C29*(2045-2025))</f>
        <v>361044.61000000004</v>
      </c>
      <c r="AC29" s="4">
        <f>B29-(C29*(2050-2025))</f>
        <v>361007.71</v>
      </c>
    </row>
    <row r="30" spans="1:29" x14ac:dyDescent="0.35">
      <c r="A30" s="2" t="s">
        <v>24</v>
      </c>
      <c r="B30" s="2">
        <v>364.6</v>
      </c>
      <c r="C30" s="2">
        <v>0.02</v>
      </c>
      <c r="D30" s="7">
        <v>763.97299999999996</v>
      </c>
      <c r="E30" s="2">
        <v>843.55870000000004</v>
      </c>
      <c r="F30" s="2">
        <v>613.38869999999997</v>
      </c>
      <c r="G30" s="2">
        <v>398.93110000000001</v>
      </c>
      <c r="H30" s="2">
        <v>155.87790000000001</v>
      </c>
      <c r="I30" s="2">
        <v>62.975589999999997</v>
      </c>
      <c r="J30" s="8"/>
      <c r="K30" s="7">
        <f>B30-C30*(2030-2025)</f>
        <v>364.5</v>
      </c>
      <c r="L30" s="7">
        <f>B30-C30*(2035-2025)</f>
        <v>364.40000000000003</v>
      </c>
      <c r="M30" s="7">
        <f>B30-C30*(2040-2025)</f>
        <v>364.3</v>
      </c>
      <c r="N30" s="7">
        <f>B30-C30*(2045-2025)</f>
        <v>364.20000000000005</v>
      </c>
      <c r="O30" s="7">
        <f>B30-C30*(2050-2025)</f>
        <v>364.1</v>
      </c>
      <c r="Q30" s="7">
        <f>(C30/D30)*100</f>
        <v>2.6178935643013561E-3</v>
      </c>
      <c r="R30" s="7">
        <f>((C30*(2030-2025))/E30)*100</f>
        <v>1.1854539583315305E-2</v>
      </c>
      <c r="S30" s="7">
        <f>((C30*(2035-2025))/F30)*100</f>
        <v>3.2605752274210469E-2</v>
      </c>
      <c r="T30" s="7">
        <f>((C30*(2040-2025))/G30)*100</f>
        <v>7.5200955754013657E-2</v>
      </c>
      <c r="U30" s="7">
        <f>((C30*(2045-2025))/H30)*100</f>
        <v>0.25661110394738446</v>
      </c>
      <c r="V30" s="7">
        <f>((C30*(2050-2025))/I30)*100</f>
        <v>0.79395842103265735</v>
      </c>
      <c r="X30" s="4">
        <f>B30</f>
        <v>364.6</v>
      </c>
      <c r="Y30" s="4">
        <f>B30-(C30*(2030-2025))</f>
        <v>364.5</v>
      </c>
      <c r="Z30" s="4">
        <f>B30-(C30*(2035-2025))</f>
        <v>364.40000000000003</v>
      </c>
      <c r="AA30" s="4">
        <f>B30-(C30*(2040-2025))</f>
        <v>364.3</v>
      </c>
      <c r="AB30" s="4">
        <f>B30-(C30*(2045-2025))</f>
        <v>364.20000000000005</v>
      </c>
      <c r="AC30" s="4">
        <f>B30-(C30*(2050-2025))</f>
        <v>364.1</v>
      </c>
    </row>
    <row r="31" spans="1:29" x14ac:dyDescent="0.35">
      <c r="A31" s="2" t="s">
        <v>25</v>
      </c>
      <c r="B31" s="2">
        <v>0</v>
      </c>
      <c r="C31" s="2">
        <v>0</v>
      </c>
      <c r="D31" s="7">
        <v>2636.05</v>
      </c>
      <c r="E31" s="2">
        <v>2336.8310000000001</v>
      </c>
      <c r="F31" s="2">
        <v>1366.9079999999999</v>
      </c>
      <c r="G31" s="2">
        <v>884.21299999999997</v>
      </c>
      <c r="H31" s="2">
        <v>431.91579999999999</v>
      </c>
      <c r="I31" s="2">
        <v>265.30130000000003</v>
      </c>
      <c r="J31" s="8"/>
      <c r="K31" s="7">
        <f>B31-C31*(2030-2025)</f>
        <v>0</v>
      </c>
      <c r="L31" s="7">
        <f>B31-C31*(2035-2025)</f>
        <v>0</v>
      </c>
      <c r="M31" s="7">
        <f>B31-C31*(2040-2025)</f>
        <v>0</v>
      </c>
      <c r="N31" s="7">
        <f>B31-C31*(2045-2025)</f>
        <v>0</v>
      </c>
      <c r="O31" s="7">
        <f>B31-C31*(2050-2025)</f>
        <v>0</v>
      </c>
      <c r="Q31" s="7">
        <f>(C31/D31)*100</f>
        <v>0</v>
      </c>
      <c r="R31" s="7">
        <f>((C31*(2030-2025))/E31)*100</f>
        <v>0</v>
      </c>
      <c r="S31" s="7">
        <f>((C31*(2035-2025))/F31)*100</f>
        <v>0</v>
      </c>
      <c r="T31" s="7">
        <f>((C31*(2040-2025))/G31)*100</f>
        <v>0</v>
      </c>
      <c r="U31" s="7">
        <f>((C31*(2045-2025))/H31)*100</f>
        <v>0</v>
      </c>
      <c r="V31" s="7">
        <f>((C31*(2050-2025))/I31)*100</f>
        <v>0</v>
      </c>
      <c r="X31" s="4">
        <f>B31</f>
        <v>0</v>
      </c>
      <c r="Y31" s="4">
        <f>B31-(C31*(2030-2025))</f>
        <v>0</v>
      </c>
      <c r="Z31" s="4">
        <f>B31-(C31*(2035-2025))</f>
        <v>0</v>
      </c>
      <c r="AA31" s="4">
        <f>B31-(C31*(2040-2025))</f>
        <v>0</v>
      </c>
      <c r="AB31" s="4">
        <f>B31-(C31*(2045-2025))</f>
        <v>0</v>
      </c>
      <c r="AC31" s="4">
        <f>B31-(C31*(2050-2025))</f>
        <v>0</v>
      </c>
    </row>
    <row r="32" spans="1:29" x14ac:dyDescent="0.35">
      <c r="A32" s="2" t="s">
        <v>26</v>
      </c>
      <c r="B32" s="2">
        <v>8024.72</v>
      </c>
      <c r="C32" s="2">
        <v>0.01</v>
      </c>
      <c r="D32" s="7">
        <v>2727.67</v>
      </c>
      <c r="E32" s="2">
        <v>2075.529</v>
      </c>
      <c r="F32" s="2">
        <v>1349.722</v>
      </c>
      <c r="G32" s="2">
        <v>773.83199999999999</v>
      </c>
      <c r="H32" s="2">
        <v>451.86489999999998</v>
      </c>
      <c r="I32" s="2">
        <v>526.82249999999999</v>
      </c>
      <c r="J32" s="8"/>
      <c r="K32" s="7">
        <f>B32-C32*(2030-2025)</f>
        <v>8024.67</v>
      </c>
      <c r="L32" s="7">
        <f>B32-C32*(2035-2025)</f>
        <v>8024.62</v>
      </c>
      <c r="M32" s="7">
        <f>B32-C32*(2040-2025)</f>
        <v>8024.5700000000006</v>
      </c>
      <c r="N32" s="7">
        <f>B32-C32*(2045-2025)</f>
        <v>8024.52</v>
      </c>
      <c r="O32" s="7">
        <f>B32-C32*(2050-2025)</f>
        <v>8024.47</v>
      </c>
      <c r="Q32" s="7">
        <f>(C32/D32)*100</f>
        <v>3.6661326333464089E-4</v>
      </c>
      <c r="R32" s="7">
        <f>((C32*(2030-2025))/E32)*100</f>
        <v>2.4090243981172996E-3</v>
      </c>
      <c r="S32" s="7">
        <f>((C32*(2035-2025))/F32)*100</f>
        <v>7.4089330988159046E-3</v>
      </c>
      <c r="T32" s="7">
        <f>((C32*(2040-2025))/G32)*100</f>
        <v>1.938405235244859E-2</v>
      </c>
      <c r="U32" s="7">
        <f>((C32*(2045-2025))/H32)*100</f>
        <v>4.4261016954403855E-2</v>
      </c>
      <c r="V32" s="7">
        <f>((C32*(2050-2025))/I32)*100</f>
        <v>4.7454313359812837E-2</v>
      </c>
      <c r="X32" s="4">
        <f>B32</f>
        <v>8024.72</v>
      </c>
      <c r="Y32" s="4">
        <f>B32-(C32*(2030-2025))</f>
        <v>8024.67</v>
      </c>
      <c r="Z32" s="4">
        <f>B32-(C32*(2035-2025))</f>
        <v>8024.62</v>
      </c>
      <c r="AA32" s="4">
        <f>B32-(C32*(2040-2025))</f>
        <v>8024.5700000000006</v>
      </c>
      <c r="AB32" s="4">
        <f>B32-(C32*(2045-2025))</f>
        <v>8024.52</v>
      </c>
      <c r="AC32" s="4">
        <f>B32-(C32*(2050-2025))</f>
        <v>8024.47</v>
      </c>
    </row>
    <row r="33" spans="1:22" x14ac:dyDescent="0.35">
      <c r="A33" s="6"/>
      <c r="B33" s="6"/>
      <c r="C33" s="6"/>
      <c r="D33" s="7"/>
      <c r="E33" s="7"/>
      <c r="F33" s="7"/>
      <c r="G33" s="7"/>
      <c r="H33" s="7"/>
      <c r="I33" s="7"/>
      <c r="J33" s="8"/>
      <c r="K33" s="7"/>
      <c r="L33" s="7"/>
      <c r="M33" s="7"/>
      <c r="N33" s="7"/>
      <c r="O33" s="7"/>
      <c r="Q33" s="7"/>
      <c r="R33" s="7"/>
      <c r="S33" s="7"/>
      <c r="T33" s="7"/>
      <c r="U33" s="7"/>
      <c r="V33" s="7"/>
    </row>
    <row r="34" spans="1:22" x14ac:dyDescent="0.35">
      <c r="A34" s="6"/>
      <c r="B34" s="6"/>
      <c r="C34" s="6"/>
      <c r="D34" s="7"/>
      <c r="E34" s="7"/>
      <c r="F34" s="7"/>
      <c r="G34" s="7"/>
      <c r="H34" s="7"/>
      <c r="I34" s="7"/>
      <c r="J34" s="8"/>
      <c r="K34" s="7"/>
      <c r="L34" s="7"/>
      <c r="M34" s="7"/>
      <c r="N34" s="7"/>
      <c r="O34" s="7"/>
      <c r="Q34" s="7"/>
      <c r="R34" s="7"/>
      <c r="S34" s="7"/>
      <c r="T34" s="7"/>
      <c r="U34" s="7"/>
      <c r="V34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ACEN</dc:creator>
  <cp:lastModifiedBy>Daniel Olasehinde</cp:lastModifiedBy>
  <dcterms:created xsi:type="dcterms:W3CDTF">2025-07-18T23:26:48Z</dcterms:created>
  <dcterms:modified xsi:type="dcterms:W3CDTF">2025-10-17T13:58:46Z</dcterms:modified>
</cp:coreProperties>
</file>