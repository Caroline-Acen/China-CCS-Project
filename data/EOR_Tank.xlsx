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CS\data\"/>
    </mc:Choice>
  </mc:AlternateContent>
  <xr:revisionPtr revIDLastSave="0" documentId="13_ncr:1_{B04427AF-F92D-43E1-BFDA-23A0B60B7BE7}" xr6:coauthVersionLast="47" xr6:coauthVersionMax="47" xr10:uidLastSave="{00000000-0000-0000-0000-000000000000}"/>
  <bookViews>
    <workbookView xWindow="-98" yWindow="-98" windowWidth="19396" windowHeight="11475" xr2:uid="{DD3A6B1A-B09F-4147-AEBB-1ACB044CD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" i="1" l="1"/>
  <c r="P2" i="1"/>
  <c r="V2" i="1" s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AH82" i="1" s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AO105" i="1" s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AO128" i="1" s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AO153" i="1" s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AO169" i="1" s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AH202" i="1" s="1"/>
  <c r="U203" i="1"/>
  <c r="U204" i="1"/>
  <c r="U205" i="1"/>
  <c r="U206" i="1"/>
  <c r="U207" i="1"/>
  <c r="U208" i="1"/>
  <c r="AO208" i="1" s="1"/>
  <c r="U209" i="1"/>
  <c r="AO209" i="1" s="1"/>
  <c r="U210" i="1"/>
  <c r="AH210" i="1" s="1"/>
  <c r="U211" i="1"/>
  <c r="U212" i="1"/>
  <c r="U213" i="1"/>
  <c r="U214" i="1"/>
  <c r="U215" i="1"/>
  <c r="U216" i="1"/>
  <c r="AO216" i="1" s="1"/>
  <c r="U217" i="1"/>
  <c r="AO217" i="1" s="1"/>
  <c r="U218" i="1"/>
  <c r="AH218" i="1" s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AH298" i="1" s="1"/>
  <c r="U299" i="1"/>
  <c r="U300" i="1"/>
  <c r="U301" i="1"/>
  <c r="U302" i="1"/>
  <c r="U303" i="1"/>
  <c r="U304" i="1"/>
  <c r="U305" i="1"/>
  <c r="AO305" i="1" s="1"/>
  <c r="U306" i="1"/>
  <c r="U307" i="1"/>
  <c r="U308" i="1"/>
  <c r="U309" i="1"/>
  <c r="U310" i="1"/>
  <c r="U311" i="1"/>
  <c r="U312" i="1"/>
  <c r="AO312" i="1" s="1"/>
  <c r="U313" i="1"/>
  <c r="U314" i="1"/>
  <c r="U315" i="1"/>
  <c r="U316" i="1"/>
  <c r="U317" i="1"/>
  <c r="U318" i="1"/>
  <c r="U319" i="1"/>
  <c r="U320" i="1"/>
  <c r="U321" i="1"/>
  <c r="AO321" i="1" s="1"/>
  <c r="U322" i="1"/>
  <c r="U323" i="1"/>
  <c r="U324" i="1"/>
  <c r="U325" i="1"/>
  <c r="U326" i="1"/>
  <c r="U327" i="1"/>
  <c r="U328" i="1"/>
  <c r="U329" i="1"/>
  <c r="AO329" i="1" s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AO352" i="1" s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AO368" i="1" s="1"/>
  <c r="U369" i="1"/>
  <c r="AO369" i="1" s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AO416" i="1" s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AO713" i="1" s="1"/>
  <c r="U714" i="1"/>
  <c r="AH714" i="1" s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AO792" i="1" s="1"/>
  <c r="U793" i="1"/>
  <c r="U794" i="1"/>
  <c r="U795" i="1"/>
  <c r="U796" i="1"/>
  <c r="U797" i="1"/>
  <c r="U798" i="1"/>
  <c r="U799" i="1"/>
  <c r="U800" i="1"/>
  <c r="AO800" i="1" s="1"/>
  <c r="U801" i="1"/>
  <c r="AO801" i="1" s="1"/>
  <c r="U802" i="1"/>
  <c r="U803" i="1"/>
  <c r="U804" i="1"/>
  <c r="U805" i="1"/>
  <c r="U806" i="1"/>
  <c r="U807" i="1"/>
  <c r="U808" i="1"/>
  <c r="AO808" i="1" s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AO832" i="1" s="1"/>
  <c r="U833" i="1"/>
  <c r="U834" i="1"/>
  <c r="U835" i="1"/>
  <c r="U836" i="1"/>
  <c r="U837" i="1"/>
  <c r="U838" i="1"/>
  <c r="U839" i="1"/>
  <c r="U840" i="1"/>
  <c r="U841" i="1"/>
  <c r="AO841" i="1" s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AO896" i="1" s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AO912" i="1" s="1"/>
  <c r="U913" i="1"/>
  <c r="U914" i="1"/>
  <c r="AH914" i="1" s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AO945" i="1" s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AN82" i="1" s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Z105" i="1" s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AN128" i="1" s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Z153" i="1" s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Z169" i="1" s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AN194" i="1" s="1"/>
  <c r="T195" i="1"/>
  <c r="T196" i="1"/>
  <c r="T197" i="1"/>
  <c r="T198" i="1"/>
  <c r="T199" i="1"/>
  <c r="T200" i="1"/>
  <c r="T201" i="1"/>
  <c r="T202" i="1"/>
  <c r="AN202" i="1" s="1"/>
  <c r="T203" i="1"/>
  <c r="T204" i="1"/>
  <c r="T205" i="1"/>
  <c r="T206" i="1"/>
  <c r="T207" i="1"/>
  <c r="T208" i="1"/>
  <c r="AN208" i="1" s="1"/>
  <c r="T209" i="1"/>
  <c r="Z209" i="1" s="1"/>
  <c r="T210" i="1"/>
  <c r="AN210" i="1" s="1"/>
  <c r="T211" i="1"/>
  <c r="T212" i="1"/>
  <c r="T213" i="1"/>
  <c r="T214" i="1"/>
  <c r="T215" i="1"/>
  <c r="T216" i="1"/>
  <c r="AN216" i="1" s="1"/>
  <c r="T217" i="1"/>
  <c r="Z217" i="1" s="1"/>
  <c r="T218" i="1"/>
  <c r="AN218" i="1" s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AN298" i="1" s="1"/>
  <c r="T299" i="1"/>
  <c r="T300" i="1"/>
  <c r="T301" i="1"/>
  <c r="T302" i="1"/>
  <c r="T303" i="1"/>
  <c r="T304" i="1"/>
  <c r="T305" i="1"/>
  <c r="Z305" i="1" s="1"/>
  <c r="T306" i="1"/>
  <c r="T307" i="1"/>
  <c r="T308" i="1"/>
  <c r="T309" i="1"/>
  <c r="T310" i="1"/>
  <c r="T311" i="1"/>
  <c r="T312" i="1"/>
  <c r="AN312" i="1" s="1"/>
  <c r="T313" i="1"/>
  <c r="T314" i="1"/>
  <c r="T315" i="1"/>
  <c r="T316" i="1"/>
  <c r="T317" i="1"/>
  <c r="T318" i="1"/>
  <c r="T319" i="1"/>
  <c r="T320" i="1"/>
  <c r="T321" i="1"/>
  <c r="Z321" i="1" s="1"/>
  <c r="T322" i="1"/>
  <c r="T323" i="1"/>
  <c r="T324" i="1"/>
  <c r="T325" i="1"/>
  <c r="T326" i="1"/>
  <c r="T327" i="1"/>
  <c r="T328" i="1"/>
  <c r="T329" i="1"/>
  <c r="Z329" i="1" s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AN352" i="1" s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AN368" i="1" s="1"/>
  <c r="T369" i="1"/>
  <c r="Z369" i="1" s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AN416" i="1" s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Z713" i="1" s="1"/>
  <c r="T714" i="1"/>
  <c r="AN714" i="1" s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AN784" i="1" s="1"/>
  <c r="T785" i="1"/>
  <c r="T786" i="1"/>
  <c r="T787" i="1"/>
  <c r="T788" i="1"/>
  <c r="T789" i="1"/>
  <c r="T790" i="1"/>
  <c r="T791" i="1"/>
  <c r="T792" i="1"/>
  <c r="AN792" i="1" s="1"/>
  <c r="T793" i="1"/>
  <c r="T794" i="1"/>
  <c r="T795" i="1"/>
  <c r="T796" i="1"/>
  <c r="T797" i="1"/>
  <c r="T798" i="1"/>
  <c r="T799" i="1"/>
  <c r="T800" i="1"/>
  <c r="AN800" i="1" s="1"/>
  <c r="T801" i="1"/>
  <c r="Z801" i="1" s="1"/>
  <c r="T802" i="1"/>
  <c r="T803" i="1"/>
  <c r="T804" i="1"/>
  <c r="T805" i="1"/>
  <c r="T806" i="1"/>
  <c r="T807" i="1"/>
  <c r="T808" i="1"/>
  <c r="AN808" i="1" s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AN832" i="1" s="1"/>
  <c r="T833" i="1"/>
  <c r="T834" i="1"/>
  <c r="T835" i="1"/>
  <c r="T836" i="1"/>
  <c r="T837" i="1"/>
  <c r="T838" i="1"/>
  <c r="T839" i="1"/>
  <c r="T840" i="1"/>
  <c r="T841" i="1"/>
  <c r="Z841" i="1" s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AN896" i="1" s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AN912" i="1" s="1"/>
  <c r="T913" i="1"/>
  <c r="T914" i="1"/>
  <c r="AN914" i="1" s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Z945" i="1" s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AN968" i="1" s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AM82" i="1" s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X114" i="1" s="1"/>
  <c r="S115" i="1"/>
  <c r="S116" i="1"/>
  <c r="S117" i="1"/>
  <c r="S118" i="1"/>
  <c r="S119" i="1"/>
  <c r="S120" i="1"/>
  <c r="S121" i="1"/>
  <c r="S122" i="1"/>
  <c r="AM122" i="1" s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AM194" i="1" s="1"/>
  <c r="S195" i="1"/>
  <c r="S196" i="1"/>
  <c r="S197" i="1"/>
  <c r="S198" i="1"/>
  <c r="S199" i="1"/>
  <c r="S200" i="1"/>
  <c r="S201" i="1"/>
  <c r="S202" i="1"/>
  <c r="AM202" i="1" s="1"/>
  <c r="S203" i="1"/>
  <c r="S204" i="1"/>
  <c r="S205" i="1"/>
  <c r="S206" i="1"/>
  <c r="S207" i="1"/>
  <c r="S208" i="1"/>
  <c r="S209" i="1"/>
  <c r="S210" i="1"/>
  <c r="AM210" i="1" s="1"/>
  <c r="S211" i="1"/>
  <c r="S212" i="1"/>
  <c r="S213" i="1"/>
  <c r="S214" i="1"/>
  <c r="S215" i="1"/>
  <c r="S216" i="1"/>
  <c r="S217" i="1"/>
  <c r="S218" i="1"/>
  <c r="AM218" i="1" s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AM298" i="1" s="1"/>
  <c r="S299" i="1"/>
  <c r="S300" i="1"/>
  <c r="S301" i="1"/>
  <c r="S302" i="1"/>
  <c r="S303" i="1"/>
  <c r="S304" i="1"/>
  <c r="S305" i="1"/>
  <c r="S306" i="1"/>
  <c r="X306" i="1" s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X410" i="1" s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AM714" i="1" s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AM914" i="1" s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X946" i="1" s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AL82" i="1" s="1"/>
  <c r="R83" i="1"/>
  <c r="R84" i="1"/>
  <c r="R85" i="1"/>
  <c r="R86" i="1"/>
  <c r="R87" i="1"/>
  <c r="AL87" i="1" s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AL114" i="1" s="1"/>
  <c r="R115" i="1"/>
  <c r="R116" i="1"/>
  <c r="R117" i="1"/>
  <c r="R118" i="1"/>
  <c r="R119" i="1"/>
  <c r="R120" i="1"/>
  <c r="R121" i="1"/>
  <c r="R122" i="1"/>
  <c r="AL122" i="1" s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AL135" i="1" s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AL151" i="1" s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AL175" i="1" s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AL194" i="1" s="1"/>
  <c r="R195" i="1"/>
  <c r="R196" i="1"/>
  <c r="R197" i="1"/>
  <c r="R198" i="1"/>
  <c r="R199" i="1"/>
  <c r="R200" i="1"/>
  <c r="R201" i="1"/>
  <c r="R202" i="1"/>
  <c r="AL202" i="1" s="1"/>
  <c r="R203" i="1"/>
  <c r="R204" i="1"/>
  <c r="R205" i="1"/>
  <c r="R206" i="1"/>
  <c r="R207" i="1"/>
  <c r="R208" i="1"/>
  <c r="R209" i="1"/>
  <c r="R210" i="1"/>
  <c r="AL210" i="1" s="1"/>
  <c r="R211" i="1"/>
  <c r="R212" i="1"/>
  <c r="R213" i="1"/>
  <c r="R214" i="1"/>
  <c r="R215" i="1"/>
  <c r="AL215" i="1" s="1"/>
  <c r="R216" i="1"/>
  <c r="R217" i="1"/>
  <c r="R218" i="1"/>
  <c r="AL218" i="1" s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AL298" i="1" s="1"/>
  <c r="R299" i="1"/>
  <c r="R300" i="1"/>
  <c r="R301" i="1"/>
  <c r="R302" i="1"/>
  <c r="R303" i="1"/>
  <c r="AL303" i="1" s="1"/>
  <c r="R304" i="1"/>
  <c r="R305" i="1"/>
  <c r="R306" i="1"/>
  <c r="AL306" i="1" s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AL327" i="1" s="1"/>
  <c r="R328" i="1"/>
  <c r="R329" i="1"/>
  <c r="R330" i="1"/>
  <c r="R331" i="1"/>
  <c r="R332" i="1"/>
  <c r="R333" i="1"/>
  <c r="R334" i="1"/>
  <c r="R335" i="1"/>
  <c r="AL335" i="1" s="1"/>
  <c r="R336" i="1"/>
  <c r="R337" i="1"/>
  <c r="R338" i="1"/>
  <c r="R339" i="1"/>
  <c r="R340" i="1"/>
  <c r="R341" i="1"/>
  <c r="R342" i="1"/>
  <c r="R343" i="1"/>
  <c r="AL343" i="1" s="1"/>
  <c r="R344" i="1"/>
  <c r="R345" i="1"/>
  <c r="R346" i="1"/>
  <c r="R347" i="1"/>
  <c r="R348" i="1"/>
  <c r="R349" i="1"/>
  <c r="R350" i="1"/>
  <c r="R351" i="1"/>
  <c r="AL351" i="1" s="1"/>
  <c r="R352" i="1"/>
  <c r="R353" i="1"/>
  <c r="R354" i="1"/>
  <c r="R355" i="1"/>
  <c r="R356" i="1"/>
  <c r="R357" i="1"/>
  <c r="R358" i="1"/>
  <c r="R359" i="1"/>
  <c r="AL359" i="1" s="1"/>
  <c r="R360" i="1"/>
  <c r="R361" i="1"/>
  <c r="R362" i="1"/>
  <c r="R363" i="1"/>
  <c r="R364" i="1"/>
  <c r="R365" i="1"/>
  <c r="R366" i="1"/>
  <c r="R367" i="1"/>
  <c r="AL367" i="1" s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AL399" i="1" s="1"/>
  <c r="R400" i="1"/>
  <c r="R401" i="1"/>
  <c r="R402" i="1"/>
  <c r="R403" i="1"/>
  <c r="R404" i="1"/>
  <c r="R405" i="1"/>
  <c r="R406" i="1"/>
  <c r="R407" i="1"/>
  <c r="R408" i="1"/>
  <c r="R409" i="1"/>
  <c r="R410" i="1"/>
  <c r="AL410" i="1" s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AL711" i="1" s="1"/>
  <c r="R712" i="1"/>
  <c r="R713" i="1"/>
  <c r="R714" i="1"/>
  <c r="AL714" i="1" s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AL839" i="1" s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AL903" i="1" s="1"/>
  <c r="R904" i="1"/>
  <c r="R905" i="1"/>
  <c r="R906" i="1"/>
  <c r="R907" i="1"/>
  <c r="R908" i="1"/>
  <c r="R909" i="1"/>
  <c r="R910" i="1"/>
  <c r="R911" i="1"/>
  <c r="R912" i="1"/>
  <c r="R913" i="1"/>
  <c r="R914" i="1"/>
  <c r="AL914" i="1" s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AL935" i="1" s="1"/>
  <c r="R936" i="1"/>
  <c r="R937" i="1"/>
  <c r="R938" i="1"/>
  <c r="R939" i="1"/>
  <c r="R940" i="1"/>
  <c r="R941" i="1"/>
  <c r="R942" i="1"/>
  <c r="R943" i="1"/>
  <c r="R944" i="1"/>
  <c r="R945" i="1"/>
  <c r="R946" i="1"/>
  <c r="AL946" i="1" s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AL975" i="1" s="1"/>
  <c r="R976" i="1"/>
  <c r="R977" i="1"/>
  <c r="R978" i="1"/>
  <c r="R979" i="1"/>
  <c r="R980" i="1"/>
  <c r="R98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W24" i="1" s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W72" i="1" s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AK97" i="1" s="1"/>
  <c r="Q98" i="1"/>
  <c r="Q99" i="1"/>
  <c r="Q100" i="1"/>
  <c r="Q101" i="1"/>
  <c r="Q102" i="1"/>
  <c r="Q103" i="1"/>
  <c r="Q104" i="1"/>
  <c r="W104" i="1" s="1"/>
  <c r="Q105" i="1"/>
  <c r="AK105" i="1" s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W120" i="1" s="1"/>
  <c r="Q121" i="1"/>
  <c r="Q122" i="1"/>
  <c r="Q123" i="1"/>
  <c r="Q124" i="1"/>
  <c r="Q125" i="1"/>
  <c r="Q126" i="1"/>
  <c r="Q127" i="1"/>
  <c r="Q128" i="1"/>
  <c r="W128" i="1" s="1"/>
  <c r="Q129" i="1"/>
  <c r="Q130" i="1"/>
  <c r="Q131" i="1"/>
  <c r="Q132" i="1"/>
  <c r="Q133" i="1"/>
  <c r="Q134" i="1"/>
  <c r="Q135" i="1"/>
  <c r="Q136" i="1"/>
  <c r="W136" i="1" s="1"/>
  <c r="Q137" i="1"/>
  <c r="Q138" i="1"/>
  <c r="Q139" i="1"/>
  <c r="Q140" i="1"/>
  <c r="Q141" i="1"/>
  <c r="Q142" i="1"/>
  <c r="Q143" i="1"/>
  <c r="Q144" i="1"/>
  <c r="W144" i="1" s="1"/>
  <c r="Q145" i="1"/>
  <c r="Q146" i="1"/>
  <c r="Q147" i="1"/>
  <c r="Q148" i="1"/>
  <c r="Q149" i="1"/>
  <c r="Q150" i="1"/>
  <c r="Q151" i="1"/>
  <c r="Q152" i="1"/>
  <c r="Q153" i="1"/>
  <c r="AK153" i="1" s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AK169" i="1" s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AK193" i="1" s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W208" i="1" s="1"/>
  <c r="Q209" i="1"/>
  <c r="AK209" i="1" s="1"/>
  <c r="Q210" i="1"/>
  <c r="Q211" i="1"/>
  <c r="Q212" i="1"/>
  <c r="Q213" i="1"/>
  <c r="Q214" i="1"/>
  <c r="Q215" i="1"/>
  <c r="Q216" i="1"/>
  <c r="AK216" i="1" s="1"/>
  <c r="Q217" i="1"/>
  <c r="AK217" i="1" s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AK305" i="1" s="1"/>
  <c r="Q306" i="1"/>
  <c r="Q307" i="1"/>
  <c r="Q308" i="1"/>
  <c r="Q309" i="1"/>
  <c r="Q310" i="1"/>
  <c r="Q311" i="1"/>
  <c r="Q312" i="1"/>
  <c r="AK312" i="1" s="1"/>
  <c r="Q313" i="1"/>
  <c r="Q314" i="1"/>
  <c r="Q315" i="1"/>
  <c r="Q316" i="1"/>
  <c r="Q317" i="1"/>
  <c r="Q318" i="1"/>
  <c r="Q319" i="1"/>
  <c r="Q320" i="1"/>
  <c r="Q321" i="1"/>
  <c r="AK321" i="1" s="1"/>
  <c r="Q322" i="1"/>
  <c r="Q323" i="1"/>
  <c r="Q324" i="1"/>
  <c r="Q325" i="1"/>
  <c r="Q326" i="1"/>
  <c r="Q327" i="1"/>
  <c r="Q328" i="1"/>
  <c r="Q329" i="1"/>
  <c r="AK329" i="1" s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W352" i="1" s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W368" i="1" s="1"/>
  <c r="Q369" i="1"/>
  <c r="AK369" i="1" s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W416" i="1" s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W456" i="1" s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AK713" i="1" s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AK784" i="1" s="1"/>
  <c r="Q785" i="1"/>
  <c r="Q786" i="1"/>
  <c r="Q787" i="1"/>
  <c r="Q788" i="1"/>
  <c r="Q789" i="1"/>
  <c r="Q790" i="1"/>
  <c r="Q791" i="1"/>
  <c r="Q792" i="1"/>
  <c r="W792" i="1" s="1"/>
  <c r="Q793" i="1"/>
  <c r="Q794" i="1"/>
  <c r="Q795" i="1"/>
  <c r="Q796" i="1"/>
  <c r="Q797" i="1"/>
  <c r="Q798" i="1"/>
  <c r="Q799" i="1"/>
  <c r="Q800" i="1"/>
  <c r="W800" i="1" s="1"/>
  <c r="Q801" i="1"/>
  <c r="AK801" i="1" s="1"/>
  <c r="Q802" i="1"/>
  <c r="Q803" i="1"/>
  <c r="Q804" i="1"/>
  <c r="Q805" i="1"/>
  <c r="Q806" i="1"/>
  <c r="Q807" i="1"/>
  <c r="Q808" i="1"/>
  <c r="AK808" i="1" s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W832" i="1" s="1"/>
  <c r="Q833" i="1"/>
  <c r="Q834" i="1"/>
  <c r="Q835" i="1"/>
  <c r="Q836" i="1"/>
  <c r="Q837" i="1"/>
  <c r="Q838" i="1"/>
  <c r="Q839" i="1"/>
  <c r="Q840" i="1"/>
  <c r="Q841" i="1"/>
  <c r="AK841" i="1" s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AK896" i="1" s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W912" i="1" s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W936" i="1" s="1"/>
  <c r="Q937" i="1"/>
  <c r="AK937" i="1" s="1"/>
  <c r="Q938" i="1"/>
  <c r="Q939" i="1"/>
  <c r="Q940" i="1"/>
  <c r="Q941" i="1"/>
  <c r="Q942" i="1"/>
  <c r="Q943" i="1"/>
  <c r="Q944" i="1"/>
  <c r="Q945" i="1"/>
  <c r="AK945" i="1" s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AK968" i="1" s="1"/>
  <c r="Q969" i="1"/>
  <c r="Q970" i="1"/>
  <c r="Q971" i="1"/>
  <c r="Q972" i="1"/>
  <c r="Q973" i="1"/>
  <c r="Q974" i="1"/>
  <c r="Q975" i="1"/>
  <c r="Q976" i="1"/>
  <c r="W976" i="1" s="1"/>
  <c r="Q977" i="1"/>
  <c r="Q978" i="1"/>
  <c r="Q979" i="1"/>
  <c r="Q980" i="1"/>
  <c r="Q981" i="1"/>
  <c r="Q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3" i="1"/>
  <c r="AO204" i="1"/>
  <c r="AO205" i="1"/>
  <c r="AO206" i="1"/>
  <c r="AO207" i="1"/>
  <c r="AO211" i="1"/>
  <c r="AO212" i="1"/>
  <c r="AO213" i="1"/>
  <c r="AO214" i="1"/>
  <c r="AO215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9" i="1"/>
  <c r="AO300" i="1"/>
  <c r="AO301" i="1"/>
  <c r="AO302" i="1"/>
  <c r="AO303" i="1"/>
  <c r="AO304" i="1"/>
  <c r="AO306" i="1"/>
  <c r="AO307" i="1"/>
  <c r="AO308" i="1"/>
  <c r="AO309" i="1"/>
  <c r="AO310" i="1"/>
  <c r="AO311" i="1"/>
  <c r="AO313" i="1"/>
  <c r="AO314" i="1"/>
  <c r="AO315" i="1"/>
  <c r="AO316" i="1"/>
  <c r="AO317" i="1"/>
  <c r="AO318" i="1"/>
  <c r="AO319" i="1"/>
  <c r="AO320" i="1"/>
  <c r="AO322" i="1"/>
  <c r="AO323" i="1"/>
  <c r="AO324" i="1"/>
  <c r="AO325" i="1"/>
  <c r="AO326" i="1"/>
  <c r="AO327" i="1"/>
  <c r="AO328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3" i="1"/>
  <c r="AO794" i="1"/>
  <c r="AO795" i="1"/>
  <c r="AO796" i="1"/>
  <c r="AO797" i="1"/>
  <c r="AO798" i="1"/>
  <c r="AO799" i="1"/>
  <c r="AO802" i="1"/>
  <c r="AO803" i="1"/>
  <c r="AO804" i="1"/>
  <c r="AO805" i="1"/>
  <c r="AO806" i="1"/>
  <c r="AO807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3" i="1"/>
  <c r="AO834" i="1"/>
  <c r="AO835" i="1"/>
  <c r="AO836" i="1"/>
  <c r="AO837" i="1"/>
  <c r="AO838" i="1"/>
  <c r="AO839" i="1"/>
  <c r="AO840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3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5" i="1"/>
  <c r="AN196" i="1"/>
  <c r="AN197" i="1"/>
  <c r="AN198" i="1"/>
  <c r="AN199" i="1"/>
  <c r="AN200" i="1"/>
  <c r="AN201" i="1"/>
  <c r="AN203" i="1"/>
  <c r="AN204" i="1"/>
  <c r="AN205" i="1"/>
  <c r="AN206" i="1"/>
  <c r="AN207" i="1"/>
  <c r="AN211" i="1"/>
  <c r="AN212" i="1"/>
  <c r="AN213" i="1"/>
  <c r="AN214" i="1"/>
  <c r="AN215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9" i="1"/>
  <c r="AN300" i="1"/>
  <c r="AN301" i="1"/>
  <c r="AN302" i="1"/>
  <c r="AN303" i="1"/>
  <c r="AN304" i="1"/>
  <c r="AN306" i="1"/>
  <c r="AN307" i="1"/>
  <c r="AN308" i="1"/>
  <c r="AN309" i="1"/>
  <c r="AN310" i="1"/>
  <c r="AN311" i="1"/>
  <c r="AN313" i="1"/>
  <c r="AN314" i="1"/>
  <c r="AN315" i="1"/>
  <c r="AN316" i="1"/>
  <c r="AN317" i="1"/>
  <c r="AN318" i="1"/>
  <c r="AN319" i="1"/>
  <c r="AN320" i="1"/>
  <c r="AN322" i="1"/>
  <c r="AN323" i="1"/>
  <c r="AN324" i="1"/>
  <c r="AN325" i="1"/>
  <c r="AN326" i="1"/>
  <c r="AN327" i="1"/>
  <c r="AN328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5" i="1"/>
  <c r="AN786" i="1"/>
  <c r="AN787" i="1"/>
  <c r="AN788" i="1"/>
  <c r="AN789" i="1"/>
  <c r="AN790" i="1"/>
  <c r="AN791" i="1"/>
  <c r="AN793" i="1"/>
  <c r="AN794" i="1"/>
  <c r="AN795" i="1"/>
  <c r="AN796" i="1"/>
  <c r="AN797" i="1"/>
  <c r="AN798" i="1"/>
  <c r="AN799" i="1"/>
  <c r="AN802" i="1"/>
  <c r="AN803" i="1"/>
  <c r="AN804" i="1"/>
  <c r="AN805" i="1"/>
  <c r="AN806" i="1"/>
  <c r="AN807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3" i="1"/>
  <c r="AN834" i="1"/>
  <c r="AN835" i="1"/>
  <c r="AN836" i="1"/>
  <c r="AN837" i="1"/>
  <c r="AN838" i="1"/>
  <c r="AN839" i="1"/>
  <c r="AN840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3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5" i="1"/>
  <c r="AM196" i="1"/>
  <c r="AM197" i="1"/>
  <c r="AM198" i="1"/>
  <c r="AM199" i="1"/>
  <c r="AM200" i="1"/>
  <c r="AM201" i="1"/>
  <c r="AM203" i="1"/>
  <c r="AM204" i="1"/>
  <c r="AM205" i="1"/>
  <c r="AM206" i="1"/>
  <c r="AM207" i="1"/>
  <c r="AM208" i="1"/>
  <c r="AM209" i="1"/>
  <c r="AM211" i="1"/>
  <c r="AM212" i="1"/>
  <c r="AM213" i="1"/>
  <c r="AM214" i="1"/>
  <c r="AM215" i="1"/>
  <c r="AM216" i="1"/>
  <c r="AM217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3" i="1"/>
  <c r="AL84" i="1"/>
  <c r="AL85" i="1"/>
  <c r="AL86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5" i="1"/>
  <c r="AL116" i="1"/>
  <c r="AL117" i="1"/>
  <c r="AL118" i="1"/>
  <c r="AL119" i="1"/>
  <c r="AL120" i="1"/>
  <c r="AL121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5" i="1"/>
  <c r="AL196" i="1"/>
  <c r="AL197" i="1"/>
  <c r="AL198" i="1"/>
  <c r="AL199" i="1"/>
  <c r="AL200" i="1"/>
  <c r="AL201" i="1"/>
  <c r="AL203" i="1"/>
  <c r="AL204" i="1"/>
  <c r="AL205" i="1"/>
  <c r="AL206" i="1"/>
  <c r="AL207" i="1"/>
  <c r="AL208" i="1"/>
  <c r="AL209" i="1"/>
  <c r="AL211" i="1"/>
  <c r="AL212" i="1"/>
  <c r="AL213" i="1"/>
  <c r="AL214" i="1"/>
  <c r="AL216" i="1"/>
  <c r="AL217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9" i="1"/>
  <c r="AL300" i="1"/>
  <c r="AL301" i="1"/>
  <c r="AL302" i="1"/>
  <c r="AL304" i="1"/>
  <c r="AL305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8" i="1"/>
  <c r="AL329" i="1"/>
  <c r="AL330" i="1"/>
  <c r="AL331" i="1"/>
  <c r="AL332" i="1"/>
  <c r="AL333" i="1"/>
  <c r="AL334" i="1"/>
  <c r="AL336" i="1"/>
  <c r="AL337" i="1"/>
  <c r="AL338" i="1"/>
  <c r="AL339" i="1"/>
  <c r="AL340" i="1"/>
  <c r="AL341" i="1"/>
  <c r="AL342" i="1"/>
  <c r="AL344" i="1"/>
  <c r="AL345" i="1"/>
  <c r="AL346" i="1"/>
  <c r="AL347" i="1"/>
  <c r="AL348" i="1"/>
  <c r="AL349" i="1"/>
  <c r="AL350" i="1"/>
  <c r="AL352" i="1"/>
  <c r="AL353" i="1"/>
  <c r="AL354" i="1"/>
  <c r="AL355" i="1"/>
  <c r="AL356" i="1"/>
  <c r="AL357" i="1"/>
  <c r="AL358" i="1"/>
  <c r="AL360" i="1"/>
  <c r="AL361" i="1"/>
  <c r="AL362" i="1"/>
  <c r="AL363" i="1"/>
  <c r="AL364" i="1"/>
  <c r="AL365" i="1"/>
  <c r="AL366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400" i="1"/>
  <c r="AL401" i="1"/>
  <c r="AL402" i="1"/>
  <c r="AL403" i="1"/>
  <c r="AL404" i="1"/>
  <c r="AL405" i="1"/>
  <c r="AL406" i="1"/>
  <c r="AL407" i="1"/>
  <c r="AL408" i="1"/>
  <c r="AL409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2" i="1"/>
  <c r="AL713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4" i="1"/>
  <c r="AL905" i="1"/>
  <c r="AL906" i="1"/>
  <c r="AL907" i="1"/>
  <c r="AL908" i="1"/>
  <c r="AL909" i="1"/>
  <c r="AL910" i="1"/>
  <c r="AL911" i="1"/>
  <c r="AL912" i="1"/>
  <c r="AL913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6" i="1"/>
  <c r="AL937" i="1"/>
  <c r="AL938" i="1"/>
  <c r="AL939" i="1"/>
  <c r="AL940" i="1"/>
  <c r="AL941" i="1"/>
  <c r="AL942" i="1"/>
  <c r="AL943" i="1"/>
  <c r="AL944" i="1"/>
  <c r="AL945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6" i="1"/>
  <c r="AL977" i="1"/>
  <c r="AL978" i="1"/>
  <c r="AL979" i="1"/>
  <c r="AL980" i="1"/>
  <c r="AL98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8" i="1"/>
  <c r="AK99" i="1"/>
  <c r="AK100" i="1"/>
  <c r="AK101" i="1"/>
  <c r="AK102" i="1"/>
  <c r="AK103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1" i="1"/>
  <c r="AK122" i="1"/>
  <c r="AK123" i="1"/>
  <c r="AK124" i="1"/>
  <c r="AK125" i="1"/>
  <c r="AK126" i="1"/>
  <c r="AK127" i="1"/>
  <c r="AK129" i="1"/>
  <c r="AK130" i="1"/>
  <c r="AK131" i="1"/>
  <c r="AK132" i="1"/>
  <c r="AK133" i="1"/>
  <c r="AK134" i="1"/>
  <c r="AK135" i="1"/>
  <c r="AK137" i="1"/>
  <c r="AK138" i="1"/>
  <c r="AK139" i="1"/>
  <c r="AK140" i="1"/>
  <c r="AK141" i="1"/>
  <c r="AK142" i="1"/>
  <c r="AK143" i="1"/>
  <c r="AK145" i="1"/>
  <c r="AK146" i="1"/>
  <c r="AK147" i="1"/>
  <c r="AK148" i="1"/>
  <c r="AK149" i="1"/>
  <c r="AK150" i="1"/>
  <c r="AK151" i="1"/>
  <c r="AK152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10" i="1"/>
  <c r="AK211" i="1"/>
  <c r="AK212" i="1"/>
  <c r="AK213" i="1"/>
  <c r="AK214" i="1"/>
  <c r="AK215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6" i="1"/>
  <c r="AK307" i="1"/>
  <c r="AK308" i="1"/>
  <c r="AK309" i="1"/>
  <c r="AK310" i="1"/>
  <c r="AK311" i="1"/>
  <c r="AK313" i="1"/>
  <c r="AK314" i="1"/>
  <c r="AK315" i="1"/>
  <c r="AK316" i="1"/>
  <c r="AK317" i="1"/>
  <c r="AK318" i="1"/>
  <c r="AK319" i="1"/>
  <c r="AK320" i="1"/>
  <c r="AK322" i="1"/>
  <c r="AK323" i="1"/>
  <c r="AK324" i="1"/>
  <c r="AK325" i="1"/>
  <c r="AK326" i="1"/>
  <c r="AK327" i="1"/>
  <c r="AK328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5" i="1"/>
  <c r="AK786" i="1"/>
  <c r="AK787" i="1"/>
  <c r="AK788" i="1"/>
  <c r="AK789" i="1"/>
  <c r="AK790" i="1"/>
  <c r="AK791" i="1"/>
  <c r="AK793" i="1"/>
  <c r="AK794" i="1"/>
  <c r="AK795" i="1"/>
  <c r="AK796" i="1"/>
  <c r="AK797" i="1"/>
  <c r="AK798" i="1"/>
  <c r="AK799" i="1"/>
  <c r="AK802" i="1"/>
  <c r="AK803" i="1"/>
  <c r="AK804" i="1"/>
  <c r="AK805" i="1"/>
  <c r="AK806" i="1"/>
  <c r="AK807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3" i="1"/>
  <c r="AK834" i="1"/>
  <c r="AK835" i="1"/>
  <c r="AK836" i="1"/>
  <c r="AK837" i="1"/>
  <c r="AK838" i="1"/>
  <c r="AK839" i="1"/>
  <c r="AK840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8" i="1"/>
  <c r="AK939" i="1"/>
  <c r="AK940" i="1"/>
  <c r="AK941" i="1"/>
  <c r="AK942" i="1"/>
  <c r="AK943" i="1"/>
  <c r="AK944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9" i="1"/>
  <c r="AK970" i="1"/>
  <c r="AK971" i="1"/>
  <c r="AK972" i="1"/>
  <c r="AK973" i="1"/>
  <c r="AK974" i="1"/>
  <c r="AK975" i="1"/>
  <c r="AK977" i="1"/>
  <c r="AK978" i="1"/>
  <c r="AK979" i="1"/>
  <c r="AK980" i="1"/>
  <c r="AK98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3" i="1"/>
  <c r="AH204" i="1"/>
  <c r="AH205" i="1"/>
  <c r="AH206" i="1"/>
  <c r="AH207" i="1"/>
  <c r="AH208" i="1"/>
  <c r="AH209" i="1"/>
  <c r="AH211" i="1"/>
  <c r="AH212" i="1"/>
  <c r="AH213" i="1"/>
  <c r="AH214" i="1"/>
  <c r="AH215" i="1"/>
  <c r="AH216" i="1"/>
  <c r="AH217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10" i="1"/>
  <c r="AG211" i="1"/>
  <c r="AG212" i="1"/>
  <c r="AG213" i="1"/>
  <c r="AG214" i="1"/>
  <c r="AG215" i="1"/>
  <c r="AG216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2" i="1"/>
  <c r="AG323" i="1"/>
  <c r="AG324" i="1"/>
  <c r="AG325" i="1"/>
  <c r="AG326" i="1"/>
  <c r="AG327" i="1"/>
  <c r="AG328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5" i="1"/>
  <c r="AF196" i="1"/>
  <c r="AF197" i="1"/>
  <c r="AF198" i="1"/>
  <c r="AF199" i="1"/>
  <c r="AF200" i="1"/>
  <c r="AF201" i="1"/>
  <c r="AF203" i="1"/>
  <c r="AF204" i="1"/>
  <c r="AF205" i="1"/>
  <c r="AF206" i="1"/>
  <c r="AF207" i="1"/>
  <c r="AF208" i="1"/>
  <c r="AF209" i="1"/>
  <c r="AF211" i="1"/>
  <c r="AF212" i="1"/>
  <c r="AF213" i="1"/>
  <c r="AF214" i="1"/>
  <c r="AF215" i="1"/>
  <c r="AF216" i="1"/>
  <c r="AF217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5" i="1"/>
  <c r="AE116" i="1"/>
  <c r="AE117" i="1"/>
  <c r="AE118" i="1"/>
  <c r="AE119" i="1"/>
  <c r="AE120" i="1"/>
  <c r="AE121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5" i="1"/>
  <c r="AE196" i="1"/>
  <c r="AE197" i="1"/>
  <c r="AE198" i="1"/>
  <c r="AE199" i="1"/>
  <c r="AE200" i="1"/>
  <c r="AE201" i="1"/>
  <c r="AE203" i="1"/>
  <c r="AE204" i="1"/>
  <c r="AE205" i="1"/>
  <c r="AE206" i="1"/>
  <c r="AE207" i="1"/>
  <c r="AE208" i="1"/>
  <c r="AE209" i="1"/>
  <c r="AE211" i="1"/>
  <c r="AE212" i="1"/>
  <c r="AE213" i="1"/>
  <c r="AE214" i="1"/>
  <c r="AE215" i="1"/>
  <c r="AE216" i="1"/>
  <c r="AE217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9" i="1"/>
  <c r="AE300" i="1"/>
  <c r="AE301" i="1"/>
  <c r="AE302" i="1"/>
  <c r="AE303" i="1"/>
  <c r="AE304" i="1"/>
  <c r="AE305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8" i="1"/>
  <c r="AD99" i="1"/>
  <c r="AD100" i="1"/>
  <c r="AD101" i="1"/>
  <c r="AD102" i="1"/>
  <c r="AD103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1" i="1"/>
  <c r="AD122" i="1"/>
  <c r="AD123" i="1"/>
  <c r="AD124" i="1"/>
  <c r="AD125" i="1"/>
  <c r="AD126" i="1"/>
  <c r="AD127" i="1"/>
  <c r="AD129" i="1"/>
  <c r="AD130" i="1"/>
  <c r="AD131" i="1"/>
  <c r="AD132" i="1"/>
  <c r="AD133" i="1"/>
  <c r="AD134" i="1"/>
  <c r="AD135" i="1"/>
  <c r="AD137" i="1"/>
  <c r="AD138" i="1"/>
  <c r="AD139" i="1"/>
  <c r="AD140" i="1"/>
  <c r="AD141" i="1"/>
  <c r="AD142" i="1"/>
  <c r="AD143" i="1"/>
  <c r="AD145" i="1"/>
  <c r="AD146" i="1"/>
  <c r="AD147" i="1"/>
  <c r="AD148" i="1"/>
  <c r="AD149" i="1"/>
  <c r="AD150" i="1"/>
  <c r="AD151" i="1"/>
  <c r="AD152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10" i="1"/>
  <c r="AD211" i="1"/>
  <c r="AD212" i="1"/>
  <c r="AD213" i="1"/>
  <c r="AD214" i="1"/>
  <c r="AD215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6" i="1"/>
  <c r="AD307" i="1"/>
  <c r="AD308" i="1"/>
  <c r="AD309" i="1"/>
  <c r="AD310" i="1"/>
  <c r="AD311" i="1"/>
  <c r="AD313" i="1"/>
  <c r="AD314" i="1"/>
  <c r="AD315" i="1"/>
  <c r="AD316" i="1"/>
  <c r="AD317" i="1"/>
  <c r="AD318" i="1"/>
  <c r="AD319" i="1"/>
  <c r="AD320" i="1"/>
  <c r="AD322" i="1"/>
  <c r="AD323" i="1"/>
  <c r="AD324" i="1"/>
  <c r="AD325" i="1"/>
  <c r="AD326" i="1"/>
  <c r="AD327" i="1"/>
  <c r="AD328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5" i="1"/>
  <c r="AD786" i="1"/>
  <c r="AD787" i="1"/>
  <c r="AD788" i="1"/>
  <c r="AD789" i="1"/>
  <c r="AD790" i="1"/>
  <c r="AD791" i="1"/>
  <c r="AD793" i="1"/>
  <c r="AD794" i="1"/>
  <c r="AD795" i="1"/>
  <c r="AD796" i="1"/>
  <c r="AD797" i="1"/>
  <c r="AD798" i="1"/>
  <c r="AD799" i="1"/>
  <c r="AD802" i="1"/>
  <c r="AD803" i="1"/>
  <c r="AD804" i="1"/>
  <c r="AD805" i="1"/>
  <c r="AD806" i="1"/>
  <c r="AD807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3" i="1"/>
  <c r="AD834" i="1"/>
  <c r="AD835" i="1"/>
  <c r="AD836" i="1"/>
  <c r="AD837" i="1"/>
  <c r="AD838" i="1"/>
  <c r="AD839" i="1"/>
  <c r="AD840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8" i="1"/>
  <c r="AD939" i="1"/>
  <c r="AD940" i="1"/>
  <c r="AD941" i="1"/>
  <c r="AD942" i="1"/>
  <c r="AD943" i="1"/>
  <c r="AD944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9" i="1"/>
  <c r="AD970" i="1"/>
  <c r="AD971" i="1"/>
  <c r="AD972" i="1"/>
  <c r="AD973" i="1"/>
  <c r="AD974" i="1"/>
  <c r="AD975" i="1"/>
  <c r="AD977" i="1"/>
  <c r="AD978" i="1"/>
  <c r="AD979" i="1"/>
  <c r="AD980" i="1"/>
  <c r="AD98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3" i="1"/>
  <c r="AA204" i="1"/>
  <c r="AA205" i="1"/>
  <c r="AA206" i="1"/>
  <c r="AA207" i="1"/>
  <c r="AA208" i="1"/>
  <c r="AA209" i="1"/>
  <c r="AA211" i="1"/>
  <c r="AA212" i="1"/>
  <c r="AA213" i="1"/>
  <c r="AA214" i="1"/>
  <c r="AA215" i="1"/>
  <c r="AA216" i="1"/>
  <c r="AA217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5" i="1"/>
  <c r="Y196" i="1"/>
  <c r="Y197" i="1"/>
  <c r="Y198" i="1"/>
  <c r="Y199" i="1"/>
  <c r="Y200" i="1"/>
  <c r="Y201" i="1"/>
  <c r="Y203" i="1"/>
  <c r="Y204" i="1"/>
  <c r="Y205" i="1"/>
  <c r="Y206" i="1"/>
  <c r="Y207" i="1"/>
  <c r="Y208" i="1"/>
  <c r="Y209" i="1"/>
  <c r="Y211" i="1"/>
  <c r="Y212" i="1"/>
  <c r="Y213" i="1"/>
  <c r="Y214" i="1"/>
  <c r="Y215" i="1"/>
  <c r="Y216" i="1"/>
  <c r="Y217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10" i="1"/>
  <c r="Z211" i="1"/>
  <c r="Z212" i="1"/>
  <c r="Z213" i="1"/>
  <c r="Z214" i="1"/>
  <c r="Z215" i="1"/>
  <c r="Z216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2" i="1"/>
  <c r="Z323" i="1"/>
  <c r="Z324" i="1"/>
  <c r="Z325" i="1"/>
  <c r="Z326" i="1"/>
  <c r="Z327" i="1"/>
  <c r="Z328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5" i="1"/>
  <c r="X116" i="1"/>
  <c r="X117" i="1"/>
  <c r="X118" i="1"/>
  <c r="X119" i="1"/>
  <c r="X120" i="1"/>
  <c r="X121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5" i="1"/>
  <c r="X196" i="1"/>
  <c r="X197" i="1"/>
  <c r="X198" i="1"/>
  <c r="X199" i="1"/>
  <c r="X200" i="1"/>
  <c r="X201" i="1"/>
  <c r="X203" i="1"/>
  <c r="X204" i="1"/>
  <c r="X205" i="1"/>
  <c r="X206" i="1"/>
  <c r="X207" i="1"/>
  <c r="X208" i="1"/>
  <c r="X209" i="1"/>
  <c r="X211" i="1"/>
  <c r="X212" i="1"/>
  <c r="X213" i="1"/>
  <c r="X214" i="1"/>
  <c r="X215" i="1"/>
  <c r="X216" i="1"/>
  <c r="X217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9" i="1"/>
  <c r="X300" i="1"/>
  <c r="X301" i="1"/>
  <c r="X302" i="1"/>
  <c r="X303" i="1"/>
  <c r="X304" i="1"/>
  <c r="X305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8" i="1"/>
  <c r="W99" i="1"/>
  <c r="W100" i="1"/>
  <c r="W101" i="1"/>
  <c r="W102" i="1"/>
  <c r="W103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1" i="1"/>
  <c r="W122" i="1"/>
  <c r="W123" i="1"/>
  <c r="W124" i="1"/>
  <c r="W125" i="1"/>
  <c r="W126" i="1"/>
  <c r="W127" i="1"/>
  <c r="W129" i="1"/>
  <c r="W130" i="1"/>
  <c r="W131" i="1"/>
  <c r="W132" i="1"/>
  <c r="W133" i="1"/>
  <c r="W134" i="1"/>
  <c r="W135" i="1"/>
  <c r="W137" i="1"/>
  <c r="W138" i="1"/>
  <c r="W139" i="1"/>
  <c r="W140" i="1"/>
  <c r="W141" i="1"/>
  <c r="W142" i="1"/>
  <c r="W143" i="1"/>
  <c r="W145" i="1"/>
  <c r="W146" i="1"/>
  <c r="W147" i="1"/>
  <c r="W148" i="1"/>
  <c r="W149" i="1"/>
  <c r="W150" i="1"/>
  <c r="W151" i="1"/>
  <c r="W152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10" i="1"/>
  <c r="W211" i="1"/>
  <c r="W212" i="1"/>
  <c r="W213" i="1"/>
  <c r="W214" i="1"/>
  <c r="W215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6" i="1"/>
  <c r="W307" i="1"/>
  <c r="W308" i="1"/>
  <c r="W309" i="1"/>
  <c r="W310" i="1"/>
  <c r="W311" i="1"/>
  <c r="W313" i="1"/>
  <c r="W314" i="1"/>
  <c r="W315" i="1"/>
  <c r="W316" i="1"/>
  <c r="W317" i="1"/>
  <c r="W318" i="1"/>
  <c r="W319" i="1"/>
  <c r="W320" i="1"/>
  <c r="W322" i="1"/>
  <c r="W323" i="1"/>
  <c r="W324" i="1"/>
  <c r="W325" i="1"/>
  <c r="W326" i="1"/>
  <c r="W327" i="1"/>
  <c r="W328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5" i="1"/>
  <c r="W786" i="1"/>
  <c r="W787" i="1"/>
  <c r="W788" i="1"/>
  <c r="W789" i="1"/>
  <c r="W790" i="1"/>
  <c r="W791" i="1"/>
  <c r="W793" i="1"/>
  <c r="W794" i="1"/>
  <c r="W795" i="1"/>
  <c r="W796" i="1"/>
  <c r="W797" i="1"/>
  <c r="W798" i="1"/>
  <c r="W799" i="1"/>
  <c r="W802" i="1"/>
  <c r="W803" i="1"/>
  <c r="W804" i="1"/>
  <c r="W805" i="1"/>
  <c r="W806" i="1"/>
  <c r="W807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3" i="1"/>
  <c r="W834" i="1"/>
  <c r="W835" i="1"/>
  <c r="W836" i="1"/>
  <c r="W837" i="1"/>
  <c r="W838" i="1"/>
  <c r="W839" i="1"/>
  <c r="W840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8" i="1"/>
  <c r="W939" i="1"/>
  <c r="W940" i="1"/>
  <c r="W941" i="1"/>
  <c r="W942" i="1"/>
  <c r="W943" i="1"/>
  <c r="W944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9" i="1"/>
  <c r="W970" i="1"/>
  <c r="W971" i="1"/>
  <c r="W972" i="1"/>
  <c r="W973" i="1"/>
  <c r="W974" i="1"/>
  <c r="W975" i="1"/>
  <c r="W977" i="1"/>
  <c r="W978" i="1"/>
  <c r="W979" i="1"/>
  <c r="W980" i="1"/>
  <c r="W98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AA914" i="1" l="1"/>
  <c r="AA714" i="1"/>
  <c r="AA298" i="1"/>
  <c r="AA218" i="1"/>
  <c r="AA210" i="1"/>
  <c r="AA202" i="1"/>
  <c r="AA82" i="1"/>
  <c r="AO914" i="1"/>
  <c r="AO714" i="1"/>
  <c r="AO298" i="1"/>
  <c r="AO218" i="1"/>
  <c r="AO210" i="1"/>
  <c r="AO202" i="1"/>
  <c r="AO82" i="1"/>
  <c r="AG945" i="1"/>
  <c r="AG841" i="1"/>
  <c r="AG801" i="1"/>
  <c r="AG713" i="1"/>
  <c r="AG369" i="1"/>
  <c r="AG329" i="1"/>
  <c r="AG321" i="1"/>
  <c r="AG305" i="1"/>
  <c r="AG217" i="1"/>
  <c r="AG209" i="1"/>
  <c r="AG169" i="1"/>
  <c r="AG153" i="1"/>
  <c r="AG105" i="1"/>
  <c r="AN945" i="1"/>
  <c r="AN841" i="1"/>
  <c r="AN801" i="1"/>
  <c r="AN713" i="1"/>
  <c r="AN369" i="1"/>
  <c r="AN329" i="1"/>
  <c r="AN321" i="1"/>
  <c r="AN305" i="1"/>
  <c r="AN217" i="1"/>
  <c r="AN209" i="1"/>
  <c r="AN169" i="1"/>
  <c r="AN153" i="1"/>
  <c r="AN105" i="1"/>
  <c r="AF914" i="1"/>
  <c r="AF714" i="1"/>
  <c r="AF298" i="1"/>
  <c r="AF218" i="1"/>
  <c r="AF210" i="1"/>
  <c r="AF202" i="1"/>
  <c r="AF194" i="1"/>
  <c r="AF122" i="1"/>
  <c r="AF82" i="1"/>
  <c r="X914" i="1"/>
  <c r="X714" i="1"/>
  <c r="X298" i="1"/>
  <c r="X218" i="1"/>
  <c r="X210" i="1"/>
  <c r="X202" i="1"/>
  <c r="X194" i="1"/>
  <c r="X122" i="1"/>
  <c r="X82" i="1"/>
  <c r="Y914" i="1"/>
  <c r="Y714" i="1"/>
  <c r="Y298" i="1"/>
  <c r="Y218" i="1"/>
  <c r="Y210" i="1"/>
  <c r="Y202" i="1"/>
  <c r="Y194" i="1"/>
  <c r="Y122" i="1"/>
  <c r="Y82" i="1"/>
  <c r="AE946" i="1"/>
  <c r="AE914" i="1"/>
  <c r="AE714" i="1"/>
  <c r="AE410" i="1"/>
  <c r="AE306" i="1"/>
  <c r="AE298" i="1"/>
  <c r="AE218" i="1"/>
  <c r="AE210" i="1"/>
  <c r="AE202" i="1"/>
  <c r="AE194" i="1"/>
  <c r="AE122" i="1"/>
  <c r="AE114" i="1"/>
  <c r="AE82" i="1"/>
  <c r="W968" i="1"/>
  <c r="W896" i="1"/>
  <c r="W808" i="1"/>
  <c r="W784" i="1"/>
  <c r="W312" i="1"/>
  <c r="W216" i="1"/>
  <c r="W945" i="1"/>
  <c r="W937" i="1"/>
  <c r="W841" i="1"/>
  <c r="W801" i="1"/>
  <c r="W713" i="1"/>
  <c r="W369" i="1"/>
  <c r="W329" i="1"/>
  <c r="W321" i="1"/>
  <c r="W305" i="1"/>
  <c r="W217" i="1"/>
  <c r="W209" i="1"/>
  <c r="W193" i="1"/>
  <c r="W169" i="1"/>
  <c r="W153" i="1"/>
  <c r="W105" i="1"/>
  <c r="W97" i="1"/>
  <c r="AD945" i="1"/>
  <c r="AD937" i="1"/>
  <c r="AD841" i="1"/>
  <c r="AD801" i="1"/>
  <c r="AD713" i="1"/>
  <c r="AD369" i="1"/>
  <c r="AD329" i="1"/>
  <c r="AD321" i="1"/>
  <c r="AD305" i="1"/>
  <c r="AD217" i="1"/>
  <c r="AD209" i="1"/>
  <c r="AD193" i="1"/>
  <c r="AD169" i="1"/>
  <c r="AD153" i="1"/>
  <c r="AD105" i="1"/>
  <c r="AD97" i="1"/>
  <c r="AD976" i="1"/>
  <c r="AD968" i="1"/>
  <c r="AD936" i="1"/>
  <c r="AD912" i="1"/>
  <c r="AD896" i="1"/>
  <c r="AD832" i="1"/>
  <c r="AD808" i="1"/>
  <c r="AD800" i="1"/>
  <c r="AD792" i="1"/>
  <c r="AD784" i="1"/>
  <c r="AD456" i="1"/>
  <c r="AD416" i="1"/>
  <c r="AD368" i="1"/>
  <c r="AD352" i="1"/>
  <c r="AD312" i="1"/>
  <c r="AD216" i="1"/>
  <c r="AD208" i="1"/>
  <c r="AD144" i="1"/>
  <c r="AD136" i="1"/>
  <c r="AD128" i="1"/>
  <c r="AD120" i="1"/>
  <c r="AD104" i="1"/>
  <c r="AD72" i="1"/>
  <c r="AD24" i="1"/>
  <c r="AK976" i="1"/>
  <c r="AK936" i="1"/>
  <c r="AK912" i="1"/>
  <c r="AK832" i="1"/>
  <c r="AK800" i="1"/>
  <c r="AK792" i="1"/>
  <c r="AK456" i="1"/>
  <c r="AK416" i="1"/>
  <c r="AK368" i="1"/>
  <c r="AK352" i="1"/>
  <c r="AK208" i="1"/>
  <c r="AK144" i="1"/>
  <c r="AK136" i="1"/>
  <c r="AK128" i="1"/>
  <c r="AK120" i="1"/>
  <c r="AK104" i="1"/>
  <c r="AK72" i="1"/>
  <c r="AK2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2" i="1"/>
  <c r="O978" i="1" l="1"/>
  <c r="N978" i="1"/>
  <c r="M978" i="1"/>
  <c r="K978" i="1"/>
  <c r="L978" i="1"/>
  <c r="O970" i="1"/>
  <c r="N970" i="1"/>
  <c r="M970" i="1"/>
  <c r="K970" i="1"/>
  <c r="L970" i="1"/>
  <c r="O962" i="1"/>
  <c r="N962" i="1"/>
  <c r="M962" i="1"/>
  <c r="K962" i="1"/>
  <c r="L962" i="1"/>
  <c r="O954" i="1"/>
  <c r="N954" i="1"/>
  <c r="M954" i="1"/>
  <c r="K954" i="1"/>
  <c r="L954" i="1"/>
  <c r="O946" i="1"/>
  <c r="N946" i="1"/>
  <c r="M946" i="1"/>
  <c r="L946" i="1"/>
  <c r="K946" i="1"/>
  <c r="O938" i="1"/>
  <c r="N938" i="1"/>
  <c r="M938" i="1"/>
  <c r="L938" i="1"/>
  <c r="K938" i="1"/>
  <c r="O930" i="1"/>
  <c r="N930" i="1"/>
  <c r="M930" i="1"/>
  <c r="L930" i="1"/>
  <c r="K930" i="1"/>
  <c r="O922" i="1"/>
  <c r="N922" i="1"/>
  <c r="M922" i="1"/>
  <c r="K922" i="1"/>
  <c r="L922" i="1"/>
  <c r="O914" i="1"/>
  <c r="N914" i="1"/>
  <c r="M914" i="1"/>
  <c r="K914" i="1"/>
  <c r="L914" i="1"/>
  <c r="O906" i="1"/>
  <c r="N906" i="1"/>
  <c r="M906" i="1"/>
  <c r="L906" i="1"/>
  <c r="K906" i="1"/>
  <c r="O898" i="1"/>
  <c r="N898" i="1"/>
  <c r="M898" i="1"/>
  <c r="K898" i="1"/>
  <c r="L898" i="1"/>
  <c r="O890" i="1"/>
  <c r="N890" i="1"/>
  <c r="M890" i="1"/>
  <c r="K890" i="1"/>
  <c r="L890" i="1"/>
  <c r="O882" i="1"/>
  <c r="N882" i="1"/>
  <c r="M882" i="1"/>
  <c r="L882" i="1"/>
  <c r="K882" i="1"/>
  <c r="O874" i="1"/>
  <c r="N874" i="1"/>
  <c r="M874" i="1"/>
  <c r="K874" i="1"/>
  <c r="L874" i="1"/>
  <c r="O866" i="1"/>
  <c r="N866" i="1"/>
  <c r="M866" i="1"/>
  <c r="L866" i="1"/>
  <c r="K866" i="1"/>
  <c r="O858" i="1"/>
  <c r="N858" i="1"/>
  <c r="M858" i="1"/>
  <c r="K858" i="1"/>
  <c r="L858" i="1"/>
  <c r="O850" i="1"/>
  <c r="N850" i="1"/>
  <c r="M850" i="1"/>
  <c r="L850" i="1"/>
  <c r="K850" i="1"/>
  <c r="O842" i="1"/>
  <c r="N842" i="1"/>
  <c r="M842" i="1"/>
  <c r="L842" i="1"/>
  <c r="K842" i="1"/>
  <c r="O834" i="1"/>
  <c r="N834" i="1"/>
  <c r="M834" i="1"/>
  <c r="L834" i="1"/>
  <c r="K834" i="1"/>
  <c r="O826" i="1"/>
  <c r="N826" i="1"/>
  <c r="M826" i="1"/>
  <c r="L826" i="1"/>
  <c r="K826" i="1"/>
  <c r="O818" i="1"/>
  <c r="N818" i="1"/>
  <c r="M818" i="1"/>
  <c r="L818" i="1"/>
  <c r="K818" i="1"/>
  <c r="O810" i="1"/>
  <c r="N810" i="1"/>
  <c r="M810" i="1"/>
  <c r="L810" i="1"/>
  <c r="K810" i="1"/>
  <c r="O802" i="1"/>
  <c r="N802" i="1"/>
  <c r="M802" i="1"/>
  <c r="L802" i="1"/>
  <c r="K802" i="1"/>
  <c r="O794" i="1"/>
  <c r="N794" i="1"/>
  <c r="M794" i="1"/>
  <c r="L794" i="1"/>
  <c r="K794" i="1"/>
  <c r="O786" i="1"/>
  <c r="N786" i="1"/>
  <c r="M786" i="1"/>
  <c r="L786" i="1"/>
  <c r="K786" i="1"/>
  <c r="O778" i="1"/>
  <c r="N778" i="1"/>
  <c r="M778" i="1"/>
  <c r="L778" i="1"/>
  <c r="K778" i="1"/>
  <c r="O770" i="1"/>
  <c r="N770" i="1"/>
  <c r="M770" i="1"/>
  <c r="L770" i="1"/>
  <c r="K770" i="1"/>
  <c r="O762" i="1"/>
  <c r="N762" i="1"/>
  <c r="M762" i="1"/>
  <c r="L762" i="1"/>
  <c r="K762" i="1"/>
  <c r="O754" i="1"/>
  <c r="N754" i="1"/>
  <c r="M754" i="1"/>
  <c r="L754" i="1"/>
  <c r="K754" i="1"/>
  <c r="O746" i="1"/>
  <c r="N746" i="1"/>
  <c r="M746" i="1"/>
  <c r="L746" i="1"/>
  <c r="K746" i="1"/>
  <c r="O738" i="1"/>
  <c r="N738" i="1"/>
  <c r="M738" i="1"/>
  <c r="L738" i="1"/>
  <c r="K738" i="1"/>
  <c r="O730" i="1"/>
  <c r="N730" i="1"/>
  <c r="M730" i="1"/>
  <c r="L730" i="1"/>
  <c r="K730" i="1"/>
  <c r="O722" i="1"/>
  <c r="N722" i="1"/>
  <c r="M722" i="1"/>
  <c r="L722" i="1"/>
  <c r="K722" i="1"/>
  <c r="O714" i="1"/>
  <c r="N714" i="1"/>
  <c r="M714" i="1"/>
  <c r="L714" i="1"/>
  <c r="K714" i="1"/>
  <c r="O706" i="1"/>
  <c r="N706" i="1"/>
  <c r="M706" i="1"/>
  <c r="L706" i="1"/>
  <c r="K706" i="1"/>
  <c r="O698" i="1"/>
  <c r="N698" i="1"/>
  <c r="M698" i="1"/>
  <c r="L698" i="1"/>
  <c r="K698" i="1"/>
  <c r="O690" i="1"/>
  <c r="N690" i="1"/>
  <c r="M690" i="1"/>
  <c r="L690" i="1"/>
  <c r="K690" i="1"/>
  <c r="O682" i="1"/>
  <c r="N682" i="1"/>
  <c r="M682" i="1"/>
  <c r="L682" i="1"/>
  <c r="K682" i="1"/>
  <c r="O674" i="1"/>
  <c r="N674" i="1"/>
  <c r="M674" i="1"/>
  <c r="L674" i="1"/>
  <c r="K674" i="1"/>
  <c r="O666" i="1"/>
  <c r="N666" i="1"/>
  <c r="M666" i="1"/>
  <c r="L666" i="1"/>
  <c r="K666" i="1"/>
  <c r="O658" i="1"/>
  <c r="N658" i="1"/>
  <c r="M658" i="1"/>
  <c r="L658" i="1"/>
  <c r="K658" i="1"/>
  <c r="O650" i="1"/>
  <c r="N650" i="1"/>
  <c r="M650" i="1"/>
  <c r="L650" i="1"/>
  <c r="K650" i="1"/>
  <c r="O642" i="1"/>
  <c r="N642" i="1"/>
  <c r="M642" i="1"/>
  <c r="L642" i="1"/>
  <c r="K642" i="1"/>
  <c r="O634" i="1"/>
  <c r="N634" i="1"/>
  <c r="M634" i="1"/>
  <c r="L634" i="1"/>
  <c r="K634" i="1"/>
  <c r="O626" i="1"/>
  <c r="N626" i="1"/>
  <c r="M626" i="1"/>
  <c r="L626" i="1"/>
  <c r="K626" i="1"/>
  <c r="O618" i="1"/>
  <c r="N618" i="1"/>
  <c r="M618" i="1"/>
  <c r="L618" i="1"/>
  <c r="K618" i="1"/>
  <c r="O610" i="1"/>
  <c r="N610" i="1"/>
  <c r="M610" i="1"/>
  <c r="L610" i="1"/>
  <c r="K610" i="1"/>
  <c r="O602" i="1"/>
  <c r="N602" i="1"/>
  <c r="M602" i="1"/>
  <c r="L602" i="1"/>
  <c r="K602" i="1"/>
  <c r="O594" i="1"/>
  <c r="N594" i="1"/>
  <c r="M594" i="1"/>
  <c r="L594" i="1"/>
  <c r="K594" i="1"/>
  <c r="O586" i="1"/>
  <c r="N586" i="1"/>
  <c r="M586" i="1"/>
  <c r="L586" i="1"/>
  <c r="K586" i="1"/>
  <c r="O578" i="1"/>
  <c r="N578" i="1"/>
  <c r="M578" i="1"/>
  <c r="L578" i="1"/>
  <c r="K578" i="1"/>
  <c r="O570" i="1"/>
  <c r="N570" i="1"/>
  <c r="M570" i="1"/>
  <c r="L570" i="1"/>
  <c r="K570" i="1"/>
  <c r="O562" i="1"/>
  <c r="N562" i="1"/>
  <c r="M562" i="1"/>
  <c r="L562" i="1"/>
  <c r="K562" i="1"/>
  <c r="O554" i="1"/>
  <c r="N554" i="1"/>
  <c r="M554" i="1"/>
  <c r="L554" i="1"/>
  <c r="K554" i="1"/>
  <c r="O546" i="1"/>
  <c r="N546" i="1"/>
  <c r="M546" i="1"/>
  <c r="L546" i="1"/>
  <c r="K546" i="1"/>
  <c r="O538" i="1"/>
  <c r="N538" i="1"/>
  <c r="M538" i="1"/>
  <c r="L538" i="1"/>
  <c r="K538" i="1"/>
  <c r="O530" i="1"/>
  <c r="N530" i="1"/>
  <c r="M530" i="1"/>
  <c r="L530" i="1"/>
  <c r="K530" i="1"/>
  <c r="O522" i="1"/>
  <c r="N522" i="1"/>
  <c r="M522" i="1"/>
  <c r="L522" i="1"/>
  <c r="K522" i="1"/>
  <c r="O514" i="1"/>
  <c r="N514" i="1"/>
  <c r="M514" i="1"/>
  <c r="L514" i="1"/>
  <c r="K514" i="1"/>
  <c r="O506" i="1"/>
  <c r="N506" i="1"/>
  <c r="M506" i="1"/>
  <c r="L506" i="1"/>
  <c r="K506" i="1"/>
  <c r="O498" i="1"/>
  <c r="N498" i="1"/>
  <c r="M498" i="1"/>
  <c r="L498" i="1"/>
  <c r="K498" i="1"/>
  <c r="O490" i="1"/>
  <c r="N490" i="1"/>
  <c r="L490" i="1"/>
  <c r="K490" i="1"/>
  <c r="M490" i="1"/>
  <c r="O482" i="1"/>
  <c r="N482" i="1"/>
  <c r="L482" i="1"/>
  <c r="M482" i="1"/>
  <c r="K482" i="1"/>
  <c r="O474" i="1"/>
  <c r="N474" i="1"/>
  <c r="M474" i="1"/>
  <c r="L474" i="1"/>
  <c r="K474" i="1"/>
  <c r="O466" i="1"/>
  <c r="N466" i="1"/>
  <c r="M466" i="1"/>
  <c r="L466" i="1"/>
  <c r="K466" i="1"/>
  <c r="O458" i="1"/>
  <c r="N458" i="1"/>
  <c r="M458" i="1"/>
  <c r="L458" i="1"/>
  <c r="K458" i="1"/>
  <c r="O450" i="1"/>
  <c r="N450" i="1"/>
  <c r="L450" i="1"/>
  <c r="M450" i="1"/>
  <c r="K450" i="1"/>
  <c r="O442" i="1"/>
  <c r="N442" i="1"/>
  <c r="M442" i="1"/>
  <c r="L442" i="1"/>
  <c r="K442" i="1"/>
  <c r="O434" i="1"/>
  <c r="N434" i="1"/>
  <c r="M434" i="1"/>
  <c r="L434" i="1"/>
  <c r="K434" i="1"/>
  <c r="O426" i="1"/>
  <c r="N426" i="1"/>
  <c r="M426" i="1"/>
  <c r="L426" i="1"/>
  <c r="K426" i="1"/>
  <c r="O418" i="1"/>
  <c r="N418" i="1"/>
  <c r="M418" i="1"/>
  <c r="L418" i="1"/>
  <c r="K418" i="1"/>
  <c r="O410" i="1"/>
  <c r="N410" i="1"/>
  <c r="M410" i="1"/>
  <c r="L410" i="1"/>
  <c r="K410" i="1"/>
  <c r="O402" i="1"/>
  <c r="N402" i="1"/>
  <c r="M402" i="1"/>
  <c r="L402" i="1"/>
  <c r="K402" i="1"/>
  <c r="O394" i="1"/>
  <c r="N394" i="1"/>
  <c r="M394" i="1"/>
  <c r="L394" i="1"/>
  <c r="K394" i="1"/>
  <c r="O386" i="1"/>
  <c r="N386" i="1"/>
  <c r="M386" i="1"/>
  <c r="L386" i="1"/>
  <c r="K386" i="1"/>
  <c r="O378" i="1"/>
  <c r="N378" i="1"/>
  <c r="M378" i="1"/>
  <c r="L378" i="1"/>
  <c r="K378" i="1"/>
  <c r="O370" i="1"/>
  <c r="N370" i="1"/>
  <c r="M370" i="1"/>
  <c r="L370" i="1"/>
  <c r="K370" i="1"/>
  <c r="O362" i="1"/>
  <c r="N362" i="1"/>
  <c r="M362" i="1"/>
  <c r="L362" i="1"/>
  <c r="K362" i="1"/>
  <c r="O354" i="1"/>
  <c r="N354" i="1"/>
  <c r="M354" i="1"/>
  <c r="L354" i="1"/>
  <c r="K354" i="1"/>
  <c r="O346" i="1"/>
  <c r="N346" i="1"/>
  <c r="M346" i="1"/>
  <c r="L346" i="1"/>
  <c r="K346" i="1"/>
  <c r="O338" i="1"/>
  <c r="N338" i="1"/>
  <c r="M338" i="1"/>
  <c r="L338" i="1"/>
  <c r="K338" i="1"/>
  <c r="O330" i="1"/>
  <c r="N330" i="1"/>
  <c r="M330" i="1"/>
  <c r="L330" i="1"/>
  <c r="K330" i="1"/>
  <c r="O322" i="1"/>
  <c r="N322" i="1"/>
  <c r="M322" i="1"/>
  <c r="L322" i="1"/>
  <c r="K322" i="1"/>
  <c r="O314" i="1"/>
  <c r="N314" i="1"/>
  <c r="M314" i="1"/>
  <c r="L314" i="1"/>
  <c r="K314" i="1"/>
  <c r="O306" i="1"/>
  <c r="N306" i="1"/>
  <c r="M306" i="1"/>
  <c r="L306" i="1"/>
  <c r="K306" i="1"/>
  <c r="O298" i="1"/>
  <c r="N298" i="1"/>
  <c r="M298" i="1"/>
  <c r="L298" i="1"/>
  <c r="K298" i="1"/>
  <c r="O290" i="1"/>
  <c r="N290" i="1"/>
  <c r="M290" i="1"/>
  <c r="L290" i="1"/>
  <c r="K290" i="1"/>
  <c r="O282" i="1"/>
  <c r="N282" i="1"/>
  <c r="M282" i="1"/>
  <c r="L282" i="1"/>
  <c r="K282" i="1"/>
  <c r="O274" i="1"/>
  <c r="N274" i="1"/>
  <c r="M274" i="1"/>
  <c r="L274" i="1"/>
  <c r="K274" i="1"/>
  <c r="O266" i="1"/>
  <c r="N266" i="1"/>
  <c r="M266" i="1"/>
  <c r="L266" i="1"/>
  <c r="K266" i="1"/>
  <c r="O258" i="1"/>
  <c r="N258" i="1"/>
  <c r="M258" i="1"/>
  <c r="L258" i="1"/>
  <c r="K258" i="1"/>
  <c r="O250" i="1"/>
  <c r="N250" i="1"/>
  <c r="M250" i="1"/>
  <c r="L250" i="1"/>
  <c r="K250" i="1"/>
  <c r="O242" i="1"/>
  <c r="N242" i="1"/>
  <c r="M242" i="1"/>
  <c r="L242" i="1"/>
  <c r="K242" i="1"/>
  <c r="O234" i="1"/>
  <c r="N234" i="1"/>
  <c r="M234" i="1"/>
  <c r="L234" i="1"/>
  <c r="K234" i="1"/>
  <c r="O226" i="1"/>
  <c r="N226" i="1"/>
  <c r="M226" i="1"/>
  <c r="L226" i="1"/>
  <c r="K226" i="1"/>
  <c r="O218" i="1"/>
  <c r="N218" i="1"/>
  <c r="M218" i="1"/>
  <c r="L218" i="1"/>
  <c r="K218" i="1"/>
  <c r="O210" i="1"/>
  <c r="N210" i="1"/>
  <c r="M210" i="1"/>
  <c r="L210" i="1"/>
  <c r="K210" i="1"/>
  <c r="O202" i="1"/>
  <c r="N202" i="1"/>
  <c r="M202" i="1"/>
  <c r="L202" i="1"/>
  <c r="K202" i="1"/>
  <c r="O194" i="1"/>
  <c r="N194" i="1"/>
  <c r="M194" i="1"/>
  <c r="L194" i="1"/>
  <c r="K194" i="1"/>
  <c r="O186" i="1"/>
  <c r="N186" i="1"/>
  <c r="M186" i="1"/>
  <c r="L186" i="1"/>
  <c r="K186" i="1"/>
  <c r="O178" i="1"/>
  <c r="N178" i="1"/>
  <c r="M178" i="1"/>
  <c r="L178" i="1"/>
  <c r="K178" i="1"/>
  <c r="O170" i="1"/>
  <c r="N170" i="1"/>
  <c r="M170" i="1"/>
  <c r="L170" i="1"/>
  <c r="K170" i="1"/>
  <c r="O162" i="1"/>
  <c r="N162" i="1"/>
  <c r="M162" i="1"/>
  <c r="L162" i="1"/>
  <c r="K162" i="1"/>
  <c r="O154" i="1"/>
  <c r="N154" i="1"/>
  <c r="M154" i="1"/>
  <c r="L154" i="1"/>
  <c r="K154" i="1"/>
  <c r="O146" i="1"/>
  <c r="N146" i="1"/>
  <c r="M146" i="1"/>
  <c r="L146" i="1"/>
  <c r="K146" i="1"/>
  <c r="O138" i="1"/>
  <c r="N138" i="1"/>
  <c r="M138" i="1"/>
  <c r="L138" i="1"/>
  <c r="K138" i="1"/>
  <c r="O130" i="1"/>
  <c r="N130" i="1"/>
  <c r="M130" i="1"/>
  <c r="L130" i="1"/>
  <c r="K130" i="1"/>
  <c r="O122" i="1"/>
  <c r="N122" i="1"/>
  <c r="M122" i="1"/>
  <c r="L122" i="1"/>
  <c r="K122" i="1"/>
  <c r="O114" i="1"/>
  <c r="N114" i="1"/>
  <c r="M114" i="1"/>
  <c r="L114" i="1"/>
  <c r="K114" i="1"/>
  <c r="O106" i="1"/>
  <c r="N106" i="1"/>
  <c r="M106" i="1"/>
  <c r="L106" i="1"/>
  <c r="K106" i="1"/>
  <c r="O98" i="1"/>
  <c r="N98" i="1"/>
  <c r="M98" i="1"/>
  <c r="L98" i="1"/>
  <c r="K98" i="1"/>
  <c r="O90" i="1"/>
  <c r="N90" i="1"/>
  <c r="M90" i="1"/>
  <c r="L90" i="1"/>
  <c r="K90" i="1"/>
  <c r="O82" i="1"/>
  <c r="N82" i="1"/>
  <c r="M82" i="1"/>
  <c r="L82" i="1"/>
  <c r="K82" i="1"/>
  <c r="O74" i="1"/>
  <c r="N74" i="1"/>
  <c r="M74" i="1"/>
  <c r="L74" i="1"/>
  <c r="K74" i="1"/>
  <c r="O66" i="1"/>
  <c r="N66" i="1"/>
  <c r="M66" i="1"/>
  <c r="L66" i="1"/>
  <c r="K66" i="1"/>
  <c r="O58" i="1"/>
  <c r="N58" i="1"/>
  <c r="M58" i="1"/>
  <c r="L58" i="1"/>
  <c r="K58" i="1"/>
  <c r="O50" i="1"/>
  <c r="N50" i="1"/>
  <c r="M50" i="1"/>
  <c r="L50" i="1"/>
  <c r="K50" i="1"/>
  <c r="O42" i="1"/>
  <c r="N42" i="1"/>
  <c r="M42" i="1"/>
  <c r="L42" i="1"/>
  <c r="K42" i="1"/>
  <c r="O34" i="1"/>
  <c r="N34" i="1"/>
  <c r="M34" i="1"/>
  <c r="L34" i="1"/>
  <c r="K34" i="1"/>
  <c r="O26" i="1"/>
  <c r="N26" i="1"/>
  <c r="M26" i="1"/>
  <c r="L26" i="1"/>
  <c r="K26" i="1"/>
  <c r="O18" i="1"/>
  <c r="N18" i="1"/>
  <c r="M18" i="1"/>
  <c r="L18" i="1"/>
  <c r="K18" i="1"/>
  <c r="O10" i="1"/>
  <c r="N10" i="1"/>
  <c r="M10" i="1"/>
  <c r="L10" i="1"/>
  <c r="K10" i="1"/>
  <c r="O977" i="1"/>
  <c r="N977" i="1"/>
  <c r="M977" i="1"/>
  <c r="K977" i="1"/>
  <c r="L977" i="1"/>
  <c r="O969" i="1"/>
  <c r="N969" i="1"/>
  <c r="K969" i="1"/>
  <c r="L969" i="1"/>
  <c r="M969" i="1"/>
  <c r="O961" i="1"/>
  <c r="N961" i="1"/>
  <c r="K961" i="1"/>
  <c r="L961" i="1"/>
  <c r="M961" i="1"/>
  <c r="O953" i="1"/>
  <c r="N953" i="1"/>
  <c r="K953" i="1"/>
  <c r="M953" i="1"/>
  <c r="L953" i="1"/>
  <c r="O945" i="1"/>
  <c r="N945" i="1"/>
  <c r="K945" i="1"/>
  <c r="M945" i="1"/>
  <c r="L945" i="1"/>
  <c r="O937" i="1"/>
  <c r="N937" i="1"/>
  <c r="L937" i="1"/>
  <c r="K937" i="1"/>
  <c r="M937" i="1"/>
  <c r="O929" i="1"/>
  <c r="N929" i="1"/>
  <c r="L929" i="1"/>
  <c r="K929" i="1"/>
  <c r="M929" i="1"/>
  <c r="O921" i="1"/>
  <c r="N921" i="1"/>
  <c r="L921" i="1"/>
  <c r="M921" i="1"/>
  <c r="K921" i="1"/>
  <c r="N913" i="1"/>
  <c r="O913" i="1"/>
  <c r="M913" i="1"/>
  <c r="L913" i="1"/>
  <c r="K913" i="1"/>
  <c r="O905" i="1"/>
  <c r="N905" i="1"/>
  <c r="M905" i="1"/>
  <c r="L905" i="1"/>
  <c r="K905" i="1"/>
  <c r="O897" i="1"/>
  <c r="N897" i="1"/>
  <c r="L897" i="1"/>
  <c r="K897" i="1"/>
  <c r="M897" i="1"/>
  <c r="O889" i="1"/>
  <c r="N889" i="1"/>
  <c r="M889" i="1"/>
  <c r="L889" i="1"/>
  <c r="K889" i="1"/>
  <c r="O881" i="1"/>
  <c r="N881" i="1"/>
  <c r="L881" i="1"/>
  <c r="K881" i="1"/>
  <c r="M881" i="1"/>
  <c r="O873" i="1"/>
  <c r="N873" i="1"/>
  <c r="M873" i="1"/>
  <c r="L873" i="1"/>
  <c r="K873" i="1"/>
  <c r="O865" i="1"/>
  <c r="N865" i="1"/>
  <c r="L865" i="1"/>
  <c r="K865" i="1"/>
  <c r="M865" i="1"/>
  <c r="N857" i="1"/>
  <c r="O857" i="1"/>
  <c r="M857" i="1"/>
  <c r="L857" i="1"/>
  <c r="K857" i="1"/>
  <c r="N849" i="1"/>
  <c r="O849" i="1"/>
  <c r="L849" i="1"/>
  <c r="K849" i="1"/>
  <c r="M849" i="1"/>
  <c r="O841" i="1"/>
  <c r="N841" i="1"/>
  <c r="M841" i="1"/>
  <c r="L841" i="1"/>
  <c r="K841" i="1"/>
  <c r="O833" i="1"/>
  <c r="N833" i="1"/>
  <c r="L833" i="1"/>
  <c r="K833" i="1"/>
  <c r="M833" i="1"/>
  <c r="O825" i="1"/>
  <c r="N825" i="1"/>
  <c r="M825" i="1"/>
  <c r="L825" i="1"/>
  <c r="K825" i="1"/>
  <c r="O817" i="1"/>
  <c r="N817" i="1"/>
  <c r="L817" i="1"/>
  <c r="K817" i="1"/>
  <c r="M817" i="1"/>
  <c r="O809" i="1"/>
  <c r="N809" i="1"/>
  <c r="M809" i="1"/>
  <c r="L809" i="1"/>
  <c r="K809" i="1"/>
  <c r="O801" i="1"/>
  <c r="N801" i="1"/>
  <c r="L801" i="1"/>
  <c r="M801" i="1"/>
  <c r="K801" i="1"/>
  <c r="O793" i="1"/>
  <c r="N793" i="1"/>
  <c r="M793" i="1"/>
  <c r="L793" i="1"/>
  <c r="K793" i="1"/>
  <c r="N785" i="1"/>
  <c r="O785" i="1"/>
  <c r="L785" i="1"/>
  <c r="M785" i="1"/>
  <c r="K785" i="1"/>
  <c r="O777" i="1"/>
  <c r="N777" i="1"/>
  <c r="M777" i="1"/>
  <c r="L777" i="1"/>
  <c r="K777" i="1"/>
  <c r="N769" i="1"/>
  <c r="O769" i="1"/>
  <c r="L769" i="1"/>
  <c r="K769" i="1"/>
  <c r="M769" i="1"/>
  <c r="O761" i="1"/>
  <c r="N761" i="1"/>
  <c r="M761" i="1"/>
  <c r="L761" i="1"/>
  <c r="K761" i="1"/>
  <c r="O753" i="1"/>
  <c r="N753" i="1"/>
  <c r="L753" i="1"/>
  <c r="K753" i="1"/>
  <c r="M753" i="1"/>
  <c r="O745" i="1"/>
  <c r="N745" i="1"/>
  <c r="M745" i="1"/>
  <c r="L745" i="1"/>
  <c r="K745" i="1"/>
  <c r="O737" i="1"/>
  <c r="N737" i="1"/>
  <c r="L737" i="1"/>
  <c r="K737" i="1"/>
  <c r="M737" i="1"/>
  <c r="O729" i="1"/>
  <c r="N729" i="1"/>
  <c r="M729" i="1"/>
  <c r="L729" i="1"/>
  <c r="K729" i="1"/>
  <c r="O721" i="1"/>
  <c r="N721" i="1"/>
  <c r="L721" i="1"/>
  <c r="K721" i="1"/>
  <c r="M721" i="1"/>
  <c r="O713" i="1"/>
  <c r="N713" i="1"/>
  <c r="M713" i="1"/>
  <c r="L713" i="1"/>
  <c r="K713" i="1"/>
  <c r="O705" i="1"/>
  <c r="N705" i="1"/>
  <c r="L705" i="1"/>
  <c r="K705" i="1"/>
  <c r="M705" i="1"/>
  <c r="O697" i="1"/>
  <c r="N697" i="1"/>
  <c r="M697" i="1"/>
  <c r="L697" i="1"/>
  <c r="K697" i="1"/>
  <c r="O689" i="1"/>
  <c r="N689" i="1"/>
  <c r="L689" i="1"/>
  <c r="K689" i="1"/>
  <c r="M689" i="1"/>
  <c r="O681" i="1"/>
  <c r="N681" i="1"/>
  <c r="M681" i="1"/>
  <c r="L681" i="1"/>
  <c r="K681" i="1"/>
  <c r="O673" i="1"/>
  <c r="N673" i="1"/>
  <c r="L673" i="1"/>
  <c r="M673" i="1"/>
  <c r="K673" i="1"/>
  <c r="O665" i="1"/>
  <c r="N665" i="1"/>
  <c r="M665" i="1"/>
  <c r="L665" i="1"/>
  <c r="K665" i="1"/>
  <c r="O657" i="1"/>
  <c r="N657" i="1"/>
  <c r="L657" i="1"/>
  <c r="M657" i="1"/>
  <c r="K657" i="1"/>
  <c r="O649" i="1"/>
  <c r="N649" i="1"/>
  <c r="M649" i="1"/>
  <c r="L649" i="1"/>
  <c r="K649" i="1"/>
  <c r="O641" i="1"/>
  <c r="N641" i="1"/>
  <c r="L641" i="1"/>
  <c r="K641" i="1"/>
  <c r="M641" i="1"/>
  <c r="O633" i="1"/>
  <c r="N633" i="1"/>
  <c r="M633" i="1"/>
  <c r="L633" i="1"/>
  <c r="K633" i="1"/>
  <c r="O625" i="1"/>
  <c r="N625" i="1"/>
  <c r="L625" i="1"/>
  <c r="K625" i="1"/>
  <c r="M625" i="1"/>
  <c r="O617" i="1"/>
  <c r="N617" i="1"/>
  <c r="M617" i="1"/>
  <c r="L617" i="1"/>
  <c r="K617" i="1"/>
  <c r="O609" i="1"/>
  <c r="N609" i="1"/>
  <c r="L609" i="1"/>
  <c r="K609" i="1"/>
  <c r="M609" i="1"/>
  <c r="O601" i="1"/>
  <c r="N601" i="1"/>
  <c r="M601" i="1"/>
  <c r="L601" i="1"/>
  <c r="K601" i="1"/>
  <c r="O593" i="1"/>
  <c r="N593" i="1"/>
  <c r="L593" i="1"/>
  <c r="K593" i="1"/>
  <c r="M593" i="1"/>
  <c r="O585" i="1"/>
  <c r="N585" i="1"/>
  <c r="M585" i="1"/>
  <c r="L585" i="1"/>
  <c r="K585" i="1"/>
  <c r="O577" i="1"/>
  <c r="N577" i="1"/>
  <c r="L577" i="1"/>
  <c r="K577" i="1"/>
  <c r="M577" i="1"/>
  <c r="O569" i="1"/>
  <c r="N569" i="1"/>
  <c r="M569" i="1"/>
  <c r="L569" i="1"/>
  <c r="K569" i="1"/>
  <c r="O561" i="1"/>
  <c r="N561" i="1"/>
  <c r="L561" i="1"/>
  <c r="M561" i="1"/>
  <c r="K561" i="1"/>
  <c r="O553" i="1"/>
  <c r="N553" i="1"/>
  <c r="L553" i="1"/>
  <c r="M553" i="1"/>
  <c r="K553" i="1"/>
  <c r="O545" i="1"/>
  <c r="N545" i="1"/>
  <c r="M545" i="1"/>
  <c r="L545" i="1"/>
  <c r="K545" i="1"/>
  <c r="O537" i="1"/>
  <c r="N537" i="1"/>
  <c r="L537" i="1"/>
  <c r="M537" i="1"/>
  <c r="K537" i="1"/>
  <c r="O529" i="1"/>
  <c r="N529" i="1"/>
  <c r="M529" i="1"/>
  <c r="L529" i="1"/>
  <c r="K529" i="1"/>
  <c r="O521" i="1"/>
  <c r="N521" i="1"/>
  <c r="M521" i="1"/>
  <c r="L521" i="1"/>
  <c r="K521" i="1"/>
  <c r="O513" i="1"/>
  <c r="N513" i="1"/>
  <c r="L513" i="1"/>
  <c r="M513" i="1"/>
  <c r="K513" i="1"/>
  <c r="O505" i="1"/>
  <c r="M505" i="1"/>
  <c r="N505" i="1"/>
  <c r="L505" i="1"/>
  <c r="K505" i="1"/>
  <c r="O497" i="1"/>
  <c r="N497" i="1"/>
  <c r="M497" i="1"/>
  <c r="L497" i="1"/>
  <c r="K497" i="1"/>
  <c r="O489" i="1"/>
  <c r="N489" i="1"/>
  <c r="M489" i="1"/>
  <c r="L489" i="1"/>
  <c r="K489" i="1"/>
  <c r="O481" i="1"/>
  <c r="N481" i="1"/>
  <c r="L481" i="1"/>
  <c r="M481" i="1"/>
  <c r="K481" i="1"/>
  <c r="O473" i="1"/>
  <c r="N473" i="1"/>
  <c r="L473" i="1"/>
  <c r="M473" i="1"/>
  <c r="K473" i="1"/>
  <c r="O465" i="1"/>
  <c r="N465" i="1"/>
  <c r="M465" i="1"/>
  <c r="L465" i="1"/>
  <c r="K465" i="1"/>
  <c r="O457" i="1"/>
  <c r="N457" i="1"/>
  <c r="M457" i="1"/>
  <c r="L457" i="1"/>
  <c r="K457" i="1"/>
  <c r="O449" i="1"/>
  <c r="N449" i="1"/>
  <c r="L449" i="1"/>
  <c r="K449" i="1"/>
  <c r="M449" i="1"/>
  <c r="O441" i="1"/>
  <c r="N441" i="1"/>
  <c r="M441" i="1"/>
  <c r="L441" i="1"/>
  <c r="K441" i="1"/>
  <c r="O433" i="1"/>
  <c r="N433" i="1"/>
  <c r="M433" i="1"/>
  <c r="L433" i="1"/>
  <c r="K433" i="1"/>
  <c r="O425" i="1"/>
  <c r="N425" i="1"/>
  <c r="L425" i="1"/>
  <c r="M425" i="1"/>
  <c r="K425" i="1"/>
  <c r="O417" i="1"/>
  <c r="N417" i="1"/>
  <c r="M417" i="1"/>
  <c r="L417" i="1"/>
  <c r="K417" i="1"/>
  <c r="O409" i="1"/>
  <c r="N409" i="1"/>
  <c r="M409" i="1"/>
  <c r="L409" i="1"/>
  <c r="K409" i="1"/>
  <c r="O401" i="1"/>
  <c r="N401" i="1"/>
  <c r="M401" i="1"/>
  <c r="L401" i="1"/>
  <c r="K401" i="1"/>
  <c r="O393" i="1"/>
  <c r="N393" i="1"/>
  <c r="M393" i="1"/>
  <c r="L393" i="1"/>
  <c r="K393" i="1"/>
  <c r="O385" i="1"/>
  <c r="N385" i="1"/>
  <c r="M385" i="1"/>
  <c r="L385" i="1"/>
  <c r="K385" i="1"/>
  <c r="O377" i="1"/>
  <c r="N377" i="1"/>
  <c r="M377" i="1"/>
  <c r="L377" i="1"/>
  <c r="K377" i="1"/>
  <c r="O369" i="1"/>
  <c r="N369" i="1"/>
  <c r="L369" i="1"/>
  <c r="M369" i="1"/>
  <c r="K369" i="1"/>
  <c r="O361" i="1"/>
  <c r="N361" i="1"/>
  <c r="M361" i="1"/>
  <c r="L361" i="1"/>
  <c r="K361" i="1"/>
  <c r="O353" i="1"/>
  <c r="N353" i="1"/>
  <c r="M353" i="1"/>
  <c r="L353" i="1"/>
  <c r="K353" i="1"/>
  <c r="O345" i="1"/>
  <c r="N345" i="1"/>
  <c r="M345" i="1"/>
  <c r="L345" i="1"/>
  <c r="K345" i="1"/>
  <c r="O337" i="1"/>
  <c r="N337" i="1"/>
  <c r="M337" i="1"/>
  <c r="L337" i="1"/>
  <c r="K337" i="1"/>
  <c r="O329" i="1"/>
  <c r="N329" i="1"/>
  <c r="M329" i="1"/>
  <c r="L329" i="1"/>
  <c r="K329" i="1"/>
  <c r="O321" i="1"/>
  <c r="N321" i="1"/>
  <c r="M321" i="1"/>
  <c r="L321" i="1"/>
  <c r="K321" i="1"/>
  <c r="O313" i="1"/>
  <c r="N313" i="1"/>
  <c r="M313" i="1"/>
  <c r="L313" i="1"/>
  <c r="K313" i="1"/>
  <c r="O305" i="1"/>
  <c r="N305" i="1"/>
  <c r="L305" i="1"/>
  <c r="M305" i="1"/>
  <c r="K305" i="1"/>
  <c r="O297" i="1"/>
  <c r="N297" i="1"/>
  <c r="M297" i="1"/>
  <c r="L297" i="1"/>
  <c r="K297" i="1"/>
  <c r="O289" i="1"/>
  <c r="N289" i="1"/>
  <c r="M289" i="1"/>
  <c r="L289" i="1"/>
  <c r="K289" i="1"/>
  <c r="O281" i="1"/>
  <c r="N281" i="1"/>
  <c r="L281" i="1"/>
  <c r="M281" i="1"/>
  <c r="K281" i="1"/>
  <c r="O273" i="1"/>
  <c r="N273" i="1"/>
  <c r="M273" i="1"/>
  <c r="L273" i="1"/>
  <c r="K273" i="1"/>
  <c r="O265" i="1"/>
  <c r="N265" i="1"/>
  <c r="M265" i="1"/>
  <c r="L265" i="1"/>
  <c r="K265" i="1"/>
  <c r="O257" i="1"/>
  <c r="N257" i="1"/>
  <c r="M257" i="1"/>
  <c r="L257" i="1"/>
  <c r="K257" i="1"/>
  <c r="O249" i="1"/>
  <c r="N249" i="1"/>
  <c r="M249" i="1"/>
  <c r="L249" i="1"/>
  <c r="K249" i="1"/>
  <c r="O241" i="1"/>
  <c r="N241" i="1"/>
  <c r="M241" i="1"/>
  <c r="L241" i="1"/>
  <c r="K241" i="1"/>
  <c r="O233" i="1"/>
  <c r="N233" i="1"/>
  <c r="M233" i="1"/>
  <c r="L233" i="1"/>
  <c r="K233" i="1"/>
  <c r="O225" i="1"/>
  <c r="N225" i="1"/>
  <c r="M225" i="1"/>
  <c r="L225" i="1"/>
  <c r="K225" i="1"/>
  <c r="O217" i="1"/>
  <c r="N217" i="1"/>
  <c r="L217" i="1"/>
  <c r="K217" i="1"/>
  <c r="M217" i="1"/>
  <c r="O209" i="1"/>
  <c r="N209" i="1"/>
  <c r="M209" i="1"/>
  <c r="L209" i="1"/>
  <c r="K209" i="1"/>
  <c r="O201" i="1"/>
  <c r="N201" i="1"/>
  <c r="M201" i="1"/>
  <c r="L201" i="1"/>
  <c r="K201" i="1"/>
  <c r="O193" i="1"/>
  <c r="N193" i="1"/>
  <c r="M193" i="1"/>
  <c r="L193" i="1"/>
  <c r="K193" i="1"/>
  <c r="O185" i="1"/>
  <c r="N185" i="1"/>
  <c r="M185" i="1"/>
  <c r="L185" i="1"/>
  <c r="K185" i="1"/>
  <c r="O177" i="1"/>
  <c r="N177" i="1"/>
  <c r="L177" i="1"/>
  <c r="M177" i="1"/>
  <c r="K177" i="1"/>
  <c r="O169" i="1"/>
  <c r="N169" i="1"/>
  <c r="M169" i="1"/>
  <c r="L169" i="1"/>
  <c r="K169" i="1"/>
  <c r="O161" i="1"/>
  <c r="N161" i="1"/>
  <c r="M161" i="1"/>
  <c r="L161" i="1"/>
  <c r="K161" i="1"/>
  <c r="O153" i="1"/>
  <c r="N153" i="1"/>
  <c r="M153" i="1"/>
  <c r="L153" i="1"/>
  <c r="K153" i="1"/>
  <c r="O145" i="1"/>
  <c r="N145" i="1"/>
  <c r="M145" i="1"/>
  <c r="L145" i="1"/>
  <c r="K145" i="1"/>
  <c r="O137" i="1"/>
  <c r="N137" i="1"/>
  <c r="M137" i="1"/>
  <c r="L137" i="1"/>
  <c r="K137" i="1"/>
  <c r="O129" i="1"/>
  <c r="N129" i="1"/>
  <c r="M129" i="1"/>
  <c r="L129" i="1"/>
  <c r="K129" i="1"/>
  <c r="O121" i="1"/>
  <c r="N121" i="1"/>
  <c r="M121" i="1"/>
  <c r="L121" i="1"/>
  <c r="K121" i="1"/>
  <c r="O113" i="1"/>
  <c r="N113" i="1"/>
  <c r="L113" i="1"/>
  <c r="M113" i="1"/>
  <c r="K113" i="1"/>
  <c r="O105" i="1"/>
  <c r="N105" i="1"/>
  <c r="M105" i="1"/>
  <c r="L105" i="1"/>
  <c r="K105" i="1"/>
  <c r="O97" i="1"/>
  <c r="N97" i="1"/>
  <c r="M97" i="1"/>
  <c r="L97" i="1"/>
  <c r="K97" i="1"/>
  <c r="O89" i="1"/>
  <c r="N89" i="1"/>
  <c r="M89" i="1"/>
  <c r="L89" i="1"/>
  <c r="K89" i="1"/>
  <c r="O81" i="1"/>
  <c r="N81" i="1"/>
  <c r="M81" i="1"/>
  <c r="L81" i="1"/>
  <c r="K81" i="1"/>
  <c r="O73" i="1"/>
  <c r="N73" i="1"/>
  <c r="M73" i="1"/>
  <c r="L73" i="1"/>
  <c r="K73" i="1"/>
  <c r="O65" i="1"/>
  <c r="N65" i="1"/>
  <c r="M65" i="1"/>
  <c r="L65" i="1"/>
  <c r="K65" i="1"/>
  <c r="O57" i="1"/>
  <c r="N57" i="1"/>
  <c r="M57" i="1"/>
  <c r="L57" i="1"/>
  <c r="K57" i="1"/>
  <c r="O49" i="1"/>
  <c r="N49" i="1"/>
  <c r="L49" i="1"/>
  <c r="M49" i="1"/>
  <c r="K49" i="1"/>
  <c r="O41" i="1"/>
  <c r="N41" i="1"/>
  <c r="M41" i="1"/>
  <c r="L41" i="1"/>
  <c r="K41" i="1"/>
  <c r="O33" i="1"/>
  <c r="N33" i="1"/>
  <c r="M33" i="1"/>
  <c r="L33" i="1"/>
  <c r="K33" i="1"/>
  <c r="O25" i="1"/>
  <c r="N25" i="1"/>
  <c r="M25" i="1"/>
  <c r="L25" i="1"/>
  <c r="K25" i="1"/>
  <c r="O17" i="1"/>
  <c r="N17" i="1"/>
  <c r="M17" i="1"/>
  <c r="L17" i="1"/>
  <c r="K17" i="1"/>
  <c r="O9" i="1"/>
  <c r="N9" i="1"/>
  <c r="M9" i="1"/>
  <c r="L9" i="1"/>
  <c r="K9" i="1"/>
  <c r="N976" i="1"/>
  <c r="O976" i="1"/>
  <c r="M976" i="1"/>
  <c r="K976" i="1"/>
  <c r="L976" i="1"/>
  <c r="O968" i="1"/>
  <c r="N968" i="1"/>
  <c r="M968" i="1"/>
  <c r="K968" i="1"/>
  <c r="L968" i="1"/>
  <c r="O960" i="1"/>
  <c r="N960" i="1"/>
  <c r="M960" i="1"/>
  <c r="K960" i="1"/>
  <c r="L960" i="1"/>
  <c r="O952" i="1"/>
  <c r="N952" i="1"/>
  <c r="M952" i="1"/>
  <c r="K952" i="1"/>
  <c r="L952" i="1"/>
  <c r="O944" i="1"/>
  <c r="N944" i="1"/>
  <c r="M944" i="1"/>
  <c r="K944" i="1"/>
  <c r="L944" i="1"/>
  <c r="O936" i="1"/>
  <c r="N936" i="1"/>
  <c r="M936" i="1"/>
  <c r="K936" i="1"/>
  <c r="L936" i="1"/>
  <c r="O928" i="1"/>
  <c r="N928" i="1"/>
  <c r="M928" i="1"/>
  <c r="L928" i="1"/>
  <c r="K928" i="1"/>
  <c r="O920" i="1"/>
  <c r="N920" i="1"/>
  <c r="L920" i="1"/>
  <c r="M920" i="1"/>
  <c r="K920" i="1"/>
  <c r="N912" i="1"/>
  <c r="O912" i="1"/>
  <c r="L912" i="1"/>
  <c r="M912" i="1"/>
  <c r="K912" i="1"/>
  <c r="O904" i="1"/>
  <c r="N904" i="1"/>
  <c r="M904" i="1"/>
  <c r="L904" i="1"/>
  <c r="K904" i="1"/>
  <c r="O896" i="1"/>
  <c r="N896" i="1"/>
  <c r="L896" i="1"/>
  <c r="M896" i="1"/>
  <c r="K896" i="1"/>
  <c r="O888" i="1"/>
  <c r="N888" i="1"/>
  <c r="M888" i="1"/>
  <c r="L888" i="1"/>
  <c r="K888" i="1"/>
  <c r="O880" i="1"/>
  <c r="N880" i="1"/>
  <c r="L880" i="1"/>
  <c r="M880" i="1"/>
  <c r="K880" i="1"/>
  <c r="O872" i="1"/>
  <c r="N872" i="1"/>
  <c r="M872" i="1"/>
  <c r="L872" i="1"/>
  <c r="K872" i="1"/>
  <c r="O864" i="1"/>
  <c r="N864" i="1"/>
  <c r="L864" i="1"/>
  <c r="M864" i="1"/>
  <c r="K864" i="1"/>
  <c r="O856" i="1"/>
  <c r="N856" i="1"/>
  <c r="M856" i="1"/>
  <c r="L856" i="1"/>
  <c r="K856" i="1"/>
  <c r="N848" i="1"/>
  <c r="O848" i="1"/>
  <c r="L848" i="1"/>
  <c r="M848" i="1"/>
  <c r="K848" i="1"/>
  <c r="O840" i="1"/>
  <c r="N840" i="1"/>
  <c r="M840" i="1"/>
  <c r="L840" i="1"/>
  <c r="K840" i="1"/>
  <c r="O832" i="1"/>
  <c r="N832" i="1"/>
  <c r="L832" i="1"/>
  <c r="M832" i="1"/>
  <c r="K832" i="1"/>
  <c r="O824" i="1"/>
  <c r="N824" i="1"/>
  <c r="M824" i="1"/>
  <c r="L824" i="1"/>
  <c r="K824" i="1"/>
  <c r="O816" i="1"/>
  <c r="N816" i="1"/>
  <c r="L816" i="1"/>
  <c r="M816" i="1"/>
  <c r="K816" i="1"/>
  <c r="O808" i="1"/>
  <c r="N808" i="1"/>
  <c r="M808" i="1"/>
  <c r="L808" i="1"/>
  <c r="K808" i="1"/>
  <c r="O800" i="1"/>
  <c r="N800" i="1"/>
  <c r="L800" i="1"/>
  <c r="M800" i="1"/>
  <c r="K800" i="1"/>
  <c r="O792" i="1"/>
  <c r="N792" i="1"/>
  <c r="M792" i="1"/>
  <c r="L792" i="1"/>
  <c r="K792" i="1"/>
  <c r="O784" i="1"/>
  <c r="N784" i="1"/>
  <c r="L784" i="1"/>
  <c r="M784" i="1"/>
  <c r="K784" i="1"/>
  <c r="O776" i="1"/>
  <c r="N776" i="1"/>
  <c r="M776" i="1"/>
  <c r="L776" i="1"/>
  <c r="K776" i="1"/>
  <c r="O768" i="1"/>
  <c r="N768" i="1"/>
  <c r="L768" i="1"/>
  <c r="M768" i="1"/>
  <c r="K768" i="1"/>
  <c r="O760" i="1"/>
  <c r="N760" i="1"/>
  <c r="M760" i="1"/>
  <c r="L760" i="1"/>
  <c r="K760" i="1"/>
  <c r="O752" i="1"/>
  <c r="N752" i="1"/>
  <c r="L752" i="1"/>
  <c r="M752" i="1"/>
  <c r="K752" i="1"/>
  <c r="O744" i="1"/>
  <c r="N744" i="1"/>
  <c r="M744" i="1"/>
  <c r="L744" i="1"/>
  <c r="K744" i="1"/>
  <c r="O736" i="1"/>
  <c r="N736" i="1"/>
  <c r="L736" i="1"/>
  <c r="M736" i="1"/>
  <c r="K736" i="1"/>
  <c r="O728" i="1"/>
  <c r="N728" i="1"/>
  <c r="M728" i="1"/>
  <c r="L728" i="1"/>
  <c r="K728" i="1"/>
  <c r="O720" i="1"/>
  <c r="N720" i="1"/>
  <c r="L720" i="1"/>
  <c r="M720" i="1"/>
  <c r="K720" i="1"/>
  <c r="O712" i="1"/>
  <c r="N712" i="1"/>
  <c r="M712" i="1"/>
  <c r="L712" i="1"/>
  <c r="K712" i="1"/>
  <c r="O704" i="1"/>
  <c r="L704" i="1"/>
  <c r="N704" i="1"/>
  <c r="M704" i="1"/>
  <c r="K704" i="1"/>
  <c r="O696" i="1"/>
  <c r="N696" i="1"/>
  <c r="M696" i="1"/>
  <c r="L696" i="1"/>
  <c r="K696" i="1"/>
  <c r="O688" i="1"/>
  <c r="N688" i="1"/>
  <c r="L688" i="1"/>
  <c r="M688" i="1"/>
  <c r="K688" i="1"/>
  <c r="O680" i="1"/>
  <c r="N680" i="1"/>
  <c r="M680" i="1"/>
  <c r="L680" i="1"/>
  <c r="K680" i="1"/>
  <c r="O672" i="1"/>
  <c r="N672" i="1"/>
  <c r="L672" i="1"/>
  <c r="M672" i="1"/>
  <c r="K672" i="1"/>
  <c r="O664" i="1"/>
  <c r="N664" i="1"/>
  <c r="M664" i="1"/>
  <c r="L664" i="1"/>
  <c r="K664" i="1"/>
  <c r="O656" i="1"/>
  <c r="N656" i="1"/>
  <c r="L656" i="1"/>
  <c r="M656" i="1"/>
  <c r="K656" i="1"/>
  <c r="O648" i="1"/>
  <c r="N648" i="1"/>
  <c r="M648" i="1"/>
  <c r="L648" i="1"/>
  <c r="K648" i="1"/>
  <c r="O640" i="1"/>
  <c r="N640" i="1"/>
  <c r="L640" i="1"/>
  <c r="M640" i="1"/>
  <c r="K640" i="1"/>
  <c r="O632" i="1"/>
  <c r="N632" i="1"/>
  <c r="M632" i="1"/>
  <c r="L632" i="1"/>
  <c r="K632" i="1"/>
  <c r="O624" i="1"/>
  <c r="N624" i="1"/>
  <c r="L624" i="1"/>
  <c r="M624" i="1"/>
  <c r="K624" i="1"/>
  <c r="O616" i="1"/>
  <c r="N616" i="1"/>
  <c r="M616" i="1"/>
  <c r="L616" i="1"/>
  <c r="K616" i="1"/>
  <c r="O608" i="1"/>
  <c r="N608" i="1"/>
  <c r="L608" i="1"/>
  <c r="M608" i="1"/>
  <c r="K608" i="1"/>
  <c r="O600" i="1"/>
  <c r="N600" i="1"/>
  <c r="M600" i="1"/>
  <c r="L600" i="1"/>
  <c r="K600" i="1"/>
  <c r="O592" i="1"/>
  <c r="N592" i="1"/>
  <c r="L592" i="1"/>
  <c r="M592" i="1"/>
  <c r="K592" i="1"/>
  <c r="O584" i="1"/>
  <c r="N584" i="1"/>
  <c r="M584" i="1"/>
  <c r="L584" i="1"/>
  <c r="K584" i="1"/>
  <c r="O576" i="1"/>
  <c r="N576" i="1"/>
  <c r="L576" i="1"/>
  <c r="M576" i="1"/>
  <c r="K576" i="1"/>
  <c r="O568" i="1"/>
  <c r="N568" i="1"/>
  <c r="M568" i="1"/>
  <c r="L568" i="1"/>
  <c r="K568" i="1"/>
  <c r="O560" i="1"/>
  <c r="N560" i="1"/>
  <c r="L560" i="1"/>
  <c r="K560" i="1"/>
  <c r="M560" i="1"/>
  <c r="O552" i="1"/>
  <c r="N552" i="1"/>
  <c r="L552" i="1"/>
  <c r="M552" i="1"/>
  <c r="K552" i="1"/>
  <c r="O544" i="1"/>
  <c r="N544" i="1"/>
  <c r="M544" i="1"/>
  <c r="L544" i="1"/>
  <c r="K544" i="1"/>
  <c r="O536" i="1"/>
  <c r="N536" i="1"/>
  <c r="L536" i="1"/>
  <c r="M536" i="1"/>
  <c r="K536" i="1"/>
  <c r="O528" i="1"/>
  <c r="N528" i="1"/>
  <c r="L528" i="1"/>
  <c r="M528" i="1"/>
  <c r="K528" i="1"/>
  <c r="O520" i="1"/>
  <c r="N520" i="1"/>
  <c r="M520" i="1"/>
  <c r="L520" i="1"/>
  <c r="K520" i="1"/>
  <c r="O512" i="1"/>
  <c r="N512" i="1"/>
  <c r="M512" i="1"/>
  <c r="L512" i="1"/>
  <c r="K512" i="1"/>
  <c r="O504" i="1"/>
  <c r="N504" i="1"/>
  <c r="L504" i="1"/>
  <c r="M504" i="1"/>
  <c r="K504" i="1"/>
  <c r="O496" i="1"/>
  <c r="N496" i="1"/>
  <c r="M496" i="1"/>
  <c r="L496" i="1"/>
  <c r="K496" i="1"/>
  <c r="O488" i="1"/>
  <c r="N488" i="1"/>
  <c r="M488" i="1"/>
  <c r="L488" i="1"/>
  <c r="K488" i="1"/>
  <c r="O480" i="1"/>
  <c r="N480" i="1"/>
  <c r="M480" i="1"/>
  <c r="L480" i="1"/>
  <c r="K480" i="1"/>
  <c r="O472" i="1"/>
  <c r="N472" i="1"/>
  <c r="L472" i="1"/>
  <c r="M472" i="1"/>
  <c r="K472" i="1"/>
  <c r="O464" i="1"/>
  <c r="N464" i="1"/>
  <c r="M464" i="1"/>
  <c r="L464" i="1"/>
  <c r="K464" i="1"/>
  <c r="O456" i="1"/>
  <c r="N456" i="1"/>
  <c r="M456" i="1"/>
  <c r="L456" i="1"/>
  <c r="K456" i="1"/>
  <c r="O448" i="1"/>
  <c r="N448" i="1"/>
  <c r="M448" i="1"/>
  <c r="L448" i="1"/>
  <c r="K448" i="1"/>
  <c r="O440" i="1"/>
  <c r="M440" i="1"/>
  <c r="N440" i="1"/>
  <c r="L440" i="1"/>
  <c r="K440" i="1"/>
  <c r="O432" i="1"/>
  <c r="N432" i="1"/>
  <c r="M432" i="1"/>
  <c r="L432" i="1"/>
  <c r="K432" i="1"/>
  <c r="O424" i="1"/>
  <c r="M424" i="1"/>
  <c r="N424" i="1"/>
  <c r="L424" i="1"/>
  <c r="K424" i="1"/>
  <c r="O416" i="1"/>
  <c r="N416" i="1"/>
  <c r="M416" i="1"/>
  <c r="L416" i="1"/>
  <c r="K416" i="1"/>
  <c r="O408" i="1"/>
  <c r="N408" i="1"/>
  <c r="M408" i="1"/>
  <c r="L408" i="1"/>
  <c r="K408" i="1"/>
  <c r="O400" i="1"/>
  <c r="N400" i="1"/>
  <c r="M400" i="1"/>
  <c r="L400" i="1"/>
  <c r="K400" i="1"/>
  <c r="O392" i="1"/>
  <c r="M392" i="1"/>
  <c r="N392" i="1"/>
  <c r="L392" i="1"/>
  <c r="K392" i="1"/>
  <c r="O384" i="1"/>
  <c r="N384" i="1"/>
  <c r="M384" i="1"/>
  <c r="L384" i="1"/>
  <c r="K384" i="1"/>
  <c r="O376" i="1"/>
  <c r="N376" i="1"/>
  <c r="M376" i="1"/>
  <c r="L376" i="1"/>
  <c r="K376" i="1"/>
  <c r="O368" i="1"/>
  <c r="N368" i="1"/>
  <c r="M368" i="1"/>
  <c r="L368" i="1"/>
  <c r="K368" i="1"/>
  <c r="O360" i="1"/>
  <c r="N360" i="1"/>
  <c r="M360" i="1"/>
  <c r="L360" i="1"/>
  <c r="K360" i="1"/>
  <c r="O352" i="1"/>
  <c r="N352" i="1"/>
  <c r="M352" i="1"/>
  <c r="L352" i="1"/>
  <c r="K352" i="1"/>
  <c r="O344" i="1"/>
  <c r="M344" i="1"/>
  <c r="N344" i="1"/>
  <c r="L344" i="1"/>
  <c r="K344" i="1"/>
  <c r="O336" i="1"/>
  <c r="N336" i="1"/>
  <c r="M336" i="1"/>
  <c r="L336" i="1"/>
  <c r="K336" i="1"/>
  <c r="O328" i="1"/>
  <c r="M328" i="1"/>
  <c r="N328" i="1"/>
  <c r="L328" i="1"/>
  <c r="K328" i="1"/>
  <c r="O320" i="1"/>
  <c r="N320" i="1"/>
  <c r="M320" i="1"/>
  <c r="L320" i="1"/>
  <c r="K320" i="1"/>
  <c r="O312" i="1"/>
  <c r="N312" i="1"/>
  <c r="M312" i="1"/>
  <c r="L312" i="1"/>
  <c r="K312" i="1"/>
  <c r="O304" i="1"/>
  <c r="N304" i="1"/>
  <c r="M304" i="1"/>
  <c r="L304" i="1"/>
  <c r="K304" i="1"/>
  <c r="O296" i="1"/>
  <c r="N296" i="1"/>
  <c r="M296" i="1"/>
  <c r="L296" i="1"/>
  <c r="K296" i="1"/>
  <c r="O288" i="1"/>
  <c r="N288" i="1"/>
  <c r="M288" i="1"/>
  <c r="L288" i="1"/>
  <c r="K288" i="1"/>
  <c r="O280" i="1"/>
  <c r="N280" i="1"/>
  <c r="M280" i="1"/>
  <c r="L280" i="1"/>
  <c r="K280" i="1"/>
  <c r="O272" i="1"/>
  <c r="N272" i="1"/>
  <c r="M272" i="1"/>
  <c r="L272" i="1"/>
  <c r="K272" i="1"/>
  <c r="O264" i="1"/>
  <c r="N264" i="1"/>
  <c r="M264" i="1"/>
  <c r="L264" i="1"/>
  <c r="K264" i="1"/>
  <c r="O256" i="1"/>
  <c r="N256" i="1"/>
  <c r="M256" i="1"/>
  <c r="L256" i="1"/>
  <c r="K256" i="1"/>
  <c r="O248" i="1"/>
  <c r="N248" i="1"/>
  <c r="M248" i="1"/>
  <c r="L248" i="1"/>
  <c r="K248" i="1"/>
  <c r="O240" i="1"/>
  <c r="N240" i="1"/>
  <c r="M240" i="1"/>
  <c r="L240" i="1"/>
  <c r="K240" i="1"/>
  <c r="O232" i="1"/>
  <c r="N232" i="1"/>
  <c r="M232" i="1"/>
  <c r="L232" i="1"/>
  <c r="K232" i="1"/>
  <c r="O224" i="1"/>
  <c r="N224" i="1"/>
  <c r="M224" i="1"/>
  <c r="L224" i="1"/>
  <c r="K224" i="1"/>
  <c r="O216" i="1"/>
  <c r="N216" i="1"/>
  <c r="M216" i="1"/>
  <c r="L216" i="1"/>
  <c r="K216" i="1"/>
  <c r="O208" i="1"/>
  <c r="N208" i="1"/>
  <c r="M208" i="1"/>
  <c r="L208" i="1"/>
  <c r="K208" i="1"/>
  <c r="O200" i="1"/>
  <c r="N200" i="1"/>
  <c r="M200" i="1"/>
  <c r="L200" i="1"/>
  <c r="K200" i="1"/>
  <c r="O192" i="1"/>
  <c r="N192" i="1"/>
  <c r="M192" i="1"/>
  <c r="L192" i="1"/>
  <c r="K192" i="1"/>
  <c r="O184" i="1"/>
  <c r="N184" i="1"/>
  <c r="M184" i="1"/>
  <c r="L184" i="1"/>
  <c r="K184" i="1"/>
  <c r="O176" i="1"/>
  <c r="N176" i="1"/>
  <c r="M176" i="1"/>
  <c r="L176" i="1"/>
  <c r="K176" i="1"/>
  <c r="O168" i="1"/>
  <c r="N168" i="1"/>
  <c r="M168" i="1"/>
  <c r="L168" i="1"/>
  <c r="K168" i="1"/>
  <c r="O160" i="1"/>
  <c r="N160" i="1"/>
  <c r="M160" i="1"/>
  <c r="L160" i="1"/>
  <c r="K160" i="1"/>
  <c r="O152" i="1"/>
  <c r="N152" i="1"/>
  <c r="M152" i="1"/>
  <c r="L152" i="1"/>
  <c r="K152" i="1"/>
  <c r="O144" i="1"/>
  <c r="N144" i="1"/>
  <c r="M144" i="1"/>
  <c r="L144" i="1"/>
  <c r="K144" i="1"/>
  <c r="O136" i="1"/>
  <c r="N136" i="1"/>
  <c r="M136" i="1"/>
  <c r="L136" i="1"/>
  <c r="K136" i="1"/>
  <c r="O128" i="1"/>
  <c r="N128" i="1"/>
  <c r="M128" i="1"/>
  <c r="L128" i="1"/>
  <c r="K128" i="1"/>
  <c r="O120" i="1"/>
  <c r="N120" i="1"/>
  <c r="M120" i="1"/>
  <c r="L120" i="1"/>
  <c r="K120" i="1"/>
  <c r="O112" i="1"/>
  <c r="N112" i="1"/>
  <c r="M112" i="1"/>
  <c r="L112" i="1"/>
  <c r="K112" i="1"/>
  <c r="O104" i="1"/>
  <c r="N104" i="1"/>
  <c r="M104" i="1"/>
  <c r="L104" i="1"/>
  <c r="K104" i="1"/>
  <c r="O96" i="1"/>
  <c r="N96" i="1"/>
  <c r="M96" i="1"/>
  <c r="L96" i="1"/>
  <c r="K96" i="1"/>
  <c r="O88" i="1"/>
  <c r="N88" i="1"/>
  <c r="M88" i="1"/>
  <c r="L88" i="1"/>
  <c r="K88" i="1"/>
  <c r="O80" i="1"/>
  <c r="N80" i="1"/>
  <c r="M80" i="1"/>
  <c r="L80" i="1"/>
  <c r="K80" i="1"/>
  <c r="O72" i="1"/>
  <c r="N72" i="1"/>
  <c r="M72" i="1"/>
  <c r="L72" i="1"/>
  <c r="K72" i="1"/>
  <c r="O64" i="1"/>
  <c r="N64" i="1"/>
  <c r="M64" i="1"/>
  <c r="L64" i="1"/>
  <c r="K64" i="1"/>
  <c r="O56" i="1"/>
  <c r="N56" i="1"/>
  <c r="M56" i="1"/>
  <c r="L56" i="1"/>
  <c r="K56" i="1"/>
  <c r="O48" i="1"/>
  <c r="N48" i="1"/>
  <c r="M48" i="1"/>
  <c r="L48" i="1"/>
  <c r="K48" i="1"/>
  <c r="O40" i="1"/>
  <c r="N40" i="1"/>
  <c r="M40" i="1"/>
  <c r="L40" i="1"/>
  <c r="K40" i="1"/>
  <c r="O32" i="1"/>
  <c r="N32" i="1"/>
  <c r="M32" i="1"/>
  <c r="L32" i="1"/>
  <c r="K32" i="1"/>
  <c r="O24" i="1"/>
  <c r="N24" i="1"/>
  <c r="M24" i="1"/>
  <c r="L24" i="1"/>
  <c r="K24" i="1"/>
  <c r="O16" i="1"/>
  <c r="N16" i="1"/>
  <c r="M16" i="1"/>
  <c r="L16" i="1"/>
  <c r="K16" i="1"/>
  <c r="O8" i="1"/>
  <c r="N8" i="1"/>
  <c r="M8" i="1"/>
  <c r="L8" i="1"/>
  <c r="K8" i="1"/>
  <c r="O975" i="1"/>
  <c r="N975" i="1"/>
  <c r="L975" i="1"/>
  <c r="M975" i="1"/>
  <c r="K975" i="1"/>
  <c r="O967" i="1"/>
  <c r="N967" i="1"/>
  <c r="L967" i="1"/>
  <c r="M967" i="1"/>
  <c r="K967" i="1"/>
  <c r="O959" i="1"/>
  <c r="N959" i="1"/>
  <c r="L959" i="1"/>
  <c r="M959" i="1"/>
  <c r="K959" i="1"/>
  <c r="O951" i="1"/>
  <c r="N951" i="1"/>
  <c r="L951" i="1"/>
  <c r="M951" i="1"/>
  <c r="K951" i="1"/>
  <c r="O943" i="1"/>
  <c r="N943" i="1"/>
  <c r="L943" i="1"/>
  <c r="M943" i="1"/>
  <c r="K943" i="1"/>
  <c r="O935" i="1"/>
  <c r="N935" i="1"/>
  <c r="L935" i="1"/>
  <c r="M935" i="1"/>
  <c r="K935" i="1"/>
  <c r="O927" i="1"/>
  <c r="N927" i="1"/>
  <c r="L927" i="1"/>
  <c r="M927" i="1"/>
  <c r="K927" i="1"/>
  <c r="O919" i="1"/>
  <c r="N919" i="1"/>
  <c r="M919" i="1"/>
  <c r="L919" i="1"/>
  <c r="K919" i="1"/>
  <c r="O911" i="1"/>
  <c r="N911" i="1"/>
  <c r="M911" i="1"/>
  <c r="L911" i="1"/>
  <c r="K911" i="1"/>
  <c r="O903" i="1"/>
  <c r="N903" i="1"/>
  <c r="M903" i="1"/>
  <c r="L903" i="1"/>
  <c r="K903" i="1"/>
  <c r="O895" i="1"/>
  <c r="N895" i="1"/>
  <c r="M895" i="1"/>
  <c r="L895" i="1"/>
  <c r="K895" i="1"/>
  <c r="O887" i="1"/>
  <c r="N887" i="1"/>
  <c r="M887" i="1"/>
  <c r="L887" i="1"/>
  <c r="K887" i="1"/>
  <c r="O879" i="1"/>
  <c r="N879" i="1"/>
  <c r="M879" i="1"/>
  <c r="L879" i="1"/>
  <c r="K879" i="1"/>
  <c r="O871" i="1"/>
  <c r="N871" i="1"/>
  <c r="M871" i="1"/>
  <c r="L871" i="1"/>
  <c r="K871" i="1"/>
  <c r="O863" i="1"/>
  <c r="N863" i="1"/>
  <c r="M863" i="1"/>
  <c r="L863" i="1"/>
  <c r="K863" i="1"/>
  <c r="O855" i="1"/>
  <c r="N855" i="1"/>
  <c r="M855" i="1"/>
  <c r="L855" i="1"/>
  <c r="K855" i="1"/>
  <c r="O847" i="1"/>
  <c r="N847" i="1"/>
  <c r="M847" i="1"/>
  <c r="L847" i="1"/>
  <c r="K847" i="1"/>
  <c r="O839" i="1"/>
  <c r="N839" i="1"/>
  <c r="M839" i="1"/>
  <c r="L839" i="1"/>
  <c r="K839" i="1"/>
  <c r="O831" i="1"/>
  <c r="N831" i="1"/>
  <c r="M831" i="1"/>
  <c r="L831" i="1"/>
  <c r="K831" i="1"/>
  <c r="O823" i="1"/>
  <c r="N823" i="1"/>
  <c r="M823" i="1"/>
  <c r="L823" i="1"/>
  <c r="K823" i="1"/>
  <c r="O815" i="1"/>
  <c r="N815" i="1"/>
  <c r="M815" i="1"/>
  <c r="L815" i="1"/>
  <c r="K815" i="1"/>
  <c r="O807" i="1"/>
  <c r="N807" i="1"/>
  <c r="M807" i="1"/>
  <c r="L807" i="1"/>
  <c r="K807" i="1"/>
  <c r="O799" i="1"/>
  <c r="N799" i="1"/>
  <c r="M799" i="1"/>
  <c r="L799" i="1"/>
  <c r="K799" i="1"/>
  <c r="O791" i="1"/>
  <c r="N791" i="1"/>
  <c r="M791" i="1"/>
  <c r="L791" i="1"/>
  <c r="K791" i="1"/>
  <c r="O783" i="1"/>
  <c r="N783" i="1"/>
  <c r="M783" i="1"/>
  <c r="L783" i="1"/>
  <c r="K783" i="1"/>
  <c r="O775" i="1"/>
  <c r="N775" i="1"/>
  <c r="M775" i="1"/>
  <c r="L775" i="1"/>
  <c r="K775" i="1"/>
  <c r="O767" i="1"/>
  <c r="N767" i="1"/>
  <c r="M767" i="1"/>
  <c r="L767" i="1"/>
  <c r="K767" i="1"/>
  <c r="O759" i="1"/>
  <c r="N759" i="1"/>
  <c r="M759" i="1"/>
  <c r="L759" i="1"/>
  <c r="K759" i="1"/>
  <c r="O751" i="1"/>
  <c r="N751" i="1"/>
  <c r="M751" i="1"/>
  <c r="L751" i="1"/>
  <c r="K751" i="1"/>
  <c r="O743" i="1"/>
  <c r="N743" i="1"/>
  <c r="M743" i="1"/>
  <c r="L743" i="1"/>
  <c r="K743" i="1"/>
  <c r="O735" i="1"/>
  <c r="N735" i="1"/>
  <c r="M735" i="1"/>
  <c r="L735" i="1"/>
  <c r="K735" i="1"/>
  <c r="O727" i="1"/>
  <c r="N727" i="1"/>
  <c r="M727" i="1"/>
  <c r="L727" i="1"/>
  <c r="K727" i="1"/>
  <c r="O719" i="1"/>
  <c r="N719" i="1"/>
  <c r="M719" i="1"/>
  <c r="L719" i="1"/>
  <c r="K719" i="1"/>
  <c r="O711" i="1"/>
  <c r="N711" i="1"/>
  <c r="M711" i="1"/>
  <c r="L711" i="1"/>
  <c r="K711" i="1"/>
  <c r="O703" i="1"/>
  <c r="N703" i="1"/>
  <c r="M703" i="1"/>
  <c r="L703" i="1"/>
  <c r="K703" i="1"/>
  <c r="O695" i="1"/>
  <c r="M695" i="1"/>
  <c r="L695" i="1"/>
  <c r="N695" i="1"/>
  <c r="K695" i="1"/>
  <c r="O687" i="1"/>
  <c r="N687" i="1"/>
  <c r="M687" i="1"/>
  <c r="L687" i="1"/>
  <c r="K687" i="1"/>
  <c r="O679" i="1"/>
  <c r="N679" i="1"/>
  <c r="M679" i="1"/>
  <c r="L679" i="1"/>
  <c r="K679" i="1"/>
  <c r="O671" i="1"/>
  <c r="N671" i="1"/>
  <c r="M671" i="1"/>
  <c r="L671" i="1"/>
  <c r="K671" i="1"/>
  <c r="O663" i="1"/>
  <c r="N663" i="1"/>
  <c r="M663" i="1"/>
  <c r="L663" i="1"/>
  <c r="K663" i="1"/>
  <c r="O655" i="1"/>
  <c r="N655" i="1"/>
  <c r="M655" i="1"/>
  <c r="L655" i="1"/>
  <c r="K655" i="1"/>
  <c r="O647" i="1"/>
  <c r="N647" i="1"/>
  <c r="M647" i="1"/>
  <c r="L647" i="1"/>
  <c r="K647" i="1"/>
  <c r="O639" i="1"/>
  <c r="N639" i="1"/>
  <c r="M639" i="1"/>
  <c r="L639" i="1"/>
  <c r="K639" i="1"/>
  <c r="O631" i="1"/>
  <c r="N631" i="1"/>
  <c r="M631" i="1"/>
  <c r="L631" i="1"/>
  <c r="K631" i="1"/>
  <c r="O623" i="1"/>
  <c r="N623" i="1"/>
  <c r="M623" i="1"/>
  <c r="L623" i="1"/>
  <c r="K623" i="1"/>
  <c r="O615" i="1"/>
  <c r="N615" i="1"/>
  <c r="M615" i="1"/>
  <c r="L615" i="1"/>
  <c r="K615" i="1"/>
  <c r="O607" i="1"/>
  <c r="N607" i="1"/>
  <c r="M607" i="1"/>
  <c r="L607" i="1"/>
  <c r="K607" i="1"/>
  <c r="O599" i="1"/>
  <c r="N599" i="1"/>
  <c r="M599" i="1"/>
  <c r="L599" i="1"/>
  <c r="K599" i="1"/>
  <c r="O591" i="1"/>
  <c r="N591" i="1"/>
  <c r="M591" i="1"/>
  <c r="L591" i="1"/>
  <c r="K591" i="1"/>
  <c r="O583" i="1"/>
  <c r="N583" i="1"/>
  <c r="M583" i="1"/>
  <c r="L583" i="1"/>
  <c r="K583" i="1"/>
  <c r="O575" i="1"/>
  <c r="N575" i="1"/>
  <c r="M575" i="1"/>
  <c r="L575" i="1"/>
  <c r="K575" i="1"/>
  <c r="O567" i="1"/>
  <c r="N567" i="1"/>
  <c r="M567" i="1"/>
  <c r="L567" i="1"/>
  <c r="K567" i="1"/>
  <c r="O559" i="1"/>
  <c r="N559" i="1"/>
  <c r="M559" i="1"/>
  <c r="L559" i="1"/>
  <c r="K559" i="1"/>
  <c r="O551" i="1"/>
  <c r="N551" i="1"/>
  <c r="M551" i="1"/>
  <c r="L551" i="1"/>
  <c r="K551" i="1"/>
  <c r="O543" i="1"/>
  <c r="N543" i="1"/>
  <c r="M543" i="1"/>
  <c r="L543" i="1"/>
  <c r="K543" i="1"/>
  <c r="O535" i="1"/>
  <c r="N535" i="1"/>
  <c r="M535" i="1"/>
  <c r="L535" i="1"/>
  <c r="K535" i="1"/>
  <c r="O527" i="1"/>
  <c r="N527" i="1"/>
  <c r="L527" i="1"/>
  <c r="M527" i="1"/>
  <c r="K527" i="1"/>
  <c r="O519" i="1"/>
  <c r="N519" i="1"/>
  <c r="M519" i="1"/>
  <c r="L519" i="1"/>
  <c r="K519" i="1"/>
  <c r="O511" i="1"/>
  <c r="N511" i="1"/>
  <c r="M511" i="1"/>
  <c r="L511" i="1"/>
  <c r="K511" i="1"/>
  <c r="O503" i="1"/>
  <c r="N503" i="1"/>
  <c r="M503" i="1"/>
  <c r="L503" i="1"/>
  <c r="K503" i="1"/>
  <c r="O495" i="1"/>
  <c r="N495" i="1"/>
  <c r="M495" i="1"/>
  <c r="L495" i="1"/>
  <c r="K495" i="1"/>
  <c r="O487" i="1"/>
  <c r="N487" i="1"/>
  <c r="M487" i="1"/>
  <c r="L487" i="1"/>
  <c r="K487" i="1"/>
  <c r="O479" i="1"/>
  <c r="N479" i="1"/>
  <c r="M479" i="1"/>
  <c r="L479" i="1"/>
  <c r="K479" i="1"/>
  <c r="O471" i="1"/>
  <c r="N471" i="1"/>
  <c r="M471" i="1"/>
  <c r="L471" i="1"/>
  <c r="K471" i="1"/>
  <c r="O463" i="1"/>
  <c r="N463" i="1"/>
  <c r="L463" i="1"/>
  <c r="M463" i="1"/>
  <c r="K463" i="1"/>
  <c r="O455" i="1"/>
  <c r="N455" i="1"/>
  <c r="M455" i="1"/>
  <c r="L455" i="1"/>
  <c r="K455" i="1"/>
  <c r="O447" i="1"/>
  <c r="N447" i="1"/>
  <c r="M447" i="1"/>
  <c r="L447" i="1"/>
  <c r="K447" i="1"/>
  <c r="O439" i="1"/>
  <c r="N439" i="1"/>
  <c r="M439" i="1"/>
  <c r="L439" i="1"/>
  <c r="K439" i="1"/>
  <c r="O431" i="1"/>
  <c r="N431" i="1"/>
  <c r="M431" i="1"/>
  <c r="L431" i="1"/>
  <c r="K431" i="1"/>
  <c r="O423" i="1"/>
  <c r="N423" i="1"/>
  <c r="L423" i="1"/>
  <c r="M423" i="1"/>
  <c r="K423" i="1"/>
  <c r="O415" i="1"/>
  <c r="N415" i="1"/>
  <c r="M415" i="1"/>
  <c r="L415" i="1"/>
  <c r="K415" i="1"/>
  <c r="O407" i="1"/>
  <c r="N407" i="1"/>
  <c r="M407" i="1"/>
  <c r="L407" i="1"/>
  <c r="K407" i="1"/>
  <c r="O399" i="1"/>
  <c r="N399" i="1"/>
  <c r="M399" i="1"/>
  <c r="L399" i="1"/>
  <c r="K399" i="1"/>
  <c r="O391" i="1"/>
  <c r="N391" i="1"/>
  <c r="M391" i="1"/>
  <c r="L391" i="1"/>
  <c r="K391" i="1"/>
  <c r="O383" i="1"/>
  <c r="N383" i="1"/>
  <c r="M383" i="1"/>
  <c r="L383" i="1"/>
  <c r="K383" i="1"/>
  <c r="O375" i="1"/>
  <c r="N375" i="1"/>
  <c r="M375" i="1"/>
  <c r="L375" i="1"/>
  <c r="K375" i="1"/>
  <c r="O367" i="1"/>
  <c r="N367" i="1"/>
  <c r="M367" i="1"/>
  <c r="L367" i="1"/>
  <c r="K367" i="1"/>
  <c r="O359" i="1"/>
  <c r="N359" i="1"/>
  <c r="M359" i="1"/>
  <c r="L359" i="1"/>
  <c r="K359" i="1"/>
  <c r="O351" i="1"/>
  <c r="N351" i="1"/>
  <c r="M351" i="1"/>
  <c r="L351" i="1"/>
  <c r="K351" i="1"/>
  <c r="O343" i="1"/>
  <c r="N343" i="1"/>
  <c r="M343" i="1"/>
  <c r="L343" i="1"/>
  <c r="K343" i="1"/>
  <c r="O335" i="1"/>
  <c r="N335" i="1"/>
  <c r="M335" i="1"/>
  <c r="L335" i="1"/>
  <c r="K335" i="1"/>
  <c r="O327" i="1"/>
  <c r="N327" i="1"/>
  <c r="M327" i="1"/>
  <c r="L327" i="1"/>
  <c r="K327" i="1"/>
  <c r="O319" i="1"/>
  <c r="N319" i="1"/>
  <c r="M319" i="1"/>
  <c r="L319" i="1"/>
  <c r="K319" i="1"/>
  <c r="O311" i="1"/>
  <c r="N311" i="1"/>
  <c r="M311" i="1"/>
  <c r="L311" i="1"/>
  <c r="K311" i="1"/>
  <c r="O303" i="1"/>
  <c r="N303" i="1"/>
  <c r="M303" i="1"/>
  <c r="L303" i="1"/>
  <c r="K303" i="1"/>
  <c r="O295" i="1"/>
  <c r="N295" i="1"/>
  <c r="M295" i="1"/>
  <c r="L295" i="1"/>
  <c r="K295" i="1"/>
  <c r="O287" i="1"/>
  <c r="N287" i="1"/>
  <c r="M287" i="1"/>
  <c r="L287" i="1"/>
  <c r="K287" i="1"/>
  <c r="O279" i="1"/>
  <c r="N279" i="1"/>
  <c r="M279" i="1"/>
  <c r="L279" i="1"/>
  <c r="K279" i="1"/>
  <c r="O271" i="1"/>
  <c r="N271" i="1"/>
  <c r="M271" i="1"/>
  <c r="L271" i="1"/>
  <c r="K271" i="1"/>
  <c r="O263" i="1"/>
  <c r="M263" i="1"/>
  <c r="N263" i="1"/>
  <c r="L263" i="1"/>
  <c r="K263" i="1"/>
  <c r="O255" i="1"/>
  <c r="N255" i="1"/>
  <c r="M255" i="1"/>
  <c r="L255" i="1"/>
  <c r="K255" i="1"/>
  <c r="O247" i="1"/>
  <c r="N247" i="1"/>
  <c r="M247" i="1"/>
  <c r="L247" i="1"/>
  <c r="K247" i="1"/>
  <c r="O239" i="1"/>
  <c r="N239" i="1"/>
  <c r="M239" i="1"/>
  <c r="L239" i="1"/>
  <c r="K239" i="1"/>
  <c r="O231" i="1"/>
  <c r="N231" i="1"/>
  <c r="M231" i="1"/>
  <c r="L231" i="1"/>
  <c r="K231" i="1"/>
  <c r="O223" i="1"/>
  <c r="N223" i="1"/>
  <c r="M223" i="1"/>
  <c r="L223" i="1"/>
  <c r="K223" i="1"/>
  <c r="O215" i="1"/>
  <c r="N215" i="1"/>
  <c r="M215" i="1"/>
  <c r="L215" i="1"/>
  <c r="K215" i="1"/>
  <c r="O207" i="1"/>
  <c r="N207" i="1"/>
  <c r="M207" i="1"/>
  <c r="L207" i="1"/>
  <c r="K207" i="1"/>
  <c r="O199" i="1"/>
  <c r="N199" i="1"/>
  <c r="M199" i="1"/>
  <c r="L199" i="1"/>
  <c r="K199" i="1"/>
  <c r="O191" i="1"/>
  <c r="N191" i="1"/>
  <c r="M191" i="1"/>
  <c r="L191" i="1"/>
  <c r="K191" i="1"/>
  <c r="O183" i="1"/>
  <c r="N183" i="1"/>
  <c r="M183" i="1"/>
  <c r="L183" i="1"/>
  <c r="K183" i="1"/>
  <c r="O175" i="1"/>
  <c r="N175" i="1"/>
  <c r="M175" i="1"/>
  <c r="L175" i="1"/>
  <c r="K175" i="1"/>
  <c r="O167" i="1"/>
  <c r="N167" i="1"/>
  <c r="M167" i="1"/>
  <c r="L167" i="1"/>
  <c r="K167" i="1"/>
  <c r="O159" i="1"/>
  <c r="N159" i="1"/>
  <c r="M159" i="1"/>
  <c r="L159" i="1"/>
  <c r="K159" i="1"/>
  <c r="O151" i="1"/>
  <c r="N151" i="1"/>
  <c r="M151" i="1"/>
  <c r="L151" i="1"/>
  <c r="K151" i="1"/>
  <c r="O143" i="1"/>
  <c r="N143" i="1"/>
  <c r="M143" i="1"/>
  <c r="L143" i="1"/>
  <c r="K143" i="1"/>
  <c r="O135" i="1"/>
  <c r="M135" i="1"/>
  <c r="N135" i="1"/>
  <c r="L135" i="1"/>
  <c r="K135" i="1"/>
  <c r="O127" i="1"/>
  <c r="N127" i="1"/>
  <c r="M127" i="1"/>
  <c r="L127" i="1"/>
  <c r="K127" i="1"/>
  <c r="O119" i="1"/>
  <c r="N119" i="1"/>
  <c r="M119" i="1"/>
  <c r="L119" i="1"/>
  <c r="K119" i="1"/>
  <c r="O111" i="1"/>
  <c r="N111" i="1"/>
  <c r="M111" i="1"/>
  <c r="L111" i="1"/>
  <c r="K111" i="1"/>
  <c r="O103" i="1"/>
  <c r="N103" i="1"/>
  <c r="M103" i="1"/>
  <c r="L103" i="1"/>
  <c r="K103" i="1"/>
  <c r="O95" i="1"/>
  <c r="N95" i="1"/>
  <c r="M95" i="1"/>
  <c r="L95" i="1"/>
  <c r="K95" i="1"/>
  <c r="O87" i="1"/>
  <c r="N87" i="1"/>
  <c r="M87" i="1"/>
  <c r="L87" i="1"/>
  <c r="K87" i="1"/>
  <c r="O79" i="1"/>
  <c r="N79" i="1"/>
  <c r="M79" i="1"/>
  <c r="L79" i="1"/>
  <c r="K79" i="1"/>
  <c r="O71" i="1"/>
  <c r="N71" i="1"/>
  <c r="M71" i="1"/>
  <c r="L71" i="1"/>
  <c r="K71" i="1"/>
  <c r="O63" i="1"/>
  <c r="N63" i="1"/>
  <c r="M63" i="1"/>
  <c r="L63" i="1"/>
  <c r="K63" i="1"/>
  <c r="O55" i="1"/>
  <c r="N55" i="1"/>
  <c r="M55" i="1"/>
  <c r="L55" i="1"/>
  <c r="K55" i="1"/>
  <c r="O47" i="1"/>
  <c r="N47" i="1"/>
  <c r="M47" i="1"/>
  <c r="L47" i="1"/>
  <c r="K47" i="1"/>
  <c r="O39" i="1"/>
  <c r="M39" i="1"/>
  <c r="N39" i="1"/>
  <c r="L39" i="1"/>
  <c r="K39" i="1"/>
  <c r="O31" i="1"/>
  <c r="N31" i="1"/>
  <c r="M31" i="1"/>
  <c r="L31" i="1"/>
  <c r="K31" i="1"/>
  <c r="O23" i="1"/>
  <c r="N23" i="1"/>
  <c r="L23" i="1"/>
  <c r="M23" i="1"/>
  <c r="K23" i="1"/>
  <c r="O15" i="1"/>
  <c r="N15" i="1"/>
  <c r="M15" i="1"/>
  <c r="L15" i="1"/>
  <c r="K15" i="1"/>
  <c r="O7" i="1"/>
  <c r="N7" i="1"/>
  <c r="M7" i="1"/>
  <c r="L7" i="1"/>
  <c r="K7" i="1"/>
  <c r="O2" i="1"/>
  <c r="N2" i="1"/>
  <c r="M2" i="1"/>
  <c r="L2" i="1"/>
  <c r="K2" i="1"/>
  <c r="O974" i="1"/>
  <c r="N974" i="1"/>
  <c r="M974" i="1"/>
  <c r="L974" i="1"/>
  <c r="K974" i="1"/>
  <c r="O966" i="1"/>
  <c r="N966" i="1"/>
  <c r="M966" i="1"/>
  <c r="L966" i="1"/>
  <c r="K966" i="1"/>
  <c r="O958" i="1"/>
  <c r="N958" i="1"/>
  <c r="M958" i="1"/>
  <c r="L958" i="1"/>
  <c r="K958" i="1"/>
  <c r="O950" i="1"/>
  <c r="N950" i="1"/>
  <c r="M950" i="1"/>
  <c r="L950" i="1"/>
  <c r="K950" i="1"/>
  <c r="O942" i="1"/>
  <c r="N942" i="1"/>
  <c r="M942" i="1"/>
  <c r="L942" i="1"/>
  <c r="K942" i="1"/>
  <c r="O934" i="1"/>
  <c r="N934" i="1"/>
  <c r="M934" i="1"/>
  <c r="L934" i="1"/>
  <c r="K934" i="1"/>
  <c r="O926" i="1"/>
  <c r="N926" i="1"/>
  <c r="M926" i="1"/>
  <c r="K926" i="1"/>
  <c r="L926" i="1"/>
  <c r="O918" i="1"/>
  <c r="N918" i="1"/>
  <c r="M918" i="1"/>
  <c r="L918" i="1"/>
  <c r="K918" i="1"/>
  <c r="O910" i="1"/>
  <c r="N910" i="1"/>
  <c r="M910" i="1"/>
  <c r="L910" i="1"/>
  <c r="K910" i="1"/>
  <c r="O902" i="1"/>
  <c r="N902" i="1"/>
  <c r="M902" i="1"/>
  <c r="L902" i="1"/>
  <c r="K902" i="1"/>
  <c r="O894" i="1"/>
  <c r="N894" i="1"/>
  <c r="M894" i="1"/>
  <c r="L894" i="1"/>
  <c r="K894" i="1"/>
  <c r="O886" i="1"/>
  <c r="N886" i="1"/>
  <c r="M886" i="1"/>
  <c r="L886" i="1"/>
  <c r="K886" i="1"/>
  <c r="O878" i="1"/>
  <c r="N878" i="1"/>
  <c r="M878" i="1"/>
  <c r="L878" i="1"/>
  <c r="K878" i="1"/>
  <c r="O870" i="1"/>
  <c r="N870" i="1"/>
  <c r="M870" i="1"/>
  <c r="L870" i="1"/>
  <c r="K870" i="1"/>
  <c r="O862" i="1"/>
  <c r="N862" i="1"/>
  <c r="M862" i="1"/>
  <c r="L862" i="1"/>
  <c r="K862" i="1"/>
  <c r="O854" i="1"/>
  <c r="N854" i="1"/>
  <c r="M854" i="1"/>
  <c r="L854" i="1"/>
  <c r="K854" i="1"/>
  <c r="O846" i="1"/>
  <c r="N846" i="1"/>
  <c r="M846" i="1"/>
  <c r="L846" i="1"/>
  <c r="K846" i="1"/>
  <c r="O838" i="1"/>
  <c r="N838" i="1"/>
  <c r="M838" i="1"/>
  <c r="L838" i="1"/>
  <c r="K838" i="1"/>
  <c r="O830" i="1"/>
  <c r="N830" i="1"/>
  <c r="M830" i="1"/>
  <c r="L830" i="1"/>
  <c r="K830" i="1"/>
  <c r="O822" i="1"/>
  <c r="N822" i="1"/>
  <c r="M822" i="1"/>
  <c r="L822" i="1"/>
  <c r="K822" i="1"/>
  <c r="O814" i="1"/>
  <c r="N814" i="1"/>
  <c r="M814" i="1"/>
  <c r="L814" i="1"/>
  <c r="K814" i="1"/>
  <c r="O806" i="1"/>
  <c r="N806" i="1"/>
  <c r="M806" i="1"/>
  <c r="L806" i="1"/>
  <c r="K806" i="1"/>
  <c r="O798" i="1"/>
  <c r="N798" i="1"/>
  <c r="M798" i="1"/>
  <c r="L798" i="1"/>
  <c r="K798" i="1"/>
  <c r="O790" i="1"/>
  <c r="N790" i="1"/>
  <c r="M790" i="1"/>
  <c r="L790" i="1"/>
  <c r="K790" i="1"/>
  <c r="O782" i="1"/>
  <c r="N782" i="1"/>
  <c r="M782" i="1"/>
  <c r="L782" i="1"/>
  <c r="K782" i="1"/>
  <c r="O774" i="1"/>
  <c r="N774" i="1"/>
  <c r="M774" i="1"/>
  <c r="L774" i="1"/>
  <c r="K774" i="1"/>
  <c r="O766" i="1"/>
  <c r="N766" i="1"/>
  <c r="M766" i="1"/>
  <c r="L766" i="1"/>
  <c r="K766" i="1"/>
  <c r="O758" i="1"/>
  <c r="N758" i="1"/>
  <c r="M758" i="1"/>
  <c r="L758" i="1"/>
  <c r="K758" i="1"/>
  <c r="O750" i="1"/>
  <c r="N750" i="1"/>
  <c r="M750" i="1"/>
  <c r="L750" i="1"/>
  <c r="K750" i="1"/>
  <c r="O742" i="1"/>
  <c r="N742" i="1"/>
  <c r="M742" i="1"/>
  <c r="L742" i="1"/>
  <c r="K742" i="1"/>
  <c r="O734" i="1"/>
  <c r="N734" i="1"/>
  <c r="M734" i="1"/>
  <c r="L734" i="1"/>
  <c r="K734" i="1"/>
  <c r="O726" i="1"/>
  <c r="N726" i="1"/>
  <c r="M726" i="1"/>
  <c r="L726" i="1"/>
  <c r="K726" i="1"/>
  <c r="O718" i="1"/>
  <c r="N718" i="1"/>
  <c r="M718" i="1"/>
  <c r="L718" i="1"/>
  <c r="K718" i="1"/>
  <c r="O710" i="1"/>
  <c r="N710" i="1"/>
  <c r="M710" i="1"/>
  <c r="L710" i="1"/>
  <c r="K710" i="1"/>
  <c r="O702" i="1"/>
  <c r="N702" i="1"/>
  <c r="M702" i="1"/>
  <c r="L702" i="1"/>
  <c r="K702" i="1"/>
  <c r="O694" i="1"/>
  <c r="N694" i="1"/>
  <c r="M694" i="1"/>
  <c r="L694" i="1"/>
  <c r="K694" i="1"/>
  <c r="O686" i="1"/>
  <c r="N686" i="1"/>
  <c r="M686" i="1"/>
  <c r="L686" i="1"/>
  <c r="K686" i="1"/>
  <c r="O678" i="1"/>
  <c r="M678" i="1"/>
  <c r="N678" i="1"/>
  <c r="L678" i="1"/>
  <c r="K678" i="1"/>
  <c r="O670" i="1"/>
  <c r="N670" i="1"/>
  <c r="M670" i="1"/>
  <c r="L670" i="1"/>
  <c r="K670" i="1"/>
  <c r="O662" i="1"/>
  <c r="N662" i="1"/>
  <c r="M662" i="1"/>
  <c r="L662" i="1"/>
  <c r="K662" i="1"/>
  <c r="O654" i="1"/>
  <c r="N654" i="1"/>
  <c r="M654" i="1"/>
  <c r="L654" i="1"/>
  <c r="K654" i="1"/>
  <c r="O646" i="1"/>
  <c r="N646" i="1"/>
  <c r="M646" i="1"/>
  <c r="L646" i="1"/>
  <c r="K646" i="1"/>
  <c r="O638" i="1"/>
  <c r="N638" i="1"/>
  <c r="M638" i="1"/>
  <c r="L638" i="1"/>
  <c r="K638" i="1"/>
  <c r="O630" i="1"/>
  <c r="N630" i="1"/>
  <c r="M630" i="1"/>
  <c r="L630" i="1"/>
  <c r="K630" i="1"/>
  <c r="O622" i="1"/>
  <c r="M622" i="1"/>
  <c r="N622" i="1"/>
  <c r="L622" i="1"/>
  <c r="K622" i="1"/>
  <c r="O614" i="1"/>
  <c r="N614" i="1"/>
  <c r="M614" i="1"/>
  <c r="L614" i="1"/>
  <c r="K614" i="1"/>
  <c r="O606" i="1"/>
  <c r="N606" i="1"/>
  <c r="M606" i="1"/>
  <c r="L606" i="1"/>
  <c r="K606" i="1"/>
  <c r="O598" i="1"/>
  <c r="N598" i="1"/>
  <c r="M598" i="1"/>
  <c r="L598" i="1"/>
  <c r="K598" i="1"/>
  <c r="O590" i="1"/>
  <c r="N590" i="1"/>
  <c r="M590" i="1"/>
  <c r="L590" i="1"/>
  <c r="K590" i="1"/>
  <c r="O582" i="1"/>
  <c r="N582" i="1"/>
  <c r="M582" i="1"/>
  <c r="L582" i="1"/>
  <c r="K582" i="1"/>
  <c r="O574" i="1"/>
  <c r="N574" i="1"/>
  <c r="M574" i="1"/>
  <c r="L574" i="1"/>
  <c r="K574" i="1"/>
  <c r="O566" i="1"/>
  <c r="N566" i="1"/>
  <c r="M566" i="1"/>
  <c r="L566" i="1"/>
  <c r="K566" i="1"/>
  <c r="O558" i="1"/>
  <c r="N558" i="1"/>
  <c r="M558" i="1"/>
  <c r="L558" i="1"/>
  <c r="K558" i="1"/>
  <c r="O550" i="1"/>
  <c r="N550" i="1"/>
  <c r="M550" i="1"/>
  <c r="L550" i="1"/>
  <c r="K550" i="1"/>
  <c r="O542" i="1"/>
  <c r="N542" i="1"/>
  <c r="M542" i="1"/>
  <c r="L542" i="1"/>
  <c r="K542" i="1"/>
  <c r="O534" i="1"/>
  <c r="N534" i="1"/>
  <c r="M534" i="1"/>
  <c r="L534" i="1"/>
  <c r="K534" i="1"/>
  <c r="O526" i="1"/>
  <c r="N526" i="1"/>
  <c r="M526" i="1"/>
  <c r="L526" i="1"/>
  <c r="K526" i="1"/>
  <c r="O518" i="1"/>
  <c r="N518" i="1"/>
  <c r="M518" i="1"/>
  <c r="L518" i="1"/>
  <c r="K518" i="1"/>
  <c r="O510" i="1"/>
  <c r="N510" i="1"/>
  <c r="M510" i="1"/>
  <c r="L510" i="1"/>
  <c r="K510" i="1"/>
  <c r="O502" i="1"/>
  <c r="N502" i="1"/>
  <c r="M502" i="1"/>
  <c r="L502" i="1"/>
  <c r="K502" i="1"/>
  <c r="O494" i="1"/>
  <c r="N494" i="1"/>
  <c r="M494" i="1"/>
  <c r="L494" i="1"/>
  <c r="K494" i="1"/>
  <c r="O486" i="1"/>
  <c r="N486" i="1"/>
  <c r="M486" i="1"/>
  <c r="L486" i="1"/>
  <c r="K486" i="1"/>
  <c r="O478" i="1"/>
  <c r="M478" i="1"/>
  <c r="N478" i="1"/>
  <c r="L478" i="1"/>
  <c r="K478" i="1"/>
  <c r="O470" i="1"/>
  <c r="N470" i="1"/>
  <c r="M470" i="1"/>
  <c r="L470" i="1"/>
  <c r="K470" i="1"/>
  <c r="O462" i="1"/>
  <c r="N462" i="1"/>
  <c r="M462" i="1"/>
  <c r="L462" i="1"/>
  <c r="K462" i="1"/>
  <c r="O454" i="1"/>
  <c r="N454" i="1"/>
  <c r="M454" i="1"/>
  <c r="L454" i="1"/>
  <c r="K454" i="1"/>
  <c r="O446" i="1"/>
  <c r="N446" i="1"/>
  <c r="M446" i="1"/>
  <c r="L446" i="1"/>
  <c r="K446" i="1"/>
  <c r="O438" i="1"/>
  <c r="N438" i="1"/>
  <c r="M438" i="1"/>
  <c r="L438" i="1"/>
  <c r="K438" i="1"/>
  <c r="O430" i="1"/>
  <c r="N430" i="1"/>
  <c r="M430" i="1"/>
  <c r="L430" i="1"/>
  <c r="K430" i="1"/>
  <c r="O422" i="1"/>
  <c r="N422" i="1"/>
  <c r="M422" i="1"/>
  <c r="L422" i="1"/>
  <c r="K422" i="1"/>
  <c r="O414" i="1"/>
  <c r="N414" i="1"/>
  <c r="M414" i="1"/>
  <c r="L414" i="1"/>
  <c r="K414" i="1"/>
  <c r="O406" i="1"/>
  <c r="N406" i="1"/>
  <c r="M406" i="1"/>
  <c r="L406" i="1"/>
  <c r="K406" i="1"/>
  <c r="O398" i="1"/>
  <c r="N398" i="1"/>
  <c r="M398" i="1"/>
  <c r="L398" i="1"/>
  <c r="K398" i="1"/>
  <c r="O390" i="1"/>
  <c r="N390" i="1"/>
  <c r="M390" i="1"/>
  <c r="L390" i="1"/>
  <c r="K390" i="1"/>
  <c r="O382" i="1"/>
  <c r="N382" i="1"/>
  <c r="M382" i="1"/>
  <c r="L382" i="1"/>
  <c r="K382" i="1"/>
  <c r="O374" i="1"/>
  <c r="N374" i="1"/>
  <c r="M374" i="1"/>
  <c r="L374" i="1"/>
  <c r="K374" i="1"/>
  <c r="O366" i="1"/>
  <c r="N366" i="1"/>
  <c r="M366" i="1"/>
  <c r="L366" i="1"/>
  <c r="K366" i="1"/>
  <c r="O358" i="1"/>
  <c r="N358" i="1"/>
  <c r="M358" i="1"/>
  <c r="L358" i="1"/>
  <c r="K358" i="1"/>
  <c r="O350" i="1"/>
  <c r="N350" i="1"/>
  <c r="M350" i="1"/>
  <c r="L350" i="1"/>
  <c r="K350" i="1"/>
  <c r="O342" i="1"/>
  <c r="N342" i="1"/>
  <c r="M342" i="1"/>
  <c r="L342" i="1"/>
  <c r="K342" i="1"/>
  <c r="O334" i="1"/>
  <c r="N334" i="1"/>
  <c r="M334" i="1"/>
  <c r="L334" i="1"/>
  <c r="K334" i="1"/>
  <c r="O326" i="1"/>
  <c r="N326" i="1"/>
  <c r="M326" i="1"/>
  <c r="L326" i="1"/>
  <c r="K326" i="1"/>
  <c r="O318" i="1"/>
  <c r="N318" i="1"/>
  <c r="M318" i="1"/>
  <c r="L318" i="1"/>
  <c r="K318" i="1"/>
  <c r="O310" i="1"/>
  <c r="N310" i="1"/>
  <c r="M310" i="1"/>
  <c r="L310" i="1"/>
  <c r="K310" i="1"/>
  <c r="O302" i="1"/>
  <c r="N302" i="1"/>
  <c r="L302" i="1"/>
  <c r="M302" i="1"/>
  <c r="K302" i="1"/>
  <c r="O294" i="1"/>
  <c r="N294" i="1"/>
  <c r="M294" i="1"/>
  <c r="L294" i="1"/>
  <c r="K294" i="1"/>
  <c r="O286" i="1"/>
  <c r="N286" i="1"/>
  <c r="M286" i="1"/>
  <c r="L286" i="1"/>
  <c r="K286" i="1"/>
  <c r="O278" i="1"/>
  <c r="N278" i="1"/>
  <c r="M278" i="1"/>
  <c r="L278" i="1"/>
  <c r="K278" i="1"/>
  <c r="O270" i="1"/>
  <c r="N270" i="1"/>
  <c r="M270" i="1"/>
  <c r="L270" i="1"/>
  <c r="K270" i="1"/>
  <c r="O262" i="1"/>
  <c r="N262" i="1"/>
  <c r="M262" i="1"/>
  <c r="L262" i="1"/>
  <c r="K262" i="1"/>
  <c r="O254" i="1"/>
  <c r="N254" i="1"/>
  <c r="M254" i="1"/>
  <c r="L254" i="1"/>
  <c r="K254" i="1"/>
  <c r="O246" i="1"/>
  <c r="N246" i="1"/>
  <c r="M246" i="1"/>
  <c r="L246" i="1"/>
  <c r="K246" i="1"/>
  <c r="O238" i="1"/>
  <c r="N238" i="1"/>
  <c r="M238" i="1"/>
  <c r="L238" i="1"/>
  <c r="K238" i="1"/>
  <c r="O230" i="1"/>
  <c r="N230" i="1"/>
  <c r="M230" i="1"/>
  <c r="L230" i="1"/>
  <c r="K230" i="1"/>
  <c r="O222" i="1"/>
  <c r="N222" i="1"/>
  <c r="M222" i="1"/>
  <c r="L222" i="1"/>
  <c r="K222" i="1"/>
  <c r="O214" i="1"/>
  <c r="N214" i="1"/>
  <c r="M214" i="1"/>
  <c r="L214" i="1"/>
  <c r="K214" i="1"/>
  <c r="O206" i="1"/>
  <c r="N206" i="1"/>
  <c r="M206" i="1"/>
  <c r="L206" i="1"/>
  <c r="K206" i="1"/>
  <c r="O198" i="1"/>
  <c r="N198" i="1"/>
  <c r="M198" i="1"/>
  <c r="L198" i="1"/>
  <c r="K198" i="1"/>
  <c r="O190" i="1"/>
  <c r="N190" i="1"/>
  <c r="M190" i="1"/>
  <c r="L190" i="1"/>
  <c r="K190" i="1"/>
  <c r="O182" i="1"/>
  <c r="N182" i="1"/>
  <c r="M182" i="1"/>
  <c r="L182" i="1"/>
  <c r="K182" i="1"/>
  <c r="O174" i="1"/>
  <c r="N174" i="1"/>
  <c r="M174" i="1"/>
  <c r="L174" i="1"/>
  <c r="K174" i="1"/>
  <c r="O166" i="1"/>
  <c r="N166" i="1"/>
  <c r="M166" i="1"/>
  <c r="L166" i="1"/>
  <c r="K166" i="1"/>
  <c r="O158" i="1"/>
  <c r="N158" i="1"/>
  <c r="M158" i="1"/>
  <c r="L158" i="1"/>
  <c r="K158" i="1"/>
  <c r="O150" i="1"/>
  <c r="N150" i="1"/>
  <c r="M150" i="1"/>
  <c r="L150" i="1"/>
  <c r="K150" i="1"/>
  <c r="O142" i="1"/>
  <c r="N142" i="1"/>
  <c r="M142" i="1"/>
  <c r="L142" i="1"/>
  <c r="K142" i="1"/>
  <c r="O134" i="1"/>
  <c r="N134" i="1"/>
  <c r="M134" i="1"/>
  <c r="L134" i="1"/>
  <c r="K134" i="1"/>
  <c r="O126" i="1"/>
  <c r="N126" i="1"/>
  <c r="M126" i="1"/>
  <c r="L126" i="1"/>
  <c r="K126" i="1"/>
  <c r="O118" i="1"/>
  <c r="N118" i="1"/>
  <c r="M118" i="1"/>
  <c r="L118" i="1"/>
  <c r="K118" i="1"/>
  <c r="O110" i="1"/>
  <c r="N110" i="1"/>
  <c r="M110" i="1"/>
  <c r="L110" i="1"/>
  <c r="K110" i="1"/>
  <c r="O102" i="1"/>
  <c r="N102" i="1"/>
  <c r="M102" i="1"/>
  <c r="L102" i="1"/>
  <c r="K102" i="1"/>
  <c r="O94" i="1"/>
  <c r="N94" i="1"/>
  <c r="M94" i="1"/>
  <c r="L94" i="1"/>
  <c r="K94" i="1"/>
  <c r="O86" i="1"/>
  <c r="N86" i="1"/>
  <c r="M86" i="1"/>
  <c r="L86" i="1"/>
  <c r="K86" i="1"/>
  <c r="O78" i="1"/>
  <c r="N78" i="1"/>
  <c r="M78" i="1"/>
  <c r="L78" i="1"/>
  <c r="K78" i="1"/>
  <c r="O70" i="1"/>
  <c r="N70" i="1"/>
  <c r="M70" i="1"/>
  <c r="L70" i="1"/>
  <c r="K70" i="1"/>
  <c r="O62" i="1"/>
  <c r="N62" i="1"/>
  <c r="M62" i="1"/>
  <c r="L62" i="1"/>
  <c r="K62" i="1"/>
  <c r="O54" i="1"/>
  <c r="N54" i="1"/>
  <c r="M54" i="1"/>
  <c r="L54" i="1"/>
  <c r="K54" i="1"/>
  <c r="O46" i="1"/>
  <c r="N46" i="1"/>
  <c r="L46" i="1"/>
  <c r="M46" i="1"/>
  <c r="K46" i="1"/>
  <c r="O38" i="1"/>
  <c r="N38" i="1"/>
  <c r="M38" i="1"/>
  <c r="L38" i="1"/>
  <c r="K38" i="1"/>
  <c r="O30" i="1"/>
  <c r="N30" i="1"/>
  <c r="M30" i="1"/>
  <c r="L30" i="1"/>
  <c r="K30" i="1"/>
  <c r="O22" i="1"/>
  <c r="N22" i="1"/>
  <c r="M22" i="1"/>
  <c r="L22" i="1"/>
  <c r="K22" i="1"/>
  <c r="O14" i="1"/>
  <c r="N14" i="1"/>
  <c r="M14" i="1"/>
  <c r="L14" i="1"/>
  <c r="K14" i="1"/>
  <c r="O6" i="1"/>
  <c r="N6" i="1"/>
  <c r="M6" i="1"/>
  <c r="L6" i="1"/>
  <c r="K6" i="1"/>
  <c r="O981" i="1"/>
  <c r="N981" i="1"/>
  <c r="M981" i="1"/>
  <c r="K981" i="1"/>
  <c r="L981" i="1"/>
  <c r="O973" i="1"/>
  <c r="N973" i="1"/>
  <c r="M973" i="1"/>
  <c r="L973" i="1"/>
  <c r="K973" i="1"/>
  <c r="O965" i="1"/>
  <c r="N965" i="1"/>
  <c r="M965" i="1"/>
  <c r="L965" i="1"/>
  <c r="K965" i="1"/>
  <c r="O957" i="1"/>
  <c r="N957" i="1"/>
  <c r="M957" i="1"/>
  <c r="L957" i="1"/>
  <c r="K957" i="1"/>
  <c r="O949" i="1"/>
  <c r="N949" i="1"/>
  <c r="M949" i="1"/>
  <c r="L949" i="1"/>
  <c r="K949" i="1"/>
  <c r="O941" i="1"/>
  <c r="N941" i="1"/>
  <c r="M941" i="1"/>
  <c r="L941" i="1"/>
  <c r="K941" i="1"/>
  <c r="O933" i="1"/>
  <c r="N933" i="1"/>
  <c r="M933" i="1"/>
  <c r="L933" i="1"/>
  <c r="K933" i="1"/>
  <c r="O925" i="1"/>
  <c r="N925" i="1"/>
  <c r="M925" i="1"/>
  <c r="K925" i="1"/>
  <c r="L925" i="1"/>
  <c r="O917" i="1"/>
  <c r="N917" i="1"/>
  <c r="M917" i="1"/>
  <c r="L917" i="1"/>
  <c r="K917" i="1"/>
  <c r="O909" i="1"/>
  <c r="N909" i="1"/>
  <c r="M909" i="1"/>
  <c r="L909" i="1"/>
  <c r="K909" i="1"/>
  <c r="O901" i="1"/>
  <c r="N901" i="1"/>
  <c r="M901" i="1"/>
  <c r="K901" i="1"/>
  <c r="L901" i="1"/>
  <c r="O893" i="1"/>
  <c r="N893" i="1"/>
  <c r="M893" i="1"/>
  <c r="L893" i="1"/>
  <c r="K893" i="1"/>
  <c r="O885" i="1"/>
  <c r="N885" i="1"/>
  <c r="M885" i="1"/>
  <c r="L885" i="1"/>
  <c r="K885" i="1"/>
  <c r="O877" i="1"/>
  <c r="N877" i="1"/>
  <c r="M877" i="1"/>
  <c r="L877" i="1"/>
  <c r="K877" i="1"/>
  <c r="O869" i="1"/>
  <c r="N869" i="1"/>
  <c r="M869" i="1"/>
  <c r="L869" i="1"/>
  <c r="K869" i="1"/>
  <c r="O861" i="1"/>
  <c r="N861" i="1"/>
  <c r="M861" i="1"/>
  <c r="L861" i="1"/>
  <c r="K861" i="1"/>
  <c r="O853" i="1"/>
  <c r="M853" i="1"/>
  <c r="N853" i="1"/>
  <c r="L853" i="1"/>
  <c r="K853" i="1"/>
  <c r="O845" i="1"/>
  <c r="M845" i="1"/>
  <c r="N845" i="1"/>
  <c r="L845" i="1"/>
  <c r="K845" i="1"/>
  <c r="O837" i="1"/>
  <c r="N837" i="1"/>
  <c r="M837" i="1"/>
  <c r="L837" i="1"/>
  <c r="K837" i="1"/>
  <c r="O829" i="1"/>
  <c r="N829" i="1"/>
  <c r="M829" i="1"/>
  <c r="L829" i="1"/>
  <c r="K829" i="1"/>
  <c r="O821" i="1"/>
  <c r="N821" i="1"/>
  <c r="M821" i="1"/>
  <c r="L821" i="1"/>
  <c r="K821" i="1"/>
  <c r="O813" i="1"/>
  <c r="N813" i="1"/>
  <c r="M813" i="1"/>
  <c r="K813" i="1"/>
  <c r="L813" i="1"/>
  <c r="O805" i="1"/>
  <c r="N805" i="1"/>
  <c r="M805" i="1"/>
  <c r="L805" i="1"/>
  <c r="K805" i="1"/>
  <c r="O797" i="1"/>
  <c r="N797" i="1"/>
  <c r="M797" i="1"/>
  <c r="L797" i="1"/>
  <c r="K797" i="1"/>
  <c r="O789" i="1"/>
  <c r="M789" i="1"/>
  <c r="N789" i="1"/>
  <c r="L789" i="1"/>
  <c r="K789" i="1"/>
  <c r="O781" i="1"/>
  <c r="M781" i="1"/>
  <c r="N781" i="1"/>
  <c r="K781" i="1"/>
  <c r="L781" i="1"/>
  <c r="O773" i="1"/>
  <c r="N773" i="1"/>
  <c r="M773" i="1"/>
  <c r="L773" i="1"/>
  <c r="K773" i="1"/>
  <c r="O765" i="1"/>
  <c r="N765" i="1"/>
  <c r="M765" i="1"/>
  <c r="L765" i="1"/>
  <c r="K765" i="1"/>
  <c r="O757" i="1"/>
  <c r="N757" i="1"/>
  <c r="M757" i="1"/>
  <c r="L757" i="1"/>
  <c r="K757" i="1"/>
  <c r="O749" i="1"/>
  <c r="N749" i="1"/>
  <c r="M749" i="1"/>
  <c r="K749" i="1"/>
  <c r="L749" i="1"/>
  <c r="O741" i="1"/>
  <c r="N741" i="1"/>
  <c r="M741" i="1"/>
  <c r="L741" i="1"/>
  <c r="K741" i="1"/>
  <c r="O733" i="1"/>
  <c r="N733" i="1"/>
  <c r="M733" i="1"/>
  <c r="L733" i="1"/>
  <c r="K733" i="1"/>
  <c r="O725" i="1"/>
  <c r="N725" i="1"/>
  <c r="M725" i="1"/>
  <c r="L725" i="1"/>
  <c r="K725" i="1"/>
  <c r="O717" i="1"/>
  <c r="M717" i="1"/>
  <c r="N717" i="1"/>
  <c r="K717" i="1"/>
  <c r="L717" i="1"/>
  <c r="O709" i="1"/>
  <c r="N709" i="1"/>
  <c r="M709" i="1"/>
  <c r="L709" i="1"/>
  <c r="K709" i="1"/>
  <c r="O701" i="1"/>
  <c r="N701" i="1"/>
  <c r="M701" i="1"/>
  <c r="L701" i="1"/>
  <c r="K701" i="1"/>
  <c r="O693" i="1"/>
  <c r="N693" i="1"/>
  <c r="M693" i="1"/>
  <c r="L693" i="1"/>
  <c r="K693" i="1"/>
  <c r="O685" i="1"/>
  <c r="N685" i="1"/>
  <c r="M685" i="1"/>
  <c r="K685" i="1"/>
  <c r="L685" i="1"/>
  <c r="O677" i="1"/>
  <c r="N677" i="1"/>
  <c r="M677" i="1"/>
  <c r="L677" i="1"/>
  <c r="K677" i="1"/>
  <c r="O669" i="1"/>
  <c r="M669" i="1"/>
  <c r="N669" i="1"/>
  <c r="L669" i="1"/>
  <c r="K669" i="1"/>
  <c r="O661" i="1"/>
  <c r="N661" i="1"/>
  <c r="M661" i="1"/>
  <c r="L661" i="1"/>
  <c r="K661" i="1"/>
  <c r="O653" i="1"/>
  <c r="N653" i="1"/>
  <c r="M653" i="1"/>
  <c r="K653" i="1"/>
  <c r="L653" i="1"/>
  <c r="O645" i="1"/>
  <c r="N645" i="1"/>
  <c r="M645" i="1"/>
  <c r="L645" i="1"/>
  <c r="K645" i="1"/>
  <c r="O637" i="1"/>
  <c r="N637" i="1"/>
  <c r="M637" i="1"/>
  <c r="L637" i="1"/>
  <c r="K637" i="1"/>
  <c r="O629" i="1"/>
  <c r="N629" i="1"/>
  <c r="M629" i="1"/>
  <c r="L629" i="1"/>
  <c r="K629" i="1"/>
  <c r="O621" i="1"/>
  <c r="N621" i="1"/>
  <c r="M621" i="1"/>
  <c r="K621" i="1"/>
  <c r="L621" i="1"/>
  <c r="O613" i="1"/>
  <c r="N613" i="1"/>
  <c r="M613" i="1"/>
  <c r="L613" i="1"/>
  <c r="K613" i="1"/>
  <c r="O605" i="1"/>
  <c r="M605" i="1"/>
  <c r="N605" i="1"/>
  <c r="L605" i="1"/>
  <c r="K605" i="1"/>
  <c r="O597" i="1"/>
  <c r="N597" i="1"/>
  <c r="M597" i="1"/>
  <c r="L597" i="1"/>
  <c r="K597" i="1"/>
  <c r="O589" i="1"/>
  <c r="N589" i="1"/>
  <c r="M589" i="1"/>
  <c r="K589" i="1"/>
  <c r="L589" i="1"/>
  <c r="O581" i="1"/>
  <c r="N581" i="1"/>
  <c r="M581" i="1"/>
  <c r="L581" i="1"/>
  <c r="K581" i="1"/>
  <c r="O573" i="1"/>
  <c r="N573" i="1"/>
  <c r="M573" i="1"/>
  <c r="L573" i="1"/>
  <c r="K573" i="1"/>
  <c r="O565" i="1"/>
  <c r="N565" i="1"/>
  <c r="M565" i="1"/>
  <c r="L565" i="1"/>
  <c r="K565" i="1"/>
  <c r="O557" i="1"/>
  <c r="N557" i="1"/>
  <c r="M557" i="1"/>
  <c r="K557" i="1"/>
  <c r="L557" i="1"/>
  <c r="O549" i="1"/>
  <c r="N549" i="1"/>
  <c r="M549" i="1"/>
  <c r="L549" i="1"/>
  <c r="K549" i="1"/>
  <c r="O541" i="1"/>
  <c r="N541" i="1"/>
  <c r="M541" i="1"/>
  <c r="L541" i="1"/>
  <c r="K541" i="1"/>
  <c r="O533" i="1"/>
  <c r="N533" i="1"/>
  <c r="M533" i="1"/>
  <c r="L533" i="1"/>
  <c r="K533" i="1"/>
  <c r="O525" i="1"/>
  <c r="N525" i="1"/>
  <c r="M525" i="1"/>
  <c r="K525" i="1"/>
  <c r="L525" i="1"/>
  <c r="O517" i="1"/>
  <c r="N517" i="1"/>
  <c r="M517" i="1"/>
  <c r="L517" i="1"/>
  <c r="K517" i="1"/>
  <c r="O509" i="1"/>
  <c r="N509" i="1"/>
  <c r="M509" i="1"/>
  <c r="L509" i="1"/>
  <c r="K509" i="1"/>
  <c r="O501" i="1"/>
  <c r="N501" i="1"/>
  <c r="M501" i="1"/>
  <c r="L501" i="1"/>
  <c r="K501" i="1"/>
  <c r="O493" i="1"/>
  <c r="N493" i="1"/>
  <c r="M493" i="1"/>
  <c r="K493" i="1"/>
  <c r="L493" i="1"/>
  <c r="O485" i="1"/>
  <c r="N485" i="1"/>
  <c r="M485" i="1"/>
  <c r="L485" i="1"/>
  <c r="K485" i="1"/>
  <c r="O477" i="1"/>
  <c r="N477" i="1"/>
  <c r="M477" i="1"/>
  <c r="L477" i="1"/>
  <c r="K477" i="1"/>
  <c r="O469" i="1"/>
  <c r="N469" i="1"/>
  <c r="M469" i="1"/>
  <c r="L469" i="1"/>
  <c r="K469" i="1"/>
  <c r="O461" i="1"/>
  <c r="N461" i="1"/>
  <c r="M461" i="1"/>
  <c r="K461" i="1"/>
  <c r="L461" i="1"/>
  <c r="O453" i="1"/>
  <c r="N453" i="1"/>
  <c r="M453" i="1"/>
  <c r="L453" i="1"/>
  <c r="K453" i="1"/>
  <c r="O445" i="1"/>
  <c r="N445" i="1"/>
  <c r="M445" i="1"/>
  <c r="L445" i="1"/>
  <c r="K445" i="1"/>
  <c r="O437" i="1"/>
  <c r="N437" i="1"/>
  <c r="M437" i="1"/>
  <c r="L437" i="1"/>
  <c r="K437" i="1"/>
  <c r="O429" i="1"/>
  <c r="N429" i="1"/>
  <c r="M429" i="1"/>
  <c r="K429" i="1"/>
  <c r="L429" i="1"/>
  <c r="O421" i="1"/>
  <c r="N421" i="1"/>
  <c r="M421" i="1"/>
  <c r="L421" i="1"/>
  <c r="K421" i="1"/>
  <c r="O413" i="1"/>
  <c r="N413" i="1"/>
  <c r="M413" i="1"/>
  <c r="L413" i="1"/>
  <c r="K413" i="1"/>
  <c r="O405" i="1"/>
  <c r="N405" i="1"/>
  <c r="M405" i="1"/>
  <c r="L405" i="1"/>
  <c r="K405" i="1"/>
  <c r="O397" i="1"/>
  <c r="N397" i="1"/>
  <c r="M397" i="1"/>
  <c r="L397" i="1"/>
  <c r="K397" i="1"/>
  <c r="O389" i="1"/>
  <c r="N389" i="1"/>
  <c r="M389" i="1"/>
  <c r="L389" i="1"/>
  <c r="K389" i="1"/>
  <c r="O381" i="1"/>
  <c r="N381" i="1"/>
  <c r="M381" i="1"/>
  <c r="L381" i="1"/>
  <c r="K381" i="1"/>
  <c r="O373" i="1"/>
  <c r="N373" i="1"/>
  <c r="M373" i="1"/>
  <c r="K373" i="1"/>
  <c r="L373" i="1"/>
  <c r="O365" i="1"/>
  <c r="N365" i="1"/>
  <c r="M365" i="1"/>
  <c r="K365" i="1"/>
  <c r="L365" i="1"/>
  <c r="O357" i="1"/>
  <c r="N357" i="1"/>
  <c r="M357" i="1"/>
  <c r="L357" i="1"/>
  <c r="K357" i="1"/>
  <c r="O349" i="1"/>
  <c r="N349" i="1"/>
  <c r="M349" i="1"/>
  <c r="L349" i="1"/>
  <c r="K349" i="1"/>
  <c r="O341" i="1"/>
  <c r="N341" i="1"/>
  <c r="M341" i="1"/>
  <c r="L341" i="1"/>
  <c r="K341" i="1"/>
  <c r="O333" i="1"/>
  <c r="N333" i="1"/>
  <c r="M333" i="1"/>
  <c r="L333" i="1"/>
  <c r="K333" i="1"/>
  <c r="O325" i="1"/>
  <c r="N325" i="1"/>
  <c r="M325" i="1"/>
  <c r="L325" i="1"/>
  <c r="K325" i="1"/>
  <c r="O317" i="1"/>
  <c r="N317" i="1"/>
  <c r="M317" i="1"/>
  <c r="L317" i="1"/>
  <c r="K317" i="1"/>
  <c r="O309" i="1"/>
  <c r="N309" i="1"/>
  <c r="M309" i="1"/>
  <c r="K309" i="1"/>
  <c r="L309" i="1"/>
  <c r="O301" i="1"/>
  <c r="N301" i="1"/>
  <c r="M301" i="1"/>
  <c r="K301" i="1"/>
  <c r="L301" i="1"/>
  <c r="O293" i="1"/>
  <c r="N293" i="1"/>
  <c r="M293" i="1"/>
  <c r="L293" i="1"/>
  <c r="K293" i="1"/>
  <c r="O285" i="1"/>
  <c r="N285" i="1"/>
  <c r="M285" i="1"/>
  <c r="L285" i="1"/>
  <c r="K285" i="1"/>
  <c r="O277" i="1"/>
  <c r="N277" i="1"/>
  <c r="M277" i="1"/>
  <c r="L277" i="1"/>
  <c r="K277" i="1"/>
  <c r="O269" i="1"/>
  <c r="N269" i="1"/>
  <c r="M269" i="1"/>
  <c r="L269" i="1"/>
  <c r="K269" i="1"/>
  <c r="O261" i="1"/>
  <c r="M261" i="1"/>
  <c r="N261" i="1"/>
  <c r="L261" i="1"/>
  <c r="K261" i="1"/>
  <c r="O253" i="1"/>
  <c r="N253" i="1"/>
  <c r="M253" i="1"/>
  <c r="L253" i="1"/>
  <c r="K253" i="1"/>
  <c r="O245" i="1"/>
  <c r="N245" i="1"/>
  <c r="M245" i="1"/>
  <c r="K245" i="1"/>
  <c r="L245" i="1"/>
  <c r="O237" i="1"/>
  <c r="M237" i="1"/>
  <c r="N237" i="1"/>
  <c r="K237" i="1"/>
  <c r="L237" i="1"/>
  <c r="O229" i="1"/>
  <c r="N229" i="1"/>
  <c r="M229" i="1"/>
  <c r="L229" i="1"/>
  <c r="K229" i="1"/>
  <c r="O221" i="1"/>
  <c r="N221" i="1"/>
  <c r="M221" i="1"/>
  <c r="L221" i="1"/>
  <c r="K221" i="1"/>
  <c r="O213" i="1"/>
  <c r="N213" i="1"/>
  <c r="M213" i="1"/>
  <c r="L213" i="1"/>
  <c r="K213" i="1"/>
  <c r="O205" i="1"/>
  <c r="N205" i="1"/>
  <c r="M205" i="1"/>
  <c r="L205" i="1"/>
  <c r="K205" i="1"/>
  <c r="O197" i="1"/>
  <c r="N197" i="1"/>
  <c r="M197" i="1"/>
  <c r="L197" i="1"/>
  <c r="K197" i="1"/>
  <c r="O189" i="1"/>
  <c r="N189" i="1"/>
  <c r="M189" i="1"/>
  <c r="L189" i="1"/>
  <c r="K189" i="1"/>
  <c r="O181" i="1"/>
  <c r="N181" i="1"/>
  <c r="M181" i="1"/>
  <c r="K181" i="1"/>
  <c r="L181" i="1"/>
  <c r="O173" i="1"/>
  <c r="M173" i="1"/>
  <c r="N173" i="1"/>
  <c r="K173" i="1"/>
  <c r="L173" i="1"/>
  <c r="O165" i="1"/>
  <c r="N165" i="1"/>
  <c r="M165" i="1"/>
  <c r="L165" i="1"/>
  <c r="K165" i="1"/>
  <c r="O157" i="1"/>
  <c r="N157" i="1"/>
  <c r="M157" i="1"/>
  <c r="L157" i="1"/>
  <c r="K157" i="1"/>
  <c r="O149" i="1"/>
  <c r="N149" i="1"/>
  <c r="M149" i="1"/>
  <c r="L149" i="1"/>
  <c r="K149" i="1"/>
  <c r="O141" i="1"/>
  <c r="N141" i="1"/>
  <c r="M141" i="1"/>
  <c r="L141" i="1"/>
  <c r="K141" i="1"/>
  <c r="O133" i="1"/>
  <c r="N133" i="1"/>
  <c r="M133" i="1"/>
  <c r="L133" i="1"/>
  <c r="K133" i="1"/>
  <c r="O125" i="1"/>
  <c r="N125" i="1"/>
  <c r="M125" i="1"/>
  <c r="L125" i="1"/>
  <c r="K125" i="1"/>
  <c r="O117" i="1"/>
  <c r="N117" i="1"/>
  <c r="M117" i="1"/>
  <c r="K117" i="1"/>
  <c r="L117" i="1"/>
  <c r="O109" i="1"/>
  <c r="N109" i="1"/>
  <c r="M109" i="1"/>
  <c r="K109" i="1"/>
  <c r="L109" i="1"/>
  <c r="O101" i="1"/>
  <c r="M101" i="1"/>
  <c r="N101" i="1"/>
  <c r="L101" i="1"/>
  <c r="K101" i="1"/>
  <c r="O93" i="1"/>
  <c r="N93" i="1"/>
  <c r="M93" i="1"/>
  <c r="L93" i="1"/>
  <c r="K93" i="1"/>
  <c r="O85" i="1"/>
  <c r="N85" i="1"/>
  <c r="M85" i="1"/>
  <c r="L85" i="1"/>
  <c r="K85" i="1"/>
  <c r="O77" i="1"/>
  <c r="N77" i="1"/>
  <c r="M77" i="1"/>
  <c r="L77" i="1"/>
  <c r="K77" i="1"/>
  <c r="O69" i="1"/>
  <c r="N69" i="1"/>
  <c r="M69" i="1"/>
  <c r="L69" i="1"/>
  <c r="K69" i="1"/>
  <c r="O61" i="1"/>
  <c r="N61" i="1"/>
  <c r="M61" i="1"/>
  <c r="L61" i="1"/>
  <c r="K61" i="1"/>
  <c r="O53" i="1"/>
  <c r="N53" i="1"/>
  <c r="M53" i="1"/>
  <c r="K53" i="1"/>
  <c r="L53" i="1"/>
  <c r="O45" i="1"/>
  <c r="N45" i="1"/>
  <c r="M45" i="1"/>
  <c r="K45" i="1"/>
  <c r="L45" i="1"/>
  <c r="O37" i="1"/>
  <c r="M37" i="1"/>
  <c r="N37" i="1"/>
  <c r="L37" i="1"/>
  <c r="K37" i="1"/>
  <c r="O29" i="1"/>
  <c r="N29" i="1"/>
  <c r="M29" i="1"/>
  <c r="L29" i="1"/>
  <c r="K29" i="1"/>
  <c r="O21" i="1"/>
  <c r="N21" i="1"/>
  <c r="M21" i="1"/>
  <c r="K21" i="1"/>
  <c r="L21" i="1"/>
  <c r="O13" i="1"/>
  <c r="N13" i="1"/>
  <c r="M13" i="1"/>
  <c r="K13" i="1"/>
  <c r="L13" i="1"/>
  <c r="O5" i="1"/>
  <c r="N5" i="1"/>
  <c r="M5" i="1"/>
  <c r="L5" i="1"/>
  <c r="K5" i="1"/>
  <c r="O980" i="1"/>
  <c r="N980" i="1"/>
  <c r="M980" i="1"/>
  <c r="K980" i="1"/>
  <c r="L980" i="1"/>
  <c r="O972" i="1"/>
  <c r="N972" i="1"/>
  <c r="M972" i="1"/>
  <c r="K972" i="1"/>
  <c r="L972" i="1"/>
  <c r="O964" i="1"/>
  <c r="N964" i="1"/>
  <c r="M964" i="1"/>
  <c r="L964" i="1"/>
  <c r="K964" i="1"/>
  <c r="O956" i="1"/>
  <c r="N956" i="1"/>
  <c r="M956" i="1"/>
  <c r="L956" i="1"/>
  <c r="K956" i="1"/>
  <c r="O948" i="1"/>
  <c r="N948" i="1"/>
  <c r="M948" i="1"/>
  <c r="L948" i="1"/>
  <c r="K948" i="1"/>
  <c r="O940" i="1"/>
  <c r="N940" i="1"/>
  <c r="M940" i="1"/>
  <c r="L940" i="1"/>
  <c r="K940" i="1"/>
  <c r="O932" i="1"/>
  <c r="N932" i="1"/>
  <c r="M932" i="1"/>
  <c r="L932" i="1"/>
  <c r="K932" i="1"/>
  <c r="O924" i="1"/>
  <c r="N924" i="1"/>
  <c r="M924" i="1"/>
  <c r="K924" i="1"/>
  <c r="L924" i="1"/>
  <c r="O916" i="1"/>
  <c r="N916" i="1"/>
  <c r="M916" i="1"/>
  <c r="L916" i="1"/>
  <c r="K916" i="1"/>
  <c r="O908" i="1"/>
  <c r="N908" i="1"/>
  <c r="M908" i="1"/>
  <c r="L908" i="1"/>
  <c r="K908" i="1"/>
  <c r="O900" i="1"/>
  <c r="N900" i="1"/>
  <c r="M900" i="1"/>
  <c r="K900" i="1"/>
  <c r="L900" i="1"/>
  <c r="O892" i="1"/>
  <c r="N892" i="1"/>
  <c r="M892" i="1"/>
  <c r="L892" i="1"/>
  <c r="K892" i="1"/>
  <c r="O884" i="1"/>
  <c r="N884" i="1"/>
  <c r="M884" i="1"/>
  <c r="L884" i="1"/>
  <c r="K884" i="1"/>
  <c r="O876" i="1"/>
  <c r="N876" i="1"/>
  <c r="M876" i="1"/>
  <c r="K876" i="1"/>
  <c r="L876" i="1"/>
  <c r="O868" i="1"/>
  <c r="N868" i="1"/>
  <c r="M868" i="1"/>
  <c r="L868" i="1"/>
  <c r="K868" i="1"/>
  <c r="O860" i="1"/>
  <c r="N860" i="1"/>
  <c r="M860" i="1"/>
  <c r="K860" i="1"/>
  <c r="L860" i="1"/>
  <c r="O852" i="1"/>
  <c r="N852" i="1"/>
  <c r="M852" i="1"/>
  <c r="L852" i="1"/>
  <c r="K852" i="1"/>
  <c r="O844" i="1"/>
  <c r="N844" i="1"/>
  <c r="M844" i="1"/>
  <c r="K844" i="1"/>
  <c r="L844" i="1"/>
  <c r="O836" i="1"/>
  <c r="N836" i="1"/>
  <c r="M836" i="1"/>
  <c r="L836" i="1"/>
  <c r="K836" i="1"/>
  <c r="O828" i="1"/>
  <c r="N828" i="1"/>
  <c r="M828" i="1"/>
  <c r="L828" i="1"/>
  <c r="K828" i="1"/>
  <c r="O820" i="1"/>
  <c r="N820" i="1"/>
  <c r="M820" i="1"/>
  <c r="L820" i="1"/>
  <c r="K820" i="1"/>
  <c r="O812" i="1"/>
  <c r="N812" i="1"/>
  <c r="M812" i="1"/>
  <c r="K812" i="1"/>
  <c r="L812" i="1"/>
  <c r="O804" i="1"/>
  <c r="N804" i="1"/>
  <c r="M804" i="1"/>
  <c r="L804" i="1"/>
  <c r="K804" i="1"/>
  <c r="O796" i="1"/>
  <c r="N796" i="1"/>
  <c r="M796" i="1"/>
  <c r="L796" i="1"/>
  <c r="K796" i="1"/>
  <c r="O788" i="1"/>
  <c r="N788" i="1"/>
  <c r="M788" i="1"/>
  <c r="L788" i="1"/>
  <c r="K788" i="1"/>
  <c r="O780" i="1"/>
  <c r="N780" i="1"/>
  <c r="M780" i="1"/>
  <c r="K780" i="1"/>
  <c r="L780" i="1"/>
  <c r="O772" i="1"/>
  <c r="N772" i="1"/>
  <c r="M772" i="1"/>
  <c r="L772" i="1"/>
  <c r="K772" i="1"/>
  <c r="O764" i="1"/>
  <c r="N764" i="1"/>
  <c r="M764" i="1"/>
  <c r="L764" i="1"/>
  <c r="K764" i="1"/>
  <c r="O756" i="1"/>
  <c r="N756" i="1"/>
  <c r="M756" i="1"/>
  <c r="L756" i="1"/>
  <c r="K756" i="1"/>
  <c r="O748" i="1"/>
  <c r="N748" i="1"/>
  <c r="M748" i="1"/>
  <c r="K748" i="1"/>
  <c r="L748" i="1"/>
  <c r="O740" i="1"/>
  <c r="N740" i="1"/>
  <c r="M740" i="1"/>
  <c r="L740" i="1"/>
  <c r="K740" i="1"/>
  <c r="O732" i="1"/>
  <c r="N732" i="1"/>
  <c r="M732" i="1"/>
  <c r="L732" i="1"/>
  <c r="K732" i="1"/>
  <c r="O724" i="1"/>
  <c r="N724" i="1"/>
  <c r="M724" i="1"/>
  <c r="L724" i="1"/>
  <c r="K724" i="1"/>
  <c r="O716" i="1"/>
  <c r="N716" i="1"/>
  <c r="M716" i="1"/>
  <c r="K716" i="1"/>
  <c r="L716" i="1"/>
  <c r="O708" i="1"/>
  <c r="N708" i="1"/>
  <c r="M708" i="1"/>
  <c r="L708" i="1"/>
  <c r="K708" i="1"/>
  <c r="O700" i="1"/>
  <c r="N700" i="1"/>
  <c r="M700" i="1"/>
  <c r="L700" i="1"/>
  <c r="K700" i="1"/>
  <c r="O692" i="1"/>
  <c r="N692" i="1"/>
  <c r="M692" i="1"/>
  <c r="L692" i="1"/>
  <c r="K692" i="1"/>
  <c r="O684" i="1"/>
  <c r="N684" i="1"/>
  <c r="M684" i="1"/>
  <c r="K684" i="1"/>
  <c r="L684" i="1"/>
  <c r="O676" i="1"/>
  <c r="N676" i="1"/>
  <c r="M676" i="1"/>
  <c r="L676" i="1"/>
  <c r="K676" i="1"/>
  <c r="O668" i="1"/>
  <c r="N668" i="1"/>
  <c r="M668" i="1"/>
  <c r="L668" i="1"/>
  <c r="K668" i="1"/>
  <c r="O660" i="1"/>
  <c r="N660" i="1"/>
  <c r="M660" i="1"/>
  <c r="L660" i="1"/>
  <c r="K660" i="1"/>
  <c r="O652" i="1"/>
  <c r="N652" i="1"/>
  <c r="M652" i="1"/>
  <c r="K652" i="1"/>
  <c r="L652" i="1"/>
  <c r="O644" i="1"/>
  <c r="N644" i="1"/>
  <c r="M644" i="1"/>
  <c r="L644" i="1"/>
  <c r="K644" i="1"/>
  <c r="O636" i="1"/>
  <c r="N636" i="1"/>
  <c r="M636" i="1"/>
  <c r="L636" i="1"/>
  <c r="K636" i="1"/>
  <c r="O628" i="1"/>
  <c r="N628" i="1"/>
  <c r="M628" i="1"/>
  <c r="L628" i="1"/>
  <c r="K628" i="1"/>
  <c r="O620" i="1"/>
  <c r="N620" i="1"/>
  <c r="M620" i="1"/>
  <c r="K620" i="1"/>
  <c r="L620" i="1"/>
  <c r="O612" i="1"/>
  <c r="N612" i="1"/>
  <c r="M612" i="1"/>
  <c r="L612" i="1"/>
  <c r="K612" i="1"/>
  <c r="O604" i="1"/>
  <c r="N604" i="1"/>
  <c r="M604" i="1"/>
  <c r="L604" i="1"/>
  <c r="K604" i="1"/>
  <c r="O596" i="1"/>
  <c r="M596" i="1"/>
  <c r="N596" i="1"/>
  <c r="L596" i="1"/>
  <c r="K596" i="1"/>
  <c r="O588" i="1"/>
  <c r="N588" i="1"/>
  <c r="M588" i="1"/>
  <c r="K588" i="1"/>
  <c r="L588" i="1"/>
  <c r="O580" i="1"/>
  <c r="N580" i="1"/>
  <c r="M580" i="1"/>
  <c r="L580" i="1"/>
  <c r="K580" i="1"/>
  <c r="O572" i="1"/>
  <c r="N572" i="1"/>
  <c r="M572" i="1"/>
  <c r="L572" i="1"/>
  <c r="K572" i="1"/>
  <c r="O564" i="1"/>
  <c r="N564" i="1"/>
  <c r="M564" i="1"/>
  <c r="L564" i="1"/>
  <c r="K564" i="1"/>
  <c r="O556" i="1"/>
  <c r="N556" i="1"/>
  <c r="M556" i="1"/>
  <c r="K556" i="1"/>
  <c r="L556" i="1"/>
  <c r="O548" i="1"/>
  <c r="N548" i="1"/>
  <c r="M548" i="1"/>
  <c r="L548" i="1"/>
  <c r="K548" i="1"/>
  <c r="O540" i="1"/>
  <c r="N540" i="1"/>
  <c r="M540" i="1"/>
  <c r="L540" i="1"/>
  <c r="K540" i="1"/>
  <c r="O532" i="1"/>
  <c r="N532" i="1"/>
  <c r="M532" i="1"/>
  <c r="L532" i="1"/>
  <c r="K532" i="1"/>
  <c r="O524" i="1"/>
  <c r="N524" i="1"/>
  <c r="M524" i="1"/>
  <c r="K524" i="1"/>
  <c r="L524" i="1"/>
  <c r="O516" i="1"/>
  <c r="N516" i="1"/>
  <c r="M516" i="1"/>
  <c r="L516" i="1"/>
  <c r="K516" i="1"/>
  <c r="O508" i="1"/>
  <c r="N508" i="1"/>
  <c r="M508" i="1"/>
  <c r="L508" i="1"/>
  <c r="K508" i="1"/>
  <c r="O500" i="1"/>
  <c r="N500" i="1"/>
  <c r="M500" i="1"/>
  <c r="L500" i="1"/>
  <c r="K500" i="1"/>
  <c r="O492" i="1"/>
  <c r="N492" i="1"/>
  <c r="M492" i="1"/>
  <c r="K492" i="1"/>
  <c r="L492" i="1"/>
  <c r="O484" i="1"/>
  <c r="N484" i="1"/>
  <c r="M484" i="1"/>
  <c r="L484" i="1"/>
  <c r="K484" i="1"/>
  <c r="O476" i="1"/>
  <c r="N476" i="1"/>
  <c r="M476" i="1"/>
  <c r="L476" i="1"/>
  <c r="K476" i="1"/>
  <c r="O468" i="1"/>
  <c r="N468" i="1"/>
  <c r="M468" i="1"/>
  <c r="L468" i="1"/>
  <c r="K468" i="1"/>
  <c r="O460" i="1"/>
  <c r="N460" i="1"/>
  <c r="M460" i="1"/>
  <c r="K460" i="1"/>
  <c r="L460" i="1"/>
  <c r="O452" i="1"/>
  <c r="N452" i="1"/>
  <c r="M452" i="1"/>
  <c r="L452" i="1"/>
  <c r="K452" i="1"/>
  <c r="O444" i="1"/>
  <c r="N444" i="1"/>
  <c r="M444" i="1"/>
  <c r="L444" i="1"/>
  <c r="K444" i="1"/>
  <c r="O436" i="1"/>
  <c r="N436" i="1"/>
  <c r="M436" i="1"/>
  <c r="L436" i="1"/>
  <c r="K436" i="1"/>
  <c r="O428" i="1"/>
  <c r="N428" i="1"/>
  <c r="M428" i="1"/>
  <c r="K428" i="1"/>
  <c r="L428" i="1"/>
  <c r="O420" i="1"/>
  <c r="N420" i="1"/>
  <c r="M420" i="1"/>
  <c r="L420" i="1"/>
  <c r="K420" i="1"/>
  <c r="O412" i="1"/>
  <c r="N412" i="1"/>
  <c r="M412" i="1"/>
  <c r="L412" i="1"/>
  <c r="K412" i="1"/>
  <c r="O404" i="1"/>
  <c r="N404" i="1"/>
  <c r="M404" i="1"/>
  <c r="L404" i="1"/>
  <c r="K404" i="1"/>
  <c r="O396" i="1"/>
  <c r="N396" i="1"/>
  <c r="M396" i="1"/>
  <c r="L396" i="1"/>
  <c r="K396" i="1"/>
  <c r="O388" i="1"/>
  <c r="N388" i="1"/>
  <c r="L388" i="1"/>
  <c r="K388" i="1"/>
  <c r="M388" i="1"/>
  <c r="O380" i="1"/>
  <c r="N380" i="1"/>
  <c r="M380" i="1"/>
  <c r="L380" i="1"/>
  <c r="K380" i="1"/>
  <c r="O372" i="1"/>
  <c r="N372" i="1"/>
  <c r="M372" i="1"/>
  <c r="L372" i="1"/>
  <c r="K372" i="1"/>
  <c r="O364" i="1"/>
  <c r="N364" i="1"/>
  <c r="M364" i="1"/>
  <c r="L364" i="1"/>
  <c r="K364" i="1"/>
  <c r="O356" i="1"/>
  <c r="N356" i="1"/>
  <c r="M356" i="1"/>
  <c r="L356" i="1"/>
  <c r="K356" i="1"/>
  <c r="O348" i="1"/>
  <c r="N348" i="1"/>
  <c r="M348" i="1"/>
  <c r="L348" i="1"/>
  <c r="K348" i="1"/>
  <c r="O340" i="1"/>
  <c r="N340" i="1"/>
  <c r="M340" i="1"/>
  <c r="L340" i="1"/>
  <c r="K340" i="1"/>
  <c r="O332" i="1"/>
  <c r="N332" i="1"/>
  <c r="M332" i="1"/>
  <c r="L332" i="1"/>
  <c r="K332" i="1"/>
  <c r="O324" i="1"/>
  <c r="N324" i="1"/>
  <c r="M324" i="1"/>
  <c r="L324" i="1"/>
  <c r="K324" i="1"/>
  <c r="O316" i="1"/>
  <c r="N316" i="1"/>
  <c r="M316" i="1"/>
  <c r="L316" i="1"/>
  <c r="K316" i="1"/>
  <c r="O308" i="1"/>
  <c r="N308" i="1"/>
  <c r="M308" i="1"/>
  <c r="L308" i="1"/>
  <c r="K308" i="1"/>
  <c r="O300" i="1"/>
  <c r="N300" i="1"/>
  <c r="M300" i="1"/>
  <c r="L300" i="1"/>
  <c r="K300" i="1"/>
  <c r="O292" i="1"/>
  <c r="N292" i="1"/>
  <c r="M292" i="1"/>
  <c r="L292" i="1"/>
  <c r="K292" i="1"/>
  <c r="O284" i="1"/>
  <c r="N284" i="1"/>
  <c r="M284" i="1"/>
  <c r="L284" i="1"/>
  <c r="K284" i="1"/>
  <c r="O276" i="1"/>
  <c r="N276" i="1"/>
  <c r="M276" i="1"/>
  <c r="L276" i="1"/>
  <c r="K276" i="1"/>
  <c r="O268" i="1"/>
  <c r="N268" i="1"/>
  <c r="M268" i="1"/>
  <c r="L268" i="1"/>
  <c r="K268" i="1"/>
  <c r="O260" i="1"/>
  <c r="N260" i="1"/>
  <c r="M260" i="1"/>
  <c r="L260" i="1"/>
  <c r="K260" i="1"/>
  <c r="O252" i="1"/>
  <c r="N252" i="1"/>
  <c r="M252" i="1"/>
  <c r="L252" i="1"/>
  <c r="K252" i="1"/>
  <c r="O244" i="1"/>
  <c r="N244" i="1"/>
  <c r="M244" i="1"/>
  <c r="L244" i="1"/>
  <c r="K244" i="1"/>
  <c r="O236" i="1"/>
  <c r="N236" i="1"/>
  <c r="M236" i="1"/>
  <c r="L236" i="1"/>
  <c r="K236" i="1"/>
  <c r="O228" i="1"/>
  <c r="N228" i="1"/>
  <c r="M228" i="1"/>
  <c r="L228" i="1"/>
  <c r="K228" i="1"/>
  <c r="O220" i="1"/>
  <c r="N220" i="1"/>
  <c r="L220" i="1"/>
  <c r="M220" i="1"/>
  <c r="K220" i="1"/>
  <c r="O212" i="1"/>
  <c r="N212" i="1"/>
  <c r="M212" i="1"/>
  <c r="L212" i="1"/>
  <c r="K212" i="1"/>
  <c r="O204" i="1"/>
  <c r="N204" i="1"/>
  <c r="M204" i="1"/>
  <c r="L204" i="1"/>
  <c r="K204" i="1"/>
  <c r="O196" i="1"/>
  <c r="N196" i="1"/>
  <c r="M196" i="1"/>
  <c r="L196" i="1"/>
  <c r="K196" i="1"/>
  <c r="O188" i="1"/>
  <c r="N188" i="1"/>
  <c r="M188" i="1"/>
  <c r="L188" i="1"/>
  <c r="K188" i="1"/>
  <c r="O180" i="1"/>
  <c r="N180" i="1"/>
  <c r="M180" i="1"/>
  <c r="L180" i="1"/>
  <c r="K180" i="1"/>
  <c r="O172" i="1"/>
  <c r="N172" i="1"/>
  <c r="M172" i="1"/>
  <c r="L172" i="1"/>
  <c r="K172" i="1"/>
  <c r="O164" i="1"/>
  <c r="N164" i="1"/>
  <c r="M164" i="1"/>
  <c r="L164" i="1"/>
  <c r="K164" i="1"/>
  <c r="O156" i="1"/>
  <c r="N156" i="1"/>
  <c r="M156" i="1"/>
  <c r="L156" i="1"/>
  <c r="K156" i="1"/>
  <c r="O148" i="1"/>
  <c r="N148" i="1"/>
  <c r="M148" i="1"/>
  <c r="L148" i="1"/>
  <c r="K148" i="1"/>
  <c r="O140" i="1"/>
  <c r="M140" i="1"/>
  <c r="N140" i="1"/>
  <c r="L140" i="1"/>
  <c r="K140" i="1"/>
  <c r="O132" i="1"/>
  <c r="N132" i="1"/>
  <c r="L132" i="1"/>
  <c r="M132" i="1"/>
  <c r="K132" i="1"/>
  <c r="O124" i="1"/>
  <c r="N124" i="1"/>
  <c r="M124" i="1"/>
  <c r="L124" i="1"/>
  <c r="K124" i="1"/>
  <c r="O116" i="1"/>
  <c r="N116" i="1"/>
  <c r="M116" i="1"/>
  <c r="L116" i="1"/>
  <c r="K116" i="1"/>
  <c r="O108" i="1"/>
  <c r="N108" i="1"/>
  <c r="M108" i="1"/>
  <c r="L108" i="1"/>
  <c r="K108" i="1"/>
  <c r="O100" i="1"/>
  <c r="N100" i="1"/>
  <c r="M100" i="1"/>
  <c r="L100" i="1"/>
  <c r="K100" i="1"/>
  <c r="O92" i="1"/>
  <c r="N92" i="1"/>
  <c r="M92" i="1"/>
  <c r="L92" i="1"/>
  <c r="K92" i="1"/>
  <c r="O84" i="1"/>
  <c r="N84" i="1"/>
  <c r="M84" i="1"/>
  <c r="L84" i="1"/>
  <c r="K84" i="1"/>
  <c r="O76" i="1"/>
  <c r="N76" i="1"/>
  <c r="M76" i="1"/>
  <c r="L76" i="1"/>
  <c r="K76" i="1"/>
  <c r="O68" i="1"/>
  <c r="N68" i="1"/>
  <c r="M68" i="1"/>
  <c r="L68" i="1"/>
  <c r="K68" i="1"/>
  <c r="O60" i="1"/>
  <c r="N60" i="1"/>
  <c r="M60" i="1"/>
  <c r="L60" i="1"/>
  <c r="K60" i="1"/>
  <c r="O52" i="1"/>
  <c r="N52" i="1"/>
  <c r="M52" i="1"/>
  <c r="L52" i="1"/>
  <c r="K52" i="1"/>
  <c r="O44" i="1"/>
  <c r="N44" i="1"/>
  <c r="M44" i="1"/>
  <c r="L44" i="1"/>
  <c r="K44" i="1"/>
  <c r="O36" i="1"/>
  <c r="N36" i="1"/>
  <c r="M36" i="1"/>
  <c r="L36" i="1"/>
  <c r="K36" i="1"/>
  <c r="O28" i="1"/>
  <c r="N28" i="1"/>
  <c r="M28" i="1"/>
  <c r="L28" i="1"/>
  <c r="K28" i="1"/>
  <c r="O20" i="1"/>
  <c r="N20" i="1"/>
  <c r="M20" i="1"/>
  <c r="L20" i="1"/>
  <c r="K20" i="1"/>
  <c r="O12" i="1"/>
  <c r="N12" i="1"/>
  <c r="M12" i="1"/>
  <c r="L12" i="1"/>
  <c r="K12" i="1"/>
  <c r="O4" i="1"/>
  <c r="N4" i="1"/>
  <c r="M4" i="1"/>
  <c r="L4" i="1"/>
  <c r="K4" i="1"/>
  <c r="O979" i="1"/>
  <c r="N979" i="1"/>
  <c r="M979" i="1"/>
  <c r="K979" i="1"/>
  <c r="L979" i="1"/>
  <c r="O971" i="1"/>
  <c r="N971" i="1"/>
  <c r="M971" i="1"/>
  <c r="K971" i="1"/>
  <c r="L971" i="1"/>
  <c r="N963" i="1"/>
  <c r="O963" i="1"/>
  <c r="M963" i="1"/>
  <c r="K963" i="1"/>
  <c r="L963" i="1"/>
  <c r="O955" i="1"/>
  <c r="N955" i="1"/>
  <c r="M955" i="1"/>
  <c r="L955" i="1"/>
  <c r="K955" i="1"/>
  <c r="O947" i="1"/>
  <c r="N947" i="1"/>
  <c r="M947" i="1"/>
  <c r="L947" i="1"/>
  <c r="K947" i="1"/>
  <c r="O939" i="1"/>
  <c r="N939" i="1"/>
  <c r="M939" i="1"/>
  <c r="L939" i="1"/>
  <c r="K939" i="1"/>
  <c r="O931" i="1"/>
  <c r="N931" i="1"/>
  <c r="M931" i="1"/>
  <c r="L931" i="1"/>
  <c r="K931" i="1"/>
  <c r="O923" i="1"/>
  <c r="N923" i="1"/>
  <c r="M923" i="1"/>
  <c r="K923" i="1"/>
  <c r="L923" i="1"/>
  <c r="O915" i="1"/>
  <c r="N915" i="1"/>
  <c r="M915" i="1"/>
  <c r="K915" i="1"/>
  <c r="L915" i="1"/>
  <c r="O907" i="1"/>
  <c r="N907" i="1"/>
  <c r="M907" i="1"/>
  <c r="L907" i="1"/>
  <c r="K907" i="1"/>
  <c r="N899" i="1"/>
  <c r="O899" i="1"/>
  <c r="M899" i="1"/>
  <c r="K899" i="1"/>
  <c r="L899" i="1"/>
  <c r="O891" i="1"/>
  <c r="N891" i="1"/>
  <c r="M891" i="1"/>
  <c r="L891" i="1"/>
  <c r="K891" i="1"/>
  <c r="O883" i="1"/>
  <c r="N883" i="1"/>
  <c r="M883" i="1"/>
  <c r="L883" i="1"/>
  <c r="K883" i="1"/>
  <c r="O875" i="1"/>
  <c r="N875" i="1"/>
  <c r="M875" i="1"/>
  <c r="L875" i="1"/>
  <c r="K875" i="1"/>
  <c r="O867" i="1"/>
  <c r="N867" i="1"/>
  <c r="L867" i="1"/>
  <c r="M867" i="1"/>
  <c r="K867" i="1"/>
  <c r="O859" i="1"/>
  <c r="N859" i="1"/>
  <c r="M859" i="1"/>
  <c r="L859" i="1"/>
  <c r="K859" i="1"/>
  <c r="O851" i="1"/>
  <c r="N851" i="1"/>
  <c r="L851" i="1"/>
  <c r="M851" i="1"/>
  <c r="K851" i="1"/>
  <c r="O843" i="1"/>
  <c r="N843" i="1"/>
  <c r="M843" i="1"/>
  <c r="L843" i="1"/>
  <c r="K843" i="1"/>
  <c r="O835" i="1"/>
  <c r="N835" i="1"/>
  <c r="L835" i="1"/>
  <c r="M835" i="1"/>
  <c r="K835" i="1"/>
  <c r="O827" i="1"/>
  <c r="N827" i="1"/>
  <c r="M827" i="1"/>
  <c r="L827" i="1"/>
  <c r="K827" i="1"/>
  <c r="O819" i="1"/>
  <c r="N819" i="1"/>
  <c r="L819" i="1"/>
  <c r="M819" i="1"/>
  <c r="K819" i="1"/>
  <c r="O811" i="1"/>
  <c r="N811" i="1"/>
  <c r="M811" i="1"/>
  <c r="L811" i="1"/>
  <c r="K811" i="1"/>
  <c r="O803" i="1"/>
  <c r="N803" i="1"/>
  <c r="L803" i="1"/>
  <c r="M803" i="1"/>
  <c r="K803" i="1"/>
  <c r="O795" i="1"/>
  <c r="N795" i="1"/>
  <c r="M795" i="1"/>
  <c r="L795" i="1"/>
  <c r="K795" i="1"/>
  <c r="O787" i="1"/>
  <c r="N787" i="1"/>
  <c r="L787" i="1"/>
  <c r="M787" i="1"/>
  <c r="K787" i="1"/>
  <c r="O779" i="1"/>
  <c r="N779" i="1"/>
  <c r="M779" i="1"/>
  <c r="L779" i="1"/>
  <c r="K779" i="1"/>
  <c r="O771" i="1"/>
  <c r="N771" i="1"/>
  <c r="L771" i="1"/>
  <c r="M771" i="1"/>
  <c r="K771" i="1"/>
  <c r="O763" i="1"/>
  <c r="N763" i="1"/>
  <c r="M763" i="1"/>
  <c r="L763" i="1"/>
  <c r="K763" i="1"/>
  <c r="O755" i="1"/>
  <c r="N755" i="1"/>
  <c r="L755" i="1"/>
  <c r="M755" i="1"/>
  <c r="K755" i="1"/>
  <c r="O747" i="1"/>
  <c r="N747" i="1"/>
  <c r="M747" i="1"/>
  <c r="L747" i="1"/>
  <c r="K747" i="1"/>
  <c r="O739" i="1"/>
  <c r="N739" i="1"/>
  <c r="L739" i="1"/>
  <c r="M739" i="1"/>
  <c r="K739" i="1"/>
  <c r="O731" i="1"/>
  <c r="N731" i="1"/>
  <c r="M731" i="1"/>
  <c r="L731" i="1"/>
  <c r="K731" i="1"/>
  <c r="O723" i="1"/>
  <c r="N723" i="1"/>
  <c r="L723" i="1"/>
  <c r="M723" i="1"/>
  <c r="K723" i="1"/>
  <c r="O715" i="1"/>
  <c r="N715" i="1"/>
  <c r="M715" i="1"/>
  <c r="L715" i="1"/>
  <c r="K715" i="1"/>
  <c r="O707" i="1"/>
  <c r="N707" i="1"/>
  <c r="L707" i="1"/>
  <c r="M707" i="1"/>
  <c r="K707" i="1"/>
  <c r="O699" i="1"/>
  <c r="N699" i="1"/>
  <c r="M699" i="1"/>
  <c r="L699" i="1"/>
  <c r="K699" i="1"/>
  <c r="N691" i="1"/>
  <c r="O691" i="1"/>
  <c r="L691" i="1"/>
  <c r="M691" i="1"/>
  <c r="K691" i="1"/>
  <c r="O683" i="1"/>
  <c r="N683" i="1"/>
  <c r="M683" i="1"/>
  <c r="L683" i="1"/>
  <c r="K683" i="1"/>
  <c r="O675" i="1"/>
  <c r="N675" i="1"/>
  <c r="L675" i="1"/>
  <c r="M675" i="1"/>
  <c r="K675" i="1"/>
  <c r="O667" i="1"/>
  <c r="N667" i="1"/>
  <c r="M667" i="1"/>
  <c r="L667" i="1"/>
  <c r="K667" i="1"/>
  <c r="O659" i="1"/>
  <c r="N659" i="1"/>
  <c r="L659" i="1"/>
  <c r="M659" i="1"/>
  <c r="K659" i="1"/>
  <c r="O651" i="1"/>
  <c r="N651" i="1"/>
  <c r="M651" i="1"/>
  <c r="L651" i="1"/>
  <c r="K651" i="1"/>
  <c r="O643" i="1"/>
  <c r="N643" i="1"/>
  <c r="L643" i="1"/>
  <c r="M643" i="1"/>
  <c r="K643" i="1"/>
  <c r="O635" i="1"/>
  <c r="N635" i="1"/>
  <c r="M635" i="1"/>
  <c r="L635" i="1"/>
  <c r="K635" i="1"/>
  <c r="O627" i="1"/>
  <c r="N627" i="1"/>
  <c r="L627" i="1"/>
  <c r="M627" i="1"/>
  <c r="K627" i="1"/>
  <c r="O619" i="1"/>
  <c r="N619" i="1"/>
  <c r="M619" i="1"/>
  <c r="L619" i="1"/>
  <c r="K619" i="1"/>
  <c r="O611" i="1"/>
  <c r="N611" i="1"/>
  <c r="L611" i="1"/>
  <c r="M611" i="1"/>
  <c r="K611" i="1"/>
  <c r="O603" i="1"/>
  <c r="N603" i="1"/>
  <c r="M603" i="1"/>
  <c r="L603" i="1"/>
  <c r="K603" i="1"/>
  <c r="O595" i="1"/>
  <c r="N595" i="1"/>
  <c r="L595" i="1"/>
  <c r="M595" i="1"/>
  <c r="K595" i="1"/>
  <c r="O587" i="1"/>
  <c r="N587" i="1"/>
  <c r="M587" i="1"/>
  <c r="L587" i="1"/>
  <c r="K587" i="1"/>
  <c r="O579" i="1"/>
  <c r="N579" i="1"/>
  <c r="L579" i="1"/>
  <c r="M579" i="1"/>
  <c r="K579" i="1"/>
  <c r="O571" i="1"/>
  <c r="N571" i="1"/>
  <c r="M571" i="1"/>
  <c r="L571" i="1"/>
  <c r="K571" i="1"/>
  <c r="O563" i="1"/>
  <c r="N563" i="1"/>
  <c r="M563" i="1"/>
  <c r="L563" i="1"/>
  <c r="K563" i="1"/>
  <c r="O555" i="1"/>
  <c r="N555" i="1"/>
  <c r="M555" i="1"/>
  <c r="L555" i="1"/>
  <c r="K555" i="1"/>
  <c r="O547" i="1"/>
  <c r="N547" i="1"/>
  <c r="M547" i="1"/>
  <c r="L547" i="1"/>
  <c r="K547" i="1"/>
  <c r="O539" i="1"/>
  <c r="N539" i="1"/>
  <c r="M539" i="1"/>
  <c r="L539" i="1"/>
  <c r="K539" i="1"/>
  <c r="O531" i="1"/>
  <c r="N531" i="1"/>
  <c r="M531" i="1"/>
  <c r="L531" i="1"/>
  <c r="K531" i="1"/>
  <c r="O523" i="1"/>
  <c r="N523" i="1"/>
  <c r="M523" i="1"/>
  <c r="L523" i="1"/>
  <c r="K523" i="1"/>
  <c r="O515" i="1"/>
  <c r="N515" i="1"/>
  <c r="M515" i="1"/>
  <c r="L515" i="1"/>
  <c r="K515" i="1"/>
  <c r="O507" i="1"/>
  <c r="N507" i="1"/>
  <c r="M507" i="1"/>
  <c r="L507" i="1"/>
  <c r="K507" i="1"/>
  <c r="O499" i="1"/>
  <c r="N499" i="1"/>
  <c r="M499" i="1"/>
  <c r="L499" i="1"/>
  <c r="K499" i="1"/>
  <c r="O491" i="1"/>
  <c r="N491" i="1"/>
  <c r="L491" i="1"/>
  <c r="M491" i="1"/>
  <c r="K491" i="1"/>
  <c r="O483" i="1"/>
  <c r="N483" i="1"/>
  <c r="M483" i="1"/>
  <c r="L483" i="1"/>
  <c r="K483" i="1"/>
  <c r="O475" i="1"/>
  <c r="N475" i="1"/>
  <c r="M475" i="1"/>
  <c r="L475" i="1"/>
  <c r="K475" i="1"/>
  <c r="O467" i="1"/>
  <c r="N467" i="1"/>
  <c r="M467" i="1"/>
  <c r="L467" i="1"/>
  <c r="K467" i="1"/>
  <c r="O459" i="1"/>
  <c r="N459" i="1"/>
  <c r="M459" i="1"/>
  <c r="L459" i="1"/>
  <c r="K459" i="1"/>
  <c r="O451" i="1"/>
  <c r="N451" i="1"/>
  <c r="M451" i="1"/>
  <c r="L451" i="1"/>
  <c r="K451" i="1"/>
  <c r="O443" i="1"/>
  <c r="N443" i="1"/>
  <c r="M443" i="1"/>
  <c r="L443" i="1"/>
  <c r="K443" i="1"/>
  <c r="O435" i="1"/>
  <c r="N435" i="1"/>
  <c r="M435" i="1"/>
  <c r="L435" i="1"/>
  <c r="K435" i="1"/>
  <c r="O427" i="1"/>
  <c r="N427" i="1"/>
  <c r="M427" i="1"/>
  <c r="L427" i="1"/>
  <c r="K427" i="1"/>
  <c r="O419" i="1"/>
  <c r="N419" i="1"/>
  <c r="M419" i="1"/>
  <c r="L419" i="1"/>
  <c r="K419" i="1"/>
  <c r="O411" i="1"/>
  <c r="N411" i="1"/>
  <c r="M411" i="1"/>
  <c r="L411" i="1"/>
  <c r="K411" i="1"/>
  <c r="O403" i="1"/>
  <c r="N403" i="1"/>
  <c r="M403" i="1"/>
  <c r="L403" i="1"/>
  <c r="K403" i="1"/>
  <c r="O395" i="1"/>
  <c r="N395" i="1"/>
  <c r="M395" i="1"/>
  <c r="L395" i="1"/>
  <c r="K395" i="1"/>
  <c r="O387" i="1"/>
  <c r="N387" i="1"/>
  <c r="M387" i="1"/>
  <c r="L387" i="1"/>
  <c r="K387" i="1"/>
  <c r="O379" i="1"/>
  <c r="N379" i="1"/>
  <c r="M379" i="1"/>
  <c r="L379" i="1"/>
  <c r="K379" i="1"/>
  <c r="O371" i="1"/>
  <c r="N371" i="1"/>
  <c r="M371" i="1"/>
  <c r="L371" i="1"/>
  <c r="K371" i="1"/>
  <c r="O363" i="1"/>
  <c r="N363" i="1"/>
  <c r="M363" i="1"/>
  <c r="L363" i="1"/>
  <c r="K363" i="1"/>
  <c r="O355" i="1"/>
  <c r="N355" i="1"/>
  <c r="M355" i="1"/>
  <c r="L355" i="1"/>
  <c r="K355" i="1"/>
  <c r="O347" i="1"/>
  <c r="N347" i="1"/>
  <c r="M347" i="1"/>
  <c r="L347" i="1"/>
  <c r="K347" i="1"/>
  <c r="O339" i="1"/>
  <c r="N339" i="1"/>
  <c r="M339" i="1"/>
  <c r="L339" i="1"/>
  <c r="K339" i="1"/>
  <c r="O331" i="1"/>
  <c r="N331" i="1"/>
  <c r="M331" i="1"/>
  <c r="L331" i="1"/>
  <c r="K331" i="1"/>
  <c r="O323" i="1"/>
  <c r="N323" i="1"/>
  <c r="M323" i="1"/>
  <c r="L323" i="1"/>
  <c r="K323" i="1"/>
  <c r="O315" i="1"/>
  <c r="N315" i="1"/>
  <c r="M315" i="1"/>
  <c r="L315" i="1"/>
  <c r="K315" i="1"/>
  <c r="O307" i="1"/>
  <c r="N307" i="1"/>
  <c r="M307" i="1"/>
  <c r="L307" i="1"/>
  <c r="K307" i="1"/>
  <c r="O299" i="1"/>
  <c r="N299" i="1"/>
  <c r="M299" i="1"/>
  <c r="L299" i="1"/>
  <c r="K299" i="1"/>
  <c r="O291" i="1"/>
  <c r="N291" i="1"/>
  <c r="M291" i="1"/>
  <c r="L291" i="1"/>
  <c r="K291" i="1"/>
  <c r="O283" i="1"/>
  <c r="N283" i="1"/>
  <c r="M283" i="1"/>
  <c r="L283" i="1"/>
  <c r="K283" i="1"/>
  <c r="O275" i="1"/>
  <c r="N275" i="1"/>
  <c r="M275" i="1"/>
  <c r="L275" i="1"/>
  <c r="K275" i="1"/>
  <c r="O267" i="1"/>
  <c r="N267" i="1"/>
  <c r="M267" i="1"/>
  <c r="L267" i="1"/>
  <c r="K267" i="1"/>
  <c r="O259" i="1"/>
  <c r="N259" i="1"/>
  <c r="M259" i="1"/>
  <c r="L259" i="1"/>
  <c r="K259" i="1"/>
  <c r="O251" i="1"/>
  <c r="N251" i="1"/>
  <c r="M251" i="1"/>
  <c r="L251" i="1"/>
  <c r="K251" i="1"/>
  <c r="O243" i="1"/>
  <c r="N243" i="1"/>
  <c r="M243" i="1"/>
  <c r="L243" i="1"/>
  <c r="K243" i="1"/>
  <c r="O235" i="1"/>
  <c r="N235" i="1"/>
  <c r="M235" i="1"/>
  <c r="L235" i="1"/>
  <c r="K235" i="1"/>
  <c r="O227" i="1"/>
  <c r="N227" i="1"/>
  <c r="M227" i="1"/>
  <c r="L227" i="1"/>
  <c r="K227" i="1"/>
  <c r="O219" i="1"/>
  <c r="N219" i="1"/>
  <c r="M219" i="1"/>
  <c r="L219" i="1"/>
  <c r="K219" i="1"/>
  <c r="O211" i="1"/>
  <c r="N211" i="1"/>
  <c r="M211" i="1"/>
  <c r="L211" i="1"/>
  <c r="K211" i="1"/>
  <c r="O203" i="1"/>
  <c r="N203" i="1"/>
  <c r="M203" i="1"/>
  <c r="L203" i="1"/>
  <c r="K203" i="1"/>
  <c r="O195" i="1"/>
  <c r="N195" i="1"/>
  <c r="M195" i="1"/>
  <c r="L195" i="1"/>
  <c r="K195" i="1"/>
  <c r="O187" i="1"/>
  <c r="N187" i="1"/>
  <c r="M187" i="1"/>
  <c r="L187" i="1"/>
  <c r="K187" i="1"/>
  <c r="O179" i="1"/>
  <c r="N179" i="1"/>
  <c r="M179" i="1"/>
  <c r="L179" i="1"/>
  <c r="K179" i="1"/>
  <c r="O171" i="1"/>
  <c r="N171" i="1"/>
  <c r="M171" i="1"/>
  <c r="L171" i="1"/>
  <c r="K171" i="1"/>
  <c r="O163" i="1"/>
  <c r="N163" i="1"/>
  <c r="M163" i="1"/>
  <c r="L163" i="1"/>
  <c r="K163" i="1"/>
  <c r="O155" i="1"/>
  <c r="N155" i="1"/>
  <c r="M155" i="1"/>
  <c r="L155" i="1"/>
  <c r="K155" i="1"/>
  <c r="O147" i="1"/>
  <c r="N147" i="1"/>
  <c r="M147" i="1"/>
  <c r="L147" i="1"/>
  <c r="K147" i="1"/>
  <c r="O139" i="1"/>
  <c r="N139" i="1"/>
  <c r="M139" i="1"/>
  <c r="L139" i="1"/>
  <c r="K139" i="1"/>
  <c r="O131" i="1"/>
  <c r="N131" i="1"/>
  <c r="M131" i="1"/>
  <c r="L131" i="1"/>
  <c r="K131" i="1"/>
  <c r="O123" i="1"/>
  <c r="N123" i="1"/>
  <c r="M123" i="1"/>
  <c r="L123" i="1"/>
  <c r="K123" i="1"/>
  <c r="O115" i="1"/>
  <c r="N115" i="1"/>
  <c r="M115" i="1"/>
  <c r="L115" i="1"/>
  <c r="K115" i="1"/>
  <c r="O107" i="1"/>
  <c r="N107" i="1"/>
  <c r="M107" i="1"/>
  <c r="L107" i="1"/>
  <c r="K107" i="1"/>
  <c r="O99" i="1"/>
  <c r="N99" i="1"/>
  <c r="M99" i="1"/>
  <c r="L99" i="1"/>
  <c r="K99" i="1"/>
  <c r="O91" i="1"/>
  <c r="N91" i="1"/>
  <c r="M91" i="1"/>
  <c r="L91" i="1"/>
  <c r="K91" i="1"/>
  <c r="O83" i="1"/>
  <c r="N83" i="1"/>
  <c r="M83" i="1"/>
  <c r="L83" i="1"/>
  <c r="K83" i="1"/>
  <c r="O75" i="1"/>
  <c r="N75" i="1"/>
  <c r="M75" i="1"/>
  <c r="L75" i="1"/>
  <c r="K75" i="1"/>
  <c r="O67" i="1"/>
  <c r="N67" i="1"/>
  <c r="M67" i="1"/>
  <c r="L67" i="1"/>
  <c r="K67" i="1"/>
  <c r="O59" i="1"/>
  <c r="N59" i="1"/>
  <c r="M59" i="1"/>
  <c r="L59" i="1"/>
  <c r="K59" i="1"/>
  <c r="O51" i="1"/>
  <c r="N51" i="1"/>
  <c r="M51" i="1"/>
  <c r="L51" i="1"/>
  <c r="K51" i="1"/>
  <c r="O43" i="1"/>
  <c r="N43" i="1"/>
  <c r="M43" i="1"/>
  <c r="K43" i="1"/>
  <c r="L43" i="1"/>
  <c r="O35" i="1"/>
  <c r="N35" i="1"/>
  <c r="M35" i="1"/>
  <c r="K35" i="1"/>
  <c r="L35" i="1"/>
  <c r="O27" i="1"/>
  <c r="N27" i="1"/>
  <c r="K27" i="1"/>
  <c r="L27" i="1"/>
  <c r="M27" i="1"/>
  <c r="O19" i="1"/>
  <c r="N19" i="1"/>
  <c r="M19" i="1"/>
  <c r="K19" i="1"/>
  <c r="L19" i="1"/>
  <c r="O11" i="1"/>
  <c r="N11" i="1"/>
  <c r="M11" i="1"/>
  <c r="K11" i="1"/>
  <c r="L11" i="1"/>
  <c r="O3" i="1"/>
  <c r="N3" i="1"/>
  <c r="M3" i="1"/>
  <c r="K3" i="1"/>
  <c r="L3" i="1"/>
</calcChain>
</file>

<file path=xl/sharedStrings.xml><?xml version="1.0" encoding="utf-8"?>
<sst xmlns="http://schemas.openxmlformats.org/spreadsheetml/2006/main" count="39" uniqueCount="39">
  <si>
    <t>Y</t>
  </si>
  <si>
    <t>X</t>
  </si>
  <si>
    <t>Injection Rate</t>
  </si>
  <si>
    <t>Storage Potential</t>
  </si>
  <si>
    <t>S_2030 (t-1)</t>
  </si>
  <si>
    <t>S_2035 (t-1)</t>
  </si>
  <si>
    <t>S_2040 (t-1)</t>
  </si>
  <si>
    <t>S_2045 (t-1)</t>
  </si>
  <si>
    <t>S_2050 (t-1)</t>
  </si>
  <si>
    <t>Cost_min_2025</t>
  </si>
  <si>
    <t>Cost_min_2030</t>
  </si>
  <si>
    <t>Cost_min_2035</t>
  </si>
  <si>
    <t>Cost_min_2040</t>
  </si>
  <si>
    <t>Cost_min_2045</t>
  </si>
  <si>
    <t>Cost_min_2050</t>
  </si>
  <si>
    <t>Cost_avg_2025</t>
  </si>
  <si>
    <t>Cost_avg_2030</t>
  </si>
  <si>
    <t>Cost_avg_2035</t>
  </si>
  <si>
    <t>Cost_avg_2040</t>
  </si>
  <si>
    <t>Cost_avg_2045</t>
  </si>
  <si>
    <t>Cost_avg_2050</t>
  </si>
  <si>
    <t>Cost_max_2025</t>
  </si>
  <si>
    <t>Cost_max_2030</t>
  </si>
  <si>
    <t>Cost_max_2035</t>
  </si>
  <si>
    <t>Cost_max_2040</t>
  </si>
  <si>
    <t>Cost_max_2045</t>
  </si>
  <si>
    <t>Cost_max_2050</t>
  </si>
  <si>
    <t>R</t>
  </si>
  <si>
    <t>R_2030</t>
  </si>
  <si>
    <t>R_2035</t>
  </si>
  <si>
    <t>R_2040</t>
  </si>
  <si>
    <t>R_2045</t>
  </si>
  <si>
    <t>R_2050</t>
  </si>
  <si>
    <t>q_2025</t>
  </si>
  <si>
    <t>q_2030</t>
  </si>
  <si>
    <t>q_2035</t>
  </si>
  <si>
    <t>q_2040</t>
  </si>
  <si>
    <t>q_2045</t>
  </si>
  <si>
    <t>q_2050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</si>
</sst>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D196-02A4-44EB-BACF-4E4EC61D6024}">
  <dimension ref="A1:AO981"/>
  <sheetViews>
    <sheetView tabSelected="1" topLeftCell="AE178" workbookViewId="0">
      <selection activeCell="AO3" sqref="AO3"/>
    </sheetView>
  </sheetViews>
  <sheetFormatPr defaultRowHeight="14.25" x14ac:dyDescent="0.45"/>
  <cols>
    <col min="1" max="1" width="14.59765625" customWidth="1"/>
    <col min="2" max="2" width="12.3984375" customWidth="1"/>
    <col min="3" max="3" width="16.59765625" customWidth="1"/>
    <col min="4" max="5" width="15.1328125" customWidth="1"/>
    <col min="6" max="6" width="17.59765625" customWidth="1"/>
    <col min="7" max="7" width="17.265625" customWidth="1"/>
    <col min="8" max="9" width="19.265625" customWidth="1"/>
    <col min="10" max="10" width="14.73046875" customWidth="1"/>
    <col min="11" max="21" width="9" style="1" customWidth="1"/>
    <col min="22" max="22" width="16" customWidth="1"/>
    <col min="23" max="24" width="17" customWidth="1"/>
    <col min="25" max="25" width="18.59765625" customWidth="1"/>
    <col min="26" max="26" width="16.86328125" customWidth="1"/>
    <col min="27" max="27" width="15.86328125" customWidth="1"/>
    <col min="28" max="28" width="9.1328125" style="1"/>
    <col min="29" max="29" width="14.1328125" customWidth="1"/>
    <col min="30" max="30" width="16.59765625" customWidth="1"/>
    <col min="31" max="32" width="15.1328125" customWidth="1"/>
    <col min="33" max="33" width="17.59765625" customWidth="1"/>
    <col min="34" max="34" width="16.1328125" customWidth="1"/>
    <col min="36" max="37" width="15.265625" customWidth="1"/>
    <col min="38" max="38" width="14.73046875" customWidth="1"/>
    <col min="39" max="39" width="14.86328125" customWidth="1"/>
    <col min="40" max="40" width="15" customWidth="1"/>
    <col min="41" max="41" width="15.1328125" customWidth="1"/>
  </cols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</row>
    <row r="2" spans="1:41" x14ac:dyDescent="0.45">
      <c r="A2">
        <v>17.247992409999998</v>
      </c>
      <c r="B2">
        <v>108.6683958</v>
      </c>
      <c r="C2">
        <v>0.60592902000000004</v>
      </c>
      <c r="D2">
        <v>0.47579800999999999</v>
      </c>
      <c r="E2">
        <f>MIN(C2,D2)</f>
        <v>0.47579800999999999</v>
      </c>
      <c r="F2">
        <f>MAX(0,(D2-(C2*(2030-2025))))</f>
        <v>0</v>
      </c>
      <c r="G2">
        <f>MAX(0,(D2-(C2*(2035-2025))))</f>
        <v>0</v>
      </c>
      <c r="H2">
        <f>MAX(0,(D2-(C2*(2040-2025))))</f>
        <v>0</v>
      </c>
      <c r="I2">
        <f>MAX(0,(D2-(C2*(2045-2025))))</f>
        <v>0</v>
      </c>
      <c r="J2">
        <f>MAX(0,(D2-(C2*(2050-2025))))</f>
        <v>0</v>
      </c>
      <c r="K2" s="1">
        <f>MIN(E2,F2)</f>
        <v>0</v>
      </c>
      <c r="L2" s="1">
        <f>MIN(E2,G2)</f>
        <v>0</v>
      </c>
      <c r="M2" s="1">
        <f>MIN(E2,H2)</f>
        <v>0</v>
      </c>
      <c r="N2" s="1">
        <f>MIN(E2,I2)</f>
        <v>0</v>
      </c>
      <c r="O2" s="1">
        <f>MIN(E2,J2)</f>
        <v>0</v>
      </c>
      <c r="P2" s="1">
        <f>MAX(1,((25*E2)/D2))</f>
        <v>25</v>
      </c>
      <c r="Q2" s="1" t="e">
        <f>MAX(1, ((25*K2)/F2))</f>
        <v>#DIV/0!</v>
      </c>
      <c r="R2" s="1" t="e">
        <f>MAX(1, ((25*L2)/G2))</f>
        <v>#DIV/0!</v>
      </c>
      <c r="S2" s="1" t="e">
        <f>MAX(1, ((25*M2)/H2))</f>
        <v>#DIV/0!</v>
      </c>
      <c r="T2" s="1" t="e">
        <f>MAX(1, ((25*N2)/I2))</f>
        <v>#DIV/0!</v>
      </c>
      <c r="U2" s="1" t="e">
        <f>MAX(1, ((25*O2)/J2))</f>
        <v>#DIV/0!</v>
      </c>
      <c r="V2">
        <f>(32.02+6.96+(0.13*250*P2))</f>
        <v>851.48</v>
      </c>
      <c r="W2">
        <f>IF(F2&gt;0,(32.72+6.27+(0.15*250*Q2)),F2)</f>
        <v>0</v>
      </c>
      <c r="X2">
        <f>IF(G2&gt;0,(22.27+4.87+(0.1*250*S2)),G2)</f>
        <v>0</v>
      </c>
      <c r="Y2">
        <f>IF(H2&gt;0,(13.92+4.18+(0.08*250*S2)),H2)</f>
        <v>0</v>
      </c>
      <c r="Z2">
        <f>IF(I2&gt;0,(11.14+3.48+(0.07*250*T2)),I2)</f>
        <v>0</v>
      </c>
      <c r="AA2">
        <f>IF(J2&gt;0,(9.75+2.78+(0.07*250*U2)),J2)</f>
        <v>0</v>
      </c>
      <c r="AC2">
        <f>IF(D2&gt;0,(37.59+7.66+(0.16*250*P2)),D2)</f>
        <v>1045.25</v>
      </c>
      <c r="AD2">
        <f>IF(F2&gt;0,(32.72+6.27+(0.15*250*Q2)),F2)</f>
        <v>0</v>
      </c>
      <c r="AE2">
        <f>IF(G2&gt;0,(26.45+5.22+(0.13*250*R2)),G2)</f>
        <v>0</v>
      </c>
      <c r="AF2">
        <f>IF(H2&gt;0,(15.31+4.53+(0.12*250*S2)),H2)</f>
        <v>0</v>
      </c>
      <c r="AG2">
        <f>IF(I2&gt;0,(16.01+3.83+(0.11*250+T2)),I2)</f>
        <v>0</v>
      </c>
      <c r="AH2">
        <f>IF(J2,(13.23+3.13+(0.1*250*U2)),J2)</f>
        <v>0</v>
      </c>
      <c r="AJ2">
        <f>(43.16+8.35+(0.19*250*P2))</f>
        <v>1239.01</v>
      </c>
      <c r="AK2">
        <f>IF(F2&gt;0,(38.98+6.96+(0.18*250*Q2)),F2)</f>
        <v>0</v>
      </c>
      <c r="AL2">
        <f>IF(G2&gt;0,(30.63+5.57+(0.17*250*R2)),G2)</f>
        <v>0</v>
      </c>
      <c r="AM2">
        <f>IF(H2&gt;0,(25.06+4.87+(0.15*250*S2)),H2)</f>
        <v>0</v>
      </c>
      <c r="AN2">
        <f>IF(I2&gt;0,(20.88+4.18+(0.15*250*T2)),I2)</f>
        <v>0</v>
      </c>
      <c r="AO2">
        <f>IF(J2,(16.71+3.48+(0.14*250*U2)),J2)</f>
        <v>0</v>
      </c>
    </row>
    <row r="3" spans="1:41" x14ac:dyDescent="0.45">
      <c r="A3">
        <v>18.06815937</v>
      </c>
      <c r="B3">
        <v>110.29891689999999</v>
      </c>
      <c r="C3">
        <v>38.298469539999999</v>
      </c>
      <c r="D3">
        <v>0.48972300000000002</v>
      </c>
      <c r="E3">
        <f t="shared" ref="E3:E66" si="0">MIN(C3,D3)</f>
        <v>0.48972300000000002</v>
      </c>
      <c r="F3">
        <f t="shared" ref="F3:F66" si="1">MAX(0,(D3-(C3*(2030-2025))))</f>
        <v>0</v>
      </c>
      <c r="G3">
        <f t="shared" ref="G3:G66" si="2">MAX(0,(D3-(C3*(2035-2025))))</f>
        <v>0</v>
      </c>
      <c r="H3">
        <f t="shared" ref="H3:H66" si="3">MAX(0,(D3-(C3*(2040-2025))))</f>
        <v>0</v>
      </c>
      <c r="I3">
        <f t="shared" ref="I3:I66" si="4">MAX(0,(D3-(C3*(2045-2025))))</f>
        <v>0</v>
      </c>
      <c r="J3">
        <f t="shared" ref="J3:J66" si="5">MAX(0,(D3-(C3*(2050-2025))))</f>
        <v>0</v>
      </c>
      <c r="K3" s="1">
        <f t="shared" ref="K3:K66" si="6">MIN(E3,F3)</f>
        <v>0</v>
      </c>
      <c r="L3" s="1">
        <f t="shared" ref="L3:L66" si="7">MIN(E3,G3)</f>
        <v>0</v>
      </c>
      <c r="M3" s="1">
        <f t="shared" ref="M3:M66" si="8">MIN(E3,H3)</f>
        <v>0</v>
      </c>
      <c r="N3" s="1">
        <f t="shared" ref="N3:N66" si="9">MIN(E3,I3)</f>
        <v>0</v>
      </c>
      <c r="O3" s="1">
        <f t="shared" ref="O3:O66" si="10">MIN(E3,J3)</f>
        <v>0</v>
      </c>
      <c r="P3" s="1">
        <f t="shared" ref="P3:P66" si="11">MAX(1,((25*E3)/D3))</f>
        <v>25</v>
      </c>
      <c r="Q3" s="1" t="e">
        <f t="shared" ref="Q3:Q66" si="12">MAX(1, ((25*K3)/F3))</f>
        <v>#DIV/0!</v>
      </c>
      <c r="R3" s="1" t="e">
        <f t="shared" ref="R3:R66" si="13">MAX(1, ((25*L3)/G3))</f>
        <v>#DIV/0!</v>
      </c>
      <c r="S3" s="1" t="e">
        <f t="shared" ref="S3:S66" si="14">MAX(1, ((25*M3)/H3))</f>
        <v>#DIV/0!</v>
      </c>
      <c r="T3" s="1" t="e">
        <f t="shared" ref="T3:T66" si="15">MAX(1, ((25*N3)/I3))</f>
        <v>#DIV/0!</v>
      </c>
      <c r="U3" s="1" t="e">
        <f t="shared" ref="U3:U66" si="16">MAX(1, ((25*O3)/J3))</f>
        <v>#DIV/0!</v>
      </c>
      <c r="V3">
        <f t="shared" ref="V3:V66" si="17">(32.02+6.96+(0.13*250*P3))</f>
        <v>851.48</v>
      </c>
      <c r="W3">
        <f t="shared" ref="W3:W66" si="18">IF(F3&gt;0,(32.72+6.27+(0.15*250*Q3)),F3)</f>
        <v>0</v>
      </c>
      <c r="X3">
        <f t="shared" ref="X3:X66" si="19">IF(G3&gt;0,(22.27+4.87+(0.1*250*S3)),G3)</f>
        <v>0</v>
      </c>
      <c r="Y3">
        <f t="shared" ref="Y3:Y66" si="20">IF(H3&gt;0,(13.92+4.18+(0.08*250*S3)),H3)</f>
        <v>0</v>
      </c>
      <c r="Z3">
        <f t="shared" ref="Z3:Z66" si="21">IF(I3&gt;0,(11.14+3.48+(0.07*250*T3)),I3)</f>
        <v>0</v>
      </c>
      <c r="AA3">
        <f t="shared" ref="AA3:AA66" si="22">IF(J3&gt;0,(9.75+2.78+(0.07*250*U3)),J3)</f>
        <v>0</v>
      </c>
      <c r="AC3">
        <f t="shared" ref="AC3:AC66" si="23">IF(D3&gt;0,(37.59+7.66+(0.16*250*P3)),D3)</f>
        <v>1045.25</v>
      </c>
      <c r="AD3">
        <f t="shared" ref="AD3:AD66" si="24">IF(F3&gt;0,(32.72+6.27+(0.15*250*Q3)),F3)</f>
        <v>0</v>
      </c>
      <c r="AE3">
        <f t="shared" ref="AE3:AE66" si="25">IF(G3&gt;0,(26.45+5.22+(0.13*250*R3)),G3)</f>
        <v>0</v>
      </c>
      <c r="AF3">
        <f t="shared" ref="AF3:AF66" si="26">IF(H3&gt;0,(15.31+4.53+(0.12*250*S3)),H3)</f>
        <v>0</v>
      </c>
      <c r="AG3">
        <f t="shared" ref="AG3:AG66" si="27">IF(I3&gt;0,(16.01+3.83+(0.11*250+T3)),I3)</f>
        <v>0</v>
      </c>
      <c r="AH3">
        <f t="shared" ref="AH3:AH66" si="28">IF(J3,(13.23+3.13+(0.1*250*U3)),J3)</f>
        <v>0</v>
      </c>
      <c r="AJ3">
        <f t="shared" ref="AJ3:AJ66" si="29">(43.16+8.35+(0.19*250*P3))</f>
        <v>1239.01</v>
      </c>
      <c r="AK3">
        <f t="shared" ref="AK3:AK66" si="30">IF(F3&gt;0,(38.98+6.96+(0.18*250*Q3)),F3)</f>
        <v>0</v>
      </c>
      <c r="AL3">
        <f t="shared" ref="AL3:AL66" si="31">IF(G3&gt;0,(30.63+5.57+(0.17*250*R3)),G3)</f>
        <v>0</v>
      </c>
      <c r="AM3">
        <f t="shared" ref="AM3:AM66" si="32">IF(H3&gt;0,(25.06+4.87+(0.15*250*S3)),H3)</f>
        <v>0</v>
      </c>
      <c r="AN3">
        <f t="shared" ref="AN3:AN66" si="33">IF(I3&gt;0,(20.88+4.18+(0.15*250*T3)),I3)</f>
        <v>0</v>
      </c>
      <c r="AO3">
        <f t="shared" ref="AO3:AO66" si="34">IF(J3,(16.71+3.48+(0.14*250*U3)),J3)</f>
        <v>0</v>
      </c>
    </row>
    <row r="4" spans="1:41" x14ac:dyDescent="0.45">
      <c r="A4">
        <v>19.42620406</v>
      </c>
      <c r="B4">
        <v>112.1812419</v>
      </c>
      <c r="C4">
        <v>1.69117999</v>
      </c>
      <c r="D4">
        <v>1.83645999</v>
      </c>
      <c r="E4">
        <f t="shared" si="0"/>
        <v>1.69117999</v>
      </c>
      <c r="F4">
        <f t="shared" si="1"/>
        <v>0</v>
      </c>
      <c r="G4">
        <f t="shared" si="2"/>
        <v>0</v>
      </c>
      <c r="H4">
        <f t="shared" si="3"/>
        <v>0</v>
      </c>
      <c r="I4">
        <f t="shared" si="4"/>
        <v>0</v>
      </c>
      <c r="J4">
        <f t="shared" si="5"/>
        <v>0</v>
      </c>
      <c r="K4" s="1">
        <f t="shared" si="6"/>
        <v>0</v>
      </c>
      <c r="L4" s="1">
        <f t="shared" si="7"/>
        <v>0</v>
      </c>
      <c r="M4" s="1">
        <f t="shared" si="8"/>
        <v>0</v>
      </c>
      <c r="N4" s="1">
        <f t="shared" si="9"/>
        <v>0</v>
      </c>
      <c r="O4" s="1">
        <f t="shared" si="10"/>
        <v>0</v>
      </c>
      <c r="P4" s="1">
        <f t="shared" si="11"/>
        <v>23.022281988294228</v>
      </c>
      <c r="Q4" s="1" t="e">
        <f t="shared" si="12"/>
        <v>#DIV/0!</v>
      </c>
      <c r="R4" s="1" t="e">
        <f t="shared" si="13"/>
        <v>#DIV/0!</v>
      </c>
      <c r="S4" s="1" t="e">
        <f t="shared" si="14"/>
        <v>#DIV/0!</v>
      </c>
      <c r="T4" s="1" t="e">
        <f t="shared" si="15"/>
        <v>#DIV/0!</v>
      </c>
      <c r="U4" s="1" t="e">
        <f t="shared" si="16"/>
        <v>#DIV/0!</v>
      </c>
      <c r="V4">
        <f t="shared" si="17"/>
        <v>787.20416461956245</v>
      </c>
      <c r="W4">
        <f t="shared" si="18"/>
        <v>0</v>
      </c>
      <c r="X4">
        <f t="shared" si="19"/>
        <v>0</v>
      </c>
      <c r="Y4">
        <f t="shared" si="20"/>
        <v>0</v>
      </c>
      <c r="Z4">
        <f t="shared" si="21"/>
        <v>0</v>
      </c>
      <c r="AA4">
        <f t="shared" si="22"/>
        <v>0</v>
      </c>
      <c r="AC4">
        <f t="shared" si="23"/>
        <v>966.1412795317691</v>
      </c>
      <c r="AD4">
        <f t="shared" si="24"/>
        <v>0</v>
      </c>
      <c r="AE4">
        <f t="shared" si="25"/>
        <v>0</v>
      </c>
      <c r="AF4">
        <f t="shared" si="26"/>
        <v>0</v>
      </c>
      <c r="AG4">
        <f t="shared" si="27"/>
        <v>0</v>
      </c>
      <c r="AH4">
        <f t="shared" si="28"/>
        <v>0</v>
      </c>
      <c r="AJ4">
        <f t="shared" si="29"/>
        <v>1145.0683944439759</v>
      </c>
      <c r="AK4">
        <f t="shared" si="30"/>
        <v>0</v>
      </c>
      <c r="AL4">
        <f t="shared" si="31"/>
        <v>0</v>
      </c>
      <c r="AM4">
        <f t="shared" si="32"/>
        <v>0</v>
      </c>
      <c r="AN4">
        <f t="shared" si="33"/>
        <v>0</v>
      </c>
      <c r="AO4">
        <f t="shared" si="34"/>
        <v>0</v>
      </c>
    </row>
    <row r="5" spans="1:41" x14ac:dyDescent="0.45">
      <c r="A5">
        <v>19.42901049</v>
      </c>
      <c r="B5">
        <v>112.13477570000001</v>
      </c>
      <c r="C5">
        <v>2.11266708</v>
      </c>
      <c r="D5">
        <v>18.783309939999999</v>
      </c>
      <c r="E5">
        <f t="shared" si="0"/>
        <v>2.11266708</v>
      </c>
      <c r="F5">
        <f t="shared" si="1"/>
        <v>8.2199745399999991</v>
      </c>
      <c r="G5">
        <f t="shared" si="2"/>
        <v>0</v>
      </c>
      <c r="H5">
        <f t="shared" si="3"/>
        <v>0</v>
      </c>
      <c r="I5">
        <f t="shared" si="4"/>
        <v>0</v>
      </c>
      <c r="J5">
        <f t="shared" si="5"/>
        <v>0</v>
      </c>
      <c r="K5" s="1">
        <f t="shared" si="6"/>
        <v>2.11266708</v>
      </c>
      <c r="L5" s="1">
        <f t="shared" si="7"/>
        <v>0</v>
      </c>
      <c r="M5" s="1">
        <f t="shared" si="8"/>
        <v>0</v>
      </c>
      <c r="N5" s="1">
        <f t="shared" si="9"/>
        <v>0</v>
      </c>
      <c r="O5" s="1">
        <f t="shared" si="10"/>
        <v>0</v>
      </c>
      <c r="P5" s="1">
        <f t="shared" si="11"/>
        <v>2.8118940255319029</v>
      </c>
      <c r="Q5" s="1">
        <f t="shared" si="12"/>
        <v>6.4254063979132479</v>
      </c>
      <c r="R5" s="1" t="e">
        <f t="shared" si="13"/>
        <v>#DIV/0!</v>
      </c>
      <c r="S5" s="1" t="e">
        <f t="shared" si="14"/>
        <v>#DIV/0!</v>
      </c>
      <c r="T5" s="1" t="e">
        <f t="shared" si="15"/>
        <v>#DIV/0!</v>
      </c>
      <c r="U5" s="1" t="e">
        <f t="shared" si="16"/>
        <v>#DIV/0!</v>
      </c>
      <c r="V5">
        <f t="shared" si="17"/>
        <v>130.36655582978685</v>
      </c>
      <c r="W5">
        <f t="shared" si="18"/>
        <v>279.94273992174681</v>
      </c>
      <c r="X5">
        <f t="shared" si="19"/>
        <v>0</v>
      </c>
      <c r="Y5">
        <f t="shared" si="20"/>
        <v>0</v>
      </c>
      <c r="Z5">
        <f t="shared" si="21"/>
        <v>0</v>
      </c>
      <c r="AA5">
        <f t="shared" si="22"/>
        <v>0</v>
      </c>
      <c r="AC5">
        <f t="shared" si="23"/>
        <v>157.72576102127613</v>
      </c>
      <c r="AD5">
        <f t="shared" si="24"/>
        <v>279.94273992174681</v>
      </c>
      <c r="AE5">
        <f t="shared" si="25"/>
        <v>0</v>
      </c>
      <c r="AF5">
        <f t="shared" si="26"/>
        <v>0</v>
      </c>
      <c r="AG5">
        <f t="shared" si="27"/>
        <v>0</v>
      </c>
      <c r="AH5">
        <f t="shared" si="28"/>
        <v>0</v>
      </c>
      <c r="AJ5">
        <f t="shared" si="29"/>
        <v>185.07496621276539</v>
      </c>
      <c r="AK5">
        <f t="shared" si="30"/>
        <v>335.08328790609613</v>
      </c>
      <c r="AL5">
        <f t="shared" si="31"/>
        <v>0</v>
      </c>
      <c r="AM5">
        <f t="shared" si="32"/>
        <v>0</v>
      </c>
      <c r="AN5">
        <f t="shared" si="33"/>
        <v>0</v>
      </c>
      <c r="AO5">
        <f t="shared" si="34"/>
        <v>0</v>
      </c>
    </row>
    <row r="6" spans="1:41" x14ac:dyDescent="0.45">
      <c r="A6">
        <v>19.4317958</v>
      </c>
      <c r="B6">
        <v>112.0883066</v>
      </c>
      <c r="C6">
        <v>1.69117999</v>
      </c>
      <c r="D6">
        <v>1.83645999</v>
      </c>
      <c r="E6">
        <f t="shared" si="0"/>
        <v>1.69117999</v>
      </c>
      <c r="F6">
        <f t="shared" si="1"/>
        <v>0</v>
      </c>
      <c r="G6">
        <f t="shared" si="2"/>
        <v>0</v>
      </c>
      <c r="H6">
        <f t="shared" si="3"/>
        <v>0</v>
      </c>
      <c r="I6">
        <f t="shared" si="4"/>
        <v>0</v>
      </c>
      <c r="J6">
        <f t="shared" si="5"/>
        <v>0</v>
      </c>
      <c r="K6" s="1">
        <f t="shared" si="6"/>
        <v>0</v>
      </c>
      <c r="L6" s="1">
        <f t="shared" si="7"/>
        <v>0</v>
      </c>
      <c r="M6" s="1">
        <f t="shared" si="8"/>
        <v>0</v>
      </c>
      <c r="N6" s="1">
        <f t="shared" si="9"/>
        <v>0</v>
      </c>
      <c r="O6" s="1">
        <f t="shared" si="10"/>
        <v>0</v>
      </c>
      <c r="P6" s="1">
        <f t="shared" si="11"/>
        <v>23.022281988294228</v>
      </c>
      <c r="Q6" s="1" t="e">
        <f t="shared" si="12"/>
        <v>#DIV/0!</v>
      </c>
      <c r="R6" s="1" t="e">
        <f t="shared" si="13"/>
        <v>#DIV/0!</v>
      </c>
      <c r="S6" s="1" t="e">
        <f t="shared" si="14"/>
        <v>#DIV/0!</v>
      </c>
      <c r="T6" s="1" t="e">
        <f t="shared" si="15"/>
        <v>#DIV/0!</v>
      </c>
      <c r="U6" s="1" t="e">
        <f t="shared" si="16"/>
        <v>#DIV/0!</v>
      </c>
      <c r="V6">
        <f t="shared" si="17"/>
        <v>787.20416461956245</v>
      </c>
      <c r="W6">
        <f t="shared" si="18"/>
        <v>0</v>
      </c>
      <c r="X6">
        <f t="shared" si="19"/>
        <v>0</v>
      </c>
      <c r="Y6">
        <f t="shared" si="20"/>
        <v>0</v>
      </c>
      <c r="Z6">
        <f t="shared" si="21"/>
        <v>0</v>
      </c>
      <c r="AA6">
        <f t="shared" si="22"/>
        <v>0</v>
      </c>
      <c r="AC6">
        <f t="shared" si="23"/>
        <v>966.1412795317691</v>
      </c>
      <c r="AD6">
        <f t="shared" si="24"/>
        <v>0</v>
      </c>
      <c r="AE6">
        <f t="shared" si="25"/>
        <v>0</v>
      </c>
      <c r="AF6">
        <f t="shared" si="26"/>
        <v>0</v>
      </c>
      <c r="AG6">
        <f t="shared" si="27"/>
        <v>0</v>
      </c>
      <c r="AH6">
        <f t="shared" si="28"/>
        <v>0</v>
      </c>
      <c r="AJ6">
        <f t="shared" si="29"/>
        <v>1145.0683944439759</v>
      </c>
      <c r="AK6">
        <f t="shared" si="30"/>
        <v>0</v>
      </c>
      <c r="AL6">
        <f t="shared" si="31"/>
        <v>0</v>
      </c>
      <c r="AM6">
        <f t="shared" si="32"/>
        <v>0</v>
      </c>
      <c r="AN6">
        <f t="shared" si="33"/>
        <v>0</v>
      </c>
      <c r="AO6">
        <f t="shared" si="34"/>
        <v>0</v>
      </c>
    </row>
    <row r="7" spans="1:41" x14ac:dyDescent="0.45">
      <c r="A7">
        <v>19.455932260000001</v>
      </c>
      <c r="B7">
        <v>112.4166117</v>
      </c>
      <c r="C7">
        <v>0.42279499999999998</v>
      </c>
      <c r="D7">
        <v>3.6729190300000001</v>
      </c>
      <c r="E7">
        <f t="shared" si="0"/>
        <v>0.42279499999999998</v>
      </c>
      <c r="F7">
        <f t="shared" si="1"/>
        <v>1.5589440300000001</v>
      </c>
      <c r="G7">
        <f t="shared" si="2"/>
        <v>0</v>
      </c>
      <c r="H7">
        <f t="shared" si="3"/>
        <v>0</v>
      </c>
      <c r="I7">
        <f t="shared" si="4"/>
        <v>0</v>
      </c>
      <c r="J7">
        <f t="shared" si="5"/>
        <v>0</v>
      </c>
      <c r="K7" s="1">
        <f t="shared" si="6"/>
        <v>0.42279499999999998</v>
      </c>
      <c r="L7" s="1">
        <f t="shared" si="7"/>
        <v>0</v>
      </c>
      <c r="M7" s="1">
        <f t="shared" si="8"/>
        <v>0</v>
      </c>
      <c r="N7" s="1">
        <f t="shared" si="9"/>
        <v>0</v>
      </c>
      <c r="O7" s="1">
        <f t="shared" si="10"/>
        <v>0</v>
      </c>
      <c r="P7" s="1">
        <f t="shared" si="11"/>
        <v>2.8777860098919739</v>
      </c>
      <c r="Q7" s="1">
        <f t="shared" si="12"/>
        <v>6.7801504073241157</v>
      </c>
      <c r="R7" s="1" t="e">
        <f t="shared" si="13"/>
        <v>#DIV/0!</v>
      </c>
      <c r="S7" s="1" t="e">
        <f t="shared" si="14"/>
        <v>#DIV/0!</v>
      </c>
      <c r="T7" s="1" t="e">
        <f t="shared" si="15"/>
        <v>#DIV/0!</v>
      </c>
      <c r="U7" s="1" t="e">
        <f t="shared" si="16"/>
        <v>#DIV/0!</v>
      </c>
      <c r="V7">
        <f t="shared" si="17"/>
        <v>132.50804532148913</v>
      </c>
      <c r="W7">
        <f t="shared" si="18"/>
        <v>293.24564027465431</v>
      </c>
      <c r="X7">
        <f t="shared" si="19"/>
        <v>0</v>
      </c>
      <c r="Y7">
        <f t="shared" si="20"/>
        <v>0</v>
      </c>
      <c r="Z7">
        <f t="shared" si="21"/>
        <v>0</v>
      </c>
      <c r="AA7">
        <f t="shared" si="22"/>
        <v>0</v>
      </c>
      <c r="AC7">
        <f t="shared" si="23"/>
        <v>160.36144039567895</v>
      </c>
      <c r="AD7">
        <f t="shared" si="24"/>
        <v>293.24564027465431</v>
      </c>
      <c r="AE7">
        <f t="shared" si="25"/>
        <v>0</v>
      </c>
      <c r="AF7">
        <f t="shared" si="26"/>
        <v>0</v>
      </c>
      <c r="AG7">
        <f t="shared" si="27"/>
        <v>0</v>
      </c>
      <c r="AH7">
        <f t="shared" si="28"/>
        <v>0</v>
      </c>
      <c r="AJ7">
        <f t="shared" si="29"/>
        <v>188.20483546986875</v>
      </c>
      <c r="AK7">
        <f t="shared" si="30"/>
        <v>351.04676832958518</v>
      </c>
      <c r="AL7">
        <f t="shared" si="31"/>
        <v>0</v>
      </c>
      <c r="AM7">
        <f t="shared" si="32"/>
        <v>0</v>
      </c>
      <c r="AN7">
        <f t="shared" si="33"/>
        <v>0</v>
      </c>
      <c r="AO7">
        <f t="shared" si="34"/>
        <v>0</v>
      </c>
    </row>
    <row r="8" spans="1:41" x14ac:dyDescent="0.45">
      <c r="A8">
        <v>19.46746134</v>
      </c>
      <c r="B8">
        <v>112.23069820000001</v>
      </c>
      <c r="C8">
        <v>1.6207139500000001</v>
      </c>
      <c r="D8">
        <v>1.9833760300000001</v>
      </c>
      <c r="E8">
        <f t="shared" si="0"/>
        <v>1.6207139500000001</v>
      </c>
      <c r="F8">
        <f t="shared" si="1"/>
        <v>0</v>
      </c>
      <c r="G8">
        <f t="shared" si="2"/>
        <v>0</v>
      </c>
      <c r="H8">
        <f t="shared" si="3"/>
        <v>0</v>
      </c>
      <c r="I8">
        <f t="shared" si="4"/>
        <v>0</v>
      </c>
      <c r="J8">
        <f t="shared" si="5"/>
        <v>0</v>
      </c>
      <c r="K8" s="1">
        <f t="shared" si="6"/>
        <v>0</v>
      </c>
      <c r="L8" s="1">
        <f t="shared" si="7"/>
        <v>0</v>
      </c>
      <c r="M8" s="1">
        <f t="shared" si="8"/>
        <v>0</v>
      </c>
      <c r="N8" s="1">
        <f t="shared" si="9"/>
        <v>0</v>
      </c>
      <c r="O8" s="1">
        <f t="shared" si="10"/>
        <v>0</v>
      </c>
      <c r="P8" s="1">
        <f t="shared" si="11"/>
        <v>20.428727652819319</v>
      </c>
      <c r="Q8" s="1" t="e">
        <f t="shared" si="12"/>
        <v>#DIV/0!</v>
      </c>
      <c r="R8" s="1" t="e">
        <f t="shared" si="13"/>
        <v>#DIV/0!</v>
      </c>
      <c r="S8" s="1" t="e">
        <f t="shared" si="14"/>
        <v>#DIV/0!</v>
      </c>
      <c r="T8" s="1" t="e">
        <f t="shared" si="15"/>
        <v>#DIV/0!</v>
      </c>
      <c r="U8" s="1" t="e">
        <f t="shared" si="16"/>
        <v>#DIV/0!</v>
      </c>
      <c r="V8">
        <f t="shared" si="17"/>
        <v>702.9136487166279</v>
      </c>
      <c r="W8">
        <f t="shared" si="18"/>
        <v>0</v>
      </c>
      <c r="X8">
        <f t="shared" si="19"/>
        <v>0</v>
      </c>
      <c r="Y8">
        <f t="shared" si="20"/>
        <v>0</v>
      </c>
      <c r="Z8">
        <f t="shared" si="21"/>
        <v>0</v>
      </c>
      <c r="AA8">
        <f t="shared" si="22"/>
        <v>0</v>
      </c>
      <c r="AC8">
        <f t="shared" si="23"/>
        <v>862.39910611277276</v>
      </c>
      <c r="AD8">
        <f t="shared" si="24"/>
        <v>0</v>
      </c>
      <c r="AE8">
        <f t="shared" si="25"/>
        <v>0</v>
      </c>
      <c r="AF8">
        <f t="shared" si="26"/>
        <v>0</v>
      </c>
      <c r="AG8">
        <f t="shared" si="27"/>
        <v>0</v>
      </c>
      <c r="AH8">
        <f t="shared" si="28"/>
        <v>0</v>
      </c>
      <c r="AJ8">
        <f t="shared" si="29"/>
        <v>1021.8745635089176</v>
      </c>
      <c r="AK8">
        <f t="shared" si="30"/>
        <v>0</v>
      </c>
      <c r="AL8">
        <f t="shared" si="31"/>
        <v>0</v>
      </c>
      <c r="AM8">
        <f t="shared" si="32"/>
        <v>0</v>
      </c>
      <c r="AN8">
        <f t="shared" si="33"/>
        <v>0</v>
      </c>
      <c r="AO8">
        <f t="shared" si="34"/>
        <v>0</v>
      </c>
    </row>
    <row r="9" spans="1:41" x14ac:dyDescent="0.45">
      <c r="A9">
        <v>19.470290810000002</v>
      </c>
      <c r="B9">
        <v>112.1842126</v>
      </c>
      <c r="C9">
        <v>1.69117999</v>
      </c>
      <c r="D9">
        <v>1.22430599</v>
      </c>
      <c r="E9">
        <f t="shared" si="0"/>
        <v>1.22430599</v>
      </c>
      <c r="F9">
        <f t="shared" si="1"/>
        <v>0</v>
      </c>
      <c r="G9">
        <f t="shared" si="2"/>
        <v>0</v>
      </c>
      <c r="H9">
        <f t="shared" si="3"/>
        <v>0</v>
      </c>
      <c r="I9">
        <f t="shared" si="4"/>
        <v>0</v>
      </c>
      <c r="J9">
        <f t="shared" si="5"/>
        <v>0</v>
      </c>
      <c r="K9" s="1">
        <f t="shared" si="6"/>
        <v>0</v>
      </c>
      <c r="L9" s="1">
        <f t="shared" si="7"/>
        <v>0</v>
      </c>
      <c r="M9" s="1">
        <f t="shared" si="8"/>
        <v>0</v>
      </c>
      <c r="N9" s="1">
        <f t="shared" si="9"/>
        <v>0</v>
      </c>
      <c r="O9" s="1">
        <f t="shared" si="10"/>
        <v>0</v>
      </c>
      <c r="P9" s="1">
        <f t="shared" si="11"/>
        <v>25</v>
      </c>
      <c r="Q9" s="1" t="e">
        <f t="shared" si="12"/>
        <v>#DIV/0!</v>
      </c>
      <c r="R9" s="1" t="e">
        <f t="shared" si="13"/>
        <v>#DIV/0!</v>
      </c>
      <c r="S9" s="1" t="e">
        <f t="shared" si="14"/>
        <v>#DIV/0!</v>
      </c>
      <c r="T9" s="1" t="e">
        <f t="shared" si="15"/>
        <v>#DIV/0!</v>
      </c>
      <c r="U9" s="1" t="e">
        <f t="shared" si="16"/>
        <v>#DIV/0!</v>
      </c>
      <c r="V9">
        <f t="shared" si="17"/>
        <v>851.48</v>
      </c>
      <c r="W9">
        <f t="shared" si="18"/>
        <v>0</v>
      </c>
      <c r="X9">
        <f t="shared" si="19"/>
        <v>0</v>
      </c>
      <c r="Y9">
        <f t="shared" si="20"/>
        <v>0</v>
      </c>
      <c r="Z9">
        <f t="shared" si="21"/>
        <v>0</v>
      </c>
      <c r="AA9">
        <f t="shared" si="22"/>
        <v>0</v>
      </c>
      <c r="AC9">
        <f t="shared" si="23"/>
        <v>1045.25</v>
      </c>
      <c r="AD9">
        <f t="shared" si="24"/>
        <v>0</v>
      </c>
      <c r="AE9">
        <f t="shared" si="25"/>
        <v>0</v>
      </c>
      <c r="AF9">
        <f t="shared" si="26"/>
        <v>0</v>
      </c>
      <c r="AG9">
        <f t="shared" si="27"/>
        <v>0</v>
      </c>
      <c r="AH9">
        <f t="shared" si="28"/>
        <v>0</v>
      </c>
      <c r="AJ9">
        <f t="shared" si="29"/>
        <v>1239.01</v>
      </c>
      <c r="AK9">
        <f t="shared" si="30"/>
        <v>0</v>
      </c>
      <c r="AL9">
        <f t="shared" si="31"/>
        <v>0</v>
      </c>
      <c r="AM9">
        <f t="shared" si="32"/>
        <v>0</v>
      </c>
      <c r="AN9">
        <f t="shared" si="33"/>
        <v>0</v>
      </c>
      <c r="AO9">
        <f t="shared" si="34"/>
        <v>0</v>
      </c>
    </row>
    <row r="10" spans="1:41" x14ac:dyDescent="0.45">
      <c r="A10">
        <v>19.486823940000001</v>
      </c>
      <c r="B10">
        <v>111.9052397</v>
      </c>
      <c r="C10">
        <v>0.33738801000000002</v>
      </c>
      <c r="D10">
        <v>1.2941700199999999</v>
      </c>
      <c r="E10">
        <f t="shared" si="0"/>
        <v>0.33738801000000002</v>
      </c>
      <c r="F10">
        <f t="shared" si="1"/>
        <v>0</v>
      </c>
      <c r="G10">
        <f t="shared" si="2"/>
        <v>0</v>
      </c>
      <c r="H10">
        <f t="shared" si="3"/>
        <v>0</v>
      </c>
      <c r="I10">
        <f t="shared" si="4"/>
        <v>0</v>
      </c>
      <c r="J10">
        <f t="shared" si="5"/>
        <v>0</v>
      </c>
      <c r="K10" s="1">
        <f t="shared" si="6"/>
        <v>0</v>
      </c>
      <c r="L10" s="1">
        <f t="shared" si="7"/>
        <v>0</v>
      </c>
      <c r="M10" s="1">
        <f t="shared" si="8"/>
        <v>0</v>
      </c>
      <c r="N10" s="1">
        <f t="shared" si="9"/>
        <v>0</v>
      </c>
      <c r="O10" s="1">
        <f t="shared" si="10"/>
        <v>0</v>
      </c>
      <c r="P10" s="1">
        <f t="shared" si="11"/>
        <v>6.517459158882386</v>
      </c>
      <c r="Q10" s="1" t="e">
        <f t="shared" si="12"/>
        <v>#DIV/0!</v>
      </c>
      <c r="R10" s="1" t="e">
        <f t="shared" si="13"/>
        <v>#DIV/0!</v>
      </c>
      <c r="S10" s="1" t="e">
        <f t="shared" si="14"/>
        <v>#DIV/0!</v>
      </c>
      <c r="T10" s="1" t="e">
        <f t="shared" si="15"/>
        <v>#DIV/0!</v>
      </c>
      <c r="U10" s="1" t="e">
        <f t="shared" si="16"/>
        <v>#DIV/0!</v>
      </c>
      <c r="V10">
        <f t="shared" si="17"/>
        <v>250.79742266367754</v>
      </c>
      <c r="W10">
        <f t="shared" si="18"/>
        <v>0</v>
      </c>
      <c r="X10">
        <f t="shared" si="19"/>
        <v>0</v>
      </c>
      <c r="Y10">
        <f t="shared" si="20"/>
        <v>0</v>
      </c>
      <c r="Z10">
        <f t="shared" si="21"/>
        <v>0</v>
      </c>
      <c r="AA10">
        <f t="shared" si="22"/>
        <v>0</v>
      </c>
      <c r="AC10">
        <f t="shared" si="23"/>
        <v>305.94836635529543</v>
      </c>
      <c r="AD10">
        <f t="shared" si="24"/>
        <v>0</v>
      </c>
      <c r="AE10">
        <f t="shared" si="25"/>
        <v>0</v>
      </c>
      <c r="AF10">
        <f t="shared" si="26"/>
        <v>0</v>
      </c>
      <c r="AG10">
        <f t="shared" si="27"/>
        <v>0</v>
      </c>
      <c r="AH10">
        <f t="shared" si="28"/>
        <v>0</v>
      </c>
      <c r="AJ10">
        <f t="shared" si="29"/>
        <v>361.08931004691334</v>
      </c>
      <c r="AK10">
        <f t="shared" si="30"/>
        <v>0</v>
      </c>
      <c r="AL10">
        <f t="shared" si="31"/>
        <v>0</v>
      </c>
      <c r="AM10">
        <f t="shared" si="32"/>
        <v>0</v>
      </c>
      <c r="AN10">
        <f t="shared" si="33"/>
        <v>0</v>
      </c>
      <c r="AO10">
        <f t="shared" si="34"/>
        <v>0</v>
      </c>
    </row>
    <row r="11" spans="1:41" x14ac:dyDescent="0.45">
      <c r="A11">
        <v>19.54117381</v>
      </c>
      <c r="B11">
        <v>112.4692993</v>
      </c>
      <c r="C11">
        <v>0.32522499999999999</v>
      </c>
      <c r="D11">
        <v>3.4043319200000002</v>
      </c>
      <c r="E11">
        <f t="shared" si="0"/>
        <v>0.32522499999999999</v>
      </c>
      <c r="F11">
        <f t="shared" si="1"/>
        <v>1.7782069200000001</v>
      </c>
      <c r="G11">
        <f t="shared" si="2"/>
        <v>0.15208192000000009</v>
      </c>
      <c r="H11">
        <f t="shared" si="3"/>
        <v>0</v>
      </c>
      <c r="I11">
        <f t="shared" si="4"/>
        <v>0</v>
      </c>
      <c r="J11">
        <f t="shared" si="5"/>
        <v>0</v>
      </c>
      <c r="K11" s="1">
        <f t="shared" si="6"/>
        <v>0.32522499999999999</v>
      </c>
      <c r="L11" s="1">
        <f t="shared" si="7"/>
        <v>0.15208192000000009</v>
      </c>
      <c r="M11" s="1">
        <f t="shared" si="8"/>
        <v>0</v>
      </c>
      <c r="N11" s="1">
        <f t="shared" si="9"/>
        <v>0</v>
      </c>
      <c r="O11" s="1">
        <f t="shared" si="10"/>
        <v>0</v>
      </c>
      <c r="P11" s="1">
        <f t="shared" si="11"/>
        <v>2.3883173530270807</v>
      </c>
      <c r="Q11" s="1">
        <f t="shared" si="12"/>
        <v>4.5723728259926011</v>
      </c>
      <c r="R11" s="1">
        <f t="shared" si="13"/>
        <v>25</v>
      </c>
      <c r="S11" s="1" t="e">
        <f t="shared" si="14"/>
        <v>#DIV/0!</v>
      </c>
      <c r="T11" s="1" t="e">
        <f t="shared" si="15"/>
        <v>#DIV/0!</v>
      </c>
      <c r="U11" s="1" t="e">
        <f t="shared" si="16"/>
        <v>#DIV/0!</v>
      </c>
      <c r="V11">
        <f t="shared" si="17"/>
        <v>116.60031397338012</v>
      </c>
      <c r="W11">
        <f t="shared" si="18"/>
        <v>210.45398097472253</v>
      </c>
      <c r="X11" t="e">
        <f t="shared" si="19"/>
        <v>#DIV/0!</v>
      </c>
      <c r="Y11">
        <f t="shared" si="20"/>
        <v>0</v>
      </c>
      <c r="Z11">
        <f t="shared" si="21"/>
        <v>0</v>
      </c>
      <c r="AA11">
        <f t="shared" si="22"/>
        <v>0</v>
      </c>
      <c r="AC11">
        <f t="shared" si="23"/>
        <v>140.78269412108324</v>
      </c>
      <c r="AD11">
        <f t="shared" si="24"/>
        <v>210.45398097472253</v>
      </c>
      <c r="AE11">
        <f t="shared" si="25"/>
        <v>844.17</v>
      </c>
      <c r="AF11">
        <f t="shared" si="26"/>
        <v>0</v>
      </c>
      <c r="AG11">
        <f t="shared" si="27"/>
        <v>0</v>
      </c>
      <c r="AH11">
        <f t="shared" si="28"/>
        <v>0</v>
      </c>
      <c r="AJ11">
        <f t="shared" si="29"/>
        <v>164.95507426878632</v>
      </c>
      <c r="AK11">
        <f t="shared" si="30"/>
        <v>251.69677716966706</v>
      </c>
      <c r="AL11">
        <f t="shared" si="31"/>
        <v>1098.7</v>
      </c>
      <c r="AM11">
        <f t="shared" si="32"/>
        <v>0</v>
      </c>
      <c r="AN11">
        <f t="shared" si="33"/>
        <v>0</v>
      </c>
      <c r="AO11">
        <f t="shared" si="34"/>
        <v>0</v>
      </c>
    </row>
    <row r="12" spans="1:41" x14ac:dyDescent="0.45">
      <c r="A12">
        <v>19.566864200000001</v>
      </c>
      <c r="B12">
        <v>112.0505551</v>
      </c>
      <c r="C12">
        <v>0.21276999999999999</v>
      </c>
      <c r="D12">
        <v>23.416383740000001</v>
      </c>
      <c r="E12">
        <f t="shared" si="0"/>
        <v>0.21276999999999999</v>
      </c>
      <c r="F12">
        <f t="shared" si="1"/>
        <v>22.352533740000002</v>
      </c>
      <c r="G12">
        <f t="shared" si="2"/>
        <v>21.28868374</v>
      </c>
      <c r="H12">
        <f t="shared" si="3"/>
        <v>20.224833740000001</v>
      </c>
      <c r="I12">
        <f t="shared" si="4"/>
        <v>19.160983739999999</v>
      </c>
      <c r="J12">
        <f t="shared" si="5"/>
        <v>18.09713374</v>
      </c>
      <c r="K12" s="1">
        <f t="shared" si="6"/>
        <v>0.21276999999999999</v>
      </c>
      <c r="L12" s="1">
        <f t="shared" si="7"/>
        <v>0.21276999999999999</v>
      </c>
      <c r="M12" s="1">
        <f t="shared" si="8"/>
        <v>0.21276999999999999</v>
      </c>
      <c r="N12" s="1">
        <f t="shared" si="9"/>
        <v>0.21276999999999999</v>
      </c>
      <c r="O12" s="1">
        <f t="shared" si="10"/>
        <v>0.21276999999999999</v>
      </c>
      <c r="P12" s="1">
        <f t="shared" si="11"/>
        <v>1</v>
      </c>
      <c r="Q12" s="1">
        <f t="shared" si="12"/>
        <v>1</v>
      </c>
      <c r="R12" s="1">
        <f t="shared" si="13"/>
        <v>1</v>
      </c>
      <c r="S12" s="1">
        <f t="shared" si="14"/>
        <v>1</v>
      </c>
      <c r="T12" s="1">
        <f t="shared" si="15"/>
        <v>1</v>
      </c>
      <c r="U12" s="1">
        <f t="shared" si="16"/>
        <v>1</v>
      </c>
      <c r="V12">
        <f t="shared" si="17"/>
        <v>71.48</v>
      </c>
      <c r="W12">
        <f t="shared" si="18"/>
        <v>76.489999999999995</v>
      </c>
      <c r="X12">
        <f t="shared" si="19"/>
        <v>52.14</v>
      </c>
      <c r="Y12">
        <f t="shared" si="20"/>
        <v>38.1</v>
      </c>
      <c r="Z12">
        <f t="shared" si="21"/>
        <v>32.120000000000005</v>
      </c>
      <c r="AA12">
        <f t="shared" si="22"/>
        <v>30.03</v>
      </c>
      <c r="AC12">
        <f t="shared" si="23"/>
        <v>85.25</v>
      </c>
      <c r="AD12">
        <f t="shared" si="24"/>
        <v>76.489999999999995</v>
      </c>
      <c r="AE12">
        <f t="shared" si="25"/>
        <v>64.17</v>
      </c>
      <c r="AF12">
        <f t="shared" si="26"/>
        <v>49.84</v>
      </c>
      <c r="AG12">
        <f t="shared" si="27"/>
        <v>48.34</v>
      </c>
      <c r="AH12">
        <f t="shared" si="28"/>
        <v>41.36</v>
      </c>
      <c r="AJ12">
        <f t="shared" si="29"/>
        <v>99.009999999999991</v>
      </c>
      <c r="AK12">
        <f t="shared" si="30"/>
        <v>90.94</v>
      </c>
      <c r="AL12">
        <f t="shared" si="31"/>
        <v>78.7</v>
      </c>
      <c r="AM12">
        <f t="shared" si="32"/>
        <v>67.430000000000007</v>
      </c>
      <c r="AN12">
        <f t="shared" si="33"/>
        <v>62.56</v>
      </c>
      <c r="AO12">
        <f t="shared" si="34"/>
        <v>55.19</v>
      </c>
    </row>
    <row r="13" spans="1:41" x14ac:dyDescent="0.45">
      <c r="A13">
        <v>19.608211650000001</v>
      </c>
      <c r="B13">
        <v>112.1000284</v>
      </c>
      <c r="C13">
        <v>0.23639899</v>
      </c>
      <c r="D13">
        <v>23.01433372</v>
      </c>
      <c r="E13">
        <f t="shared" si="0"/>
        <v>0.23639899</v>
      </c>
      <c r="F13">
        <f t="shared" si="1"/>
        <v>21.83233877</v>
      </c>
      <c r="G13">
        <f t="shared" si="2"/>
        <v>20.65034382</v>
      </c>
      <c r="H13">
        <f t="shared" si="3"/>
        <v>19.46834887</v>
      </c>
      <c r="I13">
        <f t="shared" si="4"/>
        <v>18.28635392</v>
      </c>
      <c r="J13">
        <f t="shared" si="5"/>
        <v>17.10435897</v>
      </c>
      <c r="K13" s="1">
        <f t="shared" si="6"/>
        <v>0.23639899</v>
      </c>
      <c r="L13" s="1">
        <f t="shared" si="7"/>
        <v>0.23639899</v>
      </c>
      <c r="M13" s="1">
        <f t="shared" si="8"/>
        <v>0.23639899</v>
      </c>
      <c r="N13" s="1">
        <f t="shared" si="9"/>
        <v>0.23639899</v>
      </c>
      <c r="O13" s="1">
        <f t="shared" si="10"/>
        <v>0.23639899</v>
      </c>
      <c r="P13" s="1">
        <f t="shared" si="11"/>
        <v>1</v>
      </c>
      <c r="Q13" s="1">
        <f t="shared" si="12"/>
        <v>1</v>
      </c>
      <c r="R13" s="1">
        <f t="shared" si="13"/>
        <v>1</v>
      </c>
      <c r="S13" s="1">
        <f t="shared" si="14"/>
        <v>1</v>
      </c>
      <c r="T13" s="1">
        <f t="shared" si="15"/>
        <v>1</v>
      </c>
      <c r="U13" s="1">
        <f t="shared" si="16"/>
        <v>1</v>
      </c>
      <c r="V13">
        <f t="shared" si="17"/>
        <v>71.48</v>
      </c>
      <c r="W13">
        <f t="shared" si="18"/>
        <v>76.489999999999995</v>
      </c>
      <c r="X13">
        <f t="shared" si="19"/>
        <v>52.14</v>
      </c>
      <c r="Y13">
        <f t="shared" si="20"/>
        <v>38.1</v>
      </c>
      <c r="Z13">
        <f t="shared" si="21"/>
        <v>32.120000000000005</v>
      </c>
      <c r="AA13">
        <f t="shared" si="22"/>
        <v>30.03</v>
      </c>
      <c r="AC13">
        <f t="shared" si="23"/>
        <v>85.25</v>
      </c>
      <c r="AD13">
        <f t="shared" si="24"/>
        <v>76.489999999999995</v>
      </c>
      <c r="AE13">
        <f t="shared" si="25"/>
        <v>64.17</v>
      </c>
      <c r="AF13">
        <f t="shared" si="26"/>
        <v>49.84</v>
      </c>
      <c r="AG13">
        <f t="shared" si="27"/>
        <v>48.34</v>
      </c>
      <c r="AH13">
        <f t="shared" si="28"/>
        <v>41.36</v>
      </c>
      <c r="AJ13">
        <f t="shared" si="29"/>
        <v>99.009999999999991</v>
      </c>
      <c r="AK13">
        <f t="shared" si="30"/>
        <v>90.94</v>
      </c>
      <c r="AL13">
        <f t="shared" si="31"/>
        <v>78.7</v>
      </c>
      <c r="AM13">
        <f t="shared" si="32"/>
        <v>67.430000000000007</v>
      </c>
      <c r="AN13">
        <f t="shared" si="33"/>
        <v>62.56</v>
      </c>
      <c r="AO13">
        <f t="shared" si="34"/>
        <v>55.19</v>
      </c>
    </row>
    <row r="14" spans="1:41" x14ac:dyDescent="0.45">
      <c r="A14">
        <v>19.641031330000001</v>
      </c>
      <c r="B14">
        <v>112.2892702</v>
      </c>
      <c r="C14">
        <v>1.4453259700000001</v>
      </c>
      <c r="D14">
        <v>1.4104009900000001</v>
      </c>
      <c r="E14">
        <f t="shared" si="0"/>
        <v>1.4104009900000001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0</v>
      </c>
      <c r="J14">
        <f t="shared" si="5"/>
        <v>0</v>
      </c>
      <c r="K14" s="1">
        <f t="shared" si="6"/>
        <v>0</v>
      </c>
      <c r="L14" s="1">
        <f t="shared" si="7"/>
        <v>0</v>
      </c>
      <c r="M14" s="1">
        <f t="shared" si="8"/>
        <v>0</v>
      </c>
      <c r="N14" s="1">
        <f t="shared" si="9"/>
        <v>0</v>
      </c>
      <c r="O14" s="1">
        <f t="shared" si="10"/>
        <v>0</v>
      </c>
      <c r="P14" s="1">
        <f t="shared" si="11"/>
        <v>25</v>
      </c>
      <c r="Q14" s="1" t="e">
        <f t="shared" si="12"/>
        <v>#DIV/0!</v>
      </c>
      <c r="R14" s="1" t="e">
        <f t="shared" si="13"/>
        <v>#DIV/0!</v>
      </c>
      <c r="S14" s="1" t="e">
        <f t="shared" si="14"/>
        <v>#DIV/0!</v>
      </c>
      <c r="T14" s="1" t="e">
        <f t="shared" si="15"/>
        <v>#DIV/0!</v>
      </c>
      <c r="U14" s="1" t="e">
        <f t="shared" si="16"/>
        <v>#DIV/0!</v>
      </c>
      <c r="V14">
        <f t="shared" si="17"/>
        <v>851.48</v>
      </c>
      <c r="W14">
        <f t="shared" si="18"/>
        <v>0</v>
      </c>
      <c r="X14">
        <f t="shared" si="19"/>
        <v>0</v>
      </c>
      <c r="Y14">
        <f t="shared" si="20"/>
        <v>0</v>
      </c>
      <c r="Z14">
        <f t="shared" si="21"/>
        <v>0</v>
      </c>
      <c r="AA14">
        <f t="shared" si="22"/>
        <v>0</v>
      </c>
      <c r="AC14">
        <f t="shared" si="23"/>
        <v>1045.25</v>
      </c>
      <c r="AD14">
        <f t="shared" si="24"/>
        <v>0</v>
      </c>
      <c r="AE14">
        <f t="shared" si="25"/>
        <v>0</v>
      </c>
      <c r="AF14">
        <f t="shared" si="26"/>
        <v>0</v>
      </c>
      <c r="AG14">
        <f t="shared" si="27"/>
        <v>0</v>
      </c>
      <c r="AH14">
        <f t="shared" si="28"/>
        <v>0</v>
      </c>
      <c r="AJ14">
        <f t="shared" si="29"/>
        <v>1239.01</v>
      </c>
      <c r="AK14">
        <f t="shared" si="30"/>
        <v>0</v>
      </c>
      <c r="AL14">
        <f t="shared" si="31"/>
        <v>0</v>
      </c>
      <c r="AM14">
        <f t="shared" si="32"/>
        <v>0</v>
      </c>
      <c r="AN14">
        <f t="shared" si="33"/>
        <v>0</v>
      </c>
      <c r="AO14">
        <f t="shared" si="34"/>
        <v>0</v>
      </c>
    </row>
    <row r="15" spans="1:41" x14ac:dyDescent="0.45">
      <c r="A15">
        <v>19.649543000000001</v>
      </c>
      <c r="B15">
        <v>112.1495462</v>
      </c>
      <c r="C15">
        <v>1.3388509799999999</v>
      </c>
      <c r="D15">
        <v>5.2400307699999997</v>
      </c>
      <c r="E15">
        <f t="shared" si="0"/>
        <v>1.3388509799999999</v>
      </c>
      <c r="F15">
        <f t="shared" si="1"/>
        <v>0</v>
      </c>
      <c r="G15">
        <f t="shared" si="2"/>
        <v>0</v>
      </c>
      <c r="H15">
        <f t="shared" si="3"/>
        <v>0</v>
      </c>
      <c r="I15">
        <f t="shared" si="4"/>
        <v>0</v>
      </c>
      <c r="J15">
        <f t="shared" si="5"/>
        <v>0</v>
      </c>
      <c r="K15" s="1">
        <f t="shared" si="6"/>
        <v>0</v>
      </c>
      <c r="L15" s="1">
        <f t="shared" si="7"/>
        <v>0</v>
      </c>
      <c r="M15" s="1">
        <f t="shared" si="8"/>
        <v>0</v>
      </c>
      <c r="N15" s="1">
        <f t="shared" si="9"/>
        <v>0</v>
      </c>
      <c r="O15" s="1">
        <f t="shared" si="10"/>
        <v>0</v>
      </c>
      <c r="P15" s="1">
        <f t="shared" si="11"/>
        <v>6.3876102964181642</v>
      </c>
      <c r="Q15" s="1" t="e">
        <f t="shared" si="12"/>
        <v>#DIV/0!</v>
      </c>
      <c r="R15" s="1" t="e">
        <f t="shared" si="13"/>
        <v>#DIV/0!</v>
      </c>
      <c r="S15" s="1" t="e">
        <f t="shared" si="14"/>
        <v>#DIV/0!</v>
      </c>
      <c r="T15" s="1" t="e">
        <f t="shared" si="15"/>
        <v>#DIV/0!</v>
      </c>
      <c r="U15" s="1" t="e">
        <f t="shared" si="16"/>
        <v>#DIV/0!</v>
      </c>
      <c r="V15">
        <f t="shared" si="17"/>
        <v>246.57733463359034</v>
      </c>
      <c r="W15">
        <f t="shared" si="18"/>
        <v>0</v>
      </c>
      <c r="X15">
        <f t="shared" si="19"/>
        <v>0</v>
      </c>
      <c r="Y15">
        <f t="shared" si="20"/>
        <v>0</v>
      </c>
      <c r="Z15">
        <f t="shared" si="21"/>
        <v>0</v>
      </c>
      <c r="AA15">
        <f t="shared" si="22"/>
        <v>0</v>
      </c>
      <c r="AC15">
        <f t="shared" si="23"/>
        <v>300.75441185672656</v>
      </c>
      <c r="AD15">
        <f t="shared" si="24"/>
        <v>0</v>
      </c>
      <c r="AE15">
        <f t="shared" si="25"/>
        <v>0</v>
      </c>
      <c r="AF15">
        <f t="shared" si="26"/>
        <v>0</v>
      </c>
      <c r="AG15">
        <f t="shared" si="27"/>
        <v>0</v>
      </c>
      <c r="AH15">
        <f t="shared" si="28"/>
        <v>0</v>
      </c>
      <c r="AJ15">
        <f t="shared" si="29"/>
        <v>354.92148907986279</v>
      </c>
      <c r="AK15">
        <f t="shared" si="30"/>
        <v>0</v>
      </c>
      <c r="AL15">
        <f t="shared" si="31"/>
        <v>0</v>
      </c>
      <c r="AM15">
        <f t="shared" si="32"/>
        <v>0</v>
      </c>
      <c r="AN15">
        <f t="shared" si="33"/>
        <v>0</v>
      </c>
      <c r="AO15">
        <f t="shared" si="34"/>
        <v>0</v>
      </c>
    </row>
    <row r="16" spans="1:41" x14ac:dyDescent="0.45">
      <c r="A16">
        <v>19.679374370000001</v>
      </c>
      <c r="B16">
        <v>112.3854791</v>
      </c>
      <c r="C16">
        <v>1.6207139500000001</v>
      </c>
      <c r="D16">
        <v>7.3458380700000001</v>
      </c>
      <c r="E16">
        <f t="shared" si="0"/>
        <v>1.6207139500000001</v>
      </c>
      <c r="F16">
        <f t="shared" si="1"/>
        <v>0</v>
      </c>
      <c r="G16">
        <f t="shared" si="2"/>
        <v>0</v>
      </c>
      <c r="H16">
        <f t="shared" si="3"/>
        <v>0</v>
      </c>
      <c r="I16">
        <f t="shared" si="4"/>
        <v>0</v>
      </c>
      <c r="J16">
        <f t="shared" si="5"/>
        <v>0</v>
      </c>
      <c r="K16" s="1">
        <f t="shared" si="6"/>
        <v>0</v>
      </c>
      <c r="L16" s="1">
        <f t="shared" si="7"/>
        <v>0</v>
      </c>
      <c r="M16" s="1">
        <f t="shared" si="8"/>
        <v>0</v>
      </c>
      <c r="N16" s="1">
        <f t="shared" si="9"/>
        <v>0</v>
      </c>
      <c r="O16" s="1">
        <f t="shared" si="10"/>
        <v>0</v>
      </c>
      <c r="P16" s="1">
        <f t="shared" si="11"/>
        <v>5.515755774071943</v>
      </c>
      <c r="Q16" s="1" t="e">
        <f t="shared" si="12"/>
        <v>#DIV/0!</v>
      </c>
      <c r="R16" s="1" t="e">
        <f t="shared" si="13"/>
        <v>#DIV/0!</v>
      </c>
      <c r="S16" s="1" t="e">
        <f t="shared" si="14"/>
        <v>#DIV/0!</v>
      </c>
      <c r="T16" s="1" t="e">
        <f t="shared" si="15"/>
        <v>#DIV/0!</v>
      </c>
      <c r="U16" s="1" t="e">
        <f t="shared" si="16"/>
        <v>#DIV/0!</v>
      </c>
      <c r="V16">
        <f t="shared" si="17"/>
        <v>218.24206265733812</v>
      </c>
      <c r="W16">
        <f t="shared" si="18"/>
        <v>0</v>
      </c>
      <c r="X16">
        <f t="shared" si="19"/>
        <v>0</v>
      </c>
      <c r="Y16">
        <f t="shared" si="20"/>
        <v>0</v>
      </c>
      <c r="Z16">
        <f t="shared" si="21"/>
        <v>0</v>
      </c>
      <c r="AA16">
        <f t="shared" si="22"/>
        <v>0</v>
      </c>
      <c r="AC16">
        <f t="shared" si="23"/>
        <v>265.8802309628777</v>
      </c>
      <c r="AD16">
        <f t="shared" si="24"/>
        <v>0</v>
      </c>
      <c r="AE16">
        <f t="shared" si="25"/>
        <v>0</v>
      </c>
      <c r="AF16">
        <f t="shared" si="26"/>
        <v>0</v>
      </c>
      <c r="AG16">
        <f t="shared" si="27"/>
        <v>0</v>
      </c>
      <c r="AH16">
        <f t="shared" si="28"/>
        <v>0</v>
      </c>
      <c r="AJ16">
        <f t="shared" si="29"/>
        <v>313.50839926841729</v>
      </c>
      <c r="AK16">
        <f t="shared" si="30"/>
        <v>0</v>
      </c>
      <c r="AL16">
        <f t="shared" si="31"/>
        <v>0</v>
      </c>
      <c r="AM16">
        <f t="shared" si="32"/>
        <v>0</v>
      </c>
      <c r="AN16">
        <f t="shared" si="33"/>
        <v>0</v>
      </c>
      <c r="AO16">
        <f t="shared" si="34"/>
        <v>0</v>
      </c>
    </row>
    <row r="17" spans="1:41" x14ac:dyDescent="0.45">
      <c r="A17">
        <v>19.752795939999999</v>
      </c>
      <c r="B17">
        <v>112.6247559</v>
      </c>
      <c r="C17">
        <v>1.90340102</v>
      </c>
      <c r="D17">
        <v>9.6398999999999999E-2</v>
      </c>
      <c r="E17">
        <f t="shared" si="0"/>
        <v>9.6398999999999999E-2</v>
      </c>
      <c r="F17">
        <f t="shared" si="1"/>
        <v>0</v>
      </c>
      <c r="G17">
        <f t="shared" si="2"/>
        <v>0</v>
      </c>
      <c r="H17">
        <f t="shared" si="3"/>
        <v>0</v>
      </c>
      <c r="I17">
        <f t="shared" si="4"/>
        <v>0</v>
      </c>
      <c r="J17">
        <f t="shared" si="5"/>
        <v>0</v>
      </c>
      <c r="K17" s="1">
        <f t="shared" si="6"/>
        <v>0</v>
      </c>
      <c r="L17" s="1">
        <f t="shared" si="7"/>
        <v>0</v>
      </c>
      <c r="M17" s="1">
        <f t="shared" si="8"/>
        <v>0</v>
      </c>
      <c r="N17" s="1">
        <f t="shared" si="9"/>
        <v>0</v>
      </c>
      <c r="O17" s="1">
        <f t="shared" si="10"/>
        <v>0</v>
      </c>
      <c r="P17" s="1">
        <f t="shared" si="11"/>
        <v>24.999999999999996</v>
      </c>
      <c r="Q17" s="1" t="e">
        <f t="shared" si="12"/>
        <v>#DIV/0!</v>
      </c>
      <c r="R17" s="1" t="e">
        <f t="shared" si="13"/>
        <v>#DIV/0!</v>
      </c>
      <c r="S17" s="1" t="e">
        <f t="shared" si="14"/>
        <v>#DIV/0!</v>
      </c>
      <c r="T17" s="1" t="e">
        <f t="shared" si="15"/>
        <v>#DIV/0!</v>
      </c>
      <c r="U17" s="1" t="e">
        <f t="shared" si="16"/>
        <v>#DIV/0!</v>
      </c>
      <c r="V17">
        <f t="shared" si="17"/>
        <v>851.4799999999999</v>
      </c>
      <c r="W17">
        <f t="shared" si="18"/>
        <v>0</v>
      </c>
      <c r="X17">
        <f t="shared" si="19"/>
        <v>0</v>
      </c>
      <c r="Y17">
        <f t="shared" si="20"/>
        <v>0</v>
      </c>
      <c r="Z17">
        <f t="shared" si="21"/>
        <v>0</v>
      </c>
      <c r="AA17">
        <f t="shared" si="22"/>
        <v>0</v>
      </c>
      <c r="AC17">
        <f t="shared" si="23"/>
        <v>1045.25</v>
      </c>
      <c r="AD17">
        <f t="shared" si="24"/>
        <v>0</v>
      </c>
      <c r="AE17">
        <f t="shared" si="25"/>
        <v>0</v>
      </c>
      <c r="AF17">
        <f t="shared" si="26"/>
        <v>0</v>
      </c>
      <c r="AG17">
        <f t="shared" si="27"/>
        <v>0</v>
      </c>
      <c r="AH17">
        <f t="shared" si="28"/>
        <v>0</v>
      </c>
      <c r="AJ17">
        <f t="shared" si="29"/>
        <v>1239.0099999999998</v>
      </c>
      <c r="AK17">
        <f t="shared" si="30"/>
        <v>0</v>
      </c>
      <c r="AL17">
        <f t="shared" si="31"/>
        <v>0</v>
      </c>
      <c r="AM17">
        <f t="shared" si="32"/>
        <v>0</v>
      </c>
      <c r="AN17">
        <f t="shared" si="33"/>
        <v>0</v>
      </c>
      <c r="AO17">
        <f t="shared" si="34"/>
        <v>0</v>
      </c>
    </row>
    <row r="18" spans="1:41" x14ac:dyDescent="0.45">
      <c r="A18">
        <v>19.765843539999999</v>
      </c>
      <c r="B18">
        <v>113.7034931</v>
      </c>
      <c r="C18">
        <v>1.05698705</v>
      </c>
      <c r="D18">
        <v>2.4486129299999999</v>
      </c>
      <c r="E18">
        <f t="shared" si="0"/>
        <v>1.05698705</v>
      </c>
      <c r="F18">
        <f t="shared" si="1"/>
        <v>0</v>
      </c>
      <c r="G18">
        <f t="shared" si="2"/>
        <v>0</v>
      </c>
      <c r="H18">
        <f t="shared" si="3"/>
        <v>0</v>
      </c>
      <c r="I18">
        <f t="shared" si="4"/>
        <v>0</v>
      </c>
      <c r="J18">
        <f t="shared" si="5"/>
        <v>0</v>
      </c>
      <c r="K18" s="1">
        <f t="shared" si="6"/>
        <v>0</v>
      </c>
      <c r="L18" s="1">
        <f t="shared" si="7"/>
        <v>0</v>
      </c>
      <c r="M18" s="1">
        <f t="shared" si="8"/>
        <v>0</v>
      </c>
      <c r="N18" s="1">
        <f t="shared" si="9"/>
        <v>0</v>
      </c>
      <c r="O18" s="1">
        <f t="shared" si="10"/>
        <v>0</v>
      </c>
      <c r="P18" s="1">
        <f t="shared" si="11"/>
        <v>10.791691870221401</v>
      </c>
      <c r="Q18" s="1" t="e">
        <f t="shared" si="12"/>
        <v>#DIV/0!</v>
      </c>
      <c r="R18" s="1" t="e">
        <f t="shared" si="13"/>
        <v>#DIV/0!</v>
      </c>
      <c r="S18" s="1" t="e">
        <f t="shared" si="14"/>
        <v>#DIV/0!</v>
      </c>
      <c r="T18" s="1" t="e">
        <f t="shared" si="15"/>
        <v>#DIV/0!</v>
      </c>
      <c r="U18" s="1" t="e">
        <f t="shared" si="16"/>
        <v>#DIV/0!</v>
      </c>
      <c r="V18">
        <f t="shared" si="17"/>
        <v>389.70998578219553</v>
      </c>
      <c r="W18">
        <f t="shared" si="18"/>
        <v>0</v>
      </c>
      <c r="X18">
        <f t="shared" si="19"/>
        <v>0</v>
      </c>
      <c r="Y18">
        <f t="shared" si="20"/>
        <v>0</v>
      </c>
      <c r="Z18">
        <f t="shared" si="21"/>
        <v>0</v>
      </c>
      <c r="AA18">
        <f t="shared" si="22"/>
        <v>0</v>
      </c>
      <c r="AC18">
        <f t="shared" si="23"/>
        <v>476.91767480885602</v>
      </c>
      <c r="AD18">
        <f t="shared" si="24"/>
        <v>0</v>
      </c>
      <c r="AE18">
        <f t="shared" si="25"/>
        <v>0</v>
      </c>
      <c r="AF18">
        <f t="shared" si="26"/>
        <v>0</v>
      </c>
      <c r="AG18">
        <f t="shared" si="27"/>
        <v>0</v>
      </c>
      <c r="AH18">
        <f t="shared" si="28"/>
        <v>0</v>
      </c>
      <c r="AJ18">
        <f t="shared" si="29"/>
        <v>564.11536383551652</v>
      </c>
      <c r="AK18">
        <f t="shared" si="30"/>
        <v>0</v>
      </c>
      <c r="AL18">
        <f t="shared" si="31"/>
        <v>0</v>
      </c>
      <c r="AM18">
        <f t="shared" si="32"/>
        <v>0</v>
      </c>
      <c r="AN18">
        <f t="shared" si="33"/>
        <v>0</v>
      </c>
      <c r="AO18">
        <f t="shared" si="34"/>
        <v>0</v>
      </c>
    </row>
    <row r="19" spans="1:41" x14ac:dyDescent="0.45">
      <c r="A19">
        <v>19.770554310000001</v>
      </c>
      <c r="B19">
        <v>112.3450035</v>
      </c>
      <c r="C19">
        <v>0</v>
      </c>
      <c r="D19">
        <v>1.83645999</v>
      </c>
      <c r="E19">
        <f t="shared" si="0"/>
        <v>0</v>
      </c>
      <c r="F19">
        <f t="shared" si="1"/>
        <v>1.83645999</v>
      </c>
      <c r="G19">
        <f t="shared" si="2"/>
        <v>1.83645999</v>
      </c>
      <c r="H19">
        <f t="shared" si="3"/>
        <v>1.83645999</v>
      </c>
      <c r="I19">
        <f t="shared" si="4"/>
        <v>1.83645999</v>
      </c>
      <c r="J19">
        <f t="shared" si="5"/>
        <v>1.83645999</v>
      </c>
      <c r="K19" s="1">
        <f t="shared" si="6"/>
        <v>0</v>
      </c>
      <c r="L19" s="1">
        <f t="shared" si="7"/>
        <v>0</v>
      </c>
      <c r="M19" s="1">
        <f t="shared" si="8"/>
        <v>0</v>
      </c>
      <c r="N19" s="1">
        <f t="shared" si="9"/>
        <v>0</v>
      </c>
      <c r="O19" s="1">
        <f t="shared" si="10"/>
        <v>0</v>
      </c>
      <c r="P19" s="1">
        <f t="shared" si="11"/>
        <v>1</v>
      </c>
      <c r="Q19" s="1">
        <f t="shared" si="12"/>
        <v>1</v>
      </c>
      <c r="R19" s="1">
        <f t="shared" si="13"/>
        <v>1</v>
      </c>
      <c r="S19" s="1">
        <f t="shared" si="14"/>
        <v>1</v>
      </c>
      <c r="T19" s="1">
        <f t="shared" si="15"/>
        <v>1</v>
      </c>
      <c r="U19" s="1">
        <f t="shared" si="16"/>
        <v>1</v>
      </c>
      <c r="V19">
        <f t="shared" si="17"/>
        <v>71.48</v>
      </c>
      <c r="W19">
        <f t="shared" si="18"/>
        <v>76.489999999999995</v>
      </c>
      <c r="X19">
        <f t="shared" si="19"/>
        <v>52.14</v>
      </c>
      <c r="Y19">
        <f t="shared" si="20"/>
        <v>38.1</v>
      </c>
      <c r="Z19">
        <f t="shared" si="21"/>
        <v>32.120000000000005</v>
      </c>
      <c r="AA19">
        <f t="shared" si="22"/>
        <v>30.03</v>
      </c>
      <c r="AC19">
        <f t="shared" si="23"/>
        <v>85.25</v>
      </c>
      <c r="AD19">
        <f t="shared" si="24"/>
        <v>76.489999999999995</v>
      </c>
      <c r="AE19">
        <f t="shared" si="25"/>
        <v>64.17</v>
      </c>
      <c r="AF19">
        <f t="shared" si="26"/>
        <v>49.84</v>
      </c>
      <c r="AG19">
        <f t="shared" si="27"/>
        <v>48.34</v>
      </c>
      <c r="AH19">
        <f t="shared" si="28"/>
        <v>41.36</v>
      </c>
      <c r="AJ19">
        <f t="shared" si="29"/>
        <v>99.009999999999991</v>
      </c>
      <c r="AK19">
        <f t="shared" si="30"/>
        <v>90.94</v>
      </c>
      <c r="AL19">
        <f t="shared" si="31"/>
        <v>78.7</v>
      </c>
      <c r="AM19">
        <f t="shared" si="32"/>
        <v>67.430000000000007</v>
      </c>
      <c r="AN19">
        <f t="shared" si="33"/>
        <v>62.56</v>
      </c>
      <c r="AO19">
        <f t="shared" si="34"/>
        <v>55.19</v>
      </c>
    </row>
    <row r="20" spans="1:41" x14ac:dyDescent="0.45">
      <c r="A20">
        <v>19.77914711</v>
      </c>
      <c r="B20">
        <v>112.2050873</v>
      </c>
      <c r="C20">
        <v>1.60182095</v>
      </c>
      <c r="D20">
        <v>5.3649110799999997</v>
      </c>
      <c r="E20">
        <f t="shared" si="0"/>
        <v>1.60182095</v>
      </c>
      <c r="F20">
        <f t="shared" si="1"/>
        <v>0</v>
      </c>
      <c r="G20">
        <f t="shared" si="2"/>
        <v>0</v>
      </c>
      <c r="H20">
        <f t="shared" si="3"/>
        <v>0</v>
      </c>
      <c r="I20">
        <f t="shared" si="4"/>
        <v>0</v>
      </c>
      <c r="J20">
        <f t="shared" si="5"/>
        <v>0</v>
      </c>
      <c r="K20" s="1">
        <f t="shared" si="6"/>
        <v>0</v>
      </c>
      <c r="L20" s="1">
        <f t="shared" si="7"/>
        <v>0</v>
      </c>
      <c r="M20" s="1">
        <f t="shared" si="8"/>
        <v>0</v>
      </c>
      <c r="N20" s="1">
        <f t="shared" si="9"/>
        <v>0</v>
      </c>
      <c r="O20" s="1">
        <f t="shared" si="10"/>
        <v>0</v>
      </c>
      <c r="P20" s="1">
        <f t="shared" si="11"/>
        <v>7.4643406298543917</v>
      </c>
      <c r="Q20" s="1" t="e">
        <f t="shared" si="12"/>
        <v>#DIV/0!</v>
      </c>
      <c r="R20" s="1" t="e">
        <f t="shared" si="13"/>
        <v>#DIV/0!</v>
      </c>
      <c r="S20" s="1" t="e">
        <f t="shared" si="14"/>
        <v>#DIV/0!</v>
      </c>
      <c r="T20" s="1" t="e">
        <f t="shared" si="15"/>
        <v>#DIV/0!</v>
      </c>
      <c r="U20" s="1" t="e">
        <f t="shared" si="16"/>
        <v>#DIV/0!</v>
      </c>
      <c r="V20">
        <f t="shared" si="17"/>
        <v>281.57107047026773</v>
      </c>
      <c r="W20">
        <f t="shared" si="18"/>
        <v>0</v>
      </c>
      <c r="X20">
        <f t="shared" si="19"/>
        <v>0</v>
      </c>
      <c r="Y20">
        <f t="shared" si="20"/>
        <v>0</v>
      </c>
      <c r="Z20">
        <f t="shared" si="21"/>
        <v>0</v>
      </c>
      <c r="AA20">
        <f t="shared" si="22"/>
        <v>0</v>
      </c>
      <c r="AC20">
        <f t="shared" si="23"/>
        <v>343.82362519417569</v>
      </c>
      <c r="AD20">
        <f t="shared" si="24"/>
        <v>0</v>
      </c>
      <c r="AE20">
        <f t="shared" si="25"/>
        <v>0</v>
      </c>
      <c r="AF20">
        <f t="shared" si="26"/>
        <v>0</v>
      </c>
      <c r="AG20">
        <f t="shared" si="27"/>
        <v>0</v>
      </c>
      <c r="AH20">
        <f t="shared" si="28"/>
        <v>0</v>
      </c>
      <c r="AJ20">
        <f t="shared" si="29"/>
        <v>406.06617991808361</v>
      </c>
      <c r="AK20">
        <f t="shared" si="30"/>
        <v>0</v>
      </c>
      <c r="AL20">
        <f t="shared" si="31"/>
        <v>0</v>
      </c>
      <c r="AM20">
        <f t="shared" si="32"/>
        <v>0</v>
      </c>
      <c r="AN20">
        <f t="shared" si="33"/>
        <v>0</v>
      </c>
      <c r="AO20">
        <f t="shared" si="34"/>
        <v>0</v>
      </c>
    </row>
    <row r="21" spans="1:41" x14ac:dyDescent="0.45">
      <c r="A21">
        <v>20.246964160000001</v>
      </c>
      <c r="B21">
        <v>115.8670042</v>
      </c>
      <c r="C21">
        <v>1.42060995</v>
      </c>
      <c r="D21">
        <v>1.95888996</v>
      </c>
      <c r="E21">
        <f t="shared" si="0"/>
        <v>1.42060995</v>
      </c>
      <c r="F21">
        <f t="shared" si="1"/>
        <v>0</v>
      </c>
      <c r="G21">
        <f t="shared" si="2"/>
        <v>0</v>
      </c>
      <c r="H21">
        <f t="shared" si="3"/>
        <v>0</v>
      </c>
      <c r="I21">
        <f t="shared" si="4"/>
        <v>0</v>
      </c>
      <c r="J21">
        <f t="shared" si="5"/>
        <v>0</v>
      </c>
      <c r="K21" s="1">
        <f t="shared" si="6"/>
        <v>0</v>
      </c>
      <c r="L21" s="1">
        <f t="shared" si="7"/>
        <v>0</v>
      </c>
      <c r="M21" s="1">
        <f t="shared" si="8"/>
        <v>0</v>
      </c>
      <c r="N21" s="1">
        <f t="shared" si="9"/>
        <v>0</v>
      </c>
      <c r="O21" s="1">
        <f t="shared" si="10"/>
        <v>0</v>
      </c>
      <c r="P21" s="1">
        <f t="shared" si="11"/>
        <v>18.130292908336717</v>
      </c>
      <c r="Q21" s="1" t="e">
        <f t="shared" si="12"/>
        <v>#DIV/0!</v>
      </c>
      <c r="R21" s="1" t="e">
        <f t="shared" si="13"/>
        <v>#DIV/0!</v>
      </c>
      <c r="S21" s="1" t="e">
        <f t="shared" si="14"/>
        <v>#DIV/0!</v>
      </c>
      <c r="T21" s="1" t="e">
        <f t="shared" si="15"/>
        <v>#DIV/0!</v>
      </c>
      <c r="U21" s="1" t="e">
        <f t="shared" si="16"/>
        <v>#DIV/0!</v>
      </c>
      <c r="V21">
        <f t="shared" si="17"/>
        <v>628.21451952094333</v>
      </c>
      <c r="W21">
        <f t="shared" si="18"/>
        <v>0</v>
      </c>
      <c r="X21">
        <f t="shared" si="19"/>
        <v>0</v>
      </c>
      <c r="Y21">
        <f t="shared" si="20"/>
        <v>0</v>
      </c>
      <c r="Z21">
        <f t="shared" si="21"/>
        <v>0</v>
      </c>
      <c r="AA21">
        <f t="shared" si="22"/>
        <v>0</v>
      </c>
      <c r="AC21">
        <f t="shared" si="23"/>
        <v>770.46171633346864</v>
      </c>
      <c r="AD21">
        <f t="shared" si="24"/>
        <v>0</v>
      </c>
      <c r="AE21">
        <f t="shared" si="25"/>
        <v>0</v>
      </c>
      <c r="AF21">
        <f t="shared" si="26"/>
        <v>0</v>
      </c>
      <c r="AG21">
        <f t="shared" si="27"/>
        <v>0</v>
      </c>
      <c r="AH21">
        <f t="shared" si="28"/>
        <v>0</v>
      </c>
      <c r="AJ21">
        <f t="shared" si="29"/>
        <v>912.69891314599408</v>
      </c>
      <c r="AK21">
        <f t="shared" si="30"/>
        <v>0</v>
      </c>
      <c r="AL21">
        <f t="shared" si="31"/>
        <v>0</v>
      </c>
      <c r="AM21">
        <f t="shared" si="32"/>
        <v>0</v>
      </c>
      <c r="AN21">
        <f t="shared" si="33"/>
        <v>0</v>
      </c>
      <c r="AO21">
        <f t="shared" si="34"/>
        <v>0</v>
      </c>
    </row>
    <row r="22" spans="1:41" x14ac:dyDescent="0.45">
      <c r="A22">
        <v>20.374969060000002</v>
      </c>
      <c r="B22">
        <v>115.4553676</v>
      </c>
      <c r="C22">
        <v>1.04884398</v>
      </c>
      <c r="D22">
        <v>10.15929508</v>
      </c>
      <c r="E22">
        <f t="shared" si="0"/>
        <v>1.04884398</v>
      </c>
      <c r="F22">
        <f t="shared" si="1"/>
        <v>4.9150751799999997</v>
      </c>
      <c r="G22">
        <f t="shared" si="2"/>
        <v>0</v>
      </c>
      <c r="H22">
        <f t="shared" si="3"/>
        <v>0</v>
      </c>
      <c r="I22">
        <f t="shared" si="4"/>
        <v>0</v>
      </c>
      <c r="J22">
        <f t="shared" si="5"/>
        <v>0</v>
      </c>
      <c r="K22" s="1">
        <f t="shared" si="6"/>
        <v>1.04884398</v>
      </c>
      <c r="L22" s="1">
        <f t="shared" si="7"/>
        <v>0</v>
      </c>
      <c r="M22" s="1">
        <f t="shared" si="8"/>
        <v>0</v>
      </c>
      <c r="N22" s="1">
        <f t="shared" si="9"/>
        <v>0</v>
      </c>
      <c r="O22" s="1">
        <f t="shared" si="10"/>
        <v>0</v>
      </c>
      <c r="P22" s="1">
        <f t="shared" si="11"/>
        <v>2.5809959542980421</v>
      </c>
      <c r="Q22" s="1">
        <f t="shared" si="12"/>
        <v>5.3348318265194887</v>
      </c>
      <c r="R22" s="1" t="e">
        <f t="shared" si="13"/>
        <v>#DIV/0!</v>
      </c>
      <c r="S22" s="1" t="e">
        <f t="shared" si="14"/>
        <v>#DIV/0!</v>
      </c>
      <c r="T22" s="1" t="e">
        <f t="shared" si="15"/>
        <v>#DIV/0!</v>
      </c>
      <c r="U22" s="1" t="e">
        <f t="shared" si="16"/>
        <v>#DIV/0!</v>
      </c>
      <c r="V22">
        <f t="shared" si="17"/>
        <v>122.86236851468637</v>
      </c>
      <c r="W22">
        <f t="shared" si="18"/>
        <v>239.0461934944808</v>
      </c>
      <c r="X22">
        <f t="shared" si="19"/>
        <v>0</v>
      </c>
      <c r="Y22">
        <f t="shared" si="20"/>
        <v>0</v>
      </c>
      <c r="Z22">
        <f t="shared" si="21"/>
        <v>0</v>
      </c>
      <c r="AA22">
        <f t="shared" si="22"/>
        <v>0</v>
      </c>
      <c r="AC22">
        <f t="shared" si="23"/>
        <v>148.48983817192169</v>
      </c>
      <c r="AD22">
        <f t="shared" si="24"/>
        <v>239.0461934944808</v>
      </c>
      <c r="AE22">
        <f t="shared" si="25"/>
        <v>0</v>
      </c>
      <c r="AF22">
        <f t="shared" si="26"/>
        <v>0</v>
      </c>
      <c r="AG22">
        <f t="shared" si="27"/>
        <v>0</v>
      </c>
      <c r="AH22">
        <f t="shared" si="28"/>
        <v>0</v>
      </c>
      <c r="AJ22">
        <f t="shared" si="29"/>
        <v>174.10730782915701</v>
      </c>
      <c r="AK22">
        <f t="shared" si="30"/>
        <v>286.00743219337699</v>
      </c>
      <c r="AL22">
        <f t="shared" si="31"/>
        <v>0</v>
      </c>
      <c r="AM22">
        <f t="shared" si="32"/>
        <v>0</v>
      </c>
      <c r="AN22">
        <f t="shared" si="33"/>
        <v>0</v>
      </c>
      <c r="AO22">
        <f t="shared" si="34"/>
        <v>0</v>
      </c>
    </row>
    <row r="23" spans="1:41" x14ac:dyDescent="0.45">
      <c r="A23">
        <v>20.376971149999999</v>
      </c>
      <c r="B23">
        <v>113.8496136</v>
      </c>
      <c r="C23">
        <v>1.05698705</v>
      </c>
      <c r="D23">
        <v>1.29286802</v>
      </c>
      <c r="E23">
        <f t="shared" si="0"/>
        <v>1.05698705</v>
      </c>
      <c r="F23">
        <f t="shared" si="1"/>
        <v>0</v>
      </c>
      <c r="G23">
        <f t="shared" si="2"/>
        <v>0</v>
      </c>
      <c r="H23">
        <f t="shared" si="3"/>
        <v>0</v>
      </c>
      <c r="I23">
        <f t="shared" si="4"/>
        <v>0</v>
      </c>
      <c r="J23">
        <f t="shared" si="5"/>
        <v>0</v>
      </c>
      <c r="K23" s="1">
        <f t="shared" si="6"/>
        <v>0</v>
      </c>
      <c r="L23" s="1">
        <f t="shared" si="7"/>
        <v>0</v>
      </c>
      <c r="M23" s="1">
        <f t="shared" si="8"/>
        <v>0</v>
      </c>
      <c r="N23" s="1">
        <f t="shared" si="9"/>
        <v>0</v>
      </c>
      <c r="O23" s="1">
        <f t="shared" si="10"/>
        <v>0</v>
      </c>
      <c r="P23" s="1">
        <f t="shared" si="11"/>
        <v>20.438804148005765</v>
      </c>
      <c r="Q23" s="1" t="e">
        <f t="shared" si="12"/>
        <v>#DIV/0!</v>
      </c>
      <c r="R23" s="1" t="e">
        <f t="shared" si="13"/>
        <v>#DIV/0!</v>
      </c>
      <c r="S23" s="1" t="e">
        <f t="shared" si="14"/>
        <v>#DIV/0!</v>
      </c>
      <c r="T23" s="1" t="e">
        <f t="shared" si="15"/>
        <v>#DIV/0!</v>
      </c>
      <c r="U23" s="1" t="e">
        <f t="shared" si="16"/>
        <v>#DIV/0!</v>
      </c>
      <c r="V23">
        <f t="shared" si="17"/>
        <v>703.24113481018742</v>
      </c>
      <c r="W23">
        <f t="shared" si="18"/>
        <v>0</v>
      </c>
      <c r="X23">
        <f t="shared" si="19"/>
        <v>0</v>
      </c>
      <c r="Y23">
        <f t="shared" si="20"/>
        <v>0</v>
      </c>
      <c r="Z23">
        <f t="shared" si="21"/>
        <v>0</v>
      </c>
      <c r="AA23">
        <f t="shared" si="22"/>
        <v>0</v>
      </c>
      <c r="AC23">
        <f t="shared" si="23"/>
        <v>862.80216592023066</v>
      </c>
      <c r="AD23">
        <f t="shared" si="24"/>
        <v>0</v>
      </c>
      <c r="AE23">
        <f t="shared" si="25"/>
        <v>0</v>
      </c>
      <c r="AF23">
        <f t="shared" si="26"/>
        <v>0</v>
      </c>
      <c r="AG23">
        <f t="shared" si="27"/>
        <v>0</v>
      </c>
      <c r="AH23">
        <f t="shared" si="28"/>
        <v>0</v>
      </c>
      <c r="AJ23">
        <f t="shared" si="29"/>
        <v>1022.3531970302738</v>
      </c>
      <c r="AK23">
        <f t="shared" si="30"/>
        <v>0</v>
      </c>
      <c r="AL23">
        <f t="shared" si="31"/>
        <v>0</v>
      </c>
      <c r="AM23">
        <f t="shared" si="32"/>
        <v>0</v>
      </c>
      <c r="AN23">
        <f t="shared" si="33"/>
        <v>0</v>
      </c>
      <c r="AO23">
        <f t="shared" si="34"/>
        <v>0</v>
      </c>
    </row>
    <row r="24" spans="1:41" x14ac:dyDescent="0.45">
      <c r="A24">
        <v>20.387844439999999</v>
      </c>
      <c r="B24">
        <v>115.3148869</v>
      </c>
      <c r="C24">
        <v>1.66006696</v>
      </c>
      <c r="D24">
        <v>13.815073010000001</v>
      </c>
      <c r="E24">
        <f t="shared" si="0"/>
        <v>1.66006696</v>
      </c>
      <c r="F24">
        <f t="shared" si="1"/>
        <v>5.5147382100000009</v>
      </c>
      <c r="G24">
        <f t="shared" si="2"/>
        <v>0</v>
      </c>
      <c r="H24">
        <f t="shared" si="3"/>
        <v>0</v>
      </c>
      <c r="I24">
        <f t="shared" si="4"/>
        <v>0</v>
      </c>
      <c r="J24">
        <f t="shared" si="5"/>
        <v>0</v>
      </c>
      <c r="K24" s="1">
        <f t="shared" si="6"/>
        <v>1.66006696</v>
      </c>
      <c r="L24" s="1">
        <f t="shared" si="7"/>
        <v>0</v>
      </c>
      <c r="M24" s="1">
        <f t="shared" si="8"/>
        <v>0</v>
      </c>
      <c r="N24" s="1">
        <f t="shared" si="9"/>
        <v>0</v>
      </c>
      <c r="O24" s="1">
        <f t="shared" si="10"/>
        <v>0</v>
      </c>
      <c r="P24" s="1">
        <f t="shared" si="11"/>
        <v>3.0040864764130553</v>
      </c>
      <c r="Q24" s="1">
        <f t="shared" si="12"/>
        <v>7.5255927697064688</v>
      </c>
      <c r="R24" s="1" t="e">
        <f t="shared" si="13"/>
        <v>#DIV/0!</v>
      </c>
      <c r="S24" s="1" t="e">
        <f t="shared" si="14"/>
        <v>#DIV/0!</v>
      </c>
      <c r="T24" s="1" t="e">
        <f t="shared" si="15"/>
        <v>#DIV/0!</v>
      </c>
      <c r="U24" s="1" t="e">
        <f t="shared" si="16"/>
        <v>#DIV/0!</v>
      </c>
      <c r="V24">
        <f t="shared" si="17"/>
        <v>136.61281048342431</v>
      </c>
      <c r="W24">
        <f t="shared" si="18"/>
        <v>321.19972886399262</v>
      </c>
      <c r="X24">
        <f t="shared" si="19"/>
        <v>0</v>
      </c>
      <c r="Y24">
        <f t="shared" si="20"/>
        <v>0</v>
      </c>
      <c r="Z24">
        <f t="shared" si="21"/>
        <v>0</v>
      </c>
      <c r="AA24">
        <f t="shared" si="22"/>
        <v>0</v>
      </c>
      <c r="AC24">
        <f t="shared" si="23"/>
        <v>165.41345905652221</v>
      </c>
      <c r="AD24">
        <f t="shared" si="24"/>
        <v>321.19972886399262</v>
      </c>
      <c r="AE24">
        <f t="shared" si="25"/>
        <v>0</v>
      </c>
      <c r="AF24">
        <f t="shared" si="26"/>
        <v>0</v>
      </c>
      <c r="AG24">
        <f t="shared" si="27"/>
        <v>0</v>
      </c>
      <c r="AH24">
        <f t="shared" si="28"/>
        <v>0</v>
      </c>
      <c r="AJ24">
        <f t="shared" si="29"/>
        <v>194.20410762962013</v>
      </c>
      <c r="AK24">
        <f t="shared" si="30"/>
        <v>384.59167463679108</v>
      </c>
      <c r="AL24">
        <f t="shared" si="31"/>
        <v>0</v>
      </c>
      <c r="AM24">
        <f t="shared" si="32"/>
        <v>0</v>
      </c>
      <c r="AN24">
        <f t="shared" si="33"/>
        <v>0</v>
      </c>
      <c r="AO24">
        <f t="shared" si="34"/>
        <v>0</v>
      </c>
    </row>
    <row r="25" spans="1:41" x14ac:dyDescent="0.45">
      <c r="A25">
        <v>20.424775239999999</v>
      </c>
      <c r="B25">
        <v>113.80650850000001</v>
      </c>
      <c r="C25">
        <v>1.47978199</v>
      </c>
      <c r="D25">
        <v>3.0240368800000001</v>
      </c>
      <c r="E25">
        <f t="shared" si="0"/>
        <v>1.47978199</v>
      </c>
      <c r="F25">
        <f t="shared" si="1"/>
        <v>0</v>
      </c>
      <c r="G25">
        <f t="shared" si="2"/>
        <v>0</v>
      </c>
      <c r="H25">
        <f t="shared" si="3"/>
        <v>0</v>
      </c>
      <c r="I25">
        <f t="shared" si="4"/>
        <v>0</v>
      </c>
      <c r="J25">
        <f t="shared" si="5"/>
        <v>0</v>
      </c>
      <c r="K25" s="1">
        <f t="shared" si="6"/>
        <v>0</v>
      </c>
      <c r="L25" s="1">
        <f t="shared" si="7"/>
        <v>0</v>
      </c>
      <c r="M25" s="1">
        <f t="shared" si="8"/>
        <v>0</v>
      </c>
      <c r="N25" s="1">
        <f t="shared" si="9"/>
        <v>0</v>
      </c>
      <c r="O25" s="1">
        <f t="shared" si="10"/>
        <v>0</v>
      </c>
      <c r="P25" s="1">
        <f t="shared" si="11"/>
        <v>12.233498207204402</v>
      </c>
      <c r="Q25" s="1" t="e">
        <f t="shared" si="12"/>
        <v>#DIV/0!</v>
      </c>
      <c r="R25" s="1" t="e">
        <f t="shared" si="13"/>
        <v>#DIV/0!</v>
      </c>
      <c r="S25" s="1" t="e">
        <f t="shared" si="14"/>
        <v>#DIV/0!</v>
      </c>
      <c r="T25" s="1" t="e">
        <f t="shared" si="15"/>
        <v>#DIV/0!</v>
      </c>
      <c r="U25" s="1" t="e">
        <f t="shared" si="16"/>
        <v>#DIV/0!</v>
      </c>
      <c r="V25">
        <f t="shared" si="17"/>
        <v>436.5686917341431</v>
      </c>
      <c r="W25">
        <f t="shared" si="18"/>
        <v>0</v>
      </c>
      <c r="X25">
        <f t="shared" si="19"/>
        <v>0</v>
      </c>
      <c r="Y25">
        <f t="shared" si="20"/>
        <v>0</v>
      </c>
      <c r="Z25">
        <f t="shared" si="21"/>
        <v>0</v>
      </c>
      <c r="AA25">
        <f t="shared" si="22"/>
        <v>0</v>
      </c>
      <c r="AC25">
        <f t="shared" si="23"/>
        <v>534.58992828817611</v>
      </c>
      <c r="AD25">
        <f t="shared" si="24"/>
        <v>0</v>
      </c>
      <c r="AE25">
        <f t="shared" si="25"/>
        <v>0</v>
      </c>
      <c r="AF25">
        <f t="shared" si="26"/>
        <v>0</v>
      </c>
      <c r="AG25">
        <f t="shared" si="27"/>
        <v>0</v>
      </c>
      <c r="AH25">
        <f t="shared" si="28"/>
        <v>0</v>
      </c>
      <c r="AJ25">
        <f t="shared" si="29"/>
        <v>632.60116484220907</v>
      </c>
      <c r="AK25">
        <f t="shared" si="30"/>
        <v>0</v>
      </c>
      <c r="AL25">
        <f t="shared" si="31"/>
        <v>0</v>
      </c>
      <c r="AM25">
        <f t="shared" si="32"/>
        <v>0</v>
      </c>
      <c r="AN25">
        <f t="shared" si="33"/>
        <v>0</v>
      </c>
      <c r="AO25">
        <f t="shared" si="34"/>
        <v>0</v>
      </c>
    </row>
    <row r="26" spans="1:41" x14ac:dyDescent="0.45">
      <c r="A26">
        <v>20.428336850000001</v>
      </c>
      <c r="B26">
        <v>113.7595895</v>
      </c>
      <c r="C26">
        <v>1.05698705</v>
      </c>
      <c r="D26">
        <v>1.4863079800000001</v>
      </c>
      <c r="E26">
        <f t="shared" si="0"/>
        <v>1.05698705</v>
      </c>
      <c r="F26">
        <f t="shared" si="1"/>
        <v>0</v>
      </c>
      <c r="G26">
        <f t="shared" si="2"/>
        <v>0</v>
      </c>
      <c r="H26">
        <f t="shared" si="3"/>
        <v>0</v>
      </c>
      <c r="I26">
        <f t="shared" si="4"/>
        <v>0</v>
      </c>
      <c r="J26">
        <f t="shared" si="5"/>
        <v>0</v>
      </c>
      <c r="K26" s="1">
        <f t="shared" si="6"/>
        <v>0</v>
      </c>
      <c r="L26" s="1">
        <f t="shared" si="7"/>
        <v>0</v>
      </c>
      <c r="M26" s="1">
        <f t="shared" si="8"/>
        <v>0</v>
      </c>
      <c r="N26" s="1">
        <f t="shared" si="9"/>
        <v>0</v>
      </c>
      <c r="O26" s="1">
        <f t="shared" si="10"/>
        <v>0</v>
      </c>
      <c r="P26" s="1">
        <f t="shared" si="11"/>
        <v>17.778735366811393</v>
      </c>
      <c r="Q26" s="1" t="e">
        <f t="shared" si="12"/>
        <v>#DIV/0!</v>
      </c>
      <c r="R26" s="1" t="e">
        <f t="shared" si="13"/>
        <v>#DIV/0!</v>
      </c>
      <c r="S26" s="1" t="e">
        <f t="shared" si="14"/>
        <v>#DIV/0!</v>
      </c>
      <c r="T26" s="1" t="e">
        <f t="shared" si="15"/>
        <v>#DIV/0!</v>
      </c>
      <c r="U26" s="1" t="e">
        <f t="shared" si="16"/>
        <v>#DIV/0!</v>
      </c>
      <c r="V26">
        <f t="shared" si="17"/>
        <v>616.78889942137027</v>
      </c>
      <c r="W26">
        <f t="shared" si="18"/>
        <v>0</v>
      </c>
      <c r="X26">
        <f t="shared" si="19"/>
        <v>0</v>
      </c>
      <c r="Y26">
        <f t="shared" si="20"/>
        <v>0</v>
      </c>
      <c r="Z26">
        <f t="shared" si="21"/>
        <v>0</v>
      </c>
      <c r="AA26">
        <f t="shared" si="22"/>
        <v>0</v>
      </c>
      <c r="AC26">
        <f t="shared" si="23"/>
        <v>756.39941467245569</v>
      </c>
      <c r="AD26">
        <f t="shared" si="24"/>
        <v>0</v>
      </c>
      <c r="AE26">
        <f t="shared" si="25"/>
        <v>0</v>
      </c>
      <c r="AF26">
        <f t="shared" si="26"/>
        <v>0</v>
      </c>
      <c r="AG26">
        <f t="shared" si="27"/>
        <v>0</v>
      </c>
      <c r="AH26">
        <f t="shared" si="28"/>
        <v>0</v>
      </c>
      <c r="AJ26">
        <f t="shared" si="29"/>
        <v>895.99992992354112</v>
      </c>
      <c r="AK26">
        <f t="shared" si="30"/>
        <v>0</v>
      </c>
      <c r="AL26">
        <f t="shared" si="31"/>
        <v>0</v>
      </c>
      <c r="AM26">
        <f t="shared" si="32"/>
        <v>0</v>
      </c>
      <c r="AN26">
        <f t="shared" si="33"/>
        <v>0</v>
      </c>
      <c r="AO26">
        <f t="shared" si="34"/>
        <v>0</v>
      </c>
    </row>
    <row r="27" spans="1:41" x14ac:dyDescent="0.45">
      <c r="A27">
        <v>20.441373760000001</v>
      </c>
      <c r="B27">
        <v>115.69881650000001</v>
      </c>
      <c r="C27">
        <v>1.05698705</v>
      </c>
      <c r="D27">
        <v>2.4486129299999999</v>
      </c>
      <c r="E27">
        <f t="shared" si="0"/>
        <v>1.05698705</v>
      </c>
      <c r="F27">
        <f t="shared" si="1"/>
        <v>0</v>
      </c>
      <c r="G27">
        <f t="shared" si="2"/>
        <v>0</v>
      </c>
      <c r="H27">
        <f t="shared" si="3"/>
        <v>0</v>
      </c>
      <c r="I27">
        <f t="shared" si="4"/>
        <v>0</v>
      </c>
      <c r="J27">
        <f t="shared" si="5"/>
        <v>0</v>
      </c>
      <c r="K27" s="1">
        <f t="shared" si="6"/>
        <v>0</v>
      </c>
      <c r="L27" s="1">
        <f t="shared" si="7"/>
        <v>0</v>
      </c>
      <c r="M27" s="1">
        <f t="shared" si="8"/>
        <v>0</v>
      </c>
      <c r="N27" s="1">
        <f t="shared" si="9"/>
        <v>0</v>
      </c>
      <c r="O27" s="1">
        <f t="shared" si="10"/>
        <v>0</v>
      </c>
      <c r="P27" s="1">
        <f t="shared" si="11"/>
        <v>10.791691870221401</v>
      </c>
      <c r="Q27" s="1" t="e">
        <f t="shared" si="12"/>
        <v>#DIV/0!</v>
      </c>
      <c r="R27" s="1" t="e">
        <f t="shared" si="13"/>
        <v>#DIV/0!</v>
      </c>
      <c r="S27" s="1" t="e">
        <f t="shared" si="14"/>
        <v>#DIV/0!</v>
      </c>
      <c r="T27" s="1" t="e">
        <f t="shared" si="15"/>
        <v>#DIV/0!</v>
      </c>
      <c r="U27" s="1" t="e">
        <f t="shared" si="16"/>
        <v>#DIV/0!</v>
      </c>
      <c r="V27">
        <f t="shared" si="17"/>
        <v>389.70998578219553</v>
      </c>
      <c r="W27">
        <f t="shared" si="18"/>
        <v>0</v>
      </c>
      <c r="X27">
        <f t="shared" si="19"/>
        <v>0</v>
      </c>
      <c r="Y27">
        <f t="shared" si="20"/>
        <v>0</v>
      </c>
      <c r="Z27">
        <f t="shared" si="21"/>
        <v>0</v>
      </c>
      <c r="AA27">
        <f t="shared" si="22"/>
        <v>0</v>
      </c>
      <c r="AC27">
        <f t="shared" si="23"/>
        <v>476.91767480885602</v>
      </c>
      <c r="AD27">
        <f t="shared" si="24"/>
        <v>0</v>
      </c>
      <c r="AE27">
        <f t="shared" si="25"/>
        <v>0</v>
      </c>
      <c r="AF27">
        <f t="shared" si="26"/>
        <v>0</v>
      </c>
      <c r="AG27">
        <f t="shared" si="27"/>
        <v>0</v>
      </c>
      <c r="AH27">
        <f t="shared" si="28"/>
        <v>0</v>
      </c>
      <c r="AJ27">
        <f t="shared" si="29"/>
        <v>564.11536383551652</v>
      </c>
      <c r="AK27">
        <f t="shared" si="30"/>
        <v>0</v>
      </c>
      <c r="AL27">
        <f t="shared" si="31"/>
        <v>0</v>
      </c>
      <c r="AM27">
        <f t="shared" si="32"/>
        <v>0</v>
      </c>
      <c r="AN27">
        <f t="shared" si="33"/>
        <v>0</v>
      </c>
      <c r="AO27">
        <f t="shared" si="34"/>
        <v>0</v>
      </c>
    </row>
    <row r="28" spans="1:41" x14ac:dyDescent="0.45">
      <c r="A28">
        <v>20.447174140000001</v>
      </c>
      <c r="B28">
        <v>114.09187129999999</v>
      </c>
      <c r="C28">
        <v>1.69117999</v>
      </c>
      <c r="D28">
        <v>1.22430599</v>
      </c>
      <c r="E28">
        <f t="shared" si="0"/>
        <v>1.22430599</v>
      </c>
      <c r="F28">
        <f t="shared" si="1"/>
        <v>0</v>
      </c>
      <c r="G28">
        <f t="shared" si="2"/>
        <v>0</v>
      </c>
      <c r="H28">
        <f t="shared" si="3"/>
        <v>0</v>
      </c>
      <c r="I28">
        <f t="shared" si="4"/>
        <v>0</v>
      </c>
      <c r="J28">
        <f t="shared" si="5"/>
        <v>0</v>
      </c>
      <c r="K28" s="1">
        <f t="shared" si="6"/>
        <v>0</v>
      </c>
      <c r="L28" s="1">
        <f t="shared" si="7"/>
        <v>0</v>
      </c>
      <c r="M28" s="1">
        <f t="shared" si="8"/>
        <v>0</v>
      </c>
      <c r="N28" s="1">
        <f t="shared" si="9"/>
        <v>0</v>
      </c>
      <c r="O28" s="1">
        <f t="shared" si="10"/>
        <v>0</v>
      </c>
      <c r="P28" s="1">
        <f t="shared" si="11"/>
        <v>25</v>
      </c>
      <c r="Q28" s="1" t="e">
        <f t="shared" si="12"/>
        <v>#DIV/0!</v>
      </c>
      <c r="R28" s="1" t="e">
        <f t="shared" si="13"/>
        <v>#DIV/0!</v>
      </c>
      <c r="S28" s="1" t="e">
        <f t="shared" si="14"/>
        <v>#DIV/0!</v>
      </c>
      <c r="T28" s="1" t="e">
        <f t="shared" si="15"/>
        <v>#DIV/0!</v>
      </c>
      <c r="U28" s="1" t="e">
        <f t="shared" si="16"/>
        <v>#DIV/0!</v>
      </c>
      <c r="V28">
        <f t="shared" si="17"/>
        <v>851.48</v>
      </c>
      <c r="W28">
        <f t="shared" si="18"/>
        <v>0</v>
      </c>
      <c r="X28">
        <f t="shared" si="19"/>
        <v>0</v>
      </c>
      <c r="Y28">
        <f t="shared" si="20"/>
        <v>0</v>
      </c>
      <c r="Z28">
        <f t="shared" si="21"/>
        <v>0</v>
      </c>
      <c r="AA28">
        <f t="shared" si="22"/>
        <v>0</v>
      </c>
      <c r="AC28">
        <f t="shared" si="23"/>
        <v>1045.25</v>
      </c>
      <c r="AD28">
        <f t="shared" si="24"/>
        <v>0</v>
      </c>
      <c r="AE28">
        <f t="shared" si="25"/>
        <v>0</v>
      </c>
      <c r="AF28">
        <f t="shared" si="26"/>
        <v>0</v>
      </c>
      <c r="AG28">
        <f t="shared" si="27"/>
        <v>0</v>
      </c>
      <c r="AH28">
        <f t="shared" si="28"/>
        <v>0</v>
      </c>
      <c r="AJ28">
        <f t="shared" si="29"/>
        <v>1239.01</v>
      </c>
      <c r="AK28">
        <f t="shared" si="30"/>
        <v>0</v>
      </c>
      <c r="AL28">
        <f t="shared" si="31"/>
        <v>0</v>
      </c>
      <c r="AM28">
        <f t="shared" si="32"/>
        <v>0</v>
      </c>
      <c r="AN28">
        <f t="shared" si="33"/>
        <v>0</v>
      </c>
      <c r="AO28">
        <f t="shared" si="34"/>
        <v>0</v>
      </c>
    </row>
    <row r="29" spans="1:41" x14ac:dyDescent="0.45">
      <c r="A29">
        <v>20.44925761</v>
      </c>
      <c r="B29">
        <v>113.47799980000001</v>
      </c>
      <c r="C29">
        <v>1.6207139500000001</v>
      </c>
      <c r="D29">
        <v>7.3458380700000001</v>
      </c>
      <c r="E29">
        <f t="shared" si="0"/>
        <v>1.6207139500000001</v>
      </c>
      <c r="F29">
        <f t="shared" si="1"/>
        <v>0</v>
      </c>
      <c r="G29">
        <f t="shared" si="2"/>
        <v>0</v>
      </c>
      <c r="H29">
        <f t="shared" si="3"/>
        <v>0</v>
      </c>
      <c r="I29">
        <f t="shared" si="4"/>
        <v>0</v>
      </c>
      <c r="J29">
        <f t="shared" si="5"/>
        <v>0</v>
      </c>
      <c r="K29" s="1">
        <f t="shared" si="6"/>
        <v>0</v>
      </c>
      <c r="L29" s="1">
        <f t="shared" si="7"/>
        <v>0</v>
      </c>
      <c r="M29" s="1">
        <f t="shared" si="8"/>
        <v>0</v>
      </c>
      <c r="N29" s="1">
        <f t="shared" si="9"/>
        <v>0</v>
      </c>
      <c r="O29" s="1">
        <f t="shared" si="10"/>
        <v>0</v>
      </c>
      <c r="P29" s="1">
        <f t="shared" si="11"/>
        <v>5.515755774071943</v>
      </c>
      <c r="Q29" s="1" t="e">
        <f t="shared" si="12"/>
        <v>#DIV/0!</v>
      </c>
      <c r="R29" s="1" t="e">
        <f t="shared" si="13"/>
        <v>#DIV/0!</v>
      </c>
      <c r="S29" s="1" t="e">
        <f t="shared" si="14"/>
        <v>#DIV/0!</v>
      </c>
      <c r="T29" s="1" t="e">
        <f t="shared" si="15"/>
        <v>#DIV/0!</v>
      </c>
      <c r="U29" s="1" t="e">
        <f t="shared" si="16"/>
        <v>#DIV/0!</v>
      </c>
      <c r="V29">
        <f t="shared" si="17"/>
        <v>218.24206265733812</v>
      </c>
      <c r="W29">
        <f t="shared" si="18"/>
        <v>0</v>
      </c>
      <c r="X29">
        <f t="shared" si="19"/>
        <v>0</v>
      </c>
      <c r="Y29">
        <f t="shared" si="20"/>
        <v>0</v>
      </c>
      <c r="Z29">
        <f t="shared" si="21"/>
        <v>0</v>
      </c>
      <c r="AA29">
        <f t="shared" si="22"/>
        <v>0</v>
      </c>
      <c r="AC29">
        <f t="shared" si="23"/>
        <v>265.8802309628777</v>
      </c>
      <c r="AD29">
        <f t="shared" si="24"/>
        <v>0</v>
      </c>
      <c r="AE29">
        <f t="shared" si="25"/>
        <v>0</v>
      </c>
      <c r="AF29">
        <f t="shared" si="26"/>
        <v>0</v>
      </c>
      <c r="AG29">
        <f t="shared" si="27"/>
        <v>0</v>
      </c>
      <c r="AH29">
        <f t="shared" si="28"/>
        <v>0</v>
      </c>
      <c r="AJ29">
        <f t="shared" si="29"/>
        <v>313.50839926841729</v>
      </c>
      <c r="AK29">
        <f t="shared" si="30"/>
        <v>0</v>
      </c>
      <c r="AL29">
        <f t="shared" si="31"/>
        <v>0</v>
      </c>
      <c r="AM29">
        <f t="shared" si="32"/>
        <v>0</v>
      </c>
      <c r="AN29">
        <f t="shared" si="33"/>
        <v>0</v>
      </c>
      <c r="AO29">
        <f t="shared" si="34"/>
        <v>0</v>
      </c>
    </row>
    <row r="30" spans="1:41" x14ac:dyDescent="0.45">
      <c r="A30">
        <v>20.45942926</v>
      </c>
      <c r="B30">
        <v>113.33715719999999</v>
      </c>
      <c r="C30">
        <v>1.47978199</v>
      </c>
      <c r="D30">
        <v>4.8213191000000002</v>
      </c>
      <c r="E30">
        <f t="shared" si="0"/>
        <v>1.47978199</v>
      </c>
      <c r="F30">
        <f t="shared" si="1"/>
        <v>0</v>
      </c>
      <c r="G30">
        <f t="shared" si="2"/>
        <v>0</v>
      </c>
      <c r="H30">
        <f t="shared" si="3"/>
        <v>0</v>
      </c>
      <c r="I30">
        <f t="shared" si="4"/>
        <v>0</v>
      </c>
      <c r="J30">
        <f t="shared" si="5"/>
        <v>0</v>
      </c>
      <c r="K30" s="1">
        <f t="shared" si="6"/>
        <v>0</v>
      </c>
      <c r="L30" s="1">
        <f t="shared" si="7"/>
        <v>0</v>
      </c>
      <c r="M30" s="1">
        <f t="shared" si="8"/>
        <v>0</v>
      </c>
      <c r="N30" s="1">
        <f t="shared" si="9"/>
        <v>0</v>
      </c>
      <c r="O30" s="1">
        <f t="shared" si="10"/>
        <v>0</v>
      </c>
      <c r="P30" s="1">
        <f t="shared" si="11"/>
        <v>7.6731178714140693</v>
      </c>
      <c r="Q30" s="1" t="e">
        <f t="shared" si="12"/>
        <v>#DIV/0!</v>
      </c>
      <c r="R30" s="1" t="e">
        <f t="shared" si="13"/>
        <v>#DIV/0!</v>
      </c>
      <c r="S30" s="1" t="e">
        <f t="shared" si="14"/>
        <v>#DIV/0!</v>
      </c>
      <c r="T30" s="1" t="e">
        <f t="shared" si="15"/>
        <v>#DIV/0!</v>
      </c>
      <c r="U30" s="1" t="e">
        <f t="shared" si="16"/>
        <v>#DIV/0!</v>
      </c>
      <c r="V30">
        <f t="shared" si="17"/>
        <v>288.35633082095728</v>
      </c>
      <c r="W30">
        <f t="shared" si="18"/>
        <v>0</v>
      </c>
      <c r="X30">
        <f t="shared" si="19"/>
        <v>0</v>
      </c>
      <c r="Y30">
        <f t="shared" si="20"/>
        <v>0</v>
      </c>
      <c r="Z30">
        <f t="shared" si="21"/>
        <v>0</v>
      </c>
      <c r="AA30">
        <f t="shared" si="22"/>
        <v>0</v>
      </c>
      <c r="AC30">
        <f t="shared" si="23"/>
        <v>352.17471485656279</v>
      </c>
      <c r="AD30">
        <f t="shared" si="24"/>
        <v>0</v>
      </c>
      <c r="AE30">
        <f t="shared" si="25"/>
        <v>0</v>
      </c>
      <c r="AF30">
        <f t="shared" si="26"/>
        <v>0</v>
      </c>
      <c r="AG30">
        <f t="shared" si="27"/>
        <v>0</v>
      </c>
      <c r="AH30">
        <f t="shared" si="28"/>
        <v>0</v>
      </c>
      <c r="AJ30">
        <f t="shared" si="29"/>
        <v>415.9830988921683</v>
      </c>
      <c r="AK30">
        <f t="shared" si="30"/>
        <v>0</v>
      </c>
      <c r="AL30">
        <f t="shared" si="31"/>
        <v>0</v>
      </c>
      <c r="AM30">
        <f t="shared" si="32"/>
        <v>0</v>
      </c>
      <c r="AN30">
        <f t="shared" si="33"/>
        <v>0</v>
      </c>
      <c r="AO30">
        <f t="shared" si="34"/>
        <v>0</v>
      </c>
    </row>
    <row r="31" spans="1:41" x14ac:dyDescent="0.45">
      <c r="A31">
        <v>20.466103360000002</v>
      </c>
      <c r="B31">
        <v>113.24324470000001</v>
      </c>
      <c r="C31">
        <v>1.47978199</v>
      </c>
      <c r="D31">
        <v>11.35666561</v>
      </c>
      <c r="E31">
        <f t="shared" si="0"/>
        <v>1.47978199</v>
      </c>
      <c r="F31">
        <f t="shared" si="1"/>
        <v>3.9577556600000001</v>
      </c>
      <c r="G31">
        <f t="shared" si="2"/>
        <v>0</v>
      </c>
      <c r="H31">
        <f t="shared" si="3"/>
        <v>0</v>
      </c>
      <c r="I31">
        <f t="shared" si="4"/>
        <v>0</v>
      </c>
      <c r="J31">
        <f t="shared" si="5"/>
        <v>0</v>
      </c>
      <c r="K31" s="1">
        <f t="shared" si="6"/>
        <v>1.47978199</v>
      </c>
      <c r="L31" s="1">
        <f t="shared" si="7"/>
        <v>0</v>
      </c>
      <c r="M31" s="1">
        <f t="shared" si="8"/>
        <v>0</v>
      </c>
      <c r="N31" s="1">
        <f t="shared" si="9"/>
        <v>0</v>
      </c>
      <c r="O31" s="1">
        <f t="shared" si="10"/>
        <v>0</v>
      </c>
      <c r="P31" s="1">
        <f t="shared" si="11"/>
        <v>3.2575186256628714</v>
      </c>
      <c r="Q31" s="1">
        <f t="shared" si="12"/>
        <v>9.3473556550987276</v>
      </c>
      <c r="R31" s="1" t="e">
        <f t="shared" si="13"/>
        <v>#DIV/0!</v>
      </c>
      <c r="S31" s="1" t="e">
        <f t="shared" si="14"/>
        <v>#DIV/0!</v>
      </c>
      <c r="T31" s="1" t="e">
        <f t="shared" si="15"/>
        <v>#DIV/0!</v>
      </c>
      <c r="U31" s="1" t="e">
        <f t="shared" si="16"/>
        <v>#DIV/0!</v>
      </c>
      <c r="V31">
        <f t="shared" si="17"/>
        <v>144.84935533404331</v>
      </c>
      <c r="W31">
        <f t="shared" si="18"/>
        <v>389.51583706620227</v>
      </c>
      <c r="X31">
        <f t="shared" si="19"/>
        <v>0</v>
      </c>
      <c r="Y31">
        <f t="shared" si="20"/>
        <v>0</v>
      </c>
      <c r="Z31">
        <f t="shared" si="21"/>
        <v>0</v>
      </c>
      <c r="AA31">
        <f t="shared" si="22"/>
        <v>0</v>
      </c>
      <c r="AC31">
        <f t="shared" si="23"/>
        <v>175.55074502651485</v>
      </c>
      <c r="AD31">
        <f t="shared" si="24"/>
        <v>389.51583706620227</v>
      </c>
      <c r="AE31">
        <f t="shared" si="25"/>
        <v>0</v>
      </c>
      <c r="AF31">
        <f t="shared" si="26"/>
        <v>0</v>
      </c>
      <c r="AG31">
        <f t="shared" si="27"/>
        <v>0</v>
      </c>
      <c r="AH31">
        <f t="shared" si="28"/>
        <v>0</v>
      </c>
      <c r="AJ31">
        <f t="shared" si="29"/>
        <v>206.24213471898639</v>
      </c>
      <c r="AK31">
        <f t="shared" si="30"/>
        <v>466.57100447944276</v>
      </c>
      <c r="AL31">
        <f t="shared" si="31"/>
        <v>0</v>
      </c>
      <c r="AM31">
        <f t="shared" si="32"/>
        <v>0</v>
      </c>
      <c r="AN31">
        <f t="shared" si="33"/>
        <v>0</v>
      </c>
      <c r="AO31">
        <f t="shared" si="34"/>
        <v>0</v>
      </c>
    </row>
    <row r="32" spans="1:41" x14ac:dyDescent="0.45">
      <c r="A32">
        <v>20.476898049999999</v>
      </c>
      <c r="B32">
        <v>109.7059948</v>
      </c>
      <c r="C32">
        <v>91.886039729999993</v>
      </c>
      <c r="D32">
        <v>2.2037520399999999</v>
      </c>
      <c r="E32">
        <f t="shared" si="0"/>
        <v>2.2037520399999999</v>
      </c>
      <c r="F32">
        <f t="shared" si="1"/>
        <v>0</v>
      </c>
      <c r="G32">
        <f t="shared" si="2"/>
        <v>0</v>
      </c>
      <c r="H32">
        <f t="shared" si="3"/>
        <v>0</v>
      </c>
      <c r="I32">
        <f t="shared" si="4"/>
        <v>0</v>
      </c>
      <c r="J32">
        <f t="shared" si="5"/>
        <v>0</v>
      </c>
      <c r="K32" s="1">
        <f t="shared" si="6"/>
        <v>0</v>
      </c>
      <c r="L32" s="1">
        <f t="shared" si="7"/>
        <v>0</v>
      </c>
      <c r="M32" s="1">
        <f t="shared" si="8"/>
        <v>0</v>
      </c>
      <c r="N32" s="1">
        <f t="shared" si="9"/>
        <v>0</v>
      </c>
      <c r="O32" s="1">
        <f t="shared" si="10"/>
        <v>0</v>
      </c>
      <c r="P32" s="1">
        <f t="shared" si="11"/>
        <v>25</v>
      </c>
      <c r="Q32" s="1" t="e">
        <f t="shared" si="12"/>
        <v>#DIV/0!</v>
      </c>
      <c r="R32" s="1" t="e">
        <f t="shared" si="13"/>
        <v>#DIV/0!</v>
      </c>
      <c r="S32" s="1" t="e">
        <f t="shared" si="14"/>
        <v>#DIV/0!</v>
      </c>
      <c r="T32" s="1" t="e">
        <f t="shared" si="15"/>
        <v>#DIV/0!</v>
      </c>
      <c r="U32" s="1" t="e">
        <f t="shared" si="16"/>
        <v>#DIV/0!</v>
      </c>
      <c r="V32">
        <f t="shared" si="17"/>
        <v>851.48</v>
      </c>
      <c r="W32">
        <f t="shared" si="18"/>
        <v>0</v>
      </c>
      <c r="X32">
        <f t="shared" si="19"/>
        <v>0</v>
      </c>
      <c r="Y32">
        <f t="shared" si="20"/>
        <v>0</v>
      </c>
      <c r="Z32">
        <f t="shared" si="21"/>
        <v>0</v>
      </c>
      <c r="AA32">
        <f t="shared" si="22"/>
        <v>0</v>
      </c>
      <c r="AC32">
        <f t="shared" si="23"/>
        <v>1045.25</v>
      </c>
      <c r="AD32">
        <f t="shared" si="24"/>
        <v>0</v>
      </c>
      <c r="AE32">
        <f t="shared" si="25"/>
        <v>0</v>
      </c>
      <c r="AF32">
        <f t="shared" si="26"/>
        <v>0</v>
      </c>
      <c r="AG32">
        <f t="shared" si="27"/>
        <v>0</v>
      </c>
      <c r="AH32">
        <f t="shared" si="28"/>
        <v>0</v>
      </c>
      <c r="AJ32">
        <f t="shared" si="29"/>
        <v>1239.01</v>
      </c>
      <c r="AK32">
        <f t="shared" si="30"/>
        <v>0</v>
      </c>
      <c r="AL32">
        <f t="shared" si="31"/>
        <v>0</v>
      </c>
      <c r="AM32">
        <f t="shared" si="32"/>
        <v>0</v>
      </c>
      <c r="AN32">
        <f t="shared" si="33"/>
        <v>0</v>
      </c>
      <c r="AO32">
        <f t="shared" si="34"/>
        <v>0</v>
      </c>
    </row>
    <row r="33" spans="1:41" x14ac:dyDescent="0.45">
      <c r="A33">
        <v>20.478584980000001</v>
      </c>
      <c r="B33">
        <v>109.6589316</v>
      </c>
      <c r="C33">
        <v>96.062675479999996</v>
      </c>
      <c r="D33">
        <v>2.53676295</v>
      </c>
      <c r="E33">
        <f t="shared" si="0"/>
        <v>2.53676295</v>
      </c>
      <c r="F33">
        <f t="shared" si="1"/>
        <v>0</v>
      </c>
      <c r="G33">
        <f t="shared" si="2"/>
        <v>0</v>
      </c>
      <c r="H33">
        <f t="shared" si="3"/>
        <v>0</v>
      </c>
      <c r="I33">
        <f t="shared" si="4"/>
        <v>0</v>
      </c>
      <c r="J33">
        <f t="shared" si="5"/>
        <v>0</v>
      </c>
      <c r="K33" s="1">
        <f t="shared" si="6"/>
        <v>0</v>
      </c>
      <c r="L33" s="1">
        <f t="shared" si="7"/>
        <v>0</v>
      </c>
      <c r="M33" s="1">
        <f t="shared" si="8"/>
        <v>0</v>
      </c>
      <c r="N33" s="1">
        <f t="shared" si="9"/>
        <v>0</v>
      </c>
      <c r="O33" s="1">
        <f t="shared" si="10"/>
        <v>0</v>
      </c>
      <c r="P33" s="1">
        <f t="shared" si="11"/>
        <v>25</v>
      </c>
      <c r="Q33" s="1" t="e">
        <f t="shared" si="12"/>
        <v>#DIV/0!</v>
      </c>
      <c r="R33" s="1" t="e">
        <f t="shared" si="13"/>
        <v>#DIV/0!</v>
      </c>
      <c r="S33" s="1" t="e">
        <f t="shared" si="14"/>
        <v>#DIV/0!</v>
      </c>
      <c r="T33" s="1" t="e">
        <f t="shared" si="15"/>
        <v>#DIV/0!</v>
      </c>
      <c r="U33" s="1" t="e">
        <f t="shared" si="16"/>
        <v>#DIV/0!</v>
      </c>
      <c r="V33">
        <f t="shared" si="17"/>
        <v>851.48</v>
      </c>
      <c r="W33">
        <f t="shared" si="18"/>
        <v>0</v>
      </c>
      <c r="X33">
        <f t="shared" si="19"/>
        <v>0</v>
      </c>
      <c r="Y33">
        <f t="shared" si="20"/>
        <v>0</v>
      </c>
      <c r="Z33">
        <f t="shared" si="21"/>
        <v>0</v>
      </c>
      <c r="AA33">
        <f t="shared" si="22"/>
        <v>0</v>
      </c>
      <c r="AC33">
        <f t="shared" si="23"/>
        <v>1045.25</v>
      </c>
      <c r="AD33">
        <f t="shared" si="24"/>
        <v>0</v>
      </c>
      <c r="AE33">
        <f t="shared" si="25"/>
        <v>0</v>
      </c>
      <c r="AF33">
        <f t="shared" si="26"/>
        <v>0</v>
      </c>
      <c r="AG33">
        <f t="shared" si="27"/>
        <v>0</v>
      </c>
      <c r="AH33">
        <f t="shared" si="28"/>
        <v>0</v>
      </c>
      <c r="AJ33">
        <f t="shared" si="29"/>
        <v>1239.01</v>
      </c>
      <c r="AK33">
        <f t="shared" si="30"/>
        <v>0</v>
      </c>
      <c r="AL33">
        <f t="shared" si="31"/>
        <v>0</v>
      </c>
      <c r="AM33">
        <f t="shared" si="32"/>
        <v>0</v>
      </c>
      <c r="AN33">
        <f t="shared" si="33"/>
        <v>0</v>
      </c>
      <c r="AO33">
        <f t="shared" si="34"/>
        <v>0</v>
      </c>
    </row>
    <row r="34" spans="1:41" x14ac:dyDescent="0.45">
      <c r="A34">
        <v>20.480250359999999</v>
      </c>
      <c r="B34">
        <v>109.6118666</v>
      </c>
      <c r="C34">
        <v>62.64957047</v>
      </c>
      <c r="D34">
        <v>0.48972300000000002</v>
      </c>
      <c r="E34">
        <f t="shared" si="0"/>
        <v>0.48972300000000002</v>
      </c>
      <c r="F34">
        <f t="shared" si="1"/>
        <v>0</v>
      </c>
      <c r="G34">
        <f t="shared" si="2"/>
        <v>0</v>
      </c>
      <c r="H34">
        <f t="shared" si="3"/>
        <v>0</v>
      </c>
      <c r="I34">
        <f t="shared" si="4"/>
        <v>0</v>
      </c>
      <c r="J34">
        <f t="shared" si="5"/>
        <v>0</v>
      </c>
      <c r="K34" s="1">
        <f t="shared" si="6"/>
        <v>0</v>
      </c>
      <c r="L34" s="1">
        <f t="shared" si="7"/>
        <v>0</v>
      </c>
      <c r="M34" s="1">
        <f t="shared" si="8"/>
        <v>0</v>
      </c>
      <c r="N34" s="1">
        <f t="shared" si="9"/>
        <v>0</v>
      </c>
      <c r="O34" s="1">
        <f t="shared" si="10"/>
        <v>0</v>
      </c>
      <c r="P34" s="1">
        <f t="shared" si="11"/>
        <v>25</v>
      </c>
      <c r="Q34" s="1" t="e">
        <f t="shared" si="12"/>
        <v>#DIV/0!</v>
      </c>
      <c r="R34" s="1" t="e">
        <f t="shared" si="13"/>
        <v>#DIV/0!</v>
      </c>
      <c r="S34" s="1" t="e">
        <f t="shared" si="14"/>
        <v>#DIV/0!</v>
      </c>
      <c r="T34" s="1" t="e">
        <f t="shared" si="15"/>
        <v>#DIV/0!</v>
      </c>
      <c r="U34" s="1" t="e">
        <f t="shared" si="16"/>
        <v>#DIV/0!</v>
      </c>
      <c r="V34">
        <f t="shared" si="17"/>
        <v>851.48</v>
      </c>
      <c r="W34">
        <f t="shared" si="18"/>
        <v>0</v>
      </c>
      <c r="X34">
        <f t="shared" si="19"/>
        <v>0</v>
      </c>
      <c r="Y34">
        <f t="shared" si="20"/>
        <v>0</v>
      </c>
      <c r="Z34">
        <f t="shared" si="21"/>
        <v>0</v>
      </c>
      <c r="AA34">
        <f t="shared" si="22"/>
        <v>0</v>
      </c>
      <c r="AC34">
        <f t="shared" si="23"/>
        <v>1045.25</v>
      </c>
      <c r="AD34">
        <f t="shared" si="24"/>
        <v>0</v>
      </c>
      <c r="AE34">
        <f t="shared" si="25"/>
        <v>0</v>
      </c>
      <c r="AF34">
        <f t="shared" si="26"/>
        <v>0</v>
      </c>
      <c r="AG34">
        <f t="shared" si="27"/>
        <v>0</v>
      </c>
      <c r="AH34">
        <f t="shared" si="28"/>
        <v>0</v>
      </c>
      <c r="AJ34">
        <f t="shared" si="29"/>
        <v>1239.01</v>
      </c>
      <c r="AK34">
        <f t="shared" si="30"/>
        <v>0</v>
      </c>
      <c r="AL34">
        <f t="shared" si="31"/>
        <v>0</v>
      </c>
      <c r="AM34">
        <f t="shared" si="32"/>
        <v>0</v>
      </c>
      <c r="AN34">
        <f t="shared" si="33"/>
        <v>0</v>
      </c>
      <c r="AO34">
        <f t="shared" si="34"/>
        <v>0</v>
      </c>
    </row>
    <row r="35" spans="1:41" x14ac:dyDescent="0.45">
      <c r="A35">
        <v>20.48189421</v>
      </c>
      <c r="B35">
        <v>109.56480000000001</v>
      </c>
      <c r="C35">
        <v>129.47578429999999</v>
      </c>
      <c r="D35">
        <v>1.4691679499999999</v>
      </c>
      <c r="E35">
        <f t="shared" si="0"/>
        <v>1.4691679499999999</v>
      </c>
      <c r="F35">
        <f t="shared" si="1"/>
        <v>0</v>
      </c>
      <c r="G35">
        <f t="shared" si="2"/>
        <v>0</v>
      </c>
      <c r="H35">
        <f t="shared" si="3"/>
        <v>0</v>
      </c>
      <c r="I35">
        <f t="shared" si="4"/>
        <v>0</v>
      </c>
      <c r="J35">
        <f t="shared" si="5"/>
        <v>0</v>
      </c>
      <c r="K35" s="1">
        <f t="shared" si="6"/>
        <v>0</v>
      </c>
      <c r="L35" s="1">
        <f t="shared" si="7"/>
        <v>0</v>
      </c>
      <c r="M35" s="1">
        <f t="shared" si="8"/>
        <v>0</v>
      </c>
      <c r="N35" s="1">
        <f t="shared" si="9"/>
        <v>0</v>
      </c>
      <c r="O35" s="1">
        <f t="shared" si="10"/>
        <v>0</v>
      </c>
      <c r="P35" s="1">
        <f t="shared" si="11"/>
        <v>25</v>
      </c>
      <c r="Q35" s="1" t="e">
        <f t="shared" si="12"/>
        <v>#DIV/0!</v>
      </c>
      <c r="R35" s="1" t="e">
        <f t="shared" si="13"/>
        <v>#DIV/0!</v>
      </c>
      <c r="S35" s="1" t="e">
        <f t="shared" si="14"/>
        <v>#DIV/0!</v>
      </c>
      <c r="T35" s="1" t="e">
        <f t="shared" si="15"/>
        <v>#DIV/0!</v>
      </c>
      <c r="U35" s="1" t="e">
        <f t="shared" si="16"/>
        <v>#DIV/0!</v>
      </c>
      <c r="V35">
        <f t="shared" si="17"/>
        <v>851.48</v>
      </c>
      <c r="W35">
        <f t="shared" si="18"/>
        <v>0</v>
      </c>
      <c r="X35">
        <f t="shared" si="19"/>
        <v>0</v>
      </c>
      <c r="Y35">
        <f t="shared" si="20"/>
        <v>0</v>
      </c>
      <c r="Z35">
        <f t="shared" si="21"/>
        <v>0</v>
      </c>
      <c r="AA35">
        <f t="shared" si="22"/>
        <v>0</v>
      </c>
      <c r="AC35">
        <f t="shared" si="23"/>
        <v>1045.25</v>
      </c>
      <c r="AD35">
        <f t="shared" si="24"/>
        <v>0</v>
      </c>
      <c r="AE35">
        <f t="shared" si="25"/>
        <v>0</v>
      </c>
      <c r="AF35">
        <f t="shared" si="26"/>
        <v>0</v>
      </c>
      <c r="AG35">
        <f t="shared" si="27"/>
        <v>0</v>
      </c>
      <c r="AH35">
        <f t="shared" si="28"/>
        <v>0</v>
      </c>
      <c r="AJ35">
        <f t="shared" si="29"/>
        <v>1239.01</v>
      </c>
      <c r="AK35">
        <f t="shared" si="30"/>
        <v>0</v>
      </c>
      <c r="AL35">
        <f t="shared" si="31"/>
        <v>0</v>
      </c>
      <c r="AM35">
        <f t="shared" si="32"/>
        <v>0</v>
      </c>
      <c r="AN35">
        <f t="shared" si="33"/>
        <v>0</v>
      </c>
      <c r="AO35">
        <f t="shared" si="34"/>
        <v>0</v>
      </c>
    </row>
    <row r="36" spans="1:41" x14ac:dyDescent="0.45">
      <c r="A36">
        <v>20.498767839999999</v>
      </c>
      <c r="B36">
        <v>114.00191460000001</v>
      </c>
      <c r="C36">
        <v>1.69117999</v>
      </c>
      <c r="D36">
        <v>3.13422394</v>
      </c>
      <c r="E36">
        <f t="shared" si="0"/>
        <v>1.69117999</v>
      </c>
      <c r="F36">
        <f t="shared" si="1"/>
        <v>0</v>
      </c>
      <c r="G36">
        <f t="shared" si="2"/>
        <v>0</v>
      </c>
      <c r="H36">
        <f t="shared" si="3"/>
        <v>0</v>
      </c>
      <c r="I36">
        <f t="shared" si="4"/>
        <v>0</v>
      </c>
      <c r="J36">
        <f t="shared" si="5"/>
        <v>0</v>
      </c>
      <c r="K36" s="1">
        <f t="shared" si="6"/>
        <v>0</v>
      </c>
      <c r="L36" s="1">
        <f t="shared" si="7"/>
        <v>0</v>
      </c>
      <c r="M36" s="1">
        <f t="shared" si="8"/>
        <v>0</v>
      </c>
      <c r="N36" s="1">
        <f t="shared" si="9"/>
        <v>0</v>
      </c>
      <c r="O36" s="1">
        <f t="shared" si="10"/>
        <v>0</v>
      </c>
      <c r="P36" s="1">
        <f t="shared" si="11"/>
        <v>13.489623128205702</v>
      </c>
      <c r="Q36" s="1" t="e">
        <f t="shared" si="12"/>
        <v>#DIV/0!</v>
      </c>
      <c r="R36" s="1" t="e">
        <f t="shared" si="13"/>
        <v>#DIV/0!</v>
      </c>
      <c r="S36" s="1" t="e">
        <f t="shared" si="14"/>
        <v>#DIV/0!</v>
      </c>
      <c r="T36" s="1" t="e">
        <f t="shared" si="15"/>
        <v>#DIV/0!</v>
      </c>
      <c r="U36" s="1" t="e">
        <f t="shared" si="16"/>
        <v>#DIV/0!</v>
      </c>
      <c r="V36">
        <f t="shared" si="17"/>
        <v>477.39275166668534</v>
      </c>
      <c r="W36">
        <f t="shared" si="18"/>
        <v>0</v>
      </c>
      <c r="X36">
        <f t="shared" si="19"/>
        <v>0</v>
      </c>
      <c r="Y36">
        <f t="shared" si="20"/>
        <v>0</v>
      </c>
      <c r="Z36">
        <f t="shared" si="21"/>
        <v>0</v>
      </c>
      <c r="AA36">
        <f t="shared" si="22"/>
        <v>0</v>
      </c>
      <c r="AC36">
        <f t="shared" si="23"/>
        <v>584.83492512822806</v>
      </c>
      <c r="AD36">
        <f t="shared" si="24"/>
        <v>0</v>
      </c>
      <c r="AE36">
        <f t="shared" si="25"/>
        <v>0</v>
      </c>
      <c r="AF36">
        <f t="shared" si="26"/>
        <v>0</v>
      </c>
      <c r="AG36">
        <f t="shared" si="27"/>
        <v>0</v>
      </c>
      <c r="AH36">
        <f t="shared" si="28"/>
        <v>0</v>
      </c>
      <c r="AJ36">
        <f t="shared" si="29"/>
        <v>692.26709858977085</v>
      </c>
      <c r="AK36">
        <f t="shared" si="30"/>
        <v>0</v>
      </c>
      <c r="AL36">
        <f t="shared" si="31"/>
        <v>0</v>
      </c>
      <c r="AM36">
        <f t="shared" si="32"/>
        <v>0</v>
      </c>
      <c r="AN36">
        <f t="shared" si="33"/>
        <v>0</v>
      </c>
      <c r="AO36">
        <f t="shared" si="34"/>
        <v>0</v>
      </c>
    </row>
    <row r="37" spans="1:41" x14ac:dyDescent="0.45">
      <c r="A37">
        <v>20.506050470000002</v>
      </c>
      <c r="B37">
        <v>113.9080122</v>
      </c>
      <c r="C37">
        <v>1.47978199</v>
      </c>
      <c r="D37">
        <v>20.813209530000002</v>
      </c>
      <c r="E37">
        <f t="shared" si="0"/>
        <v>1.47978199</v>
      </c>
      <c r="F37">
        <f t="shared" si="1"/>
        <v>13.414299580000002</v>
      </c>
      <c r="G37">
        <f t="shared" si="2"/>
        <v>6.0153896300000014</v>
      </c>
      <c r="H37">
        <f t="shared" si="3"/>
        <v>0</v>
      </c>
      <c r="I37">
        <f t="shared" si="4"/>
        <v>0</v>
      </c>
      <c r="J37">
        <f t="shared" si="5"/>
        <v>0</v>
      </c>
      <c r="K37" s="1">
        <f t="shared" si="6"/>
        <v>1.47978199</v>
      </c>
      <c r="L37" s="1">
        <f t="shared" si="7"/>
        <v>1.47978199</v>
      </c>
      <c r="M37" s="1">
        <f t="shared" si="8"/>
        <v>0</v>
      </c>
      <c r="N37" s="1">
        <f t="shared" si="9"/>
        <v>0</v>
      </c>
      <c r="O37" s="1">
        <f t="shared" si="10"/>
        <v>0</v>
      </c>
      <c r="P37" s="1">
        <f t="shared" si="11"/>
        <v>1.7774553077302342</v>
      </c>
      <c r="Q37" s="1">
        <f t="shared" si="12"/>
        <v>2.7578443085583744</v>
      </c>
      <c r="R37" s="1">
        <f t="shared" si="13"/>
        <v>6.1499839620530095</v>
      </c>
      <c r="S37" s="1" t="e">
        <f t="shared" si="14"/>
        <v>#DIV/0!</v>
      </c>
      <c r="T37" s="1" t="e">
        <f t="shared" si="15"/>
        <v>#DIV/0!</v>
      </c>
      <c r="U37" s="1" t="e">
        <f t="shared" si="16"/>
        <v>#DIV/0!</v>
      </c>
      <c r="V37">
        <f t="shared" si="17"/>
        <v>96.747297501232623</v>
      </c>
      <c r="W37">
        <f t="shared" si="18"/>
        <v>142.40916157093903</v>
      </c>
      <c r="X37" t="e">
        <f t="shared" si="19"/>
        <v>#DIV/0!</v>
      </c>
      <c r="Y37">
        <f t="shared" si="20"/>
        <v>0</v>
      </c>
      <c r="Z37">
        <f t="shared" si="21"/>
        <v>0</v>
      </c>
      <c r="AA37">
        <f t="shared" si="22"/>
        <v>0</v>
      </c>
      <c r="AC37">
        <f t="shared" si="23"/>
        <v>116.34821230920937</v>
      </c>
      <c r="AD37">
        <f t="shared" si="24"/>
        <v>142.40916157093903</v>
      </c>
      <c r="AE37">
        <f t="shared" si="25"/>
        <v>231.54447876672279</v>
      </c>
      <c r="AF37">
        <f t="shared" si="26"/>
        <v>0</v>
      </c>
      <c r="AG37">
        <f t="shared" si="27"/>
        <v>0</v>
      </c>
      <c r="AH37">
        <f t="shared" si="28"/>
        <v>0</v>
      </c>
      <c r="AJ37">
        <f t="shared" si="29"/>
        <v>135.93912711718613</v>
      </c>
      <c r="AK37">
        <f t="shared" si="30"/>
        <v>170.04299388512686</v>
      </c>
      <c r="AL37">
        <f t="shared" si="31"/>
        <v>297.5743183872529</v>
      </c>
      <c r="AM37">
        <f t="shared" si="32"/>
        <v>0</v>
      </c>
      <c r="AN37">
        <f t="shared" si="33"/>
        <v>0</v>
      </c>
      <c r="AO37">
        <f t="shared" si="34"/>
        <v>0</v>
      </c>
    </row>
    <row r="38" spans="1:41" x14ac:dyDescent="0.45">
      <c r="A38">
        <v>20.51954211</v>
      </c>
      <c r="B38">
        <v>109.7548815</v>
      </c>
      <c r="C38">
        <v>50.543830870000001</v>
      </c>
      <c r="D38">
        <v>2.4486129299999999</v>
      </c>
      <c r="E38">
        <f t="shared" si="0"/>
        <v>2.4486129299999999</v>
      </c>
      <c r="F38">
        <f t="shared" si="1"/>
        <v>0</v>
      </c>
      <c r="G38">
        <f t="shared" si="2"/>
        <v>0</v>
      </c>
      <c r="H38">
        <f t="shared" si="3"/>
        <v>0</v>
      </c>
      <c r="I38">
        <f t="shared" si="4"/>
        <v>0</v>
      </c>
      <c r="J38">
        <f t="shared" si="5"/>
        <v>0</v>
      </c>
      <c r="K38" s="1">
        <f t="shared" si="6"/>
        <v>0</v>
      </c>
      <c r="L38" s="1">
        <f t="shared" si="7"/>
        <v>0</v>
      </c>
      <c r="M38" s="1">
        <f t="shared" si="8"/>
        <v>0</v>
      </c>
      <c r="N38" s="1">
        <f t="shared" si="9"/>
        <v>0</v>
      </c>
      <c r="O38" s="1">
        <f t="shared" si="10"/>
        <v>0</v>
      </c>
      <c r="P38" s="1">
        <f t="shared" si="11"/>
        <v>25</v>
      </c>
      <c r="Q38" s="1" t="e">
        <f t="shared" si="12"/>
        <v>#DIV/0!</v>
      </c>
      <c r="R38" s="1" t="e">
        <f t="shared" si="13"/>
        <v>#DIV/0!</v>
      </c>
      <c r="S38" s="1" t="e">
        <f t="shared" si="14"/>
        <v>#DIV/0!</v>
      </c>
      <c r="T38" s="1" t="e">
        <f t="shared" si="15"/>
        <v>#DIV/0!</v>
      </c>
      <c r="U38" s="1" t="e">
        <f t="shared" si="16"/>
        <v>#DIV/0!</v>
      </c>
      <c r="V38">
        <f t="shared" si="17"/>
        <v>851.48</v>
      </c>
      <c r="W38">
        <f t="shared" si="18"/>
        <v>0</v>
      </c>
      <c r="X38">
        <f t="shared" si="19"/>
        <v>0</v>
      </c>
      <c r="Y38">
        <f t="shared" si="20"/>
        <v>0</v>
      </c>
      <c r="Z38">
        <f t="shared" si="21"/>
        <v>0</v>
      </c>
      <c r="AA38">
        <f t="shared" si="22"/>
        <v>0</v>
      </c>
      <c r="AC38">
        <f t="shared" si="23"/>
        <v>1045.25</v>
      </c>
      <c r="AD38">
        <f t="shared" si="24"/>
        <v>0</v>
      </c>
      <c r="AE38">
        <f t="shared" si="25"/>
        <v>0</v>
      </c>
      <c r="AF38">
        <f t="shared" si="26"/>
        <v>0</v>
      </c>
      <c r="AG38">
        <f t="shared" si="27"/>
        <v>0</v>
      </c>
      <c r="AH38">
        <f t="shared" si="28"/>
        <v>0</v>
      </c>
      <c r="AJ38">
        <f t="shared" si="29"/>
        <v>1239.01</v>
      </c>
      <c r="AK38">
        <f t="shared" si="30"/>
        <v>0</v>
      </c>
      <c r="AL38">
        <f t="shared" si="31"/>
        <v>0</v>
      </c>
      <c r="AM38">
        <f t="shared" si="32"/>
        <v>0</v>
      </c>
      <c r="AN38">
        <f t="shared" si="33"/>
        <v>0</v>
      </c>
      <c r="AO38">
        <f t="shared" si="34"/>
        <v>0</v>
      </c>
    </row>
    <row r="39" spans="1:41" x14ac:dyDescent="0.45">
      <c r="A39">
        <v>20.521251729999999</v>
      </c>
      <c r="B39">
        <v>109.7077972</v>
      </c>
      <c r="C39">
        <v>104.415947</v>
      </c>
      <c r="D39">
        <v>2.9383349399999998</v>
      </c>
      <c r="E39">
        <f t="shared" si="0"/>
        <v>2.9383349399999998</v>
      </c>
      <c r="F39">
        <f t="shared" si="1"/>
        <v>0</v>
      </c>
      <c r="G39">
        <f t="shared" si="2"/>
        <v>0</v>
      </c>
      <c r="H39">
        <f t="shared" si="3"/>
        <v>0</v>
      </c>
      <c r="I39">
        <f t="shared" si="4"/>
        <v>0</v>
      </c>
      <c r="J39">
        <f t="shared" si="5"/>
        <v>0</v>
      </c>
      <c r="K39" s="1">
        <f t="shared" si="6"/>
        <v>0</v>
      </c>
      <c r="L39" s="1">
        <f t="shared" si="7"/>
        <v>0</v>
      </c>
      <c r="M39" s="1">
        <f t="shared" si="8"/>
        <v>0</v>
      </c>
      <c r="N39" s="1">
        <f t="shared" si="9"/>
        <v>0</v>
      </c>
      <c r="O39" s="1">
        <f t="shared" si="10"/>
        <v>0</v>
      </c>
      <c r="P39" s="1">
        <f t="shared" si="11"/>
        <v>25</v>
      </c>
      <c r="Q39" s="1" t="e">
        <f t="shared" si="12"/>
        <v>#DIV/0!</v>
      </c>
      <c r="R39" s="1" t="e">
        <f t="shared" si="13"/>
        <v>#DIV/0!</v>
      </c>
      <c r="S39" s="1" t="e">
        <f t="shared" si="14"/>
        <v>#DIV/0!</v>
      </c>
      <c r="T39" s="1" t="e">
        <f t="shared" si="15"/>
        <v>#DIV/0!</v>
      </c>
      <c r="U39" s="1" t="e">
        <f t="shared" si="16"/>
        <v>#DIV/0!</v>
      </c>
      <c r="V39">
        <f t="shared" si="17"/>
        <v>851.48</v>
      </c>
      <c r="W39">
        <f t="shared" si="18"/>
        <v>0</v>
      </c>
      <c r="X39">
        <f t="shared" si="19"/>
        <v>0</v>
      </c>
      <c r="Y39">
        <f t="shared" si="20"/>
        <v>0</v>
      </c>
      <c r="Z39">
        <f t="shared" si="21"/>
        <v>0</v>
      </c>
      <c r="AA39">
        <f t="shared" si="22"/>
        <v>0</v>
      </c>
      <c r="AC39">
        <f t="shared" si="23"/>
        <v>1045.25</v>
      </c>
      <c r="AD39">
        <f t="shared" si="24"/>
        <v>0</v>
      </c>
      <c r="AE39">
        <f t="shared" si="25"/>
        <v>0</v>
      </c>
      <c r="AF39">
        <f t="shared" si="26"/>
        <v>0</v>
      </c>
      <c r="AG39">
        <f t="shared" si="27"/>
        <v>0</v>
      </c>
      <c r="AH39">
        <f t="shared" si="28"/>
        <v>0</v>
      </c>
      <c r="AJ39">
        <f t="shared" si="29"/>
        <v>1239.01</v>
      </c>
      <c r="AK39">
        <f t="shared" si="30"/>
        <v>0</v>
      </c>
      <c r="AL39">
        <f t="shared" si="31"/>
        <v>0</v>
      </c>
      <c r="AM39">
        <f t="shared" si="32"/>
        <v>0</v>
      </c>
      <c r="AN39">
        <f t="shared" si="33"/>
        <v>0</v>
      </c>
      <c r="AO39">
        <f t="shared" si="34"/>
        <v>0</v>
      </c>
    </row>
    <row r="40" spans="1:41" x14ac:dyDescent="0.45">
      <c r="A40">
        <v>20.5229398</v>
      </c>
      <c r="B40">
        <v>109.6607111</v>
      </c>
      <c r="C40">
        <v>138.32167050000001</v>
      </c>
      <c r="D40">
        <v>2.95302701</v>
      </c>
      <c r="E40">
        <f t="shared" si="0"/>
        <v>2.95302701</v>
      </c>
      <c r="F40">
        <f t="shared" si="1"/>
        <v>0</v>
      </c>
      <c r="G40">
        <f t="shared" si="2"/>
        <v>0</v>
      </c>
      <c r="H40">
        <f t="shared" si="3"/>
        <v>0</v>
      </c>
      <c r="I40">
        <f t="shared" si="4"/>
        <v>0</v>
      </c>
      <c r="J40">
        <f t="shared" si="5"/>
        <v>0</v>
      </c>
      <c r="K40" s="1">
        <f t="shared" si="6"/>
        <v>0</v>
      </c>
      <c r="L40" s="1">
        <f t="shared" si="7"/>
        <v>0</v>
      </c>
      <c r="M40" s="1">
        <f t="shared" si="8"/>
        <v>0</v>
      </c>
      <c r="N40" s="1">
        <f t="shared" si="9"/>
        <v>0</v>
      </c>
      <c r="O40" s="1">
        <f t="shared" si="10"/>
        <v>0</v>
      </c>
      <c r="P40" s="1">
        <f t="shared" si="11"/>
        <v>25</v>
      </c>
      <c r="Q40" s="1" t="e">
        <f t="shared" si="12"/>
        <v>#DIV/0!</v>
      </c>
      <c r="R40" s="1" t="e">
        <f t="shared" si="13"/>
        <v>#DIV/0!</v>
      </c>
      <c r="S40" s="1" t="e">
        <f t="shared" si="14"/>
        <v>#DIV/0!</v>
      </c>
      <c r="T40" s="1" t="e">
        <f t="shared" si="15"/>
        <v>#DIV/0!</v>
      </c>
      <c r="U40" s="1" t="e">
        <f t="shared" si="16"/>
        <v>#DIV/0!</v>
      </c>
      <c r="V40">
        <f t="shared" si="17"/>
        <v>851.48</v>
      </c>
      <c r="W40">
        <f t="shared" si="18"/>
        <v>0</v>
      </c>
      <c r="X40">
        <f t="shared" si="19"/>
        <v>0</v>
      </c>
      <c r="Y40">
        <f t="shared" si="20"/>
        <v>0</v>
      </c>
      <c r="Z40">
        <f t="shared" si="21"/>
        <v>0</v>
      </c>
      <c r="AA40">
        <f t="shared" si="22"/>
        <v>0</v>
      </c>
      <c r="AC40">
        <f t="shared" si="23"/>
        <v>1045.25</v>
      </c>
      <c r="AD40">
        <f t="shared" si="24"/>
        <v>0</v>
      </c>
      <c r="AE40">
        <f t="shared" si="25"/>
        <v>0</v>
      </c>
      <c r="AF40">
        <f t="shared" si="26"/>
        <v>0</v>
      </c>
      <c r="AG40">
        <f t="shared" si="27"/>
        <v>0</v>
      </c>
      <c r="AH40">
        <f t="shared" si="28"/>
        <v>0</v>
      </c>
      <c r="AJ40">
        <f t="shared" si="29"/>
        <v>1239.01</v>
      </c>
      <c r="AK40">
        <f t="shared" si="30"/>
        <v>0</v>
      </c>
      <c r="AL40">
        <f t="shared" si="31"/>
        <v>0</v>
      </c>
      <c r="AM40">
        <f t="shared" si="32"/>
        <v>0</v>
      </c>
      <c r="AN40">
        <f t="shared" si="33"/>
        <v>0</v>
      </c>
      <c r="AO40">
        <f t="shared" si="34"/>
        <v>0</v>
      </c>
    </row>
    <row r="41" spans="1:41" x14ac:dyDescent="0.45">
      <c r="A41">
        <v>20.524606309999999</v>
      </c>
      <c r="B41">
        <v>109.61362339999999</v>
      </c>
      <c r="C41">
        <v>100.2393112</v>
      </c>
      <c r="D41">
        <v>8.7537898999999992</v>
      </c>
      <c r="E41">
        <f t="shared" si="0"/>
        <v>8.7537898999999992</v>
      </c>
      <c r="F41">
        <f t="shared" si="1"/>
        <v>0</v>
      </c>
      <c r="G41">
        <f t="shared" si="2"/>
        <v>0</v>
      </c>
      <c r="H41">
        <f t="shared" si="3"/>
        <v>0</v>
      </c>
      <c r="I41">
        <f t="shared" si="4"/>
        <v>0</v>
      </c>
      <c r="J41">
        <f t="shared" si="5"/>
        <v>0</v>
      </c>
      <c r="K41" s="1">
        <f t="shared" si="6"/>
        <v>0</v>
      </c>
      <c r="L41" s="1">
        <f t="shared" si="7"/>
        <v>0</v>
      </c>
      <c r="M41" s="1">
        <f t="shared" si="8"/>
        <v>0</v>
      </c>
      <c r="N41" s="1">
        <f t="shared" si="9"/>
        <v>0</v>
      </c>
      <c r="O41" s="1">
        <f t="shared" si="10"/>
        <v>0</v>
      </c>
      <c r="P41" s="1">
        <f t="shared" si="11"/>
        <v>25</v>
      </c>
      <c r="Q41" s="1" t="e">
        <f t="shared" si="12"/>
        <v>#DIV/0!</v>
      </c>
      <c r="R41" s="1" t="e">
        <f t="shared" si="13"/>
        <v>#DIV/0!</v>
      </c>
      <c r="S41" s="1" t="e">
        <f t="shared" si="14"/>
        <v>#DIV/0!</v>
      </c>
      <c r="T41" s="1" t="e">
        <f t="shared" si="15"/>
        <v>#DIV/0!</v>
      </c>
      <c r="U41" s="1" t="e">
        <f t="shared" si="16"/>
        <v>#DIV/0!</v>
      </c>
      <c r="V41">
        <f t="shared" si="17"/>
        <v>851.48</v>
      </c>
      <c r="W41">
        <f t="shared" si="18"/>
        <v>0</v>
      </c>
      <c r="X41">
        <f t="shared" si="19"/>
        <v>0</v>
      </c>
      <c r="Y41">
        <f t="shared" si="20"/>
        <v>0</v>
      </c>
      <c r="Z41">
        <f t="shared" si="21"/>
        <v>0</v>
      </c>
      <c r="AA41">
        <f t="shared" si="22"/>
        <v>0</v>
      </c>
      <c r="AC41">
        <f t="shared" si="23"/>
        <v>1045.25</v>
      </c>
      <c r="AD41">
        <f t="shared" si="24"/>
        <v>0</v>
      </c>
      <c r="AE41">
        <f t="shared" si="25"/>
        <v>0</v>
      </c>
      <c r="AF41">
        <f t="shared" si="26"/>
        <v>0</v>
      </c>
      <c r="AG41">
        <f t="shared" si="27"/>
        <v>0</v>
      </c>
      <c r="AH41">
        <f t="shared" si="28"/>
        <v>0</v>
      </c>
      <c r="AJ41">
        <f t="shared" si="29"/>
        <v>1239.01</v>
      </c>
      <c r="AK41">
        <f t="shared" si="30"/>
        <v>0</v>
      </c>
      <c r="AL41">
        <f t="shared" si="31"/>
        <v>0</v>
      </c>
      <c r="AM41">
        <f t="shared" si="32"/>
        <v>0</v>
      </c>
      <c r="AN41">
        <f t="shared" si="33"/>
        <v>0</v>
      </c>
      <c r="AO41">
        <f t="shared" si="34"/>
        <v>0</v>
      </c>
    </row>
    <row r="42" spans="1:41" x14ac:dyDescent="0.45">
      <c r="A42">
        <v>20.538537080000001</v>
      </c>
      <c r="B42">
        <v>115.61445380000001</v>
      </c>
      <c r="C42">
        <v>0.84558999999999995</v>
      </c>
      <c r="D42">
        <v>6.8561158200000003</v>
      </c>
      <c r="E42">
        <f t="shared" si="0"/>
        <v>0.84558999999999995</v>
      </c>
      <c r="F42">
        <f t="shared" si="1"/>
        <v>2.6281658200000004</v>
      </c>
      <c r="G42">
        <f t="shared" si="2"/>
        <v>0</v>
      </c>
      <c r="H42">
        <f t="shared" si="3"/>
        <v>0</v>
      </c>
      <c r="I42">
        <f t="shared" si="4"/>
        <v>0</v>
      </c>
      <c r="J42">
        <f t="shared" si="5"/>
        <v>0</v>
      </c>
      <c r="K42" s="1">
        <f t="shared" si="6"/>
        <v>0.84558999999999995</v>
      </c>
      <c r="L42" s="1">
        <f t="shared" si="7"/>
        <v>0</v>
      </c>
      <c r="M42" s="1">
        <f t="shared" si="8"/>
        <v>0</v>
      </c>
      <c r="N42" s="1">
        <f t="shared" si="9"/>
        <v>0</v>
      </c>
      <c r="O42" s="1">
        <f t="shared" si="10"/>
        <v>0</v>
      </c>
      <c r="P42" s="1">
        <f t="shared" si="11"/>
        <v>3.0833420197385171</v>
      </c>
      <c r="Q42" s="1">
        <f t="shared" si="12"/>
        <v>8.0435373746699117</v>
      </c>
      <c r="R42" s="1" t="e">
        <f t="shared" si="13"/>
        <v>#DIV/0!</v>
      </c>
      <c r="S42" s="1" t="e">
        <f t="shared" si="14"/>
        <v>#DIV/0!</v>
      </c>
      <c r="T42" s="1" t="e">
        <f t="shared" si="15"/>
        <v>#DIV/0!</v>
      </c>
      <c r="U42" s="1" t="e">
        <f t="shared" si="16"/>
        <v>#DIV/0!</v>
      </c>
      <c r="V42">
        <f t="shared" si="17"/>
        <v>139.18861564150183</v>
      </c>
      <c r="W42">
        <f t="shared" si="18"/>
        <v>340.6226515501217</v>
      </c>
      <c r="X42">
        <f t="shared" si="19"/>
        <v>0</v>
      </c>
      <c r="Y42">
        <f t="shared" si="20"/>
        <v>0</v>
      </c>
      <c r="Z42">
        <f t="shared" si="21"/>
        <v>0</v>
      </c>
      <c r="AA42">
        <f t="shared" si="22"/>
        <v>0</v>
      </c>
      <c r="AC42">
        <f t="shared" si="23"/>
        <v>168.58368078954067</v>
      </c>
      <c r="AD42">
        <f t="shared" si="24"/>
        <v>340.6226515501217</v>
      </c>
      <c r="AE42">
        <f t="shared" si="25"/>
        <v>0</v>
      </c>
      <c r="AF42">
        <f t="shared" si="26"/>
        <v>0</v>
      </c>
      <c r="AG42">
        <f t="shared" si="27"/>
        <v>0</v>
      </c>
      <c r="AH42">
        <f t="shared" si="28"/>
        <v>0</v>
      </c>
      <c r="AJ42">
        <f t="shared" si="29"/>
        <v>197.96874593757954</v>
      </c>
      <c r="AK42">
        <f t="shared" si="30"/>
        <v>407.89918186014603</v>
      </c>
      <c r="AL42">
        <f t="shared" si="31"/>
        <v>0</v>
      </c>
      <c r="AM42">
        <f t="shared" si="32"/>
        <v>0</v>
      </c>
      <c r="AN42">
        <f t="shared" si="33"/>
        <v>0</v>
      </c>
      <c r="AO42">
        <f t="shared" si="34"/>
        <v>0</v>
      </c>
    </row>
    <row r="43" spans="1:41" x14ac:dyDescent="0.45">
      <c r="A43">
        <v>20.543006760000001</v>
      </c>
      <c r="B43">
        <v>114.0058038</v>
      </c>
      <c r="C43">
        <v>1.9086029499999999</v>
      </c>
      <c r="D43">
        <v>6.1215319600000004</v>
      </c>
      <c r="E43">
        <f t="shared" si="0"/>
        <v>1.9086029499999999</v>
      </c>
      <c r="F43">
        <f t="shared" si="1"/>
        <v>0</v>
      </c>
      <c r="G43">
        <f t="shared" si="2"/>
        <v>0</v>
      </c>
      <c r="H43">
        <f t="shared" si="3"/>
        <v>0</v>
      </c>
      <c r="I43">
        <f t="shared" si="4"/>
        <v>0</v>
      </c>
      <c r="J43">
        <f t="shared" si="5"/>
        <v>0</v>
      </c>
      <c r="K43" s="1">
        <f t="shared" si="6"/>
        <v>0</v>
      </c>
      <c r="L43" s="1">
        <f t="shared" si="7"/>
        <v>0</v>
      </c>
      <c r="M43" s="1">
        <f t="shared" si="8"/>
        <v>0</v>
      </c>
      <c r="N43" s="1">
        <f t="shared" si="9"/>
        <v>0</v>
      </c>
      <c r="O43" s="1">
        <f t="shared" si="10"/>
        <v>0</v>
      </c>
      <c r="P43" s="1">
        <f t="shared" si="11"/>
        <v>7.794629524404213</v>
      </c>
      <c r="Q43" s="1" t="e">
        <f t="shared" si="12"/>
        <v>#DIV/0!</v>
      </c>
      <c r="R43" s="1" t="e">
        <f t="shared" si="13"/>
        <v>#DIV/0!</v>
      </c>
      <c r="S43" s="1" t="e">
        <f t="shared" si="14"/>
        <v>#DIV/0!</v>
      </c>
      <c r="T43" s="1" t="e">
        <f t="shared" si="15"/>
        <v>#DIV/0!</v>
      </c>
      <c r="U43" s="1" t="e">
        <f t="shared" si="16"/>
        <v>#DIV/0!</v>
      </c>
      <c r="V43">
        <f t="shared" si="17"/>
        <v>292.30545954313692</v>
      </c>
      <c r="W43">
        <f t="shared" si="18"/>
        <v>0</v>
      </c>
      <c r="X43">
        <f t="shared" si="19"/>
        <v>0</v>
      </c>
      <c r="Y43">
        <f t="shared" si="20"/>
        <v>0</v>
      </c>
      <c r="Z43">
        <f t="shared" si="21"/>
        <v>0</v>
      </c>
      <c r="AA43">
        <f t="shared" si="22"/>
        <v>0</v>
      </c>
      <c r="AC43">
        <f t="shared" si="23"/>
        <v>357.03518097616853</v>
      </c>
      <c r="AD43">
        <f t="shared" si="24"/>
        <v>0</v>
      </c>
      <c r="AE43">
        <f t="shared" si="25"/>
        <v>0</v>
      </c>
      <c r="AF43">
        <f t="shared" si="26"/>
        <v>0</v>
      </c>
      <c r="AG43">
        <f t="shared" si="27"/>
        <v>0</v>
      </c>
      <c r="AH43">
        <f t="shared" si="28"/>
        <v>0</v>
      </c>
      <c r="AJ43">
        <f t="shared" si="29"/>
        <v>421.7549024092001</v>
      </c>
      <c r="AK43">
        <f t="shared" si="30"/>
        <v>0</v>
      </c>
      <c r="AL43">
        <f t="shared" si="31"/>
        <v>0</v>
      </c>
      <c r="AM43">
        <f t="shared" si="32"/>
        <v>0</v>
      </c>
      <c r="AN43">
        <f t="shared" si="33"/>
        <v>0</v>
      </c>
      <c r="AO43">
        <f t="shared" si="34"/>
        <v>0</v>
      </c>
    </row>
    <row r="44" spans="1:41" x14ac:dyDescent="0.45">
      <c r="A44">
        <v>20.565613930000001</v>
      </c>
      <c r="B44">
        <v>109.7096014</v>
      </c>
      <c r="C44">
        <v>91.886039729999993</v>
      </c>
      <c r="D44">
        <v>12.1402216</v>
      </c>
      <c r="E44">
        <f t="shared" si="0"/>
        <v>12.1402216</v>
      </c>
      <c r="F44">
        <f t="shared" si="1"/>
        <v>0</v>
      </c>
      <c r="G44">
        <f t="shared" si="2"/>
        <v>0</v>
      </c>
      <c r="H44">
        <f t="shared" si="3"/>
        <v>0</v>
      </c>
      <c r="I44">
        <f t="shared" si="4"/>
        <v>0</v>
      </c>
      <c r="J44">
        <f t="shared" si="5"/>
        <v>0</v>
      </c>
      <c r="K44" s="1">
        <f t="shared" si="6"/>
        <v>0</v>
      </c>
      <c r="L44" s="1">
        <f t="shared" si="7"/>
        <v>0</v>
      </c>
      <c r="M44" s="1">
        <f t="shared" si="8"/>
        <v>0</v>
      </c>
      <c r="N44" s="1">
        <f t="shared" si="9"/>
        <v>0</v>
      </c>
      <c r="O44" s="1">
        <f t="shared" si="10"/>
        <v>0</v>
      </c>
      <c r="P44" s="1">
        <f t="shared" si="11"/>
        <v>25</v>
      </c>
      <c r="Q44" s="1" t="e">
        <f t="shared" si="12"/>
        <v>#DIV/0!</v>
      </c>
      <c r="R44" s="1" t="e">
        <f t="shared" si="13"/>
        <v>#DIV/0!</v>
      </c>
      <c r="S44" s="1" t="e">
        <f t="shared" si="14"/>
        <v>#DIV/0!</v>
      </c>
      <c r="T44" s="1" t="e">
        <f t="shared" si="15"/>
        <v>#DIV/0!</v>
      </c>
      <c r="U44" s="1" t="e">
        <f t="shared" si="16"/>
        <v>#DIV/0!</v>
      </c>
      <c r="V44">
        <f t="shared" si="17"/>
        <v>851.48</v>
      </c>
      <c r="W44">
        <f t="shared" si="18"/>
        <v>0</v>
      </c>
      <c r="X44">
        <f t="shared" si="19"/>
        <v>0</v>
      </c>
      <c r="Y44">
        <f t="shared" si="20"/>
        <v>0</v>
      </c>
      <c r="Z44">
        <f t="shared" si="21"/>
        <v>0</v>
      </c>
      <c r="AA44">
        <f t="shared" si="22"/>
        <v>0</v>
      </c>
      <c r="AC44">
        <f t="shared" si="23"/>
        <v>1045.25</v>
      </c>
      <c r="AD44">
        <f t="shared" si="24"/>
        <v>0</v>
      </c>
      <c r="AE44">
        <f t="shared" si="25"/>
        <v>0</v>
      </c>
      <c r="AF44">
        <f t="shared" si="26"/>
        <v>0</v>
      </c>
      <c r="AG44">
        <f t="shared" si="27"/>
        <v>0</v>
      </c>
      <c r="AH44">
        <f t="shared" si="28"/>
        <v>0</v>
      </c>
      <c r="AJ44">
        <f t="shared" si="29"/>
        <v>1239.01</v>
      </c>
      <c r="AK44">
        <f t="shared" si="30"/>
        <v>0</v>
      </c>
      <c r="AL44">
        <f t="shared" si="31"/>
        <v>0</v>
      </c>
      <c r="AM44">
        <f t="shared" si="32"/>
        <v>0</v>
      </c>
      <c r="AN44">
        <f t="shared" si="33"/>
        <v>0</v>
      </c>
      <c r="AO44">
        <f t="shared" si="34"/>
        <v>0</v>
      </c>
    </row>
    <row r="45" spans="1:41" x14ac:dyDescent="0.45">
      <c r="A45">
        <v>20.570616869999998</v>
      </c>
      <c r="B45">
        <v>109.56826940000001</v>
      </c>
      <c r="C45">
        <v>116.9458618</v>
      </c>
      <c r="D45">
        <v>2.9628219599999999</v>
      </c>
      <c r="E45">
        <f t="shared" si="0"/>
        <v>2.9628219599999999</v>
      </c>
      <c r="F45">
        <f t="shared" si="1"/>
        <v>0</v>
      </c>
      <c r="G45">
        <f t="shared" si="2"/>
        <v>0</v>
      </c>
      <c r="H45">
        <f t="shared" si="3"/>
        <v>0</v>
      </c>
      <c r="I45">
        <f t="shared" si="4"/>
        <v>0</v>
      </c>
      <c r="J45">
        <f t="shared" si="5"/>
        <v>0</v>
      </c>
      <c r="K45" s="1">
        <f t="shared" si="6"/>
        <v>0</v>
      </c>
      <c r="L45" s="1">
        <f t="shared" si="7"/>
        <v>0</v>
      </c>
      <c r="M45" s="1">
        <f t="shared" si="8"/>
        <v>0</v>
      </c>
      <c r="N45" s="1">
        <f t="shared" si="9"/>
        <v>0</v>
      </c>
      <c r="O45" s="1">
        <f t="shared" si="10"/>
        <v>0</v>
      </c>
      <c r="P45" s="1">
        <f t="shared" si="11"/>
        <v>25</v>
      </c>
      <c r="Q45" s="1" t="e">
        <f t="shared" si="12"/>
        <v>#DIV/0!</v>
      </c>
      <c r="R45" s="1" t="e">
        <f t="shared" si="13"/>
        <v>#DIV/0!</v>
      </c>
      <c r="S45" s="1" t="e">
        <f t="shared" si="14"/>
        <v>#DIV/0!</v>
      </c>
      <c r="T45" s="1" t="e">
        <f t="shared" si="15"/>
        <v>#DIV/0!</v>
      </c>
      <c r="U45" s="1" t="e">
        <f t="shared" si="16"/>
        <v>#DIV/0!</v>
      </c>
      <c r="V45">
        <f t="shared" si="17"/>
        <v>851.48</v>
      </c>
      <c r="W45">
        <f t="shared" si="18"/>
        <v>0</v>
      </c>
      <c r="X45">
        <f t="shared" si="19"/>
        <v>0</v>
      </c>
      <c r="Y45">
        <f t="shared" si="20"/>
        <v>0</v>
      </c>
      <c r="Z45">
        <f t="shared" si="21"/>
        <v>0</v>
      </c>
      <c r="AA45">
        <f t="shared" si="22"/>
        <v>0</v>
      </c>
      <c r="AC45">
        <f t="shared" si="23"/>
        <v>1045.25</v>
      </c>
      <c r="AD45">
        <f t="shared" si="24"/>
        <v>0</v>
      </c>
      <c r="AE45">
        <f t="shared" si="25"/>
        <v>0</v>
      </c>
      <c r="AF45">
        <f t="shared" si="26"/>
        <v>0</v>
      </c>
      <c r="AG45">
        <f t="shared" si="27"/>
        <v>0</v>
      </c>
      <c r="AH45">
        <f t="shared" si="28"/>
        <v>0</v>
      </c>
      <c r="AJ45">
        <f t="shared" si="29"/>
        <v>1239.01</v>
      </c>
      <c r="AK45">
        <f t="shared" si="30"/>
        <v>0</v>
      </c>
      <c r="AL45">
        <f t="shared" si="31"/>
        <v>0</v>
      </c>
      <c r="AM45">
        <f t="shared" si="32"/>
        <v>0</v>
      </c>
      <c r="AN45">
        <f t="shared" si="33"/>
        <v>0</v>
      </c>
      <c r="AO45">
        <f t="shared" si="34"/>
        <v>0</v>
      </c>
    </row>
    <row r="46" spans="1:41" x14ac:dyDescent="0.45">
      <c r="A46">
        <v>20.58202846</v>
      </c>
      <c r="B46">
        <v>113.48890969999999</v>
      </c>
      <c r="C46">
        <v>1.05698705</v>
      </c>
      <c r="D46">
        <v>4.5617661500000004</v>
      </c>
      <c r="E46">
        <f t="shared" si="0"/>
        <v>1.05698705</v>
      </c>
      <c r="F46">
        <f t="shared" si="1"/>
        <v>0</v>
      </c>
      <c r="G46">
        <f t="shared" si="2"/>
        <v>0</v>
      </c>
      <c r="H46">
        <f t="shared" si="3"/>
        <v>0</v>
      </c>
      <c r="I46">
        <f t="shared" si="4"/>
        <v>0</v>
      </c>
      <c r="J46">
        <f t="shared" si="5"/>
        <v>0</v>
      </c>
      <c r="K46" s="1">
        <f t="shared" si="6"/>
        <v>0</v>
      </c>
      <c r="L46" s="1">
        <f t="shared" si="7"/>
        <v>0</v>
      </c>
      <c r="M46" s="1">
        <f t="shared" si="8"/>
        <v>0</v>
      </c>
      <c r="N46" s="1">
        <f t="shared" si="9"/>
        <v>0</v>
      </c>
      <c r="O46" s="1">
        <f t="shared" si="10"/>
        <v>0</v>
      </c>
      <c r="P46" s="1">
        <f t="shared" si="11"/>
        <v>5.7926415737027641</v>
      </c>
      <c r="Q46" s="1" t="e">
        <f t="shared" si="12"/>
        <v>#DIV/0!</v>
      </c>
      <c r="R46" s="1" t="e">
        <f t="shared" si="13"/>
        <v>#DIV/0!</v>
      </c>
      <c r="S46" s="1" t="e">
        <f t="shared" si="14"/>
        <v>#DIV/0!</v>
      </c>
      <c r="T46" s="1" t="e">
        <f t="shared" si="15"/>
        <v>#DIV/0!</v>
      </c>
      <c r="U46" s="1" t="e">
        <f t="shared" si="16"/>
        <v>#DIV/0!</v>
      </c>
      <c r="V46">
        <f t="shared" si="17"/>
        <v>227.24085114533983</v>
      </c>
      <c r="W46">
        <f t="shared" si="18"/>
        <v>0</v>
      </c>
      <c r="X46">
        <f t="shared" si="19"/>
        <v>0</v>
      </c>
      <c r="Y46">
        <f t="shared" si="20"/>
        <v>0</v>
      </c>
      <c r="Z46">
        <f t="shared" si="21"/>
        <v>0</v>
      </c>
      <c r="AA46">
        <f t="shared" si="22"/>
        <v>0</v>
      </c>
      <c r="AC46">
        <f t="shared" si="23"/>
        <v>276.95566294811056</v>
      </c>
      <c r="AD46">
        <f t="shared" si="24"/>
        <v>0</v>
      </c>
      <c r="AE46">
        <f t="shared" si="25"/>
        <v>0</v>
      </c>
      <c r="AF46">
        <f t="shared" si="26"/>
        <v>0</v>
      </c>
      <c r="AG46">
        <f t="shared" si="27"/>
        <v>0</v>
      </c>
      <c r="AH46">
        <f t="shared" si="28"/>
        <v>0</v>
      </c>
      <c r="AJ46">
        <f t="shared" si="29"/>
        <v>326.66047475088129</v>
      </c>
      <c r="AK46">
        <f t="shared" si="30"/>
        <v>0</v>
      </c>
      <c r="AL46">
        <f t="shared" si="31"/>
        <v>0</v>
      </c>
      <c r="AM46">
        <f t="shared" si="32"/>
        <v>0</v>
      </c>
      <c r="AN46">
        <f t="shared" si="33"/>
        <v>0</v>
      </c>
      <c r="AO46">
        <f t="shared" si="34"/>
        <v>0</v>
      </c>
    </row>
    <row r="47" spans="1:41" x14ac:dyDescent="0.45">
      <c r="A47">
        <v>20.602520340000002</v>
      </c>
      <c r="B47">
        <v>108.48426360000001</v>
      </c>
      <c r="C47">
        <v>79.356124879999996</v>
      </c>
      <c r="D47">
        <v>1.95888996</v>
      </c>
      <c r="E47">
        <f t="shared" si="0"/>
        <v>1.95888996</v>
      </c>
      <c r="F47">
        <f t="shared" si="1"/>
        <v>0</v>
      </c>
      <c r="G47">
        <f t="shared" si="2"/>
        <v>0</v>
      </c>
      <c r="H47">
        <f t="shared" si="3"/>
        <v>0</v>
      </c>
      <c r="I47">
        <f t="shared" si="4"/>
        <v>0</v>
      </c>
      <c r="J47">
        <f t="shared" si="5"/>
        <v>0</v>
      </c>
      <c r="K47" s="1">
        <f t="shared" si="6"/>
        <v>0</v>
      </c>
      <c r="L47" s="1">
        <f t="shared" si="7"/>
        <v>0</v>
      </c>
      <c r="M47" s="1">
        <f t="shared" si="8"/>
        <v>0</v>
      </c>
      <c r="N47" s="1">
        <f t="shared" si="9"/>
        <v>0</v>
      </c>
      <c r="O47" s="1">
        <f t="shared" si="10"/>
        <v>0</v>
      </c>
      <c r="P47" s="1">
        <f t="shared" si="11"/>
        <v>25</v>
      </c>
      <c r="Q47" s="1" t="e">
        <f t="shared" si="12"/>
        <v>#DIV/0!</v>
      </c>
      <c r="R47" s="1" t="e">
        <f t="shared" si="13"/>
        <v>#DIV/0!</v>
      </c>
      <c r="S47" s="1" t="e">
        <f t="shared" si="14"/>
        <v>#DIV/0!</v>
      </c>
      <c r="T47" s="1" t="e">
        <f t="shared" si="15"/>
        <v>#DIV/0!</v>
      </c>
      <c r="U47" s="1" t="e">
        <f t="shared" si="16"/>
        <v>#DIV/0!</v>
      </c>
      <c r="V47">
        <f t="shared" si="17"/>
        <v>851.48</v>
      </c>
      <c r="W47">
        <f t="shared" si="18"/>
        <v>0</v>
      </c>
      <c r="X47">
        <f t="shared" si="19"/>
        <v>0</v>
      </c>
      <c r="Y47">
        <f t="shared" si="20"/>
        <v>0</v>
      </c>
      <c r="Z47">
        <f t="shared" si="21"/>
        <v>0</v>
      </c>
      <c r="AA47">
        <f t="shared" si="22"/>
        <v>0</v>
      </c>
      <c r="AC47">
        <f t="shared" si="23"/>
        <v>1045.25</v>
      </c>
      <c r="AD47">
        <f t="shared" si="24"/>
        <v>0</v>
      </c>
      <c r="AE47">
        <f t="shared" si="25"/>
        <v>0</v>
      </c>
      <c r="AF47">
        <f t="shared" si="26"/>
        <v>0</v>
      </c>
      <c r="AG47">
        <f t="shared" si="27"/>
        <v>0</v>
      </c>
      <c r="AH47">
        <f t="shared" si="28"/>
        <v>0</v>
      </c>
      <c r="AJ47">
        <f t="shared" si="29"/>
        <v>1239.01</v>
      </c>
      <c r="AK47">
        <f t="shared" si="30"/>
        <v>0</v>
      </c>
      <c r="AL47">
        <f t="shared" si="31"/>
        <v>0</v>
      </c>
      <c r="AM47">
        <f t="shared" si="32"/>
        <v>0</v>
      </c>
      <c r="AN47">
        <f t="shared" si="33"/>
        <v>0</v>
      </c>
      <c r="AO47">
        <f t="shared" si="34"/>
        <v>0</v>
      </c>
    </row>
    <row r="48" spans="1:41" x14ac:dyDescent="0.45">
      <c r="A48">
        <v>20.626302160000002</v>
      </c>
      <c r="B48">
        <v>113.49255340000001</v>
      </c>
      <c r="C48">
        <v>0.77811300999999999</v>
      </c>
      <c r="D48">
        <v>0.93781899999999996</v>
      </c>
      <c r="E48">
        <f t="shared" si="0"/>
        <v>0.77811300999999999</v>
      </c>
      <c r="F48">
        <f t="shared" si="1"/>
        <v>0</v>
      </c>
      <c r="G48">
        <f t="shared" si="2"/>
        <v>0</v>
      </c>
      <c r="H48">
        <f t="shared" si="3"/>
        <v>0</v>
      </c>
      <c r="I48">
        <f t="shared" si="4"/>
        <v>0</v>
      </c>
      <c r="J48">
        <f t="shared" si="5"/>
        <v>0</v>
      </c>
      <c r="K48" s="1">
        <f t="shared" si="6"/>
        <v>0</v>
      </c>
      <c r="L48" s="1">
        <f t="shared" si="7"/>
        <v>0</v>
      </c>
      <c r="M48" s="1">
        <f t="shared" si="8"/>
        <v>0</v>
      </c>
      <c r="N48" s="1">
        <f t="shared" si="9"/>
        <v>0</v>
      </c>
      <c r="O48" s="1">
        <f t="shared" si="10"/>
        <v>0</v>
      </c>
      <c r="P48" s="1">
        <f t="shared" si="11"/>
        <v>20.742622243737866</v>
      </c>
      <c r="Q48" s="1" t="e">
        <f t="shared" si="12"/>
        <v>#DIV/0!</v>
      </c>
      <c r="R48" s="1" t="e">
        <f t="shared" si="13"/>
        <v>#DIV/0!</v>
      </c>
      <c r="S48" s="1" t="e">
        <f t="shared" si="14"/>
        <v>#DIV/0!</v>
      </c>
      <c r="T48" s="1" t="e">
        <f t="shared" si="15"/>
        <v>#DIV/0!</v>
      </c>
      <c r="U48" s="1" t="e">
        <f t="shared" si="16"/>
        <v>#DIV/0!</v>
      </c>
      <c r="V48">
        <f t="shared" si="17"/>
        <v>713.11522292148072</v>
      </c>
      <c r="W48">
        <f t="shared" si="18"/>
        <v>0</v>
      </c>
      <c r="X48">
        <f t="shared" si="19"/>
        <v>0</v>
      </c>
      <c r="Y48">
        <f t="shared" si="20"/>
        <v>0</v>
      </c>
      <c r="Z48">
        <f t="shared" si="21"/>
        <v>0</v>
      </c>
      <c r="AA48">
        <f t="shared" si="22"/>
        <v>0</v>
      </c>
      <c r="AC48">
        <f t="shared" si="23"/>
        <v>874.95488974951468</v>
      </c>
      <c r="AD48">
        <f t="shared" si="24"/>
        <v>0</v>
      </c>
      <c r="AE48">
        <f t="shared" si="25"/>
        <v>0</v>
      </c>
      <c r="AF48">
        <f t="shared" si="26"/>
        <v>0</v>
      </c>
      <c r="AG48">
        <f t="shared" si="27"/>
        <v>0</v>
      </c>
      <c r="AH48">
        <f t="shared" si="28"/>
        <v>0</v>
      </c>
      <c r="AJ48">
        <f t="shared" si="29"/>
        <v>1036.7845565775488</v>
      </c>
      <c r="AK48">
        <f t="shared" si="30"/>
        <v>0</v>
      </c>
      <c r="AL48">
        <f t="shared" si="31"/>
        <v>0</v>
      </c>
      <c r="AM48">
        <f t="shared" si="32"/>
        <v>0</v>
      </c>
      <c r="AN48">
        <f t="shared" si="33"/>
        <v>0</v>
      </c>
      <c r="AO48">
        <f t="shared" si="34"/>
        <v>0</v>
      </c>
    </row>
    <row r="49" spans="1:41" x14ac:dyDescent="0.45">
      <c r="A49">
        <v>20.648044859999999</v>
      </c>
      <c r="B49">
        <v>108.43830389999999</v>
      </c>
      <c r="C49">
        <v>104.415947</v>
      </c>
      <c r="D49">
        <v>2.9383349399999998</v>
      </c>
      <c r="E49">
        <f t="shared" si="0"/>
        <v>2.9383349399999998</v>
      </c>
      <c r="F49">
        <f t="shared" si="1"/>
        <v>0</v>
      </c>
      <c r="G49">
        <f t="shared" si="2"/>
        <v>0</v>
      </c>
      <c r="H49">
        <f t="shared" si="3"/>
        <v>0</v>
      </c>
      <c r="I49">
        <f t="shared" si="4"/>
        <v>0</v>
      </c>
      <c r="J49">
        <f t="shared" si="5"/>
        <v>0</v>
      </c>
      <c r="K49" s="1">
        <f t="shared" si="6"/>
        <v>0</v>
      </c>
      <c r="L49" s="1">
        <f t="shared" si="7"/>
        <v>0</v>
      </c>
      <c r="M49" s="1">
        <f t="shared" si="8"/>
        <v>0</v>
      </c>
      <c r="N49" s="1">
        <f t="shared" si="9"/>
        <v>0</v>
      </c>
      <c r="O49" s="1">
        <f t="shared" si="10"/>
        <v>0</v>
      </c>
      <c r="P49" s="1">
        <f t="shared" si="11"/>
        <v>25</v>
      </c>
      <c r="Q49" s="1" t="e">
        <f t="shared" si="12"/>
        <v>#DIV/0!</v>
      </c>
      <c r="R49" s="1" t="e">
        <f t="shared" si="13"/>
        <v>#DIV/0!</v>
      </c>
      <c r="S49" s="1" t="e">
        <f t="shared" si="14"/>
        <v>#DIV/0!</v>
      </c>
      <c r="T49" s="1" t="e">
        <f t="shared" si="15"/>
        <v>#DIV/0!</v>
      </c>
      <c r="U49" s="1" t="e">
        <f t="shared" si="16"/>
        <v>#DIV/0!</v>
      </c>
      <c r="V49">
        <f t="shared" si="17"/>
        <v>851.48</v>
      </c>
      <c r="W49">
        <f t="shared" si="18"/>
        <v>0</v>
      </c>
      <c r="X49">
        <f t="shared" si="19"/>
        <v>0</v>
      </c>
      <c r="Y49">
        <f t="shared" si="20"/>
        <v>0</v>
      </c>
      <c r="Z49">
        <f t="shared" si="21"/>
        <v>0</v>
      </c>
      <c r="AA49">
        <f t="shared" si="22"/>
        <v>0</v>
      </c>
      <c r="AC49">
        <f t="shared" si="23"/>
        <v>1045.25</v>
      </c>
      <c r="AD49">
        <f t="shared" si="24"/>
        <v>0</v>
      </c>
      <c r="AE49">
        <f t="shared" si="25"/>
        <v>0</v>
      </c>
      <c r="AF49">
        <f t="shared" si="26"/>
        <v>0</v>
      </c>
      <c r="AG49">
        <f t="shared" si="27"/>
        <v>0</v>
      </c>
      <c r="AH49">
        <f t="shared" si="28"/>
        <v>0</v>
      </c>
      <c r="AJ49">
        <f t="shared" si="29"/>
        <v>1239.01</v>
      </c>
      <c r="AK49">
        <f t="shared" si="30"/>
        <v>0</v>
      </c>
      <c r="AL49">
        <f t="shared" si="31"/>
        <v>0</v>
      </c>
      <c r="AM49">
        <f t="shared" si="32"/>
        <v>0</v>
      </c>
      <c r="AN49">
        <f t="shared" si="33"/>
        <v>0</v>
      </c>
      <c r="AO49">
        <f t="shared" si="34"/>
        <v>0</v>
      </c>
    </row>
    <row r="50" spans="1:41" x14ac:dyDescent="0.45">
      <c r="A50">
        <v>20.68658593</v>
      </c>
      <c r="B50">
        <v>108.67544359999999</v>
      </c>
      <c r="C50">
        <v>13.42199707</v>
      </c>
      <c r="D50">
        <v>27.984041210000001</v>
      </c>
      <c r="E50">
        <f t="shared" si="0"/>
        <v>13.42199707</v>
      </c>
      <c r="F50">
        <f t="shared" si="1"/>
        <v>0</v>
      </c>
      <c r="G50">
        <f t="shared" si="2"/>
        <v>0</v>
      </c>
      <c r="H50">
        <f t="shared" si="3"/>
        <v>0</v>
      </c>
      <c r="I50">
        <f t="shared" si="4"/>
        <v>0</v>
      </c>
      <c r="J50">
        <f t="shared" si="5"/>
        <v>0</v>
      </c>
      <c r="K50" s="1">
        <f t="shared" si="6"/>
        <v>0</v>
      </c>
      <c r="L50" s="1">
        <f t="shared" si="7"/>
        <v>0</v>
      </c>
      <c r="M50" s="1">
        <f t="shared" si="8"/>
        <v>0</v>
      </c>
      <c r="N50" s="1">
        <f t="shared" si="9"/>
        <v>0</v>
      </c>
      <c r="O50" s="1">
        <f t="shared" si="10"/>
        <v>0</v>
      </c>
      <c r="P50" s="1">
        <f t="shared" si="11"/>
        <v>11.990760170482181</v>
      </c>
      <c r="Q50" s="1" t="e">
        <f t="shared" si="12"/>
        <v>#DIV/0!</v>
      </c>
      <c r="R50" s="1" t="e">
        <f t="shared" si="13"/>
        <v>#DIV/0!</v>
      </c>
      <c r="S50" s="1" t="e">
        <f t="shared" si="14"/>
        <v>#DIV/0!</v>
      </c>
      <c r="T50" s="1" t="e">
        <f t="shared" si="15"/>
        <v>#DIV/0!</v>
      </c>
      <c r="U50" s="1" t="e">
        <f t="shared" si="16"/>
        <v>#DIV/0!</v>
      </c>
      <c r="V50">
        <f t="shared" si="17"/>
        <v>428.67970554067091</v>
      </c>
      <c r="W50">
        <f t="shared" si="18"/>
        <v>0</v>
      </c>
      <c r="X50">
        <f t="shared" si="19"/>
        <v>0</v>
      </c>
      <c r="Y50">
        <f t="shared" si="20"/>
        <v>0</v>
      </c>
      <c r="Z50">
        <f t="shared" si="21"/>
        <v>0</v>
      </c>
      <c r="AA50">
        <f t="shared" si="22"/>
        <v>0</v>
      </c>
      <c r="AC50">
        <f t="shared" si="23"/>
        <v>524.88040681928726</v>
      </c>
      <c r="AD50">
        <f t="shared" si="24"/>
        <v>0</v>
      </c>
      <c r="AE50">
        <f t="shared" si="25"/>
        <v>0</v>
      </c>
      <c r="AF50">
        <f t="shared" si="26"/>
        <v>0</v>
      </c>
      <c r="AG50">
        <f t="shared" si="27"/>
        <v>0</v>
      </c>
      <c r="AH50">
        <f t="shared" si="28"/>
        <v>0</v>
      </c>
      <c r="AJ50">
        <f t="shared" si="29"/>
        <v>621.07110809790356</v>
      </c>
      <c r="AK50">
        <f t="shared" si="30"/>
        <v>0</v>
      </c>
      <c r="AL50">
        <f t="shared" si="31"/>
        <v>0</v>
      </c>
      <c r="AM50">
        <f t="shared" si="32"/>
        <v>0</v>
      </c>
      <c r="AN50">
        <f t="shared" si="33"/>
        <v>0</v>
      </c>
      <c r="AO50">
        <f t="shared" si="34"/>
        <v>0</v>
      </c>
    </row>
    <row r="51" spans="1:41" x14ac:dyDescent="0.45">
      <c r="A51">
        <v>20.697423279999999</v>
      </c>
      <c r="B51">
        <v>113.7351985</v>
      </c>
      <c r="C51">
        <v>1.5077229700000001</v>
      </c>
      <c r="D51">
        <v>5.72975397</v>
      </c>
      <c r="E51">
        <f t="shared" si="0"/>
        <v>1.5077229700000001</v>
      </c>
      <c r="F51">
        <f t="shared" si="1"/>
        <v>0</v>
      </c>
      <c r="G51">
        <f t="shared" si="2"/>
        <v>0</v>
      </c>
      <c r="H51">
        <f t="shared" si="3"/>
        <v>0</v>
      </c>
      <c r="I51">
        <f t="shared" si="4"/>
        <v>0</v>
      </c>
      <c r="J51">
        <f t="shared" si="5"/>
        <v>0</v>
      </c>
      <c r="K51" s="1">
        <f t="shared" si="6"/>
        <v>0</v>
      </c>
      <c r="L51" s="1">
        <f t="shared" si="7"/>
        <v>0</v>
      </c>
      <c r="M51" s="1">
        <f t="shared" si="8"/>
        <v>0</v>
      </c>
      <c r="N51" s="1">
        <f t="shared" si="9"/>
        <v>0</v>
      </c>
      <c r="O51" s="1">
        <f t="shared" si="10"/>
        <v>0</v>
      </c>
      <c r="P51" s="1">
        <f t="shared" si="11"/>
        <v>6.5784804107391723</v>
      </c>
      <c r="Q51" s="1" t="e">
        <f t="shared" si="12"/>
        <v>#DIV/0!</v>
      </c>
      <c r="R51" s="1" t="e">
        <f t="shared" si="13"/>
        <v>#DIV/0!</v>
      </c>
      <c r="S51" s="1" t="e">
        <f t="shared" si="14"/>
        <v>#DIV/0!</v>
      </c>
      <c r="T51" s="1" t="e">
        <f t="shared" si="15"/>
        <v>#DIV/0!</v>
      </c>
      <c r="U51" s="1" t="e">
        <f t="shared" si="16"/>
        <v>#DIV/0!</v>
      </c>
      <c r="V51">
        <f t="shared" si="17"/>
        <v>252.7806133490231</v>
      </c>
      <c r="W51">
        <f t="shared" si="18"/>
        <v>0</v>
      </c>
      <c r="X51">
        <f t="shared" si="19"/>
        <v>0</v>
      </c>
      <c r="Y51">
        <f t="shared" si="20"/>
        <v>0</v>
      </c>
      <c r="Z51">
        <f t="shared" si="21"/>
        <v>0</v>
      </c>
      <c r="AA51">
        <f t="shared" si="22"/>
        <v>0</v>
      </c>
      <c r="AC51">
        <f t="shared" si="23"/>
        <v>308.38921642956689</v>
      </c>
      <c r="AD51">
        <f t="shared" si="24"/>
        <v>0</v>
      </c>
      <c r="AE51">
        <f t="shared" si="25"/>
        <v>0</v>
      </c>
      <c r="AF51">
        <f t="shared" si="26"/>
        <v>0</v>
      </c>
      <c r="AG51">
        <f t="shared" si="27"/>
        <v>0</v>
      </c>
      <c r="AH51">
        <f t="shared" si="28"/>
        <v>0</v>
      </c>
      <c r="AJ51">
        <f t="shared" si="29"/>
        <v>363.98781951011068</v>
      </c>
      <c r="AK51">
        <f t="shared" si="30"/>
        <v>0</v>
      </c>
      <c r="AL51">
        <f t="shared" si="31"/>
        <v>0</v>
      </c>
      <c r="AM51">
        <f t="shared" si="32"/>
        <v>0</v>
      </c>
      <c r="AN51">
        <f t="shared" si="33"/>
        <v>0</v>
      </c>
      <c r="AO51">
        <f t="shared" si="34"/>
        <v>0</v>
      </c>
    </row>
    <row r="52" spans="1:41" x14ac:dyDescent="0.45">
      <c r="A52">
        <v>20.704468200000001</v>
      </c>
      <c r="B52">
        <v>113.6410705</v>
      </c>
      <c r="C52">
        <v>1.3314640499999999</v>
      </c>
      <c r="D52">
        <v>5.1420869800000002</v>
      </c>
      <c r="E52">
        <f t="shared" si="0"/>
        <v>1.3314640499999999</v>
      </c>
      <c r="F52">
        <f t="shared" si="1"/>
        <v>0</v>
      </c>
      <c r="G52">
        <f t="shared" si="2"/>
        <v>0</v>
      </c>
      <c r="H52">
        <f t="shared" si="3"/>
        <v>0</v>
      </c>
      <c r="I52">
        <f t="shared" si="4"/>
        <v>0</v>
      </c>
      <c r="J52">
        <f t="shared" si="5"/>
        <v>0</v>
      </c>
      <c r="K52" s="1">
        <f t="shared" si="6"/>
        <v>0</v>
      </c>
      <c r="L52" s="1">
        <f t="shared" si="7"/>
        <v>0</v>
      </c>
      <c r="M52" s="1">
        <f t="shared" si="8"/>
        <v>0</v>
      </c>
      <c r="N52" s="1">
        <f t="shared" si="9"/>
        <v>0</v>
      </c>
      <c r="O52" s="1">
        <f t="shared" si="10"/>
        <v>0</v>
      </c>
      <c r="P52" s="1">
        <f t="shared" si="11"/>
        <v>6.4733640989480099</v>
      </c>
      <c r="Q52" s="1" t="e">
        <f t="shared" si="12"/>
        <v>#DIV/0!</v>
      </c>
      <c r="R52" s="1" t="e">
        <f t="shared" si="13"/>
        <v>#DIV/0!</v>
      </c>
      <c r="S52" s="1" t="e">
        <f t="shared" si="14"/>
        <v>#DIV/0!</v>
      </c>
      <c r="T52" s="1" t="e">
        <f t="shared" si="15"/>
        <v>#DIV/0!</v>
      </c>
      <c r="U52" s="1" t="e">
        <f t="shared" si="16"/>
        <v>#DIV/0!</v>
      </c>
      <c r="V52">
        <f t="shared" si="17"/>
        <v>249.36433321581035</v>
      </c>
      <c r="W52">
        <f t="shared" si="18"/>
        <v>0</v>
      </c>
      <c r="X52">
        <f t="shared" si="19"/>
        <v>0</v>
      </c>
      <c r="Y52">
        <f t="shared" si="20"/>
        <v>0</v>
      </c>
      <c r="Z52">
        <f t="shared" si="21"/>
        <v>0</v>
      </c>
      <c r="AA52">
        <f t="shared" si="22"/>
        <v>0</v>
      </c>
      <c r="AC52">
        <f t="shared" si="23"/>
        <v>304.18456395792037</v>
      </c>
      <c r="AD52">
        <f t="shared" si="24"/>
        <v>0</v>
      </c>
      <c r="AE52">
        <f t="shared" si="25"/>
        <v>0</v>
      </c>
      <c r="AF52">
        <f t="shared" si="26"/>
        <v>0</v>
      </c>
      <c r="AG52">
        <f t="shared" si="27"/>
        <v>0</v>
      </c>
      <c r="AH52">
        <f t="shared" si="28"/>
        <v>0</v>
      </c>
      <c r="AJ52">
        <f t="shared" si="29"/>
        <v>358.99479470003047</v>
      </c>
      <c r="AK52">
        <f t="shared" si="30"/>
        <v>0</v>
      </c>
      <c r="AL52">
        <f t="shared" si="31"/>
        <v>0</v>
      </c>
      <c r="AM52">
        <f t="shared" si="32"/>
        <v>0</v>
      </c>
      <c r="AN52">
        <f t="shared" si="33"/>
        <v>0</v>
      </c>
      <c r="AO52">
        <f t="shared" si="34"/>
        <v>0</v>
      </c>
    </row>
    <row r="53" spans="1:41" x14ac:dyDescent="0.45">
      <c r="A53">
        <v>20.718650440000001</v>
      </c>
      <c r="B53">
        <v>114.5900276</v>
      </c>
      <c r="C53">
        <v>1.06402397</v>
      </c>
      <c r="D53">
        <v>1.57690704</v>
      </c>
      <c r="E53">
        <f t="shared" si="0"/>
        <v>1.06402397</v>
      </c>
      <c r="F53">
        <f t="shared" si="1"/>
        <v>0</v>
      </c>
      <c r="G53">
        <f t="shared" si="2"/>
        <v>0</v>
      </c>
      <c r="H53">
        <f t="shared" si="3"/>
        <v>0</v>
      </c>
      <c r="I53">
        <f t="shared" si="4"/>
        <v>0</v>
      </c>
      <c r="J53">
        <f t="shared" si="5"/>
        <v>0</v>
      </c>
      <c r="K53" s="1">
        <f t="shared" si="6"/>
        <v>0</v>
      </c>
      <c r="L53" s="1">
        <f t="shared" si="7"/>
        <v>0</v>
      </c>
      <c r="M53" s="1">
        <f t="shared" si="8"/>
        <v>0</v>
      </c>
      <c r="N53" s="1">
        <f t="shared" si="9"/>
        <v>0</v>
      </c>
      <c r="O53" s="1">
        <f t="shared" si="10"/>
        <v>0</v>
      </c>
      <c r="P53" s="1">
        <f t="shared" si="11"/>
        <v>16.868844247153593</v>
      </c>
      <c r="Q53" s="1" t="e">
        <f t="shared" si="12"/>
        <v>#DIV/0!</v>
      </c>
      <c r="R53" s="1" t="e">
        <f t="shared" si="13"/>
        <v>#DIV/0!</v>
      </c>
      <c r="S53" s="1" t="e">
        <f t="shared" si="14"/>
        <v>#DIV/0!</v>
      </c>
      <c r="T53" s="1" t="e">
        <f t="shared" si="15"/>
        <v>#DIV/0!</v>
      </c>
      <c r="U53" s="1" t="e">
        <f t="shared" si="16"/>
        <v>#DIV/0!</v>
      </c>
      <c r="V53">
        <f t="shared" si="17"/>
        <v>587.21743803249183</v>
      </c>
      <c r="W53">
        <f t="shared" si="18"/>
        <v>0</v>
      </c>
      <c r="X53">
        <f t="shared" si="19"/>
        <v>0</v>
      </c>
      <c r="Y53">
        <f t="shared" si="20"/>
        <v>0</v>
      </c>
      <c r="Z53">
        <f t="shared" si="21"/>
        <v>0</v>
      </c>
      <c r="AA53">
        <f t="shared" si="22"/>
        <v>0</v>
      </c>
      <c r="AC53">
        <f t="shared" si="23"/>
        <v>720.00376988614369</v>
      </c>
      <c r="AD53">
        <f t="shared" si="24"/>
        <v>0</v>
      </c>
      <c r="AE53">
        <f t="shared" si="25"/>
        <v>0</v>
      </c>
      <c r="AF53">
        <f t="shared" si="26"/>
        <v>0</v>
      </c>
      <c r="AG53">
        <f t="shared" si="27"/>
        <v>0</v>
      </c>
      <c r="AH53">
        <f t="shared" si="28"/>
        <v>0</v>
      </c>
      <c r="AJ53">
        <f t="shared" si="29"/>
        <v>852.78010173979567</v>
      </c>
      <c r="AK53">
        <f t="shared" si="30"/>
        <v>0</v>
      </c>
      <c r="AL53">
        <f t="shared" si="31"/>
        <v>0</v>
      </c>
      <c r="AM53">
        <f t="shared" si="32"/>
        <v>0</v>
      </c>
      <c r="AN53">
        <f t="shared" si="33"/>
        <v>0</v>
      </c>
      <c r="AO53">
        <f t="shared" si="34"/>
        <v>0</v>
      </c>
    </row>
    <row r="54" spans="1:41" x14ac:dyDescent="0.45">
      <c r="A54">
        <v>20.72187147</v>
      </c>
      <c r="B54">
        <v>109.0071868</v>
      </c>
      <c r="C54">
        <v>8.1980371499999993</v>
      </c>
      <c r="D54">
        <v>2.49793792</v>
      </c>
      <c r="E54">
        <f t="shared" si="0"/>
        <v>2.49793792</v>
      </c>
      <c r="F54">
        <f t="shared" si="1"/>
        <v>0</v>
      </c>
      <c r="G54">
        <f t="shared" si="2"/>
        <v>0</v>
      </c>
      <c r="H54">
        <f t="shared" si="3"/>
        <v>0</v>
      </c>
      <c r="I54">
        <f t="shared" si="4"/>
        <v>0</v>
      </c>
      <c r="J54">
        <f t="shared" si="5"/>
        <v>0</v>
      </c>
      <c r="K54" s="1">
        <f t="shared" si="6"/>
        <v>0</v>
      </c>
      <c r="L54" s="1">
        <f t="shared" si="7"/>
        <v>0</v>
      </c>
      <c r="M54" s="1">
        <f t="shared" si="8"/>
        <v>0</v>
      </c>
      <c r="N54" s="1">
        <f t="shared" si="9"/>
        <v>0</v>
      </c>
      <c r="O54" s="1">
        <f t="shared" si="10"/>
        <v>0</v>
      </c>
      <c r="P54" s="1">
        <f t="shared" si="11"/>
        <v>25</v>
      </c>
      <c r="Q54" s="1" t="e">
        <f t="shared" si="12"/>
        <v>#DIV/0!</v>
      </c>
      <c r="R54" s="1" t="e">
        <f t="shared" si="13"/>
        <v>#DIV/0!</v>
      </c>
      <c r="S54" s="1" t="e">
        <f t="shared" si="14"/>
        <v>#DIV/0!</v>
      </c>
      <c r="T54" s="1" t="e">
        <f t="shared" si="15"/>
        <v>#DIV/0!</v>
      </c>
      <c r="U54" s="1" t="e">
        <f t="shared" si="16"/>
        <v>#DIV/0!</v>
      </c>
      <c r="V54">
        <f t="shared" si="17"/>
        <v>851.48</v>
      </c>
      <c r="W54">
        <f t="shared" si="18"/>
        <v>0</v>
      </c>
      <c r="X54">
        <f t="shared" si="19"/>
        <v>0</v>
      </c>
      <c r="Y54">
        <f t="shared" si="20"/>
        <v>0</v>
      </c>
      <c r="Z54">
        <f t="shared" si="21"/>
        <v>0</v>
      </c>
      <c r="AA54">
        <f t="shared" si="22"/>
        <v>0</v>
      </c>
      <c r="AC54">
        <f t="shared" si="23"/>
        <v>1045.25</v>
      </c>
      <c r="AD54">
        <f t="shared" si="24"/>
        <v>0</v>
      </c>
      <c r="AE54">
        <f t="shared" si="25"/>
        <v>0</v>
      </c>
      <c r="AF54">
        <f t="shared" si="26"/>
        <v>0</v>
      </c>
      <c r="AG54">
        <f t="shared" si="27"/>
        <v>0</v>
      </c>
      <c r="AH54">
        <f t="shared" si="28"/>
        <v>0</v>
      </c>
      <c r="AJ54">
        <f t="shared" si="29"/>
        <v>1239.01</v>
      </c>
      <c r="AK54">
        <f t="shared" si="30"/>
        <v>0</v>
      </c>
      <c r="AL54">
        <f t="shared" si="31"/>
        <v>0</v>
      </c>
      <c r="AM54">
        <f t="shared" si="32"/>
        <v>0</v>
      </c>
      <c r="AN54">
        <f t="shared" si="33"/>
        <v>0</v>
      </c>
      <c r="AO54">
        <f t="shared" si="34"/>
        <v>0</v>
      </c>
    </row>
    <row r="55" spans="1:41" x14ac:dyDescent="0.45">
      <c r="A55">
        <v>20.723239800000002</v>
      </c>
      <c r="B55">
        <v>108.9599853</v>
      </c>
      <c r="C55">
        <v>48.680244450000004</v>
      </c>
      <c r="D55">
        <v>6.8943090400000004</v>
      </c>
      <c r="E55">
        <f t="shared" si="0"/>
        <v>6.8943090400000004</v>
      </c>
      <c r="F55">
        <f t="shared" si="1"/>
        <v>0</v>
      </c>
      <c r="G55">
        <f t="shared" si="2"/>
        <v>0</v>
      </c>
      <c r="H55">
        <f t="shared" si="3"/>
        <v>0</v>
      </c>
      <c r="I55">
        <f t="shared" si="4"/>
        <v>0</v>
      </c>
      <c r="J55">
        <f t="shared" si="5"/>
        <v>0</v>
      </c>
      <c r="K55" s="1">
        <f t="shared" si="6"/>
        <v>0</v>
      </c>
      <c r="L55" s="1">
        <f t="shared" si="7"/>
        <v>0</v>
      </c>
      <c r="M55" s="1">
        <f t="shared" si="8"/>
        <v>0</v>
      </c>
      <c r="N55" s="1">
        <f t="shared" si="9"/>
        <v>0</v>
      </c>
      <c r="O55" s="1">
        <f t="shared" si="10"/>
        <v>0</v>
      </c>
      <c r="P55" s="1">
        <f t="shared" si="11"/>
        <v>25</v>
      </c>
      <c r="Q55" s="1" t="e">
        <f t="shared" si="12"/>
        <v>#DIV/0!</v>
      </c>
      <c r="R55" s="1" t="e">
        <f t="shared" si="13"/>
        <v>#DIV/0!</v>
      </c>
      <c r="S55" s="1" t="e">
        <f t="shared" si="14"/>
        <v>#DIV/0!</v>
      </c>
      <c r="T55" s="1" t="e">
        <f t="shared" si="15"/>
        <v>#DIV/0!</v>
      </c>
      <c r="U55" s="1" t="e">
        <f t="shared" si="16"/>
        <v>#DIV/0!</v>
      </c>
      <c r="V55">
        <f t="shared" si="17"/>
        <v>851.48</v>
      </c>
      <c r="W55">
        <f t="shared" si="18"/>
        <v>0</v>
      </c>
      <c r="X55">
        <f t="shared" si="19"/>
        <v>0</v>
      </c>
      <c r="Y55">
        <f t="shared" si="20"/>
        <v>0</v>
      </c>
      <c r="Z55">
        <f t="shared" si="21"/>
        <v>0</v>
      </c>
      <c r="AA55">
        <f t="shared" si="22"/>
        <v>0</v>
      </c>
      <c r="AC55">
        <f t="shared" si="23"/>
        <v>1045.25</v>
      </c>
      <c r="AD55">
        <f t="shared" si="24"/>
        <v>0</v>
      </c>
      <c r="AE55">
        <f t="shared" si="25"/>
        <v>0</v>
      </c>
      <c r="AF55">
        <f t="shared" si="26"/>
        <v>0</v>
      </c>
      <c r="AG55">
        <f t="shared" si="27"/>
        <v>0</v>
      </c>
      <c r="AH55">
        <f t="shared" si="28"/>
        <v>0</v>
      </c>
      <c r="AJ55">
        <f t="shared" si="29"/>
        <v>1239.01</v>
      </c>
      <c r="AK55">
        <f t="shared" si="30"/>
        <v>0</v>
      </c>
      <c r="AL55">
        <f t="shared" si="31"/>
        <v>0</v>
      </c>
      <c r="AM55">
        <f t="shared" si="32"/>
        <v>0</v>
      </c>
      <c r="AN55">
        <f t="shared" si="33"/>
        <v>0</v>
      </c>
      <c r="AO55">
        <f t="shared" si="34"/>
        <v>0</v>
      </c>
    </row>
    <row r="56" spans="1:41" x14ac:dyDescent="0.45">
      <c r="A56">
        <v>20.724586500000001</v>
      </c>
      <c r="B56">
        <v>108.91278250000001</v>
      </c>
      <c r="C56">
        <v>20.883190160000002</v>
      </c>
      <c r="D56">
        <v>4.6523637799999999</v>
      </c>
      <c r="E56">
        <f t="shared" si="0"/>
        <v>4.6523637799999999</v>
      </c>
      <c r="F56">
        <f t="shared" si="1"/>
        <v>0</v>
      </c>
      <c r="G56">
        <f t="shared" si="2"/>
        <v>0</v>
      </c>
      <c r="H56">
        <f t="shared" si="3"/>
        <v>0</v>
      </c>
      <c r="I56">
        <f t="shared" si="4"/>
        <v>0</v>
      </c>
      <c r="J56">
        <f t="shared" si="5"/>
        <v>0</v>
      </c>
      <c r="K56" s="1">
        <f t="shared" si="6"/>
        <v>0</v>
      </c>
      <c r="L56" s="1">
        <f t="shared" si="7"/>
        <v>0</v>
      </c>
      <c r="M56" s="1">
        <f t="shared" si="8"/>
        <v>0</v>
      </c>
      <c r="N56" s="1">
        <f t="shared" si="9"/>
        <v>0</v>
      </c>
      <c r="O56" s="1">
        <f t="shared" si="10"/>
        <v>0</v>
      </c>
      <c r="P56" s="1">
        <f t="shared" si="11"/>
        <v>25</v>
      </c>
      <c r="Q56" s="1" t="e">
        <f t="shared" si="12"/>
        <v>#DIV/0!</v>
      </c>
      <c r="R56" s="1" t="e">
        <f t="shared" si="13"/>
        <v>#DIV/0!</v>
      </c>
      <c r="S56" s="1" t="e">
        <f t="shared" si="14"/>
        <v>#DIV/0!</v>
      </c>
      <c r="T56" s="1" t="e">
        <f t="shared" si="15"/>
        <v>#DIV/0!</v>
      </c>
      <c r="U56" s="1" t="e">
        <f t="shared" si="16"/>
        <v>#DIV/0!</v>
      </c>
      <c r="V56">
        <f t="shared" si="17"/>
        <v>851.48</v>
      </c>
      <c r="W56">
        <f t="shared" si="18"/>
        <v>0</v>
      </c>
      <c r="X56">
        <f t="shared" si="19"/>
        <v>0</v>
      </c>
      <c r="Y56">
        <f t="shared" si="20"/>
        <v>0</v>
      </c>
      <c r="Z56">
        <f t="shared" si="21"/>
        <v>0</v>
      </c>
      <c r="AA56">
        <f t="shared" si="22"/>
        <v>0</v>
      </c>
      <c r="AC56">
        <f t="shared" si="23"/>
        <v>1045.25</v>
      </c>
      <c r="AD56">
        <f t="shared" si="24"/>
        <v>0</v>
      </c>
      <c r="AE56">
        <f t="shared" si="25"/>
        <v>0</v>
      </c>
      <c r="AF56">
        <f t="shared" si="26"/>
        <v>0</v>
      </c>
      <c r="AG56">
        <f t="shared" si="27"/>
        <v>0</v>
      </c>
      <c r="AH56">
        <f t="shared" si="28"/>
        <v>0</v>
      </c>
      <c r="AJ56">
        <f t="shared" si="29"/>
        <v>1239.01</v>
      </c>
      <c r="AK56">
        <f t="shared" si="30"/>
        <v>0</v>
      </c>
      <c r="AL56">
        <f t="shared" si="31"/>
        <v>0</v>
      </c>
      <c r="AM56">
        <f t="shared" si="32"/>
        <v>0</v>
      </c>
      <c r="AN56">
        <f t="shared" si="33"/>
        <v>0</v>
      </c>
      <c r="AO56">
        <f t="shared" si="34"/>
        <v>0</v>
      </c>
    </row>
    <row r="57" spans="1:41" x14ac:dyDescent="0.45">
      <c r="A57">
        <v>20.72721499</v>
      </c>
      <c r="B57">
        <v>108.8183727</v>
      </c>
      <c r="C57">
        <v>100.2393112</v>
      </c>
      <c r="D57">
        <v>1.95888996</v>
      </c>
      <c r="E57">
        <f t="shared" si="0"/>
        <v>1.95888996</v>
      </c>
      <c r="F57">
        <f t="shared" si="1"/>
        <v>0</v>
      </c>
      <c r="G57">
        <f t="shared" si="2"/>
        <v>0</v>
      </c>
      <c r="H57">
        <f t="shared" si="3"/>
        <v>0</v>
      </c>
      <c r="I57">
        <f t="shared" si="4"/>
        <v>0</v>
      </c>
      <c r="J57">
        <f t="shared" si="5"/>
        <v>0</v>
      </c>
      <c r="K57" s="1">
        <f t="shared" si="6"/>
        <v>0</v>
      </c>
      <c r="L57" s="1">
        <f t="shared" si="7"/>
        <v>0</v>
      </c>
      <c r="M57" s="1">
        <f t="shared" si="8"/>
        <v>0</v>
      </c>
      <c r="N57" s="1">
        <f t="shared" si="9"/>
        <v>0</v>
      </c>
      <c r="O57" s="1">
        <f t="shared" si="10"/>
        <v>0</v>
      </c>
      <c r="P57" s="1">
        <f t="shared" si="11"/>
        <v>25</v>
      </c>
      <c r="Q57" s="1" t="e">
        <f t="shared" si="12"/>
        <v>#DIV/0!</v>
      </c>
      <c r="R57" s="1" t="e">
        <f t="shared" si="13"/>
        <v>#DIV/0!</v>
      </c>
      <c r="S57" s="1" t="e">
        <f t="shared" si="14"/>
        <v>#DIV/0!</v>
      </c>
      <c r="T57" s="1" t="e">
        <f t="shared" si="15"/>
        <v>#DIV/0!</v>
      </c>
      <c r="U57" s="1" t="e">
        <f t="shared" si="16"/>
        <v>#DIV/0!</v>
      </c>
      <c r="V57">
        <f t="shared" si="17"/>
        <v>851.48</v>
      </c>
      <c r="W57">
        <f t="shared" si="18"/>
        <v>0</v>
      </c>
      <c r="X57">
        <f t="shared" si="19"/>
        <v>0</v>
      </c>
      <c r="Y57">
        <f t="shared" si="20"/>
        <v>0</v>
      </c>
      <c r="Z57">
        <f t="shared" si="21"/>
        <v>0</v>
      </c>
      <c r="AA57">
        <f t="shared" si="22"/>
        <v>0</v>
      </c>
      <c r="AC57">
        <f t="shared" si="23"/>
        <v>1045.25</v>
      </c>
      <c r="AD57">
        <f t="shared" si="24"/>
        <v>0</v>
      </c>
      <c r="AE57">
        <f t="shared" si="25"/>
        <v>0</v>
      </c>
      <c r="AF57">
        <f t="shared" si="26"/>
        <v>0</v>
      </c>
      <c r="AG57">
        <f t="shared" si="27"/>
        <v>0</v>
      </c>
      <c r="AH57">
        <f t="shared" si="28"/>
        <v>0</v>
      </c>
      <c r="AJ57">
        <f t="shared" si="29"/>
        <v>1239.01</v>
      </c>
      <c r="AK57">
        <f t="shared" si="30"/>
        <v>0</v>
      </c>
      <c r="AL57">
        <f t="shared" si="31"/>
        <v>0</v>
      </c>
      <c r="AM57">
        <f t="shared" si="32"/>
        <v>0</v>
      </c>
      <c r="AN57">
        <f t="shared" si="33"/>
        <v>0</v>
      </c>
      <c r="AO57">
        <f t="shared" si="34"/>
        <v>0</v>
      </c>
    </row>
    <row r="58" spans="1:41" x14ac:dyDescent="0.45">
      <c r="A58">
        <v>20.729756930000001</v>
      </c>
      <c r="B58">
        <v>108.7239575</v>
      </c>
      <c r="C58">
        <v>100.2393112</v>
      </c>
      <c r="D58">
        <v>1.22430599</v>
      </c>
      <c r="E58">
        <f t="shared" si="0"/>
        <v>1.22430599</v>
      </c>
      <c r="F58">
        <f t="shared" si="1"/>
        <v>0</v>
      </c>
      <c r="G58">
        <f t="shared" si="2"/>
        <v>0</v>
      </c>
      <c r="H58">
        <f t="shared" si="3"/>
        <v>0</v>
      </c>
      <c r="I58">
        <f t="shared" si="4"/>
        <v>0</v>
      </c>
      <c r="J58">
        <f t="shared" si="5"/>
        <v>0</v>
      </c>
      <c r="K58" s="1">
        <f t="shared" si="6"/>
        <v>0</v>
      </c>
      <c r="L58" s="1">
        <f t="shared" si="7"/>
        <v>0</v>
      </c>
      <c r="M58" s="1">
        <f t="shared" si="8"/>
        <v>0</v>
      </c>
      <c r="N58" s="1">
        <f t="shared" si="9"/>
        <v>0</v>
      </c>
      <c r="O58" s="1">
        <f t="shared" si="10"/>
        <v>0</v>
      </c>
      <c r="P58" s="1">
        <f t="shared" si="11"/>
        <v>25</v>
      </c>
      <c r="Q58" s="1" t="e">
        <f t="shared" si="12"/>
        <v>#DIV/0!</v>
      </c>
      <c r="R58" s="1" t="e">
        <f t="shared" si="13"/>
        <v>#DIV/0!</v>
      </c>
      <c r="S58" s="1" t="e">
        <f t="shared" si="14"/>
        <v>#DIV/0!</v>
      </c>
      <c r="T58" s="1" t="e">
        <f t="shared" si="15"/>
        <v>#DIV/0!</v>
      </c>
      <c r="U58" s="1" t="e">
        <f t="shared" si="16"/>
        <v>#DIV/0!</v>
      </c>
      <c r="V58">
        <f t="shared" si="17"/>
        <v>851.48</v>
      </c>
      <c r="W58">
        <f t="shared" si="18"/>
        <v>0</v>
      </c>
      <c r="X58">
        <f t="shared" si="19"/>
        <v>0</v>
      </c>
      <c r="Y58">
        <f t="shared" si="20"/>
        <v>0</v>
      </c>
      <c r="Z58">
        <f t="shared" si="21"/>
        <v>0</v>
      </c>
      <c r="AA58">
        <f t="shared" si="22"/>
        <v>0</v>
      </c>
      <c r="AC58">
        <f t="shared" si="23"/>
        <v>1045.25</v>
      </c>
      <c r="AD58">
        <f t="shared" si="24"/>
        <v>0</v>
      </c>
      <c r="AE58">
        <f t="shared" si="25"/>
        <v>0</v>
      </c>
      <c r="AF58">
        <f t="shared" si="26"/>
        <v>0</v>
      </c>
      <c r="AG58">
        <f t="shared" si="27"/>
        <v>0</v>
      </c>
      <c r="AH58">
        <f t="shared" si="28"/>
        <v>0</v>
      </c>
      <c r="AJ58">
        <f t="shared" si="29"/>
        <v>1239.01</v>
      </c>
      <c r="AK58">
        <f t="shared" si="30"/>
        <v>0</v>
      </c>
      <c r="AL58">
        <f t="shared" si="31"/>
        <v>0</v>
      </c>
      <c r="AM58">
        <f t="shared" si="32"/>
        <v>0</v>
      </c>
      <c r="AN58">
        <f t="shared" si="33"/>
        <v>0</v>
      </c>
      <c r="AO58">
        <f t="shared" si="34"/>
        <v>0</v>
      </c>
    </row>
    <row r="59" spans="1:41" x14ac:dyDescent="0.45">
      <c r="A59">
        <v>20.746177490000001</v>
      </c>
      <c r="B59">
        <v>115.77886959999999</v>
      </c>
      <c r="C59">
        <v>0.13861599999999999</v>
      </c>
      <c r="D59">
        <v>2.3789880299999999</v>
      </c>
      <c r="E59">
        <f t="shared" si="0"/>
        <v>0.13861599999999999</v>
      </c>
      <c r="F59">
        <f t="shared" si="1"/>
        <v>1.68590803</v>
      </c>
      <c r="G59">
        <f t="shared" si="2"/>
        <v>0.99282803000000008</v>
      </c>
      <c r="H59">
        <f t="shared" si="3"/>
        <v>0.29974802999999994</v>
      </c>
      <c r="I59">
        <f t="shared" si="4"/>
        <v>0</v>
      </c>
      <c r="J59">
        <f t="shared" si="5"/>
        <v>0</v>
      </c>
      <c r="K59" s="1">
        <f t="shared" si="6"/>
        <v>0.13861599999999999</v>
      </c>
      <c r="L59" s="1">
        <f t="shared" si="7"/>
        <v>0.13861599999999999</v>
      </c>
      <c r="M59" s="1">
        <f t="shared" si="8"/>
        <v>0.13861599999999999</v>
      </c>
      <c r="N59" s="1">
        <f t="shared" si="9"/>
        <v>0</v>
      </c>
      <c r="O59" s="1">
        <f t="shared" si="10"/>
        <v>0</v>
      </c>
      <c r="P59" s="1">
        <f t="shared" si="11"/>
        <v>1.4566697924915579</v>
      </c>
      <c r="Q59" s="1">
        <f t="shared" si="12"/>
        <v>2.0555095167320605</v>
      </c>
      <c r="R59" s="1">
        <f t="shared" si="13"/>
        <v>3.4904332827911793</v>
      </c>
      <c r="S59" s="1">
        <f t="shared" si="14"/>
        <v>11.561043453730123</v>
      </c>
      <c r="T59" s="1" t="e">
        <f t="shared" si="15"/>
        <v>#DIV/0!</v>
      </c>
      <c r="U59" s="1" t="e">
        <f t="shared" si="16"/>
        <v>#DIV/0!</v>
      </c>
      <c r="V59">
        <f t="shared" si="17"/>
        <v>86.321768255975627</v>
      </c>
      <c r="W59">
        <f t="shared" si="18"/>
        <v>116.07160687745227</v>
      </c>
      <c r="X59">
        <f t="shared" si="19"/>
        <v>316.16608634325308</v>
      </c>
      <c r="Y59">
        <f t="shared" si="20"/>
        <v>249.32086907460246</v>
      </c>
      <c r="Z59">
        <f t="shared" si="21"/>
        <v>0</v>
      </c>
      <c r="AA59">
        <f t="shared" si="22"/>
        <v>0</v>
      </c>
      <c r="AC59">
        <f t="shared" si="23"/>
        <v>103.51679169966232</v>
      </c>
      <c r="AD59">
        <f t="shared" si="24"/>
        <v>116.07160687745227</v>
      </c>
      <c r="AE59">
        <f t="shared" si="25"/>
        <v>145.10908169071331</v>
      </c>
      <c r="AF59">
        <f t="shared" si="26"/>
        <v>366.67130361190368</v>
      </c>
      <c r="AG59">
        <f t="shared" si="27"/>
        <v>0</v>
      </c>
      <c r="AH59">
        <f t="shared" si="28"/>
        <v>0</v>
      </c>
      <c r="AJ59">
        <f t="shared" si="29"/>
        <v>120.70181514334899</v>
      </c>
      <c r="AK59">
        <f t="shared" si="30"/>
        <v>138.43792825294273</v>
      </c>
      <c r="AL59">
        <f t="shared" si="31"/>
        <v>184.54341451862513</v>
      </c>
      <c r="AM59">
        <f t="shared" si="32"/>
        <v>463.46912951487963</v>
      </c>
      <c r="AN59">
        <f t="shared" si="33"/>
        <v>0</v>
      </c>
      <c r="AO59">
        <f t="shared" si="34"/>
        <v>0</v>
      </c>
    </row>
    <row r="60" spans="1:41" x14ac:dyDescent="0.45">
      <c r="A60">
        <v>20.758959969999999</v>
      </c>
      <c r="B60">
        <v>114.64126880000001</v>
      </c>
      <c r="C60">
        <v>1.05698705</v>
      </c>
      <c r="D60">
        <v>0.51665698999999998</v>
      </c>
      <c r="E60">
        <f t="shared" si="0"/>
        <v>0.51665698999999998</v>
      </c>
      <c r="F60">
        <f t="shared" si="1"/>
        <v>0</v>
      </c>
      <c r="G60">
        <f t="shared" si="2"/>
        <v>0</v>
      </c>
      <c r="H60">
        <f t="shared" si="3"/>
        <v>0</v>
      </c>
      <c r="I60">
        <f t="shared" si="4"/>
        <v>0</v>
      </c>
      <c r="J60">
        <f t="shared" si="5"/>
        <v>0</v>
      </c>
      <c r="K60" s="1">
        <f t="shared" si="6"/>
        <v>0</v>
      </c>
      <c r="L60" s="1">
        <f t="shared" si="7"/>
        <v>0</v>
      </c>
      <c r="M60" s="1">
        <f t="shared" si="8"/>
        <v>0</v>
      </c>
      <c r="N60" s="1">
        <f t="shared" si="9"/>
        <v>0</v>
      </c>
      <c r="O60" s="1">
        <f t="shared" si="10"/>
        <v>0</v>
      </c>
      <c r="P60" s="1">
        <f t="shared" si="11"/>
        <v>25</v>
      </c>
      <c r="Q60" s="1" t="e">
        <f t="shared" si="12"/>
        <v>#DIV/0!</v>
      </c>
      <c r="R60" s="1" t="e">
        <f t="shared" si="13"/>
        <v>#DIV/0!</v>
      </c>
      <c r="S60" s="1" t="e">
        <f t="shared" si="14"/>
        <v>#DIV/0!</v>
      </c>
      <c r="T60" s="1" t="e">
        <f t="shared" si="15"/>
        <v>#DIV/0!</v>
      </c>
      <c r="U60" s="1" t="e">
        <f t="shared" si="16"/>
        <v>#DIV/0!</v>
      </c>
      <c r="V60">
        <f t="shared" si="17"/>
        <v>851.48</v>
      </c>
      <c r="W60">
        <f t="shared" si="18"/>
        <v>0</v>
      </c>
      <c r="X60">
        <f t="shared" si="19"/>
        <v>0</v>
      </c>
      <c r="Y60">
        <f t="shared" si="20"/>
        <v>0</v>
      </c>
      <c r="Z60">
        <f t="shared" si="21"/>
        <v>0</v>
      </c>
      <c r="AA60">
        <f t="shared" si="22"/>
        <v>0</v>
      </c>
      <c r="AC60">
        <f t="shared" si="23"/>
        <v>1045.25</v>
      </c>
      <c r="AD60">
        <f t="shared" si="24"/>
        <v>0</v>
      </c>
      <c r="AE60">
        <f t="shared" si="25"/>
        <v>0</v>
      </c>
      <c r="AF60">
        <f t="shared" si="26"/>
        <v>0</v>
      </c>
      <c r="AG60">
        <f t="shared" si="27"/>
        <v>0</v>
      </c>
      <c r="AH60">
        <f t="shared" si="28"/>
        <v>0</v>
      </c>
      <c r="AJ60">
        <f t="shared" si="29"/>
        <v>1239.01</v>
      </c>
      <c r="AK60">
        <f t="shared" si="30"/>
        <v>0</v>
      </c>
      <c r="AL60">
        <f t="shared" si="31"/>
        <v>0</v>
      </c>
      <c r="AM60">
        <f t="shared" si="32"/>
        <v>0</v>
      </c>
      <c r="AN60">
        <f t="shared" si="33"/>
        <v>0</v>
      </c>
      <c r="AO60">
        <f t="shared" si="34"/>
        <v>0</v>
      </c>
    </row>
    <row r="61" spans="1:41" x14ac:dyDescent="0.45">
      <c r="A61">
        <v>20.762908299999999</v>
      </c>
      <c r="B61">
        <v>114.594212</v>
      </c>
      <c r="C61">
        <v>1.69117999</v>
      </c>
      <c r="D61">
        <v>1.22430599</v>
      </c>
      <c r="E61">
        <f t="shared" si="0"/>
        <v>1.22430599</v>
      </c>
      <c r="F61">
        <f t="shared" si="1"/>
        <v>0</v>
      </c>
      <c r="G61">
        <f t="shared" si="2"/>
        <v>0</v>
      </c>
      <c r="H61">
        <f t="shared" si="3"/>
        <v>0</v>
      </c>
      <c r="I61">
        <f t="shared" si="4"/>
        <v>0</v>
      </c>
      <c r="J61">
        <f t="shared" si="5"/>
        <v>0</v>
      </c>
      <c r="K61" s="1">
        <f t="shared" si="6"/>
        <v>0</v>
      </c>
      <c r="L61" s="1">
        <f t="shared" si="7"/>
        <v>0</v>
      </c>
      <c r="M61" s="1">
        <f t="shared" si="8"/>
        <v>0</v>
      </c>
      <c r="N61" s="1">
        <f t="shared" si="9"/>
        <v>0</v>
      </c>
      <c r="O61" s="1">
        <f t="shared" si="10"/>
        <v>0</v>
      </c>
      <c r="P61" s="1">
        <f t="shared" si="11"/>
        <v>25</v>
      </c>
      <c r="Q61" s="1" t="e">
        <f t="shared" si="12"/>
        <v>#DIV/0!</v>
      </c>
      <c r="R61" s="1" t="e">
        <f t="shared" si="13"/>
        <v>#DIV/0!</v>
      </c>
      <c r="S61" s="1" t="e">
        <f t="shared" si="14"/>
        <v>#DIV/0!</v>
      </c>
      <c r="T61" s="1" t="e">
        <f t="shared" si="15"/>
        <v>#DIV/0!</v>
      </c>
      <c r="U61" s="1" t="e">
        <f t="shared" si="16"/>
        <v>#DIV/0!</v>
      </c>
      <c r="V61">
        <f t="shared" si="17"/>
        <v>851.48</v>
      </c>
      <c r="W61">
        <f t="shared" si="18"/>
        <v>0</v>
      </c>
      <c r="X61">
        <f t="shared" si="19"/>
        <v>0</v>
      </c>
      <c r="Y61">
        <f t="shared" si="20"/>
        <v>0</v>
      </c>
      <c r="Z61">
        <f t="shared" si="21"/>
        <v>0</v>
      </c>
      <c r="AA61">
        <f t="shared" si="22"/>
        <v>0</v>
      </c>
      <c r="AC61">
        <f t="shared" si="23"/>
        <v>1045.25</v>
      </c>
      <c r="AD61">
        <f t="shared" si="24"/>
        <v>0</v>
      </c>
      <c r="AE61">
        <f t="shared" si="25"/>
        <v>0</v>
      </c>
      <c r="AF61">
        <f t="shared" si="26"/>
        <v>0</v>
      </c>
      <c r="AG61">
        <f t="shared" si="27"/>
        <v>0</v>
      </c>
      <c r="AH61">
        <f t="shared" si="28"/>
        <v>0</v>
      </c>
      <c r="AJ61">
        <f t="shared" si="29"/>
        <v>1239.01</v>
      </c>
      <c r="AK61">
        <f t="shared" si="30"/>
        <v>0</v>
      </c>
      <c r="AL61">
        <f t="shared" si="31"/>
        <v>0</v>
      </c>
      <c r="AM61">
        <f t="shared" si="32"/>
        <v>0</v>
      </c>
      <c r="AN61">
        <f t="shared" si="33"/>
        <v>0</v>
      </c>
      <c r="AO61">
        <f t="shared" si="34"/>
        <v>0</v>
      </c>
    </row>
    <row r="62" spans="1:41" x14ac:dyDescent="0.45">
      <c r="A62">
        <v>20.766283229999999</v>
      </c>
      <c r="B62">
        <v>109.0086534</v>
      </c>
      <c r="C62">
        <v>53.326988219999997</v>
      </c>
      <c r="D62">
        <v>2.9737360499999999</v>
      </c>
      <c r="E62">
        <f t="shared" si="0"/>
        <v>2.9737360499999999</v>
      </c>
      <c r="F62">
        <f t="shared" si="1"/>
        <v>0</v>
      </c>
      <c r="G62">
        <f t="shared" si="2"/>
        <v>0</v>
      </c>
      <c r="H62">
        <f t="shared" si="3"/>
        <v>0</v>
      </c>
      <c r="I62">
        <f t="shared" si="4"/>
        <v>0</v>
      </c>
      <c r="J62">
        <f t="shared" si="5"/>
        <v>0</v>
      </c>
      <c r="K62" s="1">
        <f t="shared" si="6"/>
        <v>0</v>
      </c>
      <c r="L62" s="1">
        <f t="shared" si="7"/>
        <v>0</v>
      </c>
      <c r="M62" s="1">
        <f t="shared" si="8"/>
        <v>0</v>
      </c>
      <c r="N62" s="1">
        <f t="shared" si="9"/>
        <v>0</v>
      </c>
      <c r="O62" s="1">
        <f t="shared" si="10"/>
        <v>0</v>
      </c>
      <c r="P62" s="1">
        <f t="shared" si="11"/>
        <v>25</v>
      </c>
      <c r="Q62" s="1" t="e">
        <f t="shared" si="12"/>
        <v>#DIV/0!</v>
      </c>
      <c r="R62" s="1" t="e">
        <f t="shared" si="13"/>
        <v>#DIV/0!</v>
      </c>
      <c r="S62" s="1" t="e">
        <f t="shared" si="14"/>
        <v>#DIV/0!</v>
      </c>
      <c r="T62" s="1" t="e">
        <f t="shared" si="15"/>
        <v>#DIV/0!</v>
      </c>
      <c r="U62" s="1" t="e">
        <f t="shared" si="16"/>
        <v>#DIV/0!</v>
      </c>
      <c r="V62">
        <f t="shared" si="17"/>
        <v>851.48</v>
      </c>
      <c r="W62">
        <f t="shared" si="18"/>
        <v>0</v>
      </c>
      <c r="X62">
        <f t="shared" si="19"/>
        <v>0</v>
      </c>
      <c r="Y62">
        <f t="shared" si="20"/>
        <v>0</v>
      </c>
      <c r="Z62">
        <f t="shared" si="21"/>
        <v>0</v>
      </c>
      <c r="AA62">
        <f t="shared" si="22"/>
        <v>0</v>
      </c>
      <c r="AC62">
        <f t="shared" si="23"/>
        <v>1045.25</v>
      </c>
      <c r="AD62">
        <f t="shared" si="24"/>
        <v>0</v>
      </c>
      <c r="AE62">
        <f t="shared" si="25"/>
        <v>0</v>
      </c>
      <c r="AF62">
        <f t="shared" si="26"/>
        <v>0</v>
      </c>
      <c r="AG62">
        <f t="shared" si="27"/>
        <v>0</v>
      </c>
      <c r="AH62">
        <f t="shared" si="28"/>
        <v>0</v>
      </c>
      <c r="AJ62">
        <f t="shared" si="29"/>
        <v>1239.01</v>
      </c>
      <c r="AK62">
        <f t="shared" si="30"/>
        <v>0</v>
      </c>
      <c r="AL62">
        <f t="shared" si="31"/>
        <v>0</v>
      </c>
      <c r="AM62">
        <f t="shared" si="32"/>
        <v>0</v>
      </c>
      <c r="AN62">
        <f t="shared" si="33"/>
        <v>0</v>
      </c>
      <c r="AO62">
        <f t="shared" si="34"/>
        <v>0</v>
      </c>
    </row>
    <row r="63" spans="1:41" x14ac:dyDescent="0.45">
      <c r="A63">
        <v>20.76900011</v>
      </c>
      <c r="B63">
        <v>108.91420309999999</v>
      </c>
      <c r="C63">
        <v>42.338005070000001</v>
      </c>
      <c r="D63">
        <v>7.8282151200000003</v>
      </c>
      <c r="E63">
        <f t="shared" si="0"/>
        <v>7.8282151200000003</v>
      </c>
      <c r="F63">
        <f t="shared" si="1"/>
        <v>0</v>
      </c>
      <c r="G63">
        <f t="shared" si="2"/>
        <v>0</v>
      </c>
      <c r="H63">
        <f t="shared" si="3"/>
        <v>0</v>
      </c>
      <c r="I63">
        <f t="shared" si="4"/>
        <v>0</v>
      </c>
      <c r="J63">
        <f t="shared" si="5"/>
        <v>0</v>
      </c>
      <c r="K63" s="1">
        <f t="shared" si="6"/>
        <v>0</v>
      </c>
      <c r="L63" s="1">
        <f t="shared" si="7"/>
        <v>0</v>
      </c>
      <c r="M63" s="1">
        <f t="shared" si="8"/>
        <v>0</v>
      </c>
      <c r="N63" s="1">
        <f t="shared" si="9"/>
        <v>0</v>
      </c>
      <c r="O63" s="1">
        <f t="shared" si="10"/>
        <v>0</v>
      </c>
      <c r="P63" s="1">
        <f t="shared" si="11"/>
        <v>25</v>
      </c>
      <c r="Q63" s="1" t="e">
        <f t="shared" si="12"/>
        <v>#DIV/0!</v>
      </c>
      <c r="R63" s="1" t="e">
        <f t="shared" si="13"/>
        <v>#DIV/0!</v>
      </c>
      <c r="S63" s="1" t="e">
        <f t="shared" si="14"/>
        <v>#DIV/0!</v>
      </c>
      <c r="T63" s="1" t="e">
        <f t="shared" si="15"/>
        <v>#DIV/0!</v>
      </c>
      <c r="U63" s="1" t="e">
        <f t="shared" si="16"/>
        <v>#DIV/0!</v>
      </c>
      <c r="V63">
        <f t="shared" si="17"/>
        <v>851.48</v>
      </c>
      <c r="W63">
        <f t="shared" si="18"/>
        <v>0</v>
      </c>
      <c r="X63">
        <f t="shared" si="19"/>
        <v>0</v>
      </c>
      <c r="Y63">
        <f t="shared" si="20"/>
        <v>0</v>
      </c>
      <c r="Z63">
        <f t="shared" si="21"/>
        <v>0</v>
      </c>
      <c r="AA63">
        <f t="shared" si="22"/>
        <v>0</v>
      </c>
      <c r="AC63">
        <f t="shared" si="23"/>
        <v>1045.25</v>
      </c>
      <c r="AD63">
        <f t="shared" si="24"/>
        <v>0</v>
      </c>
      <c r="AE63">
        <f t="shared" si="25"/>
        <v>0</v>
      </c>
      <c r="AF63">
        <f t="shared" si="26"/>
        <v>0</v>
      </c>
      <c r="AG63">
        <f t="shared" si="27"/>
        <v>0</v>
      </c>
      <c r="AH63">
        <f t="shared" si="28"/>
        <v>0</v>
      </c>
      <c r="AJ63">
        <f t="shared" si="29"/>
        <v>1239.01</v>
      </c>
      <c r="AK63">
        <f t="shared" si="30"/>
        <v>0</v>
      </c>
      <c r="AL63">
        <f t="shared" si="31"/>
        <v>0</v>
      </c>
      <c r="AM63">
        <f t="shared" si="32"/>
        <v>0</v>
      </c>
      <c r="AN63">
        <f t="shared" si="33"/>
        <v>0</v>
      </c>
      <c r="AO63">
        <f t="shared" si="34"/>
        <v>0</v>
      </c>
    </row>
    <row r="64" spans="1:41" x14ac:dyDescent="0.45">
      <c r="A64">
        <v>20.770326069999999</v>
      </c>
      <c r="B64">
        <v>108.8669759</v>
      </c>
      <c r="C64">
        <v>79.356124879999996</v>
      </c>
      <c r="D64">
        <v>1.95888996</v>
      </c>
      <c r="E64">
        <f t="shared" si="0"/>
        <v>1.95888996</v>
      </c>
      <c r="F64">
        <f t="shared" si="1"/>
        <v>0</v>
      </c>
      <c r="G64">
        <f t="shared" si="2"/>
        <v>0</v>
      </c>
      <c r="H64">
        <f t="shared" si="3"/>
        <v>0</v>
      </c>
      <c r="I64">
        <f t="shared" si="4"/>
        <v>0</v>
      </c>
      <c r="J64">
        <f t="shared" si="5"/>
        <v>0</v>
      </c>
      <c r="K64" s="1">
        <f t="shared" si="6"/>
        <v>0</v>
      </c>
      <c r="L64" s="1">
        <f t="shared" si="7"/>
        <v>0</v>
      </c>
      <c r="M64" s="1">
        <f t="shared" si="8"/>
        <v>0</v>
      </c>
      <c r="N64" s="1">
        <f t="shared" si="9"/>
        <v>0</v>
      </c>
      <c r="O64" s="1">
        <f t="shared" si="10"/>
        <v>0</v>
      </c>
      <c r="P64" s="1">
        <f t="shared" si="11"/>
        <v>25</v>
      </c>
      <c r="Q64" s="1" t="e">
        <f t="shared" si="12"/>
        <v>#DIV/0!</v>
      </c>
      <c r="R64" s="1" t="e">
        <f t="shared" si="13"/>
        <v>#DIV/0!</v>
      </c>
      <c r="S64" s="1" t="e">
        <f t="shared" si="14"/>
        <v>#DIV/0!</v>
      </c>
      <c r="T64" s="1" t="e">
        <f t="shared" si="15"/>
        <v>#DIV/0!</v>
      </c>
      <c r="U64" s="1" t="e">
        <f t="shared" si="16"/>
        <v>#DIV/0!</v>
      </c>
      <c r="V64">
        <f t="shared" si="17"/>
        <v>851.48</v>
      </c>
      <c r="W64">
        <f t="shared" si="18"/>
        <v>0</v>
      </c>
      <c r="X64">
        <f t="shared" si="19"/>
        <v>0</v>
      </c>
      <c r="Y64">
        <f t="shared" si="20"/>
        <v>0</v>
      </c>
      <c r="Z64">
        <f t="shared" si="21"/>
        <v>0</v>
      </c>
      <c r="AA64">
        <f t="shared" si="22"/>
        <v>0</v>
      </c>
      <c r="AC64">
        <f t="shared" si="23"/>
        <v>1045.25</v>
      </c>
      <c r="AD64">
        <f t="shared" si="24"/>
        <v>0</v>
      </c>
      <c r="AE64">
        <f t="shared" si="25"/>
        <v>0</v>
      </c>
      <c r="AF64">
        <f t="shared" si="26"/>
        <v>0</v>
      </c>
      <c r="AG64">
        <f t="shared" si="27"/>
        <v>0</v>
      </c>
      <c r="AH64">
        <f t="shared" si="28"/>
        <v>0</v>
      </c>
      <c r="AJ64">
        <f t="shared" si="29"/>
        <v>1239.01</v>
      </c>
      <c r="AK64">
        <f t="shared" si="30"/>
        <v>0</v>
      </c>
      <c r="AL64">
        <f t="shared" si="31"/>
        <v>0</v>
      </c>
      <c r="AM64">
        <f t="shared" si="32"/>
        <v>0</v>
      </c>
      <c r="AN64">
        <f t="shared" si="33"/>
        <v>0</v>
      </c>
      <c r="AO64">
        <f t="shared" si="34"/>
        <v>0</v>
      </c>
    </row>
    <row r="65" spans="1:41" x14ac:dyDescent="0.45">
      <c r="A65">
        <v>20.771630380000001</v>
      </c>
      <c r="B65">
        <v>108.8197473</v>
      </c>
      <c r="C65">
        <v>100.2393112</v>
      </c>
      <c r="D65">
        <v>2.44861197</v>
      </c>
      <c r="E65">
        <f t="shared" si="0"/>
        <v>2.44861197</v>
      </c>
      <c r="F65">
        <f t="shared" si="1"/>
        <v>0</v>
      </c>
      <c r="G65">
        <f t="shared" si="2"/>
        <v>0</v>
      </c>
      <c r="H65">
        <f t="shared" si="3"/>
        <v>0</v>
      </c>
      <c r="I65">
        <f t="shared" si="4"/>
        <v>0</v>
      </c>
      <c r="J65">
        <f t="shared" si="5"/>
        <v>0</v>
      </c>
      <c r="K65" s="1">
        <f t="shared" si="6"/>
        <v>0</v>
      </c>
      <c r="L65" s="1">
        <f t="shared" si="7"/>
        <v>0</v>
      </c>
      <c r="M65" s="1">
        <f t="shared" si="8"/>
        <v>0</v>
      </c>
      <c r="N65" s="1">
        <f t="shared" si="9"/>
        <v>0</v>
      </c>
      <c r="O65" s="1">
        <f t="shared" si="10"/>
        <v>0</v>
      </c>
      <c r="P65" s="1">
        <f t="shared" si="11"/>
        <v>25</v>
      </c>
      <c r="Q65" s="1" t="e">
        <f t="shared" si="12"/>
        <v>#DIV/0!</v>
      </c>
      <c r="R65" s="1" t="e">
        <f t="shared" si="13"/>
        <v>#DIV/0!</v>
      </c>
      <c r="S65" s="1" t="e">
        <f t="shared" si="14"/>
        <v>#DIV/0!</v>
      </c>
      <c r="T65" s="1" t="e">
        <f t="shared" si="15"/>
        <v>#DIV/0!</v>
      </c>
      <c r="U65" s="1" t="e">
        <f t="shared" si="16"/>
        <v>#DIV/0!</v>
      </c>
      <c r="V65">
        <f t="shared" si="17"/>
        <v>851.48</v>
      </c>
      <c r="W65">
        <f t="shared" si="18"/>
        <v>0</v>
      </c>
      <c r="X65">
        <f t="shared" si="19"/>
        <v>0</v>
      </c>
      <c r="Y65">
        <f t="shared" si="20"/>
        <v>0</v>
      </c>
      <c r="Z65">
        <f t="shared" si="21"/>
        <v>0</v>
      </c>
      <c r="AA65">
        <f t="shared" si="22"/>
        <v>0</v>
      </c>
      <c r="AC65">
        <f t="shared" si="23"/>
        <v>1045.25</v>
      </c>
      <c r="AD65">
        <f t="shared" si="24"/>
        <v>0</v>
      </c>
      <c r="AE65">
        <f t="shared" si="25"/>
        <v>0</v>
      </c>
      <c r="AF65">
        <f t="shared" si="26"/>
        <v>0</v>
      </c>
      <c r="AG65">
        <f t="shared" si="27"/>
        <v>0</v>
      </c>
      <c r="AH65">
        <f t="shared" si="28"/>
        <v>0</v>
      </c>
      <c r="AJ65">
        <f t="shared" si="29"/>
        <v>1239.01</v>
      </c>
      <c r="AK65">
        <f t="shared" si="30"/>
        <v>0</v>
      </c>
      <c r="AL65">
        <f t="shared" si="31"/>
        <v>0</v>
      </c>
      <c r="AM65">
        <f t="shared" si="32"/>
        <v>0</v>
      </c>
      <c r="AN65">
        <f t="shared" si="33"/>
        <v>0</v>
      </c>
      <c r="AO65">
        <f t="shared" si="34"/>
        <v>0</v>
      </c>
    </row>
    <row r="66" spans="1:41" x14ac:dyDescent="0.45">
      <c r="A66">
        <v>20.772913039999999</v>
      </c>
      <c r="B66">
        <v>108.7725174</v>
      </c>
      <c r="C66">
        <v>100.2393112</v>
      </c>
      <c r="D66">
        <v>16.315107350000002</v>
      </c>
      <c r="E66">
        <f t="shared" si="0"/>
        <v>16.315107350000002</v>
      </c>
      <c r="F66">
        <f t="shared" si="1"/>
        <v>0</v>
      </c>
      <c r="G66">
        <f t="shared" si="2"/>
        <v>0</v>
      </c>
      <c r="H66">
        <f t="shared" si="3"/>
        <v>0</v>
      </c>
      <c r="I66">
        <f t="shared" si="4"/>
        <v>0</v>
      </c>
      <c r="J66">
        <f t="shared" si="5"/>
        <v>0</v>
      </c>
      <c r="K66" s="1">
        <f t="shared" si="6"/>
        <v>0</v>
      </c>
      <c r="L66" s="1">
        <f t="shared" si="7"/>
        <v>0</v>
      </c>
      <c r="M66" s="1">
        <f t="shared" si="8"/>
        <v>0</v>
      </c>
      <c r="N66" s="1">
        <f t="shared" si="9"/>
        <v>0</v>
      </c>
      <c r="O66" s="1">
        <f t="shared" si="10"/>
        <v>0</v>
      </c>
      <c r="P66" s="1">
        <f t="shared" si="11"/>
        <v>25</v>
      </c>
      <c r="Q66" s="1" t="e">
        <f t="shared" si="12"/>
        <v>#DIV/0!</v>
      </c>
      <c r="R66" s="1" t="e">
        <f t="shared" si="13"/>
        <v>#DIV/0!</v>
      </c>
      <c r="S66" s="1" t="e">
        <f t="shared" si="14"/>
        <v>#DIV/0!</v>
      </c>
      <c r="T66" s="1" t="e">
        <f t="shared" si="15"/>
        <v>#DIV/0!</v>
      </c>
      <c r="U66" s="1" t="e">
        <f t="shared" si="16"/>
        <v>#DIV/0!</v>
      </c>
      <c r="V66">
        <f t="shared" si="17"/>
        <v>851.48</v>
      </c>
      <c r="W66">
        <f t="shared" si="18"/>
        <v>0</v>
      </c>
      <c r="X66">
        <f t="shared" si="19"/>
        <v>0</v>
      </c>
      <c r="Y66">
        <f t="shared" si="20"/>
        <v>0</v>
      </c>
      <c r="Z66">
        <f t="shared" si="21"/>
        <v>0</v>
      </c>
      <c r="AA66">
        <f t="shared" si="22"/>
        <v>0</v>
      </c>
      <c r="AC66">
        <f t="shared" si="23"/>
        <v>1045.25</v>
      </c>
      <c r="AD66">
        <f t="shared" si="24"/>
        <v>0</v>
      </c>
      <c r="AE66">
        <f t="shared" si="25"/>
        <v>0</v>
      </c>
      <c r="AF66">
        <f t="shared" si="26"/>
        <v>0</v>
      </c>
      <c r="AG66">
        <f t="shared" si="27"/>
        <v>0</v>
      </c>
      <c r="AH66">
        <f t="shared" si="28"/>
        <v>0</v>
      </c>
      <c r="AJ66">
        <f t="shared" si="29"/>
        <v>1239.01</v>
      </c>
      <c r="AK66">
        <f t="shared" si="30"/>
        <v>0</v>
      </c>
      <c r="AL66">
        <f t="shared" si="31"/>
        <v>0</v>
      </c>
      <c r="AM66">
        <f t="shared" si="32"/>
        <v>0</v>
      </c>
      <c r="AN66">
        <f t="shared" si="33"/>
        <v>0</v>
      </c>
      <c r="AO66">
        <f t="shared" si="34"/>
        <v>0</v>
      </c>
    </row>
    <row r="67" spans="1:41" x14ac:dyDescent="0.45">
      <c r="A67">
        <v>20.774174049999999</v>
      </c>
      <c r="B67">
        <v>108.72528610000001</v>
      </c>
      <c r="C67">
        <v>14.30326176</v>
      </c>
      <c r="D67">
        <v>5.4750981300000001</v>
      </c>
      <c r="E67">
        <f t="shared" ref="E67:E130" si="35">MIN(C67,D67)</f>
        <v>5.4750981300000001</v>
      </c>
      <c r="F67">
        <f t="shared" ref="F67:F130" si="36">MAX(0,(D67-(C67*(2030-2025))))</f>
        <v>0</v>
      </c>
      <c r="G67">
        <f t="shared" ref="G67:G130" si="37">MAX(0,(D67-(C67*(2035-2025))))</f>
        <v>0</v>
      </c>
      <c r="H67">
        <f t="shared" ref="H67:H130" si="38">MAX(0,(D67-(C67*(2040-2025))))</f>
        <v>0</v>
      </c>
      <c r="I67">
        <f t="shared" ref="I67:I130" si="39">MAX(0,(D67-(C67*(2045-2025))))</f>
        <v>0</v>
      </c>
      <c r="J67">
        <f t="shared" ref="J67:J130" si="40">MAX(0,(D67-(C67*(2050-2025))))</f>
        <v>0</v>
      </c>
      <c r="K67" s="1">
        <f t="shared" ref="K67:K130" si="41">MIN(E67,F67)</f>
        <v>0</v>
      </c>
      <c r="L67" s="1">
        <f t="shared" ref="L67:L130" si="42">MIN(E67,G67)</f>
        <v>0</v>
      </c>
      <c r="M67" s="1">
        <f t="shared" ref="M67:M130" si="43">MIN(E67,H67)</f>
        <v>0</v>
      </c>
      <c r="N67" s="1">
        <f t="shared" ref="N67:N130" si="44">MIN(E67,I67)</f>
        <v>0</v>
      </c>
      <c r="O67" s="1">
        <f t="shared" ref="O67:O130" si="45">MIN(E67,J67)</f>
        <v>0</v>
      </c>
      <c r="P67" s="1">
        <f t="shared" ref="P67:P130" si="46">MAX(1,((25*E67)/D67))</f>
        <v>25</v>
      </c>
      <c r="Q67" s="1" t="e">
        <f t="shared" ref="Q67:Q130" si="47">MAX(1, ((25*K67)/F67))</f>
        <v>#DIV/0!</v>
      </c>
      <c r="R67" s="1" t="e">
        <f t="shared" ref="R67:R130" si="48">MAX(1, ((25*L67)/G67))</f>
        <v>#DIV/0!</v>
      </c>
      <c r="S67" s="1" t="e">
        <f t="shared" ref="S67:S130" si="49">MAX(1, ((25*M67)/H67))</f>
        <v>#DIV/0!</v>
      </c>
      <c r="T67" s="1" t="e">
        <f t="shared" ref="T67:T130" si="50">MAX(1, ((25*N67)/I67))</f>
        <v>#DIV/0!</v>
      </c>
      <c r="U67" s="1" t="e">
        <f t="shared" ref="U67:U130" si="51">MAX(1, ((25*O67)/J67))</f>
        <v>#DIV/0!</v>
      </c>
      <c r="V67">
        <f t="shared" ref="V67:V130" si="52">(32.02+6.96+(0.13*250*P67))</f>
        <v>851.48</v>
      </c>
      <c r="W67">
        <f t="shared" ref="W67:W130" si="53">IF(F67&gt;0,(32.72+6.27+(0.15*250*Q67)),F67)</f>
        <v>0</v>
      </c>
      <c r="X67">
        <f t="shared" ref="X67:X130" si="54">IF(G67&gt;0,(22.27+4.87+(0.1*250*S67)),G67)</f>
        <v>0</v>
      </c>
      <c r="Y67">
        <f t="shared" ref="Y67:Y130" si="55">IF(H67&gt;0,(13.92+4.18+(0.08*250*S67)),H67)</f>
        <v>0</v>
      </c>
      <c r="Z67">
        <f t="shared" ref="Z67:Z130" si="56">IF(I67&gt;0,(11.14+3.48+(0.07*250*T67)),I67)</f>
        <v>0</v>
      </c>
      <c r="AA67">
        <f t="shared" ref="AA67:AA130" si="57">IF(J67&gt;0,(9.75+2.78+(0.07*250*U67)),J67)</f>
        <v>0</v>
      </c>
      <c r="AC67">
        <f t="shared" ref="AC67:AC130" si="58">IF(D67&gt;0,(37.59+7.66+(0.16*250*P67)),D67)</f>
        <v>1045.25</v>
      </c>
      <c r="AD67">
        <f t="shared" ref="AD67:AD130" si="59">IF(F67&gt;0,(32.72+6.27+(0.15*250*Q67)),F67)</f>
        <v>0</v>
      </c>
      <c r="AE67">
        <f t="shared" ref="AE67:AE130" si="60">IF(G67&gt;0,(26.45+5.22+(0.13*250*R67)),G67)</f>
        <v>0</v>
      </c>
      <c r="AF67">
        <f t="shared" ref="AF67:AF130" si="61">IF(H67&gt;0,(15.31+4.53+(0.12*250*S67)),H67)</f>
        <v>0</v>
      </c>
      <c r="AG67">
        <f t="shared" ref="AG67:AG130" si="62">IF(I67&gt;0,(16.01+3.83+(0.11*250+T67)),I67)</f>
        <v>0</v>
      </c>
      <c r="AH67">
        <f t="shared" ref="AH67:AH130" si="63">IF(J67,(13.23+3.13+(0.1*250*U67)),J67)</f>
        <v>0</v>
      </c>
      <c r="AJ67">
        <f t="shared" ref="AJ67:AJ130" si="64">(43.16+8.35+(0.19*250*P67))</f>
        <v>1239.01</v>
      </c>
      <c r="AK67">
        <f t="shared" ref="AK67:AK130" si="65">IF(F67&gt;0,(38.98+6.96+(0.18*250*Q67)),F67)</f>
        <v>0</v>
      </c>
      <c r="AL67">
        <f t="shared" ref="AL67:AL130" si="66">IF(G67&gt;0,(30.63+5.57+(0.17*250*R67)),G67)</f>
        <v>0</v>
      </c>
      <c r="AM67">
        <f t="shared" ref="AM67:AM130" si="67">IF(H67&gt;0,(25.06+4.87+(0.15*250*S67)),H67)</f>
        <v>0</v>
      </c>
      <c r="AN67">
        <f t="shared" ref="AN67:AN130" si="68">IF(I67&gt;0,(20.88+4.18+(0.15*250*T67)),I67)</f>
        <v>0</v>
      </c>
      <c r="AO67">
        <f t="shared" ref="AO67:AO130" si="69">IF(J67,(16.71+3.48+(0.14*250*U67)),J67)</f>
        <v>0</v>
      </c>
    </row>
    <row r="68" spans="1:41" x14ac:dyDescent="0.45">
      <c r="A68">
        <v>20.776631089999999</v>
      </c>
      <c r="B68">
        <v>108.6308198</v>
      </c>
      <c r="C68">
        <v>47.949611660000002</v>
      </c>
      <c r="D68">
        <v>2.4486129299999999</v>
      </c>
      <c r="E68">
        <f t="shared" si="35"/>
        <v>2.4486129299999999</v>
      </c>
      <c r="F68">
        <f t="shared" si="36"/>
        <v>0</v>
      </c>
      <c r="G68">
        <f t="shared" si="37"/>
        <v>0</v>
      </c>
      <c r="H68">
        <f t="shared" si="38"/>
        <v>0</v>
      </c>
      <c r="I68">
        <f t="shared" si="39"/>
        <v>0</v>
      </c>
      <c r="J68">
        <f t="shared" si="40"/>
        <v>0</v>
      </c>
      <c r="K68" s="1">
        <f t="shared" si="41"/>
        <v>0</v>
      </c>
      <c r="L68" s="1">
        <f t="shared" si="42"/>
        <v>0</v>
      </c>
      <c r="M68" s="1">
        <f t="shared" si="43"/>
        <v>0</v>
      </c>
      <c r="N68" s="1">
        <f t="shared" si="44"/>
        <v>0</v>
      </c>
      <c r="O68" s="1">
        <f t="shared" si="45"/>
        <v>0</v>
      </c>
      <c r="P68" s="1">
        <f t="shared" si="46"/>
        <v>25</v>
      </c>
      <c r="Q68" s="1" t="e">
        <f t="shared" si="47"/>
        <v>#DIV/0!</v>
      </c>
      <c r="R68" s="1" t="e">
        <f t="shared" si="48"/>
        <v>#DIV/0!</v>
      </c>
      <c r="S68" s="1" t="e">
        <f t="shared" si="49"/>
        <v>#DIV/0!</v>
      </c>
      <c r="T68" s="1" t="e">
        <f t="shared" si="50"/>
        <v>#DIV/0!</v>
      </c>
      <c r="U68" s="1" t="e">
        <f t="shared" si="51"/>
        <v>#DIV/0!</v>
      </c>
      <c r="V68">
        <f t="shared" si="52"/>
        <v>851.48</v>
      </c>
      <c r="W68">
        <f t="shared" si="53"/>
        <v>0</v>
      </c>
      <c r="X68">
        <f t="shared" si="54"/>
        <v>0</v>
      </c>
      <c r="Y68">
        <f t="shared" si="55"/>
        <v>0</v>
      </c>
      <c r="Z68">
        <f t="shared" si="56"/>
        <v>0</v>
      </c>
      <c r="AA68">
        <f t="shared" si="57"/>
        <v>0</v>
      </c>
      <c r="AC68">
        <f t="shared" si="58"/>
        <v>1045.25</v>
      </c>
      <c r="AD68">
        <f t="shared" si="59"/>
        <v>0</v>
      </c>
      <c r="AE68">
        <f t="shared" si="60"/>
        <v>0</v>
      </c>
      <c r="AF68">
        <f t="shared" si="61"/>
        <v>0</v>
      </c>
      <c r="AG68">
        <f t="shared" si="62"/>
        <v>0</v>
      </c>
      <c r="AH68">
        <f t="shared" si="63"/>
        <v>0</v>
      </c>
      <c r="AJ68">
        <f t="shared" si="64"/>
        <v>1239.01</v>
      </c>
      <c r="AK68">
        <f t="shared" si="65"/>
        <v>0</v>
      </c>
      <c r="AL68">
        <f t="shared" si="66"/>
        <v>0</v>
      </c>
      <c r="AM68">
        <f t="shared" si="67"/>
        <v>0</v>
      </c>
      <c r="AN68">
        <f t="shared" si="68"/>
        <v>0</v>
      </c>
      <c r="AO68">
        <f t="shared" si="69"/>
        <v>0</v>
      </c>
    </row>
    <row r="69" spans="1:41" x14ac:dyDescent="0.45">
      <c r="A69">
        <v>20.78138345</v>
      </c>
      <c r="B69">
        <v>115.8776597</v>
      </c>
      <c r="C69">
        <v>0.133022</v>
      </c>
      <c r="D69">
        <v>2.3789880299999999</v>
      </c>
      <c r="E69">
        <f t="shared" si="35"/>
        <v>0.133022</v>
      </c>
      <c r="F69">
        <f t="shared" si="36"/>
        <v>1.7138780300000001</v>
      </c>
      <c r="G69">
        <f t="shared" si="37"/>
        <v>1.04876803</v>
      </c>
      <c r="H69">
        <f t="shared" si="38"/>
        <v>0.38365802999999987</v>
      </c>
      <c r="I69">
        <f t="shared" si="39"/>
        <v>0</v>
      </c>
      <c r="J69">
        <f t="shared" si="40"/>
        <v>0</v>
      </c>
      <c r="K69" s="1">
        <f t="shared" si="41"/>
        <v>0.133022</v>
      </c>
      <c r="L69" s="1">
        <f t="shared" si="42"/>
        <v>0.133022</v>
      </c>
      <c r="M69" s="1">
        <f t="shared" si="43"/>
        <v>0.133022</v>
      </c>
      <c r="N69" s="1">
        <f t="shared" si="44"/>
        <v>0</v>
      </c>
      <c r="O69" s="1">
        <f t="shared" si="45"/>
        <v>0</v>
      </c>
      <c r="P69" s="1">
        <f t="shared" si="46"/>
        <v>1.3978842928436257</v>
      </c>
      <c r="Q69" s="1">
        <f t="shared" si="47"/>
        <v>1.9403656163326863</v>
      </c>
      <c r="R69" s="1">
        <f t="shared" si="48"/>
        <v>3.1709109210737481</v>
      </c>
      <c r="S69" s="1">
        <f t="shared" si="49"/>
        <v>8.6680057237430983</v>
      </c>
      <c r="T69" s="1" t="e">
        <f t="shared" si="50"/>
        <v>#DIV/0!</v>
      </c>
      <c r="U69" s="1" t="e">
        <f t="shared" si="51"/>
        <v>#DIV/0!</v>
      </c>
      <c r="V69">
        <f t="shared" si="52"/>
        <v>84.41123951741784</v>
      </c>
      <c r="W69">
        <f t="shared" si="53"/>
        <v>111.75371061247573</v>
      </c>
      <c r="X69">
        <f t="shared" si="54"/>
        <v>243.84014309357747</v>
      </c>
      <c r="Y69">
        <f t="shared" si="55"/>
        <v>191.46011447486197</v>
      </c>
      <c r="Z69">
        <f t="shared" si="56"/>
        <v>0</v>
      </c>
      <c r="AA69">
        <f t="shared" si="57"/>
        <v>0</v>
      </c>
      <c r="AC69">
        <f t="shared" si="58"/>
        <v>101.16537171374503</v>
      </c>
      <c r="AD69">
        <f t="shared" si="59"/>
        <v>111.75371061247573</v>
      </c>
      <c r="AE69">
        <f t="shared" si="60"/>
        <v>134.7246049348968</v>
      </c>
      <c r="AF69">
        <f t="shared" si="61"/>
        <v>279.88017171229291</v>
      </c>
      <c r="AG69">
        <f t="shared" si="62"/>
        <v>0</v>
      </c>
      <c r="AH69">
        <f t="shared" si="63"/>
        <v>0</v>
      </c>
      <c r="AJ69">
        <f t="shared" si="64"/>
        <v>117.90950391007223</v>
      </c>
      <c r="AK69">
        <f t="shared" si="65"/>
        <v>133.25645273497088</v>
      </c>
      <c r="AL69">
        <f t="shared" si="66"/>
        <v>170.9637141456343</v>
      </c>
      <c r="AM69">
        <f t="shared" si="67"/>
        <v>354.98021464036617</v>
      </c>
      <c r="AN69">
        <f t="shared" si="68"/>
        <v>0</v>
      </c>
      <c r="AO69">
        <f t="shared" si="69"/>
        <v>0</v>
      </c>
    </row>
    <row r="70" spans="1:41" x14ac:dyDescent="0.45">
      <c r="A70">
        <v>20.79485957</v>
      </c>
      <c r="B70">
        <v>115.7366122</v>
      </c>
      <c r="C70">
        <v>0.26920399</v>
      </c>
      <c r="D70">
        <v>34.136104580000001</v>
      </c>
      <c r="E70">
        <f t="shared" si="35"/>
        <v>0.26920399</v>
      </c>
      <c r="F70">
        <f t="shared" si="36"/>
        <v>32.790084630000003</v>
      </c>
      <c r="G70">
        <f t="shared" si="37"/>
        <v>31.44406468</v>
      </c>
      <c r="H70">
        <f t="shared" si="38"/>
        <v>30.098044730000002</v>
      </c>
      <c r="I70">
        <f t="shared" si="39"/>
        <v>28.752024779999999</v>
      </c>
      <c r="J70">
        <f t="shared" si="40"/>
        <v>27.406004830000001</v>
      </c>
      <c r="K70" s="1">
        <f t="shared" si="41"/>
        <v>0.26920399</v>
      </c>
      <c r="L70" s="1">
        <f t="shared" si="42"/>
        <v>0.26920399</v>
      </c>
      <c r="M70" s="1">
        <f t="shared" si="43"/>
        <v>0.26920399</v>
      </c>
      <c r="N70" s="1">
        <f t="shared" si="44"/>
        <v>0.26920399</v>
      </c>
      <c r="O70" s="1">
        <f t="shared" si="45"/>
        <v>0.26920399</v>
      </c>
      <c r="P70" s="1">
        <f t="shared" si="46"/>
        <v>1</v>
      </c>
      <c r="Q70" s="1">
        <f t="shared" si="47"/>
        <v>1</v>
      </c>
      <c r="R70" s="1">
        <f t="shared" si="48"/>
        <v>1</v>
      </c>
      <c r="S70" s="1">
        <f t="shared" si="49"/>
        <v>1</v>
      </c>
      <c r="T70" s="1">
        <f t="shared" si="50"/>
        <v>1</v>
      </c>
      <c r="U70" s="1">
        <f t="shared" si="51"/>
        <v>1</v>
      </c>
      <c r="V70">
        <f t="shared" si="52"/>
        <v>71.48</v>
      </c>
      <c r="W70">
        <f t="shared" si="53"/>
        <v>76.489999999999995</v>
      </c>
      <c r="X70">
        <f t="shared" si="54"/>
        <v>52.14</v>
      </c>
      <c r="Y70">
        <f t="shared" si="55"/>
        <v>38.1</v>
      </c>
      <c r="Z70">
        <f t="shared" si="56"/>
        <v>32.120000000000005</v>
      </c>
      <c r="AA70">
        <f t="shared" si="57"/>
        <v>30.03</v>
      </c>
      <c r="AC70">
        <f t="shared" si="58"/>
        <v>85.25</v>
      </c>
      <c r="AD70">
        <f t="shared" si="59"/>
        <v>76.489999999999995</v>
      </c>
      <c r="AE70">
        <f t="shared" si="60"/>
        <v>64.17</v>
      </c>
      <c r="AF70">
        <f t="shared" si="61"/>
        <v>49.84</v>
      </c>
      <c r="AG70">
        <f t="shared" si="62"/>
        <v>48.34</v>
      </c>
      <c r="AH70">
        <f t="shared" si="63"/>
        <v>41.36</v>
      </c>
      <c r="AJ70">
        <f t="shared" si="64"/>
        <v>99.009999999999991</v>
      </c>
      <c r="AK70">
        <f t="shared" si="65"/>
        <v>90.94</v>
      </c>
      <c r="AL70">
        <f t="shared" si="66"/>
        <v>78.7</v>
      </c>
      <c r="AM70">
        <f t="shared" si="67"/>
        <v>67.430000000000007</v>
      </c>
      <c r="AN70">
        <f t="shared" si="68"/>
        <v>62.56</v>
      </c>
      <c r="AO70">
        <f t="shared" si="69"/>
        <v>55.19</v>
      </c>
    </row>
    <row r="71" spans="1:41" x14ac:dyDescent="0.45">
      <c r="A71">
        <v>20.807174379999999</v>
      </c>
      <c r="B71">
        <v>114.5984004</v>
      </c>
      <c r="C71">
        <v>1.47978199</v>
      </c>
      <c r="D71">
        <v>0.30117898999999998</v>
      </c>
      <c r="E71">
        <f t="shared" si="35"/>
        <v>0.30117898999999998</v>
      </c>
      <c r="F71">
        <f t="shared" si="36"/>
        <v>0</v>
      </c>
      <c r="G71">
        <f t="shared" si="37"/>
        <v>0</v>
      </c>
      <c r="H71">
        <f t="shared" si="38"/>
        <v>0</v>
      </c>
      <c r="I71">
        <f t="shared" si="39"/>
        <v>0</v>
      </c>
      <c r="J71">
        <f t="shared" si="40"/>
        <v>0</v>
      </c>
      <c r="K71" s="1">
        <f t="shared" si="41"/>
        <v>0</v>
      </c>
      <c r="L71" s="1">
        <f t="shared" si="42"/>
        <v>0</v>
      </c>
      <c r="M71" s="1">
        <f t="shared" si="43"/>
        <v>0</v>
      </c>
      <c r="N71" s="1">
        <f t="shared" si="44"/>
        <v>0</v>
      </c>
      <c r="O71" s="1">
        <f t="shared" si="45"/>
        <v>0</v>
      </c>
      <c r="P71" s="1">
        <f t="shared" si="46"/>
        <v>25</v>
      </c>
      <c r="Q71" s="1" t="e">
        <f t="shared" si="47"/>
        <v>#DIV/0!</v>
      </c>
      <c r="R71" s="1" t="e">
        <f t="shared" si="48"/>
        <v>#DIV/0!</v>
      </c>
      <c r="S71" s="1" t="e">
        <f t="shared" si="49"/>
        <v>#DIV/0!</v>
      </c>
      <c r="T71" s="1" t="e">
        <f t="shared" si="50"/>
        <v>#DIV/0!</v>
      </c>
      <c r="U71" s="1" t="e">
        <f t="shared" si="51"/>
        <v>#DIV/0!</v>
      </c>
      <c r="V71">
        <f t="shared" si="52"/>
        <v>851.48</v>
      </c>
      <c r="W71">
        <f t="shared" si="53"/>
        <v>0</v>
      </c>
      <c r="X71">
        <f t="shared" si="54"/>
        <v>0</v>
      </c>
      <c r="Y71">
        <f t="shared" si="55"/>
        <v>0</v>
      </c>
      <c r="Z71">
        <f t="shared" si="56"/>
        <v>0</v>
      </c>
      <c r="AA71">
        <f t="shared" si="57"/>
        <v>0</v>
      </c>
      <c r="AC71">
        <f t="shared" si="58"/>
        <v>1045.25</v>
      </c>
      <c r="AD71">
        <f t="shared" si="59"/>
        <v>0</v>
      </c>
      <c r="AE71">
        <f t="shared" si="60"/>
        <v>0</v>
      </c>
      <c r="AF71">
        <f t="shared" si="61"/>
        <v>0</v>
      </c>
      <c r="AG71">
        <f t="shared" si="62"/>
        <v>0</v>
      </c>
      <c r="AH71">
        <f t="shared" si="63"/>
        <v>0</v>
      </c>
      <c r="AJ71">
        <f t="shared" si="64"/>
        <v>1239.01</v>
      </c>
      <c r="AK71">
        <f t="shared" si="65"/>
        <v>0</v>
      </c>
      <c r="AL71">
        <f t="shared" si="66"/>
        <v>0</v>
      </c>
      <c r="AM71">
        <f t="shared" si="67"/>
        <v>0</v>
      </c>
      <c r="AN71">
        <f t="shared" si="68"/>
        <v>0</v>
      </c>
      <c r="AO71">
        <f t="shared" si="69"/>
        <v>0</v>
      </c>
    </row>
    <row r="72" spans="1:41" x14ac:dyDescent="0.45">
      <c r="A72">
        <v>20.811103930000002</v>
      </c>
      <c r="B72">
        <v>114.5513168</v>
      </c>
      <c r="C72">
        <v>1.05698705</v>
      </c>
      <c r="D72">
        <v>6.4643378299999998</v>
      </c>
      <c r="E72">
        <f t="shared" si="35"/>
        <v>1.05698705</v>
      </c>
      <c r="F72">
        <f t="shared" si="36"/>
        <v>1.1794025799999996</v>
      </c>
      <c r="G72">
        <f t="shared" si="37"/>
        <v>0</v>
      </c>
      <c r="H72">
        <f t="shared" si="38"/>
        <v>0</v>
      </c>
      <c r="I72">
        <f t="shared" si="39"/>
        <v>0</v>
      </c>
      <c r="J72">
        <f t="shared" si="40"/>
        <v>0</v>
      </c>
      <c r="K72" s="1">
        <f t="shared" si="41"/>
        <v>1.05698705</v>
      </c>
      <c r="L72" s="1">
        <f t="shared" si="42"/>
        <v>0</v>
      </c>
      <c r="M72" s="1">
        <f t="shared" si="43"/>
        <v>0</v>
      </c>
      <c r="N72" s="1">
        <f t="shared" si="44"/>
        <v>0</v>
      </c>
      <c r="O72" s="1">
        <f t="shared" si="45"/>
        <v>0</v>
      </c>
      <c r="P72" s="1">
        <f t="shared" si="46"/>
        <v>4.0877622650485765</v>
      </c>
      <c r="Q72" s="1">
        <f t="shared" si="47"/>
        <v>22.405136887185723</v>
      </c>
      <c r="R72" s="1" t="e">
        <f t="shared" si="48"/>
        <v>#DIV/0!</v>
      </c>
      <c r="S72" s="1" t="e">
        <f t="shared" si="49"/>
        <v>#DIV/0!</v>
      </c>
      <c r="T72" s="1" t="e">
        <f t="shared" si="50"/>
        <v>#DIV/0!</v>
      </c>
      <c r="U72" s="1" t="e">
        <f t="shared" si="51"/>
        <v>#DIV/0!</v>
      </c>
      <c r="V72">
        <f t="shared" si="52"/>
        <v>171.83227361407876</v>
      </c>
      <c r="W72">
        <f t="shared" si="53"/>
        <v>879.18263326946465</v>
      </c>
      <c r="X72">
        <f t="shared" si="54"/>
        <v>0</v>
      </c>
      <c r="Y72">
        <f t="shared" si="55"/>
        <v>0</v>
      </c>
      <c r="Z72">
        <f t="shared" si="56"/>
        <v>0</v>
      </c>
      <c r="AA72">
        <f t="shared" si="57"/>
        <v>0</v>
      </c>
      <c r="AC72">
        <f t="shared" si="58"/>
        <v>208.76049060194305</v>
      </c>
      <c r="AD72">
        <f t="shared" si="59"/>
        <v>879.18263326946465</v>
      </c>
      <c r="AE72">
        <f t="shared" si="60"/>
        <v>0</v>
      </c>
      <c r="AF72">
        <f t="shared" si="61"/>
        <v>0</v>
      </c>
      <c r="AG72">
        <f t="shared" si="62"/>
        <v>0</v>
      </c>
      <c r="AH72">
        <f t="shared" si="63"/>
        <v>0</v>
      </c>
      <c r="AJ72">
        <f t="shared" si="64"/>
        <v>245.67870758980737</v>
      </c>
      <c r="AK72">
        <f t="shared" si="65"/>
        <v>1054.1711599233574</v>
      </c>
      <c r="AL72">
        <f t="shared" si="66"/>
        <v>0</v>
      </c>
      <c r="AM72">
        <f t="shared" si="67"/>
        <v>0</v>
      </c>
      <c r="AN72">
        <f t="shared" si="68"/>
        <v>0</v>
      </c>
      <c r="AO72">
        <f t="shared" si="69"/>
        <v>0</v>
      </c>
    </row>
    <row r="73" spans="1:41" x14ac:dyDescent="0.45">
      <c r="A73">
        <v>20.81207362</v>
      </c>
      <c r="B73">
        <v>108.962874</v>
      </c>
      <c r="C73">
        <v>54.29629517</v>
      </c>
      <c r="D73">
        <v>3.1660559199999998</v>
      </c>
      <c r="E73">
        <f t="shared" si="35"/>
        <v>3.1660559199999998</v>
      </c>
      <c r="F73">
        <f t="shared" si="36"/>
        <v>0</v>
      </c>
      <c r="G73">
        <f t="shared" si="37"/>
        <v>0</v>
      </c>
      <c r="H73">
        <f t="shared" si="38"/>
        <v>0</v>
      </c>
      <c r="I73">
        <f t="shared" si="39"/>
        <v>0</v>
      </c>
      <c r="J73">
        <f t="shared" si="40"/>
        <v>0</v>
      </c>
      <c r="K73" s="1">
        <f t="shared" si="41"/>
        <v>0</v>
      </c>
      <c r="L73" s="1">
        <f t="shared" si="42"/>
        <v>0</v>
      </c>
      <c r="M73" s="1">
        <f t="shared" si="43"/>
        <v>0</v>
      </c>
      <c r="N73" s="1">
        <f t="shared" si="44"/>
        <v>0</v>
      </c>
      <c r="O73" s="1">
        <f t="shared" si="45"/>
        <v>0</v>
      </c>
      <c r="P73" s="1">
        <f t="shared" si="46"/>
        <v>25</v>
      </c>
      <c r="Q73" s="1" t="e">
        <f t="shared" si="47"/>
        <v>#DIV/0!</v>
      </c>
      <c r="R73" s="1" t="e">
        <f t="shared" si="48"/>
        <v>#DIV/0!</v>
      </c>
      <c r="S73" s="1" t="e">
        <f t="shared" si="49"/>
        <v>#DIV/0!</v>
      </c>
      <c r="T73" s="1" t="e">
        <f t="shared" si="50"/>
        <v>#DIV/0!</v>
      </c>
      <c r="U73" s="1" t="e">
        <f t="shared" si="51"/>
        <v>#DIV/0!</v>
      </c>
      <c r="V73">
        <f t="shared" si="52"/>
        <v>851.48</v>
      </c>
      <c r="W73">
        <f t="shared" si="53"/>
        <v>0</v>
      </c>
      <c r="X73">
        <f t="shared" si="54"/>
        <v>0</v>
      </c>
      <c r="Y73">
        <f t="shared" si="55"/>
        <v>0</v>
      </c>
      <c r="Z73">
        <f t="shared" si="56"/>
        <v>0</v>
      </c>
      <c r="AA73">
        <f t="shared" si="57"/>
        <v>0</v>
      </c>
      <c r="AC73">
        <f t="shared" si="58"/>
        <v>1045.25</v>
      </c>
      <c r="AD73">
        <f t="shared" si="59"/>
        <v>0</v>
      </c>
      <c r="AE73">
        <f t="shared" si="60"/>
        <v>0</v>
      </c>
      <c r="AF73">
        <f t="shared" si="61"/>
        <v>0</v>
      </c>
      <c r="AG73">
        <f t="shared" si="62"/>
        <v>0</v>
      </c>
      <c r="AH73">
        <f t="shared" si="63"/>
        <v>0</v>
      </c>
      <c r="AJ73">
        <f t="shared" si="64"/>
        <v>1239.01</v>
      </c>
      <c r="AK73">
        <f t="shared" si="65"/>
        <v>0</v>
      </c>
      <c r="AL73">
        <f t="shared" si="66"/>
        <v>0</v>
      </c>
      <c r="AM73">
        <f t="shared" si="67"/>
        <v>0</v>
      </c>
      <c r="AN73">
        <f t="shared" si="68"/>
        <v>0</v>
      </c>
      <c r="AO73">
        <f t="shared" si="69"/>
        <v>0</v>
      </c>
    </row>
    <row r="74" spans="1:41" x14ac:dyDescent="0.45">
      <c r="A74">
        <v>20.81342214</v>
      </c>
      <c r="B74">
        <v>108.9156251</v>
      </c>
      <c r="C74">
        <v>112.03169250000001</v>
      </c>
      <c r="D74">
        <v>31.298168180000001</v>
      </c>
      <c r="E74">
        <f t="shared" si="35"/>
        <v>31.298168180000001</v>
      </c>
      <c r="F74">
        <f t="shared" si="36"/>
        <v>0</v>
      </c>
      <c r="G74">
        <f t="shared" si="37"/>
        <v>0</v>
      </c>
      <c r="H74">
        <f t="shared" si="38"/>
        <v>0</v>
      </c>
      <c r="I74">
        <f t="shared" si="39"/>
        <v>0</v>
      </c>
      <c r="J74">
        <f t="shared" si="40"/>
        <v>0</v>
      </c>
      <c r="K74" s="1">
        <f t="shared" si="41"/>
        <v>0</v>
      </c>
      <c r="L74" s="1">
        <f t="shared" si="42"/>
        <v>0</v>
      </c>
      <c r="M74" s="1">
        <f t="shared" si="43"/>
        <v>0</v>
      </c>
      <c r="N74" s="1">
        <f t="shared" si="44"/>
        <v>0</v>
      </c>
      <c r="O74" s="1">
        <f t="shared" si="45"/>
        <v>0</v>
      </c>
      <c r="P74" s="1">
        <f t="shared" si="46"/>
        <v>25</v>
      </c>
      <c r="Q74" s="1" t="e">
        <f t="shared" si="47"/>
        <v>#DIV/0!</v>
      </c>
      <c r="R74" s="1" t="e">
        <f t="shared" si="48"/>
        <v>#DIV/0!</v>
      </c>
      <c r="S74" s="1" t="e">
        <f t="shared" si="49"/>
        <v>#DIV/0!</v>
      </c>
      <c r="T74" s="1" t="e">
        <f t="shared" si="50"/>
        <v>#DIV/0!</v>
      </c>
      <c r="U74" s="1" t="e">
        <f t="shared" si="51"/>
        <v>#DIV/0!</v>
      </c>
      <c r="V74">
        <f t="shared" si="52"/>
        <v>851.48</v>
      </c>
      <c r="W74">
        <f t="shared" si="53"/>
        <v>0</v>
      </c>
      <c r="X74">
        <f t="shared" si="54"/>
        <v>0</v>
      </c>
      <c r="Y74">
        <f t="shared" si="55"/>
        <v>0</v>
      </c>
      <c r="Z74">
        <f t="shared" si="56"/>
        <v>0</v>
      </c>
      <c r="AA74">
        <f t="shared" si="57"/>
        <v>0</v>
      </c>
      <c r="AC74">
        <f t="shared" si="58"/>
        <v>1045.25</v>
      </c>
      <c r="AD74">
        <f t="shared" si="59"/>
        <v>0</v>
      </c>
      <c r="AE74">
        <f t="shared" si="60"/>
        <v>0</v>
      </c>
      <c r="AF74">
        <f t="shared" si="61"/>
        <v>0</v>
      </c>
      <c r="AG74">
        <f t="shared" si="62"/>
        <v>0</v>
      </c>
      <c r="AH74">
        <f t="shared" si="63"/>
        <v>0</v>
      </c>
      <c r="AJ74">
        <f t="shared" si="64"/>
        <v>1239.01</v>
      </c>
      <c r="AK74">
        <f t="shared" si="65"/>
        <v>0</v>
      </c>
      <c r="AL74">
        <f t="shared" si="66"/>
        <v>0</v>
      </c>
      <c r="AM74">
        <f t="shared" si="67"/>
        <v>0</v>
      </c>
      <c r="AN74">
        <f t="shared" si="68"/>
        <v>0</v>
      </c>
      <c r="AO74">
        <f t="shared" si="69"/>
        <v>0</v>
      </c>
    </row>
    <row r="75" spans="1:41" x14ac:dyDescent="0.45">
      <c r="A75">
        <v>20.814748999999999</v>
      </c>
      <c r="B75">
        <v>108.86837490000001</v>
      </c>
      <c r="C75">
        <v>100.2393112</v>
      </c>
      <c r="D75">
        <v>3.95205998</v>
      </c>
      <c r="E75">
        <f t="shared" si="35"/>
        <v>3.95205998</v>
      </c>
      <c r="F75">
        <f t="shared" si="36"/>
        <v>0</v>
      </c>
      <c r="G75">
        <f t="shared" si="37"/>
        <v>0</v>
      </c>
      <c r="H75">
        <f t="shared" si="38"/>
        <v>0</v>
      </c>
      <c r="I75">
        <f t="shared" si="39"/>
        <v>0</v>
      </c>
      <c r="J75">
        <f t="shared" si="40"/>
        <v>0</v>
      </c>
      <c r="K75" s="1">
        <f t="shared" si="41"/>
        <v>0</v>
      </c>
      <c r="L75" s="1">
        <f t="shared" si="42"/>
        <v>0</v>
      </c>
      <c r="M75" s="1">
        <f t="shared" si="43"/>
        <v>0</v>
      </c>
      <c r="N75" s="1">
        <f t="shared" si="44"/>
        <v>0</v>
      </c>
      <c r="O75" s="1">
        <f t="shared" si="45"/>
        <v>0</v>
      </c>
      <c r="P75" s="1">
        <f t="shared" si="46"/>
        <v>25</v>
      </c>
      <c r="Q75" s="1" t="e">
        <f t="shared" si="47"/>
        <v>#DIV/0!</v>
      </c>
      <c r="R75" s="1" t="e">
        <f t="shared" si="48"/>
        <v>#DIV/0!</v>
      </c>
      <c r="S75" s="1" t="e">
        <f t="shared" si="49"/>
        <v>#DIV/0!</v>
      </c>
      <c r="T75" s="1" t="e">
        <f t="shared" si="50"/>
        <v>#DIV/0!</v>
      </c>
      <c r="U75" s="1" t="e">
        <f t="shared" si="51"/>
        <v>#DIV/0!</v>
      </c>
      <c r="V75">
        <f t="shared" si="52"/>
        <v>851.48</v>
      </c>
      <c r="W75">
        <f t="shared" si="53"/>
        <v>0</v>
      </c>
      <c r="X75">
        <f t="shared" si="54"/>
        <v>0</v>
      </c>
      <c r="Y75">
        <f t="shared" si="55"/>
        <v>0</v>
      </c>
      <c r="Z75">
        <f t="shared" si="56"/>
        <v>0</v>
      </c>
      <c r="AA75">
        <f t="shared" si="57"/>
        <v>0</v>
      </c>
      <c r="AC75">
        <f t="shared" si="58"/>
        <v>1045.25</v>
      </c>
      <c r="AD75">
        <f t="shared" si="59"/>
        <v>0</v>
      </c>
      <c r="AE75">
        <f t="shared" si="60"/>
        <v>0</v>
      </c>
      <c r="AF75">
        <f t="shared" si="61"/>
        <v>0</v>
      </c>
      <c r="AG75">
        <f t="shared" si="62"/>
        <v>0</v>
      </c>
      <c r="AH75">
        <f t="shared" si="63"/>
        <v>0</v>
      </c>
      <c r="AJ75">
        <f t="shared" si="64"/>
        <v>1239.01</v>
      </c>
      <c r="AK75">
        <f t="shared" si="65"/>
        <v>0</v>
      </c>
      <c r="AL75">
        <f t="shared" si="66"/>
        <v>0</v>
      </c>
      <c r="AM75">
        <f t="shared" si="67"/>
        <v>0</v>
      </c>
      <c r="AN75">
        <f t="shared" si="68"/>
        <v>0</v>
      </c>
      <c r="AO75">
        <f t="shared" si="69"/>
        <v>0</v>
      </c>
    </row>
    <row r="76" spans="1:41" x14ac:dyDescent="0.45">
      <c r="A76">
        <v>20.8160542</v>
      </c>
      <c r="B76">
        <v>108.8211233</v>
      </c>
      <c r="C76">
        <v>100.2393112</v>
      </c>
      <c r="D76">
        <v>8.4183301900000007</v>
      </c>
      <c r="E76">
        <f t="shared" si="35"/>
        <v>8.4183301900000007</v>
      </c>
      <c r="F76">
        <f t="shared" si="36"/>
        <v>0</v>
      </c>
      <c r="G76">
        <f t="shared" si="37"/>
        <v>0</v>
      </c>
      <c r="H76">
        <f t="shared" si="38"/>
        <v>0</v>
      </c>
      <c r="I76">
        <f t="shared" si="39"/>
        <v>0</v>
      </c>
      <c r="J76">
        <f t="shared" si="40"/>
        <v>0</v>
      </c>
      <c r="K76" s="1">
        <f t="shared" si="41"/>
        <v>0</v>
      </c>
      <c r="L76" s="1">
        <f t="shared" si="42"/>
        <v>0</v>
      </c>
      <c r="M76" s="1">
        <f t="shared" si="43"/>
        <v>0</v>
      </c>
      <c r="N76" s="1">
        <f t="shared" si="44"/>
        <v>0</v>
      </c>
      <c r="O76" s="1">
        <f t="shared" si="45"/>
        <v>0</v>
      </c>
      <c r="P76" s="1">
        <f t="shared" si="46"/>
        <v>25</v>
      </c>
      <c r="Q76" s="1" t="e">
        <f t="shared" si="47"/>
        <v>#DIV/0!</v>
      </c>
      <c r="R76" s="1" t="e">
        <f t="shared" si="48"/>
        <v>#DIV/0!</v>
      </c>
      <c r="S76" s="1" t="e">
        <f t="shared" si="49"/>
        <v>#DIV/0!</v>
      </c>
      <c r="T76" s="1" t="e">
        <f t="shared" si="50"/>
        <v>#DIV/0!</v>
      </c>
      <c r="U76" s="1" t="e">
        <f t="shared" si="51"/>
        <v>#DIV/0!</v>
      </c>
      <c r="V76">
        <f t="shared" si="52"/>
        <v>851.48</v>
      </c>
      <c r="W76">
        <f t="shared" si="53"/>
        <v>0</v>
      </c>
      <c r="X76">
        <f t="shared" si="54"/>
        <v>0</v>
      </c>
      <c r="Y76">
        <f t="shared" si="55"/>
        <v>0</v>
      </c>
      <c r="Z76">
        <f t="shared" si="56"/>
        <v>0</v>
      </c>
      <c r="AA76">
        <f t="shared" si="57"/>
        <v>0</v>
      </c>
      <c r="AC76">
        <f t="shared" si="58"/>
        <v>1045.25</v>
      </c>
      <c r="AD76">
        <f t="shared" si="59"/>
        <v>0</v>
      </c>
      <c r="AE76">
        <f t="shared" si="60"/>
        <v>0</v>
      </c>
      <c r="AF76">
        <f t="shared" si="61"/>
        <v>0</v>
      </c>
      <c r="AG76">
        <f t="shared" si="62"/>
        <v>0</v>
      </c>
      <c r="AH76">
        <f t="shared" si="63"/>
        <v>0</v>
      </c>
      <c r="AJ76">
        <f t="shared" si="64"/>
        <v>1239.01</v>
      </c>
      <c r="AK76">
        <f t="shared" si="65"/>
        <v>0</v>
      </c>
      <c r="AL76">
        <f t="shared" si="66"/>
        <v>0</v>
      </c>
      <c r="AM76">
        <f t="shared" si="67"/>
        <v>0</v>
      </c>
      <c r="AN76">
        <f t="shared" si="68"/>
        <v>0</v>
      </c>
      <c r="AO76">
        <f t="shared" si="69"/>
        <v>0</v>
      </c>
    </row>
    <row r="77" spans="1:41" x14ac:dyDescent="0.45">
      <c r="A77">
        <v>20.817337729999998</v>
      </c>
      <c r="B77">
        <v>108.7738703</v>
      </c>
      <c r="C77">
        <v>29.236465450000001</v>
      </c>
      <c r="D77">
        <v>1.4691679499999999</v>
      </c>
      <c r="E77">
        <f t="shared" si="35"/>
        <v>1.4691679499999999</v>
      </c>
      <c r="F77">
        <f t="shared" si="36"/>
        <v>0</v>
      </c>
      <c r="G77">
        <f t="shared" si="37"/>
        <v>0</v>
      </c>
      <c r="H77">
        <f t="shared" si="38"/>
        <v>0</v>
      </c>
      <c r="I77">
        <f t="shared" si="39"/>
        <v>0</v>
      </c>
      <c r="J77">
        <f t="shared" si="40"/>
        <v>0</v>
      </c>
      <c r="K77" s="1">
        <f t="shared" si="41"/>
        <v>0</v>
      </c>
      <c r="L77" s="1">
        <f t="shared" si="42"/>
        <v>0</v>
      </c>
      <c r="M77" s="1">
        <f t="shared" si="43"/>
        <v>0</v>
      </c>
      <c r="N77" s="1">
        <f t="shared" si="44"/>
        <v>0</v>
      </c>
      <c r="O77" s="1">
        <f t="shared" si="45"/>
        <v>0</v>
      </c>
      <c r="P77" s="1">
        <f t="shared" si="46"/>
        <v>25</v>
      </c>
      <c r="Q77" s="1" t="e">
        <f t="shared" si="47"/>
        <v>#DIV/0!</v>
      </c>
      <c r="R77" s="1" t="e">
        <f t="shared" si="48"/>
        <v>#DIV/0!</v>
      </c>
      <c r="S77" s="1" t="e">
        <f t="shared" si="49"/>
        <v>#DIV/0!</v>
      </c>
      <c r="T77" s="1" t="e">
        <f t="shared" si="50"/>
        <v>#DIV/0!</v>
      </c>
      <c r="U77" s="1" t="e">
        <f t="shared" si="51"/>
        <v>#DIV/0!</v>
      </c>
      <c r="V77">
        <f t="shared" si="52"/>
        <v>851.48</v>
      </c>
      <c r="W77">
        <f t="shared" si="53"/>
        <v>0</v>
      </c>
      <c r="X77">
        <f t="shared" si="54"/>
        <v>0</v>
      </c>
      <c r="Y77">
        <f t="shared" si="55"/>
        <v>0</v>
      </c>
      <c r="Z77">
        <f t="shared" si="56"/>
        <v>0</v>
      </c>
      <c r="AA77">
        <f t="shared" si="57"/>
        <v>0</v>
      </c>
      <c r="AC77">
        <f t="shared" si="58"/>
        <v>1045.25</v>
      </c>
      <c r="AD77">
        <f t="shared" si="59"/>
        <v>0</v>
      </c>
      <c r="AE77">
        <f t="shared" si="60"/>
        <v>0</v>
      </c>
      <c r="AF77">
        <f t="shared" si="61"/>
        <v>0</v>
      </c>
      <c r="AG77">
        <f t="shared" si="62"/>
        <v>0</v>
      </c>
      <c r="AH77">
        <f t="shared" si="63"/>
        <v>0</v>
      </c>
      <c r="AJ77">
        <f t="shared" si="64"/>
        <v>1239.01</v>
      </c>
      <c r="AK77">
        <f t="shared" si="65"/>
        <v>0</v>
      </c>
      <c r="AL77">
        <f t="shared" si="66"/>
        <v>0</v>
      </c>
      <c r="AM77">
        <f t="shared" si="67"/>
        <v>0</v>
      </c>
      <c r="AN77">
        <f t="shared" si="68"/>
        <v>0</v>
      </c>
      <c r="AO77">
        <f t="shared" si="69"/>
        <v>0</v>
      </c>
    </row>
    <row r="78" spans="1:41" x14ac:dyDescent="0.45">
      <c r="A78">
        <v>20.818599590000002</v>
      </c>
      <c r="B78">
        <v>108.7266161</v>
      </c>
      <c r="C78">
        <v>51.804744720000002</v>
      </c>
      <c r="D78">
        <v>5.9134001700000001</v>
      </c>
      <c r="E78">
        <f t="shared" si="35"/>
        <v>5.9134001700000001</v>
      </c>
      <c r="F78">
        <f t="shared" si="36"/>
        <v>0</v>
      </c>
      <c r="G78">
        <f t="shared" si="37"/>
        <v>0</v>
      </c>
      <c r="H78">
        <f t="shared" si="38"/>
        <v>0</v>
      </c>
      <c r="I78">
        <f t="shared" si="39"/>
        <v>0</v>
      </c>
      <c r="J78">
        <f t="shared" si="40"/>
        <v>0</v>
      </c>
      <c r="K78" s="1">
        <f t="shared" si="41"/>
        <v>0</v>
      </c>
      <c r="L78" s="1">
        <f t="shared" si="42"/>
        <v>0</v>
      </c>
      <c r="M78" s="1">
        <f t="shared" si="43"/>
        <v>0</v>
      </c>
      <c r="N78" s="1">
        <f t="shared" si="44"/>
        <v>0</v>
      </c>
      <c r="O78" s="1">
        <f t="shared" si="45"/>
        <v>0</v>
      </c>
      <c r="P78" s="1">
        <f t="shared" si="46"/>
        <v>25</v>
      </c>
      <c r="Q78" s="1" t="e">
        <f t="shared" si="47"/>
        <v>#DIV/0!</v>
      </c>
      <c r="R78" s="1" t="e">
        <f t="shared" si="48"/>
        <v>#DIV/0!</v>
      </c>
      <c r="S78" s="1" t="e">
        <f t="shared" si="49"/>
        <v>#DIV/0!</v>
      </c>
      <c r="T78" s="1" t="e">
        <f t="shared" si="50"/>
        <v>#DIV/0!</v>
      </c>
      <c r="U78" s="1" t="e">
        <f t="shared" si="51"/>
        <v>#DIV/0!</v>
      </c>
      <c r="V78">
        <f t="shared" si="52"/>
        <v>851.48</v>
      </c>
      <c r="W78">
        <f t="shared" si="53"/>
        <v>0</v>
      </c>
      <c r="X78">
        <f t="shared" si="54"/>
        <v>0</v>
      </c>
      <c r="Y78">
        <f t="shared" si="55"/>
        <v>0</v>
      </c>
      <c r="Z78">
        <f t="shared" si="56"/>
        <v>0</v>
      </c>
      <c r="AA78">
        <f t="shared" si="57"/>
        <v>0</v>
      </c>
      <c r="AC78">
        <f t="shared" si="58"/>
        <v>1045.25</v>
      </c>
      <c r="AD78">
        <f t="shared" si="59"/>
        <v>0</v>
      </c>
      <c r="AE78">
        <f t="shared" si="60"/>
        <v>0</v>
      </c>
      <c r="AF78">
        <f t="shared" si="61"/>
        <v>0</v>
      </c>
      <c r="AG78">
        <f t="shared" si="62"/>
        <v>0</v>
      </c>
      <c r="AH78">
        <f t="shared" si="63"/>
        <v>0</v>
      </c>
      <c r="AJ78">
        <f t="shared" si="64"/>
        <v>1239.01</v>
      </c>
      <c r="AK78">
        <f t="shared" si="65"/>
        <v>0</v>
      </c>
      <c r="AL78">
        <f t="shared" si="66"/>
        <v>0</v>
      </c>
      <c r="AM78">
        <f t="shared" si="67"/>
        <v>0</v>
      </c>
      <c r="AN78">
        <f t="shared" si="68"/>
        <v>0</v>
      </c>
      <c r="AO78">
        <f t="shared" si="69"/>
        <v>0</v>
      </c>
    </row>
    <row r="79" spans="1:41" x14ac:dyDescent="0.45">
      <c r="A79">
        <v>20.819839779999999</v>
      </c>
      <c r="B79">
        <v>108.6793605</v>
      </c>
      <c r="C79">
        <v>100.2393112</v>
      </c>
      <c r="D79">
        <v>2.44861197</v>
      </c>
      <c r="E79">
        <f t="shared" si="35"/>
        <v>2.44861197</v>
      </c>
      <c r="F79">
        <f t="shared" si="36"/>
        <v>0</v>
      </c>
      <c r="G79">
        <f t="shared" si="37"/>
        <v>0</v>
      </c>
      <c r="H79">
        <f t="shared" si="38"/>
        <v>0</v>
      </c>
      <c r="I79">
        <f t="shared" si="39"/>
        <v>0</v>
      </c>
      <c r="J79">
        <f t="shared" si="40"/>
        <v>0</v>
      </c>
      <c r="K79" s="1">
        <f t="shared" si="41"/>
        <v>0</v>
      </c>
      <c r="L79" s="1">
        <f t="shared" si="42"/>
        <v>0</v>
      </c>
      <c r="M79" s="1">
        <f t="shared" si="43"/>
        <v>0</v>
      </c>
      <c r="N79" s="1">
        <f t="shared" si="44"/>
        <v>0</v>
      </c>
      <c r="O79" s="1">
        <f t="shared" si="45"/>
        <v>0</v>
      </c>
      <c r="P79" s="1">
        <f t="shared" si="46"/>
        <v>25</v>
      </c>
      <c r="Q79" s="1" t="e">
        <f t="shared" si="47"/>
        <v>#DIV/0!</v>
      </c>
      <c r="R79" s="1" t="e">
        <f t="shared" si="48"/>
        <v>#DIV/0!</v>
      </c>
      <c r="S79" s="1" t="e">
        <f t="shared" si="49"/>
        <v>#DIV/0!</v>
      </c>
      <c r="T79" s="1" t="e">
        <f t="shared" si="50"/>
        <v>#DIV/0!</v>
      </c>
      <c r="U79" s="1" t="e">
        <f t="shared" si="51"/>
        <v>#DIV/0!</v>
      </c>
      <c r="V79">
        <f t="shared" si="52"/>
        <v>851.48</v>
      </c>
      <c r="W79">
        <f t="shared" si="53"/>
        <v>0</v>
      </c>
      <c r="X79">
        <f t="shared" si="54"/>
        <v>0</v>
      </c>
      <c r="Y79">
        <f t="shared" si="55"/>
        <v>0</v>
      </c>
      <c r="Z79">
        <f t="shared" si="56"/>
        <v>0</v>
      </c>
      <c r="AA79">
        <f t="shared" si="57"/>
        <v>0</v>
      </c>
      <c r="AC79">
        <f t="shared" si="58"/>
        <v>1045.25</v>
      </c>
      <c r="AD79">
        <f t="shared" si="59"/>
        <v>0</v>
      </c>
      <c r="AE79">
        <f t="shared" si="60"/>
        <v>0</v>
      </c>
      <c r="AF79">
        <f t="shared" si="61"/>
        <v>0</v>
      </c>
      <c r="AG79">
        <f t="shared" si="62"/>
        <v>0</v>
      </c>
      <c r="AH79">
        <f t="shared" si="63"/>
        <v>0</v>
      </c>
      <c r="AJ79">
        <f t="shared" si="64"/>
        <v>1239.01</v>
      </c>
      <c r="AK79">
        <f t="shared" si="65"/>
        <v>0</v>
      </c>
      <c r="AL79">
        <f t="shared" si="66"/>
        <v>0</v>
      </c>
      <c r="AM79">
        <f t="shared" si="67"/>
        <v>0</v>
      </c>
      <c r="AN79">
        <f t="shared" si="68"/>
        <v>0</v>
      </c>
      <c r="AO79">
        <f t="shared" si="69"/>
        <v>0</v>
      </c>
    </row>
    <row r="80" spans="1:41" x14ac:dyDescent="0.45">
      <c r="A80">
        <v>20.821058300000001</v>
      </c>
      <c r="B80">
        <v>108.63210359999999</v>
      </c>
      <c r="C80">
        <v>60.92937088</v>
      </c>
      <c r="D80">
        <v>9.0353813200000008</v>
      </c>
      <c r="E80">
        <f t="shared" si="35"/>
        <v>9.0353813200000008</v>
      </c>
      <c r="F80">
        <f t="shared" si="36"/>
        <v>0</v>
      </c>
      <c r="G80">
        <f t="shared" si="37"/>
        <v>0</v>
      </c>
      <c r="H80">
        <f t="shared" si="38"/>
        <v>0</v>
      </c>
      <c r="I80">
        <f t="shared" si="39"/>
        <v>0</v>
      </c>
      <c r="J80">
        <f t="shared" si="40"/>
        <v>0</v>
      </c>
      <c r="K80" s="1">
        <f t="shared" si="41"/>
        <v>0</v>
      </c>
      <c r="L80" s="1">
        <f t="shared" si="42"/>
        <v>0</v>
      </c>
      <c r="M80" s="1">
        <f t="shared" si="43"/>
        <v>0</v>
      </c>
      <c r="N80" s="1">
        <f t="shared" si="44"/>
        <v>0</v>
      </c>
      <c r="O80" s="1">
        <f t="shared" si="45"/>
        <v>0</v>
      </c>
      <c r="P80" s="1">
        <f t="shared" si="46"/>
        <v>25</v>
      </c>
      <c r="Q80" s="1" t="e">
        <f t="shared" si="47"/>
        <v>#DIV/0!</v>
      </c>
      <c r="R80" s="1" t="e">
        <f t="shared" si="48"/>
        <v>#DIV/0!</v>
      </c>
      <c r="S80" s="1" t="e">
        <f t="shared" si="49"/>
        <v>#DIV/0!</v>
      </c>
      <c r="T80" s="1" t="e">
        <f t="shared" si="50"/>
        <v>#DIV/0!</v>
      </c>
      <c r="U80" s="1" t="e">
        <f t="shared" si="51"/>
        <v>#DIV/0!</v>
      </c>
      <c r="V80">
        <f t="shared" si="52"/>
        <v>851.48</v>
      </c>
      <c r="W80">
        <f t="shared" si="53"/>
        <v>0</v>
      </c>
      <c r="X80">
        <f t="shared" si="54"/>
        <v>0</v>
      </c>
      <c r="Y80">
        <f t="shared" si="55"/>
        <v>0</v>
      </c>
      <c r="Z80">
        <f t="shared" si="56"/>
        <v>0</v>
      </c>
      <c r="AA80">
        <f t="shared" si="57"/>
        <v>0</v>
      </c>
      <c r="AC80">
        <f t="shared" si="58"/>
        <v>1045.25</v>
      </c>
      <c r="AD80">
        <f t="shared" si="59"/>
        <v>0</v>
      </c>
      <c r="AE80">
        <f t="shared" si="60"/>
        <v>0</v>
      </c>
      <c r="AF80">
        <f t="shared" si="61"/>
        <v>0</v>
      </c>
      <c r="AG80">
        <f t="shared" si="62"/>
        <v>0</v>
      </c>
      <c r="AH80">
        <f t="shared" si="63"/>
        <v>0</v>
      </c>
      <c r="AJ80">
        <f t="shared" si="64"/>
        <v>1239.01</v>
      </c>
      <c r="AK80">
        <f t="shared" si="65"/>
        <v>0</v>
      </c>
      <c r="AL80">
        <f t="shared" si="66"/>
        <v>0</v>
      </c>
      <c r="AM80">
        <f t="shared" si="67"/>
        <v>0</v>
      </c>
      <c r="AN80">
        <f t="shared" si="68"/>
        <v>0</v>
      </c>
      <c r="AO80">
        <f t="shared" si="69"/>
        <v>0</v>
      </c>
    </row>
    <row r="81" spans="1:41" x14ac:dyDescent="0.45">
      <c r="A81">
        <v>20.82225515</v>
      </c>
      <c r="B81">
        <v>108.5848455</v>
      </c>
      <c r="C81">
        <v>41.7955513</v>
      </c>
      <c r="D81">
        <v>1.866611</v>
      </c>
      <c r="E81">
        <f t="shared" si="35"/>
        <v>1.866611</v>
      </c>
      <c r="F81">
        <f t="shared" si="36"/>
        <v>0</v>
      </c>
      <c r="G81">
        <f t="shared" si="37"/>
        <v>0</v>
      </c>
      <c r="H81">
        <f t="shared" si="38"/>
        <v>0</v>
      </c>
      <c r="I81">
        <f t="shared" si="39"/>
        <v>0</v>
      </c>
      <c r="J81">
        <f t="shared" si="40"/>
        <v>0</v>
      </c>
      <c r="K81" s="1">
        <f t="shared" si="41"/>
        <v>0</v>
      </c>
      <c r="L81" s="1">
        <f t="shared" si="42"/>
        <v>0</v>
      </c>
      <c r="M81" s="1">
        <f t="shared" si="43"/>
        <v>0</v>
      </c>
      <c r="N81" s="1">
        <f t="shared" si="44"/>
        <v>0</v>
      </c>
      <c r="O81" s="1">
        <f t="shared" si="45"/>
        <v>0</v>
      </c>
      <c r="P81" s="1">
        <f t="shared" si="46"/>
        <v>25</v>
      </c>
      <c r="Q81" s="1" t="e">
        <f t="shared" si="47"/>
        <v>#DIV/0!</v>
      </c>
      <c r="R81" s="1" t="e">
        <f t="shared" si="48"/>
        <v>#DIV/0!</v>
      </c>
      <c r="S81" s="1" t="e">
        <f t="shared" si="49"/>
        <v>#DIV/0!</v>
      </c>
      <c r="T81" s="1" t="e">
        <f t="shared" si="50"/>
        <v>#DIV/0!</v>
      </c>
      <c r="U81" s="1" t="e">
        <f t="shared" si="51"/>
        <v>#DIV/0!</v>
      </c>
      <c r="V81">
        <f t="shared" si="52"/>
        <v>851.48</v>
      </c>
      <c r="W81">
        <f t="shared" si="53"/>
        <v>0</v>
      </c>
      <c r="X81">
        <f t="shared" si="54"/>
        <v>0</v>
      </c>
      <c r="Y81">
        <f t="shared" si="55"/>
        <v>0</v>
      </c>
      <c r="Z81">
        <f t="shared" si="56"/>
        <v>0</v>
      </c>
      <c r="AA81">
        <f t="shared" si="57"/>
        <v>0</v>
      </c>
      <c r="AC81">
        <f t="shared" si="58"/>
        <v>1045.25</v>
      </c>
      <c r="AD81">
        <f t="shared" si="59"/>
        <v>0</v>
      </c>
      <c r="AE81">
        <f t="shared" si="60"/>
        <v>0</v>
      </c>
      <c r="AF81">
        <f t="shared" si="61"/>
        <v>0</v>
      </c>
      <c r="AG81">
        <f t="shared" si="62"/>
        <v>0</v>
      </c>
      <c r="AH81">
        <f t="shared" si="63"/>
        <v>0</v>
      </c>
      <c r="AJ81">
        <f t="shared" si="64"/>
        <v>1239.01</v>
      </c>
      <c r="AK81">
        <f t="shared" si="65"/>
        <v>0</v>
      </c>
      <c r="AL81">
        <f t="shared" si="66"/>
        <v>0</v>
      </c>
      <c r="AM81">
        <f t="shared" si="67"/>
        <v>0</v>
      </c>
      <c r="AN81">
        <f t="shared" si="68"/>
        <v>0</v>
      </c>
      <c r="AO81">
        <f t="shared" si="69"/>
        <v>0</v>
      </c>
    </row>
    <row r="82" spans="1:41" x14ac:dyDescent="0.45">
      <c r="A82">
        <v>20.83146576</v>
      </c>
      <c r="B82">
        <v>114.8380631</v>
      </c>
      <c r="C82">
        <v>0.92556899999999998</v>
      </c>
      <c r="D82">
        <v>43.732223509999997</v>
      </c>
      <c r="E82">
        <f t="shared" si="35"/>
        <v>0.92556899999999998</v>
      </c>
      <c r="F82">
        <f t="shared" si="36"/>
        <v>39.104378509999997</v>
      </c>
      <c r="G82">
        <f t="shared" si="37"/>
        <v>34.476533509999996</v>
      </c>
      <c r="H82">
        <f t="shared" si="38"/>
        <v>29.848688509999995</v>
      </c>
      <c r="I82">
        <f t="shared" si="39"/>
        <v>25.220843509999998</v>
      </c>
      <c r="J82">
        <f t="shared" si="40"/>
        <v>20.592998509999997</v>
      </c>
      <c r="K82" s="1">
        <f t="shared" si="41"/>
        <v>0.92556899999999998</v>
      </c>
      <c r="L82" s="1">
        <f t="shared" si="42"/>
        <v>0.92556899999999998</v>
      </c>
      <c r="M82" s="1">
        <f t="shared" si="43"/>
        <v>0.92556899999999998</v>
      </c>
      <c r="N82" s="1">
        <f t="shared" si="44"/>
        <v>0.92556899999999998</v>
      </c>
      <c r="O82" s="1">
        <f t="shared" si="45"/>
        <v>0.92556899999999998</v>
      </c>
      <c r="P82" s="1">
        <f t="shared" si="46"/>
        <v>1</v>
      </c>
      <c r="Q82" s="1">
        <f t="shared" si="47"/>
        <v>1</v>
      </c>
      <c r="R82" s="1">
        <f t="shared" si="48"/>
        <v>1</v>
      </c>
      <c r="S82" s="1">
        <f t="shared" si="49"/>
        <v>1</v>
      </c>
      <c r="T82" s="1">
        <f t="shared" si="50"/>
        <v>1</v>
      </c>
      <c r="U82" s="1">
        <f t="shared" si="51"/>
        <v>1.1236452519900659</v>
      </c>
      <c r="V82">
        <f t="shared" si="52"/>
        <v>71.48</v>
      </c>
      <c r="W82">
        <f t="shared" si="53"/>
        <v>76.489999999999995</v>
      </c>
      <c r="X82">
        <f t="shared" si="54"/>
        <v>52.14</v>
      </c>
      <c r="Y82">
        <f t="shared" si="55"/>
        <v>38.1</v>
      </c>
      <c r="Z82">
        <f t="shared" si="56"/>
        <v>32.120000000000005</v>
      </c>
      <c r="AA82">
        <f t="shared" si="57"/>
        <v>32.193791909826153</v>
      </c>
      <c r="AC82">
        <f t="shared" si="58"/>
        <v>85.25</v>
      </c>
      <c r="AD82">
        <f t="shared" si="59"/>
        <v>76.489999999999995</v>
      </c>
      <c r="AE82">
        <f t="shared" si="60"/>
        <v>64.17</v>
      </c>
      <c r="AF82">
        <f t="shared" si="61"/>
        <v>49.84</v>
      </c>
      <c r="AG82">
        <f t="shared" si="62"/>
        <v>48.34</v>
      </c>
      <c r="AH82">
        <f t="shared" si="63"/>
        <v>44.451131299751651</v>
      </c>
      <c r="AJ82">
        <f t="shared" si="64"/>
        <v>99.009999999999991</v>
      </c>
      <c r="AK82">
        <f t="shared" si="65"/>
        <v>90.94</v>
      </c>
      <c r="AL82">
        <f t="shared" si="66"/>
        <v>78.7</v>
      </c>
      <c r="AM82">
        <f t="shared" si="67"/>
        <v>67.430000000000007</v>
      </c>
      <c r="AN82">
        <f t="shared" si="68"/>
        <v>62.56</v>
      </c>
      <c r="AO82">
        <f t="shared" si="69"/>
        <v>59.517583819652302</v>
      </c>
    </row>
    <row r="83" spans="1:41" x14ac:dyDescent="0.45">
      <c r="A83">
        <v>20.835505250000001</v>
      </c>
      <c r="B83">
        <v>114.7909774</v>
      </c>
      <c r="C83">
        <v>0.73452300000000004</v>
      </c>
      <c r="D83">
        <v>3.3178698999999998</v>
      </c>
      <c r="E83">
        <f t="shared" si="35"/>
        <v>0.73452300000000004</v>
      </c>
      <c r="F83">
        <f t="shared" si="36"/>
        <v>0</v>
      </c>
      <c r="G83">
        <f t="shared" si="37"/>
        <v>0</v>
      </c>
      <c r="H83">
        <f t="shared" si="38"/>
        <v>0</v>
      </c>
      <c r="I83">
        <f t="shared" si="39"/>
        <v>0</v>
      </c>
      <c r="J83">
        <f t="shared" si="40"/>
        <v>0</v>
      </c>
      <c r="K83" s="1">
        <f t="shared" si="41"/>
        <v>0</v>
      </c>
      <c r="L83" s="1">
        <f t="shared" si="42"/>
        <v>0</v>
      </c>
      <c r="M83" s="1">
        <f t="shared" si="43"/>
        <v>0</v>
      </c>
      <c r="N83" s="1">
        <f t="shared" si="44"/>
        <v>0</v>
      </c>
      <c r="O83" s="1">
        <f t="shared" si="45"/>
        <v>0</v>
      </c>
      <c r="P83" s="1">
        <f t="shared" si="46"/>
        <v>5.5345976646040294</v>
      </c>
      <c r="Q83" s="1" t="e">
        <f t="shared" si="47"/>
        <v>#DIV/0!</v>
      </c>
      <c r="R83" s="1" t="e">
        <f t="shared" si="48"/>
        <v>#DIV/0!</v>
      </c>
      <c r="S83" s="1" t="e">
        <f t="shared" si="49"/>
        <v>#DIV/0!</v>
      </c>
      <c r="T83" s="1" t="e">
        <f t="shared" si="50"/>
        <v>#DIV/0!</v>
      </c>
      <c r="U83" s="1" t="e">
        <f t="shared" si="51"/>
        <v>#DIV/0!</v>
      </c>
      <c r="V83">
        <f t="shared" si="52"/>
        <v>218.85442409963093</v>
      </c>
      <c r="W83">
        <f t="shared" si="53"/>
        <v>0</v>
      </c>
      <c r="X83">
        <f t="shared" si="54"/>
        <v>0</v>
      </c>
      <c r="Y83">
        <f t="shared" si="55"/>
        <v>0</v>
      </c>
      <c r="Z83">
        <f t="shared" si="56"/>
        <v>0</v>
      </c>
      <c r="AA83">
        <f t="shared" si="57"/>
        <v>0</v>
      </c>
      <c r="AC83">
        <f t="shared" si="58"/>
        <v>266.6339065841612</v>
      </c>
      <c r="AD83">
        <f t="shared" si="59"/>
        <v>0</v>
      </c>
      <c r="AE83">
        <f t="shared" si="60"/>
        <v>0</v>
      </c>
      <c r="AF83">
        <f t="shared" si="61"/>
        <v>0</v>
      </c>
      <c r="AG83">
        <f t="shared" si="62"/>
        <v>0</v>
      </c>
      <c r="AH83">
        <f t="shared" si="63"/>
        <v>0</v>
      </c>
      <c r="AJ83">
        <f t="shared" si="64"/>
        <v>314.40338906869141</v>
      </c>
      <c r="AK83">
        <f t="shared" si="65"/>
        <v>0</v>
      </c>
      <c r="AL83">
        <f t="shared" si="66"/>
        <v>0</v>
      </c>
      <c r="AM83">
        <f t="shared" si="67"/>
        <v>0</v>
      </c>
      <c r="AN83">
        <f t="shared" si="68"/>
        <v>0</v>
      </c>
      <c r="AO83">
        <f t="shared" si="69"/>
        <v>0</v>
      </c>
    </row>
    <row r="84" spans="1:41" x14ac:dyDescent="0.45">
      <c r="A84">
        <v>20.847494999999999</v>
      </c>
      <c r="B84">
        <v>114.6496952</v>
      </c>
      <c r="C84">
        <v>1.05465806</v>
      </c>
      <c r="D84">
        <v>38.546062470000003</v>
      </c>
      <c r="E84">
        <f t="shared" si="35"/>
        <v>1.05465806</v>
      </c>
      <c r="F84">
        <f t="shared" si="36"/>
        <v>33.272772170000003</v>
      </c>
      <c r="G84">
        <f t="shared" si="37"/>
        <v>27.999481870000004</v>
      </c>
      <c r="H84">
        <f t="shared" si="38"/>
        <v>22.726191570000005</v>
      </c>
      <c r="I84">
        <f t="shared" si="39"/>
        <v>17.452901270000005</v>
      </c>
      <c r="J84">
        <f t="shared" si="40"/>
        <v>12.179610970000002</v>
      </c>
      <c r="K84" s="1">
        <f t="shared" si="41"/>
        <v>1.05465806</v>
      </c>
      <c r="L84" s="1">
        <f t="shared" si="42"/>
        <v>1.05465806</v>
      </c>
      <c r="M84" s="1">
        <f t="shared" si="43"/>
        <v>1.05465806</v>
      </c>
      <c r="N84" s="1">
        <f t="shared" si="44"/>
        <v>1.05465806</v>
      </c>
      <c r="O84" s="1">
        <f t="shared" si="45"/>
        <v>1.05465806</v>
      </c>
      <c r="P84" s="1">
        <f t="shared" si="46"/>
        <v>1</v>
      </c>
      <c r="Q84" s="1">
        <f t="shared" si="47"/>
        <v>1</v>
      </c>
      <c r="R84" s="1">
        <f t="shared" si="48"/>
        <v>1</v>
      </c>
      <c r="S84" s="1">
        <f t="shared" si="49"/>
        <v>1.1601790567850958</v>
      </c>
      <c r="T84" s="1">
        <f t="shared" si="50"/>
        <v>1.5107202574578016</v>
      </c>
      <c r="U84" s="1">
        <f t="shared" si="51"/>
        <v>2.1648024362144298</v>
      </c>
      <c r="V84">
        <f t="shared" si="52"/>
        <v>71.48</v>
      </c>
      <c r="W84">
        <f t="shared" si="53"/>
        <v>76.489999999999995</v>
      </c>
      <c r="X84">
        <f t="shared" si="54"/>
        <v>56.144476419627395</v>
      </c>
      <c r="Y84">
        <f t="shared" si="55"/>
        <v>41.303581135701918</v>
      </c>
      <c r="Z84">
        <f t="shared" si="56"/>
        <v>41.057604505511527</v>
      </c>
      <c r="AA84">
        <f t="shared" si="57"/>
        <v>50.414042633752523</v>
      </c>
      <c r="AC84">
        <f t="shared" si="58"/>
        <v>85.25</v>
      </c>
      <c r="AD84">
        <f t="shared" si="59"/>
        <v>76.489999999999995</v>
      </c>
      <c r="AE84">
        <f t="shared" si="60"/>
        <v>64.17</v>
      </c>
      <c r="AF84">
        <f t="shared" si="61"/>
        <v>54.645371703552868</v>
      </c>
      <c r="AG84">
        <f t="shared" si="62"/>
        <v>48.850720257457809</v>
      </c>
      <c r="AH84">
        <f t="shared" si="63"/>
        <v>70.480060905360745</v>
      </c>
      <c r="AJ84">
        <f t="shared" si="64"/>
        <v>99.009999999999991</v>
      </c>
      <c r="AK84">
        <f t="shared" si="65"/>
        <v>90.94</v>
      </c>
      <c r="AL84">
        <f t="shared" si="66"/>
        <v>78.7</v>
      </c>
      <c r="AM84">
        <f t="shared" si="67"/>
        <v>73.436714629441099</v>
      </c>
      <c r="AN84">
        <f t="shared" si="68"/>
        <v>81.712009654667554</v>
      </c>
      <c r="AO84">
        <f t="shared" si="69"/>
        <v>95.958085267505041</v>
      </c>
    </row>
    <row r="85" spans="1:41" x14ac:dyDescent="0.45">
      <c r="A85">
        <v>20.851448659999999</v>
      </c>
      <c r="B85">
        <v>114.602593</v>
      </c>
      <c r="C85">
        <v>1.53848004</v>
      </c>
      <c r="D85">
        <v>0.26934701</v>
      </c>
      <c r="E85">
        <f t="shared" si="35"/>
        <v>0.26934701</v>
      </c>
      <c r="F85">
        <f t="shared" si="36"/>
        <v>0</v>
      </c>
      <c r="G85">
        <f t="shared" si="37"/>
        <v>0</v>
      </c>
      <c r="H85">
        <f t="shared" si="38"/>
        <v>0</v>
      </c>
      <c r="I85">
        <f t="shared" si="39"/>
        <v>0</v>
      </c>
      <c r="J85">
        <f t="shared" si="40"/>
        <v>0</v>
      </c>
      <c r="K85" s="1">
        <f t="shared" si="41"/>
        <v>0</v>
      </c>
      <c r="L85" s="1">
        <f t="shared" si="42"/>
        <v>0</v>
      </c>
      <c r="M85" s="1">
        <f t="shared" si="43"/>
        <v>0</v>
      </c>
      <c r="N85" s="1">
        <f t="shared" si="44"/>
        <v>0</v>
      </c>
      <c r="O85" s="1">
        <f t="shared" si="45"/>
        <v>0</v>
      </c>
      <c r="P85" s="1">
        <f t="shared" si="46"/>
        <v>25</v>
      </c>
      <c r="Q85" s="1" t="e">
        <f t="shared" si="47"/>
        <v>#DIV/0!</v>
      </c>
      <c r="R85" s="1" t="e">
        <f t="shared" si="48"/>
        <v>#DIV/0!</v>
      </c>
      <c r="S85" s="1" t="e">
        <f t="shared" si="49"/>
        <v>#DIV/0!</v>
      </c>
      <c r="T85" s="1" t="e">
        <f t="shared" si="50"/>
        <v>#DIV/0!</v>
      </c>
      <c r="U85" s="1" t="e">
        <f t="shared" si="51"/>
        <v>#DIV/0!</v>
      </c>
      <c r="V85">
        <f t="shared" si="52"/>
        <v>851.48</v>
      </c>
      <c r="W85">
        <f t="shared" si="53"/>
        <v>0</v>
      </c>
      <c r="X85">
        <f t="shared" si="54"/>
        <v>0</v>
      </c>
      <c r="Y85">
        <f t="shared" si="55"/>
        <v>0</v>
      </c>
      <c r="Z85">
        <f t="shared" si="56"/>
        <v>0</v>
      </c>
      <c r="AA85">
        <f t="shared" si="57"/>
        <v>0</v>
      </c>
      <c r="AC85">
        <f t="shared" si="58"/>
        <v>1045.25</v>
      </c>
      <c r="AD85">
        <f t="shared" si="59"/>
        <v>0</v>
      </c>
      <c r="AE85">
        <f t="shared" si="60"/>
        <v>0</v>
      </c>
      <c r="AF85">
        <f t="shared" si="61"/>
        <v>0</v>
      </c>
      <c r="AG85">
        <f t="shared" si="62"/>
        <v>0</v>
      </c>
      <c r="AH85">
        <f t="shared" si="63"/>
        <v>0</v>
      </c>
      <c r="AJ85">
        <f t="shared" si="64"/>
        <v>1239.01</v>
      </c>
      <c r="AK85">
        <f t="shared" si="65"/>
        <v>0</v>
      </c>
      <c r="AL85">
        <f t="shared" si="66"/>
        <v>0</v>
      </c>
      <c r="AM85">
        <f t="shared" si="67"/>
        <v>0</v>
      </c>
      <c r="AN85">
        <f t="shared" si="68"/>
        <v>0</v>
      </c>
      <c r="AO85">
        <f t="shared" si="69"/>
        <v>0</v>
      </c>
    </row>
    <row r="86" spans="1:41" x14ac:dyDescent="0.45">
      <c r="A86">
        <v>20.852324769999999</v>
      </c>
      <c r="B86">
        <v>109.1061275</v>
      </c>
      <c r="C86">
        <v>29.236465450000001</v>
      </c>
      <c r="D86">
        <v>1.0161739599999999</v>
      </c>
      <c r="E86">
        <f t="shared" si="35"/>
        <v>1.0161739599999999</v>
      </c>
      <c r="F86">
        <f t="shared" si="36"/>
        <v>0</v>
      </c>
      <c r="G86">
        <f t="shared" si="37"/>
        <v>0</v>
      </c>
      <c r="H86">
        <f t="shared" si="38"/>
        <v>0</v>
      </c>
      <c r="I86">
        <f t="shared" si="39"/>
        <v>0</v>
      </c>
      <c r="J86">
        <f t="shared" si="40"/>
        <v>0</v>
      </c>
      <c r="K86" s="1">
        <f t="shared" si="41"/>
        <v>0</v>
      </c>
      <c r="L86" s="1">
        <f t="shared" si="42"/>
        <v>0</v>
      </c>
      <c r="M86" s="1">
        <f t="shared" si="43"/>
        <v>0</v>
      </c>
      <c r="N86" s="1">
        <f t="shared" si="44"/>
        <v>0</v>
      </c>
      <c r="O86" s="1">
        <f t="shared" si="45"/>
        <v>0</v>
      </c>
      <c r="P86" s="1">
        <f t="shared" si="46"/>
        <v>25</v>
      </c>
      <c r="Q86" s="1" t="e">
        <f t="shared" si="47"/>
        <v>#DIV/0!</v>
      </c>
      <c r="R86" s="1" t="e">
        <f t="shared" si="48"/>
        <v>#DIV/0!</v>
      </c>
      <c r="S86" s="1" t="e">
        <f t="shared" si="49"/>
        <v>#DIV/0!</v>
      </c>
      <c r="T86" s="1" t="e">
        <f t="shared" si="50"/>
        <v>#DIV/0!</v>
      </c>
      <c r="U86" s="1" t="e">
        <f t="shared" si="51"/>
        <v>#DIV/0!</v>
      </c>
      <c r="V86">
        <f t="shared" si="52"/>
        <v>851.48</v>
      </c>
      <c r="W86">
        <f t="shared" si="53"/>
        <v>0</v>
      </c>
      <c r="X86">
        <f t="shared" si="54"/>
        <v>0</v>
      </c>
      <c r="Y86">
        <f t="shared" si="55"/>
        <v>0</v>
      </c>
      <c r="Z86">
        <f t="shared" si="56"/>
        <v>0</v>
      </c>
      <c r="AA86">
        <f t="shared" si="57"/>
        <v>0</v>
      </c>
      <c r="AC86">
        <f t="shared" si="58"/>
        <v>1045.25</v>
      </c>
      <c r="AD86">
        <f t="shared" si="59"/>
        <v>0</v>
      </c>
      <c r="AE86">
        <f t="shared" si="60"/>
        <v>0</v>
      </c>
      <c r="AF86">
        <f t="shared" si="61"/>
        <v>0</v>
      </c>
      <c r="AG86">
        <f t="shared" si="62"/>
        <v>0</v>
      </c>
      <c r="AH86">
        <f t="shared" si="63"/>
        <v>0</v>
      </c>
      <c r="AJ86">
        <f t="shared" si="64"/>
        <v>1239.01</v>
      </c>
      <c r="AK86">
        <f t="shared" si="65"/>
        <v>0</v>
      </c>
      <c r="AL86">
        <f t="shared" si="66"/>
        <v>0</v>
      </c>
      <c r="AM86">
        <f t="shared" si="67"/>
        <v>0</v>
      </c>
      <c r="AN86">
        <f t="shared" si="68"/>
        <v>0</v>
      </c>
      <c r="AO86">
        <f t="shared" si="69"/>
        <v>0</v>
      </c>
    </row>
    <row r="87" spans="1:41" x14ac:dyDescent="0.45">
      <c r="A87">
        <v>20.852374770000001</v>
      </c>
      <c r="B87">
        <v>115.60020059999999</v>
      </c>
      <c r="C87">
        <v>0.43123298999999998</v>
      </c>
      <c r="D87">
        <v>4.4891509999999997</v>
      </c>
      <c r="E87">
        <f t="shared" si="35"/>
        <v>0.43123298999999998</v>
      </c>
      <c r="F87">
        <f t="shared" si="36"/>
        <v>2.3329860499999997</v>
      </c>
      <c r="G87">
        <f t="shared" si="37"/>
        <v>0.17682109999999973</v>
      </c>
      <c r="H87">
        <f t="shared" si="38"/>
        <v>0</v>
      </c>
      <c r="I87">
        <f t="shared" si="39"/>
        <v>0</v>
      </c>
      <c r="J87">
        <f t="shared" si="40"/>
        <v>0</v>
      </c>
      <c r="K87" s="1">
        <f t="shared" si="41"/>
        <v>0.43123298999999998</v>
      </c>
      <c r="L87" s="1">
        <f t="shared" si="42"/>
        <v>0.17682109999999973</v>
      </c>
      <c r="M87" s="1">
        <f t="shared" si="43"/>
        <v>0</v>
      </c>
      <c r="N87" s="1">
        <f t="shared" si="44"/>
        <v>0</v>
      </c>
      <c r="O87" s="1">
        <f t="shared" si="45"/>
        <v>0</v>
      </c>
      <c r="P87" s="1">
        <f t="shared" si="46"/>
        <v>2.4015286520769741</v>
      </c>
      <c r="Q87" s="1">
        <f t="shared" si="47"/>
        <v>4.6210412402594523</v>
      </c>
      <c r="R87" s="1">
        <f t="shared" si="48"/>
        <v>25</v>
      </c>
      <c r="S87" s="1" t="e">
        <f t="shared" si="49"/>
        <v>#DIV/0!</v>
      </c>
      <c r="T87" s="1" t="e">
        <f t="shared" si="50"/>
        <v>#DIV/0!</v>
      </c>
      <c r="U87" s="1" t="e">
        <f t="shared" si="51"/>
        <v>#DIV/0!</v>
      </c>
      <c r="V87">
        <f t="shared" si="52"/>
        <v>117.02968119250166</v>
      </c>
      <c r="W87">
        <f t="shared" si="53"/>
        <v>212.27904650972948</v>
      </c>
      <c r="X87" t="e">
        <f t="shared" si="54"/>
        <v>#DIV/0!</v>
      </c>
      <c r="Y87">
        <f t="shared" si="55"/>
        <v>0</v>
      </c>
      <c r="Z87">
        <f t="shared" si="56"/>
        <v>0</v>
      </c>
      <c r="AA87">
        <f t="shared" si="57"/>
        <v>0</v>
      </c>
      <c r="AC87">
        <f t="shared" si="58"/>
        <v>141.31114608307897</v>
      </c>
      <c r="AD87">
        <f t="shared" si="59"/>
        <v>212.27904650972948</v>
      </c>
      <c r="AE87">
        <f t="shared" si="60"/>
        <v>844.17</v>
      </c>
      <c r="AF87">
        <f t="shared" si="61"/>
        <v>0</v>
      </c>
      <c r="AG87">
        <f t="shared" si="62"/>
        <v>0</v>
      </c>
      <c r="AH87">
        <f t="shared" si="63"/>
        <v>0</v>
      </c>
      <c r="AJ87">
        <f t="shared" si="64"/>
        <v>165.58261097365627</v>
      </c>
      <c r="AK87">
        <f t="shared" si="65"/>
        <v>253.88685581167536</v>
      </c>
      <c r="AL87">
        <f t="shared" si="66"/>
        <v>1098.7</v>
      </c>
      <c r="AM87">
        <f t="shared" si="67"/>
        <v>0</v>
      </c>
      <c r="AN87">
        <f t="shared" si="68"/>
        <v>0</v>
      </c>
      <c r="AO87">
        <f t="shared" si="69"/>
        <v>0</v>
      </c>
    </row>
    <row r="88" spans="1:41" x14ac:dyDescent="0.45">
      <c r="A88">
        <v>20.855132019999999</v>
      </c>
      <c r="B88">
        <v>109.0115909</v>
      </c>
      <c r="C88">
        <v>25.680141450000001</v>
      </c>
      <c r="D88">
        <v>3.5684831099999998</v>
      </c>
      <c r="E88">
        <f t="shared" si="35"/>
        <v>3.5684831099999998</v>
      </c>
      <c r="F88">
        <f t="shared" si="36"/>
        <v>0</v>
      </c>
      <c r="G88">
        <f t="shared" si="37"/>
        <v>0</v>
      </c>
      <c r="H88">
        <f t="shared" si="38"/>
        <v>0</v>
      </c>
      <c r="I88">
        <f t="shared" si="39"/>
        <v>0</v>
      </c>
      <c r="J88">
        <f t="shared" si="40"/>
        <v>0</v>
      </c>
      <c r="K88" s="1">
        <f t="shared" si="41"/>
        <v>0</v>
      </c>
      <c r="L88" s="1">
        <f t="shared" si="42"/>
        <v>0</v>
      </c>
      <c r="M88" s="1">
        <f t="shared" si="43"/>
        <v>0</v>
      </c>
      <c r="N88" s="1">
        <f t="shared" si="44"/>
        <v>0</v>
      </c>
      <c r="O88" s="1">
        <f t="shared" si="45"/>
        <v>0</v>
      </c>
      <c r="P88" s="1">
        <f t="shared" si="46"/>
        <v>25</v>
      </c>
      <c r="Q88" s="1" t="e">
        <f t="shared" si="47"/>
        <v>#DIV/0!</v>
      </c>
      <c r="R88" s="1" t="e">
        <f t="shared" si="48"/>
        <v>#DIV/0!</v>
      </c>
      <c r="S88" s="1" t="e">
        <f t="shared" si="49"/>
        <v>#DIV/0!</v>
      </c>
      <c r="T88" s="1" t="e">
        <f t="shared" si="50"/>
        <v>#DIV/0!</v>
      </c>
      <c r="U88" s="1" t="e">
        <f t="shared" si="51"/>
        <v>#DIV/0!</v>
      </c>
      <c r="V88">
        <f t="shared" si="52"/>
        <v>851.48</v>
      </c>
      <c r="W88">
        <f t="shared" si="53"/>
        <v>0</v>
      </c>
      <c r="X88">
        <f t="shared" si="54"/>
        <v>0</v>
      </c>
      <c r="Y88">
        <f t="shared" si="55"/>
        <v>0</v>
      </c>
      <c r="Z88">
        <f t="shared" si="56"/>
        <v>0</v>
      </c>
      <c r="AA88">
        <f t="shared" si="57"/>
        <v>0</v>
      </c>
      <c r="AC88">
        <f t="shared" si="58"/>
        <v>1045.25</v>
      </c>
      <c r="AD88">
        <f t="shared" si="59"/>
        <v>0</v>
      </c>
      <c r="AE88">
        <f t="shared" si="60"/>
        <v>0</v>
      </c>
      <c r="AF88">
        <f t="shared" si="61"/>
        <v>0</v>
      </c>
      <c r="AG88">
        <f t="shared" si="62"/>
        <v>0</v>
      </c>
      <c r="AH88">
        <f t="shared" si="63"/>
        <v>0</v>
      </c>
      <c r="AJ88">
        <f t="shared" si="64"/>
        <v>1239.01</v>
      </c>
      <c r="AK88">
        <f t="shared" si="65"/>
        <v>0</v>
      </c>
      <c r="AL88">
        <f t="shared" si="66"/>
        <v>0</v>
      </c>
      <c r="AM88">
        <f t="shared" si="67"/>
        <v>0</v>
      </c>
      <c r="AN88">
        <f t="shared" si="68"/>
        <v>0</v>
      </c>
      <c r="AO88">
        <f t="shared" si="69"/>
        <v>0</v>
      </c>
    </row>
    <row r="89" spans="1:41" x14ac:dyDescent="0.45">
      <c r="A89">
        <v>20.857852579999999</v>
      </c>
      <c r="B89">
        <v>108.91704850000001</v>
      </c>
      <c r="C89">
        <v>56.964576719999997</v>
      </c>
      <c r="D89">
        <v>1.88053501</v>
      </c>
      <c r="E89">
        <f t="shared" si="35"/>
        <v>1.88053501</v>
      </c>
      <c r="F89">
        <f t="shared" si="36"/>
        <v>0</v>
      </c>
      <c r="G89">
        <f t="shared" si="37"/>
        <v>0</v>
      </c>
      <c r="H89">
        <f t="shared" si="38"/>
        <v>0</v>
      </c>
      <c r="I89">
        <f t="shared" si="39"/>
        <v>0</v>
      </c>
      <c r="J89">
        <f t="shared" si="40"/>
        <v>0</v>
      </c>
      <c r="K89" s="1">
        <f t="shared" si="41"/>
        <v>0</v>
      </c>
      <c r="L89" s="1">
        <f t="shared" si="42"/>
        <v>0</v>
      </c>
      <c r="M89" s="1">
        <f t="shared" si="43"/>
        <v>0</v>
      </c>
      <c r="N89" s="1">
        <f t="shared" si="44"/>
        <v>0</v>
      </c>
      <c r="O89" s="1">
        <f t="shared" si="45"/>
        <v>0</v>
      </c>
      <c r="P89" s="1">
        <f t="shared" si="46"/>
        <v>25</v>
      </c>
      <c r="Q89" s="1" t="e">
        <f t="shared" si="47"/>
        <v>#DIV/0!</v>
      </c>
      <c r="R89" s="1" t="e">
        <f t="shared" si="48"/>
        <v>#DIV/0!</v>
      </c>
      <c r="S89" s="1" t="e">
        <f t="shared" si="49"/>
        <v>#DIV/0!</v>
      </c>
      <c r="T89" s="1" t="e">
        <f t="shared" si="50"/>
        <v>#DIV/0!</v>
      </c>
      <c r="U89" s="1" t="e">
        <f t="shared" si="51"/>
        <v>#DIV/0!</v>
      </c>
      <c r="V89">
        <f t="shared" si="52"/>
        <v>851.48</v>
      </c>
      <c r="W89">
        <f t="shared" si="53"/>
        <v>0</v>
      </c>
      <c r="X89">
        <f t="shared" si="54"/>
        <v>0</v>
      </c>
      <c r="Y89">
        <f t="shared" si="55"/>
        <v>0</v>
      </c>
      <c r="Z89">
        <f t="shared" si="56"/>
        <v>0</v>
      </c>
      <c r="AA89">
        <f t="shared" si="57"/>
        <v>0</v>
      </c>
      <c r="AC89">
        <f t="shared" si="58"/>
        <v>1045.25</v>
      </c>
      <c r="AD89">
        <f t="shared" si="59"/>
        <v>0</v>
      </c>
      <c r="AE89">
        <f t="shared" si="60"/>
        <v>0</v>
      </c>
      <c r="AF89">
        <f t="shared" si="61"/>
        <v>0</v>
      </c>
      <c r="AG89">
        <f t="shared" si="62"/>
        <v>0</v>
      </c>
      <c r="AH89">
        <f t="shared" si="63"/>
        <v>0</v>
      </c>
      <c r="AJ89">
        <f t="shared" si="64"/>
        <v>1239.01</v>
      </c>
      <c r="AK89">
        <f t="shared" si="65"/>
        <v>0</v>
      </c>
      <c r="AL89">
        <f t="shared" si="66"/>
        <v>0</v>
      </c>
      <c r="AM89">
        <f t="shared" si="67"/>
        <v>0</v>
      </c>
      <c r="AN89">
        <f t="shared" si="68"/>
        <v>0</v>
      </c>
      <c r="AO89">
        <f t="shared" si="69"/>
        <v>0</v>
      </c>
    </row>
    <row r="90" spans="1:41" x14ac:dyDescent="0.45">
      <c r="A90">
        <v>20.859180340000002</v>
      </c>
      <c r="B90">
        <v>108.86977520000001</v>
      </c>
      <c r="C90">
        <v>129.47578429999999</v>
      </c>
      <c r="D90">
        <v>6.6430869100000001</v>
      </c>
      <c r="E90">
        <f t="shared" si="35"/>
        <v>6.6430869100000001</v>
      </c>
      <c r="F90">
        <f t="shared" si="36"/>
        <v>0</v>
      </c>
      <c r="G90">
        <f t="shared" si="37"/>
        <v>0</v>
      </c>
      <c r="H90">
        <f t="shared" si="38"/>
        <v>0</v>
      </c>
      <c r="I90">
        <f t="shared" si="39"/>
        <v>0</v>
      </c>
      <c r="J90">
        <f t="shared" si="40"/>
        <v>0</v>
      </c>
      <c r="K90" s="1">
        <f t="shared" si="41"/>
        <v>0</v>
      </c>
      <c r="L90" s="1">
        <f t="shared" si="42"/>
        <v>0</v>
      </c>
      <c r="M90" s="1">
        <f t="shared" si="43"/>
        <v>0</v>
      </c>
      <c r="N90" s="1">
        <f t="shared" si="44"/>
        <v>0</v>
      </c>
      <c r="O90" s="1">
        <f t="shared" si="45"/>
        <v>0</v>
      </c>
      <c r="P90" s="1">
        <f t="shared" si="46"/>
        <v>24.999999999999996</v>
      </c>
      <c r="Q90" s="1" t="e">
        <f t="shared" si="47"/>
        <v>#DIV/0!</v>
      </c>
      <c r="R90" s="1" t="e">
        <f t="shared" si="48"/>
        <v>#DIV/0!</v>
      </c>
      <c r="S90" s="1" t="e">
        <f t="shared" si="49"/>
        <v>#DIV/0!</v>
      </c>
      <c r="T90" s="1" t="e">
        <f t="shared" si="50"/>
        <v>#DIV/0!</v>
      </c>
      <c r="U90" s="1" t="e">
        <f t="shared" si="51"/>
        <v>#DIV/0!</v>
      </c>
      <c r="V90">
        <f t="shared" si="52"/>
        <v>851.4799999999999</v>
      </c>
      <c r="W90">
        <f t="shared" si="53"/>
        <v>0</v>
      </c>
      <c r="X90">
        <f t="shared" si="54"/>
        <v>0</v>
      </c>
      <c r="Y90">
        <f t="shared" si="55"/>
        <v>0</v>
      </c>
      <c r="Z90">
        <f t="shared" si="56"/>
        <v>0</v>
      </c>
      <c r="AA90">
        <f t="shared" si="57"/>
        <v>0</v>
      </c>
      <c r="AC90">
        <f t="shared" si="58"/>
        <v>1045.25</v>
      </c>
      <c r="AD90">
        <f t="shared" si="59"/>
        <v>0</v>
      </c>
      <c r="AE90">
        <f t="shared" si="60"/>
        <v>0</v>
      </c>
      <c r="AF90">
        <f t="shared" si="61"/>
        <v>0</v>
      </c>
      <c r="AG90">
        <f t="shared" si="62"/>
        <v>0</v>
      </c>
      <c r="AH90">
        <f t="shared" si="63"/>
        <v>0</v>
      </c>
      <c r="AJ90">
        <f t="shared" si="64"/>
        <v>1239.0099999999998</v>
      </c>
      <c r="AK90">
        <f t="shared" si="65"/>
        <v>0</v>
      </c>
      <c r="AL90">
        <f t="shared" si="66"/>
        <v>0</v>
      </c>
      <c r="AM90">
        <f t="shared" si="67"/>
        <v>0</v>
      </c>
      <c r="AN90">
        <f t="shared" si="68"/>
        <v>0</v>
      </c>
      <c r="AO90">
        <f t="shared" si="69"/>
        <v>0</v>
      </c>
    </row>
    <row r="91" spans="1:41" x14ac:dyDescent="0.45">
      <c r="A91">
        <v>20.896759840000001</v>
      </c>
      <c r="B91">
        <v>109.1076446</v>
      </c>
      <c r="C91">
        <v>29.236465450000001</v>
      </c>
      <c r="D91">
        <v>1.0161739599999999</v>
      </c>
      <c r="E91">
        <f t="shared" si="35"/>
        <v>1.0161739599999999</v>
      </c>
      <c r="F91">
        <f t="shared" si="36"/>
        <v>0</v>
      </c>
      <c r="G91">
        <f t="shared" si="37"/>
        <v>0</v>
      </c>
      <c r="H91">
        <f t="shared" si="38"/>
        <v>0</v>
      </c>
      <c r="I91">
        <f t="shared" si="39"/>
        <v>0</v>
      </c>
      <c r="J91">
        <f t="shared" si="40"/>
        <v>0</v>
      </c>
      <c r="K91" s="1">
        <f t="shared" si="41"/>
        <v>0</v>
      </c>
      <c r="L91" s="1">
        <f t="shared" si="42"/>
        <v>0</v>
      </c>
      <c r="M91" s="1">
        <f t="shared" si="43"/>
        <v>0</v>
      </c>
      <c r="N91" s="1">
        <f t="shared" si="44"/>
        <v>0</v>
      </c>
      <c r="O91" s="1">
        <f t="shared" si="45"/>
        <v>0</v>
      </c>
      <c r="P91" s="1">
        <f t="shared" si="46"/>
        <v>25</v>
      </c>
      <c r="Q91" s="1" t="e">
        <f t="shared" si="47"/>
        <v>#DIV/0!</v>
      </c>
      <c r="R91" s="1" t="e">
        <f t="shared" si="48"/>
        <v>#DIV/0!</v>
      </c>
      <c r="S91" s="1" t="e">
        <f t="shared" si="49"/>
        <v>#DIV/0!</v>
      </c>
      <c r="T91" s="1" t="e">
        <f t="shared" si="50"/>
        <v>#DIV/0!</v>
      </c>
      <c r="U91" s="1" t="e">
        <f t="shared" si="51"/>
        <v>#DIV/0!</v>
      </c>
      <c r="V91">
        <f t="shared" si="52"/>
        <v>851.48</v>
      </c>
      <c r="W91">
        <f t="shared" si="53"/>
        <v>0</v>
      </c>
      <c r="X91">
        <f t="shared" si="54"/>
        <v>0</v>
      </c>
      <c r="Y91">
        <f t="shared" si="55"/>
        <v>0</v>
      </c>
      <c r="Z91">
        <f t="shared" si="56"/>
        <v>0</v>
      </c>
      <c r="AA91">
        <f t="shared" si="57"/>
        <v>0</v>
      </c>
      <c r="AC91">
        <f t="shared" si="58"/>
        <v>1045.25</v>
      </c>
      <c r="AD91">
        <f t="shared" si="59"/>
        <v>0</v>
      </c>
      <c r="AE91">
        <f t="shared" si="60"/>
        <v>0</v>
      </c>
      <c r="AF91">
        <f t="shared" si="61"/>
        <v>0</v>
      </c>
      <c r="AG91">
        <f t="shared" si="62"/>
        <v>0</v>
      </c>
      <c r="AH91">
        <f t="shared" si="63"/>
        <v>0</v>
      </c>
      <c r="AJ91">
        <f t="shared" si="64"/>
        <v>1239.01</v>
      </c>
      <c r="AK91">
        <f t="shared" si="65"/>
        <v>0</v>
      </c>
      <c r="AL91">
        <f t="shared" si="66"/>
        <v>0</v>
      </c>
      <c r="AM91">
        <f t="shared" si="67"/>
        <v>0</v>
      </c>
      <c r="AN91">
        <f t="shared" si="68"/>
        <v>0</v>
      </c>
      <c r="AO91">
        <f t="shared" si="69"/>
        <v>0</v>
      </c>
    </row>
    <row r="92" spans="1:41" x14ac:dyDescent="0.45">
      <c r="A92">
        <v>20.898175269999999</v>
      </c>
      <c r="B92">
        <v>109.0603539</v>
      </c>
      <c r="C92">
        <v>29.236465450000001</v>
      </c>
      <c r="D92">
        <v>0.73458396999999998</v>
      </c>
      <c r="E92">
        <f t="shared" si="35"/>
        <v>0.73458396999999998</v>
      </c>
      <c r="F92">
        <f t="shared" si="36"/>
        <v>0</v>
      </c>
      <c r="G92">
        <f t="shared" si="37"/>
        <v>0</v>
      </c>
      <c r="H92">
        <f t="shared" si="38"/>
        <v>0</v>
      </c>
      <c r="I92">
        <f t="shared" si="39"/>
        <v>0</v>
      </c>
      <c r="J92">
        <f t="shared" si="40"/>
        <v>0</v>
      </c>
      <c r="K92" s="1">
        <f t="shared" si="41"/>
        <v>0</v>
      </c>
      <c r="L92" s="1">
        <f t="shared" si="42"/>
        <v>0</v>
      </c>
      <c r="M92" s="1">
        <f t="shared" si="43"/>
        <v>0</v>
      </c>
      <c r="N92" s="1">
        <f t="shared" si="44"/>
        <v>0</v>
      </c>
      <c r="O92" s="1">
        <f t="shared" si="45"/>
        <v>0</v>
      </c>
      <c r="P92" s="1">
        <f t="shared" si="46"/>
        <v>24.999999999999996</v>
      </c>
      <c r="Q92" s="1" t="e">
        <f t="shared" si="47"/>
        <v>#DIV/0!</v>
      </c>
      <c r="R92" s="1" t="e">
        <f t="shared" si="48"/>
        <v>#DIV/0!</v>
      </c>
      <c r="S92" s="1" t="e">
        <f t="shared" si="49"/>
        <v>#DIV/0!</v>
      </c>
      <c r="T92" s="1" t="e">
        <f t="shared" si="50"/>
        <v>#DIV/0!</v>
      </c>
      <c r="U92" s="1" t="e">
        <f t="shared" si="51"/>
        <v>#DIV/0!</v>
      </c>
      <c r="V92">
        <f t="shared" si="52"/>
        <v>851.4799999999999</v>
      </c>
      <c r="W92">
        <f t="shared" si="53"/>
        <v>0</v>
      </c>
      <c r="X92">
        <f t="shared" si="54"/>
        <v>0</v>
      </c>
      <c r="Y92">
        <f t="shared" si="55"/>
        <v>0</v>
      </c>
      <c r="Z92">
        <f t="shared" si="56"/>
        <v>0</v>
      </c>
      <c r="AA92">
        <f t="shared" si="57"/>
        <v>0</v>
      </c>
      <c r="AC92">
        <f t="shared" si="58"/>
        <v>1045.25</v>
      </c>
      <c r="AD92">
        <f t="shared" si="59"/>
        <v>0</v>
      </c>
      <c r="AE92">
        <f t="shared" si="60"/>
        <v>0</v>
      </c>
      <c r="AF92">
        <f t="shared" si="61"/>
        <v>0</v>
      </c>
      <c r="AG92">
        <f t="shared" si="62"/>
        <v>0</v>
      </c>
      <c r="AH92">
        <f t="shared" si="63"/>
        <v>0</v>
      </c>
      <c r="AJ92">
        <f t="shared" si="64"/>
        <v>1239.0099999999998</v>
      </c>
      <c r="AK92">
        <f t="shared" si="65"/>
        <v>0</v>
      </c>
      <c r="AL92">
        <f t="shared" si="66"/>
        <v>0</v>
      </c>
      <c r="AM92">
        <f t="shared" si="67"/>
        <v>0</v>
      </c>
      <c r="AN92">
        <f t="shared" si="68"/>
        <v>0</v>
      </c>
      <c r="AO92">
        <f t="shared" si="69"/>
        <v>0</v>
      </c>
    </row>
    <row r="93" spans="1:41" x14ac:dyDescent="0.45">
      <c r="A93">
        <v>20.90094105</v>
      </c>
      <c r="B93">
        <v>108.96576829999999</v>
      </c>
      <c r="C93">
        <v>100.2393112</v>
      </c>
      <c r="D93">
        <v>1.22430599</v>
      </c>
      <c r="E93">
        <f t="shared" si="35"/>
        <v>1.22430599</v>
      </c>
      <c r="F93">
        <f t="shared" si="36"/>
        <v>0</v>
      </c>
      <c r="G93">
        <f t="shared" si="37"/>
        <v>0</v>
      </c>
      <c r="H93">
        <f t="shared" si="38"/>
        <v>0</v>
      </c>
      <c r="I93">
        <f t="shared" si="39"/>
        <v>0</v>
      </c>
      <c r="J93">
        <f t="shared" si="40"/>
        <v>0</v>
      </c>
      <c r="K93" s="1">
        <f t="shared" si="41"/>
        <v>0</v>
      </c>
      <c r="L93" s="1">
        <f t="shared" si="42"/>
        <v>0</v>
      </c>
      <c r="M93" s="1">
        <f t="shared" si="43"/>
        <v>0</v>
      </c>
      <c r="N93" s="1">
        <f t="shared" si="44"/>
        <v>0</v>
      </c>
      <c r="O93" s="1">
        <f t="shared" si="45"/>
        <v>0</v>
      </c>
      <c r="P93" s="1">
        <f t="shared" si="46"/>
        <v>25</v>
      </c>
      <c r="Q93" s="1" t="e">
        <f t="shared" si="47"/>
        <v>#DIV/0!</v>
      </c>
      <c r="R93" s="1" t="e">
        <f t="shared" si="48"/>
        <v>#DIV/0!</v>
      </c>
      <c r="S93" s="1" t="e">
        <f t="shared" si="49"/>
        <v>#DIV/0!</v>
      </c>
      <c r="T93" s="1" t="e">
        <f t="shared" si="50"/>
        <v>#DIV/0!</v>
      </c>
      <c r="U93" s="1" t="e">
        <f t="shared" si="51"/>
        <v>#DIV/0!</v>
      </c>
      <c r="V93">
        <f t="shared" si="52"/>
        <v>851.48</v>
      </c>
      <c r="W93">
        <f t="shared" si="53"/>
        <v>0</v>
      </c>
      <c r="X93">
        <f t="shared" si="54"/>
        <v>0</v>
      </c>
      <c r="Y93">
        <f t="shared" si="55"/>
        <v>0</v>
      </c>
      <c r="Z93">
        <f t="shared" si="56"/>
        <v>0</v>
      </c>
      <c r="AA93">
        <f t="shared" si="57"/>
        <v>0</v>
      </c>
      <c r="AC93">
        <f t="shared" si="58"/>
        <v>1045.25</v>
      </c>
      <c r="AD93">
        <f t="shared" si="59"/>
        <v>0</v>
      </c>
      <c r="AE93">
        <f t="shared" si="60"/>
        <v>0</v>
      </c>
      <c r="AF93">
        <f t="shared" si="61"/>
        <v>0</v>
      </c>
      <c r="AG93">
        <f t="shared" si="62"/>
        <v>0</v>
      </c>
      <c r="AH93">
        <f t="shared" si="63"/>
        <v>0</v>
      </c>
      <c r="AJ93">
        <f t="shared" si="64"/>
        <v>1239.01</v>
      </c>
      <c r="AK93">
        <f t="shared" si="65"/>
        <v>0</v>
      </c>
      <c r="AL93">
        <f t="shared" si="66"/>
        <v>0</v>
      </c>
      <c r="AM93">
        <f t="shared" si="67"/>
        <v>0</v>
      </c>
      <c r="AN93">
        <f t="shared" si="68"/>
        <v>0</v>
      </c>
      <c r="AO93">
        <f t="shared" si="69"/>
        <v>0</v>
      </c>
    </row>
    <row r="94" spans="1:41" x14ac:dyDescent="0.45">
      <c r="A94">
        <v>20.902291399999999</v>
      </c>
      <c r="B94">
        <v>108.9184733</v>
      </c>
      <c r="C94">
        <v>54.29629517</v>
      </c>
      <c r="D94">
        <v>0.61215299000000001</v>
      </c>
      <c r="E94">
        <f t="shared" si="35"/>
        <v>0.61215299000000001</v>
      </c>
      <c r="F94">
        <f t="shared" si="36"/>
        <v>0</v>
      </c>
      <c r="G94">
        <f t="shared" si="37"/>
        <v>0</v>
      </c>
      <c r="H94">
        <f t="shared" si="38"/>
        <v>0</v>
      </c>
      <c r="I94">
        <f t="shared" si="39"/>
        <v>0</v>
      </c>
      <c r="J94">
        <f t="shared" si="40"/>
        <v>0</v>
      </c>
      <c r="K94" s="1">
        <f t="shared" si="41"/>
        <v>0</v>
      </c>
      <c r="L94" s="1">
        <f t="shared" si="42"/>
        <v>0</v>
      </c>
      <c r="M94" s="1">
        <f t="shared" si="43"/>
        <v>0</v>
      </c>
      <c r="N94" s="1">
        <f t="shared" si="44"/>
        <v>0</v>
      </c>
      <c r="O94" s="1">
        <f t="shared" si="45"/>
        <v>0</v>
      </c>
      <c r="P94" s="1">
        <f t="shared" si="46"/>
        <v>25</v>
      </c>
      <c r="Q94" s="1" t="e">
        <f t="shared" si="47"/>
        <v>#DIV/0!</v>
      </c>
      <c r="R94" s="1" t="e">
        <f t="shared" si="48"/>
        <v>#DIV/0!</v>
      </c>
      <c r="S94" s="1" t="e">
        <f t="shared" si="49"/>
        <v>#DIV/0!</v>
      </c>
      <c r="T94" s="1" t="e">
        <f t="shared" si="50"/>
        <v>#DIV/0!</v>
      </c>
      <c r="U94" s="1" t="e">
        <f t="shared" si="51"/>
        <v>#DIV/0!</v>
      </c>
      <c r="V94">
        <f t="shared" si="52"/>
        <v>851.48</v>
      </c>
      <c r="W94">
        <f t="shared" si="53"/>
        <v>0</v>
      </c>
      <c r="X94">
        <f t="shared" si="54"/>
        <v>0</v>
      </c>
      <c r="Y94">
        <f t="shared" si="55"/>
        <v>0</v>
      </c>
      <c r="Z94">
        <f t="shared" si="56"/>
        <v>0</v>
      </c>
      <c r="AA94">
        <f t="shared" si="57"/>
        <v>0</v>
      </c>
      <c r="AC94">
        <f t="shared" si="58"/>
        <v>1045.25</v>
      </c>
      <c r="AD94">
        <f t="shared" si="59"/>
        <v>0</v>
      </c>
      <c r="AE94">
        <f t="shared" si="60"/>
        <v>0</v>
      </c>
      <c r="AF94">
        <f t="shared" si="61"/>
        <v>0</v>
      </c>
      <c r="AG94">
        <f t="shared" si="62"/>
        <v>0</v>
      </c>
      <c r="AH94">
        <f t="shared" si="63"/>
        <v>0</v>
      </c>
      <c r="AJ94">
        <f t="shared" si="64"/>
        <v>1239.01</v>
      </c>
      <c r="AK94">
        <f t="shared" si="65"/>
        <v>0</v>
      </c>
      <c r="AL94">
        <f t="shared" si="66"/>
        <v>0</v>
      </c>
      <c r="AM94">
        <f t="shared" si="67"/>
        <v>0</v>
      </c>
      <c r="AN94">
        <f t="shared" si="68"/>
        <v>0</v>
      </c>
      <c r="AO94">
        <f t="shared" si="69"/>
        <v>0</v>
      </c>
    </row>
    <row r="95" spans="1:41" x14ac:dyDescent="0.45">
      <c r="A95">
        <v>20.903620060000002</v>
      </c>
      <c r="B95">
        <v>108.871177</v>
      </c>
      <c r="C95">
        <v>47.669376370000002</v>
      </c>
      <c r="D95">
        <v>2.85998011</v>
      </c>
      <c r="E95">
        <f t="shared" si="35"/>
        <v>2.85998011</v>
      </c>
      <c r="F95">
        <f t="shared" si="36"/>
        <v>0</v>
      </c>
      <c r="G95">
        <f t="shared" si="37"/>
        <v>0</v>
      </c>
      <c r="H95">
        <f t="shared" si="38"/>
        <v>0</v>
      </c>
      <c r="I95">
        <f t="shared" si="39"/>
        <v>0</v>
      </c>
      <c r="J95">
        <f t="shared" si="40"/>
        <v>0</v>
      </c>
      <c r="K95" s="1">
        <f t="shared" si="41"/>
        <v>0</v>
      </c>
      <c r="L95" s="1">
        <f t="shared" si="42"/>
        <v>0</v>
      </c>
      <c r="M95" s="1">
        <f t="shared" si="43"/>
        <v>0</v>
      </c>
      <c r="N95" s="1">
        <f t="shared" si="44"/>
        <v>0</v>
      </c>
      <c r="O95" s="1">
        <f t="shared" si="45"/>
        <v>0</v>
      </c>
      <c r="P95" s="1">
        <f t="shared" si="46"/>
        <v>25.000000000000004</v>
      </c>
      <c r="Q95" s="1" t="e">
        <f t="shared" si="47"/>
        <v>#DIV/0!</v>
      </c>
      <c r="R95" s="1" t="e">
        <f t="shared" si="48"/>
        <v>#DIV/0!</v>
      </c>
      <c r="S95" s="1" t="e">
        <f t="shared" si="49"/>
        <v>#DIV/0!</v>
      </c>
      <c r="T95" s="1" t="e">
        <f t="shared" si="50"/>
        <v>#DIV/0!</v>
      </c>
      <c r="U95" s="1" t="e">
        <f t="shared" si="51"/>
        <v>#DIV/0!</v>
      </c>
      <c r="V95">
        <f t="shared" si="52"/>
        <v>851.48000000000013</v>
      </c>
      <c r="W95">
        <f t="shared" si="53"/>
        <v>0</v>
      </c>
      <c r="X95">
        <f t="shared" si="54"/>
        <v>0</v>
      </c>
      <c r="Y95">
        <f t="shared" si="55"/>
        <v>0</v>
      </c>
      <c r="Z95">
        <f t="shared" si="56"/>
        <v>0</v>
      </c>
      <c r="AA95">
        <f t="shared" si="57"/>
        <v>0</v>
      </c>
      <c r="AC95">
        <f t="shared" si="58"/>
        <v>1045.25</v>
      </c>
      <c r="AD95">
        <f t="shared" si="59"/>
        <v>0</v>
      </c>
      <c r="AE95">
        <f t="shared" si="60"/>
        <v>0</v>
      </c>
      <c r="AF95">
        <f t="shared" si="61"/>
        <v>0</v>
      </c>
      <c r="AG95">
        <f t="shared" si="62"/>
        <v>0</v>
      </c>
      <c r="AH95">
        <f t="shared" si="63"/>
        <v>0</v>
      </c>
      <c r="AJ95">
        <f t="shared" si="64"/>
        <v>1239.0100000000002</v>
      </c>
      <c r="AK95">
        <f t="shared" si="65"/>
        <v>0</v>
      </c>
      <c r="AL95">
        <f t="shared" si="66"/>
        <v>0</v>
      </c>
      <c r="AM95">
        <f t="shared" si="67"/>
        <v>0</v>
      </c>
      <c r="AN95">
        <f t="shared" si="68"/>
        <v>0</v>
      </c>
      <c r="AO95">
        <f t="shared" si="69"/>
        <v>0</v>
      </c>
    </row>
    <row r="96" spans="1:41" x14ac:dyDescent="0.45">
      <c r="A96">
        <v>20.906212289999999</v>
      </c>
      <c r="B96">
        <v>108.7765802</v>
      </c>
      <c r="C96">
        <v>79.356124879999996</v>
      </c>
      <c r="D96">
        <v>0.68316299000000003</v>
      </c>
      <c r="E96">
        <f t="shared" si="35"/>
        <v>0.68316299000000003</v>
      </c>
      <c r="F96">
        <f t="shared" si="36"/>
        <v>0</v>
      </c>
      <c r="G96">
        <f t="shared" si="37"/>
        <v>0</v>
      </c>
      <c r="H96">
        <f t="shared" si="38"/>
        <v>0</v>
      </c>
      <c r="I96">
        <f t="shared" si="39"/>
        <v>0</v>
      </c>
      <c r="J96">
        <f t="shared" si="40"/>
        <v>0</v>
      </c>
      <c r="K96" s="1">
        <f t="shared" si="41"/>
        <v>0</v>
      </c>
      <c r="L96" s="1">
        <f t="shared" si="42"/>
        <v>0</v>
      </c>
      <c r="M96" s="1">
        <f t="shared" si="43"/>
        <v>0</v>
      </c>
      <c r="N96" s="1">
        <f t="shared" si="44"/>
        <v>0</v>
      </c>
      <c r="O96" s="1">
        <f t="shared" si="45"/>
        <v>0</v>
      </c>
      <c r="P96" s="1">
        <f t="shared" si="46"/>
        <v>25</v>
      </c>
      <c r="Q96" s="1" t="e">
        <f t="shared" si="47"/>
        <v>#DIV/0!</v>
      </c>
      <c r="R96" s="1" t="e">
        <f t="shared" si="48"/>
        <v>#DIV/0!</v>
      </c>
      <c r="S96" s="1" t="e">
        <f t="shared" si="49"/>
        <v>#DIV/0!</v>
      </c>
      <c r="T96" s="1" t="e">
        <f t="shared" si="50"/>
        <v>#DIV/0!</v>
      </c>
      <c r="U96" s="1" t="e">
        <f t="shared" si="51"/>
        <v>#DIV/0!</v>
      </c>
      <c r="V96">
        <f t="shared" si="52"/>
        <v>851.48</v>
      </c>
      <c r="W96">
        <f t="shared" si="53"/>
        <v>0</v>
      </c>
      <c r="X96">
        <f t="shared" si="54"/>
        <v>0</v>
      </c>
      <c r="Y96">
        <f t="shared" si="55"/>
        <v>0</v>
      </c>
      <c r="Z96">
        <f t="shared" si="56"/>
        <v>0</v>
      </c>
      <c r="AA96">
        <f t="shared" si="57"/>
        <v>0</v>
      </c>
      <c r="AC96">
        <f t="shared" si="58"/>
        <v>1045.25</v>
      </c>
      <c r="AD96">
        <f t="shared" si="59"/>
        <v>0</v>
      </c>
      <c r="AE96">
        <f t="shared" si="60"/>
        <v>0</v>
      </c>
      <c r="AF96">
        <f t="shared" si="61"/>
        <v>0</v>
      </c>
      <c r="AG96">
        <f t="shared" si="62"/>
        <v>0</v>
      </c>
      <c r="AH96">
        <f t="shared" si="63"/>
        <v>0</v>
      </c>
      <c r="AJ96">
        <f t="shared" si="64"/>
        <v>1239.01</v>
      </c>
      <c r="AK96">
        <f t="shared" si="65"/>
        <v>0</v>
      </c>
      <c r="AL96">
        <f t="shared" si="66"/>
        <v>0</v>
      </c>
      <c r="AM96">
        <f t="shared" si="67"/>
        <v>0</v>
      </c>
      <c r="AN96">
        <f t="shared" si="68"/>
        <v>0</v>
      </c>
      <c r="AO96">
        <f t="shared" si="69"/>
        <v>0</v>
      </c>
    </row>
    <row r="97" spans="1:41" x14ac:dyDescent="0.45">
      <c r="A97">
        <v>20.915945430000001</v>
      </c>
      <c r="B97">
        <v>114.89381469999999</v>
      </c>
      <c r="C97">
        <v>0.73606998000000001</v>
      </c>
      <c r="D97">
        <v>5.1665730500000002</v>
      </c>
      <c r="E97">
        <f t="shared" si="35"/>
        <v>0.73606998000000001</v>
      </c>
      <c r="F97">
        <f t="shared" si="36"/>
        <v>1.4862231500000003</v>
      </c>
      <c r="G97">
        <f t="shared" si="37"/>
        <v>0</v>
      </c>
      <c r="H97">
        <f t="shared" si="38"/>
        <v>0</v>
      </c>
      <c r="I97">
        <f t="shared" si="39"/>
        <v>0</v>
      </c>
      <c r="J97">
        <f t="shared" si="40"/>
        <v>0</v>
      </c>
      <c r="K97" s="1">
        <f t="shared" si="41"/>
        <v>0.73606998000000001</v>
      </c>
      <c r="L97" s="1">
        <f t="shared" si="42"/>
        <v>0</v>
      </c>
      <c r="M97" s="1">
        <f t="shared" si="43"/>
        <v>0</v>
      </c>
      <c r="N97" s="1">
        <f t="shared" si="44"/>
        <v>0</v>
      </c>
      <c r="O97" s="1">
        <f t="shared" si="45"/>
        <v>0</v>
      </c>
      <c r="P97" s="1">
        <f t="shared" si="46"/>
        <v>3.5616934710716999</v>
      </c>
      <c r="Q97" s="1">
        <f t="shared" si="47"/>
        <v>12.38155219154001</v>
      </c>
      <c r="R97" s="1" t="e">
        <f t="shared" si="48"/>
        <v>#DIV/0!</v>
      </c>
      <c r="S97" s="1" t="e">
        <f t="shared" si="49"/>
        <v>#DIV/0!</v>
      </c>
      <c r="T97" s="1" t="e">
        <f t="shared" si="50"/>
        <v>#DIV/0!</v>
      </c>
      <c r="U97" s="1" t="e">
        <f t="shared" si="51"/>
        <v>#DIV/0!</v>
      </c>
      <c r="V97">
        <f t="shared" si="52"/>
        <v>154.73503780983026</v>
      </c>
      <c r="W97">
        <f t="shared" si="53"/>
        <v>503.29820718275039</v>
      </c>
      <c r="X97">
        <f t="shared" si="54"/>
        <v>0</v>
      </c>
      <c r="Y97">
        <f t="shared" si="55"/>
        <v>0</v>
      </c>
      <c r="Z97">
        <f t="shared" si="56"/>
        <v>0</v>
      </c>
      <c r="AA97">
        <f t="shared" si="57"/>
        <v>0</v>
      </c>
      <c r="AC97">
        <f t="shared" si="58"/>
        <v>187.71773884286799</v>
      </c>
      <c r="AD97">
        <f t="shared" si="59"/>
        <v>503.29820718275039</v>
      </c>
      <c r="AE97">
        <f t="shared" si="60"/>
        <v>0</v>
      </c>
      <c r="AF97">
        <f t="shared" si="61"/>
        <v>0</v>
      </c>
      <c r="AG97">
        <f t="shared" si="62"/>
        <v>0</v>
      </c>
      <c r="AH97">
        <f t="shared" si="63"/>
        <v>0</v>
      </c>
      <c r="AJ97">
        <f t="shared" si="64"/>
        <v>220.69043987590572</v>
      </c>
      <c r="AK97">
        <f t="shared" si="65"/>
        <v>603.10984861930046</v>
      </c>
      <c r="AL97">
        <f t="shared" si="66"/>
        <v>0</v>
      </c>
      <c r="AM97">
        <f t="shared" si="67"/>
        <v>0</v>
      </c>
      <c r="AN97">
        <f t="shared" si="68"/>
        <v>0</v>
      </c>
      <c r="AO97">
        <f t="shared" si="69"/>
        <v>0</v>
      </c>
    </row>
    <row r="98" spans="1:41" x14ac:dyDescent="0.45">
      <c r="A98">
        <v>20.946738580000002</v>
      </c>
      <c r="B98">
        <v>108.9198995</v>
      </c>
      <c r="C98">
        <v>54.29629517</v>
      </c>
      <c r="D98">
        <v>0.61215299000000001</v>
      </c>
      <c r="E98">
        <f t="shared" si="35"/>
        <v>0.61215299000000001</v>
      </c>
      <c r="F98">
        <f t="shared" si="36"/>
        <v>0</v>
      </c>
      <c r="G98">
        <f t="shared" si="37"/>
        <v>0</v>
      </c>
      <c r="H98">
        <f t="shared" si="38"/>
        <v>0</v>
      </c>
      <c r="I98">
        <f t="shared" si="39"/>
        <v>0</v>
      </c>
      <c r="J98">
        <f t="shared" si="40"/>
        <v>0</v>
      </c>
      <c r="K98" s="1">
        <f t="shared" si="41"/>
        <v>0</v>
      </c>
      <c r="L98" s="1">
        <f t="shared" si="42"/>
        <v>0</v>
      </c>
      <c r="M98" s="1">
        <f t="shared" si="43"/>
        <v>0</v>
      </c>
      <c r="N98" s="1">
        <f t="shared" si="44"/>
        <v>0</v>
      </c>
      <c r="O98" s="1">
        <f t="shared" si="45"/>
        <v>0</v>
      </c>
      <c r="P98" s="1">
        <f t="shared" si="46"/>
        <v>25</v>
      </c>
      <c r="Q98" s="1" t="e">
        <f t="shared" si="47"/>
        <v>#DIV/0!</v>
      </c>
      <c r="R98" s="1" t="e">
        <f t="shared" si="48"/>
        <v>#DIV/0!</v>
      </c>
      <c r="S98" s="1" t="e">
        <f t="shared" si="49"/>
        <v>#DIV/0!</v>
      </c>
      <c r="T98" s="1" t="e">
        <f t="shared" si="50"/>
        <v>#DIV/0!</v>
      </c>
      <c r="U98" s="1" t="e">
        <f t="shared" si="51"/>
        <v>#DIV/0!</v>
      </c>
      <c r="V98">
        <f t="shared" si="52"/>
        <v>851.48</v>
      </c>
      <c r="W98">
        <f t="shared" si="53"/>
        <v>0</v>
      </c>
      <c r="X98">
        <f t="shared" si="54"/>
        <v>0</v>
      </c>
      <c r="Y98">
        <f t="shared" si="55"/>
        <v>0</v>
      </c>
      <c r="Z98">
        <f t="shared" si="56"/>
        <v>0</v>
      </c>
      <c r="AA98">
        <f t="shared" si="57"/>
        <v>0</v>
      </c>
      <c r="AC98">
        <f t="shared" si="58"/>
        <v>1045.25</v>
      </c>
      <c r="AD98">
        <f t="shared" si="59"/>
        <v>0</v>
      </c>
      <c r="AE98">
        <f t="shared" si="60"/>
        <v>0</v>
      </c>
      <c r="AF98">
        <f t="shared" si="61"/>
        <v>0</v>
      </c>
      <c r="AG98">
        <f t="shared" si="62"/>
        <v>0</v>
      </c>
      <c r="AH98">
        <f t="shared" si="63"/>
        <v>0</v>
      </c>
      <c r="AJ98">
        <f t="shared" si="64"/>
        <v>1239.01</v>
      </c>
      <c r="AK98">
        <f t="shared" si="65"/>
        <v>0</v>
      </c>
      <c r="AL98">
        <f t="shared" si="66"/>
        <v>0</v>
      </c>
      <c r="AM98">
        <f t="shared" si="67"/>
        <v>0</v>
      </c>
      <c r="AN98">
        <f t="shared" si="68"/>
        <v>0</v>
      </c>
      <c r="AO98">
        <f t="shared" si="69"/>
        <v>0</v>
      </c>
    </row>
    <row r="99" spans="1:41" x14ac:dyDescent="0.45">
      <c r="A99">
        <v>20.992179279999998</v>
      </c>
      <c r="B99">
        <v>114.52084170000001</v>
      </c>
      <c r="C99">
        <v>1.7711880200000001</v>
      </c>
      <c r="D99">
        <v>1.22430599</v>
      </c>
      <c r="E99">
        <f t="shared" si="35"/>
        <v>1.22430599</v>
      </c>
      <c r="F99">
        <f t="shared" si="36"/>
        <v>0</v>
      </c>
      <c r="G99">
        <f t="shared" si="37"/>
        <v>0</v>
      </c>
      <c r="H99">
        <f t="shared" si="38"/>
        <v>0</v>
      </c>
      <c r="I99">
        <f t="shared" si="39"/>
        <v>0</v>
      </c>
      <c r="J99">
        <f t="shared" si="40"/>
        <v>0</v>
      </c>
      <c r="K99" s="1">
        <f t="shared" si="41"/>
        <v>0</v>
      </c>
      <c r="L99" s="1">
        <f t="shared" si="42"/>
        <v>0</v>
      </c>
      <c r="M99" s="1">
        <f t="shared" si="43"/>
        <v>0</v>
      </c>
      <c r="N99" s="1">
        <f t="shared" si="44"/>
        <v>0</v>
      </c>
      <c r="O99" s="1">
        <f t="shared" si="45"/>
        <v>0</v>
      </c>
      <c r="P99" s="1">
        <f t="shared" si="46"/>
        <v>25</v>
      </c>
      <c r="Q99" s="1" t="e">
        <f t="shared" si="47"/>
        <v>#DIV/0!</v>
      </c>
      <c r="R99" s="1" t="e">
        <f t="shared" si="48"/>
        <v>#DIV/0!</v>
      </c>
      <c r="S99" s="1" t="e">
        <f t="shared" si="49"/>
        <v>#DIV/0!</v>
      </c>
      <c r="T99" s="1" t="e">
        <f t="shared" si="50"/>
        <v>#DIV/0!</v>
      </c>
      <c r="U99" s="1" t="e">
        <f t="shared" si="51"/>
        <v>#DIV/0!</v>
      </c>
      <c r="V99">
        <f t="shared" si="52"/>
        <v>851.48</v>
      </c>
      <c r="W99">
        <f t="shared" si="53"/>
        <v>0</v>
      </c>
      <c r="X99">
        <f t="shared" si="54"/>
        <v>0</v>
      </c>
      <c r="Y99">
        <f t="shared" si="55"/>
        <v>0</v>
      </c>
      <c r="Z99">
        <f t="shared" si="56"/>
        <v>0</v>
      </c>
      <c r="AA99">
        <f t="shared" si="57"/>
        <v>0</v>
      </c>
      <c r="AC99">
        <f t="shared" si="58"/>
        <v>1045.25</v>
      </c>
      <c r="AD99">
        <f t="shared" si="59"/>
        <v>0</v>
      </c>
      <c r="AE99">
        <f t="shared" si="60"/>
        <v>0</v>
      </c>
      <c r="AF99">
        <f t="shared" si="61"/>
        <v>0</v>
      </c>
      <c r="AG99">
        <f t="shared" si="62"/>
        <v>0</v>
      </c>
      <c r="AH99">
        <f t="shared" si="63"/>
        <v>0</v>
      </c>
      <c r="AJ99">
        <f t="shared" si="64"/>
        <v>1239.01</v>
      </c>
      <c r="AK99">
        <f t="shared" si="65"/>
        <v>0</v>
      </c>
      <c r="AL99">
        <f t="shared" si="66"/>
        <v>0</v>
      </c>
      <c r="AM99">
        <f t="shared" si="67"/>
        <v>0</v>
      </c>
      <c r="AN99">
        <f t="shared" si="68"/>
        <v>0</v>
      </c>
      <c r="AO99">
        <f t="shared" si="69"/>
        <v>0</v>
      </c>
    </row>
    <row r="100" spans="1:41" x14ac:dyDescent="0.45">
      <c r="A100">
        <v>21.036491430000002</v>
      </c>
      <c r="B100">
        <v>114.52500499999999</v>
      </c>
      <c r="C100">
        <v>1.13198602</v>
      </c>
      <c r="D100">
        <v>2.5906319600000001</v>
      </c>
      <c r="E100">
        <f t="shared" si="35"/>
        <v>1.13198602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 s="1">
        <f t="shared" si="41"/>
        <v>0</v>
      </c>
      <c r="L100" s="1">
        <f t="shared" si="42"/>
        <v>0</v>
      </c>
      <c r="M100" s="1">
        <f t="shared" si="43"/>
        <v>0</v>
      </c>
      <c r="N100" s="1">
        <f t="shared" si="44"/>
        <v>0</v>
      </c>
      <c r="O100" s="1">
        <f t="shared" si="45"/>
        <v>0</v>
      </c>
      <c r="P100" s="1">
        <f t="shared" si="46"/>
        <v>10.923840567457525</v>
      </c>
      <c r="Q100" s="1" t="e">
        <f t="shared" si="47"/>
        <v>#DIV/0!</v>
      </c>
      <c r="R100" s="1" t="e">
        <f t="shared" si="48"/>
        <v>#DIV/0!</v>
      </c>
      <c r="S100" s="1" t="e">
        <f t="shared" si="49"/>
        <v>#DIV/0!</v>
      </c>
      <c r="T100" s="1" t="e">
        <f t="shared" si="50"/>
        <v>#DIV/0!</v>
      </c>
      <c r="U100" s="1" t="e">
        <f t="shared" si="51"/>
        <v>#DIV/0!</v>
      </c>
      <c r="V100">
        <f t="shared" si="52"/>
        <v>394.00481844236958</v>
      </c>
      <c r="W100">
        <f t="shared" si="53"/>
        <v>0</v>
      </c>
      <c r="X100">
        <f t="shared" si="54"/>
        <v>0</v>
      </c>
      <c r="Y100">
        <f t="shared" si="55"/>
        <v>0</v>
      </c>
      <c r="Z100">
        <f t="shared" si="56"/>
        <v>0</v>
      </c>
      <c r="AA100">
        <f t="shared" si="57"/>
        <v>0</v>
      </c>
      <c r="AC100">
        <f t="shared" si="58"/>
        <v>482.20362269830099</v>
      </c>
      <c r="AD100">
        <f t="shared" si="59"/>
        <v>0</v>
      </c>
      <c r="AE100">
        <f t="shared" si="60"/>
        <v>0</v>
      </c>
      <c r="AF100">
        <f t="shared" si="61"/>
        <v>0</v>
      </c>
      <c r="AG100">
        <f t="shared" si="62"/>
        <v>0</v>
      </c>
      <c r="AH100">
        <f t="shared" si="63"/>
        <v>0</v>
      </c>
      <c r="AJ100">
        <f t="shared" si="64"/>
        <v>570.39242695423241</v>
      </c>
      <c r="AK100">
        <f t="shared" si="65"/>
        <v>0</v>
      </c>
      <c r="AL100">
        <f t="shared" si="66"/>
        <v>0</v>
      </c>
      <c r="AM100">
        <f t="shared" si="67"/>
        <v>0</v>
      </c>
      <c r="AN100">
        <f t="shared" si="68"/>
        <v>0</v>
      </c>
      <c r="AO100">
        <f t="shared" si="69"/>
        <v>0</v>
      </c>
    </row>
    <row r="101" spans="1:41" x14ac:dyDescent="0.45">
      <c r="A101">
        <v>21.08859489</v>
      </c>
      <c r="B101">
        <v>114.43471150000001</v>
      </c>
      <c r="C101">
        <v>2.18444109</v>
      </c>
      <c r="D101">
        <v>1.4691679499999999</v>
      </c>
      <c r="E101">
        <f t="shared" si="35"/>
        <v>1.4691679499999999</v>
      </c>
      <c r="F101">
        <f t="shared" si="36"/>
        <v>0</v>
      </c>
      <c r="G101">
        <f t="shared" si="37"/>
        <v>0</v>
      </c>
      <c r="H101">
        <f t="shared" si="38"/>
        <v>0</v>
      </c>
      <c r="I101">
        <f t="shared" si="39"/>
        <v>0</v>
      </c>
      <c r="J101">
        <f t="shared" si="40"/>
        <v>0</v>
      </c>
      <c r="K101" s="1">
        <f t="shared" si="41"/>
        <v>0</v>
      </c>
      <c r="L101" s="1">
        <f t="shared" si="42"/>
        <v>0</v>
      </c>
      <c r="M101" s="1">
        <f t="shared" si="43"/>
        <v>0</v>
      </c>
      <c r="N101" s="1">
        <f t="shared" si="44"/>
        <v>0</v>
      </c>
      <c r="O101" s="1">
        <f t="shared" si="45"/>
        <v>0</v>
      </c>
      <c r="P101" s="1">
        <f t="shared" si="46"/>
        <v>25</v>
      </c>
      <c r="Q101" s="1" t="e">
        <f t="shared" si="47"/>
        <v>#DIV/0!</v>
      </c>
      <c r="R101" s="1" t="e">
        <f t="shared" si="48"/>
        <v>#DIV/0!</v>
      </c>
      <c r="S101" s="1" t="e">
        <f t="shared" si="49"/>
        <v>#DIV/0!</v>
      </c>
      <c r="T101" s="1" t="e">
        <f t="shared" si="50"/>
        <v>#DIV/0!</v>
      </c>
      <c r="U101" s="1" t="e">
        <f t="shared" si="51"/>
        <v>#DIV/0!</v>
      </c>
      <c r="V101">
        <f t="shared" si="52"/>
        <v>851.48</v>
      </c>
      <c r="W101">
        <f t="shared" si="53"/>
        <v>0</v>
      </c>
      <c r="X101">
        <f t="shared" si="54"/>
        <v>0</v>
      </c>
      <c r="Y101">
        <f t="shared" si="55"/>
        <v>0</v>
      </c>
      <c r="Z101">
        <f t="shared" si="56"/>
        <v>0</v>
      </c>
      <c r="AA101">
        <f t="shared" si="57"/>
        <v>0</v>
      </c>
      <c r="AC101">
        <f t="shared" si="58"/>
        <v>1045.25</v>
      </c>
      <c r="AD101">
        <f t="shared" si="59"/>
        <v>0</v>
      </c>
      <c r="AE101">
        <f t="shared" si="60"/>
        <v>0</v>
      </c>
      <c r="AF101">
        <f t="shared" si="61"/>
        <v>0</v>
      </c>
      <c r="AG101">
        <f t="shared" si="62"/>
        <v>0</v>
      </c>
      <c r="AH101">
        <f t="shared" si="63"/>
        <v>0</v>
      </c>
      <c r="AJ101">
        <f t="shared" si="64"/>
        <v>1239.01</v>
      </c>
      <c r="AK101">
        <f t="shared" si="65"/>
        <v>0</v>
      </c>
      <c r="AL101">
        <f t="shared" si="66"/>
        <v>0</v>
      </c>
      <c r="AM101">
        <f t="shared" si="67"/>
        <v>0</v>
      </c>
      <c r="AN101">
        <f t="shared" si="68"/>
        <v>0</v>
      </c>
      <c r="AO101">
        <f t="shared" si="69"/>
        <v>0</v>
      </c>
    </row>
    <row r="102" spans="1:41" x14ac:dyDescent="0.45">
      <c r="A102">
        <v>21.13542795</v>
      </c>
      <c r="B102">
        <v>115.4395423</v>
      </c>
      <c r="C102">
        <v>1.4520239800000001</v>
      </c>
      <c r="D102">
        <v>1.22430599</v>
      </c>
      <c r="E102">
        <f t="shared" si="35"/>
        <v>1.22430599</v>
      </c>
      <c r="F102">
        <f t="shared" si="36"/>
        <v>0</v>
      </c>
      <c r="G102">
        <f t="shared" si="37"/>
        <v>0</v>
      </c>
      <c r="H102">
        <f t="shared" si="38"/>
        <v>0</v>
      </c>
      <c r="I102">
        <f t="shared" si="39"/>
        <v>0</v>
      </c>
      <c r="J102">
        <f t="shared" si="40"/>
        <v>0</v>
      </c>
      <c r="K102" s="1">
        <f t="shared" si="41"/>
        <v>0</v>
      </c>
      <c r="L102" s="1">
        <f t="shared" si="42"/>
        <v>0</v>
      </c>
      <c r="M102" s="1">
        <f t="shared" si="43"/>
        <v>0</v>
      </c>
      <c r="N102" s="1">
        <f t="shared" si="44"/>
        <v>0</v>
      </c>
      <c r="O102" s="1">
        <f t="shared" si="45"/>
        <v>0</v>
      </c>
      <c r="P102" s="1">
        <f t="shared" si="46"/>
        <v>25</v>
      </c>
      <c r="Q102" s="1" t="e">
        <f t="shared" si="47"/>
        <v>#DIV/0!</v>
      </c>
      <c r="R102" s="1" t="e">
        <f t="shared" si="48"/>
        <v>#DIV/0!</v>
      </c>
      <c r="S102" s="1" t="e">
        <f t="shared" si="49"/>
        <v>#DIV/0!</v>
      </c>
      <c r="T102" s="1" t="e">
        <f t="shared" si="50"/>
        <v>#DIV/0!</v>
      </c>
      <c r="U102" s="1" t="e">
        <f t="shared" si="51"/>
        <v>#DIV/0!</v>
      </c>
      <c r="V102">
        <f t="shared" si="52"/>
        <v>851.48</v>
      </c>
      <c r="W102">
        <f t="shared" si="53"/>
        <v>0</v>
      </c>
      <c r="X102">
        <f t="shared" si="54"/>
        <v>0</v>
      </c>
      <c r="Y102">
        <f t="shared" si="55"/>
        <v>0</v>
      </c>
      <c r="Z102">
        <f t="shared" si="56"/>
        <v>0</v>
      </c>
      <c r="AA102">
        <f t="shared" si="57"/>
        <v>0</v>
      </c>
      <c r="AC102">
        <f t="shared" si="58"/>
        <v>1045.25</v>
      </c>
      <c r="AD102">
        <f t="shared" si="59"/>
        <v>0</v>
      </c>
      <c r="AE102">
        <f t="shared" si="60"/>
        <v>0</v>
      </c>
      <c r="AF102">
        <f t="shared" si="61"/>
        <v>0</v>
      </c>
      <c r="AG102">
        <f t="shared" si="62"/>
        <v>0</v>
      </c>
      <c r="AH102">
        <f t="shared" si="63"/>
        <v>0</v>
      </c>
      <c r="AJ102">
        <f t="shared" si="64"/>
        <v>1239.01</v>
      </c>
      <c r="AK102">
        <f t="shared" si="65"/>
        <v>0</v>
      </c>
      <c r="AL102">
        <f t="shared" si="66"/>
        <v>0</v>
      </c>
      <c r="AM102">
        <f t="shared" si="67"/>
        <v>0</v>
      </c>
      <c r="AN102">
        <f t="shared" si="68"/>
        <v>0</v>
      </c>
      <c r="AO102">
        <f t="shared" si="69"/>
        <v>0</v>
      </c>
    </row>
    <row r="103" spans="1:41" x14ac:dyDescent="0.45">
      <c r="A103">
        <v>21.139747759999999</v>
      </c>
      <c r="B103">
        <v>115.3923265</v>
      </c>
      <c r="C103">
        <v>1.69117999</v>
      </c>
      <c r="D103">
        <v>4.6523637799999999</v>
      </c>
      <c r="E103">
        <f t="shared" si="35"/>
        <v>1.69117999</v>
      </c>
      <c r="F103">
        <f t="shared" si="36"/>
        <v>0</v>
      </c>
      <c r="G103">
        <f t="shared" si="37"/>
        <v>0</v>
      </c>
      <c r="H103">
        <f t="shared" si="38"/>
        <v>0</v>
      </c>
      <c r="I103">
        <f t="shared" si="39"/>
        <v>0</v>
      </c>
      <c r="J103">
        <f t="shared" si="40"/>
        <v>0</v>
      </c>
      <c r="K103" s="1">
        <f t="shared" si="41"/>
        <v>0</v>
      </c>
      <c r="L103" s="1">
        <f t="shared" si="42"/>
        <v>0</v>
      </c>
      <c r="M103" s="1">
        <f t="shared" si="43"/>
        <v>0</v>
      </c>
      <c r="N103" s="1">
        <f t="shared" si="44"/>
        <v>0</v>
      </c>
      <c r="O103" s="1">
        <f t="shared" si="45"/>
        <v>0</v>
      </c>
      <c r="P103" s="1">
        <f t="shared" si="46"/>
        <v>9.0877458748507411</v>
      </c>
      <c r="Q103" s="1" t="e">
        <f t="shared" si="47"/>
        <v>#DIV/0!</v>
      </c>
      <c r="R103" s="1" t="e">
        <f t="shared" si="48"/>
        <v>#DIV/0!</v>
      </c>
      <c r="S103" s="1" t="e">
        <f t="shared" si="49"/>
        <v>#DIV/0!</v>
      </c>
      <c r="T103" s="1" t="e">
        <f t="shared" si="50"/>
        <v>#DIV/0!</v>
      </c>
      <c r="U103" s="1" t="e">
        <f t="shared" si="51"/>
        <v>#DIV/0!</v>
      </c>
      <c r="V103">
        <f t="shared" si="52"/>
        <v>334.3317409326491</v>
      </c>
      <c r="W103">
        <f t="shared" si="53"/>
        <v>0</v>
      </c>
      <c r="X103">
        <f t="shared" si="54"/>
        <v>0</v>
      </c>
      <c r="Y103">
        <f t="shared" si="55"/>
        <v>0</v>
      </c>
      <c r="Z103">
        <f t="shared" si="56"/>
        <v>0</v>
      </c>
      <c r="AA103">
        <f t="shared" si="57"/>
        <v>0</v>
      </c>
      <c r="AC103">
        <f t="shared" si="58"/>
        <v>408.75983499402963</v>
      </c>
      <c r="AD103">
        <f t="shared" si="59"/>
        <v>0</v>
      </c>
      <c r="AE103">
        <f t="shared" si="60"/>
        <v>0</v>
      </c>
      <c r="AF103">
        <f t="shared" si="61"/>
        <v>0</v>
      </c>
      <c r="AG103">
        <f t="shared" si="62"/>
        <v>0</v>
      </c>
      <c r="AH103">
        <f t="shared" si="63"/>
        <v>0</v>
      </c>
      <c r="AJ103">
        <f t="shared" si="64"/>
        <v>483.17792905541017</v>
      </c>
      <c r="AK103">
        <f t="shared" si="65"/>
        <v>0</v>
      </c>
      <c r="AL103">
        <f t="shared" si="66"/>
        <v>0</v>
      </c>
      <c r="AM103">
        <f t="shared" si="67"/>
        <v>0</v>
      </c>
      <c r="AN103">
        <f t="shared" si="68"/>
        <v>0</v>
      </c>
      <c r="AO103">
        <f t="shared" si="69"/>
        <v>0</v>
      </c>
    </row>
    <row r="104" spans="1:41" x14ac:dyDescent="0.45">
      <c r="A104">
        <v>21.14832281</v>
      </c>
      <c r="B104">
        <v>115.2978816</v>
      </c>
      <c r="C104">
        <v>1.3305610400000001</v>
      </c>
      <c r="D104">
        <v>12.071661000000001</v>
      </c>
      <c r="E104">
        <f t="shared" si="35"/>
        <v>1.3305610400000001</v>
      </c>
      <c r="F104">
        <f t="shared" si="36"/>
        <v>5.4188558000000002</v>
      </c>
      <c r="G104">
        <f t="shared" si="37"/>
        <v>0</v>
      </c>
      <c r="H104">
        <f t="shared" si="38"/>
        <v>0</v>
      </c>
      <c r="I104">
        <f t="shared" si="39"/>
        <v>0</v>
      </c>
      <c r="J104">
        <f t="shared" si="40"/>
        <v>0</v>
      </c>
      <c r="K104" s="1">
        <f t="shared" si="41"/>
        <v>1.3305610400000001</v>
      </c>
      <c r="L104" s="1">
        <f t="shared" si="42"/>
        <v>0</v>
      </c>
      <c r="M104" s="1">
        <f t="shared" si="43"/>
        <v>0</v>
      </c>
      <c r="N104" s="1">
        <f t="shared" si="44"/>
        <v>0</v>
      </c>
      <c r="O104" s="1">
        <f t="shared" si="45"/>
        <v>0</v>
      </c>
      <c r="P104" s="1">
        <f t="shared" si="46"/>
        <v>2.7555467304789292</v>
      </c>
      <c r="Q104" s="1">
        <f t="shared" si="47"/>
        <v>6.138570064920347</v>
      </c>
      <c r="R104" s="1" t="e">
        <f t="shared" si="48"/>
        <v>#DIV/0!</v>
      </c>
      <c r="S104" s="1" t="e">
        <f t="shared" si="49"/>
        <v>#DIV/0!</v>
      </c>
      <c r="T104" s="1" t="e">
        <f t="shared" si="50"/>
        <v>#DIV/0!</v>
      </c>
      <c r="U104" s="1" t="e">
        <f t="shared" si="51"/>
        <v>#DIV/0!</v>
      </c>
      <c r="V104">
        <f t="shared" si="52"/>
        <v>128.53526874056519</v>
      </c>
      <c r="W104">
        <f t="shared" si="53"/>
        <v>269.18637743451302</v>
      </c>
      <c r="X104">
        <f t="shared" si="54"/>
        <v>0</v>
      </c>
      <c r="Y104">
        <f t="shared" si="55"/>
        <v>0</v>
      </c>
      <c r="Z104">
        <f t="shared" si="56"/>
        <v>0</v>
      </c>
      <c r="AA104">
        <f t="shared" si="57"/>
        <v>0</v>
      </c>
      <c r="AC104">
        <f t="shared" si="58"/>
        <v>155.47186921915716</v>
      </c>
      <c r="AD104">
        <f t="shared" si="59"/>
        <v>269.18637743451302</v>
      </c>
      <c r="AE104">
        <f t="shared" si="60"/>
        <v>0</v>
      </c>
      <c r="AF104">
        <f t="shared" si="61"/>
        <v>0</v>
      </c>
      <c r="AG104">
        <f t="shared" si="62"/>
        <v>0</v>
      </c>
      <c r="AH104">
        <f t="shared" si="63"/>
        <v>0</v>
      </c>
      <c r="AJ104">
        <f t="shared" si="64"/>
        <v>182.39846969774914</v>
      </c>
      <c r="AK104">
        <f t="shared" si="65"/>
        <v>322.17565292141563</v>
      </c>
      <c r="AL104">
        <f t="shared" si="66"/>
        <v>0</v>
      </c>
      <c r="AM104">
        <f t="shared" si="67"/>
        <v>0</v>
      </c>
      <c r="AN104">
        <f t="shared" si="68"/>
        <v>0</v>
      </c>
      <c r="AO104">
        <f t="shared" si="69"/>
        <v>0</v>
      </c>
    </row>
    <row r="105" spans="1:41" x14ac:dyDescent="0.45">
      <c r="A105">
        <v>21.152578049999999</v>
      </c>
      <c r="B105">
        <v>115.2506525</v>
      </c>
      <c r="C105">
        <v>1.29669905</v>
      </c>
      <c r="D105">
        <v>37.67435837</v>
      </c>
      <c r="E105">
        <f t="shared" si="35"/>
        <v>1.29669905</v>
      </c>
      <c r="F105">
        <f t="shared" si="36"/>
        <v>31.190863119999999</v>
      </c>
      <c r="G105">
        <f t="shared" si="37"/>
        <v>24.707367869999999</v>
      </c>
      <c r="H105">
        <f t="shared" si="38"/>
        <v>18.223872620000002</v>
      </c>
      <c r="I105">
        <f t="shared" si="39"/>
        <v>11.740377370000001</v>
      </c>
      <c r="J105">
        <f t="shared" si="40"/>
        <v>5.2568821200000002</v>
      </c>
      <c r="K105" s="1">
        <f t="shared" si="41"/>
        <v>1.29669905</v>
      </c>
      <c r="L105" s="1">
        <f t="shared" si="42"/>
        <v>1.29669905</v>
      </c>
      <c r="M105" s="1">
        <f t="shared" si="43"/>
        <v>1.29669905</v>
      </c>
      <c r="N105" s="1">
        <f t="shared" si="44"/>
        <v>1.29669905</v>
      </c>
      <c r="O105" s="1">
        <f t="shared" si="45"/>
        <v>1.29669905</v>
      </c>
      <c r="P105" s="1">
        <f t="shared" si="46"/>
        <v>1</v>
      </c>
      <c r="Q105" s="1">
        <f t="shared" si="47"/>
        <v>1.0393260399778255</v>
      </c>
      <c r="R105" s="1">
        <f t="shared" si="48"/>
        <v>1.3120570519922405</v>
      </c>
      <c r="S105" s="1">
        <f t="shared" si="49"/>
        <v>1.778846731754647</v>
      </c>
      <c r="T105" s="1">
        <f t="shared" si="50"/>
        <v>2.7611954222899051</v>
      </c>
      <c r="U105" s="1">
        <f t="shared" si="51"/>
        <v>6.1666736118480809</v>
      </c>
      <c r="V105">
        <f t="shared" si="52"/>
        <v>71.48</v>
      </c>
      <c r="W105">
        <f t="shared" si="53"/>
        <v>77.964726499168449</v>
      </c>
      <c r="X105">
        <f t="shared" si="54"/>
        <v>71.611168293866172</v>
      </c>
      <c r="Y105">
        <f t="shared" si="55"/>
        <v>53.676934635092941</v>
      </c>
      <c r="Z105">
        <f t="shared" si="56"/>
        <v>62.940919890073346</v>
      </c>
      <c r="AA105">
        <f t="shared" si="57"/>
        <v>120.44678820734141</v>
      </c>
      <c r="AC105">
        <f t="shared" si="58"/>
        <v>85.25</v>
      </c>
      <c r="AD105">
        <f t="shared" si="59"/>
        <v>77.964726499168449</v>
      </c>
      <c r="AE105">
        <f t="shared" si="60"/>
        <v>74.31185418974782</v>
      </c>
      <c r="AF105">
        <f t="shared" si="61"/>
        <v>73.205401952639406</v>
      </c>
      <c r="AG105">
        <f t="shared" si="62"/>
        <v>50.101195422289905</v>
      </c>
      <c r="AH105">
        <f t="shared" si="63"/>
        <v>170.52684029620201</v>
      </c>
      <c r="AJ105">
        <f t="shared" si="64"/>
        <v>99.009999999999991</v>
      </c>
      <c r="AK105">
        <f t="shared" si="65"/>
        <v>92.709671799002138</v>
      </c>
      <c r="AL105">
        <f t="shared" si="66"/>
        <v>91.962424709670216</v>
      </c>
      <c r="AM105">
        <f t="shared" si="67"/>
        <v>96.636752440799256</v>
      </c>
      <c r="AN105">
        <f t="shared" si="68"/>
        <v>128.60482833587145</v>
      </c>
      <c r="AO105">
        <f t="shared" si="69"/>
        <v>236.02357641468282</v>
      </c>
    </row>
    <row r="106" spans="1:41" x14ac:dyDescent="0.45">
      <c r="A106">
        <v>21.15681176</v>
      </c>
      <c r="B106">
        <v>115.203419</v>
      </c>
      <c r="C106">
        <v>1.3427549599999999</v>
      </c>
      <c r="D106">
        <v>11.150982859999999</v>
      </c>
      <c r="E106">
        <f t="shared" si="35"/>
        <v>1.3427549599999999</v>
      </c>
      <c r="F106">
        <f t="shared" si="36"/>
        <v>4.4372080599999997</v>
      </c>
      <c r="G106">
        <f t="shared" si="37"/>
        <v>0</v>
      </c>
      <c r="H106">
        <f t="shared" si="38"/>
        <v>0</v>
      </c>
      <c r="I106">
        <f t="shared" si="39"/>
        <v>0</v>
      </c>
      <c r="J106">
        <f t="shared" si="40"/>
        <v>0</v>
      </c>
      <c r="K106" s="1">
        <f t="shared" si="41"/>
        <v>1.3427549599999999</v>
      </c>
      <c r="L106" s="1">
        <f t="shared" si="42"/>
        <v>0</v>
      </c>
      <c r="M106" s="1">
        <f t="shared" si="43"/>
        <v>0</v>
      </c>
      <c r="N106" s="1">
        <f t="shared" si="44"/>
        <v>0</v>
      </c>
      <c r="O106" s="1">
        <f t="shared" si="45"/>
        <v>0</v>
      </c>
      <c r="P106" s="1">
        <f t="shared" si="46"/>
        <v>3.0103959822605271</v>
      </c>
      <c r="Q106" s="1">
        <f t="shared" si="47"/>
        <v>7.5653143927625521</v>
      </c>
      <c r="R106" s="1" t="e">
        <f t="shared" si="48"/>
        <v>#DIV/0!</v>
      </c>
      <c r="S106" s="1" t="e">
        <f t="shared" si="49"/>
        <v>#DIV/0!</v>
      </c>
      <c r="T106" s="1" t="e">
        <f t="shared" si="50"/>
        <v>#DIV/0!</v>
      </c>
      <c r="U106" s="1" t="e">
        <f t="shared" si="51"/>
        <v>#DIV/0!</v>
      </c>
      <c r="V106">
        <f t="shared" si="52"/>
        <v>136.81786942346713</v>
      </c>
      <c r="W106">
        <f t="shared" si="53"/>
        <v>322.68928972859572</v>
      </c>
      <c r="X106">
        <f t="shared" si="54"/>
        <v>0</v>
      </c>
      <c r="Y106">
        <f t="shared" si="55"/>
        <v>0</v>
      </c>
      <c r="Z106">
        <f t="shared" si="56"/>
        <v>0</v>
      </c>
      <c r="AA106">
        <f t="shared" si="57"/>
        <v>0</v>
      </c>
      <c r="AC106">
        <f t="shared" si="58"/>
        <v>165.66583929042108</v>
      </c>
      <c r="AD106">
        <f t="shared" si="59"/>
        <v>322.68928972859572</v>
      </c>
      <c r="AE106">
        <f t="shared" si="60"/>
        <v>0</v>
      </c>
      <c r="AF106">
        <f t="shared" si="61"/>
        <v>0</v>
      </c>
      <c r="AG106">
        <f t="shared" si="62"/>
        <v>0</v>
      </c>
      <c r="AH106">
        <f t="shared" si="63"/>
        <v>0</v>
      </c>
      <c r="AJ106">
        <f t="shared" si="64"/>
        <v>194.50380915737503</v>
      </c>
      <c r="AK106">
        <f t="shared" si="65"/>
        <v>386.37914767431482</v>
      </c>
      <c r="AL106">
        <f t="shared" si="66"/>
        <v>0</v>
      </c>
      <c r="AM106">
        <f t="shared" si="67"/>
        <v>0</v>
      </c>
      <c r="AN106">
        <f t="shared" si="68"/>
        <v>0</v>
      </c>
      <c r="AO106">
        <f t="shared" si="69"/>
        <v>0</v>
      </c>
    </row>
    <row r="107" spans="1:41" x14ac:dyDescent="0.45">
      <c r="A107">
        <v>21.16102394</v>
      </c>
      <c r="B107">
        <v>115.1561811</v>
      </c>
      <c r="C107">
        <v>1.060794</v>
      </c>
      <c r="D107">
        <v>1.3026620099999999</v>
      </c>
      <c r="E107">
        <f t="shared" si="35"/>
        <v>1.060794</v>
      </c>
      <c r="F107">
        <f t="shared" si="36"/>
        <v>0</v>
      </c>
      <c r="G107">
        <f t="shared" si="37"/>
        <v>0</v>
      </c>
      <c r="H107">
        <f t="shared" si="38"/>
        <v>0</v>
      </c>
      <c r="I107">
        <f t="shared" si="39"/>
        <v>0</v>
      </c>
      <c r="J107">
        <f t="shared" si="40"/>
        <v>0</v>
      </c>
      <c r="K107" s="1">
        <f t="shared" si="41"/>
        <v>0</v>
      </c>
      <c r="L107" s="1">
        <f t="shared" si="42"/>
        <v>0</v>
      </c>
      <c r="M107" s="1">
        <f t="shared" si="43"/>
        <v>0</v>
      </c>
      <c r="N107" s="1">
        <f t="shared" si="44"/>
        <v>0</v>
      </c>
      <c r="O107" s="1">
        <f t="shared" si="45"/>
        <v>0</v>
      </c>
      <c r="P107" s="1">
        <f t="shared" si="46"/>
        <v>20.358197135111052</v>
      </c>
      <c r="Q107" s="1" t="e">
        <f t="shared" si="47"/>
        <v>#DIV/0!</v>
      </c>
      <c r="R107" s="1" t="e">
        <f t="shared" si="48"/>
        <v>#DIV/0!</v>
      </c>
      <c r="S107" s="1" t="e">
        <f t="shared" si="49"/>
        <v>#DIV/0!</v>
      </c>
      <c r="T107" s="1" t="e">
        <f t="shared" si="50"/>
        <v>#DIV/0!</v>
      </c>
      <c r="U107" s="1" t="e">
        <f t="shared" si="51"/>
        <v>#DIV/0!</v>
      </c>
      <c r="V107">
        <f t="shared" si="52"/>
        <v>700.62140689110925</v>
      </c>
      <c r="W107">
        <f t="shared" si="53"/>
        <v>0</v>
      </c>
      <c r="X107">
        <f t="shared" si="54"/>
        <v>0</v>
      </c>
      <c r="Y107">
        <f t="shared" si="55"/>
        <v>0</v>
      </c>
      <c r="Z107">
        <f t="shared" si="56"/>
        <v>0</v>
      </c>
      <c r="AA107">
        <f t="shared" si="57"/>
        <v>0</v>
      </c>
      <c r="AC107">
        <f t="shared" si="58"/>
        <v>859.5778854044421</v>
      </c>
      <c r="AD107">
        <f t="shared" si="59"/>
        <v>0</v>
      </c>
      <c r="AE107">
        <f t="shared" si="60"/>
        <v>0</v>
      </c>
      <c r="AF107">
        <f t="shared" si="61"/>
        <v>0</v>
      </c>
      <c r="AG107">
        <f t="shared" si="62"/>
        <v>0</v>
      </c>
      <c r="AH107">
        <f t="shared" si="63"/>
        <v>0</v>
      </c>
      <c r="AJ107">
        <f t="shared" si="64"/>
        <v>1018.524363917775</v>
      </c>
      <c r="AK107">
        <f t="shared" si="65"/>
        <v>0</v>
      </c>
      <c r="AL107">
        <f t="shared" si="66"/>
        <v>0</v>
      </c>
      <c r="AM107">
        <f t="shared" si="67"/>
        <v>0</v>
      </c>
      <c r="AN107">
        <f t="shared" si="68"/>
        <v>0</v>
      </c>
      <c r="AO107">
        <f t="shared" si="69"/>
        <v>0</v>
      </c>
    </row>
    <row r="108" spans="1:41" x14ac:dyDescent="0.45">
      <c r="A108">
        <v>21.165214580000001</v>
      </c>
      <c r="B108">
        <v>115.1089389</v>
      </c>
      <c r="C108">
        <v>1.7065730100000001</v>
      </c>
      <c r="D108">
        <v>3.13422394</v>
      </c>
      <c r="E108">
        <f t="shared" si="35"/>
        <v>1.7065730100000001</v>
      </c>
      <c r="F108">
        <f t="shared" si="36"/>
        <v>0</v>
      </c>
      <c r="G108">
        <f t="shared" si="37"/>
        <v>0</v>
      </c>
      <c r="H108">
        <f t="shared" si="38"/>
        <v>0</v>
      </c>
      <c r="I108">
        <f t="shared" si="39"/>
        <v>0</v>
      </c>
      <c r="J108">
        <f t="shared" si="40"/>
        <v>0</v>
      </c>
      <c r="K108" s="1">
        <f t="shared" si="41"/>
        <v>0</v>
      </c>
      <c r="L108" s="1">
        <f t="shared" si="42"/>
        <v>0</v>
      </c>
      <c r="M108" s="1">
        <f t="shared" si="43"/>
        <v>0</v>
      </c>
      <c r="N108" s="1">
        <f t="shared" si="44"/>
        <v>0</v>
      </c>
      <c r="O108" s="1">
        <f t="shared" si="45"/>
        <v>0</v>
      </c>
      <c r="P108" s="1">
        <f t="shared" si="46"/>
        <v>13.612404878127503</v>
      </c>
      <c r="Q108" s="1" t="e">
        <f t="shared" si="47"/>
        <v>#DIV/0!</v>
      </c>
      <c r="R108" s="1" t="e">
        <f t="shared" si="48"/>
        <v>#DIV/0!</v>
      </c>
      <c r="S108" s="1" t="e">
        <f t="shared" si="49"/>
        <v>#DIV/0!</v>
      </c>
      <c r="T108" s="1" t="e">
        <f t="shared" si="50"/>
        <v>#DIV/0!</v>
      </c>
      <c r="U108" s="1" t="e">
        <f t="shared" si="51"/>
        <v>#DIV/0!</v>
      </c>
      <c r="V108">
        <f t="shared" si="52"/>
        <v>481.38315853914384</v>
      </c>
      <c r="W108">
        <f t="shared" si="53"/>
        <v>0</v>
      </c>
      <c r="X108">
        <f t="shared" si="54"/>
        <v>0</v>
      </c>
      <c r="Y108">
        <f t="shared" si="55"/>
        <v>0</v>
      </c>
      <c r="Z108">
        <f t="shared" si="56"/>
        <v>0</v>
      </c>
      <c r="AA108">
        <f t="shared" si="57"/>
        <v>0</v>
      </c>
      <c r="AC108">
        <f t="shared" si="58"/>
        <v>589.74619512510014</v>
      </c>
      <c r="AD108">
        <f t="shared" si="59"/>
        <v>0</v>
      </c>
      <c r="AE108">
        <f t="shared" si="60"/>
        <v>0</v>
      </c>
      <c r="AF108">
        <f t="shared" si="61"/>
        <v>0</v>
      </c>
      <c r="AG108">
        <f t="shared" si="62"/>
        <v>0</v>
      </c>
      <c r="AH108">
        <f t="shared" si="63"/>
        <v>0</v>
      </c>
      <c r="AJ108">
        <f t="shared" si="64"/>
        <v>698.0992317110564</v>
      </c>
      <c r="AK108">
        <f t="shared" si="65"/>
        <v>0</v>
      </c>
      <c r="AL108">
        <f t="shared" si="66"/>
        <v>0</v>
      </c>
      <c r="AM108">
        <f t="shared" si="67"/>
        <v>0</v>
      </c>
      <c r="AN108">
        <f t="shared" si="68"/>
        <v>0</v>
      </c>
      <c r="AO108">
        <f t="shared" si="69"/>
        <v>0</v>
      </c>
    </row>
    <row r="109" spans="1:41" x14ac:dyDescent="0.45">
      <c r="A109">
        <v>21.169383669999998</v>
      </c>
      <c r="B109">
        <v>115.0616922</v>
      </c>
      <c r="C109">
        <v>1.05698705</v>
      </c>
      <c r="D109">
        <v>11.16077709</v>
      </c>
      <c r="E109">
        <f t="shared" si="35"/>
        <v>1.05698705</v>
      </c>
      <c r="F109">
        <f t="shared" si="36"/>
        <v>5.8758418399999996</v>
      </c>
      <c r="G109">
        <f t="shared" si="37"/>
        <v>0.59090658999999945</v>
      </c>
      <c r="H109">
        <f t="shared" si="38"/>
        <v>0</v>
      </c>
      <c r="I109">
        <f t="shared" si="39"/>
        <v>0</v>
      </c>
      <c r="J109">
        <f t="shared" si="40"/>
        <v>0</v>
      </c>
      <c r="K109" s="1">
        <f t="shared" si="41"/>
        <v>1.05698705</v>
      </c>
      <c r="L109" s="1">
        <f t="shared" si="42"/>
        <v>0.59090658999999945</v>
      </c>
      <c r="M109" s="1">
        <f t="shared" si="43"/>
        <v>0</v>
      </c>
      <c r="N109" s="1">
        <f t="shared" si="44"/>
        <v>0</v>
      </c>
      <c r="O109" s="1">
        <f t="shared" si="45"/>
        <v>0</v>
      </c>
      <c r="P109" s="1">
        <f t="shared" si="46"/>
        <v>2.3676376686777822</v>
      </c>
      <c r="Q109" s="1">
        <f t="shared" si="47"/>
        <v>4.4971728255367749</v>
      </c>
      <c r="R109" s="1">
        <f t="shared" si="48"/>
        <v>25</v>
      </c>
      <c r="S109" s="1" t="e">
        <f t="shared" si="49"/>
        <v>#DIV/0!</v>
      </c>
      <c r="T109" s="1" t="e">
        <f t="shared" si="50"/>
        <v>#DIV/0!</v>
      </c>
      <c r="U109" s="1" t="e">
        <f t="shared" si="51"/>
        <v>#DIV/0!</v>
      </c>
      <c r="V109">
        <f t="shared" si="52"/>
        <v>115.92822423202793</v>
      </c>
      <c r="W109">
        <f t="shared" si="53"/>
        <v>207.63398095762903</v>
      </c>
      <c r="X109" t="e">
        <f t="shared" si="54"/>
        <v>#DIV/0!</v>
      </c>
      <c r="Y109">
        <f t="shared" si="55"/>
        <v>0</v>
      </c>
      <c r="Z109">
        <f t="shared" si="56"/>
        <v>0</v>
      </c>
      <c r="AA109">
        <f t="shared" si="57"/>
        <v>0</v>
      </c>
      <c r="AC109">
        <f t="shared" si="58"/>
        <v>139.95550674711129</v>
      </c>
      <c r="AD109">
        <f t="shared" si="59"/>
        <v>207.63398095762903</v>
      </c>
      <c r="AE109">
        <f t="shared" si="60"/>
        <v>844.17</v>
      </c>
      <c r="AF109">
        <f t="shared" si="61"/>
        <v>0</v>
      </c>
      <c r="AG109">
        <f t="shared" si="62"/>
        <v>0</v>
      </c>
      <c r="AH109">
        <f t="shared" si="63"/>
        <v>0</v>
      </c>
      <c r="AJ109">
        <f t="shared" si="64"/>
        <v>163.97278926219465</v>
      </c>
      <c r="AK109">
        <f t="shared" si="65"/>
        <v>248.31277714915487</v>
      </c>
      <c r="AL109">
        <f t="shared" si="66"/>
        <v>1098.7</v>
      </c>
      <c r="AM109">
        <f t="shared" si="67"/>
        <v>0</v>
      </c>
      <c r="AN109">
        <f t="shared" si="68"/>
        <v>0</v>
      </c>
      <c r="AO109">
        <f t="shared" si="69"/>
        <v>0</v>
      </c>
    </row>
    <row r="110" spans="1:41" x14ac:dyDescent="0.45">
      <c r="A110">
        <v>21.196889259999999</v>
      </c>
      <c r="B110">
        <v>115.25517929999999</v>
      </c>
      <c r="C110">
        <v>1.25382602</v>
      </c>
      <c r="D110">
        <v>43.340446470000003</v>
      </c>
      <c r="E110">
        <f t="shared" si="35"/>
        <v>1.25382602</v>
      </c>
      <c r="F110">
        <f t="shared" si="36"/>
        <v>37.071316370000005</v>
      </c>
      <c r="G110">
        <f t="shared" si="37"/>
        <v>30.802186270000004</v>
      </c>
      <c r="H110">
        <f t="shared" si="38"/>
        <v>24.533056170000002</v>
      </c>
      <c r="I110">
        <f t="shared" si="39"/>
        <v>18.263926070000004</v>
      </c>
      <c r="J110">
        <f t="shared" si="40"/>
        <v>11.994795970000006</v>
      </c>
      <c r="K110" s="1">
        <f t="shared" si="41"/>
        <v>1.25382602</v>
      </c>
      <c r="L110" s="1">
        <f t="shared" si="42"/>
        <v>1.25382602</v>
      </c>
      <c r="M110" s="1">
        <f t="shared" si="43"/>
        <v>1.25382602</v>
      </c>
      <c r="N110" s="1">
        <f t="shared" si="44"/>
        <v>1.25382602</v>
      </c>
      <c r="O110" s="1">
        <f t="shared" si="45"/>
        <v>1.25382602</v>
      </c>
      <c r="P110" s="1">
        <f t="shared" si="46"/>
        <v>1</v>
      </c>
      <c r="Q110" s="1">
        <f t="shared" si="47"/>
        <v>1</v>
      </c>
      <c r="R110" s="1">
        <f t="shared" si="48"/>
        <v>1.0176436901340769</v>
      </c>
      <c r="S110" s="1">
        <f t="shared" si="49"/>
        <v>1.2776904060705943</v>
      </c>
      <c r="T110" s="1">
        <f t="shared" si="50"/>
        <v>1.7162602596978203</v>
      </c>
      <c r="U110" s="1">
        <f t="shared" si="51"/>
        <v>2.6132708366526707</v>
      </c>
      <c r="V110">
        <f t="shared" si="52"/>
        <v>71.48</v>
      </c>
      <c r="W110">
        <f t="shared" si="53"/>
        <v>76.489999999999995</v>
      </c>
      <c r="X110">
        <f t="shared" si="54"/>
        <v>59.082260151764856</v>
      </c>
      <c r="Y110">
        <f t="shared" si="55"/>
        <v>43.653808121411885</v>
      </c>
      <c r="Z110">
        <f t="shared" si="56"/>
        <v>44.654554544711857</v>
      </c>
      <c r="AA110">
        <f t="shared" si="57"/>
        <v>58.262239641421736</v>
      </c>
      <c r="AC110">
        <f t="shared" si="58"/>
        <v>85.25</v>
      </c>
      <c r="AD110">
        <f t="shared" si="59"/>
        <v>76.489999999999995</v>
      </c>
      <c r="AE110">
        <f t="shared" si="60"/>
        <v>64.743419929357501</v>
      </c>
      <c r="AF110">
        <f t="shared" si="61"/>
        <v>58.170712182117825</v>
      </c>
      <c r="AG110">
        <f t="shared" si="62"/>
        <v>49.056260259697822</v>
      </c>
      <c r="AH110">
        <f t="shared" si="63"/>
        <v>81.69177091631677</v>
      </c>
      <c r="AJ110">
        <f t="shared" si="64"/>
        <v>99.009999999999991</v>
      </c>
      <c r="AK110">
        <f t="shared" si="65"/>
        <v>90.94</v>
      </c>
      <c r="AL110">
        <f t="shared" si="66"/>
        <v>79.449856830698266</v>
      </c>
      <c r="AM110">
        <f t="shared" si="67"/>
        <v>77.843390227647291</v>
      </c>
      <c r="AN110">
        <f t="shared" si="68"/>
        <v>89.419759738668262</v>
      </c>
      <c r="AO110">
        <f t="shared" si="69"/>
        <v>111.65447928284347</v>
      </c>
    </row>
    <row r="111" spans="1:41" x14ac:dyDescent="0.45">
      <c r="A111">
        <v>21.22836088</v>
      </c>
      <c r="B111">
        <v>115.4015215</v>
      </c>
      <c r="C111">
        <v>1.1457630400000001</v>
      </c>
      <c r="D111">
        <v>0.61215299000000001</v>
      </c>
      <c r="E111">
        <f t="shared" si="35"/>
        <v>0.61215299000000001</v>
      </c>
      <c r="F111">
        <f t="shared" si="36"/>
        <v>0</v>
      </c>
      <c r="G111">
        <f t="shared" si="37"/>
        <v>0</v>
      </c>
      <c r="H111">
        <f t="shared" si="38"/>
        <v>0</v>
      </c>
      <c r="I111">
        <f t="shared" si="39"/>
        <v>0</v>
      </c>
      <c r="J111">
        <f t="shared" si="40"/>
        <v>0</v>
      </c>
      <c r="K111" s="1">
        <f t="shared" si="41"/>
        <v>0</v>
      </c>
      <c r="L111" s="1">
        <f t="shared" si="42"/>
        <v>0</v>
      </c>
      <c r="M111" s="1">
        <f t="shared" si="43"/>
        <v>0</v>
      </c>
      <c r="N111" s="1">
        <f t="shared" si="44"/>
        <v>0</v>
      </c>
      <c r="O111" s="1">
        <f t="shared" si="45"/>
        <v>0</v>
      </c>
      <c r="P111" s="1">
        <f t="shared" si="46"/>
        <v>25</v>
      </c>
      <c r="Q111" s="1" t="e">
        <f t="shared" si="47"/>
        <v>#DIV/0!</v>
      </c>
      <c r="R111" s="1" t="e">
        <f t="shared" si="48"/>
        <v>#DIV/0!</v>
      </c>
      <c r="S111" s="1" t="e">
        <f t="shared" si="49"/>
        <v>#DIV/0!</v>
      </c>
      <c r="T111" s="1" t="e">
        <f t="shared" si="50"/>
        <v>#DIV/0!</v>
      </c>
      <c r="U111" s="1" t="e">
        <f t="shared" si="51"/>
        <v>#DIV/0!</v>
      </c>
      <c r="V111">
        <f t="shared" si="52"/>
        <v>851.48</v>
      </c>
      <c r="W111">
        <f t="shared" si="53"/>
        <v>0</v>
      </c>
      <c r="X111">
        <f t="shared" si="54"/>
        <v>0</v>
      </c>
      <c r="Y111">
        <f t="shared" si="55"/>
        <v>0</v>
      </c>
      <c r="Z111">
        <f t="shared" si="56"/>
        <v>0</v>
      </c>
      <c r="AA111">
        <f t="shared" si="57"/>
        <v>0</v>
      </c>
      <c r="AC111">
        <f t="shared" si="58"/>
        <v>1045.25</v>
      </c>
      <c r="AD111">
        <f t="shared" si="59"/>
        <v>0</v>
      </c>
      <c r="AE111">
        <f t="shared" si="60"/>
        <v>0</v>
      </c>
      <c r="AF111">
        <f t="shared" si="61"/>
        <v>0</v>
      </c>
      <c r="AG111">
        <f t="shared" si="62"/>
        <v>0</v>
      </c>
      <c r="AH111">
        <f t="shared" si="63"/>
        <v>0</v>
      </c>
      <c r="AJ111">
        <f t="shared" si="64"/>
        <v>1239.01</v>
      </c>
      <c r="AK111">
        <f t="shared" si="65"/>
        <v>0</v>
      </c>
      <c r="AL111">
        <f t="shared" si="66"/>
        <v>0</v>
      </c>
      <c r="AM111">
        <f t="shared" si="67"/>
        <v>0</v>
      </c>
      <c r="AN111">
        <f t="shared" si="68"/>
        <v>0</v>
      </c>
      <c r="AO111">
        <f t="shared" si="69"/>
        <v>0</v>
      </c>
    </row>
    <row r="112" spans="1:41" x14ac:dyDescent="0.45">
      <c r="A112">
        <v>21.23694747</v>
      </c>
      <c r="B112">
        <v>115.30698529999999</v>
      </c>
      <c r="C112">
        <v>2.2340700600000001</v>
      </c>
      <c r="D112">
        <v>7.3458380700000001</v>
      </c>
      <c r="E112">
        <f t="shared" si="35"/>
        <v>2.2340700600000001</v>
      </c>
      <c r="F112">
        <f t="shared" si="36"/>
        <v>0</v>
      </c>
      <c r="G112">
        <f t="shared" si="37"/>
        <v>0</v>
      </c>
      <c r="H112">
        <f t="shared" si="38"/>
        <v>0</v>
      </c>
      <c r="I112">
        <f t="shared" si="39"/>
        <v>0</v>
      </c>
      <c r="J112">
        <f t="shared" si="40"/>
        <v>0</v>
      </c>
      <c r="K112" s="1">
        <f t="shared" si="41"/>
        <v>0</v>
      </c>
      <c r="L112" s="1">
        <f t="shared" si="42"/>
        <v>0</v>
      </c>
      <c r="M112" s="1">
        <f t="shared" si="43"/>
        <v>0</v>
      </c>
      <c r="N112" s="1">
        <f t="shared" si="44"/>
        <v>0</v>
      </c>
      <c r="O112" s="1">
        <f t="shared" si="45"/>
        <v>0</v>
      </c>
      <c r="P112" s="1">
        <f t="shared" si="46"/>
        <v>7.603183049745609</v>
      </c>
      <c r="Q112" s="1" t="e">
        <f t="shared" si="47"/>
        <v>#DIV/0!</v>
      </c>
      <c r="R112" s="1" t="e">
        <f t="shared" si="48"/>
        <v>#DIV/0!</v>
      </c>
      <c r="S112" s="1" t="e">
        <f t="shared" si="49"/>
        <v>#DIV/0!</v>
      </c>
      <c r="T112" s="1" t="e">
        <f t="shared" si="50"/>
        <v>#DIV/0!</v>
      </c>
      <c r="U112" s="1" t="e">
        <f t="shared" si="51"/>
        <v>#DIV/0!</v>
      </c>
      <c r="V112">
        <f t="shared" si="52"/>
        <v>286.08344911673231</v>
      </c>
      <c r="W112">
        <f t="shared" si="53"/>
        <v>0</v>
      </c>
      <c r="X112">
        <f t="shared" si="54"/>
        <v>0</v>
      </c>
      <c r="Y112">
        <f t="shared" si="55"/>
        <v>0</v>
      </c>
      <c r="Z112">
        <f t="shared" si="56"/>
        <v>0</v>
      </c>
      <c r="AA112">
        <f t="shared" si="57"/>
        <v>0</v>
      </c>
      <c r="AC112">
        <f t="shared" si="58"/>
        <v>349.37732198982434</v>
      </c>
      <c r="AD112">
        <f t="shared" si="59"/>
        <v>0</v>
      </c>
      <c r="AE112">
        <f t="shared" si="60"/>
        <v>0</v>
      </c>
      <c r="AF112">
        <f t="shared" si="61"/>
        <v>0</v>
      </c>
      <c r="AG112">
        <f t="shared" si="62"/>
        <v>0</v>
      </c>
      <c r="AH112">
        <f t="shared" si="63"/>
        <v>0</v>
      </c>
      <c r="AJ112">
        <f t="shared" si="64"/>
        <v>412.66119486291643</v>
      </c>
      <c r="AK112">
        <f t="shared" si="65"/>
        <v>0</v>
      </c>
      <c r="AL112">
        <f t="shared" si="66"/>
        <v>0</v>
      </c>
      <c r="AM112">
        <f t="shared" si="67"/>
        <v>0</v>
      </c>
      <c r="AN112">
        <f t="shared" si="68"/>
        <v>0</v>
      </c>
      <c r="AO112">
        <f t="shared" si="69"/>
        <v>0</v>
      </c>
    </row>
    <row r="113" spans="1:41" x14ac:dyDescent="0.45">
      <c r="A113">
        <v>21.24120843</v>
      </c>
      <c r="B113">
        <v>115.25971060000001</v>
      </c>
      <c r="C113">
        <v>1.16032004</v>
      </c>
      <c r="D113">
        <v>1.9613389999999999</v>
      </c>
      <c r="E113">
        <f t="shared" si="35"/>
        <v>1.16032004</v>
      </c>
      <c r="F113">
        <f t="shared" si="36"/>
        <v>0</v>
      </c>
      <c r="G113">
        <f t="shared" si="37"/>
        <v>0</v>
      </c>
      <c r="H113">
        <f t="shared" si="38"/>
        <v>0</v>
      </c>
      <c r="I113">
        <f t="shared" si="39"/>
        <v>0</v>
      </c>
      <c r="J113">
        <f t="shared" si="40"/>
        <v>0</v>
      </c>
      <c r="K113" s="1">
        <f t="shared" si="41"/>
        <v>0</v>
      </c>
      <c r="L113" s="1">
        <f t="shared" si="42"/>
        <v>0</v>
      </c>
      <c r="M113" s="1">
        <f t="shared" si="43"/>
        <v>0</v>
      </c>
      <c r="N113" s="1">
        <f t="shared" si="44"/>
        <v>0</v>
      </c>
      <c r="O113" s="1">
        <f t="shared" si="45"/>
        <v>0</v>
      </c>
      <c r="P113" s="1">
        <f t="shared" si="46"/>
        <v>14.789896596151914</v>
      </c>
      <c r="Q113" s="1" t="e">
        <f t="shared" si="47"/>
        <v>#DIV/0!</v>
      </c>
      <c r="R113" s="1" t="e">
        <f t="shared" si="48"/>
        <v>#DIV/0!</v>
      </c>
      <c r="S113" s="1" t="e">
        <f t="shared" si="49"/>
        <v>#DIV/0!</v>
      </c>
      <c r="T113" s="1" t="e">
        <f t="shared" si="50"/>
        <v>#DIV/0!</v>
      </c>
      <c r="U113" s="1" t="e">
        <f t="shared" si="51"/>
        <v>#DIV/0!</v>
      </c>
      <c r="V113">
        <f t="shared" si="52"/>
        <v>519.65163937493719</v>
      </c>
      <c r="W113">
        <f t="shared" si="53"/>
        <v>0</v>
      </c>
      <c r="X113">
        <f t="shared" si="54"/>
        <v>0</v>
      </c>
      <c r="Y113">
        <f t="shared" si="55"/>
        <v>0</v>
      </c>
      <c r="Z113">
        <f t="shared" si="56"/>
        <v>0</v>
      </c>
      <c r="AA113">
        <f t="shared" si="57"/>
        <v>0</v>
      </c>
      <c r="AC113">
        <f t="shared" si="58"/>
        <v>636.84586384607655</v>
      </c>
      <c r="AD113">
        <f t="shared" si="59"/>
        <v>0</v>
      </c>
      <c r="AE113">
        <f t="shared" si="60"/>
        <v>0</v>
      </c>
      <c r="AF113">
        <f t="shared" si="61"/>
        <v>0</v>
      </c>
      <c r="AG113">
        <f t="shared" si="62"/>
        <v>0</v>
      </c>
      <c r="AH113">
        <f t="shared" si="63"/>
        <v>0</v>
      </c>
      <c r="AJ113">
        <f t="shared" si="64"/>
        <v>754.03008831721593</v>
      </c>
      <c r="AK113">
        <f t="shared" si="65"/>
        <v>0</v>
      </c>
      <c r="AL113">
        <f t="shared" si="66"/>
        <v>0</v>
      </c>
      <c r="AM113">
        <f t="shared" si="67"/>
        <v>0</v>
      </c>
      <c r="AN113">
        <f t="shared" si="68"/>
        <v>0</v>
      </c>
      <c r="AO113">
        <f t="shared" si="69"/>
        <v>0</v>
      </c>
    </row>
    <row r="114" spans="1:41" x14ac:dyDescent="0.45">
      <c r="A114">
        <v>21.262189790000001</v>
      </c>
      <c r="B114">
        <v>115.0232707</v>
      </c>
      <c r="C114">
        <v>1.05698705</v>
      </c>
      <c r="D114">
        <v>11.50848103</v>
      </c>
      <c r="E114">
        <f t="shared" si="35"/>
        <v>1.05698705</v>
      </c>
      <c r="F114">
        <f t="shared" si="36"/>
        <v>6.2235457800000002</v>
      </c>
      <c r="G114">
        <f t="shared" si="37"/>
        <v>0.93861053000000005</v>
      </c>
      <c r="H114">
        <f t="shared" si="38"/>
        <v>0</v>
      </c>
      <c r="I114">
        <f t="shared" si="39"/>
        <v>0</v>
      </c>
      <c r="J114">
        <f t="shared" si="40"/>
        <v>0</v>
      </c>
      <c r="K114" s="1">
        <f t="shared" si="41"/>
        <v>1.05698705</v>
      </c>
      <c r="L114" s="1">
        <f t="shared" si="42"/>
        <v>0.93861053000000005</v>
      </c>
      <c r="M114" s="1">
        <f t="shared" si="43"/>
        <v>0</v>
      </c>
      <c r="N114" s="1">
        <f t="shared" si="44"/>
        <v>0</v>
      </c>
      <c r="O114" s="1">
        <f t="shared" si="45"/>
        <v>0</v>
      </c>
      <c r="P114" s="1">
        <f t="shared" si="46"/>
        <v>2.2961046015644344</v>
      </c>
      <c r="Q114" s="1">
        <f t="shared" si="47"/>
        <v>4.2459197994362627</v>
      </c>
      <c r="R114" s="1">
        <f t="shared" si="48"/>
        <v>24.999999999999996</v>
      </c>
      <c r="S114" s="1" t="e">
        <f t="shared" si="49"/>
        <v>#DIV/0!</v>
      </c>
      <c r="T114" s="1" t="e">
        <f t="shared" si="50"/>
        <v>#DIV/0!</v>
      </c>
      <c r="U114" s="1" t="e">
        <f t="shared" si="51"/>
        <v>#DIV/0!</v>
      </c>
      <c r="V114">
        <f t="shared" si="52"/>
        <v>113.60339955084412</v>
      </c>
      <c r="W114">
        <f t="shared" si="53"/>
        <v>198.21199247885983</v>
      </c>
      <c r="X114" t="e">
        <f t="shared" si="54"/>
        <v>#DIV/0!</v>
      </c>
      <c r="Y114">
        <f t="shared" si="55"/>
        <v>0</v>
      </c>
      <c r="Z114">
        <f t="shared" si="56"/>
        <v>0</v>
      </c>
      <c r="AA114">
        <f t="shared" si="57"/>
        <v>0</v>
      </c>
      <c r="AC114">
        <f t="shared" si="58"/>
        <v>137.09418406257737</v>
      </c>
      <c r="AD114">
        <f t="shared" si="59"/>
        <v>198.21199247885983</v>
      </c>
      <c r="AE114">
        <f t="shared" si="60"/>
        <v>844.16999999999985</v>
      </c>
      <c r="AF114">
        <f t="shared" si="61"/>
        <v>0</v>
      </c>
      <c r="AG114">
        <f t="shared" si="62"/>
        <v>0</v>
      </c>
      <c r="AH114">
        <f t="shared" si="63"/>
        <v>0</v>
      </c>
      <c r="AJ114">
        <f t="shared" si="64"/>
        <v>160.57496857431065</v>
      </c>
      <c r="AK114">
        <f t="shared" si="65"/>
        <v>237.00639097463181</v>
      </c>
      <c r="AL114">
        <f t="shared" si="66"/>
        <v>1098.6999999999998</v>
      </c>
      <c r="AM114">
        <f t="shared" si="67"/>
        <v>0</v>
      </c>
      <c r="AN114">
        <f t="shared" si="68"/>
        <v>0</v>
      </c>
      <c r="AO114">
        <f t="shared" si="69"/>
        <v>0</v>
      </c>
    </row>
    <row r="115" spans="1:41" x14ac:dyDescent="0.45">
      <c r="A115">
        <v>21.264000759999998</v>
      </c>
      <c r="B115">
        <v>115.5006897</v>
      </c>
      <c r="C115">
        <v>0.91557401000000005</v>
      </c>
      <c r="D115">
        <v>0.48972300000000002</v>
      </c>
      <c r="E115">
        <f t="shared" si="35"/>
        <v>0.48972300000000002</v>
      </c>
      <c r="F115">
        <f t="shared" si="36"/>
        <v>0</v>
      </c>
      <c r="G115">
        <f t="shared" si="37"/>
        <v>0</v>
      </c>
      <c r="H115">
        <f t="shared" si="38"/>
        <v>0</v>
      </c>
      <c r="I115">
        <f t="shared" si="39"/>
        <v>0</v>
      </c>
      <c r="J115">
        <f t="shared" si="40"/>
        <v>0</v>
      </c>
      <c r="K115" s="1">
        <f t="shared" si="41"/>
        <v>0</v>
      </c>
      <c r="L115" s="1">
        <f t="shared" si="42"/>
        <v>0</v>
      </c>
      <c r="M115" s="1">
        <f t="shared" si="43"/>
        <v>0</v>
      </c>
      <c r="N115" s="1">
        <f t="shared" si="44"/>
        <v>0</v>
      </c>
      <c r="O115" s="1">
        <f t="shared" si="45"/>
        <v>0</v>
      </c>
      <c r="P115" s="1">
        <f t="shared" si="46"/>
        <v>25</v>
      </c>
      <c r="Q115" s="1" t="e">
        <f t="shared" si="47"/>
        <v>#DIV/0!</v>
      </c>
      <c r="R115" s="1" t="e">
        <f t="shared" si="48"/>
        <v>#DIV/0!</v>
      </c>
      <c r="S115" s="1" t="e">
        <f t="shared" si="49"/>
        <v>#DIV/0!</v>
      </c>
      <c r="T115" s="1" t="e">
        <f t="shared" si="50"/>
        <v>#DIV/0!</v>
      </c>
      <c r="U115" s="1" t="e">
        <f t="shared" si="51"/>
        <v>#DIV/0!</v>
      </c>
      <c r="V115">
        <f t="shared" si="52"/>
        <v>851.48</v>
      </c>
      <c r="W115">
        <f t="shared" si="53"/>
        <v>0</v>
      </c>
      <c r="X115">
        <f t="shared" si="54"/>
        <v>0</v>
      </c>
      <c r="Y115">
        <f t="shared" si="55"/>
        <v>0</v>
      </c>
      <c r="Z115">
        <f t="shared" si="56"/>
        <v>0</v>
      </c>
      <c r="AA115">
        <f t="shared" si="57"/>
        <v>0</v>
      </c>
      <c r="AC115">
        <f t="shared" si="58"/>
        <v>1045.25</v>
      </c>
      <c r="AD115">
        <f t="shared" si="59"/>
        <v>0</v>
      </c>
      <c r="AE115">
        <f t="shared" si="60"/>
        <v>0</v>
      </c>
      <c r="AF115">
        <f t="shared" si="61"/>
        <v>0</v>
      </c>
      <c r="AG115">
        <f t="shared" si="62"/>
        <v>0</v>
      </c>
      <c r="AH115">
        <f t="shared" si="63"/>
        <v>0</v>
      </c>
      <c r="AJ115">
        <f t="shared" si="64"/>
        <v>1239.01</v>
      </c>
      <c r="AK115">
        <f t="shared" si="65"/>
        <v>0</v>
      </c>
      <c r="AL115">
        <f t="shared" si="66"/>
        <v>0</v>
      </c>
      <c r="AM115">
        <f t="shared" si="67"/>
        <v>0</v>
      </c>
      <c r="AN115">
        <f t="shared" si="68"/>
        <v>0</v>
      </c>
      <c r="AO115">
        <f t="shared" si="69"/>
        <v>0</v>
      </c>
    </row>
    <row r="116" spans="1:41" x14ac:dyDescent="0.45">
      <c r="A116">
        <v>21.266321340000001</v>
      </c>
      <c r="B116">
        <v>114.97596969999999</v>
      </c>
      <c r="C116">
        <v>1.2528669800000001</v>
      </c>
      <c r="D116">
        <v>61.88134384</v>
      </c>
      <c r="E116">
        <f t="shared" si="35"/>
        <v>1.2528669800000001</v>
      </c>
      <c r="F116">
        <f t="shared" si="36"/>
        <v>55.617008939999998</v>
      </c>
      <c r="G116">
        <f t="shared" si="37"/>
        <v>49.352674039999997</v>
      </c>
      <c r="H116">
        <f t="shared" si="38"/>
        <v>43.088339140000002</v>
      </c>
      <c r="I116">
        <f t="shared" si="39"/>
        <v>36.824004239999994</v>
      </c>
      <c r="J116">
        <f t="shared" si="40"/>
        <v>30.559669339999999</v>
      </c>
      <c r="K116" s="1">
        <f t="shared" si="41"/>
        <v>1.2528669800000001</v>
      </c>
      <c r="L116" s="1">
        <f t="shared" si="42"/>
        <v>1.2528669800000001</v>
      </c>
      <c r="M116" s="1">
        <f t="shared" si="43"/>
        <v>1.2528669800000001</v>
      </c>
      <c r="N116" s="1">
        <f t="shared" si="44"/>
        <v>1.2528669800000001</v>
      </c>
      <c r="O116" s="1">
        <f t="shared" si="45"/>
        <v>1.2528669800000001</v>
      </c>
      <c r="P116" s="1">
        <f t="shared" si="46"/>
        <v>1</v>
      </c>
      <c r="Q116" s="1">
        <f t="shared" si="47"/>
        <v>1</v>
      </c>
      <c r="R116" s="1">
        <f t="shared" si="48"/>
        <v>1</v>
      </c>
      <c r="S116" s="1">
        <f t="shared" si="49"/>
        <v>1</v>
      </c>
      <c r="T116" s="1">
        <f t="shared" si="50"/>
        <v>1</v>
      </c>
      <c r="U116" s="1">
        <f t="shared" si="51"/>
        <v>1.0249349936192733</v>
      </c>
      <c r="V116">
        <f t="shared" si="52"/>
        <v>71.48</v>
      </c>
      <c r="W116">
        <f t="shared" si="53"/>
        <v>76.489999999999995</v>
      </c>
      <c r="X116">
        <f t="shared" si="54"/>
        <v>52.14</v>
      </c>
      <c r="Y116">
        <f t="shared" si="55"/>
        <v>38.1</v>
      </c>
      <c r="Z116">
        <f t="shared" si="56"/>
        <v>32.120000000000005</v>
      </c>
      <c r="AA116">
        <f t="shared" si="57"/>
        <v>30.466362388337281</v>
      </c>
      <c r="AC116">
        <f t="shared" si="58"/>
        <v>85.25</v>
      </c>
      <c r="AD116">
        <f t="shared" si="59"/>
        <v>76.489999999999995</v>
      </c>
      <c r="AE116">
        <f t="shared" si="60"/>
        <v>64.17</v>
      </c>
      <c r="AF116">
        <f t="shared" si="61"/>
        <v>49.84</v>
      </c>
      <c r="AG116">
        <f t="shared" si="62"/>
        <v>48.34</v>
      </c>
      <c r="AH116">
        <f t="shared" si="63"/>
        <v>41.983374840481829</v>
      </c>
      <c r="AJ116">
        <f t="shared" si="64"/>
        <v>99.009999999999991</v>
      </c>
      <c r="AK116">
        <f t="shared" si="65"/>
        <v>90.94</v>
      </c>
      <c r="AL116">
        <f t="shared" si="66"/>
        <v>78.7</v>
      </c>
      <c r="AM116">
        <f t="shared" si="67"/>
        <v>67.430000000000007</v>
      </c>
      <c r="AN116">
        <f t="shared" si="68"/>
        <v>62.56</v>
      </c>
      <c r="AO116">
        <f t="shared" si="69"/>
        <v>56.062724776674571</v>
      </c>
    </row>
    <row r="117" spans="1:41" x14ac:dyDescent="0.45">
      <c r="A117">
        <v>21.28127173</v>
      </c>
      <c r="B117">
        <v>115.3115439</v>
      </c>
      <c r="C117">
        <v>0.60637998999999998</v>
      </c>
      <c r="D117">
        <v>0.73458396999999998</v>
      </c>
      <c r="E117">
        <f t="shared" si="35"/>
        <v>0.60637998999999998</v>
      </c>
      <c r="F117">
        <f t="shared" si="36"/>
        <v>0</v>
      </c>
      <c r="G117">
        <f t="shared" si="37"/>
        <v>0</v>
      </c>
      <c r="H117">
        <f t="shared" si="38"/>
        <v>0</v>
      </c>
      <c r="I117">
        <f t="shared" si="39"/>
        <v>0</v>
      </c>
      <c r="J117">
        <f t="shared" si="40"/>
        <v>0</v>
      </c>
      <c r="K117" s="1">
        <f t="shared" si="41"/>
        <v>0</v>
      </c>
      <c r="L117" s="1">
        <f t="shared" si="42"/>
        <v>0</v>
      </c>
      <c r="M117" s="1">
        <f t="shared" si="43"/>
        <v>0</v>
      </c>
      <c r="N117" s="1">
        <f t="shared" si="44"/>
        <v>0</v>
      </c>
      <c r="O117" s="1">
        <f t="shared" si="45"/>
        <v>0</v>
      </c>
      <c r="P117" s="1">
        <f t="shared" si="46"/>
        <v>20.636850746960896</v>
      </c>
      <c r="Q117" s="1" t="e">
        <f t="shared" si="47"/>
        <v>#DIV/0!</v>
      </c>
      <c r="R117" s="1" t="e">
        <f t="shared" si="48"/>
        <v>#DIV/0!</v>
      </c>
      <c r="S117" s="1" t="e">
        <f t="shared" si="49"/>
        <v>#DIV/0!</v>
      </c>
      <c r="T117" s="1" t="e">
        <f t="shared" si="50"/>
        <v>#DIV/0!</v>
      </c>
      <c r="U117" s="1" t="e">
        <f t="shared" si="51"/>
        <v>#DIV/0!</v>
      </c>
      <c r="V117">
        <f t="shared" si="52"/>
        <v>709.67764927622909</v>
      </c>
      <c r="W117">
        <f t="shared" si="53"/>
        <v>0</v>
      </c>
      <c r="X117">
        <f t="shared" si="54"/>
        <v>0</v>
      </c>
      <c r="Y117">
        <f t="shared" si="55"/>
        <v>0</v>
      </c>
      <c r="Z117">
        <f t="shared" si="56"/>
        <v>0</v>
      </c>
      <c r="AA117">
        <f t="shared" si="57"/>
        <v>0</v>
      </c>
      <c r="AC117">
        <f t="shared" si="58"/>
        <v>870.72402987843589</v>
      </c>
      <c r="AD117">
        <f t="shared" si="59"/>
        <v>0</v>
      </c>
      <c r="AE117">
        <f t="shared" si="60"/>
        <v>0</v>
      </c>
      <c r="AF117">
        <f t="shared" si="61"/>
        <v>0</v>
      </c>
      <c r="AG117">
        <f t="shared" si="62"/>
        <v>0</v>
      </c>
      <c r="AH117">
        <f t="shared" si="63"/>
        <v>0</v>
      </c>
      <c r="AJ117">
        <f t="shared" si="64"/>
        <v>1031.7604104806426</v>
      </c>
      <c r="AK117">
        <f t="shared" si="65"/>
        <v>0</v>
      </c>
      <c r="AL117">
        <f t="shared" si="66"/>
        <v>0</v>
      </c>
      <c r="AM117">
        <f t="shared" si="67"/>
        <v>0</v>
      </c>
      <c r="AN117">
        <f t="shared" si="68"/>
        <v>0</v>
      </c>
      <c r="AO117">
        <f t="shared" si="69"/>
        <v>0</v>
      </c>
    </row>
    <row r="118" spans="1:41" x14ac:dyDescent="0.45">
      <c r="A118">
        <v>21.298197590000001</v>
      </c>
      <c r="B118">
        <v>115.1223268</v>
      </c>
      <c r="C118">
        <v>1.89791906</v>
      </c>
      <c r="D118">
        <v>8.0045146900000006</v>
      </c>
      <c r="E118">
        <f t="shared" si="35"/>
        <v>1.89791906</v>
      </c>
      <c r="F118">
        <f t="shared" si="36"/>
        <v>0</v>
      </c>
      <c r="G118">
        <f t="shared" si="37"/>
        <v>0</v>
      </c>
      <c r="H118">
        <f t="shared" si="38"/>
        <v>0</v>
      </c>
      <c r="I118">
        <f t="shared" si="39"/>
        <v>0</v>
      </c>
      <c r="J118">
        <f t="shared" si="40"/>
        <v>0</v>
      </c>
      <c r="K118" s="1">
        <f t="shared" si="41"/>
        <v>0</v>
      </c>
      <c r="L118" s="1">
        <f t="shared" si="42"/>
        <v>0</v>
      </c>
      <c r="M118" s="1">
        <f t="shared" si="43"/>
        <v>0</v>
      </c>
      <c r="N118" s="1">
        <f t="shared" si="44"/>
        <v>0</v>
      </c>
      <c r="O118" s="1">
        <f t="shared" si="45"/>
        <v>0</v>
      </c>
      <c r="P118" s="1">
        <f t="shared" si="46"/>
        <v>5.9276518736703077</v>
      </c>
      <c r="Q118" s="1" t="e">
        <f t="shared" si="47"/>
        <v>#DIV/0!</v>
      </c>
      <c r="R118" s="1" t="e">
        <f t="shared" si="48"/>
        <v>#DIV/0!</v>
      </c>
      <c r="S118" s="1" t="e">
        <f t="shared" si="49"/>
        <v>#DIV/0!</v>
      </c>
      <c r="T118" s="1" t="e">
        <f t="shared" si="50"/>
        <v>#DIV/0!</v>
      </c>
      <c r="U118" s="1" t="e">
        <f t="shared" si="51"/>
        <v>#DIV/0!</v>
      </c>
      <c r="V118">
        <f t="shared" si="52"/>
        <v>231.62868589428501</v>
      </c>
      <c r="W118">
        <f t="shared" si="53"/>
        <v>0</v>
      </c>
      <c r="X118">
        <f t="shared" si="54"/>
        <v>0</v>
      </c>
      <c r="Y118">
        <f t="shared" si="55"/>
        <v>0</v>
      </c>
      <c r="Z118">
        <f t="shared" si="56"/>
        <v>0</v>
      </c>
      <c r="AA118">
        <f t="shared" si="57"/>
        <v>0</v>
      </c>
      <c r="AC118">
        <f t="shared" si="58"/>
        <v>282.35607494681233</v>
      </c>
      <c r="AD118">
        <f t="shared" si="59"/>
        <v>0</v>
      </c>
      <c r="AE118">
        <f t="shared" si="60"/>
        <v>0</v>
      </c>
      <c r="AF118">
        <f t="shared" si="61"/>
        <v>0</v>
      </c>
      <c r="AG118">
        <f t="shared" si="62"/>
        <v>0</v>
      </c>
      <c r="AH118">
        <f t="shared" si="63"/>
        <v>0</v>
      </c>
      <c r="AJ118">
        <f t="shared" si="64"/>
        <v>333.07346399933959</v>
      </c>
      <c r="AK118">
        <f t="shared" si="65"/>
        <v>0</v>
      </c>
      <c r="AL118">
        <f t="shared" si="66"/>
        <v>0</v>
      </c>
      <c r="AM118">
        <f t="shared" si="67"/>
        <v>0</v>
      </c>
      <c r="AN118">
        <f t="shared" si="68"/>
        <v>0</v>
      </c>
      <c r="AO118">
        <f t="shared" si="69"/>
        <v>0</v>
      </c>
    </row>
    <row r="119" spans="1:41" x14ac:dyDescent="0.45">
      <c r="A119">
        <v>21.302375099999999</v>
      </c>
      <c r="B119">
        <v>115.0750115</v>
      </c>
      <c r="C119">
        <v>1.88256001</v>
      </c>
      <c r="D119">
        <v>0.97944498000000002</v>
      </c>
      <c r="E119">
        <f t="shared" si="35"/>
        <v>0.97944498000000002</v>
      </c>
      <c r="F119">
        <f t="shared" si="36"/>
        <v>0</v>
      </c>
      <c r="G119">
        <f t="shared" si="37"/>
        <v>0</v>
      </c>
      <c r="H119">
        <f t="shared" si="38"/>
        <v>0</v>
      </c>
      <c r="I119">
        <f t="shared" si="39"/>
        <v>0</v>
      </c>
      <c r="J119">
        <f t="shared" si="40"/>
        <v>0</v>
      </c>
      <c r="K119" s="1">
        <f t="shared" si="41"/>
        <v>0</v>
      </c>
      <c r="L119" s="1">
        <f t="shared" si="42"/>
        <v>0</v>
      </c>
      <c r="M119" s="1">
        <f t="shared" si="43"/>
        <v>0</v>
      </c>
      <c r="N119" s="1">
        <f t="shared" si="44"/>
        <v>0</v>
      </c>
      <c r="O119" s="1">
        <f t="shared" si="45"/>
        <v>0</v>
      </c>
      <c r="P119" s="1">
        <f t="shared" si="46"/>
        <v>25</v>
      </c>
      <c r="Q119" s="1" t="e">
        <f t="shared" si="47"/>
        <v>#DIV/0!</v>
      </c>
      <c r="R119" s="1" t="e">
        <f t="shared" si="48"/>
        <v>#DIV/0!</v>
      </c>
      <c r="S119" s="1" t="e">
        <f t="shared" si="49"/>
        <v>#DIV/0!</v>
      </c>
      <c r="T119" s="1" t="e">
        <f t="shared" si="50"/>
        <v>#DIV/0!</v>
      </c>
      <c r="U119" s="1" t="e">
        <f t="shared" si="51"/>
        <v>#DIV/0!</v>
      </c>
      <c r="V119">
        <f t="shared" si="52"/>
        <v>851.48</v>
      </c>
      <c r="W119">
        <f t="shared" si="53"/>
        <v>0</v>
      </c>
      <c r="X119">
        <f t="shared" si="54"/>
        <v>0</v>
      </c>
      <c r="Y119">
        <f t="shared" si="55"/>
        <v>0</v>
      </c>
      <c r="Z119">
        <f t="shared" si="56"/>
        <v>0</v>
      </c>
      <c r="AA119">
        <f t="shared" si="57"/>
        <v>0</v>
      </c>
      <c r="AC119">
        <f t="shared" si="58"/>
        <v>1045.25</v>
      </c>
      <c r="AD119">
        <f t="shared" si="59"/>
        <v>0</v>
      </c>
      <c r="AE119">
        <f t="shared" si="60"/>
        <v>0</v>
      </c>
      <c r="AF119">
        <f t="shared" si="61"/>
        <v>0</v>
      </c>
      <c r="AG119">
        <f t="shared" si="62"/>
        <v>0</v>
      </c>
      <c r="AH119">
        <f t="shared" si="63"/>
        <v>0</v>
      </c>
      <c r="AJ119">
        <f t="shared" si="64"/>
        <v>1239.01</v>
      </c>
      <c r="AK119">
        <f t="shared" si="65"/>
        <v>0</v>
      </c>
      <c r="AL119">
        <f t="shared" si="66"/>
        <v>0</v>
      </c>
      <c r="AM119">
        <f t="shared" si="67"/>
        <v>0</v>
      </c>
      <c r="AN119">
        <f t="shared" si="68"/>
        <v>0</v>
      </c>
      <c r="AO119">
        <f t="shared" si="69"/>
        <v>0</v>
      </c>
    </row>
    <row r="120" spans="1:41" x14ac:dyDescent="0.45">
      <c r="A120">
        <v>21.308321360000001</v>
      </c>
      <c r="B120">
        <v>115.5053442</v>
      </c>
      <c r="C120">
        <v>0.42741900999999999</v>
      </c>
      <c r="D120">
        <v>3.6729190300000001</v>
      </c>
      <c r="E120">
        <f t="shared" si="35"/>
        <v>0.42741900999999999</v>
      </c>
      <c r="F120">
        <f t="shared" si="36"/>
        <v>1.53582398</v>
      </c>
      <c r="G120">
        <f t="shared" si="37"/>
        <v>0</v>
      </c>
      <c r="H120">
        <f t="shared" si="38"/>
        <v>0</v>
      </c>
      <c r="I120">
        <f t="shared" si="39"/>
        <v>0</v>
      </c>
      <c r="J120">
        <f t="shared" si="40"/>
        <v>0</v>
      </c>
      <c r="K120" s="1">
        <f t="shared" si="41"/>
        <v>0.42741900999999999</v>
      </c>
      <c r="L120" s="1">
        <f t="shared" si="42"/>
        <v>0</v>
      </c>
      <c r="M120" s="1">
        <f t="shared" si="43"/>
        <v>0</v>
      </c>
      <c r="N120" s="1">
        <f t="shared" si="44"/>
        <v>0</v>
      </c>
      <c r="O120" s="1">
        <f t="shared" si="45"/>
        <v>0</v>
      </c>
      <c r="P120" s="1">
        <f t="shared" si="46"/>
        <v>2.9092596822097652</v>
      </c>
      <c r="Q120" s="1">
        <f t="shared" si="47"/>
        <v>6.9574869185204413</v>
      </c>
      <c r="R120" s="1" t="e">
        <f t="shared" si="48"/>
        <v>#DIV/0!</v>
      </c>
      <c r="S120" s="1" t="e">
        <f t="shared" si="49"/>
        <v>#DIV/0!</v>
      </c>
      <c r="T120" s="1" t="e">
        <f t="shared" si="50"/>
        <v>#DIV/0!</v>
      </c>
      <c r="U120" s="1" t="e">
        <f t="shared" si="51"/>
        <v>#DIV/0!</v>
      </c>
      <c r="V120">
        <f t="shared" si="52"/>
        <v>133.53093967181738</v>
      </c>
      <c r="W120">
        <f t="shared" si="53"/>
        <v>299.89575944451656</v>
      </c>
      <c r="X120">
        <f t="shared" si="54"/>
        <v>0</v>
      </c>
      <c r="Y120">
        <f t="shared" si="55"/>
        <v>0</v>
      </c>
      <c r="Z120">
        <f t="shared" si="56"/>
        <v>0</v>
      </c>
      <c r="AA120">
        <f t="shared" si="57"/>
        <v>0</v>
      </c>
      <c r="AC120">
        <f t="shared" si="58"/>
        <v>161.62038728839059</v>
      </c>
      <c r="AD120">
        <f t="shared" si="59"/>
        <v>299.89575944451656</v>
      </c>
      <c r="AE120">
        <f t="shared" si="60"/>
        <v>0</v>
      </c>
      <c r="AF120">
        <f t="shared" si="61"/>
        <v>0</v>
      </c>
      <c r="AG120">
        <f t="shared" si="62"/>
        <v>0</v>
      </c>
      <c r="AH120">
        <f t="shared" si="63"/>
        <v>0</v>
      </c>
      <c r="AJ120">
        <f t="shared" si="64"/>
        <v>189.69983490496384</v>
      </c>
      <c r="AK120">
        <f t="shared" si="65"/>
        <v>359.02691133341983</v>
      </c>
      <c r="AL120">
        <f t="shared" si="66"/>
        <v>0</v>
      </c>
      <c r="AM120">
        <f t="shared" si="67"/>
        <v>0</v>
      </c>
      <c r="AN120">
        <f t="shared" si="68"/>
        <v>0</v>
      </c>
      <c r="AO120">
        <f t="shared" si="69"/>
        <v>0</v>
      </c>
    </row>
    <row r="121" spans="1:41" x14ac:dyDescent="0.45">
      <c r="A121">
        <v>21.312674359999999</v>
      </c>
      <c r="B121">
        <v>115.4580416</v>
      </c>
      <c r="C121">
        <v>1.05698705</v>
      </c>
      <c r="D121">
        <v>0.58766699</v>
      </c>
      <c r="E121">
        <f t="shared" si="35"/>
        <v>0.58766699</v>
      </c>
      <c r="F121">
        <f t="shared" si="36"/>
        <v>0</v>
      </c>
      <c r="G121">
        <f t="shared" si="37"/>
        <v>0</v>
      </c>
      <c r="H121">
        <f t="shared" si="38"/>
        <v>0</v>
      </c>
      <c r="I121">
        <f t="shared" si="39"/>
        <v>0</v>
      </c>
      <c r="J121">
        <f t="shared" si="40"/>
        <v>0</v>
      </c>
      <c r="K121" s="1">
        <f t="shared" si="41"/>
        <v>0</v>
      </c>
      <c r="L121" s="1">
        <f t="shared" si="42"/>
        <v>0</v>
      </c>
      <c r="M121" s="1">
        <f t="shared" si="43"/>
        <v>0</v>
      </c>
      <c r="N121" s="1">
        <f t="shared" si="44"/>
        <v>0</v>
      </c>
      <c r="O121" s="1">
        <f t="shared" si="45"/>
        <v>0</v>
      </c>
      <c r="P121" s="1">
        <f t="shared" si="46"/>
        <v>25</v>
      </c>
      <c r="Q121" s="1" t="e">
        <f t="shared" si="47"/>
        <v>#DIV/0!</v>
      </c>
      <c r="R121" s="1" t="e">
        <f t="shared" si="48"/>
        <v>#DIV/0!</v>
      </c>
      <c r="S121" s="1" t="e">
        <f t="shared" si="49"/>
        <v>#DIV/0!</v>
      </c>
      <c r="T121" s="1" t="e">
        <f t="shared" si="50"/>
        <v>#DIV/0!</v>
      </c>
      <c r="U121" s="1" t="e">
        <f t="shared" si="51"/>
        <v>#DIV/0!</v>
      </c>
      <c r="V121">
        <f t="shared" si="52"/>
        <v>851.48</v>
      </c>
      <c r="W121">
        <f t="shared" si="53"/>
        <v>0</v>
      </c>
      <c r="X121">
        <f t="shared" si="54"/>
        <v>0</v>
      </c>
      <c r="Y121">
        <f t="shared" si="55"/>
        <v>0</v>
      </c>
      <c r="Z121">
        <f t="shared" si="56"/>
        <v>0</v>
      </c>
      <c r="AA121">
        <f t="shared" si="57"/>
        <v>0</v>
      </c>
      <c r="AC121">
        <f t="shared" si="58"/>
        <v>1045.25</v>
      </c>
      <c r="AD121">
        <f t="shared" si="59"/>
        <v>0</v>
      </c>
      <c r="AE121">
        <f t="shared" si="60"/>
        <v>0</v>
      </c>
      <c r="AF121">
        <f t="shared" si="61"/>
        <v>0</v>
      </c>
      <c r="AG121">
        <f t="shared" si="62"/>
        <v>0</v>
      </c>
      <c r="AH121">
        <f t="shared" si="63"/>
        <v>0</v>
      </c>
      <c r="AJ121">
        <f t="shared" si="64"/>
        <v>1239.01</v>
      </c>
      <c r="AK121">
        <f t="shared" si="65"/>
        <v>0</v>
      </c>
      <c r="AL121">
        <f t="shared" si="66"/>
        <v>0</v>
      </c>
      <c r="AM121">
        <f t="shared" si="67"/>
        <v>0</v>
      </c>
      <c r="AN121">
        <f t="shared" si="68"/>
        <v>0</v>
      </c>
      <c r="AO121">
        <f t="shared" si="69"/>
        <v>0</v>
      </c>
    </row>
    <row r="122" spans="1:41" x14ac:dyDescent="0.45">
      <c r="A122">
        <v>21.331012919999999</v>
      </c>
      <c r="B122">
        <v>114.74368440000001</v>
      </c>
      <c r="C122">
        <v>0.95891702000000001</v>
      </c>
      <c r="D122">
        <v>18.320520399999999</v>
      </c>
      <c r="E122">
        <f t="shared" si="35"/>
        <v>0.95891702000000001</v>
      </c>
      <c r="F122">
        <f t="shared" si="36"/>
        <v>13.5259353</v>
      </c>
      <c r="G122">
        <f t="shared" si="37"/>
        <v>8.7313501999999996</v>
      </c>
      <c r="H122">
        <f t="shared" si="38"/>
        <v>3.9367650999999988</v>
      </c>
      <c r="I122">
        <f t="shared" si="39"/>
        <v>0</v>
      </c>
      <c r="J122">
        <f t="shared" si="40"/>
        <v>0</v>
      </c>
      <c r="K122" s="1">
        <f t="shared" si="41"/>
        <v>0.95891702000000001</v>
      </c>
      <c r="L122" s="1">
        <f t="shared" si="42"/>
        <v>0.95891702000000001</v>
      </c>
      <c r="M122" s="1">
        <f t="shared" si="43"/>
        <v>0.95891702000000001</v>
      </c>
      <c r="N122" s="1">
        <f t="shared" si="44"/>
        <v>0</v>
      </c>
      <c r="O122" s="1">
        <f t="shared" si="45"/>
        <v>0</v>
      </c>
      <c r="P122" s="1">
        <f t="shared" si="46"/>
        <v>1.3085286321888541</v>
      </c>
      <c r="Q122" s="1">
        <f t="shared" si="47"/>
        <v>1.7723673053500411</v>
      </c>
      <c r="R122" s="1">
        <f t="shared" si="48"/>
        <v>2.7456149336445126</v>
      </c>
      <c r="S122" s="1">
        <f t="shared" si="49"/>
        <v>6.0894985834943531</v>
      </c>
      <c r="T122" s="1" t="e">
        <f t="shared" si="50"/>
        <v>#DIV/0!</v>
      </c>
      <c r="U122" s="1" t="e">
        <f t="shared" si="51"/>
        <v>#DIV/0!</v>
      </c>
      <c r="V122">
        <f t="shared" si="52"/>
        <v>81.507180546137761</v>
      </c>
      <c r="W122">
        <f t="shared" si="53"/>
        <v>105.45377395062654</v>
      </c>
      <c r="X122">
        <f t="shared" si="54"/>
        <v>179.37746458735882</v>
      </c>
      <c r="Y122">
        <f t="shared" si="55"/>
        <v>139.88997166988707</v>
      </c>
      <c r="Z122">
        <f t="shared" si="56"/>
        <v>0</v>
      </c>
      <c r="AA122">
        <f t="shared" si="57"/>
        <v>0</v>
      </c>
      <c r="AC122">
        <f t="shared" si="58"/>
        <v>97.591145287554156</v>
      </c>
      <c r="AD122">
        <f t="shared" si="59"/>
        <v>105.45377395062654</v>
      </c>
      <c r="AE122">
        <f t="shared" si="60"/>
        <v>120.90248534344666</v>
      </c>
      <c r="AF122">
        <f t="shared" si="61"/>
        <v>202.52495750483061</v>
      </c>
      <c r="AG122">
        <f t="shared" si="62"/>
        <v>0</v>
      </c>
      <c r="AH122">
        <f t="shared" si="63"/>
        <v>0</v>
      </c>
      <c r="AJ122">
        <f t="shared" si="64"/>
        <v>113.66511002897056</v>
      </c>
      <c r="AK122">
        <f t="shared" si="65"/>
        <v>125.69652874075184</v>
      </c>
      <c r="AL122">
        <f t="shared" si="66"/>
        <v>152.88863467989179</v>
      </c>
      <c r="AM122">
        <f t="shared" si="67"/>
        <v>258.28619688103822</v>
      </c>
      <c r="AN122">
        <f t="shared" si="68"/>
        <v>0</v>
      </c>
      <c r="AO122">
        <f t="shared" si="69"/>
        <v>0</v>
      </c>
    </row>
    <row r="123" spans="1:41" x14ac:dyDescent="0.45">
      <c r="A123">
        <v>21.342541149999999</v>
      </c>
      <c r="B123">
        <v>115.1267981</v>
      </c>
      <c r="C123">
        <v>1.5162529899999999</v>
      </c>
      <c r="D123">
        <v>0.49462</v>
      </c>
      <c r="E123">
        <f t="shared" si="35"/>
        <v>0.49462</v>
      </c>
      <c r="F123">
        <f t="shared" si="36"/>
        <v>0</v>
      </c>
      <c r="G123">
        <f t="shared" si="37"/>
        <v>0</v>
      </c>
      <c r="H123">
        <f t="shared" si="38"/>
        <v>0</v>
      </c>
      <c r="I123">
        <f t="shared" si="39"/>
        <v>0</v>
      </c>
      <c r="J123">
        <f t="shared" si="40"/>
        <v>0</v>
      </c>
      <c r="K123" s="1">
        <f t="shared" si="41"/>
        <v>0</v>
      </c>
      <c r="L123" s="1">
        <f t="shared" si="42"/>
        <v>0</v>
      </c>
      <c r="M123" s="1">
        <f t="shared" si="43"/>
        <v>0</v>
      </c>
      <c r="N123" s="1">
        <f t="shared" si="44"/>
        <v>0</v>
      </c>
      <c r="O123" s="1">
        <f t="shared" si="45"/>
        <v>0</v>
      </c>
      <c r="P123" s="1">
        <f t="shared" si="46"/>
        <v>25</v>
      </c>
      <c r="Q123" s="1" t="e">
        <f t="shared" si="47"/>
        <v>#DIV/0!</v>
      </c>
      <c r="R123" s="1" t="e">
        <f t="shared" si="48"/>
        <v>#DIV/0!</v>
      </c>
      <c r="S123" s="1" t="e">
        <f t="shared" si="49"/>
        <v>#DIV/0!</v>
      </c>
      <c r="T123" s="1" t="e">
        <f t="shared" si="50"/>
        <v>#DIV/0!</v>
      </c>
      <c r="U123" s="1" t="e">
        <f t="shared" si="51"/>
        <v>#DIV/0!</v>
      </c>
      <c r="V123">
        <f t="shared" si="52"/>
        <v>851.48</v>
      </c>
      <c r="W123">
        <f t="shared" si="53"/>
        <v>0</v>
      </c>
      <c r="X123">
        <f t="shared" si="54"/>
        <v>0</v>
      </c>
      <c r="Y123">
        <f t="shared" si="55"/>
        <v>0</v>
      </c>
      <c r="Z123">
        <f t="shared" si="56"/>
        <v>0</v>
      </c>
      <c r="AA123">
        <f t="shared" si="57"/>
        <v>0</v>
      </c>
      <c r="AC123">
        <f t="shared" si="58"/>
        <v>1045.25</v>
      </c>
      <c r="AD123">
        <f t="shared" si="59"/>
        <v>0</v>
      </c>
      <c r="AE123">
        <f t="shared" si="60"/>
        <v>0</v>
      </c>
      <c r="AF123">
        <f t="shared" si="61"/>
        <v>0</v>
      </c>
      <c r="AG123">
        <f t="shared" si="62"/>
        <v>0</v>
      </c>
      <c r="AH123">
        <f t="shared" si="63"/>
        <v>0</v>
      </c>
      <c r="AJ123">
        <f t="shared" si="64"/>
        <v>1239.01</v>
      </c>
      <c r="AK123">
        <f t="shared" si="65"/>
        <v>0</v>
      </c>
      <c r="AL123">
        <f t="shared" si="66"/>
        <v>0</v>
      </c>
      <c r="AM123">
        <f t="shared" si="67"/>
        <v>0</v>
      </c>
      <c r="AN123">
        <f t="shared" si="68"/>
        <v>0</v>
      </c>
      <c r="AO123">
        <f t="shared" si="69"/>
        <v>0</v>
      </c>
    </row>
    <row r="124" spans="1:41" x14ac:dyDescent="0.45">
      <c r="A124">
        <v>21.346721469999999</v>
      </c>
      <c r="B124">
        <v>115.07946</v>
      </c>
      <c r="C124">
        <v>1.47978199</v>
      </c>
      <c r="D124">
        <v>0.36729199000000001</v>
      </c>
      <c r="E124">
        <f t="shared" si="35"/>
        <v>0.36729199000000001</v>
      </c>
      <c r="F124">
        <f t="shared" si="36"/>
        <v>0</v>
      </c>
      <c r="G124">
        <f t="shared" si="37"/>
        <v>0</v>
      </c>
      <c r="H124">
        <f t="shared" si="38"/>
        <v>0</v>
      </c>
      <c r="I124">
        <f t="shared" si="39"/>
        <v>0</v>
      </c>
      <c r="J124">
        <f t="shared" si="40"/>
        <v>0</v>
      </c>
      <c r="K124" s="1">
        <f t="shared" si="41"/>
        <v>0</v>
      </c>
      <c r="L124" s="1">
        <f t="shared" si="42"/>
        <v>0</v>
      </c>
      <c r="M124" s="1">
        <f t="shared" si="43"/>
        <v>0</v>
      </c>
      <c r="N124" s="1">
        <f t="shared" si="44"/>
        <v>0</v>
      </c>
      <c r="O124" s="1">
        <f t="shared" si="45"/>
        <v>0</v>
      </c>
      <c r="P124" s="1">
        <f t="shared" si="46"/>
        <v>25</v>
      </c>
      <c r="Q124" s="1" t="e">
        <f t="shared" si="47"/>
        <v>#DIV/0!</v>
      </c>
      <c r="R124" s="1" t="e">
        <f t="shared" si="48"/>
        <v>#DIV/0!</v>
      </c>
      <c r="S124" s="1" t="e">
        <f t="shared" si="49"/>
        <v>#DIV/0!</v>
      </c>
      <c r="T124" s="1" t="e">
        <f t="shared" si="50"/>
        <v>#DIV/0!</v>
      </c>
      <c r="U124" s="1" t="e">
        <f t="shared" si="51"/>
        <v>#DIV/0!</v>
      </c>
      <c r="V124">
        <f t="shared" si="52"/>
        <v>851.48</v>
      </c>
      <c r="W124">
        <f t="shared" si="53"/>
        <v>0</v>
      </c>
      <c r="X124">
        <f t="shared" si="54"/>
        <v>0</v>
      </c>
      <c r="Y124">
        <f t="shared" si="55"/>
        <v>0</v>
      </c>
      <c r="Z124">
        <f t="shared" si="56"/>
        <v>0</v>
      </c>
      <c r="AA124">
        <f t="shared" si="57"/>
        <v>0</v>
      </c>
      <c r="AC124">
        <f t="shared" si="58"/>
        <v>1045.25</v>
      </c>
      <c r="AD124">
        <f t="shared" si="59"/>
        <v>0</v>
      </c>
      <c r="AE124">
        <f t="shared" si="60"/>
        <v>0</v>
      </c>
      <c r="AF124">
        <f t="shared" si="61"/>
        <v>0</v>
      </c>
      <c r="AG124">
        <f t="shared" si="62"/>
        <v>0</v>
      </c>
      <c r="AH124">
        <f t="shared" si="63"/>
        <v>0</v>
      </c>
      <c r="AJ124">
        <f t="shared" si="64"/>
        <v>1239.01</v>
      </c>
      <c r="AK124">
        <f t="shared" si="65"/>
        <v>0</v>
      </c>
      <c r="AL124">
        <f t="shared" si="66"/>
        <v>0</v>
      </c>
      <c r="AM124">
        <f t="shared" si="67"/>
        <v>0</v>
      </c>
      <c r="AN124">
        <f t="shared" si="68"/>
        <v>0</v>
      </c>
      <c r="AO124">
        <f t="shared" si="69"/>
        <v>0</v>
      </c>
    </row>
    <row r="125" spans="1:41" x14ac:dyDescent="0.45">
      <c r="A125">
        <v>21.350880180000001</v>
      </c>
      <c r="B125">
        <v>115.0321174</v>
      </c>
      <c r="C125">
        <v>1.62173295</v>
      </c>
      <c r="D125">
        <v>5.1420869800000002</v>
      </c>
      <c r="E125">
        <f t="shared" si="35"/>
        <v>1.62173295</v>
      </c>
      <c r="F125">
        <f t="shared" si="36"/>
        <v>0</v>
      </c>
      <c r="G125">
        <f t="shared" si="37"/>
        <v>0</v>
      </c>
      <c r="H125">
        <f t="shared" si="38"/>
        <v>0</v>
      </c>
      <c r="I125">
        <f t="shared" si="39"/>
        <v>0</v>
      </c>
      <c r="J125">
        <f t="shared" si="40"/>
        <v>0</v>
      </c>
      <c r="K125" s="1">
        <f t="shared" si="41"/>
        <v>0</v>
      </c>
      <c r="L125" s="1">
        <f t="shared" si="42"/>
        <v>0</v>
      </c>
      <c r="M125" s="1">
        <f t="shared" si="43"/>
        <v>0</v>
      </c>
      <c r="N125" s="1">
        <f t="shared" si="44"/>
        <v>0</v>
      </c>
      <c r="O125" s="1">
        <f t="shared" si="45"/>
        <v>0</v>
      </c>
      <c r="P125" s="1">
        <f t="shared" si="46"/>
        <v>7.8846048127330581</v>
      </c>
      <c r="Q125" s="1" t="e">
        <f t="shared" si="47"/>
        <v>#DIV/0!</v>
      </c>
      <c r="R125" s="1" t="e">
        <f t="shared" si="48"/>
        <v>#DIV/0!</v>
      </c>
      <c r="S125" s="1" t="e">
        <f t="shared" si="49"/>
        <v>#DIV/0!</v>
      </c>
      <c r="T125" s="1" t="e">
        <f t="shared" si="50"/>
        <v>#DIV/0!</v>
      </c>
      <c r="U125" s="1" t="e">
        <f t="shared" si="51"/>
        <v>#DIV/0!</v>
      </c>
      <c r="V125">
        <f t="shared" si="52"/>
        <v>295.22965641382439</v>
      </c>
      <c r="W125">
        <f t="shared" si="53"/>
        <v>0</v>
      </c>
      <c r="X125">
        <f t="shared" si="54"/>
        <v>0</v>
      </c>
      <c r="Y125">
        <f t="shared" si="55"/>
        <v>0</v>
      </c>
      <c r="Z125">
        <f t="shared" si="56"/>
        <v>0</v>
      </c>
      <c r="AA125">
        <f t="shared" si="57"/>
        <v>0</v>
      </c>
      <c r="AC125">
        <f t="shared" si="58"/>
        <v>360.6341925093223</v>
      </c>
      <c r="AD125">
        <f t="shared" si="59"/>
        <v>0</v>
      </c>
      <c r="AE125">
        <f t="shared" si="60"/>
        <v>0</v>
      </c>
      <c r="AF125">
        <f t="shared" si="61"/>
        <v>0</v>
      </c>
      <c r="AG125">
        <f t="shared" si="62"/>
        <v>0</v>
      </c>
      <c r="AH125">
        <f t="shared" si="63"/>
        <v>0</v>
      </c>
      <c r="AJ125">
        <f t="shared" si="64"/>
        <v>426.02872860482023</v>
      </c>
      <c r="AK125">
        <f t="shared" si="65"/>
        <v>0</v>
      </c>
      <c r="AL125">
        <f t="shared" si="66"/>
        <v>0</v>
      </c>
      <c r="AM125">
        <f t="shared" si="67"/>
        <v>0</v>
      </c>
      <c r="AN125">
        <f t="shared" si="68"/>
        <v>0</v>
      </c>
      <c r="AO125">
        <f t="shared" si="69"/>
        <v>0</v>
      </c>
    </row>
    <row r="126" spans="1:41" x14ac:dyDescent="0.45">
      <c r="A126">
        <v>21.355017289999999</v>
      </c>
      <c r="B126">
        <v>114.9847706</v>
      </c>
      <c r="C126">
        <v>1.3230379800000001</v>
      </c>
      <c r="D126">
        <v>17.353319169999999</v>
      </c>
      <c r="E126">
        <f t="shared" si="35"/>
        <v>1.3230379800000001</v>
      </c>
      <c r="F126">
        <f t="shared" si="36"/>
        <v>10.738129269999998</v>
      </c>
      <c r="G126">
        <f t="shared" si="37"/>
        <v>4.1229393699999974</v>
      </c>
      <c r="H126">
        <f t="shared" si="38"/>
        <v>0</v>
      </c>
      <c r="I126">
        <f t="shared" si="39"/>
        <v>0</v>
      </c>
      <c r="J126">
        <f t="shared" si="40"/>
        <v>0</v>
      </c>
      <c r="K126" s="1">
        <f t="shared" si="41"/>
        <v>1.3230379800000001</v>
      </c>
      <c r="L126" s="1">
        <f t="shared" si="42"/>
        <v>1.3230379800000001</v>
      </c>
      <c r="M126" s="1">
        <f t="shared" si="43"/>
        <v>0</v>
      </c>
      <c r="N126" s="1">
        <f t="shared" si="44"/>
        <v>0</v>
      </c>
      <c r="O126" s="1">
        <f t="shared" si="45"/>
        <v>0</v>
      </c>
      <c r="P126" s="1">
        <f t="shared" si="46"/>
        <v>1.9060301476607948</v>
      </c>
      <c r="Q126" s="1">
        <f t="shared" si="47"/>
        <v>3.0802338720587974</v>
      </c>
      <c r="R126" s="1">
        <f t="shared" si="48"/>
        <v>8.0224195729562773</v>
      </c>
      <c r="S126" s="1" t="e">
        <f t="shared" si="49"/>
        <v>#DIV/0!</v>
      </c>
      <c r="T126" s="1" t="e">
        <f t="shared" si="50"/>
        <v>#DIV/0!</v>
      </c>
      <c r="U126" s="1" t="e">
        <f t="shared" si="51"/>
        <v>#DIV/0!</v>
      </c>
      <c r="V126">
        <f t="shared" si="52"/>
        <v>100.92597979897585</v>
      </c>
      <c r="W126">
        <f t="shared" si="53"/>
        <v>154.49877020220489</v>
      </c>
      <c r="X126" t="e">
        <f t="shared" si="54"/>
        <v>#DIV/0!</v>
      </c>
      <c r="Y126">
        <f t="shared" si="55"/>
        <v>0</v>
      </c>
      <c r="Z126">
        <f t="shared" si="56"/>
        <v>0</v>
      </c>
      <c r="AA126">
        <f t="shared" si="57"/>
        <v>0</v>
      </c>
      <c r="AC126">
        <f t="shared" si="58"/>
        <v>121.49120590643179</v>
      </c>
      <c r="AD126">
        <f t="shared" si="59"/>
        <v>154.49877020220489</v>
      </c>
      <c r="AE126">
        <f t="shared" si="60"/>
        <v>292.39863612107905</v>
      </c>
      <c r="AF126">
        <f t="shared" si="61"/>
        <v>0</v>
      </c>
      <c r="AG126">
        <f t="shared" si="62"/>
        <v>0</v>
      </c>
      <c r="AH126">
        <f t="shared" si="63"/>
        <v>0</v>
      </c>
      <c r="AJ126">
        <f t="shared" si="64"/>
        <v>142.04643201388774</v>
      </c>
      <c r="AK126">
        <f t="shared" si="65"/>
        <v>184.55052424264588</v>
      </c>
      <c r="AL126">
        <f t="shared" si="66"/>
        <v>377.15283185064175</v>
      </c>
      <c r="AM126">
        <f t="shared" si="67"/>
        <v>0</v>
      </c>
      <c r="AN126">
        <f t="shared" si="68"/>
        <v>0</v>
      </c>
      <c r="AO126">
        <f t="shared" si="69"/>
        <v>0</v>
      </c>
    </row>
    <row r="127" spans="1:41" x14ac:dyDescent="0.45">
      <c r="A127">
        <v>21.357005780000001</v>
      </c>
      <c r="B127">
        <v>115.4626777</v>
      </c>
      <c r="C127">
        <v>1.5959169900000001</v>
      </c>
      <c r="D127">
        <v>15.915983199999999</v>
      </c>
      <c r="E127">
        <f t="shared" si="35"/>
        <v>1.5959169900000001</v>
      </c>
      <c r="F127">
        <f t="shared" si="36"/>
        <v>7.936398249999999</v>
      </c>
      <c r="G127">
        <f t="shared" si="37"/>
        <v>0</v>
      </c>
      <c r="H127">
        <f t="shared" si="38"/>
        <v>0</v>
      </c>
      <c r="I127">
        <f t="shared" si="39"/>
        <v>0</v>
      </c>
      <c r="J127">
        <f t="shared" si="40"/>
        <v>0</v>
      </c>
      <c r="K127" s="1">
        <f t="shared" si="41"/>
        <v>1.5959169900000001</v>
      </c>
      <c r="L127" s="1">
        <f t="shared" si="42"/>
        <v>0</v>
      </c>
      <c r="M127" s="1">
        <f t="shared" si="43"/>
        <v>0</v>
      </c>
      <c r="N127" s="1">
        <f t="shared" si="44"/>
        <v>0</v>
      </c>
      <c r="O127" s="1">
        <f t="shared" si="45"/>
        <v>0</v>
      </c>
      <c r="P127" s="1">
        <f t="shared" si="46"/>
        <v>2.5067835425963509</v>
      </c>
      <c r="Q127" s="1">
        <f t="shared" si="47"/>
        <v>5.0272079970281238</v>
      </c>
      <c r="R127" s="1" t="e">
        <f t="shared" si="48"/>
        <v>#DIV/0!</v>
      </c>
      <c r="S127" s="1" t="e">
        <f t="shared" si="49"/>
        <v>#DIV/0!</v>
      </c>
      <c r="T127" s="1" t="e">
        <f t="shared" si="50"/>
        <v>#DIV/0!</v>
      </c>
      <c r="U127" s="1" t="e">
        <f t="shared" si="51"/>
        <v>#DIV/0!</v>
      </c>
      <c r="V127">
        <f t="shared" si="52"/>
        <v>120.4504651343814</v>
      </c>
      <c r="W127">
        <f t="shared" si="53"/>
        <v>227.51029988855464</v>
      </c>
      <c r="X127">
        <f t="shared" si="54"/>
        <v>0</v>
      </c>
      <c r="Y127">
        <f t="shared" si="55"/>
        <v>0</v>
      </c>
      <c r="Z127">
        <f t="shared" si="56"/>
        <v>0</v>
      </c>
      <c r="AA127">
        <f t="shared" si="57"/>
        <v>0</v>
      </c>
      <c r="AC127">
        <f t="shared" si="58"/>
        <v>145.52134170385403</v>
      </c>
      <c r="AD127">
        <f t="shared" si="59"/>
        <v>227.51029988855464</v>
      </c>
      <c r="AE127">
        <f t="shared" si="60"/>
        <v>0</v>
      </c>
      <c r="AF127">
        <f t="shared" si="61"/>
        <v>0</v>
      </c>
      <c r="AG127">
        <f t="shared" si="62"/>
        <v>0</v>
      </c>
      <c r="AH127">
        <f t="shared" si="63"/>
        <v>0</v>
      </c>
      <c r="AJ127">
        <f t="shared" si="64"/>
        <v>170.58221827332667</v>
      </c>
      <c r="AK127">
        <f t="shared" si="65"/>
        <v>272.16435986626556</v>
      </c>
      <c r="AL127">
        <f t="shared" si="66"/>
        <v>0</v>
      </c>
      <c r="AM127">
        <f t="shared" si="67"/>
        <v>0</v>
      </c>
      <c r="AN127">
        <f t="shared" si="68"/>
        <v>0</v>
      </c>
      <c r="AO127">
        <f t="shared" si="69"/>
        <v>0</v>
      </c>
    </row>
    <row r="128" spans="1:41" x14ac:dyDescent="0.45">
      <c r="A128">
        <v>21.359132779999999</v>
      </c>
      <c r="B128">
        <v>114.9374195</v>
      </c>
      <c r="C128">
        <v>1.4738689700000001</v>
      </c>
      <c r="D128">
        <v>63.663932799999998</v>
      </c>
      <c r="E128">
        <f t="shared" si="35"/>
        <v>1.4738689700000001</v>
      </c>
      <c r="F128">
        <f t="shared" si="36"/>
        <v>56.29458795</v>
      </c>
      <c r="G128">
        <f t="shared" si="37"/>
        <v>48.925243099999996</v>
      </c>
      <c r="H128">
        <f t="shared" si="38"/>
        <v>41.555898249999998</v>
      </c>
      <c r="I128">
        <f t="shared" si="39"/>
        <v>34.186553399999994</v>
      </c>
      <c r="J128">
        <f t="shared" si="40"/>
        <v>26.817208549999997</v>
      </c>
      <c r="K128" s="1">
        <f t="shared" si="41"/>
        <v>1.4738689700000001</v>
      </c>
      <c r="L128" s="1">
        <f t="shared" si="42"/>
        <v>1.4738689700000001</v>
      </c>
      <c r="M128" s="1">
        <f t="shared" si="43"/>
        <v>1.4738689700000001</v>
      </c>
      <c r="N128" s="1">
        <f t="shared" si="44"/>
        <v>1.4738689700000001</v>
      </c>
      <c r="O128" s="1">
        <f t="shared" si="45"/>
        <v>1.4738689700000001</v>
      </c>
      <c r="P128" s="1">
        <f t="shared" si="46"/>
        <v>1</v>
      </c>
      <c r="Q128" s="1">
        <f t="shared" si="47"/>
        <v>1</v>
      </c>
      <c r="R128" s="1">
        <f t="shared" si="48"/>
        <v>1</v>
      </c>
      <c r="S128" s="1">
        <f t="shared" si="49"/>
        <v>1</v>
      </c>
      <c r="T128" s="1">
        <f t="shared" si="50"/>
        <v>1.077813367696786</v>
      </c>
      <c r="U128" s="1">
        <f t="shared" si="51"/>
        <v>1.3739955141602538</v>
      </c>
      <c r="V128">
        <f t="shared" si="52"/>
        <v>71.48</v>
      </c>
      <c r="W128">
        <f t="shared" si="53"/>
        <v>76.489999999999995</v>
      </c>
      <c r="X128">
        <f t="shared" si="54"/>
        <v>52.14</v>
      </c>
      <c r="Y128">
        <f t="shared" si="55"/>
        <v>38.1</v>
      </c>
      <c r="Z128">
        <f t="shared" si="56"/>
        <v>33.481733934693757</v>
      </c>
      <c r="AA128">
        <f t="shared" si="57"/>
        <v>36.574921497804439</v>
      </c>
      <c r="AC128">
        <f t="shared" si="58"/>
        <v>85.25</v>
      </c>
      <c r="AD128">
        <f t="shared" si="59"/>
        <v>76.489999999999995</v>
      </c>
      <c r="AE128">
        <f t="shared" si="60"/>
        <v>64.17</v>
      </c>
      <c r="AF128">
        <f t="shared" si="61"/>
        <v>49.84</v>
      </c>
      <c r="AG128">
        <f t="shared" si="62"/>
        <v>48.417813367696795</v>
      </c>
      <c r="AH128">
        <f t="shared" si="63"/>
        <v>50.709887854006347</v>
      </c>
      <c r="AJ128">
        <f t="shared" si="64"/>
        <v>99.009999999999991</v>
      </c>
      <c r="AK128">
        <f t="shared" si="65"/>
        <v>90.94</v>
      </c>
      <c r="AL128">
        <f t="shared" si="66"/>
        <v>78.7</v>
      </c>
      <c r="AM128">
        <f t="shared" si="67"/>
        <v>67.430000000000007</v>
      </c>
      <c r="AN128">
        <f t="shared" si="68"/>
        <v>65.478001288629471</v>
      </c>
      <c r="AO128">
        <f t="shared" si="69"/>
        <v>68.279842995608888</v>
      </c>
    </row>
    <row r="129" spans="1:41" x14ac:dyDescent="0.45">
      <c r="A129">
        <v>21.386892629999998</v>
      </c>
      <c r="B129">
        <v>115.1312739</v>
      </c>
      <c r="C129">
        <v>0.49326101</v>
      </c>
      <c r="D129">
        <v>0.73458396999999998</v>
      </c>
      <c r="E129">
        <f t="shared" si="35"/>
        <v>0.49326101</v>
      </c>
      <c r="F129">
        <f t="shared" si="36"/>
        <v>0</v>
      </c>
      <c r="G129">
        <f t="shared" si="37"/>
        <v>0</v>
      </c>
      <c r="H129">
        <f t="shared" si="38"/>
        <v>0</v>
      </c>
      <c r="I129">
        <f t="shared" si="39"/>
        <v>0</v>
      </c>
      <c r="J129">
        <f t="shared" si="40"/>
        <v>0</v>
      </c>
      <c r="K129" s="1">
        <f t="shared" si="41"/>
        <v>0</v>
      </c>
      <c r="L129" s="1">
        <f t="shared" si="42"/>
        <v>0</v>
      </c>
      <c r="M129" s="1">
        <f t="shared" si="43"/>
        <v>0</v>
      </c>
      <c r="N129" s="1">
        <f t="shared" si="44"/>
        <v>0</v>
      </c>
      <c r="O129" s="1">
        <f t="shared" si="45"/>
        <v>0</v>
      </c>
      <c r="P129" s="1">
        <f t="shared" si="46"/>
        <v>16.787087322365611</v>
      </c>
      <c r="Q129" s="1" t="e">
        <f t="shared" si="47"/>
        <v>#DIV/0!</v>
      </c>
      <c r="R129" s="1" t="e">
        <f t="shared" si="48"/>
        <v>#DIV/0!</v>
      </c>
      <c r="S129" s="1" t="e">
        <f t="shared" si="49"/>
        <v>#DIV/0!</v>
      </c>
      <c r="T129" s="1" t="e">
        <f t="shared" si="50"/>
        <v>#DIV/0!</v>
      </c>
      <c r="U129" s="1" t="e">
        <f t="shared" si="51"/>
        <v>#DIV/0!</v>
      </c>
      <c r="V129">
        <f t="shared" si="52"/>
        <v>584.56033797688235</v>
      </c>
      <c r="W129">
        <f t="shared" si="53"/>
        <v>0</v>
      </c>
      <c r="X129">
        <f t="shared" si="54"/>
        <v>0</v>
      </c>
      <c r="Y129">
        <f t="shared" si="55"/>
        <v>0</v>
      </c>
      <c r="Z129">
        <f t="shared" si="56"/>
        <v>0</v>
      </c>
      <c r="AA129">
        <f t="shared" si="57"/>
        <v>0</v>
      </c>
      <c r="AC129">
        <f t="shared" si="58"/>
        <v>716.73349289462442</v>
      </c>
      <c r="AD129">
        <f t="shared" si="59"/>
        <v>0</v>
      </c>
      <c r="AE129">
        <f t="shared" si="60"/>
        <v>0</v>
      </c>
      <c r="AF129">
        <f t="shared" si="61"/>
        <v>0</v>
      </c>
      <c r="AG129">
        <f t="shared" si="62"/>
        <v>0</v>
      </c>
      <c r="AH129">
        <f t="shared" si="63"/>
        <v>0</v>
      </c>
      <c r="AJ129">
        <f t="shared" si="64"/>
        <v>848.8966478123665</v>
      </c>
      <c r="AK129">
        <f t="shared" si="65"/>
        <v>0</v>
      </c>
      <c r="AL129">
        <f t="shared" si="66"/>
        <v>0</v>
      </c>
      <c r="AM129">
        <f t="shared" si="67"/>
        <v>0</v>
      </c>
      <c r="AN129">
        <f t="shared" si="68"/>
        <v>0</v>
      </c>
      <c r="AO129">
        <f t="shared" si="69"/>
        <v>0</v>
      </c>
    </row>
    <row r="130" spans="1:41" x14ac:dyDescent="0.45">
      <c r="A130">
        <v>21.39107576</v>
      </c>
      <c r="B130">
        <v>115.08391279999999</v>
      </c>
      <c r="C130">
        <v>2.3942239299999999</v>
      </c>
      <c r="D130">
        <v>1.52058899</v>
      </c>
      <c r="E130">
        <f t="shared" si="35"/>
        <v>1.52058899</v>
      </c>
      <c r="F130">
        <f t="shared" si="36"/>
        <v>0</v>
      </c>
      <c r="G130">
        <f t="shared" si="37"/>
        <v>0</v>
      </c>
      <c r="H130">
        <f t="shared" si="38"/>
        <v>0</v>
      </c>
      <c r="I130">
        <f t="shared" si="39"/>
        <v>0</v>
      </c>
      <c r="J130">
        <f t="shared" si="40"/>
        <v>0</v>
      </c>
      <c r="K130" s="1">
        <f t="shared" si="41"/>
        <v>0</v>
      </c>
      <c r="L130" s="1">
        <f t="shared" si="42"/>
        <v>0</v>
      </c>
      <c r="M130" s="1">
        <f t="shared" si="43"/>
        <v>0</v>
      </c>
      <c r="N130" s="1">
        <f t="shared" si="44"/>
        <v>0</v>
      </c>
      <c r="O130" s="1">
        <f t="shared" si="45"/>
        <v>0</v>
      </c>
      <c r="P130" s="1">
        <f t="shared" si="46"/>
        <v>25</v>
      </c>
      <c r="Q130" s="1" t="e">
        <f t="shared" si="47"/>
        <v>#DIV/0!</v>
      </c>
      <c r="R130" s="1" t="e">
        <f t="shared" si="48"/>
        <v>#DIV/0!</v>
      </c>
      <c r="S130" s="1" t="e">
        <f t="shared" si="49"/>
        <v>#DIV/0!</v>
      </c>
      <c r="T130" s="1" t="e">
        <f t="shared" si="50"/>
        <v>#DIV/0!</v>
      </c>
      <c r="U130" s="1" t="e">
        <f t="shared" si="51"/>
        <v>#DIV/0!</v>
      </c>
      <c r="V130">
        <f t="shared" si="52"/>
        <v>851.48</v>
      </c>
      <c r="W130">
        <f t="shared" si="53"/>
        <v>0</v>
      </c>
      <c r="X130">
        <f t="shared" si="54"/>
        <v>0</v>
      </c>
      <c r="Y130">
        <f t="shared" si="55"/>
        <v>0</v>
      </c>
      <c r="Z130">
        <f t="shared" si="56"/>
        <v>0</v>
      </c>
      <c r="AA130">
        <f t="shared" si="57"/>
        <v>0</v>
      </c>
      <c r="AC130">
        <f t="shared" si="58"/>
        <v>1045.25</v>
      </c>
      <c r="AD130">
        <f t="shared" si="59"/>
        <v>0</v>
      </c>
      <c r="AE130">
        <f t="shared" si="60"/>
        <v>0</v>
      </c>
      <c r="AF130">
        <f t="shared" si="61"/>
        <v>0</v>
      </c>
      <c r="AG130">
        <f t="shared" si="62"/>
        <v>0</v>
      </c>
      <c r="AH130">
        <f t="shared" si="63"/>
        <v>0</v>
      </c>
      <c r="AJ130">
        <f t="shared" si="64"/>
        <v>1239.01</v>
      </c>
      <c r="AK130">
        <f t="shared" si="65"/>
        <v>0</v>
      </c>
      <c r="AL130">
        <f t="shared" si="66"/>
        <v>0</v>
      </c>
      <c r="AM130">
        <f t="shared" si="67"/>
        <v>0</v>
      </c>
      <c r="AN130">
        <f t="shared" si="68"/>
        <v>0</v>
      </c>
      <c r="AO130">
        <f t="shared" si="69"/>
        <v>0</v>
      </c>
    </row>
    <row r="131" spans="1:41" x14ac:dyDescent="0.45">
      <c r="A131">
        <v>21.399377139999999</v>
      </c>
      <c r="B131">
        <v>114.9891775</v>
      </c>
      <c r="C131">
        <v>1.3388509799999999</v>
      </c>
      <c r="D131">
        <v>4.4075031300000003</v>
      </c>
      <c r="E131">
        <f t="shared" ref="E131:E194" si="70">MIN(C131,D131)</f>
        <v>1.3388509799999999</v>
      </c>
      <c r="F131">
        <f t="shared" ref="F131:F194" si="71">MAX(0,(D131-(C131*(2030-2025))))</f>
        <v>0</v>
      </c>
      <c r="G131">
        <f t="shared" ref="G131:G194" si="72">MAX(0,(D131-(C131*(2035-2025))))</f>
        <v>0</v>
      </c>
      <c r="H131">
        <f t="shared" ref="H131:H194" si="73">MAX(0,(D131-(C131*(2040-2025))))</f>
        <v>0</v>
      </c>
      <c r="I131">
        <f t="shared" ref="I131:I194" si="74">MAX(0,(D131-(C131*(2045-2025))))</f>
        <v>0</v>
      </c>
      <c r="J131">
        <f t="shared" ref="J131:J194" si="75">MAX(0,(D131-(C131*(2050-2025))))</f>
        <v>0</v>
      </c>
      <c r="K131" s="1">
        <f t="shared" ref="K131:K194" si="76">MIN(E131,F131)</f>
        <v>0</v>
      </c>
      <c r="L131" s="1">
        <f t="shared" ref="L131:L194" si="77">MIN(E131,G131)</f>
        <v>0</v>
      </c>
      <c r="M131" s="1">
        <f t="shared" ref="M131:M194" si="78">MIN(E131,H131)</f>
        <v>0</v>
      </c>
      <c r="N131" s="1">
        <f t="shared" ref="N131:N194" si="79">MIN(E131,I131)</f>
        <v>0</v>
      </c>
      <c r="O131" s="1">
        <f t="shared" ref="O131:O194" si="80">MIN(E131,J131)</f>
        <v>0</v>
      </c>
      <c r="P131" s="1">
        <f t="shared" ref="P131:P194" si="81">MAX(1,((25*E131)/D131))</f>
        <v>7.5941578514545487</v>
      </c>
      <c r="Q131" s="1" t="e">
        <f t="shared" ref="Q131:Q194" si="82">MAX(1, ((25*K131)/F131))</f>
        <v>#DIV/0!</v>
      </c>
      <c r="R131" s="1" t="e">
        <f t="shared" ref="R131:R194" si="83">MAX(1, ((25*L131)/G131))</f>
        <v>#DIV/0!</v>
      </c>
      <c r="S131" s="1" t="e">
        <f t="shared" ref="S131:S194" si="84">MAX(1, ((25*M131)/H131))</f>
        <v>#DIV/0!</v>
      </c>
      <c r="T131" s="1" t="e">
        <f t="shared" ref="T131:T194" si="85">MAX(1, ((25*N131)/I131))</f>
        <v>#DIV/0!</v>
      </c>
      <c r="U131" s="1" t="e">
        <f t="shared" ref="U131:U194" si="86">MAX(1, ((25*O131)/J131))</f>
        <v>#DIV/0!</v>
      </c>
      <c r="V131">
        <f t="shared" ref="V131:V194" si="87">(32.02+6.96+(0.13*250*P131))</f>
        <v>285.79013017227282</v>
      </c>
      <c r="W131">
        <f t="shared" ref="W131:W194" si="88">IF(F131&gt;0,(32.72+6.27+(0.15*250*Q131)),F131)</f>
        <v>0</v>
      </c>
      <c r="X131">
        <f t="shared" ref="X131:X194" si="89">IF(G131&gt;0,(22.27+4.87+(0.1*250*S131)),G131)</f>
        <v>0</v>
      </c>
      <c r="Y131">
        <f t="shared" ref="Y131:Y194" si="90">IF(H131&gt;0,(13.92+4.18+(0.08*250*S131)),H131)</f>
        <v>0</v>
      </c>
      <c r="Z131">
        <f t="shared" ref="Z131:Z194" si="91">IF(I131&gt;0,(11.14+3.48+(0.07*250*T131)),I131)</f>
        <v>0</v>
      </c>
      <c r="AA131">
        <f t="shared" ref="AA131:AA194" si="92">IF(J131&gt;0,(9.75+2.78+(0.07*250*U131)),J131)</f>
        <v>0</v>
      </c>
      <c r="AC131">
        <f t="shared" ref="AC131:AC194" si="93">IF(D131&gt;0,(37.59+7.66+(0.16*250*P131)),D131)</f>
        <v>349.01631405818193</v>
      </c>
      <c r="AD131">
        <f t="shared" ref="AD131:AD194" si="94">IF(F131&gt;0,(32.72+6.27+(0.15*250*Q131)),F131)</f>
        <v>0</v>
      </c>
      <c r="AE131">
        <f t="shared" ref="AE131:AE194" si="95">IF(G131&gt;0,(26.45+5.22+(0.13*250*R131)),G131)</f>
        <v>0</v>
      </c>
      <c r="AF131">
        <f t="shared" ref="AF131:AF194" si="96">IF(H131&gt;0,(15.31+4.53+(0.12*250*S131)),H131)</f>
        <v>0</v>
      </c>
      <c r="AG131">
        <f t="shared" ref="AG131:AG194" si="97">IF(I131&gt;0,(16.01+3.83+(0.11*250+T131)),I131)</f>
        <v>0</v>
      </c>
      <c r="AH131">
        <f t="shared" ref="AH131:AH194" si="98">IF(J131,(13.23+3.13+(0.1*250*U131)),J131)</f>
        <v>0</v>
      </c>
      <c r="AJ131">
        <f t="shared" ref="AJ131:AJ194" si="99">(43.16+8.35+(0.19*250*P131))</f>
        <v>412.23249794409105</v>
      </c>
      <c r="AK131">
        <f t="shared" ref="AK131:AK194" si="100">IF(F131&gt;0,(38.98+6.96+(0.18*250*Q131)),F131)</f>
        <v>0</v>
      </c>
      <c r="AL131">
        <f t="shared" ref="AL131:AL194" si="101">IF(G131&gt;0,(30.63+5.57+(0.17*250*R131)),G131)</f>
        <v>0</v>
      </c>
      <c r="AM131">
        <f t="shared" ref="AM131:AM194" si="102">IF(H131&gt;0,(25.06+4.87+(0.15*250*S131)),H131)</f>
        <v>0</v>
      </c>
      <c r="AN131">
        <f t="shared" ref="AN131:AN194" si="103">IF(I131&gt;0,(20.88+4.18+(0.15*250*T131)),I131)</f>
        <v>0</v>
      </c>
      <c r="AO131">
        <f t="shared" ref="AO131:AO194" si="104">IF(J131,(16.71+3.48+(0.14*250*U131)),J131)</f>
        <v>0</v>
      </c>
    </row>
    <row r="132" spans="1:41" x14ac:dyDescent="0.45">
      <c r="A132">
        <v>21.463031139999998</v>
      </c>
      <c r="B132">
        <v>116.6705053</v>
      </c>
      <c r="C132">
        <v>0.37805501000000002</v>
      </c>
      <c r="D132">
        <v>15.68229198</v>
      </c>
      <c r="E132">
        <f t="shared" si="70"/>
        <v>0.37805501000000002</v>
      </c>
      <c r="F132">
        <f t="shared" si="71"/>
        <v>13.792016930000001</v>
      </c>
      <c r="G132">
        <f t="shared" si="72"/>
        <v>11.901741879999999</v>
      </c>
      <c r="H132">
        <f t="shared" si="73"/>
        <v>10.01146683</v>
      </c>
      <c r="I132">
        <f t="shared" si="74"/>
        <v>8.1211917800000002</v>
      </c>
      <c r="J132">
        <f t="shared" si="75"/>
        <v>6.2309167300000006</v>
      </c>
      <c r="K132" s="1">
        <f t="shared" si="76"/>
        <v>0.37805501000000002</v>
      </c>
      <c r="L132" s="1">
        <f t="shared" si="77"/>
        <v>0.37805501000000002</v>
      </c>
      <c r="M132" s="1">
        <f t="shared" si="78"/>
        <v>0.37805501000000002</v>
      </c>
      <c r="N132" s="1">
        <f t="shared" si="79"/>
        <v>0.37805501000000002</v>
      </c>
      <c r="O132" s="1">
        <f t="shared" si="80"/>
        <v>0.37805501000000002</v>
      </c>
      <c r="P132" s="1">
        <f t="shared" si="81"/>
        <v>1</v>
      </c>
      <c r="Q132" s="1">
        <f t="shared" si="82"/>
        <v>1</v>
      </c>
      <c r="R132" s="1">
        <f t="shared" si="83"/>
        <v>1</v>
      </c>
      <c r="S132" s="1">
        <f t="shared" si="84"/>
        <v>1</v>
      </c>
      <c r="T132" s="1">
        <f t="shared" si="85"/>
        <v>1.163791658420853</v>
      </c>
      <c r="U132" s="1">
        <f t="shared" si="86"/>
        <v>1.5168514778081457</v>
      </c>
      <c r="V132">
        <f t="shared" si="87"/>
        <v>71.48</v>
      </c>
      <c r="W132">
        <f t="shared" si="88"/>
        <v>76.489999999999995</v>
      </c>
      <c r="X132">
        <f t="shared" si="89"/>
        <v>52.14</v>
      </c>
      <c r="Y132">
        <f t="shared" si="90"/>
        <v>38.1</v>
      </c>
      <c r="Z132">
        <f t="shared" si="91"/>
        <v>34.986354022364928</v>
      </c>
      <c r="AA132">
        <f t="shared" si="92"/>
        <v>39.074900861642547</v>
      </c>
      <c r="AC132">
        <f t="shared" si="93"/>
        <v>85.25</v>
      </c>
      <c r="AD132">
        <f t="shared" si="94"/>
        <v>76.489999999999995</v>
      </c>
      <c r="AE132">
        <f t="shared" si="95"/>
        <v>64.17</v>
      </c>
      <c r="AF132">
        <f t="shared" si="96"/>
        <v>49.84</v>
      </c>
      <c r="AG132">
        <f t="shared" si="97"/>
        <v>48.503791658420852</v>
      </c>
      <c r="AH132">
        <f t="shared" si="98"/>
        <v>54.28128694520364</v>
      </c>
      <c r="AJ132">
        <f t="shared" si="99"/>
        <v>99.009999999999991</v>
      </c>
      <c r="AK132">
        <f t="shared" si="100"/>
        <v>90.94</v>
      </c>
      <c r="AL132">
        <f t="shared" si="101"/>
        <v>78.7</v>
      </c>
      <c r="AM132">
        <f t="shared" si="102"/>
        <v>67.430000000000007</v>
      </c>
      <c r="AN132">
        <f t="shared" si="103"/>
        <v>68.702187190781984</v>
      </c>
      <c r="AO132">
        <f t="shared" si="104"/>
        <v>73.279801723285104</v>
      </c>
    </row>
    <row r="133" spans="1:41" x14ac:dyDescent="0.45">
      <c r="A133">
        <v>21.482457799999999</v>
      </c>
      <c r="B133">
        <v>116.48117860000001</v>
      </c>
      <c r="C133">
        <v>0.46879600999999999</v>
      </c>
      <c r="D133">
        <v>5.9158492100000002</v>
      </c>
      <c r="E133">
        <f t="shared" si="70"/>
        <v>0.46879600999999999</v>
      </c>
      <c r="F133">
        <f t="shared" si="71"/>
        <v>3.5718691600000003</v>
      </c>
      <c r="G133">
        <f t="shared" si="72"/>
        <v>1.2278891100000004</v>
      </c>
      <c r="H133">
        <f t="shared" si="73"/>
        <v>0</v>
      </c>
      <c r="I133">
        <f t="shared" si="74"/>
        <v>0</v>
      </c>
      <c r="J133">
        <f t="shared" si="75"/>
        <v>0</v>
      </c>
      <c r="K133" s="1">
        <f t="shared" si="76"/>
        <v>0.46879600999999999</v>
      </c>
      <c r="L133" s="1">
        <f t="shared" si="77"/>
        <v>0.46879600999999999</v>
      </c>
      <c r="M133" s="1">
        <f t="shared" si="78"/>
        <v>0</v>
      </c>
      <c r="N133" s="1">
        <f t="shared" si="79"/>
        <v>0</v>
      </c>
      <c r="O133" s="1">
        <f t="shared" si="80"/>
        <v>0</v>
      </c>
      <c r="P133" s="1">
        <f t="shared" si="81"/>
        <v>1.9811019236577194</v>
      </c>
      <c r="Q133" s="1">
        <f t="shared" si="82"/>
        <v>3.2811672894535699</v>
      </c>
      <c r="R133" s="1">
        <f t="shared" si="83"/>
        <v>9.5447546155043241</v>
      </c>
      <c r="S133" s="1" t="e">
        <f t="shared" si="84"/>
        <v>#DIV/0!</v>
      </c>
      <c r="T133" s="1" t="e">
        <f t="shared" si="85"/>
        <v>#DIV/0!</v>
      </c>
      <c r="U133" s="1" t="e">
        <f t="shared" si="86"/>
        <v>#DIV/0!</v>
      </c>
      <c r="V133">
        <f t="shared" si="87"/>
        <v>103.36581251887588</v>
      </c>
      <c r="W133">
        <f t="shared" si="88"/>
        <v>162.03377335450887</v>
      </c>
      <c r="X133" t="e">
        <f t="shared" si="89"/>
        <v>#DIV/0!</v>
      </c>
      <c r="Y133">
        <f t="shared" si="90"/>
        <v>0</v>
      </c>
      <c r="Z133">
        <f t="shared" si="91"/>
        <v>0</v>
      </c>
      <c r="AA133">
        <f t="shared" si="92"/>
        <v>0</v>
      </c>
      <c r="AC133">
        <f t="shared" si="93"/>
        <v>124.49407694630878</v>
      </c>
      <c r="AD133">
        <f t="shared" si="94"/>
        <v>162.03377335450887</v>
      </c>
      <c r="AE133">
        <f t="shared" si="95"/>
        <v>341.87452500389054</v>
      </c>
      <c r="AF133">
        <f t="shared" si="96"/>
        <v>0</v>
      </c>
      <c r="AG133">
        <f t="shared" si="97"/>
        <v>0</v>
      </c>
      <c r="AH133">
        <f t="shared" si="98"/>
        <v>0</v>
      </c>
      <c r="AJ133">
        <f t="shared" si="99"/>
        <v>145.61234137374166</v>
      </c>
      <c r="AK133">
        <f t="shared" si="100"/>
        <v>193.59252802541064</v>
      </c>
      <c r="AL133">
        <f t="shared" si="101"/>
        <v>441.85207115893377</v>
      </c>
      <c r="AM133">
        <f t="shared" si="102"/>
        <v>0</v>
      </c>
      <c r="AN133">
        <f t="shared" si="103"/>
        <v>0</v>
      </c>
      <c r="AO133">
        <f t="shared" si="104"/>
        <v>0</v>
      </c>
    </row>
    <row r="134" spans="1:41" x14ac:dyDescent="0.45">
      <c r="A134">
        <v>21.60430405</v>
      </c>
      <c r="B134">
        <v>116.15963929999999</v>
      </c>
      <c r="C134">
        <v>1.11991799</v>
      </c>
      <c r="D134">
        <v>25.54637718</v>
      </c>
      <c r="E134">
        <f t="shared" si="70"/>
        <v>1.11991799</v>
      </c>
      <c r="F134">
        <f t="shared" si="71"/>
        <v>19.946787229999998</v>
      </c>
      <c r="G134">
        <f t="shared" si="72"/>
        <v>14.34719728</v>
      </c>
      <c r="H134">
        <f t="shared" si="73"/>
        <v>8.747607330000001</v>
      </c>
      <c r="I134">
        <f t="shared" si="74"/>
        <v>3.1480173799999989</v>
      </c>
      <c r="J134">
        <f t="shared" si="75"/>
        <v>0</v>
      </c>
      <c r="K134" s="1">
        <f t="shared" si="76"/>
        <v>1.11991799</v>
      </c>
      <c r="L134" s="1">
        <f t="shared" si="77"/>
        <v>1.11991799</v>
      </c>
      <c r="M134" s="1">
        <f t="shared" si="78"/>
        <v>1.11991799</v>
      </c>
      <c r="N134" s="1">
        <f t="shared" si="79"/>
        <v>1.11991799</v>
      </c>
      <c r="O134" s="1">
        <f t="shared" si="80"/>
        <v>0</v>
      </c>
      <c r="P134" s="1">
        <f t="shared" si="81"/>
        <v>1.0959655669657657</v>
      </c>
      <c r="Q134" s="1">
        <f t="shared" si="82"/>
        <v>1.4036320449586508</v>
      </c>
      <c r="R134" s="1">
        <f t="shared" si="83"/>
        <v>1.9514577797734165</v>
      </c>
      <c r="S134" s="1">
        <f t="shared" si="84"/>
        <v>3.2006408945656224</v>
      </c>
      <c r="T134" s="1">
        <f t="shared" si="85"/>
        <v>8.8938358243752802</v>
      </c>
      <c r="U134" s="1" t="e">
        <f t="shared" si="86"/>
        <v>#DIV/0!</v>
      </c>
      <c r="V134">
        <f t="shared" si="87"/>
        <v>74.59888092638738</v>
      </c>
      <c r="W134">
        <f t="shared" si="88"/>
        <v>91.626201685949397</v>
      </c>
      <c r="X134">
        <f t="shared" si="89"/>
        <v>107.15602236414055</v>
      </c>
      <c r="Y134">
        <f t="shared" si="90"/>
        <v>82.11281789131246</v>
      </c>
      <c r="Z134">
        <f t="shared" si="91"/>
        <v>170.26212692656742</v>
      </c>
      <c r="AA134">
        <f t="shared" si="92"/>
        <v>0</v>
      </c>
      <c r="AC134">
        <f t="shared" si="93"/>
        <v>89.088622678630628</v>
      </c>
      <c r="AD134">
        <f t="shared" si="94"/>
        <v>91.626201685949397</v>
      </c>
      <c r="AE134">
        <f t="shared" si="95"/>
        <v>95.09237784263604</v>
      </c>
      <c r="AF134">
        <f t="shared" si="96"/>
        <v>115.85922683696867</v>
      </c>
      <c r="AG134">
        <f t="shared" si="97"/>
        <v>56.233835824375284</v>
      </c>
      <c r="AH134">
        <f t="shared" si="98"/>
        <v>0</v>
      </c>
      <c r="AJ134">
        <f t="shared" si="99"/>
        <v>103.56836443087387</v>
      </c>
      <c r="AK134">
        <f t="shared" si="100"/>
        <v>109.10344202313928</v>
      </c>
      <c r="AL134">
        <f t="shared" si="101"/>
        <v>119.1369556403702</v>
      </c>
      <c r="AM134">
        <f t="shared" si="102"/>
        <v>149.95403354621084</v>
      </c>
      <c r="AN134">
        <f t="shared" si="103"/>
        <v>358.57884341407299</v>
      </c>
      <c r="AO134">
        <f t="shared" si="104"/>
        <v>0</v>
      </c>
    </row>
    <row r="135" spans="1:41" x14ac:dyDescent="0.45">
      <c r="A135">
        <v>21.613598289999999</v>
      </c>
      <c r="B135">
        <v>116.064785</v>
      </c>
      <c r="C135">
        <v>1.13769305</v>
      </c>
      <c r="D135">
        <v>17.549207689999999</v>
      </c>
      <c r="E135">
        <f t="shared" si="70"/>
        <v>1.13769305</v>
      </c>
      <c r="F135">
        <f t="shared" si="71"/>
        <v>11.860742439999999</v>
      </c>
      <c r="G135">
        <f t="shared" si="72"/>
        <v>6.1722771899999991</v>
      </c>
      <c r="H135">
        <f t="shared" si="73"/>
        <v>0.48381193999999894</v>
      </c>
      <c r="I135">
        <f t="shared" si="74"/>
        <v>0</v>
      </c>
      <c r="J135">
        <f t="shared" si="75"/>
        <v>0</v>
      </c>
      <c r="K135" s="1">
        <f t="shared" si="76"/>
        <v>1.13769305</v>
      </c>
      <c r="L135" s="1">
        <f t="shared" si="77"/>
        <v>1.13769305</v>
      </c>
      <c r="M135" s="1">
        <f t="shared" si="78"/>
        <v>0.48381193999999894</v>
      </c>
      <c r="N135" s="1">
        <f t="shared" si="79"/>
        <v>0</v>
      </c>
      <c r="O135" s="1">
        <f t="shared" si="80"/>
        <v>0</v>
      </c>
      <c r="P135" s="1">
        <f t="shared" si="81"/>
        <v>1.6207185391171355</v>
      </c>
      <c r="Q135" s="1">
        <f t="shared" si="82"/>
        <v>2.3980224167147504</v>
      </c>
      <c r="R135" s="1">
        <f t="shared" si="83"/>
        <v>4.6080766262540465</v>
      </c>
      <c r="S135" s="1">
        <f t="shared" si="84"/>
        <v>25</v>
      </c>
      <c r="T135" s="1" t="e">
        <f t="shared" si="85"/>
        <v>#DIV/0!</v>
      </c>
      <c r="U135" s="1" t="e">
        <f t="shared" si="86"/>
        <v>#DIV/0!</v>
      </c>
      <c r="V135">
        <f t="shared" si="87"/>
        <v>91.653352521306914</v>
      </c>
      <c r="W135">
        <f t="shared" si="88"/>
        <v>128.91584062680312</v>
      </c>
      <c r="X135">
        <f t="shared" si="89"/>
        <v>652.14</v>
      </c>
      <c r="Y135">
        <f t="shared" si="90"/>
        <v>518.1</v>
      </c>
      <c r="Z135">
        <f t="shared" si="91"/>
        <v>0</v>
      </c>
      <c r="AA135">
        <f t="shared" si="92"/>
        <v>0</v>
      </c>
      <c r="AC135">
        <f t="shared" si="93"/>
        <v>110.07874156468542</v>
      </c>
      <c r="AD135">
        <f t="shared" si="94"/>
        <v>128.91584062680312</v>
      </c>
      <c r="AE135">
        <f t="shared" si="95"/>
        <v>181.4324903532565</v>
      </c>
      <c r="AF135">
        <f t="shared" si="96"/>
        <v>769.84</v>
      </c>
      <c r="AG135">
        <f t="shared" si="97"/>
        <v>0</v>
      </c>
      <c r="AH135">
        <f t="shared" si="98"/>
        <v>0</v>
      </c>
      <c r="AJ135">
        <f t="shared" si="99"/>
        <v>128.49413060806393</v>
      </c>
      <c r="AK135">
        <f t="shared" si="100"/>
        <v>153.85100875216375</v>
      </c>
      <c r="AL135">
        <f t="shared" si="101"/>
        <v>232.04325661579696</v>
      </c>
      <c r="AM135">
        <f t="shared" si="102"/>
        <v>967.43</v>
      </c>
      <c r="AN135">
        <f t="shared" si="103"/>
        <v>0</v>
      </c>
      <c r="AO135">
        <f t="shared" si="104"/>
        <v>0</v>
      </c>
    </row>
    <row r="136" spans="1:41" x14ac:dyDescent="0.45">
      <c r="A136">
        <v>21.63454265</v>
      </c>
      <c r="B136">
        <v>116.3069479</v>
      </c>
      <c r="C136">
        <v>0.56091796999999999</v>
      </c>
      <c r="D136">
        <v>9.6573286100000004</v>
      </c>
      <c r="E136">
        <f t="shared" si="70"/>
        <v>0.56091796999999999</v>
      </c>
      <c r="F136">
        <f t="shared" si="71"/>
        <v>6.8527387600000003</v>
      </c>
      <c r="G136">
        <f t="shared" si="72"/>
        <v>4.0481489100000001</v>
      </c>
      <c r="H136">
        <f t="shared" si="73"/>
        <v>1.2435590600000008</v>
      </c>
      <c r="I136">
        <f t="shared" si="74"/>
        <v>0</v>
      </c>
      <c r="J136">
        <f t="shared" si="75"/>
        <v>0</v>
      </c>
      <c r="K136" s="1">
        <f t="shared" si="76"/>
        <v>0.56091796999999999</v>
      </c>
      <c r="L136" s="1">
        <f t="shared" si="77"/>
        <v>0.56091796999999999</v>
      </c>
      <c r="M136" s="1">
        <f t="shared" si="78"/>
        <v>0.56091796999999999</v>
      </c>
      <c r="N136" s="1">
        <f t="shared" si="79"/>
        <v>0</v>
      </c>
      <c r="O136" s="1">
        <f t="shared" si="80"/>
        <v>0</v>
      </c>
      <c r="P136" s="1">
        <f t="shared" si="81"/>
        <v>1.4520526137507088</v>
      </c>
      <c r="Q136" s="1">
        <f t="shared" si="82"/>
        <v>2.0463277152564325</v>
      </c>
      <c r="R136" s="1">
        <f t="shared" si="83"/>
        <v>3.4640398764382407</v>
      </c>
      <c r="S136" s="1">
        <f t="shared" si="84"/>
        <v>11.276464223580978</v>
      </c>
      <c r="T136" s="1" t="e">
        <f t="shared" si="85"/>
        <v>#DIV/0!</v>
      </c>
      <c r="U136" s="1" t="e">
        <f t="shared" si="86"/>
        <v>#DIV/0!</v>
      </c>
      <c r="V136">
        <f t="shared" si="87"/>
        <v>86.171709946898034</v>
      </c>
      <c r="W136">
        <f t="shared" si="88"/>
        <v>115.72728932211622</v>
      </c>
      <c r="X136">
        <f t="shared" si="89"/>
        <v>309.05160558952446</v>
      </c>
      <c r="Y136">
        <f t="shared" si="90"/>
        <v>243.62928447161957</v>
      </c>
      <c r="Z136">
        <f t="shared" si="91"/>
        <v>0</v>
      </c>
      <c r="AA136">
        <f t="shared" si="92"/>
        <v>0</v>
      </c>
      <c r="AC136">
        <f t="shared" si="93"/>
        <v>103.33210455002836</v>
      </c>
      <c r="AD136">
        <f t="shared" si="94"/>
        <v>115.72728932211622</v>
      </c>
      <c r="AE136">
        <f t="shared" si="95"/>
        <v>144.25129598424283</v>
      </c>
      <c r="AF136">
        <f t="shared" si="96"/>
        <v>358.13392670742934</v>
      </c>
      <c r="AG136">
        <f t="shared" si="97"/>
        <v>0</v>
      </c>
      <c r="AH136">
        <f t="shared" si="98"/>
        <v>0</v>
      </c>
      <c r="AJ136">
        <f t="shared" si="99"/>
        <v>120.48249915315867</v>
      </c>
      <c r="AK136">
        <f t="shared" si="100"/>
        <v>138.02474718653946</v>
      </c>
      <c r="AL136">
        <f t="shared" si="101"/>
        <v>183.42169474862521</v>
      </c>
      <c r="AM136">
        <f t="shared" si="102"/>
        <v>452.79740838428671</v>
      </c>
      <c r="AN136">
        <f t="shared" si="103"/>
        <v>0</v>
      </c>
      <c r="AO136">
        <f t="shared" si="104"/>
        <v>0</v>
      </c>
    </row>
    <row r="137" spans="1:41" x14ac:dyDescent="0.45">
      <c r="A137">
        <v>21.657956070000001</v>
      </c>
      <c r="B137">
        <v>116.0697339</v>
      </c>
      <c r="C137">
        <v>1.69117999</v>
      </c>
      <c r="D137">
        <v>1.22430599</v>
      </c>
      <c r="E137">
        <f t="shared" si="70"/>
        <v>1.22430599</v>
      </c>
      <c r="F137">
        <f t="shared" si="71"/>
        <v>0</v>
      </c>
      <c r="G137">
        <f t="shared" si="72"/>
        <v>0</v>
      </c>
      <c r="H137">
        <f t="shared" si="73"/>
        <v>0</v>
      </c>
      <c r="I137">
        <f t="shared" si="74"/>
        <v>0</v>
      </c>
      <c r="J137">
        <f t="shared" si="75"/>
        <v>0</v>
      </c>
      <c r="K137" s="1">
        <f t="shared" si="76"/>
        <v>0</v>
      </c>
      <c r="L137" s="1">
        <f t="shared" si="77"/>
        <v>0</v>
      </c>
      <c r="M137" s="1">
        <f t="shared" si="78"/>
        <v>0</v>
      </c>
      <c r="N137" s="1">
        <f t="shared" si="79"/>
        <v>0</v>
      </c>
      <c r="O137" s="1">
        <f t="shared" si="80"/>
        <v>0</v>
      </c>
      <c r="P137" s="1">
        <f t="shared" si="81"/>
        <v>25</v>
      </c>
      <c r="Q137" s="1" t="e">
        <f t="shared" si="82"/>
        <v>#DIV/0!</v>
      </c>
      <c r="R137" s="1" t="e">
        <f t="shared" si="83"/>
        <v>#DIV/0!</v>
      </c>
      <c r="S137" s="1" t="e">
        <f t="shared" si="84"/>
        <v>#DIV/0!</v>
      </c>
      <c r="T137" s="1" t="e">
        <f t="shared" si="85"/>
        <v>#DIV/0!</v>
      </c>
      <c r="U137" s="1" t="e">
        <f t="shared" si="86"/>
        <v>#DIV/0!</v>
      </c>
      <c r="V137">
        <f t="shared" si="87"/>
        <v>851.48</v>
      </c>
      <c r="W137">
        <f t="shared" si="88"/>
        <v>0</v>
      </c>
      <c r="X137">
        <f t="shared" si="89"/>
        <v>0</v>
      </c>
      <c r="Y137">
        <f t="shared" si="90"/>
        <v>0</v>
      </c>
      <c r="Z137">
        <f t="shared" si="91"/>
        <v>0</v>
      </c>
      <c r="AA137">
        <f t="shared" si="92"/>
        <v>0</v>
      </c>
      <c r="AC137">
        <f t="shared" si="93"/>
        <v>1045.25</v>
      </c>
      <c r="AD137">
        <f t="shared" si="94"/>
        <v>0</v>
      </c>
      <c r="AE137">
        <f t="shared" si="95"/>
        <v>0</v>
      </c>
      <c r="AF137">
        <f t="shared" si="96"/>
        <v>0</v>
      </c>
      <c r="AG137">
        <f t="shared" si="97"/>
        <v>0</v>
      </c>
      <c r="AH137">
        <f t="shared" si="98"/>
        <v>0</v>
      </c>
      <c r="AJ137">
        <f t="shared" si="99"/>
        <v>1239.01</v>
      </c>
      <c r="AK137">
        <f t="shared" si="100"/>
        <v>0</v>
      </c>
      <c r="AL137">
        <f t="shared" si="101"/>
        <v>0</v>
      </c>
      <c r="AM137">
        <f t="shared" si="102"/>
        <v>0</v>
      </c>
      <c r="AN137">
        <f t="shared" si="103"/>
        <v>0</v>
      </c>
      <c r="AO137">
        <f t="shared" si="104"/>
        <v>0</v>
      </c>
    </row>
    <row r="138" spans="1:41" x14ac:dyDescent="0.45">
      <c r="A138">
        <v>21.669369329999999</v>
      </c>
      <c r="B138">
        <v>116.4069136</v>
      </c>
      <c r="C138">
        <v>2.18444109</v>
      </c>
      <c r="D138">
        <v>1.4691679499999999</v>
      </c>
      <c r="E138">
        <f t="shared" si="70"/>
        <v>1.4691679499999999</v>
      </c>
      <c r="F138">
        <f t="shared" si="71"/>
        <v>0</v>
      </c>
      <c r="G138">
        <f t="shared" si="72"/>
        <v>0</v>
      </c>
      <c r="H138">
        <f t="shared" si="73"/>
        <v>0</v>
      </c>
      <c r="I138">
        <f t="shared" si="74"/>
        <v>0</v>
      </c>
      <c r="J138">
        <f t="shared" si="75"/>
        <v>0</v>
      </c>
      <c r="K138" s="1">
        <f t="shared" si="76"/>
        <v>0</v>
      </c>
      <c r="L138" s="1">
        <f t="shared" si="77"/>
        <v>0</v>
      </c>
      <c r="M138" s="1">
        <f t="shared" si="78"/>
        <v>0</v>
      </c>
      <c r="N138" s="1">
        <f t="shared" si="79"/>
        <v>0</v>
      </c>
      <c r="O138" s="1">
        <f t="shared" si="80"/>
        <v>0</v>
      </c>
      <c r="P138" s="1">
        <f t="shared" si="81"/>
        <v>25</v>
      </c>
      <c r="Q138" s="1" t="e">
        <f t="shared" si="82"/>
        <v>#DIV/0!</v>
      </c>
      <c r="R138" s="1" t="e">
        <f t="shared" si="83"/>
        <v>#DIV/0!</v>
      </c>
      <c r="S138" s="1" t="e">
        <f t="shared" si="84"/>
        <v>#DIV/0!</v>
      </c>
      <c r="T138" s="1" t="e">
        <f t="shared" si="85"/>
        <v>#DIV/0!</v>
      </c>
      <c r="U138" s="1" t="e">
        <f t="shared" si="86"/>
        <v>#DIV/0!</v>
      </c>
      <c r="V138">
        <f t="shared" si="87"/>
        <v>851.48</v>
      </c>
      <c r="W138">
        <f t="shared" si="88"/>
        <v>0</v>
      </c>
      <c r="X138">
        <f t="shared" si="89"/>
        <v>0</v>
      </c>
      <c r="Y138">
        <f t="shared" si="90"/>
        <v>0</v>
      </c>
      <c r="Z138">
        <f t="shared" si="91"/>
        <v>0</v>
      </c>
      <c r="AA138">
        <f t="shared" si="92"/>
        <v>0</v>
      </c>
      <c r="AC138">
        <f t="shared" si="93"/>
        <v>1045.25</v>
      </c>
      <c r="AD138">
        <f t="shared" si="94"/>
        <v>0</v>
      </c>
      <c r="AE138">
        <f t="shared" si="95"/>
        <v>0</v>
      </c>
      <c r="AF138">
        <f t="shared" si="96"/>
        <v>0</v>
      </c>
      <c r="AG138">
        <f t="shared" si="97"/>
        <v>0</v>
      </c>
      <c r="AH138">
        <f t="shared" si="98"/>
        <v>0</v>
      </c>
      <c r="AJ138">
        <f t="shared" si="99"/>
        <v>1239.01</v>
      </c>
      <c r="AK138">
        <f t="shared" si="100"/>
        <v>0</v>
      </c>
      <c r="AL138">
        <f t="shared" si="101"/>
        <v>0</v>
      </c>
      <c r="AM138">
        <f t="shared" si="102"/>
        <v>0</v>
      </c>
      <c r="AN138">
        <f t="shared" si="103"/>
        <v>0</v>
      </c>
      <c r="AO138">
        <f t="shared" si="104"/>
        <v>0</v>
      </c>
    </row>
    <row r="139" spans="1:41" x14ac:dyDescent="0.45">
      <c r="A139">
        <v>21.671899979999999</v>
      </c>
      <c r="B139">
        <v>115.44776709999999</v>
      </c>
      <c r="C139">
        <v>1.31524003</v>
      </c>
      <c r="D139">
        <v>5.8276982300000002</v>
      </c>
      <c r="E139">
        <f t="shared" si="70"/>
        <v>1.31524003</v>
      </c>
      <c r="F139">
        <f t="shared" si="71"/>
        <v>0</v>
      </c>
      <c r="G139">
        <f t="shared" si="72"/>
        <v>0</v>
      </c>
      <c r="H139">
        <f t="shared" si="73"/>
        <v>0</v>
      </c>
      <c r="I139">
        <f t="shared" si="74"/>
        <v>0</v>
      </c>
      <c r="J139">
        <f t="shared" si="75"/>
        <v>0</v>
      </c>
      <c r="K139" s="1">
        <f t="shared" si="76"/>
        <v>0</v>
      </c>
      <c r="L139" s="1">
        <f t="shared" si="77"/>
        <v>0</v>
      </c>
      <c r="M139" s="1">
        <f t="shared" si="78"/>
        <v>0</v>
      </c>
      <c r="N139" s="1">
        <f t="shared" si="79"/>
        <v>0</v>
      </c>
      <c r="O139" s="1">
        <f t="shared" si="80"/>
        <v>0</v>
      </c>
      <c r="P139" s="1">
        <f t="shared" si="81"/>
        <v>5.6421934445291271</v>
      </c>
      <c r="Q139" s="1" t="e">
        <f t="shared" si="82"/>
        <v>#DIV/0!</v>
      </c>
      <c r="R139" s="1" t="e">
        <f t="shared" si="83"/>
        <v>#DIV/0!</v>
      </c>
      <c r="S139" s="1" t="e">
        <f t="shared" si="84"/>
        <v>#DIV/0!</v>
      </c>
      <c r="T139" s="1" t="e">
        <f t="shared" si="85"/>
        <v>#DIV/0!</v>
      </c>
      <c r="U139" s="1" t="e">
        <f t="shared" si="86"/>
        <v>#DIV/0!</v>
      </c>
      <c r="V139">
        <f t="shared" si="87"/>
        <v>222.35128694719663</v>
      </c>
      <c r="W139">
        <f t="shared" si="88"/>
        <v>0</v>
      </c>
      <c r="X139">
        <f t="shared" si="89"/>
        <v>0</v>
      </c>
      <c r="Y139">
        <f t="shared" si="90"/>
        <v>0</v>
      </c>
      <c r="Z139">
        <f t="shared" si="91"/>
        <v>0</v>
      </c>
      <c r="AA139">
        <f t="shared" si="92"/>
        <v>0</v>
      </c>
      <c r="AC139">
        <f t="shared" si="93"/>
        <v>270.93773778116508</v>
      </c>
      <c r="AD139">
        <f t="shared" si="94"/>
        <v>0</v>
      </c>
      <c r="AE139">
        <f t="shared" si="95"/>
        <v>0</v>
      </c>
      <c r="AF139">
        <f t="shared" si="96"/>
        <v>0</v>
      </c>
      <c r="AG139">
        <f t="shared" si="97"/>
        <v>0</v>
      </c>
      <c r="AH139">
        <f t="shared" si="98"/>
        <v>0</v>
      </c>
      <c r="AJ139">
        <f t="shared" si="99"/>
        <v>319.51418861513355</v>
      </c>
      <c r="AK139">
        <f t="shared" si="100"/>
        <v>0</v>
      </c>
      <c r="AL139">
        <f t="shared" si="101"/>
        <v>0</v>
      </c>
      <c r="AM139">
        <f t="shared" si="102"/>
        <v>0</v>
      </c>
      <c r="AN139">
        <f t="shared" si="103"/>
        <v>0</v>
      </c>
      <c r="AO139">
        <f t="shared" si="104"/>
        <v>0</v>
      </c>
    </row>
    <row r="140" spans="1:41" x14ac:dyDescent="0.45">
      <c r="A140">
        <v>21.676297179999999</v>
      </c>
      <c r="B140">
        <v>115.8798752</v>
      </c>
      <c r="C140">
        <v>1.69117999</v>
      </c>
      <c r="D140">
        <v>6.1215319600000004</v>
      </c>
      <c r="E140">
        <f t="shared" si="70"/>
        <v>1.69117999</v>
      </c>
      <c r="F140">
        <f t="shared" si="71"/>
        <v>0</v>
      </c>
      <c r="G140">
        <f t="shared" si="72"/>
        <v>0</v>
      </c>
      <c r="H140">
        <f t="shared" si="73"/>
        <v>0</v>
      </c>
      <c r="I140">
        <f t="shared" si="74"/>
        <v>0</v>
      </c>
      <c r="J140">
        <f t="shared" si="75"/>
        <v>0</v>
      </c>
      <c r="K140" s="1">
        <f t="shared" si="76"/>
        <v>0</v>
      </c>
      <c r="L140" s="1">
        <f t="shared" si="77"/>
        <v>0</v>
      </c>
      <c r="M140" s="1">
        <f t="shared" si="78"/>
        <v>0</v>
      </c>
      <c r="N140" s="1">
        <f t="shared" si="79"/>
        <v>0</v>
      </c>
      <c r="O140" s="1">
        <f t="shared" si="80"/>
        <v>0</v>
      </c>
      <c r="P140" s="1">
        <f t="shared" si="81"/>
        <v>6.9066861083577509</v>
      </c>
      <c r="Q140" s="1" t="e">
        <f t="shared" si="82"/>
        <v>#DIV/0!</v>
      </c>
      <c r="R140" s="1" t="e">
        <f t="shared" si="83"/>
        <v>#DIV/0!</v>
      </c>
      <c r="S140" s="1" t="e">
        <f t="shared" si="84"/>
        <v>#DIV/0!</v>
      </c>
      <c r="T140" s="1" t="e">
        <f t="shared" si="85"/>
        <v>#DIV/0!</v>
      </c>
      <c r="U140" s="1" t="e">
        <f t="shared" si="86"/>
        <v>#DIV/0!</v>
      </c>
      <c r="V140">
        <f t="shared" si="87"/>
        <v>263.44729852162692</v>
      </c>
      <c r="W140">
        <f t="shared" si="88"/>
        <v>0</v>
      </c>
      <c r="X140">
        <f t="shared" si="89"/>
        <v>0</v>
      </c>
      <c r="Y140">
        <f t="shared" si="90"/>
        <v>0</v>
      </c>
      <c r="Z140">
        <f t="shared" si="91"/>
        <v>0</v>
      </c>
      <c r="AA140">
        <f t="shared" si="92"/>
        <v>0</v>
      </c>
      <c r="AC140">
        <f t="shared" si="93"/>
        <v>321.51744433431003</v>
      </c>
      <c r="AD140">
        <f t="shared" si="94"/>
        <v>0</v>
      </c>
      <c r="AE140">
        <f t="shared" si="95"/>
        <v>0</v>
      </c>
      <c r="AF140">
        <f t="shared" si="96"/>
        <v>0</v>
      </c>
      <c r="AG140">
        <f t="shared" si="97"/>
        <v>0</v>
      </c>
      <c r="AH140">
        <f t="shared" si="98"/>
        <v>0</v>
      </c>
      <c r="AJ140">
        <f t="shared" si="99"/>
        <v>379.57759014699315</v>
      </c>
      <c r="AK140">
        <f t="shared" si="100"/>
        <v>0</v>
      </c>
      <c r="AL140">
        <f t="shared" si="101"/>
        <v>0</v>
      </c>
      <c r="AM140">
        <f t="shared" si="102"/>
        <v>0</v>
      </c>
      <c r="AN140">
        <f t="shared" si="103"/>
        <v>0</v>
      </c>
      <c r="AO140">
        <f t="shared" si="104"/>
        <v>0</v>
      </c>
    </row>
    <row r="141" spans="1:41" x14ac:dyDescent="0.45">
      <c r="A141">
        <v>21.678892470000001</v>
      </c>
      <c r="B141">
        <v>116.31201660000001</v>
      </c>
      <c r="C141">
        <v>2.18444109</v>
      </c>
      <c r="D141">
        <v>4.4075031300000003</v>
      </c>
      <c r="E141">
        <f t="shared" si="70"/>
        <v>2.18444109</v>
      </c>
      <c r="F141">
        <f t="shared" si="71"/>
        <v>0</v>
      </c>
      <c r="G141">
        <f t="shared" si="72"/>
        <v>0</v>
      </c>
      <c r="H141">
        <f t="shared" si="73"/>
        <v>0</v>
      </c>
      <c r="I141">
        <f t="shared" si="74"/>
        <v>0</v>
      </c>
      <c r="J141">
        <f t="shared" si="75"/>
        <v>0</v>
      </c>
      <c r="K141" s="1">
        <f t="shared" si="76"/>
        <v>0</v>
      </c>
      <c r="L141" s="1">
        <f t="shared" si="77"/>
        <v>0</v>
      </c>
      <c r="M141" s="1">
        <f t="shared" si="78"/>
        <v>0</v>
      </c>
      <c r="N141" s="1">
        <f t="shared" si="79"/>
        <v>0</v>
      </c>
      <c r="O141" s="1">
        <f t="shared" si="80"/>
        <v>0</v>
      </c>
      <c r="P141" s="1">
        <f t="shared" si="81"/>
        <v>12.390468171942057</v>
      </c>
      <c r="Q141" s="1" t="e">
        <f t="shared" si="82"/>
        <v>#DIV/0!</v>
      </c>
      <c r="R141" s="1" t="e">
        <f t="shared" si="83"/>
        <v>#DIV/0!</v>
      </c>
      <c r="S141" s="1" t="e">
        <f t="shared" si="84"/>
        <v>#DIV/0!</v>
      </c>
      <c r="T141" s="1" t="e">
        <f t="shared" si="85"/>
        <v>#DIV/0!</v>
      </c>
      <c r="U141" s="1" t="e">
        <f t="shared" si="86"/>
        <v>#DIV/0!</v>
      </c>
      <c r="V141">
        <f t="shared" si="87"/>
        <v>441.67021558811689</v>
      </c>
      <c r="W141">
        <f t="shared" si="88"/>
        <v>0</v>
      </c>
      <c r="X141">
        <f t="shared" si="89"/>
        <v>0</v>
      </c>
      <c r="Y141">
        <f t="shared" si="90"/>
        <v>0</v>
      </c>
      <c r="Z141">
        <f t="shared" si="91"/>
        <v>0</v>
      </c>
      <c r="AA141">
        <f t="shared" si="92"/>
        <v>0</v>
      </c>
      <c r="AC141">
        <f t="shared" si="93"/>
        <v>540.86872687768232</v>
      </c>
      <c r="AD141">
        <f t="shared" si="94"/>
        <v>0</v>
      </c>
      <c r="AE141">
        <f t="shared" si="95"/>
        <v>0</v>
      </c>
      <c r="AF141">
        <f t="shared" si="96"/>
        <v>0</v>
      </c>
      <c r="AG141">
        <f t="shared" si="97"/>
        <v>0</v>
      </c>
      <c r="AH141">
        <f t="shared" si="98"/>
        <v>0</v>
      </c>
      <c r="AJ141">
        <f t="shared" si="99"/>
        <v>640.05723816724776</v>
      </c>
      <c r="AK141">
        <f t="shared" si="100"/>
        <v>0</v>
      </c>
      <c r="AL141">
        <f t="shared" si="101"/>
        <v>0</v>
      </c>
      <c r="AM141">
        <f t="shared" si="102"/>
        <v>0</v>
      </c>
      <c r="AN141">
        <f t="shared" si="103"/>
        <v>0</v>
      </c>
      <c r="AO141">
        <f t="shared" si="104"/>
        <v>0</v>
      </c>
    </row>
    <row r="142" spans="1:41" x14ac:dyDescent="0.45">
      <c r="A142">
        <v>21.679685639999999</v>
      </c>
      <c r="B142">
        <v>116.7441743</v>
      </c>
      <c r="C142">
        <v>0.437776</v>
      </c>
      <c r="D142">
        <v>16.650566099999999</v>
      </c>
      <c r="E142">
        <f t="shared" si="70"/>
        <v>0.437776</v>
      </c>
      <c r="F142">
        <f t="shared" si="71"/>
        <v>14.461686099999998</v>
      </c>
      <c r="G142">
        <f t="shared" si="72"/>
        <v>12.272806099999999</v>
      </c>
      <c r="H142">
        <f t="shared" si="73"/>
        <v>10.083926099999999</v>
      </c>
      <c r="I142">
        <f t="shared" si="74"/>
        <v>7.8950460999999983</v>
      </c>
      <c r="J142">
        <f t="shared" si="75"/>
        <v>5.706166099999999</v>
      </c>
      <c r="K142" s="1">
        <f t="shared" si="76"/>
        <v>0.437776</v>
      </c>
      <c r="L142" s="1">
        <f t="shared" si="77"/>
        <v>0.437776</v>
      </c>
      <c r="M142" s="1">
        <f t="shared" si="78"/>
        <v>0.437776</v>
      </c>
      <c r="N142" s="1">
        <f t="shared" si="79"/>
        <v>0.437776</v>
      </c>
      <c r="O142" s="1">
        <f t="shared" si="80"/>
        <v>0.437776</v>
      </c>
      <c r="P142" s="1">
        <f t="shared" si="81"/>
        <v>1</v>
      </c>
      <c r="Q142" s="1">
        <f t="shared" si="82"/>
        <v>1</v>
      </c>
      <c r="R142" s="1">
        <f t="shared" si="83"/>
        <v>1</v>
      </c>
      <c r="S142" s="1">
        <f t="shared" si="84"/>
        <v>1.0853312381969955</v>
      </c>
      <c r="T142" s="1">
        <f t="shared" si="85"/>
        <v>1.3862363640916551</v>
      </c>
      <c r="U142" s="1">
        <f t="shared" si="86"/>
        <v>1.9179953419161777</v>
      </c>
      <c r="V142">
        <f t="shared" si="87"/>
        <v>71.48</v>
      </c>
      <c r="W142">
        <f t="shared" si="88"/>
        <v>76.489999999999995</v>
      </c>
      <c r="X142">
        <f t="shared" si="89"/>
        <v>54.273280954924886</v>
      </c>
      <c r="Y142">
        <f t="shared" si="90"/>
        <v>39.806624763939908</v>
      </c>
      <c r="Z142">
        <f t="shared" si="91"/>
        <v>38.879136371603963</v>
      </c>
      <c r="AA142">
        <f t="shared" si="92"/>
        <v>46.094918483533114</v>
      </c>
      <c r="AC142">
        <f t="shared" si="93"/>
        <v>85.25</v>
      </c>
      <c r="AD142">
        <f t="shared" si="94"/>
        <v>76.489999999999995</v>
      </c>
      <c r="AE142">
        <f t="shared" si="95"/>
        <v>64.17</v>
      </c>
      <c r="AF142">
        <f t="shared" si="96"/>
        <v>52.39993714590986</v>
      </c>
      <c r="AG142">
        <f t="shared" si="97"/>
        <v>48.726236364091662</v>
      </c>
      <c r="AH142">
        <f t="shared" si="98"/>
        <v>64.309883547904434</v>
      </c>
      <c r="AJ142">
        <f t="shared" si="99"/>
        <v>99.009999999999991</v>
      </c>
      <c r="AK142">
        <f t="shared" si="100"/>
        <v>90.94</v>
      </c>
      <c r="AL142">
        <f t="shared" si="101"/>
        <v>78.7</v>
      </c>
      <c r="AM142">
        <f t="shared" si="102"/>
        <v>70.629921432387334</v>
      </c>
      <c r="AN142">
        <f t="shared" si="103"/>
        <v>77.043863653437057</v>
      </c>
      <c r="AO142">
        <f t="shared" si="104"/>
        <v>87.319836967066223</v>
      </c>
    </row>
    <row r="143" spans="1:41" x14ac:dyDescent="0.45">
      <c r="A143">
        <v>21.72324996</v>
      </c>
      <c r="B143">
        <v>116.3170903</v>
      </c>
      <c r="C143">
        <v>2.18444109</v>
      </c>
      <c r="D143">
        <v>1.4691679499999999</v>
      </c>
      <c r="E143">
        <f t="shared" si="70"/>
        <v>1.4691679499999999</v>
      </c>
      <c r="F143">
        <f t="shared" si="71"/>
        <v>0</v>
      </c>
      <c r="G143">
        <f t="shared" si="72"/>
        <v>0</v>
      </c>
      <c r="H143">
        <f t="shared" si="73"/>
        <v>0</v>
      </c>
      <c r="I143">
        <f t="shared" si="74"/>
        <v>0</v>
      </c>
      <c r="J143">
        <f t="shared" si="75"/>
        <v>0</v>
      </c>
      <c r="K143" s="1">
        <f t="shared" si="76"/>
        <v>0</v>
      </c>
      <c r="L143" s="1">
        <f t="shared" si="77"/>
        <v>0</v>
      </c>
      <c r="M143" s="1">
        <f t="shared" si="78"/>
        <v>0</v>
      </c>
      <c r="N143" s="1">
        <f t="shared" si="79"/>
        <v>0</v>
      </c>
      <c r="O143" s="1">
        <f t="shared" si="80"/>
        <v>0</v>
      </c>
      <c r="P143" s="1">
        <f t="shared" si="81"/>
        <v>25</v>
      </c>
      <c r="Q143" s="1" t="e">
        <f t="shared" si="82"/>
        <v>#DIV/0!</v>
      </c>
      <c r="R143" s="1" t="e">
        <f t="shared" si="83"/>
        <v>#DIV/0!</v>
      </c>
      <c r="S143" s="1" t="e">
        <f t="shared" si="84"/>
        <v>#DIV/0!</v>
      </c>
      <c r="T143" s="1" t="e">
        <f t="shared" si="85"/>
        <v>#DIV/0!</v>
      </c>
      <c r="U143" s="1" t="e">
        <f t="shared" si="86"/>
        <v>#DIV/0!</v>
      </c>
      <c r="V143">
        <f t="shared" si="87"/>
        <v>851.48</v>
      </c>
      <c r="W143">
        <f t="shared" si="88"/>
        <v>0</v>
      </c>
      <c r="X143">
        <f t="shared" si="89"/>
        <v>0</v>
      </c>
      <c r="Y143">
        <f t="shared" si="90"/>
        <v>0</v>
      </c>
      <c r="Z143">
        <f t="shared" si="91"/>
        <v>0</v>
      </c>
      <c r="AA143">
        <f t="shared" si="92"/>
        <v>0</v>
      </c>
      <c r="AC143">
        <f t="shared" si="93"/>
        <v>1045.25</v>
      </c>
      <c r="AD143">
        <f t="shared" si="94"/>
        <v>0</v>
      </c>
      <c r="AE143">
        <f t="shared" si="95"/>
        <v>0</v>
      </c>
      <c r="AF143">
        <f t="shared" si="96"/>
        <v>0</v>
      </c>
      <c r="AG143">
        <f t="shared" si="97"/>
        <v>0</v>
      </c>
      <c r="AH143">
        <f t="shared" si="98"/>
        <v>0</v>
      </c>
      <c r="AJ143">
        <f t="shared" si="99"/>
        <v>1239.01</v>
      </c>
      <c r="AK143">
        <f t="shared" si="100"/>
        <v>0</v>
      </c>
      <c r="AL143">
        <f t="shared" si="101"/>
        <v>0</v>
      </c>
      <c r="AM143">
        <f t="shared" si="102"/>
        <v>0</v>
      </c>
      <c r="AN143">
        <f t="shared" si="103"/>
        <v>0</v>
      </c>
      <c r="AO143">
        <f t="shared" si="104"/>
        <v>0</v>
      </c>
    </row>
    <row r="144" spans="1:41" x14ac:dyDescent="0.45">
      <c r="A144">
        <v>21.74669471</v>
      </c>
      <c r="B144">
        <v>116.07964629999999</v>
      </c>
      <c r="C144">
        <v>0.84558999999999995</v>
      </c>
      <c r="D144">
        <v>6.8561158200000003</v>
      </c>
      <c r="E144">
        <f t="shared" si="70"/>
        <v>0.84558999999999995</v>
      </c>
      <c r="F144">
        <f t="shared" si="71"/>
        <v>2.6281658200000004</v>
      </c>
      <c r="G144">
        <f t="shared" si="72"/>
        <v>0</v>
      </c>
      <c r="H144">
        <f t="shared" si="73"/>
        <v>0</v>
      </c>
      <c r="I144">
        <f t="shared" si="74"/>
        <v>0</v>
      </c>
      <c r="J144">
        <f t="shared" si="75"/>
        <v>0</v>
      </c>
      <c r="K144" s="1">
        <f t="shared" si="76"/>
        <v>0.84558999999999995</v>
      </c>
      <c r="L144" s="1">
        <f t="shared" si="77"/>
        <v>0</v>
      </c>
      <c r="M144" s="1">
        <f t="shared" si="78"/>
        <v>0</v>
      </c>
      <c r="N144" s="1">
        <f t="shared" si="79"/>
        <v>0</v>
      </c>
      <c r="O144" s="1">
        <f t="shared" si="80"/>
        <v>0</v>
      </c>
      <c r="P144" s="1">
        <f t="shared" si="81"/>
        <v>3.0833420197385171</v>
      </c>
      <c r="Q144" s="1">
        <f t="shared" si="82"/>
        <v>8.0435373746699117</v>
      </c>
      <c r="R144" s="1" t="e">
        <f t="shared" si="83"/>
        <v>#DIV/0!</v>
      </c>
      <c r="S144" s="1" t="e">
        <f t="shared" si="84"/>
        <v>#DIV/0!</v>
      </c>
      <c r="T144" s="1" t="e">
        <f t="shared" si="85"/>
        <v>#DIV/0!</v>
      </c>
      <c r="U144" s="1" t="e">
        <f t="shared" si="86"/>
        <v>#DIV/0!</v>
      </c>
      <c r="V144">
        <f t="shared" si="87"/>
        <v>139.18861564150183</v>
      </c>
      <c r="W144">
        <f t="shared" si="88"/>
        <v>340.6226515501217</v>
      </c>
      <c r="X144">
        <f t="shared" si="89"/>
        <v>0</v>
      </c>
      <c r="Y144">
        <f t="shared" si="90"/>
        <v>0</v>
      </c>
      <c r="Z144">
        <f t="shared" si="91"/>
        <v>0</v>
      </c>
      <c r="AA144">
        <f t="shared" si="92"/>
        <v>0</v>
      </c>
      <c r="AC144">
        <f t="shared" si="93"/>
        <v>168.58368078954067</v>
      </c>
      <c r="AD144">
        <f t="shared" si="94"/>
        <v>340.6226515501217</v>
      </c>
      <c r="AE144">
        <f t="shared" si="95"/>
        <v>0</v>
      </c>
      <c r="AF144">
        <f t="shared" si="96"/>
        <v>0</v>
      </c>
      <c r="AG144">
        <f t="shared" si="97"/>
        <v>0</v>
      </c>
      <c r="AH144">
        <f t="shared" si="98"/>
        <v>0</v>
      </c>
      <c r="AJ144">
        <f t="shared" si="99"/>
        <v>197.96874593757954</v>
      </c>
      <c r="AK144">
        <f t="shared" si="100"/>
        <v>407.89918186014603</v>
      </c>
      <c r="AL144">
        <f t="shared" si="101"/>
        <v>0</v>
      </c>
      <c r="AM144">
        <f t="shared" si="102"/>
        <v>0</v>
      </c>
      <c r="AN144">
        <f t="shared" si="103"/>
        <v>0</v>
      </c>
      <c r="AO144">
        <f t="shared" si="104"/>
        <v>0</v>
      </c>
    </row>
    <row r="145" spans="1:41" x14ac:dyDescent="0.45">
      <c r="A145">
        <v>27.06280005</v>
      </c>
      <c r="B145">
        <v>121.9788602</v>
      </c>
      <c r="C145">
        <v>6.4116277699999999</v>
      </c>
      <c r="D145">
        <v>0.83252800000000005</v>
      </c>
      <c r="E145">
        <f t="shared" si="70"/>
        <v>0.83252800000000005</v>
      </c>
      <c r="F145">
        <f t="shared" si="71"/>
        <v>0</v>
      </c>
      <c r="G145">
        <f t="shared" si="72"/>
        <v>0</v>
      </c>
      <c r="H145">
        <f t="shared" si="73"/>
        <v>0</v>
      </c>
      <c r="I145">
        <f t="shared" si="74"/>
        <v>0</v>
      </c>
      <c r="J145">
        <f t="shared" si="75"/>
        <v>0</v>
      </c>
      <c r="K145" s="1">
        <f t="shared" si="76"/>
        <v>0</v>
      </c>
      <c r="L145" s="1">
        <f t="shared" si="77"/>
        <v>0</v>
      </c>
      <c r="M145" s="1">
        <f t="shared" si="78"/>
        <v>0</v>
      </c>
      <c r="N145" s="1">
        <f t="shared" si="79"/>
        <v>0</v>
      </c>
      <c r="O145" s="1">
        <f t="shared" si="80"/>
        <v>0</v>
      </c>
      <c r="P145" s="1">
        <f t="shared" si="81"/>
        <v>25</v>
      </c>
      <c r="Q145" s="1" t="e">
        <f t="shared" si="82"/>
        <v>#DIV/0!</v>
      </c>
      <c r="R145" s="1" t="e">
        <f t="shared" si="83"/>
        <v>#DIV/0!</v>
      </c>
      <c r="S145" s="1" t="e">
        <f t="shared" si="84"/>
        <v>#DIV/0!</v>
      </c>
      <c r="T145" s="1" t="e">
        <f t="shared" si="85"/>
        <v>#DIV/0!</v>
      </c>
      <c r="U145" s="1" t="e">
        <f t="shared" si="86"/>
        <v>#DIV/0!</v>
      </c>
      <c r="V145">
        <f t="shared" si="87"/>
        <v>851.48</v>
      </c>
      <c r="W145">
        <f t="shared" si="88"/>
        <v>0</v>
      </c>
      <c r="X145">
        <f t="shared" si="89"/>
        <v>0</v>
      </c>
      <c r="Y145">
        <f t="shared" si="90"/>
        <v>0</v>
      </c>
      <c r="Z145">
        <f t="shared" si="91"/>
        <v>0</v>
      </c>
      <c r="AA145">
        <f t="shared" si="92"/>
        <v>0</v>
      </c>
      <c r="AC145">
        <f t="shared" si="93"/>
        <v>1045.25</v>
      </c>
      <c r="AD145">
        <f t="shared" si="94"/>
        <v>0</v>
      </c>
      <c r="AE145">
        <f t="shared" si="95"/>
        <v>0</v>
      </c>
      <c r="AF145">
        <f t="shared" si="96"/>
        <v>0</v>
      </c>
      <c r="AG145">
        <f t="shared" si="97"/>
        <v>0</v>
      </c>
      <c r="AH145">
        <f t="shared" si="98"/>
        <v>0</v>
      </c>
      <c r="AJ145">
        <f t="shared" si="99"/>
        <v>1239.01</v>
      </c>
      <c r="AK145">
        <f t="shared" si="100"/>
        <v>0</v>
      </c>
      <c r="AL145">
        <f t="shared" si="101"/>
        <v>0</v>
      </c>
      <c r="AM145">
        <f t="shared" si="102"/>
        <v>0</v>
      </c>
      <c r="AN145">
        <f t="shared" si="103"/>
        <v>0</v>
      </c>
      <c r="AO145">
        <f t="shared" si="104"/>
        <v>0</v>
      </c>
    </row>
    <row r="146" spans="1:41" x14ac:dyDescent="0.45">
      <c r="A146">
        <v>28.338897320000001</v>
      </c>
      <c r="B146">
        <v>124.9404548</v>
      </c>
      <c r="C146">
        <v>6.4015440899999998</v>
      </c>
      <c r="D146">
        <v>2.4486129299999999</v>
      </c>
      <c r="E146">
        <f t="shared" si="70"/>
        <v>2.4486129299999999</v>
      </c>
      <c r="F146">
        <f t="shared" si="71"/>
        <v>0</v>
      </c>
      <c r="G146">
        <f t="shared" si="72"/>
        <v>0</v>
      </c>
      <c r="H146">
        <f t="shared" si="73"/>
        <v>0</v>
      </c>
      <c r="I146">
        <f t="shared" si="74"/>
        <v>0</v>
      </c>
      <c r="J146">
        <f t="shared" si="75"/>
        <v>0</v>
      </c>
      <c r="K146" s="1">
        <f t="shared" si="76"/>
        <v>0</v>
      </c>
      <c r="L146" s="1">
        <f t="shared" si="77"/>
        <v>0</v>
      </c>
      <c r="M146" s="1">
        <f t="shared" si="78"/>
        <v>0</v>
      </c>
      <c r="N146" s="1">
        <f t="shared" si="79"/>
        <v>0</v>
      </c>
      <c r="O146" s="1">
        <f t="shared" si="80"/>
        <v>0</v>
      </c>
      <c r="P146" s="1">
        <f t="shared" si="81"/>
        <v>25</v>
      </c>
      <c r="Q146" s="1" t="e">
        <f t="shared" si="82"/>
        <v>#DIV/0!</v>
      </c>
      <c r="R146" s="1" t="e">
        <f t="shared" si="83"/>
        <v>#DIV/0!</v>
      </c>
      <c r="S146" s="1" t="e">
        <f t="shared" si="84"/>
        <v>#DIV/0!</v>
      </c>
      <c r="T146" s="1" t="e">
        <f t="shared" si="85"/>
        <v>#DIV/0!</v>
      </c>
      <c r="U146" s="1" t="e">
        <f t="shared" si="86"/>
        <v>#DIV/0!</v>
      </c>
      <c r="V146">
        <f t="shared" si="87"/>
        <v>851.48</v>
      </c>
      <c r="W146">
        <f t="shared" si="88"/>
        <v>0</v>
      </c>
      <c r="X146">
        <f t="shared" si="89"/>
        <v>0</v>
      </c>
      <c r="Y146">
        <f t="shared" si="90"/>
        <v>0</v>
      </c>
      <c r="Z146">
        <f t="shared" si="91"/>
        <v>0</v>
      </c>
      <c r="AA146">
        <f t="shared" si="92"/>
        <v>0</v>
      </c>
      <c r="AC146">
        <f t="shared" si="93"/>
        <v>1045.25</v>
      </c>
      <c r="AD146">
        <f t="shared" si="94"/>
        <v>0</v>
      </c>
      <c r="AE146">
        <f t="shared" si="95"/>
        <v>0</v>
      </c>
      <c r="AF146">
        <f t="shared" si="96"/>
        <v>0</v>
      </c>
      <c r="AG146">
        <f t="shared" si="97"/>
        <v>0</v>
      </c>
      <c r="AH146">
        <f t="shared" si="98"/>
        <v>0</v>
      </c>
      <c r="AJ146">
        <f t="shared" si="99"/>
        <v>1239.01</v>
      </c>
      <c r="AK146">
        <f t="shared" si="100"/>
        <v>0</v>
      </c>
      <c r="AL146">
        <f t="shared" si="101"/>
        <v>0</v>
      </c>
      <c r="AM146">
        <f t="shared" si="102"/>
        <v>0</v>
      </c>
      <c r="AN146">
        <f t="shared" si="103"/>
        <v>0</v>
      </c>
      <c r="AO146">
        <f t="shared" si="104"/>
        <v>0</v>
      </c>
    </row>
    <row r="147" spans="1:41" x14ac:dyDescent="0.45">
      <c r="A147">
        <v>28.60607933</v>
      </c>
      <c r="B147">
        <v>106.0862017</v>
      </c>
      <c r="C147">
        <v>7.7793899999999997E-3</v>
      </c>
      <c r="D147">
        <v>0.107243</v>
      </c>
      <c r="E147">
        <f t="shared" si="70"/>
        <v>7.7793899999999997E-3</v>
      </c>
      <c r="F147">
        <f t="shared" si="71"/>
        <v>6.8346050000000005E-2</v>
      </c>
      <c r="G147">
        <f t="shared" si="72"/>
        <v>2.9449100000000006E-2</v>
      </c>
      <c r="H147">
        <f t="shared" si="73"/>
        <v>0</v>
      </c>
      <c r="I147">
        <f t="shared" si="74"/>
        <v>0</v>
      </c>
      <c r="J147">
        <f t="shared" si="75"/>
        <v>0</v>
      </c>
      <c r="K147" s="1">
        <f t="shared" si="76"/>
        <v>7.7793899999999997E-3</v>
      </c>
      <c r="L147" s="1">
        <f t="shared" si="77"/>
        <v>7.7793899999999997E-3</v>
      </c>
      <c r="M147" s="1">
        <f t="shared" si="78"/>
        <v>0</v>
      </c>
      <c r="N147" s="1">
        <f t="shared" si="79"/>
        <v>0</v>
      </c>
      <c r="O147" s="1">
        <f t="shared" si="80"/>
        <v>0</v>
      </c>
      <c r="P147" s="1">
        <f t="shared" si="81"/>
        <v>1.8134959857519837</v>
      </c>
      <c r="Q147" s="1">
        <f t="shared" si="82"/>
        <v>2.8455887355596992</v>
      </c>
      <c r="R147" s="1">
        <f t="shared" si="83"/>
        <v>6.6040982576717093</v>
      </c>
      <c r="S147" s="1" t="e">
        <f t="shared" si="84"/>
        <v>#DIV/0!</v>
      </c>
      <c r="T147" s="1" t="e">
        <f t="shared" si="85"/>
        <v>#DIV/0!</v>
      </c>
      <c r="U147" s="1" t="e">
        <f t="shared" si="86"/>
        <v>#DIV/0!</v>
      </c>
      <c r="V147">
        <f t="shared" si="87"/>
        <v>97.918619536939474</v>
      </c>
      <c r="W147">
        <f t="shared" si="88"/>
        <v>145.69957758348872</v>
      </c>
      <c r="X147" t="e">
        <f t="shared" si="89"/>
        <v>#DIV/0!</v>
      </c>
      <c r="Y147">
        <f t="shared" si="90"/>
        <v>0</v>
      </c>
      <c r="Z147">
        <f t="shared" si="91"/>
        <v>0</v>
      </c>
      <c r="AA147">
        <f t="shared" si="92"/>
        <v>0</v>
      </c>
      <c r="AC147">
        <f t="shared" si="93"/>
        <v>117.78983943007935</v>
      </c>
      <c r="AD147">
        <f t="shared" si="94"/>
        <v>145.69957758348872</v>
      </c>
      <c r="AE147">
        <f t="shared" si="95"/>
        <v>246.30319337433053</v>
      </c>
      <c r="AF147">
        <f t="shared" si="96"/>
        <v>0</v>
      </c>
      <c r="AG147">
        <f t="shared" si="97"/>
        <v>0</v>
      </c>
      <c r="AH147">
        <f t="shared" si="98"/>
        <v>0</v>
      </c>
      <c r="AJ147">
        <f t="shared" si="99"/>
        <v>137.65105932321922</v>
      </c>
      <c r="AK147">
        <f t="shared" si="100"/>
        <v>173.99149310018646</v>
      </c>
      <c r="AL147">
        <f t="shared" si="101"/>
        <v>316.87417595104762</v>
      </c>
      <c r="AM147">
        <f t="shared" si="102"/>
        <v>0</v>
      </c>
      <c r="AN147">
        <f t="shared" si="103"/>
        <v>0</v>
      </c>
      <c r="AO147">
        <f t="shared" si="104"/>
        <v>0</v>
      </c>
    </row>
    <row r="148" spans="1:41" x14ac:dyDescent="0.45">
      <c r="A148">
        <v>28.615924450000001</v>
      </c>
      <c r="B148">
        <v>125.2132826</v>
      </c>
      <c r="C148">
        <v>38.936824799999997</v>
      </c>
      <c r="D148">
        <v>0.112636</v>
      </c>
      <c r="E148">
        <f t="shared" si="70"/>
        <v>0.112636</v>
      </c>
      <c r="F148">
        <f t="shared" si="71"/>
        <v>0</v>
      </c>
      <c r="G148">
        <f t="shared" si="72"/>
        <v>0</v>
      </c>
      <c r="H148">
        <f t="shared" si="73"/>
        <v>0</v>
      </c>
      <c r="I148">
        <f t="shared" si="74"/>
        <v>0</v>
      </c>
      <c r="J148">
        <f t="shared" si="75"/>
        <v>0</v>
      </c>
      <c r="K148" s="1">
        <f t="shared" si="76"/>
        <v>0</v>
      </c>
      <c r="L148" s="1">
        <f t="shared" si="77"/>
        <v>0</v>
      </c>
      <c r="M148" s="1">
        <f t="shared" si="78"/>
        <v>0</v>
      </c>
      <c r="N148" s="1">
        <f t="shared" si="79"/>
        <v>0</v>
      </c>
      <c r="O148" s="1">
        <f t="shared" si="80"/>
        <v>0</v>
      </c>
      <c r="P148" s="1">
        <f t="shared" si="81"/>
        <v>25</v>
      </c>
      <c r="Q148" s="1" t="e">
        <f t="shared" si="82"/>
        <v>#DIV/0!</v>
      </c>
      <c r="R148" s="1" t="e">
        <f t="shared" si="83"/>
        <v>#DIV/0!</v>
      </c>
      <c r="S148" s="1" t="e">
        <f t="shared" si="84"/>
        <v>#DIV/0!</v>
      </c>
      <c r="T148" s="1" t="e">
        <f t="shared" si="85"/>
        <v>#DIV/0!</v>
      </c>
      <c r="U148" s="1" t="e">
        <f t="shared" si="86"/>
        <v>#DIV/0!</v>
      </c>
      <c r="V148">
        <f t="shared" si="87"/>
        <v>851.48</v>
      </c>
      <c r="W148">
        <f t="shared" si="88"/>
        <v>0</v>
      </c>
      <c r="X148">
        <f t="shared" si="89"/>
        <v>0</v>
      </c>
      <c r="Y148">
        <f t="shared" si="90"/>
        <v>0</v>
      </c>
      <c r="Z148">
        <f t="shared" si="91"/>
        <v>0</v>
      </c>
      <c r="AA148">
        <f t="shared" si="92"/>
        <v>0</v>
      </c>
      <c r="AC148">
        <f t="shared" si="93"/>
        <v>1045.25</v>
      </c>
      <c r="AD148">
        <f t="shared" si="94"/>
        <v>0</v>
      </c>
      <c r="AE148">
        <f t="shared" si="95"/>
        <v>0</v>
      </c>
      <c r="AF148">
        <f t="shared" si="96"/>
        <v>0</v>
      </c>
      <c r="AG148">
        <f t="shared" si="97"/>
        <v>0</v>
      </c>
      <c r="AH148">
        <f t="shared" si="98"/>
        <v>0</v>
      </c>
      <c r="AJ148">
        <f t="shared" si="99"/>
        <v>1239.01</v>
      </c>
      <c r="AK148">
        <f t="shared" si="100"/>
        <v>0</v>
      </c>
      <c r="AL148">
        <f t="shared" si="101"/>
        <v>0</v>
      </c>
      <c r="AM148">
        <f t="shared" si="102"/>
        <v>0</v>
      </c>
      <c r="AN148">
        <f t="shared" si="103"/>
        <v>0</v>
      </c>
      <c r="AO148">
        <f t="shared" si="104"/>
        <v>0</v>
      </c>
    </row>
    <row r="149" spans="1:41" x14ac:dyDescent="0.45">
      <c r="A149">
        <v>28.72320156</v>
      </c>
      <c r="B149">
        <v>125.1322882</v>
      </c>
      <c r="C149">
        <v>36.828468319999999</v>
      </c>
      <c r="D149">
        <v>2.2600700900000001</v>
      </c>
      <c r="E149">
        <f t="shared" si="70"/>
        <v>2.2600700900000001</v>
      </c>
      <c r="F149">
        <f t="shared" si="71"/>
        <v>0</v>
      </c>
      <c r="G149">
        <f t="shared" si="72"/>
        <v>0</v>
      </c>
      <c r="H149">
        <f t="shared" si="73"/>
        <v>0</v>
      </c>
      <c r="I149">
        <f t="shared" si="74"/>
        <v>0</v>
      </c>
      <c r="J149">
        <f t="shared" si="75"/>
        <v>0</v>
      </c>
      <c r="K149" s="1">
        <f t="shared" si="76"/>
        <v>0</v>
      </c>
      <c r="L149" s="1">
        <f t="shared" si="77"/>
        <v>0</v>
      </c>
      <c r="M149" s="1">
        <f t="shared" si="78"/>
        <v>0</v>
      </c>
      <c r="N149" s="1">
        <f t="shared" si="79"/>
        <v>0</v>
      </c>
      <c r="O149" s="1">
        <f t="shared" si="80"/>
        <v>0</v>
      </c>
      <c r="P149" s="1">
        <f t="shared" si="81"/>
        <v>25</v>
      </c>
      <c r="Q149" s="1" t="e">
        <f t="shared" si="82"/>
        <v>#DIV/0!</v>
      </c>
      <c r="R149" s="1" t="e">
        <f t="shared" si="83"/>
        <v>#DIV/0!</v>
      </c>
      <c r="S149" s="1" t="e">
        <f t="shared" si="84"/>
        <v>#DIV/0!</v>
      </c>
      <c r="T149" s="1" t="e">
        <f t="shared" si="85"/>
        <v>#DIV/0!</v>
      </c>
      <c r="U149" s="1" t="e">
        <f t="shared" si="86"/>
        <v>#DIV/0!</v>
      </c>
      <c r="V149">
        <f t="shared" si="87"/>
        <v>851.48</v>
      </c>
      <c r="W149">
        <f t="shared" si="88"/>
        <v>0</v>
      </c>
      <c r="X149">
        <f t="shared" si="89"/>
        <v>0</v>
      </c>
      <c r="Y149">
        <f t="shared" si="90"/>
        <v>0</v>
      </c>
      <c r="Z149">
        <f t="shared" si="91"/>
        <v>0</v>
      </c>
      <c r="AA149">
        <f t="shared" si="92"/>
        <v>0</v>
      </c>
      <c r="AC149">
        <f t="shared" si="93"/>
        <v>1045.25</v>
      </c>
      <c r="AD149">
        <f t="shared" si="94"/>
        <v>0</v>
      </c>
      <c r="AE149">
        <f t="shared" si="95"/>
        <v>0</v>
      </c>
      <c r="AF149">
        <f t="shared" si="96"/>
        <v>0</v>
      </c>
      <c r="AG149">
        <f t="shared" si="97"/>
        <v>0</v>
      </c>
      <c r="AH149">
        <f t="shared" si="98"/>
        <v>0</v>
      </c>
      <c r="AJ149">
        <f t="shared" si="99"/>
        <v>1239.01</v>
      </c>
      <c r="AK149">
        <f t="shared" si="100"/>
        <v>0</v>
      </c>
      <c r="AL149">
        <f t="shared" si="101"/>
        <v>0</v>
      </c>
      <c r="AM149">
        <f t="shared" si="102"/>
        <v>0</v>
      </c>
      <c r="AN149">
        <f t="shared" si="103"/>
        <v>0</v>
      </c>
      <c r="AO149">
        <f t="shared" si="104"/>
        <v>0</v>
      </c>
    </row>
    <row r="150" spans="1:41" x14ac:dyDescent="0.45">
      <c r="A150">
        <v>28.758788670000001</v>
      </c>
      <c r="B150">
        <v>124.9294289</v>
      </c>
      <c r="C150">
        <v>38.395996089999997</v>
      </c>
      <c r="D150">
        <v>0.24486100999999999</v>
      </c>
      <c r="E150">
        <f t="shared" si="70"/>
        <v>0.24486100999999999</v>
      </c>
      <c r="F150">
        <f t="shared" si="71"/>
        <v>0</v>
      </c>
      <c r="G150">
        <f t="shared" si="72"/>
        <v>0</v>
      </c>
      <c r="H150">
        <f t="shared" si="73"/>
        <v>0</v>
      </c>
      <c r="I150">
        <f t="shared" si="74"/>
        <v>0</v>
      </c>
      <c r="J150">
        <f t="shared" si="75"/>
        <v>0</v>
      </c>
      <c r="K150" s="1">
        <f t="shared" si="76"/>
        <v>0</v>
      </c>
      <c r="L150" s="1">
        <f t="shared" si="77"/>
        <v>0</v>
      </c>
      <c r="M150" s="1">
        <f t="shared" si="78"/>
        <v>0</v>
      </c>
      <c r="N150" s="1">
        <f t="shared" si="79"/>
        <v>0</v>
      </c>
      <c r="O150" s="1">
        <f t="shared" si="80"/>
        <v>0</v>
      </c>
      <c r="P150" s="1">
        <f t="shared" si="81"/>
        <v>25</v>
      </c>
      <c r="Q150" s="1" t="e">
        <f t="shared" si="82"/>
        <v>#DIV/0!</v>
      </c>
      <c r="R150" s="1" t="e">
        <f t="shared" si="83"/>
        <v>#DIV/0!</v>
      </c>
      <c r="S150" s="1" t="e">
        <f t="shared" si="84"/>
        <v>#DIV/0!</v>
      </c>
      <c r="T150" s="1" t="e">
        <f t="shared" si="85"/>
        <v>#DIV/0!</v>
      </c>
      <c r="U150" s="1" t="e">
        <f t="shared" si="86"/>
        <v>#DIV/0!</v>
      </c>
      <c r="V150">
        <f t="shared" si="87"/>
        <v>851.48</v>
      </c>
      <c r="W150">
        <f t="shared" si="88"/>
        <v>0</v>
      </c>
      <c r="X150">
        <f t="shared" si="89"/>
        <v>0</v>
      </c>
      <c r="Y150">
        <f t="shared" si="90"/>
        <v>0</v>
      </c>
      <c r="Z150">
        <f t="shared" si="91"/>
        <v>0</v>
      </c>
      <c r="AA150">
        <f t="shared" si="92"/>
        <v>0</v>
      </c>
      <c r="AC150">
        <f t="shared" si="93"/>
        <v>1045.25</v>
      </c>
      <c r="AD150">
        <f t="shared" si="94"/>
        <v>0</v>
      </c>
      <c r="AE150">
        <f t="shared" si="95"/>
        <v>0</v>
      </c>
      <c r="AF150">
        <f t="shared" si="96"/>
        <v>0</v>
      </c>
      <c r="AG150">
        <f t="shared" si="97"/>
        <v>0</v>
      </c>
      <c r="AH150">
        <f t="shared" si="98"/>
        <v>0</v>
      </c>
      <c r="AJ150">
        <f t="shared" si="99"/>
        <v>1239.01</v>
      </c>
      <c r="AK150">
        <f t="shared" si="100"/>
        <v>0</v>
      </c>
      <c r="AL150">
        <f t="shared" si="101"/>
        <v>0</v>
      </c>
      <c r="AM150">
        <f t="shared" si="102"/>
        <v>0</v>
      </c>
      <c r="AN150">
        <f t="shared" si="103"/>
        <v>0</v>
      </c>
      <c r="AO150">
        <f t="shared" si="104"/>
        <v>0</v>
      </c>
    </row>
    <row r="151" spans="1:41" x14ac:dyDescent="0.45">
      <c r="A151">
        <v>28.782323359999999</v>
      </c>
      <c r="B151">
        <v>104.8447189</v>
      </c>
      <c r="C151">
        <v>1.096317E-2</v>
      </c>
      <c r="D151">
        <v>1.1370999799999999</v>
      </c>
      <c r="E151">
        <f t="shared" si="70"/>
        <v>1.096317E-2</v>
      </c>
      <c r="F151">
        <f t="shared" si="71"/>
        <v>1.0822841299999999</v>
      </c>
      <c r="G151">
        <f t="shared" si="72"/>
        <v>1.0274682799999999</v>
      </c>
      <c r="H151">
        <f t="shared" si="73"/>
        <v>0.9726524299999999</v>
      </c>
      <c r="I151">
        <f t="shared" si="74"/>
        <v>0.9178365799999999</v>
      </c>
      <c r="J151">
        <f t="shared" si="75"/>
        <v>0.8630207299999999</v>
      </c>
      <c r="K151" s="1">
        <f t="shared" si="76"/>
        <v>1.096317E-2</v>
      </c>
      <c r="L151" s="1">
        <f t="shared" si="77"/>
        <v>1.096317E-2</v>
      </c>
      <c r="M151" s="1">
        <f t="shared" si="78"/>
        <v>1.096317E-2</v>
      </c>
      <c r="N151" s="1">
        <f t="shared" si="79"/>
        <v>1.096317E-2</v>
      </c>
      <c r="O151" s="1">
        <f t="shared" si="80"/>
        <v>1.096317E-2</v>
      </c>
      <c r="P151" s="1">
        <f t="shared" si="81"/>
        <v>1</v>
      </c>
      <c r="Q151" s="1">
        <f t="shared" si="82"/>
        <v>1</v>
      </c>
      <c r="R151" s="1">
        <f t="shared" si="83"/>
        <v>1</v>
      </c>
      <c r="S151" s="1">
        <f t="shared" si="84"/>
        <v>1</v>
      </c>
      <c r="T151" s="1">
        <f t="shared" si="85"/>
        <v>1</v>
      </c>
      <c r="U151" s="1">
        <f t="shared" si="86"/>
        <v>1</v>
      </c>
      <c r="V151">
        <f t="shared" si="87"/>
        <v>71.48</v>
      </c>
      <c r="W151">
        <f t="shared" si="88"/>
        <v>76.489999999999995</v>
      </c>
      <c r="X151">
        <f t="shared" si="89"/>
        <v>52.14</v>
      </c>
      <c r="Y151">
        <f t="shared" si="90"/>
        <v>38.1</v>
      </c>
      <c r="Z151">
        <f t="shared" si="91"/>
        <v>32.120000000000005</v>
      </c>
      <c r="AA151">
        <f t="shared" si="92"/>
        <v>30.03</v>
      </c>
      <c r="AC151">
        <f t="shared" si="93"/>
        <v>85.25</v>
      </c>
      <c r="AD151">
        <f t="shared" si="94"/>
        <v>76.489999999999995</v>
      </c>
      <c r="AE151">
        <f t="shared" si="95"/>
        <v>64.17</v>
      </c>
      <c r="AF151">
        <f t="shared" si="96"/>
        <v>49.84</v>
      </c>
      <c r="AG151">
        <f t="shared" si="97"/>
        <v>48.34</v>
      </c>
      <c r="AH151">
        <f t="shared" si="98"/>
        <v>41.36</v>
      </c>
      <c r="AJ151">
        <f t="shared" si="99"/>
        <v>99.009999999999991</v>
      </c>
      <c r="AK151">
        <f t="shared" si="100"/>
        <v>90.94</v>
      </c>
      <c r="AL151">
        <f t="shared" si="101"/>
        <v>78.7</v>
      </c>
      <c r="AM151">
        <f t="shared" si="102"/>
        <v>67.430000000000007</v>
      </c>
      <c r="AN151">
        <f t="shared" si="103"/>
        <v>62.56</v>
      </c>
      <c r="AO151">
        <f t="shared" si="104"/>
        <v>55.19</v>
      </c>
    </row>
    <row r="152" spans="1:41" x14ac:dyDescent="0.45">
      <c r="A152">
        <v>28.865887050000001</v>
      </c>
      <c r="B152">
        <v>124.8479419</v>
      </c>
      <c r="C152">
        <v>2.75962591</v>
      </c>
      <c r="D152">
        <v>3.6729190300000001</v>
      </c>
      <c r="E152">
        <f t="shared" si="70"/>
        <v>2.75962591</v>
      </c>
      <c r="F152">
        <f t="shared" si="71"/>
        <v>0</v>
      </c>
      <c r="G152">
        <f t="shared" si="72"/>
        <v>0</v>
      </c>
      <c r="H152">
        <f t="shared" si="73"/>
        <v>0</v>
      </c>
      <c r="I152">
        <f t="shared" si="74"/>
        <v>0</v>
      </c>
      <c r="J152">
        <f t="shared" si="75"/>
        <v>0</v>
      </c>
      <c r="K152" s="1">
        <f t="shared" si="76"/>
        <v>0</v>
      </c>
      <c r="L152" s="1">
        <f t="shared" si="77"/>
        <v>0</v>
      </c>
      <c r="M152" s="1">
        <f t="shared" si="78"/>
        <v>0</v>
      </c>
      <c r="N152" s="1">
        <f t="shared" si="79"/>
        <v>0</v>
      </c>
      <c r="O152" s="1">
        <f t="shared" si="80"/>
        <v>0</v>
      </c>
      <c r="P152" s="1">
        <f t="shared" si="81"/>
        <v>18.783601594941775</v>
      </c>
      <c r="Q152" s="1" t="e">
        <f t="shared" si="82"/>
        <v>#DIV/0!</v>
      </c>
      <c r="R152" s="1" t="e">
        <f t="shared" si="83"/>
        <v>#DIV/0!</v>
      </c>
      <c r="S152" s="1" t="e">
        <f t="shared" si="84"/>
        <v>#DIV/0!</v>
      </c>
      <c r="T152" s="1" t="e">
        <f t="shared" si="85"/>
        <v>#DIV/0!</v>
      </c>
      <c r="U152" s="1" t="e">
        <f t="shared" si="86"/>
        <v>#DIV/0!</v>
      </c>
      <c r="V152">
        <f t="shared" si="87"/>
        <v>649.44705183560768</v>
      </c>
      <c r="W152">
        <f t="shared" si="88"/>
        <v>0</v>
      </c>
      <c r="X152">
        <f t="shared" si="89"/>
        <v>0</v>
      </c>
      <c r="Y152">
        <f t="shared" si="90"/>
        <v>0</v>
      </c>
      <c r="Z152">
        <f t="shared" si="91"/>
        <v>0</v>
      </c>
      <c r="AA152">
        <f t="shared" si="92"/>
        <v>0</v>
      </c>
      <c r="AC152">
        <f t="shared" si="93"/>
        <v>796.59406379767097</v>
      </c>
      <c r="AD152">
        <f t="shared" si="94"/>
        <v>0</v>
      </c>
      <c r="AE152">
        <f t="shared" si="95"/>
        <v>0</v>
      </c>
      <c r="AF152">
        <f t="shared" si="96"/>
        <v>0</v>
      </c>
      <c r="AG152">
        <f t="shared" si="97"/>
        <v>0</v>
      </c>
      <c r="AH152">
        <f t="shared" si="98"/>
        <v>0</v>
      </c>
      <c r="AJ152">
        <f t="shared" si="99"/>
        <v>943.73107575973427</v>
      </c>
      <c r="AK152">
        <f t="shared" si="100"/>
        <v>0</v>
      </c>
      <c r="AL152">
        <f t="shared" si="101"/>
        <v>0</v>
      </c>
      <c r="AM152">
        <f t="shared" si="102"/>
        <v>0</v>
      </c>
      <c r="AN152">
        <f t="shared" si="103"/>
        <v>0</v>
      </c>
      <c r="AO152">
        <f t="shared" si="104"/>
        <v>0</v>
      </c>
    </row>
    <row r="153" spans="1:41" x14ac:dyDescent="0.45">
      <c r="A153">
        <v>28.877602020000001</v>
      </c>
      <c r="B153">
        <v>106.65619940000001</v>
      </c>
      <c r="C153">
        <v>7.7793899999999997E-3</v>
      </c>
      <c r="D153">
        <v>1.0635230499999999</v>
      </c>
      <c r="E153">
        <f t="shared" si="70"/>
        <v>7.7793899999999997E-3</v>
      </c>
      <c r="F153">
        <f t="shared" si="71"/>
        <v>1.0246260999999999</v>
      </c>
      <c r="G153">
        <f t="shared" si="72"/>
        <v>0.98572914999999994</v>
      </c>
      <c r="H153">
        <f t="shared" si="73"/>
        <v>0.9468321999999999</v>
      </c>
      <c r="I153">
        <f t="shared" si="74"/>
        <v>0.90793524999999997</v>
      </c>
      <c r="J153">
        <f t="shared" si="75"/>
        <v>0.86903829999999993</v>
      </c>
      <c r="K153" s="1">
        <f t="shared" si="76"/>
        <v>7.7793899999999997E-3</v>
      </c>
      <c r="L153" s="1">
        <f t="shared" si="77"/>
        <v>7.7793899999999997E-3</v>
      </c>
      <c r="M153" s="1">
        <f t="shared" si="78"/>
        <v>7.7793899999999997E-3</v>
      </c>
      <c r="N153" s="1">
        <f t="shared" si="79"/>
        <v>7.7793899999999997E-3</v>
      </c>
      <c r="O153" s="1">
        <f t="shared" si="80"/>
        <v>7.7793899999999997E-3</v>
      </c>
      <c r="P153" s="1">
        <f t="shared" si="81"/>
        <v>1</v>
      </c>
      <c r="Q153" s="1">
        <f t="shared" si="82"/>
        <v>1</v>
      </c>
      <c r="R153" s="1">
        <f t="shared" si="83"/>
        <v>1</v>
      </c>
      <c r="S153" s="1">
        <f t="shared" si="84"/>
        <v>1</v>
      </c>
      <c r="T153" s="1">
        <f t="shared" si="85"/>
        <v>1</v>
      </c>
      <c r="U153" s="1">
        <f t="shared" si="86"/>
        <v>1</v>
      </c>
      <c r="V153">
        <f t="shared" si="87"/>
        <v>71.48</v>
      </c>
      <c r="W153">
        <f t="shared" si="88"/>
        <v>76.489999999999995</v>
      </c>
      <c r="X153">
        <f t="shared" si="89"/>
        <v>52.14</v>
      </c>
      <c r="Y153">
        <f t="shared" si="90"/>
        <v>38.1</v>
      </c>
      <c r="Z153">
        <f t="shared" si="91"/>
        <v>32.120000000000005</v>
      </c>
      <c r="AA153">
        <f t="shared" si="92"/>
        <v>30.03</v>
      </c>
      <c r="AC153">
        <f t="shared" si="93"/>
        <v>85.25</v>
      </c>
      <c r="AD153">
        <f t="shared" si="94"/>
        <v>76.489999999999995</v>
      </c>
      <c r="AE153">
        <f t="shared" si="95"/>
        <v>64.17</v>
      </c>
      <c r="AF153">
        <f t="shared" si="96"/>
        <v>49.84</v>
      </c>
      <c r="AG153">
        <f t="shared" si="97"/>
        <v>48.34</v>
      </c>
      <c r="AH153">
        <f t="shared" si="98"/>
        <v>41.36</v>
      </c>
      <c r="AJ153">
        <f t="shared" si="99"/>
        <v>99.009999999999991</v>
      </c>
      <c r="AK153">
        <f t="shared" si="100"/>
        <v>90.94</v>
      </c>
      <c r="AL153">
        <f t="shared" si="101"/>
        <v>78.7</v>
      </c>
      <c r="AM153">
        <f t="shared" si="102"/>
        <v>67.430000000000007</v>
      </c>
      <c r="AN153">
        <f t="shared" si="103"/>
        <v>62.56</v>
      </c>
      <c r="AO153">
        <f t="shared" si="104"/>
        <v>55.19</v>
      </c>
    </row>
    <row r="154" spans="1:41" x14ac:dyDescent="0.45">
      <c r="A154">
        <v>28.955630970000001</v>
      </c>
      <c r="B154">
        <v>125.1323223</v>
      </c>
      <c r="C154">
        <v>13.43220043</v>
      </c>
      <c r="D154">
        <v>1.4691679499999999</v>
      </c>
      <c r="E154">
        <f t="shared" si="70"/>
        <v>1.4691679499999999</v>
      </c>
      <c r="F154">
        <f t="shared" si="71"/>
        <v>0</v>
      </c>
      <c r="G154">
        <f t="shared" si="72"/>
        <v>0</v>
      </c>
      <c r="H154">
        <f t="shared" si="73"/>
        <v>0</v>
      </c>
      <c r="I154">
        <f t="shared" si="74"/>
        <v>0</v>
      </c>
      <c r="J154">
        <f t="shared" si="75"/>
        <v>0</v>
      </c>
      <c r="K154" s="1">
        <f t="shared" si="76"/>
        <v>0</v>
      </c>
      <c r="L154" s="1">
        <f t="shared" si="77"/>
        <v>0</v>
      </c>
      <c r="M154" s="1">
        <f t="shared" si="78"/>
        <v>0</v>
      </c>
      <c r="N154" s="1">
        <f t="shared" si="79"/>
        <v>0</v>
      </c>
      <c r="O154" s="1">
        <f t="shared" si="80"/>
        <v>0</v>
      </c>
      <c r="P154" s="1">
        <f t="shared" si="81"/>
        <v>25</v>
      </c>
      <c r="Q154" s="1" t="e">
        <f t="shared" si="82"/>
        <v>#DIV/0!</v>
      </c>
      <c r="R154" s="1" t="e">
        <f t="shared" si="83"/>
        <v>#DIV/0!</v>
      </c>
      <c r="S154" s="1" t="e">
        <f t="shared" si="84"/>
        <v>#DIV/0!</v>
      </c>
      <c r="T154" s="1" t="e">
        <f t="shared" si="85"/>
        <v>#DIV/0!</v>
      </c>
      <c r="U154" s="1" t="e">
        <f t="shared" si="86"/>
        <v>#DIV/0!</v>
      </c>
      <c r="V154">
        <f t="shared" si="87"/>
        <v>851.48</v>
      </c>
      <c r="W154">
        <f t="shared" si="88"/>
        <v>0</v>
      </c>
      <c r="X154">
        <f t="shared" si="89"/>
        <v>0</v>
      </c>
      <c r="Y154">
        <f t="shared" si="90"/>
        <v>0</v>
      </c>
      <c r="Z154">
        <f t="shared" si="91"/>
        <v>0</v>
      </c>
      <c r="AA154">
        <f t="shared" si="92"/>
        <v>0</v>
      </c>
      <c r="AC154">
        <f t="shared" si="93"/>
        <v>1045.25</v>
      </c>
      <c r="AD154">
        <f t="shared" si="94"/>
        <v>0</v>
      </c>
      <c r="AE154">
        <f t="shared" si="95"/>
        <v>0</v>
      </c>
      <c r="AF154">
        <f t="shared" si="96"/>
        <v>0</v>
      </c>
      <c r="AG154">
        <f t="shared" si="97"/>
        <v>0</v>
      </c>
      <c r="AH154">
        <f t="shared" si="98"/>
        <v>0</v>
      </c>
      <c r="AJ154">
        <f t="shared" si="99"/>
        <v>1239.01</v>
      </c>
      <c r="AK154">
        <f t="shared" si="100"/>
        <v>0</v>
      </c>
      <c r="AL154">
        <f t="shared" si="101"/>
        <v>0</v>
      </c>
      <c r="AM154">
        <f t="shared" si="102"/>
        <v>0</v>
      </c>
      <c r="AN154">
        <f t="shared" si="103"/>
        <v>0</v>
      </c>
      <c r="AO154">
        <f t="shared" si="104"/>
        <v>0</v>
      </c>
    </row>
    <row r="155" spans="1:41" x14ac:dyDescent="0.45">
      <c r="A155">
        <v>28.969173860000001</v>
      </c>
      <c r="B155">
        <v>105.4125386</v>
      </c>
      <c r="C155">
        <v>1.99775696</v>
      </c>
      <c r="D155">
        <v>1.418E-2</v>
      </c>
      <c r="E155">
        <f t="shared" si="70"/>
        <v>1.418E-2</v>
      </c>
      <c r="F155">
        <f t="shared" si="71"/>
        <v>0</v>
      </c>
      <c r="G155">
        <f t="shared" si="72"/>
        <v>0</v>
      </c>
      <c r="H155">
        <f t="shared" si="73"/>
        <v>0</v>
      </c>
      <c r="I155">
        <f t="shared" si="74"/>
        <v>0</v>
      </c>
      <c r="J155">
        <f t="shared" si="75"/>
        <v>0</v>
      </c>
      <c r="K155" s="1">
        <f t="shared" si="76"/>
        <v>0</v>
      </c>
      <c r="L155" s="1">
        <f t="shared" si="77"/>
        <v>0</v>
      </c>
      <c r="M155" s="1">
        <f t="shared" si="78"/>
        <v>0</v>
      </c>
      <c r="N155" s="1">
        <f t="shared" si="79"/>
        <v>0</v>
      </c>
      <c r="O155" s="1">
        <f t="shared" si="80"/>
        <v>0</v>
      </c>
      <c r="P155" s="1">
        <f t="shared" si="81"/>
        <v>25</v>
      </c>
      <c r="Q155" s="1" t="e">
        <f t="shared" si="82"/>
        <v>#DIV/0!</v>
      </c>
      <c r="R155" s="1" t="e">
        <f t="shared" si="83"/>
        <v>#DIV/0!</v>
      </c>
      <c r="S155" s="1" t="e">
        <f t="shared" si="84"/>
        <v>#DIV/0!</v>
      </c>
      <c r="T155" s="1" t="e">
        <f t="shared" si="85"/>
        <v>#DIV/0!</v>
      </c>
      <c r="U155" s="1" t="e">
        <f t="shared" si="86"/>
        <v>#DIV/0!</v>
      </c>
      <c r="V155">
        <f t="shared" si="87"/>
        <v>851.48</v>
      </c>
      <c r="W155">
        <f t="shared" si="88"/>
        <v>0</v>
      </c>
      <c r="X155">
        <f t="shared" si="89"/>
        <v>0</v>
      </c>
      <c r="Y155">
        <f t="shared" si="90"/>
        <v>0</v>
      </c>
      <c r="Z155">
        <f t="shared" si="91"/>
        <v>0</v>
      </c>
      <c r="AA155">
        <f t="shared" si="92"/>
        <v>0</v>
      </c>
      <c r="AC155">
        <f t="shared" si="93"/>
        <v>1045.25</v>
      </c>
      <c r="AD155">
        <f t="shared" si="94"/>
        <v>0</v>
      </c>
      <c r="AE155">
        <f t="shared" si="95"/>
        <v>0</v>
      </c>
      <c r="AF155">
        <f t="shared" si="96"/>
        <v>0</v>
      </c>
      <c r="AG155">
        <f t="shared" si="97"/>
        <v>0</v>
      </c>
      <c r="AH155">
        <f t="shared" si="98"/>
        <v>0</v>
      </c>
      <c r="AJ155">
        <f t="shared" si="99"/>
        <v>1239.01</v>
      </c>
      <c r="AK155">
        <f t="shared" si="100"/>
        <v>0</v>
      </c>
      <c r="AL155">
        <f t="shared" si="101"/>
        <v>0</v>
      </c>
      <c r="AM155">
        <f t="shared" si="102"/>
        <v>0</v>
      </c>
      <c r="AN155">
        <f t="shared" si="103"/>
        <v>0</v>
      </c>
      <c r="AO155">
        <f t="shared" si="104"/>
        <v>0</v>
      </c>
    </row>
    <row r="156" spans="1:41" x14ac:dyDescent="0.45">
      <c r="A156">
        <v>28.99123427</v>
      </c>
      <c r="B156">
        <v>124.92890920000001</v>
      </c>
      <c r="C156">
        <v>30.951210020000001</v>
      </c>
      <c r="D156">
        <v>0.24595800000000001</v>
      </c>
      <c r="E156">
        <f t="shared" si="70"/>
        <v>0.24595800000000001</v>
      </c>
      <c r="F156">
        <f t="shared" si="71"/>
        <v>0</v>
      </c>
      <c r="G156">
        <f t="shared" si="72"/>
        <v>0</v>
      </c>
      <c r="H156">
        <f t="shared" si="73"/>
        <v>0</v>
      </c>
      <c r="I156">
        <f t="shared" si="74"/>
        <v>0</v>
      </c>
      <c r="J156">
        <f t="shared" si="75"/>
        <v>0</v>
      </c>
      <c r="K156" s="1">
        <f t="shared" si="76"/>
        <v>0</v>
      </c>
      <c r="L156" s="1">
        <f t="shared" si="77"/>
        <v>0</v>
      </c>
      <c r="M156" s="1">
        <f t="shared" si="78"/>
        <v>0</v>
      </c>
      <c r="N156" s="1">
        <f t="shared" si="79"/>
        <v>0</v>
      </c>
      <c r="O156" s="1">
        <f t="shared" si="80"/>
        <v>0</v>
      </c>
      <c r="P156" s="1">
        <f t="shared" si="81"/>
        <v>25</v>
      </c>
      <c r="Q156" s="1" t="e">
        <f t="shared" si="82"/>
        <v>#DIV/0!</v>
      </c>
      <c r="R156" s="1" t="e">
        <f t="shared" si="83"/>
        <v>#DIV/0!</v>
      </c>
      <c r="S156" s="1" t="e">
        <f t="shared" si="84"/>
        <v>#DIV/0!</v>
      </c>
      <c r="T156" s="1" t="e">
        <f t="shared" si="85"/>
        <v>#DIV/0!</v>
      </c>
      <c r="U156" s="1" t="e">
        <f t="shared" si="86"/>
        <v>#DIV/0!</v>
      </c>
      <c r="V156">
        <f t="shared" si="87"/>
        <v>851.48</v>
      </c>
      <c r="W156">
        <f t="shared" si="88"/>
        <v>0</v>
      </c>
      <c r="X156">
        <f t="shared" si="89"/>
        <v>0</v>
      </c>
      <c r="Y156">
        <f t="shared" si="90"/>
        <v>0</v>
      </c>
      <c r="Z156">
        <f t="shared" si="91"/>
        <v>0</v>
      </c>
      <c r="AA156">
        <f t="shared" si="92"/>
        <v>0</v>
      </c>
      <c r="AC156">
        <f t="shared" si="93"/>
        <v>1045.25</v>
      </c>
      <c r="AD156">
        <f t="shared" si="94"/>
        <v>0</v>
      </c>
      <c r="AE156">
        <f t="shared" si="95"/>
        <v>0</v>
      </c>
      <c r="AF156">
        <f t="shared" si="96"/>
        <v>0</v>
      </c>
      <c r="AG156">
        <f t="shared" si="97"/>
        <v>0</v>
      </c>
      <c r="AH156">
        <f t="shared" si="98"/>
        <v>0</v>
      </c>
      <c r="AJ156">
        <f t="shared" si="99"/>
        <v>1239.01</v>
      </c>
      <c r="AK156">
        <f t="shared" si="100"/>
        <v>0</v>
      </c>
      <c r="AL156">
        <f t="shared" si="101"/>
        <v>0</v>
      </c>
      <c r="AM156">
        <f t="shared" si="102"/>
        <v>0</v>
      </c>
      <c r="AN156">
        <f t="shared" si="103"/>
        <v>0</v>
      </c>
      <c r="AO156">
        <f t="shared" si="104"/>
        <v>0</v>
      </c>
    </row>
    <row r="157" spans="1:41" x14ac:dyDescent="0.45">
      <c r="A157">
        <v>29.06087526</v>
      </c>
      <c r="B157">
        <v>105.5157154</v>
      </c>
      <c r="C157">
        <v>6.5144250000000001E-2</v>
      </c>
      <c r="D157">
        <v>0.489622</v>
      </c>
      <c r="E157">
        <f t="shared" si="70"/>
        <v>6.5144250000000001E-2</v>
      </c>
      <c r="F157">
        <f t="shared" si="71"/>
        <v>0.16390074999999998</v>
      </c>
      <c r="G157">
        <f t="shared" si="72"/>
        <v>0</v>
      </c>
      <c r="H157">
        <f t="shared" si="73"/>
        <v>0</v>
      </c>
      <c r="I157">
        <f t="shared" si="74"/>
        <v>0</v>
      </c>
      <c r="J157">
        <f t="shared" si="75"/>
        <v>0</v>
      </c>
      <c r="K157" s="1">
        <f t="shared" si="76"/>
        <v>6.5144250000000001E-2</v>
      </c>
      <c r="L157" s="1">
        <f t="shared" si="77"/>
        <v>0</v>
      </c>
      <c r="M157" s="1">
        <f t="shared" si="78"/>
        <v>0</v>
      </c>
      <c r="N157" s="1">
        <f t="shared" si="79"/>
        <v>0</v>
      </c>
      <c r="O157" s="1">
        <f t="shared" si="80"/>
        <v>0</v>
      </c>
      <c r="P157" s="1">
        <f t="shared" si="81"/>
        <v>3.326252190465298</v>
      </c>
      <c r="Q157" s="1">
        <f t="shared" si="82"/>
        <v>9.9365393385936311</v>
      </c>
      <c r="R157" s="1" t="e">
        <f t="shared" si="83"/>
        <v>#DIV/0!</v>
      </c>
      <c r="S157" s="1" t="e">
        <f t="shared" si="84"/>
        <v>#DIV/0!</v>
      </c>
      <c r="T157" s="1" t="e">
        <f t="shared" si="85"/>
        <v>#DIV/0!</v>
      </c>
      <c r="U157" s="1" t="e">
        <f t="shared" si="86"/>
        <v>#DIV/0!</v>
      </c>
      <c r="V157">
        <f t="shared" si="87"/>
        <v>147.08319619012218</v>
      </c>
      <c r="W157">
        <f t="shared" si="88"/>
        <v>411.61022519726117</v>
      </c>
      <c r="X157">
        <f t="shared" si="89"/>
        <v>0</v>
      </c>
      <c r="Y157">
        <f t="shared" si="90"/>
        <v>0</v>
      </c>
      <c r="Z157">
        <f t="shared" si="91"/>
        <v>0</v>
      </c>
      <c r="AA157">
        <f t="shared" si="92"/>
        <v>0</v>
      </c>
      <c r="AC157">
        <f t="shared" si="93"/>
        <v>178.30008761861191</v>
      </c>
      <c r="AD157">
        <f t="shared" si="94"/>
        <v>411.61022519726117</v>
      </c>
      <c r="AE157">
        <f t="shared" si="95"/>
        <v>0</v>
      </c>
      <c r="AF157">
        <f t="shared" si="96"/>
        <v>0</v>
      </c>
      <c r="AG157">
        <f t="shared" si="97"/>
        <v>0</v>
      </c>
      <c r="AH157">
        <f t="shared" si="98"/>
        <v>0</v>
      </c>
      <c r="AJ157">
        <f t="shared" si="99"/>
        <v>209.50697904710165</v>
      </c>
      <c r="AK157">
        <f t="shared" si="100"/>
        <v>493.08427023671339</v>
      </c>
      <c r="AL157">
        <f t="shared" si="101"/>
        <v>0</v>
      </c>
      <c r="AM157">
        <f t="shared" si="102"/>
        <v>0</v>
      </c>
      <c r="AN157">
        <f t="shared" si="103"/>
        <v>0</v>
      </c>
      <c r="AO157">
        <f t="shared" si="104"/>
        <v>0</v>
      </c>
    </row>
    <row r="158" spans="1:41" x14ac:dyDescent="0.45">
      <c r="A158">
        <v>29.08069841</v>
      </c>
      <c r="B158">
        <v>124.9490717</v>
      </c>
      <c r="C158">
        <v>46.301853180000002</v>
      </c>
      <c r="D158">
        <v>7.4144000999999999</v>
      </c>
      <c r="E158">
        <f t="shared" si="70"/>
        <v>7.4144000999999999</v>
      </c>
      <c r="F158">
        <f t="shared" si="71"/>
        <v>0</v>
      </c>
      <c r="G158">
        <f t="shared" si="72"/>
        <v>0</v>
      </c>
      <c r="H158">
        <f t="shared" si="73"/>
        <v>0</v>
      </c>
      <c r="I158">
        <f t="shared" si="74"/>
        <v>0</v>
      </c>
      <c r="J158">
        <f t="shared" si="75"/>
        <v>0</v>
      </c>
      <c r="K158" s="1">
        <f t="shared" si="76"/>
        <v>0</v>
      </c>
      <c r="L158" s="1">
        <f t="shared" si="77"/>
        <v>0</v>
      </c>
      <c r="M158" s="1">
        <f t="shared" si="78"/>
        <v>0</v>
      </c>
      <c r="N158" s="1">
        <f t="shared" si="79"/>
        <v>0</v>
      </c>
      <c r="O158" s="1">
        <f t="shared" si="80"/>
        <v>0</v>
      </c>
      <c r="P158" s="1">
        <f t="shared" si="81"/>
        <v>25</v>
      </c>
      <c r="Q158" s="1" t="e">
        <f t="shared" si="82"/>
        <v>#DIV/0!</v>
      </c>
      <c r="R158" s="1" t="e">
        <f t="shared" si="83"/>
        <v>#DIV/0!</v>
      </c>
      <c r="S158" s="1" t="e">
        <f t="shared" si="84"/>
        <v>#DIV/0!</v>
      </c>
      <c r="T158" s="1" t="e">
        <f t="shared" si="85"/>
        <v>#DIV/0!</v>
      </c>
      <c r="U158" s="1" t="e">
        <f t="shared" si="86"/>
        <v>#DIV/0!</v>
      </c>
      <c r="V158">
        <f t="shared" si="87"/>
        <v>851.48</v>
      </c>
      <c r="W158">
        <f t="shared" si="88"/>
        <v>0</v>
      </c>
      <c r="X158">
        <f t="shared" si="89"/>
        <v>0</v>
      </c>
      <c r="Y158">
        <f t="shared" si="90"/>
        <v>0</v>
      </c>
      <c r="Z158">
        <f t="shared" si="91"/>
        <v>0</v>
      </c>
      <c r="AA158">
        <f t="shared" si="92"/>
        <v>0</v>
      </c>
      <c r="AC158">
        <f t="shared" si="93"/>
        <v>1045.25</v>
      </c>
      <c r="AD158">
        <f t="shared" si="94"/>
        <v>0</v>
      </c>
      <c r="AE158">
        <f t="shared" si="95"/>
        <v>0</v>
      </c>
      <c r="AF158">
        <f t="shared" si="96"/>
        <v>0</v>
      </c>
      <c r="AG158">
        <f t="shared" si="97"/>
        <v>0</v>
      </c>
      <c r="AH158">
        <f t="shared" si="98"/>
        <v>0</v>
      </c>
      <c r="AJ158">
        <f t="shared" si="99"/>
        <v>1239.01</v>
      </c>
      <c r="AK158">
        <f t="shared" si="100"/>
        <v>0</v>
      </c>
      <c r="AL158">
        <f t="shared" si="101"/>
        <v>0</v>
      </c>
      <c r="AM158">
        <f t="shared" si="102"/>
        <v>0</v>
      </c>
      <c r="AN158">
        <f t="shared" si="103"/>
        <v>0</v>
      </c>
      <c r="AO158">
        <f t="shared" si="104"/>
        <v>0</v>
      </c>
    </row>
    <row r="159" spans="1:41" x14ac:dyDescent="0.45">
      <c r="A159">
        <v>29.214916850000002</v>
      </c>
      <c r="B159">
        <v>124.9793951</v>
      </c>
      <c r="C159">
        <v>22.05966759</v>
      </c>
      <c r="D159">
        <v>0.25710400999999999</v>
      </c>
      <c r="E159">
        <f t="shared" si="70"/>
        <v>0.25710400999999999</v>
      </c>
      <c r="F159">
        <f t="shared" si="71"/>
        <v>0</v>
      </c>
      <c r="G159">
        <f t="shared" si="72"/>
        <v>0</v>
      </c>
      <c r="H159">
        <f t="shared" si="73"/>
        <v>0</v>
      </c>
      <c r="I159">
        <f t="shared" si="74"/>
        <v>0</v>
      </c>
      <c r="J159">
        <f t="shared" si="75"/>
        <v>0</v>
      </c>
      <c r="K159" s="1">
        <f t="shared" si="76"/>
        <v>0</v>
      </c>
      <c r="L159" s="1">
        <f t="shared" si="77"/>
        <v>0</v>
      </c>
      <c r="M159" s="1">
        <f t="shared" si="78"/>
        <v>0</v>
      </c>
      <c r="N159" s="1">
        <f t="shared" si="79"/>
        <v>0</v>
      </c>
      <c r="O159" s="1">
        <f t="shared" si="80"/>
        <v>0</v>
      </c>
      <c r="P159" s="1">
        <f t="shared" si="81"/>
        <v>25</v>
      </c>
      <c r="Q159" s="1" t="e">
        <f t="shared" si="82"/>
        <v>#DIV/0!</v>
      </c>
      <c r="R159" s="1" t="e">
        <f t="shared" si="83"/>
        <v>#DIV/0!</v>
      </c>
      <c r="S159" s="1" t="e">
        <f t="shared" si="84"/>
        <v>#DIV/0!</v>
      </c>
      <c r="T159" s="1" t="e">
        <f t="shared" si="85"/>
        <v>#DIV/0!</v>
      </c>
      <c r="U159" s="1" t="e">
        <f t="shared" si="86"/>
        <v>#DIV/0!</v>
      </c>
      <c r="V159">
        <f t="shared" si="87"/>
        <v>851.48</v>
      </c>
      <c r="W159">
        <f t="shared" si="88"/>
        <v>0</v>
      </c>
      <c r="X159">
        <f t="shared" si="89"/>
        <v>0</v>
      </c>
      <c r="Y159">
        <f t="shared" si="90"/>
        <v>0</v>
      </c>
      <c r="Z159">
        <f t="shared" si="91"/>
        <v>0</v>
      </c>
      <c r="AA159">
        <f t="shared" si="92"/>
        <v>0</v>
      </c>
      <c r="AC159">
        <f t="shared" si="93"/>
        <v>1045.25</v>
      </c>
      <c r="AD159">
        <f t="shared" si="94"/>
        <v>0</v>
      </c>
      <c r="AE159">
        <f t="shared" si="95"/>
        <v>0</v>
      </c>
      <c r="AF159">
        <f t="shared" si="96"/>
        <v>0</v>
      </c>
      <c r="AG159">
        <f t="shared" si="97"/>
        <v>0</v>
      </c>
      <c r="AH159">
        <f t="shared" si="98"/>
        <v>0</v>
      </c>
      <c r="AJ159">
        <f t="shared" si="99"/>
        <v>1239.01</v>
      </c>
      <c r="AK159">
        <f t="shared" si="100"/>
        <v>0</v>
      </c>
      <c r="AL159">
        <f t="shared" si="101"/>
        <v>0</v>
      </c>
      <c r="AM159">
        <f t="shared" si="102"/>
        <v>0</v>
      </c>
      <c r="AN159">
        <f t="shared" si="103"/>
        <v>0</v>
      </c>
      <c r="AO159">
        <f t="shared" si="104"/>
        <v>0</v>
      </c>
    </row>
    <row r="160" spans="1:41" x14ac:dyDescent="0.45">
      <c r="A160">
        <v>29.331319130000001</v>
      </c>
      <c r="B160">
        <v>125.1119544</v>
      </c>
      <c r="C160">
        <v>13.775258060000001</v>
      </c>
      <c r="D160">
        <v>0.74927597999999995</v>
      </c>
      <c r="E160">
        <f t="shared" si="70"/>
        <v>0.74927597999999995</v>
      </c>
      <c r="F160">
        <f t="shared" si="71"/>
        <v>0</v>
      </c>
      <c r="G160">
        <f t="shared" si="72"/>
        <v>0</v>
      </c>
      <c r="H160">
        <f t="shared" si="73"/>
        <v>0</v>
      </c>
      <c r="I160">
        <f t="shared" si="74"/>
        <v>0</v>
      </c>
      <c r="J160">
        <f t="shared" si="75"/>
        <v>0</v>
      </c>
      <c r="K160" s="1">
        <f t="shared" si="76"/>
        <v>0</v>
      </c>
      <c r="L160" s="1">
        <f t="shared" si="77"/>
        <v>0</v>
      </c>
      <c r="M160" s="1">
        <f t="shared" si="78"/>
        <v>0</v>
      </c>
      <c r="N160" s="1">
        <f t="shared" si="79"/>
        <v>0</v>
      </c>
      <c r="O160" s="1">
        <f t="shared" si="80"/>
        <v>0</v>
      </c>
      <c r="P160" s="1">
        <f t="shared" si="81"/>
        <v>24.999999999999996</v>
      </c>
      <c r="Q160" s="1" t="e">
        <f t="shared" si="82"/>
        <v>#DIV/0!</v>
      </c>
      <c r="R160" s="1" t="e">
        <f t="shared" si="83"/>
        <v>#DIV/0!</v>
      </c>
      <c r="S160" s="1" t="e">
        <f t="shared" si="84"/>
        <v>#DIV/0!</v>
      </c>
      <c r="T160" s="1" t="e">
        <f t="shared" si="85"/>
        <v>#DIV/0!</v>
      </c>
      <c r="U160" s="1" t="e">
        <f t="shared" si="86"/>
        <v>#DIV/0!</v>
      </c>
      <c r="V160">
        <f t="shared" si="87"/>
        <v>851.4799999999999</v>
      </c>
      <c r="W160">
        <f t="shared" si="88"/>
        <v>0</v>
      </c>
      <c r="X160">
        <f t="shared" si="89"/>
        <v>0</v>
      </c>
      <c r="Y160">
        <f t="shared" si="90"/>
        <v>0</v>
      </c>
      <c r="Z160">
        <f t="shared" si="91"/>
        <v>0</v>
      </c>
      <c r="AA160">
        <f t="shared" si="92"/>
        <v>0</v>
      </c>
      <c r="AC160">
        <f t="shared" si="93"/>
        <v>1045.25</v>
      </c>
      <c r="AD160">
        <f t="shared" si="94"/>
        <v>0</v>
      </c>
      <c r="AE160">
        <f t="shared" si="95"/>
        <v>0</v>
      </c>
      <c r="AF160">
        <f t="shared" si="96"/>
        <v>0</v>
      </c>
      <c r="AG160">
        <f t="shared" si="97"/>
        <v>0</v>
      </c>
      <c r="AH160">
        <f t="shared" si="98"/>
        <v>0</v>
      </c>
      <c r="AJ160">
        <f t="shared" si="99"/>
        <v>1239.0099999999998</v>
      </c>
      <c r="AK160">
        <f t="shared" si="100"/>
        <v>0</v>
      </c>
      <c r="AL160">
        <f t="shared" si="101"/>
        <v>0</v>
      </c>
      <c r="AM160">
        <f t="shared" si="102"/>
        <v>0</v>
      </c>
      <c r="AN160">
        <f t="shared" si="103"/>
        <v>0</v>
      </c>
      <c r="AO160">
        <f t="shared" si="104"/>
        <v>0</v>
      </c>
    </row>
    <row r="161" spans="1:41" x14ac:dyDescent="0.45">
      <c r="A161">
        <v>29.376062050000002</v>
      </c>
      <c r="B161">
        <v>125.1221673</v>
      </c>
      <c r="C161">
        <v>2.8661129500000002</v>
      </c>
      <c r="D161">
        <v>3.6729190300000001</v>
      </c>
      <c r="E161">
        <f t="shared" si="70"/>
        <v>2.8661129500000002</v>
      </c>
      <c r="F161">
        <f t="shared" si="71"/>
        <v>0</v>
      </c>
      <c r="G161">
        <f t="shared" si="72"/>
        <v>0</v>
      </c>
      <c r="H161">
        <f t="shared" si="73"/>
        <v>0</v>
      </c>
      <c r="I161">
        <f t="shared" si="74"/>
        <v>0</v>
      </c>
      <c r="J161">
        <f t="shared" si="75"/>
        <v>0</v>
      </c>
      <c r="K161" s="1">
        <f t="shared" si="76"/>
        <v>0</v>
      </c>
      <c r="L161" s="1">
        <f t="shared" si="77"/>
        <v>0</v>
      </c>
      <c r="M161" s="1">
        <f t="shared" si="78"/>
        <v>0</v>
      </c>
      <c r="N161" s="1">
        <f t="shared" si="79"/>
        <v>0</v>
      </c>
      <c r="O161" s="1">
        <f t="shared" si="80"/>
        <v>0</v>
      </c>
      <c r="P161" s="1">
        <f t="shared" si="81"/>
        <v>19.508413652669063</v>
      </c>
      <c r="Q161" s="1" t="e">
        <f t="shared" si="82"/>
        <v>#DIV/0!</v>
      </c>
      <c r="R161" s="1" t="e">
        <f t="shared" si="83"/>
        <v>#DIV/0!</v>
      </c>
      <c r="S161" s="1" t="e">
        <f t="shared" si="84"/>
        <v>#DIV/0!</v>
      </c>
      <c r="T161" s="1" t="e">
        <f t="shared" si="85"/>
        <v>#DIV/0!</v>
      </c>
      <c r="U161" s="1" t="e">
        <f t="shared" si="86"/>
        <v>#DIV/0!</v>
      </c>
      <c r="V161">
        <f t="shared" si="87"/>
        <v>673.00344371174458</v>
      </c>
      <c r="W161">
        <f t="shared" si="88"/>
        <v>0</v>
      </c>
      <c r="X161">
        <f t="shared" si="89"/>
        <v>0</v>
      </c>
      <c r="Y161">
        <f t="shared" si="90"/>
        <v>0</v>
      </c>
      <c r="Z161">
        <f t="shared" si="91"/>
        <v>0</v>
      </c>
      <c r="AA161">
        <f t="shared" si="92"/>
        <v>0</v>
      </c>
      <c r="AC161">
        <f t="shared" si="93"/>
        <v>825.58654610676251</v>
      </c>
      <c r="AD161">
        <f t="shared" si="94"/>
        <v>0</v>
      </c>
      <c r="AE161">
        <f t="shared" si="95"/>
        <v>0</v>
      </c>
      <c r="AF161">
        <f t="shared" si="96"/>
        <v>0</v>
      </c>
      <c r="AG161">
        <f t="shared" si="97"/>
        <v>0</v>
      </c>
      <c r="AH161">
        <f t="shared" si="98"/>
        <v>0</v>
      </c>
      <c r="AJ161">
        <f t="shared" si="99"/>
        <v>978.15964850178045</v>
      </c>
      <c r="AK161">
        <f t="shared" si="100"/>
        <v>0</v>
      </c>
      <c r="AL161">
        <f t="shared" si="101"/>
        <v>0</v>
      </c>
      <c r="AM161">
        <f t="shared" si="102"/>
        <v>0</v>
      </c>
      <c r="AN161">
        <f t="shared" si="103"/>
        <v>0</v>
      </c>
      <c r="AO161">
        <f t="shared" si="104"/>
        <v>0</v>
      </c>
    </row>
    <row r="162" spans="1:41" x14ac:dyDescent="0.45">
      <c r="A162">
        <v>29.564021390000001</v>
      </c>
      <c r="B162">
        <v>125.11193280000001</v>
      </c>
      <c r="C162">
        <v>10.458072659999999</v>
      </c>
      <c r="D162">
        <v>1.22430599</v>
      </c>
      <c r="E162">
        <f t="shared" si="70"/>
        <v>1.22430599</v>
      </c>
      <c r="F162">
        <f t="shared" si="71"/>
        <v>0</v>
      </c>
      <c r="G162">
        <f t="shared" si="72"/>
        <v>0</v>
      </c>
      <c r="H162">
        <f t="shared" si="73"/>
        <v>0</v>
      </c>
      <c r="I162">
        <f t="shared" si="74"/>
        <v>0</v>
      </c>
      <c r="J162">
        <f t="shared" si="75"/>
        <v>0</v>
      </c>
      <c r="K162" s="1">
        <f t="shared" si="76"/>
        <v>0</v>
      </c>
      <c r="L162" s="1">
        <f t="shared" si="77"/>
        <v>0</v>
      </c>
      <c r="M162" s="1">
        <f t="shared" si="78"/>
        <v>0</v>
      </c>
      <c r="N162" s="1">
        <f t="shared" si="79"/>
        <v>0</v>
      </c>
      <c r="O162" s="1">
        <f t="shared" si="80"/>
        <v>0</v>
      </c>
      <c r="P162" s="1">
        <f t="shared" si="81"/>
        <v>25</v>
      </c>
      <c r="Q162" s="1" t="e">
        <f t="shared" si="82"/>
        <v>#DIV/0!</v>
      </c>
      <c r="R162" s="1" t="e">
        <f t="shared" si="83"/>
        <v>#DIV/0!</v>
      </c>
      <c r="S162" s="1" t="e">
        <f t="shared" si="84"/>
        <v>#DIV/0!</v>
      </c>
      <c r="T162" s="1" t="e">
        <f t="shared" si="85"/>
        <v>#DIV/0!</v>
      </c>
      <c r="U162" s="1" t="e">
        <f t="shared" si="86"/>
        <v>#DIV/0!</v>
      </c>
      <c r="V162">
        <f t="shared" si="87"/>
        <v>851.48</v>
      </c>
      <c r="W162">
        <f t="shared" si="88"/>
        <v>0</v>
      </c>
      <c r="X162">
        <f t="shared" si="89"/>
        <v>0</v>
      </c>
      <c r="Y162">
        <f t="shared" si="90"/>
        <v>0</v>
      </c>
      <c r="Z162">
        <f t="shared" si="91"/>
        <v>0</v>
      </c>
      <c r="AA162">
        <f t="shared" si="92"/>
        <v>0</v>
      </c>
      <c r="AC162">
        <f t="shared" si="93"/>
        <v>1045.25</v>
      </c>
      <c r="AD162">
        <f t="shared" si="94"/>
        <v>0</v>
      </c>
      <c r="AE162">
        <f t="shared" si="95"/>
        <v>0</v>
      </c>
      <c r="AF162">
        <f t="shared" si="96"/>
        <v>0</v>
      </c>
      <c r="AG162">
        <f t="shared" si="97"/>
        <v>0</v>
      </c>
      <c r="AH162">
        <f t="shared" si="98"/>
        <v>0</v>
      </c>
      <c r="AJ162">
        <f t="shared" si="99"/>
        <v>1239.01</v>
      </c>
      <c r="AK162">
        <f t="shared" si="100"/>
        <v>0</v>
      </c>
      <c r="AL162">
        <f t="shared" si="101"/>
        <v>0</v>
      </c>
      <c r="AM162">
        <f t="shared" si="102"/>
        <v>0</v>
      </c>
      <c r="AN162">
        <f t="shared" si="103"/>
        <v>0</v>
      </c>
      <c r="AO162">
        <f t="shared" si="104"/>
        <v>0</v>
      </c>
    </row>
    <row r="163" spans="1:41" x14ac:dyDescent="0.45">
      <c r="A163">
        <v>29.599817850000001</v>
      </c>
      <c r="B163">
        <v>125.17339389999999</v>
      </c>
      <c r="C163">
        <v>14.96850014</v>
      </c>
      <c r="D163">
        <v>0.28159001</v>
      </c>
      <c r="E163">
        <f t="shared" si="70"/>
        <v>0.28159001</v>
      </c>
      <c r="F163">
        <f t="shared" si="71"/>
        <v>0</v>
      </c>
      <c r="G163">
        <f t="shared" si="72"/>
        <v>0</v>
      </c>
      <c r="H163">
        <f t="shared" si="73"/>
        <v>0</v>
      </c>
      <c r="I163">
        <f t="shared" si="74"/>
        <v>0</v>
      </c>
      <c r="J163">
        <f t="shared" si="75"/>
        <v>0</v>
      </c>
      <c r="K163" s="1">
        <f t="shared" si="76"/>
        <v>0</v>
      </c>
      <c r="L163" s="1">
        <f t="shared" si="77"/>
        <v>0</v>
      </c>
      <c r="M163" s="1">
        <f t="shared" si="78"/>
        <v>0</v>
      </c>
      <c r="N163" s="1">
        <f t="shared" si="79"/>
        <v>0</v>
      </c>
      <c r="O163" s="1">
        <f t="shared" si="80"/>
        <v>0</v>
      </c>
      <c r="P163" s="1">
        <f t="shared" si="81"/>
        <v>25</v>
      </c>
      <c r="Q163" s="1" t="e">
        <f t="shared" si="82"/>
        <v>#DIV/0!</v>
      </c>
      <c r="R163" s="1" t="e">
        <f t="shared" si="83"/>
        <v>#DIV/0!</v>
      </c>
      <c r="S163" s="1" t="e">
        <f t="shared" si="84"/>
        <v>#DIV/0!</v>
      </c>
      <c r="T163" s="1" t="e">
        <f t="shared" si="85"/>
        <v>#DIV/0!</v>
      </c>
      <c r="U163" s="1" t="e">
        <f t="shared" si="86"/>
        <v>#DIV/0!</v>
      </c>
      <c r="V163">
        <f t="shared" si="87"/>
        <v>851.48</v>
      </c>
      <c r="W163">
        <f t="shared" si="88"/>
        <v>0</v>
      </c>
      <c r="X163">
        <f t="shared" si="89"/>
        <v>0</v>
      </c>
      <c r="Y163">
        <f t="shared" si="90"/>
        <v>0</v>
      </c>
      <c r="Z163">
        <f t="shared" si="91"/>
        <v>0</v>
      </c>
      <c r="AA163">
        <f t="shared" si="92"/>
        <v>0</v>
      </c>
      <c r="AC163">
        <f t="shared" si="93"/>
        <v>1045.25</v>
      </c>
      <c r="AD163">
        <f t="shared" si="94"/>
        <v>0</v>
      </c>
      <c r="AE163">
        <f t="shared" si="95"/>
        <v>0</v>
      </c>
      <c r="AF163">
        <f t="shared" si="96"/>
        <v>0</v>
      </c>
      <c r="AG163">
        <f t="shared" si="97"/>
        <v>0</v>
      </c>
      <c r="AH163">
        <f t="shared" si="98"/>
        <v>0</v>
      </c>
      <c r="AJ163">
        <f t="shared" si="99"/>
        <v>1239.01</v>
      </c>
      <c r="AK163">
        <f t="shared" si="100"/>
        <v>0</v>
      </c>
      <c r="AL163">
        <f t="shared" si="101"/>
        <v>0</v>
      </c>
      <c r="AM163">
        <f t="shared" si="102"/>
        <v>0</v>
      </c>
      <c r="AN163">
        <f t="shared" si="103"/>
        <v>0</v>
      </c>
      <c r="AO163">
        <f t="shared" si="104"/>
        <v>0</v>
      </c>
    </row>
    <row r="164" spans="1:41" x14ac:dyDescent="0.45">
      <c r="A164">
        <v>30.045660460000001</v>
      </c>
      <c r="B164">
        <v>113.4465783</v>
      </c>
      <c r="C164">
        <v>1.350644E-2</v>
      </c>
      <c r="D164">
        <v>9.6518999999999994E-2</v>
      </c>
      <c r="E164">
        <f t="shared" si="70"/>
        <v>1.350644E-2</v>
      </c>
      <c r="F164">
        <f t="shared" si="71"/>
        <v>2.8986799999999993E-2</v>
      </c>
      <c r="G164">
        <f t="shared" si="72"/>
        <v>0</v>
      </c>
      <c r="H164">
        <f t="shared" si="73"/>
        <v>0</v>
      </c>
      <c r="I164">
        <f t="shared" si="74"/>
        <v>0</v>
      </c>
      <c r="J164">
        <f t="shared" si="75"/>
        <v>0</v>
      </c>
      <c r="K164" s="1">
        <f t="shared" si="76"/>
        <v>1.350644E-2</v>
      </c>
      <c r="L164" s="1">
        <f t="shared" si="77"/>
        <v>0</v>
      </c>
      <c r="M164" s="1">
        <f t="shared" si="78"/>
        <v>0</v>
      </c>
      <c r="N164" s="1">
        <f t="shared" si="79"/>
        <v>0</v>
      </c>
      <c r="O164" s="1">
        <f t="shared" si="80"/>
        <v>0</v>
      </c>
      <c r="P164" s="1">
        <f t="shared" si="81"/>
        <v>3.4983889182440766</v>
      </c>
      <c r="Q164" s="1">
        <f t="shared" si="82"/>
        <v>11.6487849641906</v>
      </c>
      <c r="R164" s="1" t="e">
        <f t="shared" si="83"/>
        <v>#DIV/0!</v>
      </c>
      <c r="S164" s="1" t="e">
        <f t="shared" si="84"/>
        <v>#DIV/0!</v>
      </c>
      <c r="T164" s="1" t="e">
        <f t="shared" si="85"/>
        <v>#DIV/0!</v>
      </c>
      <c r="U164" s="1" t="e">
        <f t="shared" si="86"/>
        <v>#DIV/0!</v>
      </c>
      <c r="V164">
        <f t="shared" si="87"/>
        <v>152.67763984293248</v>
      </c>
      <c r="W164">
        <f t="shared" si="88"/>
        <v>475.81943615714749</v>
      </c>
      <c r="X164">
        <f t="shared" si="89"/>
        <v>0</v>
      </c>
      <c r="Y164">
        <f t="shared" si="90"/>
        <v>0</v>
      </c>
      <c r="Z164">
        <f t="shared" si="91"/>
        <v>0</v>
      </c>
      <c r="AA164">
        <f t="shared" si="92"/>
        <v>0</v>
      </c>
      <c r="AC164">
        <f t="shared" si="93"/>
        <v>185.18555672976305</v>
      </c>
      <c r="AD164">
        <f t="shared" si="94"/>
        <v>475.81943615714749</v>
      </c>
      <c r="AE164">
        <f t="shared" si="95"/>
        <v>0</v>
      </c>
      <c r="AF164">
        <f t="shared" si="96"/>
        <v>0</v>
      </c>
      <c r="AG164">
        <f t="shared" si="97"/>
        <v>0</v>
      </c>
      <c r="AH164">
        <f t="shared" si="98"/>
        <v>0</v>
      </c>
      <c r="AJ164">
        <f t="shared" si="99"/>
        <v>217.68347361659363</v>
      </c>
      <c r="AK164">
        <f t="shared" si="100"/>
        <v>570.13532338857704</v>
      </c>
      <c r="AL164">
        <f t="shared" si="101"/>
        <v>0</v>
      </c>
      <c r="AM164">
        <f t="shared" si="102"/>
        <v>0</v>
      </c>
      <c r="AN164">
        <f t="shared" si="103"/>
        <v>0</v>
      </c>
      <c r="AO164">
        <f t="shared" si="104"/>
        <v>0</v>
      </c>
    </row>
    <row r="165" spans="1:41" x14ac:dyDescent="0.45">
      <c r="A165">
        <v>30.111668380000001</v>
      </c>
      <c r="B165">
        <v>106.1928498</v>
      </c>
      <c r="C165">
        <v>6.0797200000000003E-3</v>
      </c>
      <c r="D165">
        <v>2.2008910199999998</v>
      </c>
      <c r="E165">
        <f t="shared" si="70"/>
        <v>6.0797200000000003E-3</v>
      </c>
      <c r="F165">
        <f t="shared" si="71"/>
        <v>2.17049242</v>
      </c>
      <c r="G165">
        <f t="shared" si="72"/>
        <v>2.1400938199999997</v>
      </c>
      <c r="H165">
        <f t="shared" si="73"/>
        <v>2.1096952199999999</v>
      </c>
      <c r="I165">
        <f t="shared" si="74"/>
        <v>2.0792966199999996</v>
      </c>
      <c r="J165">
        <f t="shared" si="75"/>
        <v>2.0488980199999998</v>
      </c>
      <c r="K165" s="1">
        <f t="shared" si="76"/>
        <v>6.0797200000000003E-3</v>
      </c>
      <c r="L165" s="1">
        <f t="shared" si="77"/>
        <v>6.0797200000000003E-3</v>
      </c>
      <c r="M165" s="1">
        <f t="shared" si="78"/>
        <v>6.0797200000000003E-3</v>
      </c>
      <c r="N165" s="1">
        <f t="shared" si="79"/>
        <v>6.0797200000000003E-3</v>
      </c>
      <c r="O165" s="1">
        <f t="shared" si="80"/>
        <v>6.0797200000000003E-3</v>
      </c>
      <c r="P165" s="1">
        <f t="shared" si="81"/>
        <v>1</v>
      </c>
      <c r="Q165" s="1">
        <f t="shared" si="82"/>
        <v>1</v>
      </c>
      <c r="R165" s="1">
        <f t="shared" si="83"/>
        <v>1</v>
      </c>
      <c r="S165" s="1">
        <f t="shared" si="84"/>
        <v>1</v>
      </c>
      <c r="T165" s="1">
        <f t="shared" si="85"/>
        <v>1</v>
      </c>
      <c r="U165" s="1">
        <f t="shared" si="86"/>
        <v>1</v>
      </c>
      <c r="V165">
        <f t="shared" si="87"/>
        <v>71.48</v>
      </c>
      <c r="W165">
        <f t="shared" si="88"/>
        <v>76.489999999999995</v>
      </c>
      <c r="X165">
        <f t="shared" si="89"/>
        <v>52.14</v>
      </c>
      <c r="Y165">
        <f t="shared" si="90"/>
        <v>38.1</v>
      </c>
      <c r="Z165">
        <f t="shared" si="91"/>
        <v>32.120000000000005</v>
      </c>
      <c r="AA165">
        <f t="shared" si="92"/>
        <v>30.03</v>
      </c>
      <c r="AC165">
        <f t="shared" si="93"/>
        <v>85.25</v>
      </c>
      <c r="AD165">
        <f t="shared" si="94"/>
        <v>76.489999999999995</v>
      </c>
      <c r="AE165">
        <f t="shared" si="95"/>
        <v>64.17</v>
      </c>
      <c r="AF165">
        <f t="shared" si="96"/>
        <v>49.84</v>
      </c>
      <c r="AG165">
        <f t="shared" si="97"/>
        <v>48.34</v>
      </c>
      <c r="AH165">
        <f t="shared" si="98"/>
        <v>41.36</v>
      </c>
      <c r="AJ165">
        <f t="shared" si="99"/>
        <v>99.009999999999991</v>
      </c>
      <c r="AK165">
        <f t="shared" si="100"/>
        <v>90.94</v>
      </c>
      <c r="AL165">
        <f t="shared" si="101"/>
        <v>78.7</v>
      </c>
      <c r="AM165">
        <f t="shared" si="102"/>
        <v>67.430000000000007</v>
      </c>
      <c r="AN165">
        <f t="shared" si="103"/>
        <v>62.56</v>
      </c>
      <c r="AO165">
        <f t="shared" si="104"/>
        <v>55.19</v>
      </c>
    </row>
    <row r="166" spans="1:41" x14ac:dyDescent="0.45">
      <c r="A166">
        <v>30.11176798</v>
      </c>
      <c r="B166">
        <v>105.87753530000001</v>
      </c>
      <c r="C166">
        <v>9.7242300000000004E-3</v>
      </c>
      <c r="D166">
        <v>2.8427510300000001</v>
      </c>
      <c r="E166">
        <f t="shared" si="70"/>
        <v>9.7242300000000004E-3</v>
      </c>
      <c r="F166">
        <f t="shared" si="71"/>
        <v>2.7941298799999998</v>
      </c>
      <c r="G166">
        <f t="shared" si="72"/>
        <v>2.7455087300000001</v>
      </c>
      <c r="H166">
        <f t="shared" si="73"/>
        <v>2.6968875800000003</v>
      </c>
      <c r="I166">
        <f t="shared" si="74"/>
        <v>2.6482664300000001</v>
      </c>
      <c r="J166">
        <f t="shared" si="75"/>
        <v>2.5996452799999998</v>
      </c>
      <c r="K166" s="1">
        <f t="shared" si="76"/>
        <v>9.7242300000000004E-3</v>
      </c>
      <c r="L166" s="1">
        <f t="shared" si="77"/>
        <v>9.7242300000000004E-3</v>
      </c>
      <c r="M166" s="1">
        <f t="shared" si="78"/>
        <v>9.7242300000000004E-3</v>
      </c>
      <c r="N166" s="1">
        <f t="shared" si="79"/>
        <v>9.7242300000000004E-3</v>
      </c>
      <c r="O166" s="1">
        <f t="shared" si="80"/>
        <v>9.7242300000000004E-3</v>
      </c>
      <c r="P166" s="1">
        <f t="shared" si="81"/>
        <v>1</v>
      </c>
      <c r="Q166" s="1">
        <f t="shared" si="82"/>
        <v>1</v>
      </c>
      <c r="R166" s="1">
        <f t="shared" si="83"/>
        <v>1</v>
      </c>
      <c r="S166" s="1">
        <f t="shared" si="84"/>
        <v>1</v>
      </c>
      <c r="T166" s="1">
        <f t="shared" si="85"/>
        <v>1</v>
      </c>
      <c r="U166" s="1">
        <f t="shared" si="86"/>
        <v>1</v>
      </c>
      <c r="V166">
        <f t="shared" si="87"/>
        <v>71.48</v>
      </c>
      <c r="W166">
        <f t="shared" si="88"/>
        <v>76.489999999999995</v>
      </c>
      <c r="X166">
        <f t="shared" si="89"/>
        <v>52.14</v>
      </c>
      <c r="Y166">
        <f t="shared" si="90"/>
        <v>38.1</v>
      </c>
      <c r="Z166">
        <f t="shared" si="91"/>
        <v>32.120000000000005</v>
      </c>
      <c r="AA166">
        <f t="shared" si="92"/>
        <v>30.03</v>
      </c>
      <c r="AC166">
        <f t="shared" si="93"/>
        <v>85.25</v>
      </c>
      <c r="AD166">
        <f t="shared" si="94"/>
        <v>76.489999999999995</v>
      </c>
      <c r="AE166">
        <f t="shared" si="95"/>
        <v>64.17</v>
      </c>
      <c r="AF166">
        <f t="shared" si="96"/>
        <v>49.84</v>
      </c>
      <c r="AG166">
        <f t="shared" si="97"/>
        <v>48.34</v>
      </c>
      <c r="AH166">
        <f t="shared" si="98"/>
        <v>41.36</v>
      </c>
      <c r="AJ166">
        <f t="shared" si="99"/>
        <v>99.009999999999991</v>
      </c>
      <c r="AK166">
        <f t="shared" si="100"/>
        <v>90.94</v>
      </c>
      <c r="AL166">
        <f t="shared" si="101"/>
        <v>78.7</v>
      </c>
      <c r="AM166">
        <f t="shared" si="102"/>
        <v>67.430000000000007</v>
      </c>
      <c r="AN166">
        <f t="shared" si="103"/>
        <v>62.56</v>
      </c>
      <c r="AO166">
        <f t="shared" si="104"/>
        <v>55.19</v>
      </c>
    </row>
    <row r="167" spans="1:41" x14ac:dyDescent="0.45">
      <c r="A167">
        <v>30.113914690000001</v>
      </c>
      <c r="B167">
        <v>112.3461853</v>
      </c>
      <c r="C167">
        <v>4.0519319999999998E-2</v>
      </c>
      <c r="D167">
        <v>0.393868</v>
      </c>
      <c r="E167">
        <f t="shared" si="70"/>
        <v>4.0519319999999998E-2</v>
      </c>
      <c r="F167">
        <f t="shared" si="71"/>
        <v>0.19127140000000001</v>
      </c>
      <c r="G167">
        <f t="shared" si="72"/>
        <v>0</v>
      </c>
      <c r="H167">
        <f t="shared" si="73"/>
        <v>0</v>
      </c>
      <c r="I167">
        <f t="shared" si="74"/>
        <v>0</v>
      </c>
      <c r="J167">
        <f t="shared" si="75"/>
        <v>0</v>
      </c>
      <c r="K167" s="1">
        <f t="shared" si="76"/>
        <v>4.0519319999999998E-2</v>
      </c>
      <c r="L167" s="1">
        <f t="shared" si="77"/>
        <v>0</v>
      </c>
      <c r="M167" s="1">
        <f t="shared" si="78"/>
        <v>0</v>
      </c>
      <c r="N167" s="1">
        <f t="shared" si="79"/>
        <v>0</v>
      </c>
      <c r="O167" s="1">
        <f t="shared" si="80"/>
        <v>0</v>
      </c>
      <c r="P167" s="1">
        <f t="shared" si="81"/>
        <v>2.5718844892197383</v>
      </c>
      <c r="Q167" s="1">
        <f t="shared" si="82"/>
        <v>5.296050533430507</v>
      </c>
      <c r="R167" s="1" t="e">
        <f t="shared" si="83"/>
        <v>#DIV/0!</v>
      </c>
      <c r="S167" s="1" t="e">
        <f t="shared" si="84"/>
        <v>#DIV/0!</v>
      </c>
      <c r="T167" s="1" t="e">
        <f t="shared" si="85"/>
        <v>#DIV/0!</v>
      </c>
      <c r="U167" s="1" t="e">
        <f t="shared" si="86"/>
        <v>#DIV/0!</v>
      </c>
      <c r="V167">
        <f t="shared" si="87"/>
        <v>122.5662458996415</v>
      </c>
      <c r="W167">
        <f t="shared" si="88"/>
        <v>237.59189500364403</v>
      </c>
      <c r="X167">
        <f t="shared" si="89"/>
        <v>0</v>
      </c>
      <c r="Y167">
        <f t="shared" si="90"/>
        <v>0</v>
      </c>
      <c r="Z167">
        <f t="shared" si="91"/>
        <v>0</v>
      </c>
      <c r="AA167">
        <f t="shared" si="92"/>
        <v>0</v>
      </c>
      <c r="AC167">
        <f t="shared" si="93"/>
        <v>148.12537956878953</v>
      </c>
      <c r="AD167">
        <f t="shared" si="94"/>
        <v>237.59189500364403</v>
      </c>
      <c r="AE167">
        <f t="shared" si="95"/>
        <v>0</v>
      </c>
      <c r="AF167">
        <f t="shared" si="96"/>
        <v>0</v>
      </c>
      <c r="AG167">
        <f t="shared" si="97"/>
        <v>0</v>
      </c>
      <c r="AH167">
        <f t="shared" si="98"/>
        <v>0</v>
      </c>
      <c r="AJ167">
        <f t="shared" si="99"/>
        <v>173.67451323793756</v>
      </c>
      <c r="AK167">
        <f t="shared" si="100"/>
        <v>284.26227400437278</v>
      </c>
      <c r="AL167">
        <f t="shared" si="101"/>
        <v>0</v>
      </c>
      <c r="AM167">
        <f t="shared" si="102"/>
        <v>0</v>
      </c>
      <c r="AN167">
        <f t="shared" si="103"/>
        <v>0</v>
      </c>
      <c r="AO167">
        <f t="shared" si="104"/>
        <v>0</v>
      </c>
    </row>
    <row r="168" spans="1:41" x14ac:dyDescent="0.45">
      <c r="A168">
        <v>30.12508965</v>
      </c>
      <c r="B168">
        <v>112.9265577</v>
      </c>
      <c r="C168">
        <v>9.988785E-2</v>
      </c>
      <c r="D168">
        <v>7.2388999999999995E-2</v>
      </c>
      <c r="E168">
        <f t="shared" si="70"/>
        <v>7.2388999999999995E-2</v>
      </c>
      <c r="F168">
        <f t="shared" si="71"/>
        <v>0</v>
      </c>
      <c r="G168">
        <f t="shared" si="72"/>
        <v>0</v>
      </c>
      <c r="H168">
        <f t="shared" si="73"/>
        <v>0</v>
      </c>
      <c r="I168">
        <f t="shared" si="74"/>
        <v>0</v>
      </c>
      <c r="J168">
        <f t="shared" si="75"/>
        <v>0</v>
      </c>
      <c r="K168" s="1">
        <f t="shared" si="76"/>
        <v>0</v>
      </c>
      <c r="L168" s="1">
        <f t="shared" si="77"/>
        <v>0</v>
      </c>
      <c r="M168" s="1">
        <f t="shared" si="78"/>
        <v>0</v>
      </c>
      <c r="N168" s="1">
        <f t="shared" si="79"/>
        <v>0</v>
      </c>
      <c r="O168" s="1">
        <f t="shared" si="80"/>
        <v>0</v>
      </c>
      <c r="P168" s="1">
        <f t="shared" si="81"/>
        <v>25</v>
      </c>
      <c r="Q168" s="1" t="e">
        <f t="shared" si="82"/>
        <v>#DIV/0!</v>
      </c>
      <c r="R168" s="1" t="e">
        <f t="shared" si="83"/>
        <v>#DIV/0!</v>
      </c>
      <c r="S168" s="1" t="e">
        <f t="shared" si="84"/>
        <v>#DIV/0!</v>
      </c>
      <c r="T168" s="1" t="e">
        <f t="shared" si="85"/>
        <v>#DIV/0!</v>
      </c>
      <c r="U168" s="1" t="e">
        <f t="shared" si="86"/>
        <v>#DIV/0!</v>
      </c>
      <c r="V168">
        <f t="shared" si="87"/>
        <v>851.48</v>
      </c>
      <c r="W168">
        <f t="shared" si="88"/>
        <v>0</v>
      </c>
      <c r="X168">
        <f t="shared" si="89"/>
        <v>0</v>
      </c>
      <c r="Y168">
        <f t="shared" si="90"/>
        <v>0</v>
      </c>
      <c r="Z168">
        <f t="shared" si="91"/>
        <v>0</v>
      </c>
      <c r="AA168">
        <f t="shared" si="92"/>
        <v>0</v>
      </c>
      <c r="AC168">
        <f t="shared" si="93"/>
        <v>1045.25</v>
      </c>
      <c r="AD168">
        <f t="shared" si="94"/>
        <v>0</v>
      </c>
      <c r="AE168">
        <f t="shared" si="95"/>
        <v>0</v>
      </c>
      <c r="AF168">
        <f t="shared" si="96"/>
        <v>0</v>
      </c>
      <c r="AG168">
        <f t="shared" si="97"/>
        <v>0</v>
      </c>
      <c r="AH168">
        <f t="shared" si="98"/>
        <v>0</v>
      </c>
      <c r="AJ168">
        <f t="shared" si="99"/>
        <v>1239.01</v>
      </c>
      <c r="AK168">
        <f t="shared" si="100"/>
        <v>0</v>
      </c>
      <c r="AL168">
        <f t="shared" si="101"/>
        <v>0</v>
      </c>
      <c r="AM168">
        <f t="shared" si="102"/>
        <v>0</v>
      </c>
      <c r="AN168">
        <f t="shared" si="103"/>
        <v>0</v>
      </c>
      <c r="AO168">
        <f t="shared" si="104"/>
        <v>0</v>
      </c>
    </row>
    <row r="169" spans="1:41" x14ac:dyDescent="0.45">
      <c r="A169">
        <v>30.139929800000001</v>
      </c>
      <c r="B169">
        <v>107.9804328</v>
      </c>
      <c r="C169">
        <v>7.7793899999999997E-3</v>
      </c>
      <c r="D169">
        <v>5.2515788099999998</v>
      </c>
      <c r="E169">
        <f t="shared" si="70"/>
        <v>7.7793899999999997E-3</v>
      </c>
      <c r="F169">
        <f t="shared" si="71"/>
        <v>5.21268186</v>
      </c>
      <c r="G169">
        <f t="shared" si="72"/>
        <v>5.1737849100000002</v>
      </c>
      <c r="H169">
        <f t="shared" si="73"/>
        <v>5.1348879599999995</v>
      </c>
      <c r="I169">
        <f t="shared" si="74"/>
        <v>5.0959910099999997</v>
      </c>
      <c r="J169">
        <f t="shared" si="75"/>
        <v>5.0570940599999998</v>
      </c>
      <c r="K169" s="1">
        <f t="shared" si="76"/>
        <v>7.7793899999999997E-3</v>
      </c>
      <c r="L169" s="1">
        <f t="shared" si="77"/>
        <v>7.7793899999999997E-3</v>
      </c>
      <c r="M169" s="1">
        <f t="shared" si="78"/>
        <v>7.7793899999999997E-3</v>
      </c>
      <c r="N169" s="1">
        <f t="shared" si="79"/>
        <v>7.7793899999999997E-3</v>
      </c>
      <c r="O169" s="1">
        <f t="shared" si="80"/>
        <v>7.7793899999999997E-3</v>
      </c>
      <c r="P169" s="1">
        <f t="shared" si="81"/>
        <v>1</v>
      </c>
      <c r="Q169" s="1">
        <f t="shared" si="82"/>
        <v>1</v>
      </c>
      <c r="R169" s="1">
        <f t="shared" si="83"/>
        <v>1</v>
      </c>
      <c r="S169" s="1">
        <f t="shared" si="84"/>
        <v>1</v>
      </c>
      <c r="T169" s="1">
        <f t="shared" si="85"/>
        <v>1</v>
      </c>
      <c r="U169" s="1">
        <f t="shared" si="86"/>
        <v>1</v>
      </c>
      <c r="V169">
        <f t="shared" si="87"/>
        <v>71.48</v>
      </c>
      <c r="W169">
        <f t="shared" si="88"/>
        <v>76.489999999999995</v>
      </c>
      <c r="X169">
        <f t="shared" si="89"/>
        <v>52.14</v>
      </c>
      <c r="Y169">
        <f t="shared" si="90"/>
        <v>38.1</v>
      </c>
      <c r="Z169">
        <f t="shared" si="91"/>
        <v>32.120000000000005</v>
      </c>
      <c r="AA169">
        <f t="shared" si="92"/>
        <v>30.03</v>
      </c>
      <c r="AC169">
        <f t="shared" si="93"/>
        <v>85.25</v>
      </c>
      <c r="AD169">
        <f t="shared" si="94"/>
        <v>76.489999999999995</v>
      </c>
      <c r="AE169">
        <f t="shared" si="95"/>
        <v>64.17</v>
      </c>
      <c r="AF169">
        <f t="shared" si="96"/>
        <v>49.84</v>
      </c>
      <c r="AG169">
        <f t="shared" si="97"/>
        <v>48.34</v>
      </c>
      <c r="AH169">
        <f t="shared" si="98"/>
        <v>41.36</v>
      </c>
      <c r="AJ169">
        <f t="shared" si="99"/>
        <v>99.009999999999991</v>
      </c>
      <c r="AK169">
        <f t="shared" si="100"/>
        <v>90.94</v>
      </c>
      <c r="AL169">
        <f t="shared" si="101"/>
        <v>78.7</v>
      </c>
      <c r="AM169">
        <f t="shared" si="102"/>
        <v>67.430000000000007</v>
      </c>
      <c r="AN169">
        <f t="shared" si="103"/>
        <v>62.56</v>
      </c>
      <c r="AO169">
        <f t="shared" si="104"/>
        <v>55.19</v>
      </c>
    </row>
    <row r="170" spans="1:41" x14ac:dyDescent="0.45">
      <c r="A170">
        <v>30.147194859999999</v>
      </c>
      <c r="B170">
        <v>113.2973963</v>
      </c>
      <c r="C170">
        <v>1.350644E-2</v>
      </c>
      <c r="D170">
        <v>0.119646</v>
      </c>
      <c r="E170">
        <f t="shared" si="70"/>
        <v>1.350644E-2</v>
      </c>
      <c r="F170">
        <f t="shared" si="71"/>
        <v>5.2113800000000002E-2</v>
      </c>
      <c r="G170">
        <f t="shared" si="72"/>
        <v>0</v>
      </c>
      <c r="H170">
        <f t="shared" si="73"/>
        <v>0</v>
      </c>
      <c r="I170">
        <f t="shared" si="74"/>
        <v>0</v>
      </c>
      <c r="J170">
        <f t="shared" si="75"/>
        <v>0</v>
      </c>
      <c r="K170" s="1">
        <f t="shared" si="76"/>
        <v>1.350644E-2</v>
      </c>
      <c r="L170" s="1">
        <f t="shared" si="77"/>
        <v>0</v>
      </c>
      <c r="M170" s="1">
        <f t="shared" si="78"/>
        <v>0</v>
      </c>
      <c r="N170" s="1">
        <f t="shared" si="79"/>
        <v>0</v>
      </c>
      <c r="O170" s="1">
        <f t="shared" si="80"/>
        <v>0</v>
      </c>
      <c r="P170" s="1">
        <f t="shared" si="81"/>
        <v>2.8221670594921684</v>
      </c>
      <c r="Q170" s="1">
        <f t="shared" si="82"/>
        <v>6.4793010680472349</v>
      </c>
      <c r="R170" s="1" t="e">
        <f t="shared" si="83"/>
        <v>#DIV/0!</v>
      </c>
      <c r="S170" s="1" t="e">
        <f t="shared" si="84"/>
        <v>#DIV/0!</v>
      </c>
      <c r="T170" s="1" t="e">
        <f t="shared" si="85"/>
        <v>#DIV/0!</v>
      </c>
      <c r="U170" s="1" t="e">
        <f t="shared" si="86"/>
        <v>#DIV/0!</v>
      </c>
      <c r="V170">
        <f t="shared" si="87"/>
        <v>130.70042943349546</v>
      </c>
      <c r="W170">
        <f t="shared" si="88"/>
        <v>281.9637900517713</v>
      </c>
      <c r="X170">
        <f t="shared" si="89"/>
        <v>0</v>
      </c>
      <c r="Y170">
        <f t="shared" si="90"/>
        <v>0</v>
      </c>
      <c r="Z170">
        <f t="shared" si="91"/>
        <v>0</v>
      </c>
      <c r="AA170">
        <f t="shared" si="92"/>
        <v>0</v>
      </c>
      <c r="AC170">
        <f t="shared" si="93"/>
        <v>158.13668237968673</v>
      </c>
      <c r="AD170">
        <f t="shared" si="94"/>
        <v>281.9637900517713</v>
      </c>
      <c r="AE170">
        <f t="shared" si="95"/>
        <v>0</v>
      </c>
      <c r="AF170">
        <f t="shared" si="96"/>
        <v>0</v>
      </c>
      <c r="AG170">
        <f t="shared" si="97"/>
        <v>0</v>
      </c>
      <c r="AH170">
        <f t="shared" si="98"/>
        <v>0</v>
      </c>
      <c r="AJ170">
        <f t="shared" si="99"/>
        <v>185.56293532587799</v>
      </c>
      <c r="AK170">
        <f t="shared" si="100"/>
        <v>337.50854806212556</v>
      </c>
      <c r="AL170">
        <f t="shared" si="101"/>
        <v>0</v>
      </c>
      <c r="AM170">
        <f t="shared" si="102"/>
        <v>0</v>
      </c>
      <c r="AN170">
        <f t="shared" si="103"/>
        <v>0</v>
      </c>
      <c r="AO170">
        <f t="shared" si="104"/>
        <v>0</v>
      </c>
    </row>
    <row r="171" spans="1:41" x14ac:dyDescent="0.45">
      <c r="A171">
        <v>30.155641079999999</v>
      </c>
      <c r="B171">
        <v>105.3516685</v>
      </c>
      <c r="C171">
        <v>1.302885E-2</v>
      </c>
      <c r="D171">
        <v>0.21246301000000001</v>
      </c>
      <c r="E171">
        <f t="shared" si="70"/>
        <v>1.302885E-2</v>
      </c>
      <c r="F171">
        <f t="shared" si="71"/>
        <v>0.14731875999999999</v>
      </c>
      <c r="G171">
        <f t="shared" si="72"/>
        <v>8.2174510000000006E-2</v>
      </c>
      <c r="H171">
        <f t="shared" si="73"/>
        <v>1.7030260000000019E-2</v>
      </c>
      <c r="I171">
        <f t="shared" si="74"/>
        <v>0</v>
      </c>
      <c r="J171">
        <f t="shared" si="75"/>
        <v>0</v>
      </c>
      <c r="K171" s="1">
        <f t="shared" si="76"/>
        <v>1.302885E-2</v>
      </c>
      <c r="L171" s="1">
        <f t="shared" si="77"/>
        <v>1.302885E-2</v>
      </c>
      <c r="M171" s="1">
        <f t="shared" si="78"/>
        <v>1.302885E-2</v>
      </c>
      <c r="N171" s="1">
        <f t="shared" si="79"/>
        <v>0</v>
      </c>
      <c r="O171" s="1">
        <f t="shared" si="80"/>
        <v>0</v>
      </c>
      <c r="P171" s="1">
        <f t="shared" si="81"/>
        <v>1.5330727452275104</v>
      </c>
      <c r="Q171" s="1">
        <f t="shared" si="82"/>
        <v>2.2109964134913982</v>
      </c>
      <c r="R171" s="1">
        <f t="shared" si="83"/>
        <v>3.9637747763874711</v>
      </c>
      <c r="S171" s="1">
        <f t="shared" si="84"/>
        <v>19.1260291974403</v>
      </c>
      <c r="T171" s="1" t="e">
        <f t="shared" si="85"/>
        <v>#DIV/0!</v>
      </c>
      <c r="U171" s="1" t="e">
        <f t="shared" si="86"/>
        <v>#DIV/0!</v>
      </c>
      <c r="V171">
        <f t="shared" si="87"/>
        <v>88.804864219894085</v>
      </c>
      <c r="W171">
        <f t="shared" si="88"/>
        <v>121.90236550592742</v>
      </c>
      <c r="X171">
        <f t="shared" si="89"/>
        <v>505.29072993600749</v>
      </c>
      <c r="Y171">
        <f t="shared" si="90"/>
        <v>400.62058394880603</v>
      </c>
      <c r="Z171">
        <f t="shared" si="91"/>
        <v>0</v>
      </c>
      <c r="AA171">
        <f t="shared" si="92"/>
        <v>0</v>
      </c>
      <c r="AC171">
        <f t="shared" si="93"/>
        <v>106.57290980910042</v>
      </c>
      <c r="AD171">
        <f t="shared" si="94"/>
        <v>121.90236550592742</v>
      </c>
      <c r="AE171">
        <f t="shared" si="95"/>
        <v>160.49268023259279</v>
      </c>
      <c r="AF171">
        <f t="shared" si="96"/>
        <v>593.62087592320904</v>
      </c>
      <c r="AG171">
        <f t="shared" si="97"/>
        <v>0</v>
      </c>
      <c r="AH171">
        <f t="shared" si="98"/>
        <v>0</v>
      </c>
      <c r="AJ171">
        <f t="shared" si="99"/>
        <v>124.33095539830674</v>
      </c>
      <c r="AK171">
        <f t="shared" si="100"/>
        <v>145.43483860711291</v>
      </c>
      <c r="AL171">
        <f t="shared" si="101"/>
        <v>204.66042799646755</v>
      </c>
      <c r="AM171">
        <f t="shared" si="102"/>
        <v>747.15609490401118</v>
      </c>
      <c r="AN171">
        <f t="shared" si="103"/>
        <v>0</v>
      </c>
      <c r="AO171">
        <f t="shared" si="104"/>
        <v>0</v>
      </c>
    </row>
    <row r="172" spans="1:41" x14ac:dyDescent="0.45">
      <c r="A172">
        <v>30.185827310000001</v>
      </c>
      <c r="B172">
        <v>113.4062543</v>
      </c>
      <c r="C172">
        <v>1.350644E-2</v>
      </c>
      <c r="D172">
        <v>0.40750101</v>
      </c>
      <c r="E172">
        <f t="shared" si="70"/>
        <v>1.350644E-2</v>
      </c>
      <c r="F172">
        <f t="shared" si="71"/>
        <v>0.33996881000000001</v>
      </c>
      <c r="G172">
        <f t="shared" si="72"/>
        <v>0.27243660999999997</v>
      </c>
      <c r="H172">
        <f t="shared" si="73"/>
        <v>0.20490441000000001</v>
      </c>
      <c r="I172">
        <f t="shared" si="74"/>
        <v>0.13737220999999999</v>
      </c>
      <c r="J172">
        <f t="shared" si="75"/>
        <v>6.9840010000000008E-2</v>
      </c>
      <c r="K172" s="1">
        <f t="shared" si="76"/>
        <v>1.350644E-2</v>
      </c>
      <c r="L172" s="1">
        <f t="shared" si="77"/>
        <v>1.350644E-2</v>
      </c>
      <c r="M172" s="1">
        <f t="shared" si="78"/>
        <v>1.350644E-2</v>
      </c>
      <c r="N172" s="1">
        <f t="shared" si="79"/>
        <v>1.350644E-2</v>
      </c>
      <c r="O172" s="1">
        <f t="shared" si="80"/>
        <v>1.350644E-2</v>
      </c>
      <c r="P172" s="1">
        <f t="shared" si="81"/>
        <v>1</v>
      </c>
      <c r="Q172" s="1">
        <f t="shared" si="82"/>
        <v>1</v>
      </c>
      <c r="R172" s="1">
        <f t="shared" si="83"/>
        <v>1.2394112524010632</v>
      </c>
      <c r="S172" s="1">
        <f t="shared" si="84"/>
        <v>1.6478952307566244</v>
      </c>
      <c r="T172" s="1">
        <f t="shared" si="85"/>
        <v>2.458000784874903</v>
      </c>
      <c r="U172" s="1">
        <f t="shared" si="86"/>
        <v>4.834778803725829</v>
      </c>
      <c r="V172">
        <f t="shared" si="87"/>
        <v>71.48</v>
      </c>
      <c r="W172">
        <f t="shared" si="88"/>
        <v>76.489999999999995</v>
      </c>
      <c r="X172">
        <f t="shared" si="89"/>
        <v>68.337380768915608</v>
      </c>
      <c r="Y172">
        <f t="shared" si="90"/>
        <v>51.057904615132486</v>
      </c>
      <c r="Z172">
        <f t="shared" si="91"/>
        <v>57.635013735310807</v>
      </c>
      <c r="AA172">
        <f t="shared" si="92"/>
        <v>97.138629065202011</v>
      </c>
      <c r="AC172">
        <f t="shared" si="93"/>
        <v>85.25</v>
      </c>
      <c r="AD172">
        <f t="shared" si="94"/>
        <v>76.489999999999995</v>
      </c>
      <c r="AE172">
        <f t="shared" si="95"/>
        <v>71.950865703034552</v>
      </c>
      <c r="AF172">
        <f t="shared" si="96"/>
        <v>69.276856922698727</v>
      </c>
      <c r="AG172">
        <f t="shared" si="97"/>
        <v>49.798000784874908</v>
      </c>
      <c r="AH172">
        <f t="shared" si="98"/>
        <v>137.22947009314572</v>
      </c>
      <c r="AJ172">
        <f t="shared" si="99"/>
        <v>99.009999999999991</v>
      </c>
      <c r="AK172">
        <f t="shared" si="100"/>
        <v>90.94</v>
      </c>
      <c r="AL172">
        <f t="shared" si="101"/>
        <v>88.87497822704519</v>
      </c>
      <c r="AM172">
        <f t="shared" si="102"/>
        <v>91.726071153373411</v>
      </c>
      <c r="AN172">
        <f t="shared" si="103"/>
        <v>117.23502943280887</v>
      </c>
      <c r="AO172">
        <f t="shared" si="104"/>
        <v>189.40725813040402</v>
      </c>
    </row>
    <row r="173" spans="1:41" x14ac:dyDescent="0.45">
      <c r="A173">
        <v>30.202972119999998</v>
      </c>
      <c r="B173">
        <v>113.1439755</v>
      </c>
      <c r="C173">
        <v>69.886749269999996</v>
      </c>
      <c r="D173">
        <v>5.2516E-2</v>
      </c>
      <c r="E173">
        <f t="shared" si="70"/>
        <v>5.2516E-2</v>
      </c>
      <c r="F173">
        <f t="shared" si="71"/>
        <v>0</v>
      </c>
      <c r="G173">
        <f t="shared" si="72"/>
        <v>0</v>
      </c>
      <c r="H173">
        <f t="shared" si="73"/>
        <v>0</v>
      </c>
      <c r="I173">
        <f t="shared" si="74"/>
        <v>0</v>
      </c>
      <c r="J173">
        <f t="shared" si="75"/>
        <v>0</v>
      </c>
      <c r="K173" s="1">
        <f t="shared" si="76"/>
        <v>0</v>
      </c>
      <c r="L173" s="1">
        <f t="shared" si="77"/>
        <v>0</v>
      </c>
      <c r="M173" s="1">
        <f t="shared" si="78"/>
        <v>0</v>
      </c>
      <c r="N173" s="1">
        <f t="shared" si="79"/>
        <v>0</v>
      </c>
      <c r="O173" s="1">
        <f t="shared" si="80"/>
        <v>0</v>
      </c>
      <c r="P173" s="1">
        <f t="shared" si="81"/>
        <v>25</v>
      </c>
      <c r="Q173" s="1" t="e">
        <f t="shared" si="82"/>
        <v>#DIV/0!</v>
      </c>
      <c r="R173" s="1" t="e">
        <f t="shared" si="83"/>
        <v>#DIV/0!</v>
      </c>
      <c r="S173" s="1" t="e">
        <f t="shared" si="84"/>
        <v>#DIV/0!</v>
      </c>
      <c r="T173" s="1" t="e">
        <f t="shared" si="85"/>
        <v>#DIV/0!</v>
      </c>
      <c r="U173" s="1" t="e">
        <f t="shared" si="86"/>
        <v>#DIV/0!</v>
      </c>
      <c r="V173">
        <f t="shared" si="87"/>
        <v>851.48</v>
      </c>
      <c r="W173">
        <f t="shared" si="88"/>
        <v>0</v>
      </c>
      <c r="X173">
        <f t="shared" si="89"/>
        <v>0</v>
      </c>
      <c r="Y173">
        <f t="shared" si="90"/>
        <v>0</v>
      </c>
      <c r="Z173">
        <f t="shared" si="91"/>
        <v>0</v>
      </c>
      <c r="AA173">
        <f t="shared" si="92"/>
        <v>0</v>
      </c>
      <c r="AC173">
        <f t="shared" si="93"/>
        <v>1045.25</v>
      </c>
      <c r="AD173">
        <f t="shared" si="94"/>
        <v>0</v>
      </c>
      <c r="AE173">
        <f t="shared" si="95"/>
        <v>0</v>
      </c>
      <c r="AF173">
        <f t="shared" si="96"/>
        <v>0</v>
      </c>
      <c r="AG173">
        <f t="shared" si="97"/>
        <v>0</v>
      </c>
      <c r="AH173">
        <f t="shared" si="98"/>
        <v>0</v>
      </c>
      <c r="AJ173">
        <f t="shared" si="99"/>
        <v>1239.01</v>
      </c>
      <c r="AK173">
        <f t="shared" si="100"/>
        <v>0</v>
      </c>
      <c r="AL173">
        <f t="shared" si="101"/>
        <v>0</v>
      </c>
      <c r="AM173">
        <f t="shared" si="102"/>
        <v>0</v>
      </c>
      <c r="AN173">
        <f t="shared" si="103"/>
        <v>0</v>
      </c>
      <c r="AO173">
        <f t="shared" si="104"/>
        <v>0</v>
      </c>
    </row>
    <row r="174" spans="1:41" x14ac:dyDescent="0.45">
      <c r="A174">
        <v>30.222731849999999</v>
      </c>
      <c r="B174">
        <v>112.8291028</v>
      </c>
      <c r="C174">
        <v>5.3114275900000001</v>
      </c>
      <c r="D174">
        <v>1.7802849999999999</v>
      </c>
      <c r="E174">
        <f t="shared" si="70"/>
        <v>1.7802849999999999</v>
      </c>
      <c r="F174">
        <f t="shared" si="71"/>
        <v>0</v>
      </c>
      <c r="G174">
        <f t="shared" si="72"/>
        <v>0</v>
      </c>
      <c r="H174">
        <f t="shared" si="73"/>
        <v>0</v>
      </c>
      <c r="I174">
        <f t="shared" si="74"/>
        <v>0</v>
      </c>
      <c r="J174">
        <f t="shared" si="75"/>
        <v>0</v>
      </c>
      <c r="K174" s="1">
        <f t="shared" si="76"/>
        <v>0</v>
      </c>
      <c r="L174" s="1">
        <f t="shared" si="77"/>
        <v>0</v>
      </c>
      <c r="M174" s="1">
        <f t="shared" si="78"/>
        <v>0</v>
      </c>
      <c r="N174" s="1">
        <f t="shared" si="79"/>
        <v>0</v>
      </c>
      <c r="O174" s="1">
        <f t="shared" si="80"/>
        <v>0</v>
      </c>
      <c r="P174" s="1">
        <f t="shared" si="81"/>
        <v>25</v>
      </c>
      <c r="Q174" s="1" t="e">
        <f t="shared" si="82"/>
        <v>#DIV/0!</v>
      </c>
      <c r="R174" s="1" t="e">
        <f t="shared" si="83"/>
        <v>#DIV/0!</v>
      </c>
      <c r="S174" s="1" t="e">
        <f t="shared" si="84"/>
        <v>#DIV/0!</v>
      </c>
      <c r="T174" s="1" t="e">
        <f t="shared" si="85"/>
        <v>#DIV/0!</v>
      </c>
      <c r="U174" s="1" t="e">
        <f t="shared" si="86"/>
        <v>#DIV/0!</v>
      </c>
      <c r="V174">
        <f t="shared" si="87"/>
        <v>851.48</v>
      </c>
      <c r="W174">
        <f t="shared" si="88"/>
        <v>0</v>
      </c>
      <c r="X174">
        <f t="shared" si="89"/>
        <v>0</v>
      </c>
      <c r="Y174">
        <f t="shared" si="90"/>
        <v>0</v>
      </c>
      <c r="Z174">
        <f t="shared" si="91"/>
        <v>0</v>
      </c>
      <c r="AA174">
        <f t="shared" si="92"/>
        <v>0</v>
      </c>
      <c r="AC174">
        <f t="shared" si="93"/>
        <v>1045.25</v>
      </c>
      <c r="AD174">
        <f t="shared" si="94"/>
        <v>0</v>
      </c>
      <c r="AE174">
        <f t="shared" si="95"/>
        <v>0</v>
      </c>
      <c r="AF174">
        <f t="shared" si="96"/>
        <v>0</v>
      </c>
      <c r="AG174">
        <f t="shared" si="97"/>
        <v>0</v>
      </c>
      <c r="AH174">
        <f t="shared" si="98"/>
        <v>0</v>
      </c>
      <c r="AJ174">
        <f t="shared" si="99"/>
        <v>1239.01</v>
      </c>
      <c r="AK174">
        <f t="shared" si="100"/>
        <v>0</v>
      </c>
      <c r="AL174">
        <f t="shared" si="101"/>
        <v>0</v>
      </c>
      <c r="AM174">
        <f t="shared" si="102"/>
        <v>0</v>
      </c>
      <c r="AN174">
        <f t="shared" si="103"/>
        <v>0</v>
      </c>
      <c r="AO174">
        <f t="shared" si="104"/>
        <v>0</v>
      </c>
    </row>
    <row r="175" spans="1:41" x14ac:dyDescent="0.45">
      <c r="A175">
        <v>30.294123330000001</v>
      </c>
      <c r="B175">
        <v>105.6666031</v>
      </c>
      <c r="C175">
        <v>1.302885E-2</v>
      </c>
      <c r="D175">
        <v>1.1370999799999999</v>
      </c>
      <c r="E175">
        <f t="shared" si="70"/>
        <v>1.302885E-2</v>
      </c>
      <c r="F175">
        <f t="shared" si="71"/>
        <v>1.07195573</v>
      </c>
      <c r="G175">
        <f t="shared" si="72"/>
        <v>1.0068114799999999</v>
      </c>
      <c r="H175">
        <f t="shared" si="73"/>
        <v>0.94166722999999997</v>
      </c>
      <c r="I175">
        <f t="shared" si="74"/>
        <v>0.87652297999999984</v>
      </c>
      <c r="J175">
        <f t="shared" si="75"/>
        <v>0.81137872999999994</v>
      </c>
      <c r="K175" s="1">
        <f t="shared" si="76"/>
        <v>1.302885E-2</v>
      </c>
      <c r="L175" s="1">
        <f t="shared" si="77"/>
        <v>1.302885E-2</v>
      </c>
      <c r="M175" s="1">
        <f t="shared" si="78"/>
        <v>1.302885E-2</v>
      </c>
      <c r="N175" s="1">
        <f t="shared" si="79"/>
        <v>1.302885E-2</v>
      </c>
      <c r="O175" s="1">
        <f t="shared" si="80"/>
        <v>1.302885E-2</v>
      </c>
      <c r="P175" s="1">
        <f t="shared" si="81"/>
        <v>1</v>
      </c>
      <c r="Q175" s="1">
        <f t="shared" si="82"/>
        <v>1</v>
      </c>
      <c r="R175" s="1">
        <f t="shared" si="83"/>
        <v>1</v>
      </c>
      <c r="S175" s="1">
        <f t="shared" si="84"/>
        <v>1</v>
      </c>
      <c r="T175" s="1">
        <f t="shared" si="85"/>
        <v>1</v>
      </c>
      <c r="U175" s="1">
        <f t="shared" si="86"/>
        <v>1</v>
      </c>
      <c r="V175">
        <f t="shared" si="87"/>
        <v>71.48</v>
      </c>
      <c r="W175">
        <f t="shared" si="88"/>
        <v>76.489999999999995</v>
      </c>
      <c r="X175">
        <f t="shared" si="89"/>
        <v>52.14</v>
      </c>
      <c r="Y175">
        <f t="shared" si="90"/>
        <v>38.1</v>
      </c>
      <c r="Z175">
        <f t="shared" si="91"/>
        <v>32.120000000000005</v>
      </c>
      <c r="AA175">
        <f t="shared" si="92"/>
        <v>30.03</v>
      </c>
      <c r="AC175">
        <f t="shared" si="93"/>
        <v>85.25</v>
      </c>
      <c r="AD175">
        <f t="shared" si="94"/>
        <v>76.489999999999995</v>
      </c>
      <c r="AE175">
        <f t="shared" si="95"/>
        <v>64.17</v>
      </c>
      <c r="AF175">
        <f t="shared" si="96"/>
        <v>49.84</v>
      </c>
      <c r="AG175">
        <f t="shared" si="97"/>
        <v>48.34</v>
      </c>
      <c r="AH175">
        <f t="shared" si="98"/>
        <v>41.36</v>
      </c>
      <c r="AJ175">
        <f t="shared" si="99"/>
        <v>99.009999999999991</v>
      </c>
      <c r="AK175">
        <f t="shared" si="100"/>
        <v>90.94</v>
      </c>
      <c r="AL175">
        <f t="shared" si="101"/>
        <v>78.7</v>
      </c>
      <c r="AM175">
        <f t="shared" si="102"/>
        <v>67.430000000000007</v>
      </c>
      <c r="AN175">
        <f t="shared" si="103"/>
        <v>62.56</v>
      </c>
      <c r="AO175">
        <f t="shared" si="104"/>
        <v>55.19</v>
      </c>
    </row>
    <row r="176" spans="1:41" x14ac:dyDescent="0.45">
      <c r="A176">
        <v>30.302256280000002</v>
      </c>
      <c r="B176">
        <v>112.2548623</v>
      </c>
      <c r="C176">
        <v>8.0388002400000005</v>
      </c>
      <c r="D176">
        <v>0.55082500000000001</v>
      </c>
      <c r="E176">
        <f t="shared" si="70"/>
        <v>0.55082500000000001</v>
      </c>
      <c r="F176">
        <f t="shared" si="71"/>
        <v>0</v>
      </c>
      <c r="G176">
        <f t="shared" si="72"/>
        <v>0</v>
      </c>
      <c r="H176">
        <f t="shared" si="73"/>
        <v>0</v>
      </c>
      <c r="I176">
        <f t="shared" si="74"/>
        <v>0</v>
      </c>
      <c r="J176">
        <f t="shared" si="75"/>
        <v>0</v>
      </c>
      <c r="K176" s="1">
        <f t="shared" si="76"/>
        <v>0</v>
      </c>
      <c r="L176" s="1">
        <f t="shared" si="77"/>
        <v>0</v>
      </c>
      <c r="M176" s="1">
        <f t="shared" si="78"/>
        <v>0</v>
      </c>
      <c r="N176" s="1">
        <f t="shared" si="79"/>
        <v>0</v>
      </c>
      <c r="O176" s="1">
        <f t="shared" si="80"/>
        <v>0</v>
      </c>
      <c r="P176" s="1">
        <f t="shared" si="81"/>
        <v>25</v>
      </c>
      <c r="Q176" s="1" t="e">
        <f t="shared" si="82"/>
        <v>#DIV/0!</v>
      </c>
      <c r="R176" s="1" t="e">
        <f t="shared" si="83"/>
        <v>#DIV/0!</v>
      </c>
      <c r="S176" s="1" t="e">
        <f t="shared" si="84"/>
        <v>#DIV/0!</v>
      </c>
      <c r="T176" s="1" t="e">
        <f t="shared" si="85"/>
        <v>#DIV/0!</v>
      </c>
      <c r="U176" s="1" t="e">
        <f t="shared" si="86"/>
        <v>#DIV/0!</v>
      </c>
      <c r="V176">
        <f t="shared" si="87"/>
        <v>851.48</v>
      </c>
      <c r="W176">
        <f t="shared" si="88"/>
        <v>0</v>
      </c>
      <c r="X176">
        <f t="shared" si="89"/>
        <v>0</v>
      </c>
      <c r="Y176">
        <f t="shared" si="90"/>
        <v>0</v>
      </c>
      <c r="Z176">
        <f t="shared" si="91"/>
        <v>0</v>
      </c>
      <c r="AA176">
        <f t="shared" si="92"/>
        <v>0</v>
      </c>
      <c r="AC176">
        <f t="shared" si="93"/>
        <v>1045.25</v>
      </c>
      <c r="AD176">
        <f t="shared" si="94"/>
        <v>0</v>
      </c>
      <c r="AE176">
        <f t="shared" si="95"/>
        <v>0</v>
      </c>
      <c r="AF176">
        <f t="shared" si="96"/>
        <v>0</v>
      </c>
      <c r="AG176">
        <f t="shared" si="97"/>
        <v>0</v>
      </c>
      <c r="AH176">
        <f t="shared" si="98"/>
        <v>0</v>
      </c>
      <c r="AJ176">
        <f t="shared" si="99"/>
        <v>1239.01</v>
      </c>
      <c r="AK176">
        <f t="shared" si="100"/>
        <v>0</v>
      </c>
      <c r="AL176">
        <f t="shared" si="101"/>
        <v>0</v>
      </c>
      <c r="AM176">
        <f t="shared" si="102"/>
        <v>0</v>
      </c>
      <c r="AN176">
        <f t="shared" si="103"/>
        <v>0</v>
      </c>
      <c r="AO176">
        <f t="shared" si="104"/>
        <v>0</v>
      </c>
    </row>
    <row r="177" spans="1:41" x14ac:dyDescent="0.45">
      <c r="A177">
        <v>30.30519323</v>
      </c>
      <c r="B177">
        <v>112.2022987</v>
      </c>
      <c r="C177">
        <v>8.0388002400000005</v>
      </c>
      <c r="D177">
        <v>0.110165</v>
      </c>
      <c r="E177">
        <f t="shared" si="70"/>
        <v>0.110165</v>
      </c>
      <c r="F177">
        <f t="shared" si="71"/>
        <v>0</v>
      </c>
      <c r="G177">
        <f t="shared" si="72"/>
        <v>0</v>
      </c>
      <c r="H177">
        <f t="shared" si="73"/>
        <v>0</v>
      </c>
      <c r="I177">
        <f t="shared" si="74"/>
        <v>0</v>
      </c>
      <c r="J177">
        <f t="shared" si="75"/>
        <v>0</v>
      </c>
      <c r="K177" s="1">
        <f t="shared" si="76"/>
        <v>0</v>
      </c>
      <c r="L177" s="1">
        <f t="shared" si="77"/>
        <v>0</v>
      </c>
      <c r="M177" s="1">
        <f t="shared" si="78"/>
        <v>0</v>
      </c>
      <c r="N177" s="1">
        <f t="shared" si="79"/>
        <v>0</v>
      </c>
      <c r="O177" s="1">
        <f t="shared" si="80"/>
        <v>0</v>
      </c>
      <c r="P177" s="1">
        <f t="shared" si="81"/>
        <v>25</v>
      </c>
      <c r="Q177" s="1" t="e">
        <f t="shared" si="82"/>
        <v>#DIV/0!</v>
      </c>
      <c r="R177" s="1" t="e">
        <f t="shared" si="83"/>
        <v>#DIV/0!</v>
      </c>
      <c r="S177" s="1" t="e">
        <f t="shared" si="84"/>
        <v>#DIV/0!</v>
      </c>
      <c r="T177" s="1" t="e">
        <f t="shared" si="85"/>
        <v>#DIV/0!</v>
      </c>
      <c r="U177" s="1" t="e">
        <f t="shared" si="86"/>
        <v>#DIV/0!</v>
      </c>
      <c r="V177">
        <f t="shared" si="87"/>
        <v>851.48</v>
      </c>
      <c r="W177">
        <f t="shared" si="88"/>
        <v>0</v>
      </c>
      <c r="X177">
        <f t="shared" si="89"/>
        <v>0</v>
      </c>
      <c r="Y177">
        <f t="shared" si="90"/>
        <v>0</v>
      </c>
      <c r="Z177">
        <f t="shared" si="91"/>
        <v>0</v>
      </c>
      <c r="AA177">
        <f t="shared" si="92"/>
        <v>0</v>
      </c>
      <c r="AC177">
        <f t="shared" si="93"/>
        <v>1045.25</v>
      </c>
      <c r="AD177">
        <f t="shared" si="94"/>
        <v>0</v>
      </c>
      <c r="AE177">
        <f t="shared" si="95"/>
        <v>0</v>
      </c>
      <c r="AF177">
        <f t="shared" si="96"/>
        <v>0</v>
      </c>
      <c r="AG177">
        <f t="shared" si="97"/>
        <v>0</v>
      </c>
      <c r="AH177">
        <f t="shared" si="98"/>
        <v>0</v>
      </c>
      <c r="AJ177">
        <f t="shared" si="99"/>
        <v>1239.01</v>
      </c>
      <c r="AK177">
        <f t="shared" si="100"/>
        <v>0</v>
      </c>
      <c r="AL177">
        <f t="shared" si="101"/>
        <v>0</v>
      </c>
      <c r="AM177">
        <f t="shared" si="102"/>
        <v>0</v>
      </c>
      <c r="AN177">
        <f t="shared" si="103"/>
        <v>0</v>
      </c>
      <c r="AO177">
        <f t="shared" si="104"/>
        <v>0</v>
      </c>
    </row>
    <row r="178" spans="1:41" x14ac:dyDescent="0.45">
      <c r="A178">
        <v>30.31669363</v>
      </c>
      <c r="B178">
        <v>111.9920079</v>
      </c>
      <c r="C178">
        <v>8.0388002400000005</v>
      </c>
      <c r="D178">
        <v>0.15458</v>
      </c>
      <c r="E178">
        <f t="shared" si="70"/>
        <v>0.15458</v>
      </c>
      <c r="F178">
        <f t="shared" si="71"/>
        <v>0</v>
      </c>
      <c r="G178">
        <f t="shared" si="72"/>
        <v>0</v>
      </c>
      <c r="H178">
        <f t="shared" si="73"/>
        <v>0</v>
      </c>
      <c r="I178">
        <f t="shared" si="74"/>
        <v>0</v>
      </c>
      <c r="J178">
        <f t="shared" si="75"/>
        <v>0</v>
      </c>
      <c r="K178" s="1">
        <f t="shared" si="76"/>
        <v>0</v>
      </c>
      <c r="L178" s="1">
        <f t="shared" si="77"/>
        <v>0</v>
      </c>
      <c r="M178" s="1">
        <f t="shared" si="78"/>
        <v>0</v>
      </c>
      <c r="N178" s="1">
        <f t="shared" si="79"/>
        <v>0</v>
      </c>
      <c r="O178" s="1">
        <f t="shared" si="80"/>
        <v>0</v>
      </c>
      <c r="P178" s="1">
        <f t="shared" si="81"/>
        <v>25</v>
      </c>
      <c r="Q178" s="1" t="e">
        <f t="shared" si="82"/>
        <v>#DIV/0!</v>
      </c>
      <c r="R178" s="1" t="e">
        <f t="shared" si="83"/>
        <v>#DIV/0!</v>
      </c>
      <c r="S178" s="1" t="e">
        <f t="shared" si="84"/>
        <v>#DIV/0!</v>
      </c>
      <c r="T178" s="1" t="e">
        <f t="shared" si="85"/>
        <v>#DIV/0!</v>
      </c>
      <c r="U178" s="1" t="e">
        <f t="shared" si="86"/>
        <v>#DIV/0!</v>
      </c>
      <c r="V178">
        <f t="shared" si="87"/>
        <v>851.48</v>
      </c>
      <c r="W178">
        <f t="shared" si="88"/>
        <v>0</v>
      </c>
      <c r="X178">
        <f t="shared" si="89"/>
        <v>0</v>
      </c>
      <c r="Y178">
        <f t="shared" si="90"/>
        <v>0</v>
      </c>
      <c r="Z178">
        <f t="shared" si="91"/>
        <v>0</v>
      </c>
      <c r="AA178">
        <f t="shared" si="92"/>
        <v>0</v>
      </c>
      <c r="AC178">
        <f t="shared" si="93"/>
        <v>1045.25</v>
      </c>
      <c r="AD178">
        <f t="shared" si="94"/>
        <v>0</v>
      </c>
      <c r="AE178">
        <f t="shared" si="95"/>
        <v>0</v>
      </c>
      <c r="AF178">
        <f t="shared" si="96"/>
        <v>0</v>
      </c>
      <c r="AG178">
        <f t="shared" si="97"/>
        <v>0</v>
      </c>
      <c r="AH178">
        <f t="shared" si="98"/>
        <v>0</v>
      </c>
      <c r="AJ178">
        <f t="shared" si="99"/>
        <v>1239.01</v>
      </c>
      <c r="AK178">
        <f t="shared" si="100"/>
        <v>0</v>
      </c>
      <c r="AL178">
        <f t="shared" si="101"/>
        <v>0</v>
      </c>
      <c r="AM178">
        <f t="shared" si="102"/>
        <v>0</v>
      </c>
      <c r="AN178">
        <f t="shared" si="103"/>
        <v>0</v>
      </c>
      <c r="AO178">
        <f t="shared" si="104"/>
        <v>0</v>
      </c>
    </row>
    <row r="179" spans="1:41" x14ac:dyDescent="0.45">
      <c r="A179">
        <v>30.319506860000001</v>
      </c>
      <c r="B179">
        <v>111.93942629999999</v>
      </c>
      <c r="C179">
        <v>8.0388002400000005</v>
      </c>
      <c r="D179">
        <v>0.53763002000000004</v>
      </c>
      <c r="E179">
        <f t="shared" si="70"/>
        <v>0.53763002000000004</v>
      </c>
      <c r="F179">
        <f t="shared" si="71"/>
        <v>0</v>
      </c>
      <c r="G179">
        <f t="shared" si="72"/>
        <v>0</v>
      </c>
      <c r="H179">
        <f t="shared" si="73"/>
        <v>0</v>
      </c>
      <c r="I179">
        <f t="shared" si="74"/>
        <v>0</v>
      </c>
      <c r="J179">
        <f t="shared" si="75"/>
        <v>0</v>
      </c>
      <c r="K179" s="1">
        <f t="shared" si="76"/>
        <v>0</v>
      </c>
      <c r="L179" s="1">
        <f t="shared" si="77"/>
        <v>0</v>
      </c>
      <c r="M179" s="1">
        <f t="shared" si="78"/>
        <v>0</v>
      </c>
      <c r="N179" s="1">
        <f t="shared" si="79"/>
        <v>0</v>
      </c>
      <c r="O179" s="1">
        <f t="shared" si="80"/>
        <v>0</v>
      </c>
      <c r="P179" s="1">
        <f t="shared" si="81"/>
        <v>25</v>
      </c>
      <c r="Q179" s="1" t="e">
        <f t="shared" si="82"/>
        <v>#DIV/0!</v>
      </c>
      <c r="R179" s="1" t="e">
        <f t="shared" si="83"/>
        <v>#DIV/0!</v>
      </c>
      <c r="S179" s="1" t="e">
        <f t="shared" si="84"/>
        <v>#DIV/0!</v>
      </c>
      <c r="T179" s="1" t="e">
        <f t="shared" si="85"/>
        <v>#DIV/0!</v>
      </c>
      <c r="U179" s="1" t="e">
        <f t="shared" si="86"/>
        <v>#DIV/0!</v>
      </c>
      <c r="V179">
        <f t="shared" si="87"/>
        <v>851.48</v>
      </c>
      <c r="W179">
        <f t="shared" si="88"/>
        <v>0</v>
      </c>
      <c r="X179">
        <f t="shared" si="89"/>
        <v>0</v>
      </c>
      <c r="Y179">
        <f t="shared" si="90"/>
        <v>0</v>
      </c>
      <c r="Z179">
        <f t="shared" si="91"/>
        <v>0</v>
      </c>
      <c r="AA179">
        <f t="shared" si="92"/>
        <v>0</v>
      </c>
      <c r="AC179">
        <f t="shared" si="93"/>
        <v>1045.25</v>
      </c>
      <c r="AD179">
        <f t="shared" si="94"/>
        <v>0</v>
      </c>
      <c r="AE179">
        <f t="shared" si="95"/>
        <v>0</v>
      </c>
      <c r="AF179">
        <f t="shared" si="96"/>
        <v>0</v>
      </c>
      <c r="AG179">
        <f t="shared" si="97"/>
        <v>0</v>
      </c>
      <c r="AH179">
        <f t="shared" si="98"/>
        <v>0</v>
      </c>
      <c r="AJ179">
        <f t="shared" si="99"/>
        <v>1239.01</v>
      </c>
      <c r="AK179">
        <f t="shared" si="100"/>
        <v>0</v>
      </c>
      <c r="AL179">
        <f t="shared" si="101"/>
        <v>0</v>
      </c>
      <c r="AM179">
        <f t="shared" si="102"/>
        <v>0</v>
      </c>
      <c r="AN179">
        <f t="shared" si="103"/>
        <v>0</v>
      </c>
      <c r="AO179">
        <f t="shared" si="104"/>
        <v>0</v>
      </c>
    </row>
    <row r="180" spans="1:41" x14ac:dyDescent="0.45">
      <c r="A180">
        <v>30.32971418</v>
      </c>
      <c r="B180">
        <v>112.5737366</v>
      </c>
      <c r="C180">
        <v>5.3114275900000001</v>
      </c>
      <c r="D180">
        <v>4.2951000000000003E-2</v>
      </c>
      <c r="E180">
        <f t="shared" si="70"/>
        <v>4.2951000000000003E-2</v>
      </c>
      <c r="F180">
        <f t="shared" si="71"/>
        <v>0</v>
      </c>
      <c r="G180">
        <f t="shared" si="72"/>
        <v>0</v>
      </c>
      <c r="H180">
        <f t="shared" si="73"/>
        <v>0</v>
      </c>
      <c r="I180">
        <f t="shared" si="74"/>
        <v>0</v>
      </c>
      <c r="J180">
        <f t="shared" si="75"/>
        <v>0</v>
      </c>
      <c r="K180" s="1">
        <f t="shared" si="76"/>
        <v>0</v>
      </c>
      <c r="L180" s="1">
        <f t="shared" si="77"/>
        <v>0</v>
      </c>
      <c r="M180" s="1">
        <f t="shared" si="78"/>
        <v>0</v>
      </c>
      <c r="N180" s="1">
        <f t="shared" si="79"/>
        <v>0</v>
      </c>
      <c r="O180" s="1">
        <f t="shared" si="80"/>
        <v>0</v>
      </c>
      <c r="P180" s="1">
        <f t="shared" si="81"/>
        <v>25</v>
      </c>
      <c r="Q180" s="1" t="e">
        <f t="shared" si="82"/>
        <v>#DIV/0!</v>
      </c>
      <c r="R180" s="1" t="e">
        <f t="shared" si="83"/>
        <v>#DIV/0!</v>
      </c>
      <c r="S180" s="1" t="e">
        <f t="shared" si="84"/>
        <v>#DIV/0!</v>
      </c>
      <c r="T180" s="1" t="e">
        <f t="shared" si="85"/>
        <v>#DIV/0!</v>
      </c>
      <c r="U180" s="1" t="e">
        <f t="shared" si="86"/>
        <v>#DIV/0!</v>
      </c>
      <c r="V180">
        <f t="shared" si="87"/>
        <v>851.48</v>
      </c>
      <c r="W180">
        <f t="shared" si="88"/>
        <v>0</v>
      </c>
      <c r="X180">
        <f t="shared" si="89"/>
        <v>0</v>
      </c>
      <c r="Y180">
        <f t="shared" si="90"/>
        <v>0</v>
      </c>
      <c r="Z180">
        <f t="shared" si="91"/>
        <v>0</v>
      </c>
      <c r="AA180">
        <f t="shared" si="92"/>
        <v>0</v>
      </c>
      <c r="AC180">
        <f t="shared" si="93"/>
        <v>1045.25</v>
      </c>
      <c r="AD180">
        <f t="shared" si="94"/>
        <v>0</v>
      </c>
      <c r="AE180">
        <f t="shared" si="95"/>
        <v>0</v>
      </c>
      <c r="AF180">
        <f t="shared" si="96"/>
        <v>0</v>
      </c>
      <c r="AG180">
        <f t="shared" si="97"/>
        <v>0</v>
      </c>
      <c r="AH180">
        <f t="shared" si="98"/>
        <v>0</v>
      </c>
      <c r="AJ180">
        <f t="shared" si="99"/>
        <v>1239.01</v>
      </c>
      <c r="AK180">
        <f t="shared" si="100"/>
        <v>0</v>
      </c>
      <c r="AL180">
        <f t="shared" si="101"/>
        <v>0</v>
      </c>
      <c r="AM180">
        <f t="shared" si="102"/>
        <v>0</v>
      </c>
      <c r="AN180">
        <f t="shared" si="103"/>
        <v>0</v>
      </c>
      <c r="AO180">
        <f t="shared" si="104"/>
        <v>0</v>
      </c>
    </row>
    <row r="181" spans="1:41" x14ac:dyDescent="0.45">
      <c r="A181">
        <v>30.35371919</v>
      </c>
      <c r="B181">
        <v>112.1530753</v>
      </c>
      <c r="C181">
        <v>8.0388002400000005</v>
      </c>
      <c r="D181">
        <v>0.42826598999999999</v>
      </c>
      <c r="E181">
        <f t="shared" si="70"/>
        <v>0.42826598999999999</v>
      </c>
      <c r="F181">
        <f t="shared" si="71"/>
        <v>0</v>
      </c>
      <c r="G181">
        <f t="shared" si="72"/>
        <v>0</v>
      </c>
      <c r="H181">
        <f t="shared" si="73"/>
        <v>0</v>
      </c>
      <c r="I181">
        <f t="shared" si="74"/>
        <v>0</v>
      </c>
      <c r="J181">
        <f t="shared" si="75"/>
        <v>0</v>
      </c>
      <c r="K181" s="1">
        <f t="shared" si="76"/>
        <v>0</v>
      </c>
      <c r="L181" s="1">
        <f t="shared" si="77"/>
        <v>0</v>
      </c>
      <c r="M181" s="1">
        <f t="shared" si="78"/>
        <v>0</v>
      </c>
      <c r="N181" s="1">
        <f t="shared" si="79"/>
        <v>0</v>
      </c>
      <c r="O181" s="1">
        <f t="shared" si="80"/>
        <v>0</v>
      </c>
      <c r="P181" s="1">
        <f t="shared" si="81"/>
        <v>25.000000000000004</v>
      </c>
      <c r="Q181" s="1" t="e">
        <f t="shared" si="82"/>
        <v>#DIV/0!</v>
      </c>
      <c r="R181" s="1" t="e">
        <f t="shared" si="83"/>
        <v>#DIV/0!</v>
      </c>
      <c r="S181" s="1" t="e">
        <f t="shared" si="84"/>
        <v>#DIV/0!</v>
      </c>
      <c r="T181" s="1" t="e">
        <f t="shared" si="85"/>
        <v>#DIV/0!</v>
      </c>
      <c r="U181" s="1" t="e">
        <f t="shared" si="86"/>
        <v>#DIV/0!</v>
      </c>
      <c r="V181">
        <f t="shared" si="87"/>
        <v>851.48000000000013</v>
      </c>
      <c r="W181">
        <f t="shared" si="88"/>
        <v>0</v>
      </c>
      <c r="X181">
        <f t="shared" si="89"/>
        <v>0</v>
      </c>
      <c r="Y181">
        <f t="shared" si="90"/>
        <v>0</v>
      </c>
      <c r="Z181">
        <f t="shared" si="91"/>
        <v>0</v>
      </c>
      <c r="AA181">
        <f t="shared" si="92"/>
        <v>0</v>
      </c>
      <c r="AC181">
        <f t="shared" si="93"/>
        <v>1045.25</v>
      </c>
      <c r="AD181">
        <f t="shared" si="94"/>
        <v>0</v>
      </c>
      <c r="AE181">
        <f t="shared" si="95"/>
        <v>0</v>
      </c>
      <c r="AF181">
        <f t="shared" si="96"/>
        <v>0</v>
      </c>
      <c r="AG181">
        <f t="shared" si="97"/>
        <v>0</v>
      </c>
      <c r="AH181">
        <f t="shared" si="98"/>
        <v>0</v>
      </c>
      <c r="AJ181">
        <f t="shared" si="99"/>
        <v>1239.0100000000002</v>
      </c>
      <c r="AK181">
        <f t="shared" si="100"/>
        <v>0</v>
      </c>
      <c r="AL181">
        <f t="shared" si="101"/>
        <v>0</v>
      </c>
      <c r="AM181">
        <f t="shared" si="102"/>
        <v>0</v>
      </c>
      <c r="AN181">
        <f t="shared" si="103"/>
        <v>0</v>
      </c>
      <c r="AO181">
        <f t="shared" si="104"/>
        <v>0</v>
      </c>
    </row>
    <row r="182" spans="1:41" x14ac:dyDescent="0.45">
      <c r="A182">
        <v>30.356608439999999</v>
      </c>
      <c r="B182">
        <v>112.100476</v>
      </c>
      <c r="C182">
        <v>8.0388002400000005</v>
      </c>
      <c r="D182">
        <v>0.68853098000000001</v>
      </c>
      <c r="E182">
        <f t="shared" si="70"/>
        <v>0.68853098000000001</v>
      </c>
      <c r="F182">
        <f t="shared" si="71"/>
        <v>0</v>
      </c>
      <c r="G182">
        <f t="shared" si="72"/>
        <v>0</v>
      </c>
      <c r="H182">
        <f t="shared" si="73"/>
        <v>0</v>
      </c>
      <c r="I182">
        <f t="shared" si="74"/>
        <v>0</v>
      </c>
      <c r="J182">
        <f t="shared" si="75"/>
        <v>0</v>
      </c>
      <c r="K182" s="1">
        <f t="shared" si="76"/>
        <v>0</v>
      </c>
      <c r="L182" s="1">
        <f t="shared" si="77"/>
        <v>0</v>
      </c>
      <c r="M182" s="1">
        <f t="shared" si="78"/>
        <v>0</v>
      </c>
      <c r="N182" s="1">
        <f t="shared" si="79"/>
        <v>0</v>
      </c>
      <c r="O182" s="1">
        <f t="shared" si="80"/>
        <v>0</v>
      </c>
      <c r="P182" s="1">
        <f t="shared" si="81"/>
        <v>25</v>
      </c>
      <c r="Q182" s="1" t="e">
        <f t="shared" si="82"/>
        <v>#DIV/0!</v>
      </c>
      <c r="R182" s="1" t="e">
        <f t="shared" si="83"/>
        <v>#DIV/0!</v>
      </c>
      <c r="S182" s="1" t="e">
        <f t="shared" si="84"/>
        <v>#DIV/0!</v>
      </c>
      <c r="T182" s="1" t="e">
        <f t="shared" si="85"/>
        <v>#DIV/0!</v>
      </c>
      <c r="U182" s="1" t="e">
        <f t="shared" si="86"/>
        <v>#DIV/0!</v>
      </c>
      <c r="V182">
        <f t="shared" si="87"/>
        <v>851.48</v>
      </c>
      <c r="W182">
        <f t="shared" si="88"/>
        <v>0</v>
      </c>
      <c r="X182">
        <f t="shared" si="89"/>
        <v>0</v>
      </c>
      <c r="Y182">
        <f t="shared" si="90"/>
        <v>0</v>
      </c>
      <c r="Z182">
        <f t="shared" si="91"/>
        <v>0</v>
      </c>
      <c r="AA182">
        <f t="shared" si="92"/>
        <v>0</v>
      </c>
      <c r="AC182">
        <f t="shared" si="93"/>
        <v>1045.25</v>
      </c>
      <c r="AD182">
        <f t="shared" si="94"/>
        <v>0</v>
      </c>
      <c r="AE182">
        <f t="shared" si="95"/>
        <v>0</v>
      </c>
      <c r="AF182">
        <f t="shared" si="96"/>
        <v>0</v>
      </c>
      <c r="AG182">
        <f t="shared" si="97"/>
        <v>0</v>
      </c>
      <c r="AH182">
        <f t="shared" si="98"/>
        <v>0</v>
      </c>
      <c r="AJ182">
        <f t="shared" si="99"/>
        <v>1239.01</v>
      </c>
      <c r="AK182">
        <f t="shared" si="100"/>
        <v>0</v>
      </c>
      <c r="AL182">
        <f t="shared" si="101"/>
        <v>0</v>
      </c>
      <c r="AM182">
        <f t="shared" si="102"/>
        <v>0</v>
      </c>
      <c r="AN182">
        <f t="shared" si="103"/>
        <v>0</v>
      </c>
      <c r="AO182">
        <f t="shared" si="104"/>
        <v>0</v>
      </c>
    </row>
    <row r="183" spans="1:41" x14ac:dyDescent="0.45">
      <c r="A183">
        <v>30.365127619999999</v>
      </c>
      <c r="B183">
        <v>111.9426565</v>
      </c>
      <c r="C183">
        <v>8.0388002400000005</v>
      </c>
      <c r="D183">
        <v>0.19942900999999999</v>
      </c>
      <c r="E183">
        <f t="shared" si="70"/>
        <v>0.19942900999999999</v>
      </c>
      <c r="F183">
        <f t="shared" si="71"/>
        <v>0</v>
      </c>
      <c r="G183">
        <f t="shared" si="72"/>
        <v>0</v>
      </c>
      <c r="H183">
        <f t="shared" si="73"/>
        <v>0</v>
      </c>
      <c r="I183">
        <f t="shared" si="74"/>
        <v>0</v>
      </c>
      <c r="J183">
        <f t="shared" si="75"/>
        <v>0</v>
      </c>
      <c r="K183" s="1">
        <f t="shared" si="76"/>
        <v>0</v>
      </c>
      <c r="L183" s="1">
        <f t="shared" si="77"/>
        <v>0</v>
      </c>
      <c r="M183" s="1">
        <f t="shared" si="78"/>
        <v>0</v>
      </c>
      <c r="N183" s="1">
        <f t="shared" si="79"/>
        <v>0</v>
      </c>
      <c r="O183" s="1">
        <f t="shared" si="80"/>
        <v>0</v>
      </c>
      <c r="P183" s="1">
        <f t="shared" si="81"/>
        <v>25</v>
      </c>
      <c r="Q183" s="1" t="e">
        <f t="shared" si="82"/>
        <v>#DIV/0!</v>
      </c>
      <c r="R183" s="1" t="e">
        <f t="shared" si="83"/>
        <v>#DIV/0!</v>
      </c>
      <c r="S183" s="1" t="e">
        <f t="shared" si="84"/>
        <v>#DIV/0!</v>
      </c>
      <c r="T183" s="1" t="e">
        <f t="shared" si="85"/>
        <v>#DIV/0!</v>
      </c>
      <c r="U183" s="1" t="e">
        <f t="shared" si="86"/>
        <v>#DIV/0!</v>
      </c>
      <c r="V183">
        <f t="shared" si="87"/>
        <v>851.48</v>
      </c>
      <c r="W183">
        <f t="shared" si="88"/>
        <v>0</v>
      </c>
      <c r="X183">
        <f t="shared" si="89"/>
        <v>0</v>
      </c>
      <c r="Y183">
        <f t="shared" si="90"/>
        <v>0</v>
      </c>
      <c r="Z183">
        <f t="shared" si="91"/>
        <v>0</v>
      </c>
      <c r="AA183">
        <f t="shared" si="92"/>
        <v>0</v>
      </c>
      <c r="AC183">
        <f t="shared" si="93"/>
        <v>1045.25</v>
      </c>
      <c r="AD183">
        <f t="shared" si="94"/>
        <v>0</v>
      </c>
      <c r="AE183">
        <f t="shared" si="95"/>
        <v>0</v>
      </c>
      <c r="AF183">
        <f t="shared" si="96"/>
        <v>0</v>
      </c>
      <c r="AG183">
        <f t="shared" si="97"/>
        <v>0</v>
      </c>
      <c r="AH183">
        <f t="shared" si="98"/>
        <v>0</v>
      </c>
      <c r="AJ183">
        <f t="shared" si="99"/>
        <v>1239.01</v>
      </c>
      <c r="AK183">
        <f t="shared" si="100"/>
        <v>0</v>
      </c>
      <c r="AL183">
        <f t="shared" si="101"/>
        <v>0</v>
      </c>
      <c r="AM183">
        <f t="shared" si="102"/>
        <v>0</v>
      </c>
      <c r="AN183">
        <f t="shared" si="103"/>
        <v>0</v>
      </c>
      <c r="AO183">
        <f t="shared" si="104"/>
        <v>0</v>
      </c>
    </row>
    <row r="184" spans="1:41" x14ac:dyDescent="0.45">
      <c r="A184">
        <v>30.369063860000001</v>
      </c>
      <c r="B184">
        <v>112.6824956</v>
      </c>
      <c r="C184">
        <v>5.3114275900000001</v>
      </c>
      <c r="D184">
        <v>0.31947800999999998</v>
      </c>
      <c r="E184">
        <f t="shared" si="70"/>
        <v>0.31947800999999998</v>
      </c>
      <c r="F184">
        <f t="shared" si="71"/>
        <v>0</v>
      </c>
      <c r="G184">
        <f t="shared" si="72"/>
        <v>0</v>
      </c>
      <c r="H184">
        <f t="shared" si="73"/>
        <v>0</v>
      </c>
      <c r="I184">
        <f t="shared" si="74"/>
        <v>0</v>
      </c>
      <c r="J184">
        <f t="shared" si="75"/>
        <v>0</v>
      </c>
      <c r="K184" s="1">
        <f t="shared" si="76"/>
        <v>0</v>
      </c>
      <c r="L184" s="1">
        <f t="shared" si="77"/>
        <v>0</v>
      </c>
      <c r="M184" s="1">
        <f t="shared" si="78"/>
        <v>0</v>
      </c>
      <c r="N184" s="1">
        <f t="shared" si="79"/>
        <v>0</v>
      </c>
      <c r="O184" s="1">
        <f t="shared" si="80"/>
        <v>0</v>
      </c>
      <c r="P184" s="1">
        <f t="shared" si="81"/>
        <v>25</v>
      </c>
      <c r="Q184" s="1" t="e">
        <f t="shared" si="82"/>
        <v>#DIV/0!</v>
      </c>
      <c r="R184" s="1" t="e">
        <f t="shared" si="83"/>
        <v>#DIV/0!</v>
      </c>
      <c r="S184" s="1" t="e">
        <f t="shared" si="84"/>
        <v>#DIV/0!</v>
      </c>
      <c r="T184" s="1" t="e">
        <f t="shared" si="85"/>
        <v>#DIV/0!</v>
      </c>
      <c r="U184" s="1" t="e">
        <f t="shared" si="86"/>
        <v>#DIV/0!</v>
      </c>
      <c r="V184">
        <f t="shared" si="87"/>
        <v>851.48</v>
      </c>
      <c r="W184">
        <f t="shared" si="88"/>
        <v>0</v>
      </c>
      <c r="X184">
        <f t="shared" si="89"/>
        <v>0</v>
      </c>
      <c r="Y184">
        <f t="shared" si="90"/>
        <v>0</v>
      </c>
      <c r="Z184">
        <f t="shared" si="91"/>
        <v>0</v>
      </c>
      <c r="AA184">
        <f t="shared" si="92"/>
        <v>0</v>
      </c>
      <c r="AC184">
        <f t="shared" si="93"/>
        <v>1045.25</v>
      </c>
      <c r="AD184">
        <f t="shared" si="94"/>
        <v>0</v>
      </c>
      <c r="AE184">
        <f t="shared" si="95"/>
        <v>0</v>
      </c>
      <c r="AF184">
        <f t="shared" si="96"/>
        <v>0</v>
      </c>
      <c r="AG184">
        <f t="shared" si="97"/>
        <v>0</v>
      </c>
      <c r="AH184">
        <f t="shared" si="98"/>
        <v>0</v>
      </c>
      <c r="AJ184">
        <f t="shared" si="99"/>
        <v>1239.01</v>
      </c>
      <c r="AK184">
        <f t="shared" si="100"/>
        <v>0</v>
      </c>
      <c r="AL184">
        <f t="shared" si="101"/>
        <v>0</v>
      </c>
      <c r="AM184">
        <f t="shared" si="102"/>
        <v>0</v>
      </c>
      <c r="AN184">
        <f t="shared" si="103"/>
        <v>0</v>
      </c>
      <c r="AO184">
        <f t="shared" si="104"/>
        <v>0</v>
      </c>
    </row>
    <row r="185" spans="1:41" x14ac:dyDescent="0.45">
      <c r="A185">
        <v>30.375316349999999</v>
      </c>
      <c r="B185">
        <v>112.5773117</v>
      </c>
      <c r="C185">
        <v>5.3114275900000001</v>
      </c>
      <c r="D185">
        <v>0.17269000000000001</v>
      </c>
      <c r="E185">
        <f t="shared" si="70"/>
        <v>0.17269000000000001</v>
      </c>
      <c r="F185">
        <f t="shared" si="71"/>
        <v>0</v>
      </c>
      <c r="G185">
        <f t="shared" si="72"/>
        <v>0</v>
      </c>
      <c r="H185">
        <f t="shared" si="73"/>
        <v>0</v>
      </c>
      <c r="I185">
        <f t="shared" si="74"/>
        <v>0</v>
      </c>
      <c r="J185">
        <f t="shared" si="75"/>
        <v>0</v>
      </c>
      <c r="K185" s="1">
        <f t="shared" si="76"/>
        <v>0</v>
      </c>
      <c r="L185" s="1">
        <f t="shared" si="77"/>
        <v>0</v>
      </c>
      <c r="M185" s="1">
        <f t="shared" si="78"/>
        <v>0</v>
      </c>
      <c r="N185" s="1">
        <f t="shared" si="79"/>
        <v>0</v>
      </c>
      <c r="O185" s="1">
        <f t="shared" si="80"/>
        <v>0</v>
      </c>
      <c r="P185" s="1">
        <f t="shared" si="81"/>
        <v>25</v>
      </c>
      <c r="Q185" s="1" t="e">
        <f t="shared" si="82"/>
        <v>#DIV/0!</v>
      </c>
      <c r="R185" s="1" t="e">
        <f t="shared" si="83"/>
        <v>#DIV/0!</v>
      </c>
      <c r="S185" s="1" t="e">
        <f t="shared" si="84"/>
        <v>#DIV/0!</v>
      </c>
      <c r="T185" s="1" t="e">
        <f t="shared" si="85"/>
        <v>#DIV/0!</v>
      </c>
      <c r="U185" s="1" t="e">
        <f t="shared" si="86"/>
        <v>#DIV/0!</v>
      </c>
      <c r="V185">
        <f t="shared" si="87"/>
        <v>851.48</v>
      </c>
      <c r="W185">
        <f t="shared" si="88"/>
        <v>0</v>
      </c>
      <c r="X185">
        <f t="shared" si="89"/>
        <v>0</v>
      </c>
      <c r="Y185">
        <f t="shared" si="90"/>
        <v>0</v>
      </c>
      <c r="Z185">
        <f t="shared" si="91"/>
        <v>0</v>
      </c>
      <c r="AA185">
        <f t="shared" si="92"/>
        <v>0</v>
      </c>
      <c r="AC185">
        <f t="shared" si="93"/>
        <v>1045.25</v>
      </c>
      <c r="AD185">
        <f t="shared" si="94"/>
        <v>0</v>
      </c>
      <c r="AE185">
        <f t="shared" si="95"/>
        <v>0</v>
      </c>
      <c r="AF185">
        <f t="shared" si="96"/>
        <v>0</v>
      </c>
      <c r="AG185">
        <f t="shared" si="97"/>
        <v>0</v>
      </c>
      <c r="AH185">
        <f t="shared" si="98"/>
        <v>0</v>
      </c>
      <c r="AJ185">
        <f t="shared" si="99"/>
        <v>1239.01</v>
      </c>
      <c r="AK185">
        <f t="shared" si="100"/>
        <v>0</v>
      </c>
      <c r="AL185">
        <f t="shared" si="101"/>
        <v>0</v>
      </c>
      <c r="AM185">
        <f t="shared" si="102"/>
        <v>0</v>
      </c>
      <c r="AN185">
        <f t="shared" si="103"/>
        <v>0</v>
      </c>
      <c r="AO185">
        <f t="shared" si="104"/>
        <v>0</v>
      </c>
    </row>
    <row r="186" spans="1:41" x14ac:dyDescent="0.45">
      <c r="A186">
        <v>30.381469840000001</v>
      </c>
      <c r="B186">
        <v>112.4721122</v>
      </c>
      <c r="C186">
        <v>5.3114275900000001</v>
      </c>
      <c r="D186">
        <v>0.83457499999999996</v>
      </c>
      <c r="E186">
        <f t="shared" si="70"/>
        <v>0.83457499999999996</v>
      </c>
      <c r="F186">
        <f t="shared" si="71"/>
        <v>0</v>
      </c>
      <c r="G186">
        <f t="shared" si="72"/>
        <v>0</v>
      </c>
      <c r="H186">
        <f t="shared" si="73"/>
        <v>0</v>
      </c>
      <c r="I186">
        <f t="shared" si="74"/>
        <v>0</v>
      </c>
      <c r="J186">
        <f t="shared" si="75"/>
        <v>0</v>
      </c>
      <c r="K186" s="1">
        <f t="shared" si="76"/>
        <v>0</v>
      </c>
      <c r="L186" s="1">
        <f t="shared" si="77"/>
        <v>0</v>
      </c>
      <c r="M186" s="1">
        <f t="shared" si="78"/>
        <v>0</v>
      </c>
      <c r="N186" s="1">
        <f t="shared" si="79"/>
        <v>0</v>
      </c>
      <c r="O186" s="1">
        <f t="shared" si="80"/>
        <v>0</v>
      </c>
      <c r="P186" s="1">
        <f t="shared" si="81"/>
        <v>25</v>
      </c>
      <c r="Q186" s="1" t="e">
        <f t="shared" si="82"/>
        <v>#DIV/0!</v>
      </c>
      <c r="R186" s="1" t="e">
        <f t="shared" si="83"/>
        <v>#DIV/0!</v>
      </c>
      <c r="S186" s="1" t="e">
        <f t="shared" si="84"/>
        <v>#DIV/0!</v>
      </c>
      <c r="T186" s="1" t="e">
        <f t="shared" si="85"/>
        <v>#DIV/0!</v>
      </c>
      <c r="U186" s="1" t="e">
        <f t="shared" si="86"/>
        <v>#DIV/0!</v>
      </c>
      <c r="V186">
        <f t="shared" si="87"/>
        <v>851.48</v>
      </c>
      <c r="W186">
        <f t="shared" si="88"/>
        <v>0</v>
      </c>
      <c r="X186">
        <f t="shared" si="89"/>
        <v>0</v>
      </c>
      <c r="Y186">
        <f t="shared" si="90"/>
        <v>0</v>
      </c>
      <c r="Z186">
        <f t="shared" si="91"/>
        <v>0</v>
      </c>
      <c r="AA186">
        <f t="shared" si="92"/>
        <v>0</v>
      </c>
      <c r="AC186">
        <f t="shared" si="93"/>
        <v>1045.25</v>
      </c>
      <c r="AD186">
        <f t="shared" si="94"/>
        <v>0</v>
      </c>
      <c r="AE186">
        <f t="shared" si="95"/>
        <v>0</v>
      </c>
      <c r="AF186">
        <f t="shared" si="96"/>
        <v>0</v>
      </c>
      <c r="AG186">
        <f t="shared" si="97"/>
        <v>0</v>
      </c>
      <c r="AH186">
        <f t="shared" si="98"/>
        <v>0</v>
      </c>
      <c r="AJ186">
        <f t="shared" si="99"/>
        <v>1239.01</v>
      </c>
      <c r="AK186">
        <f t="shared" si="100"/>
        <v>0</v>
      </c>
      <c r="AL186">
        <f t="shared" si="101"/>
        <v>0</v>
      </c>
      <c r="AM186">
        <f t="shared" si="102"/>
        <v>0</v>
      </c>
      <c r="AN186">
        <f t="shared" si="103"/>
        <v>0</v>
      </c>
      <c r="AO186">
        <f t="shared" si="104"/>
        <v>0</v>
      </c>
    </row>
    <row r="187" spans="1:41" x14ac:dyDescent="0.45">
      <c r="A187">
        <v>30.3843402</v>
      </c>
      <c r="B187">
        <v>106.61526449999999</v>
      </c>
      <c r="C187">
        <v>6.0797200000000003E-3</v>
      </c>
      <c r="D187">
        <v>0.27166699999999999</v>
      </c>
      <c r="E187">
        <f t="shared" si="70"/>
        <v>6.0797200000000003E-3</v>
      </c>
      <c r="F187">
        <f t="shared" si="71"/>
        <v>0.24126839999999999</v>
      </c>
      <c r="G187">
        <f t="shared" si="72"/>
        <v>0.2108698</v>
      </c>
      <c r="H187">
        <f t="shared" si="73"/>
        <v>0.1804712</v>
      </c>
      <c r="I187">
        <f t="shared" si="74"/>
        <v>0.1500726</v>
      </c>
      <c r="J187">
        <f t="shared" si="75"/>
        <v>0.11967399999999997</v>
      </c>
      <c r="K187" s="1">
        <f t="shared" si="76"/>
        <v>6.0797200000000003E-3</v>
      </c>
      <c r="L187" s="1">
        <f t="shared" si="77"/>
        <v>6.0797200000000003E-3</v>
      </c>
      <c r="M187" s="1">
        <f t="shared" si="78"/>
        <v>6.0797200000000003E-3</v>
      </c>
      <c r="N187" s="1">
        <f t="shared" si="79"/>
        <v>6.0797200000000003E-3</v>
      </c>
      <c r="O187" s="1">
        <f t="shared" si="80"/>
        <v>6.0797200000000003E-3</v>
      </c>
      <c r="P187" s="1">
        <f t="shared" si="81"/>
        <v>1</v>
      </c>
      <c r="Q187" s="1">
        <f t="shared" si="82"/>
        <v>1</v>
      </c>
      <c r="R187" s="1">
        <f t="shared" si="83"/>
        <v>1</v>
      </c>
      <c r="S187" s="1">
        <f t="shared" si="84"/>
        <v>1</v>
      </c>
      <c r="T187" s="1">
        <f t="shared" si="85"/>
        <v>1.0127964731736507</v>
      </c>
      <c r="U187" s="1">
        <f t="shared" si="86"/>
        <v>1.2700586593579228</v>
      </c>
      <c r="V187">
        <f t="shared" si="87"/>
        <v>71.48</v>
      </c>
      <c r="W187">
        <f t="shared" si="88"/>
        <v>76.489999999999995</v>
      </c>
      <c r="X187">
        <f t="shared" si="89"/>
        <v>52.14</v>
      </c>
      <c r="Y187">
        <f t="shared" si="90"/>
        <v>38.1</v>
      </c>
      <c r="Z187">
        <f t="shared" si="91"/>
        <v>32.343938280538893</v>
      </c>
      <c r="AA187">
        <f t="shared" si="92"/>
        <v>34.756026538763649</v>
      </c>
      <c r="AC187">
        <f t="shared" si="93"/>
        <v>85.25</v>
      </c>
      <c r="AD187">
        <f t="shared" si="94"/>
        <v>76.489999999999995</v>
      </c>
      <c r="AE187">
        <f t="shared" si="95"/>
        <v>64.17</v>
      </c>
      <c r="AF187">
        <f t="shared" si="96"/>
        <v>49.84</v>
      </c>
      <c r="AG187">
        <f t="shared" si="97"/>
        <v>48.352796473173655</v>
      </c>
      <c r="AH187">
        <f t="shared" si="98"/>
        <v>48.111466483948071</v>
      </c>
      <c r="AJ187">
        <f t="shared" si="99"/>
        <v>99.009999999999991</v>
      </c>
      <c r="AK187">
        <f t="shared" si="100"/>
        <v>90.94</v>
      </c>
      <c r="AL187">
        <f t="shared" si="101"/>
        <v>78.7</v>
      </c>
      <c r="AM187">
        <f t="shared" si="102"/>
        <v>67.430000000000007</v>
      </c>
      <c r="AN187">
        <f t="shared" si="103"/>
        <v>63.0398677440119</v>
      </c>
      <c r="AO187">
        <f t="shared" si="104"/>
        <v>64.642053077527294</v>
      </c>
    </row>
    <row r="188" spans="1:41" x14ac:dyDescent="0.45">
      <c r="A188">
        <v>30.399336120000001</v>
      </c>
      <c r="B188">
        <v>112.1564229</v>
      </c>
      <c r="C188">
        <v>8.0388002400000005</v>
      </c>
      <c r="D188">
        <v>0.33875701000000003</v>
      </c>
      <c r="E188">
        <f t="shared" si="70"/>
        <v>0.33875701000000003</v>
      </c>
      <c r="F188">
        <f t="shared" si="71"/>
        <v>0</v>
      </c>
      <c r="G188">
        <f t="shared" si="72"/>
        <v>0</v>
      </c>
      <c r="H188">
        <f t="shared" si="73"/>
        <v>0</v>
      </c>
      <c r="I188">
        <f t="shared" si="74"/>
        <v>0</v>
      </c>
      <c r="J188">
        <f t="shared" si="75"/>
        <v>0</v>
      </c>
      <c r="K188" s="1">
        <f t="shared" si="76"/>
        <v>0</v>
      </c>
      <c r="L188" s="1">
        <f t="shared" si="77"/>
        <v>0</v>
      </c>
      <c r="M188" s="1">
        <f t="shared" si="78"/>
        <v>0</v>
      </c>
      <c r="N188" s="1">
        <f t="shared" si="79"/>
        <v>0</v>
      </c>
      <c r="O188" s="1">
        <f t="shared" si="80"/>
        <v>0</v>
      </c>
      <c r="P188" s="1">
        <f t="shared" si="81"/>
        <v>24.999999999999996</v>
      </c>
      <c r="Q188" s="1" t="e">
        <f t="shared" si="82"/>
        <v>#DIV/0!</v>
      </c>
      <c r="R188" s="1" t="e">
        <f t="shared" si="83"/>
        <v>#DIV/0!</v>
      </c>
      <c r="S188" s="1" t="e">
        <f t="shared" si="84"/>
        <v>#DIV/0!</v>
      </c>
      <c r="T188" s="1" t="e">
        <f t="shared" si="85"/>
        <v>#DIV/0!</v>
      </c>
      <c r="U188" s="1" t="e">
        <f t="shared" si="86"/>
        <v>#DIV/0!</v>
      </c>
      <c r="V188">
        <f t="shared" si="87"/>
        <v>851.4799999999999</v>
      </c>
      <c r="W188">
        <f t="shared" si="88"/>
        <v>0</v>
      </c>
      <c r="X188">
        <f t="shared" si="89"/>
        <v>0</v>
      </c>
      <c r="Y188">
        <f t="shared" si="90"/>
        <v>0</v>
      </c>
      <c r="Z188">
        <f t="shared" si="91"/>
        <v>0</v>
      </c>
      <c r="AA188">
        <f t="shared" si="92"/>
        <v>0</v>
      </c>
      <c r="AC188">
        <f t="shared" si="93"/>
        <v>1045.25</v>
      </c>
      <c r="AD188">
        <f t="shared" si="94"/>
        <v>0</v>
      </c>
      <c r="AE188">
        <f t="shared" si="95"/>
        <v>0</v>
      </c>
      <c r="AF188">
        <f t="shared" si="96"/>
        <v>0</v>
      </c>
      <c r="AG188">
        <f t="shared" si="97"/>
        <v>0</v>
      </c>
      <c r="AH188">
        <f t="shared" si="98"/>
        <v>0</v>
      </c>
      <c r="AJ188">
        <f t="shared" si="99"/>
        <v>1239.0099999999998</v>
      </c>
      <c r="AK188">
        <f t="shared" si="100"/>
        <v>0</v>
      </c>
      <c r="AL188">
        <f t="shared" si="101"/>
        <v>0</v>
      </c>
      <c r="AM188">
        <f t="shared" si="102"/>
        <v>0</v>
      </c>
      <c r="AN188">
        <f t="shared" si="103"/>
        <v>0</v>
      </c>
      <c r="AO188">
        <f t="shared" si="104"/>
        <v>0</v>
      </c>
    </row>
    <row r="189" spans="1:41" x14ac:dyDescent="0.45">
      <c r="A189">
        <v>30.402227150000002</v>
      </c>
      <c r="B189">
        <v>112.1037951</v>
      </c>
      <c r="C189">
        <v>8.0388002400000005</v>
      </c>
      <c r="D189">
        <v>0.36033100000000001</v>
      </c>
      <c r="E189">
        <f t="shared" si="70"/>
        <v>0.36033100000000001</v>
      </c>
      <c r="F189">
        <f t="shared" si="71"/>
        <v>0</v>
      </c>
      <c r="G189">
        <f t="shared" si="72"/>
        <v>0</v>
      </c>
      <c r="H189">
        <f t="shared" si="73"/>
        <v>0</v>
      </c>
      <c r="I189">
        <f t="shared" si="74"/>
        <v>0</v>
      </c>
      <c r="J189">
        <f t="shared" si="75"/>
        <v>0</v>
      </c>
      <c r="K189" s="1">
        <f t="shared" si="76"/>
        <v>0</v>
      </c>
      <c r="L189" s="1">
        <f t="shared" si="77"/>
        <v>0</v>
      </c>
      <c r="M189" s="1">
        <f t="shared" si="78"/>
        <v>0</v>
      </c>
      <c r="N189" s="1">
        <f t="shared" si="79"/>
        <v>0</v>
      </c>
      <c r="O189" s="1">
        <f t="shared" si="80"/>
        <v>0</v>
      </c>
      <c r="P189" s="1">
        <f t="shared" si="81"/>
        <v>25.000000000000004</v>
      </c>
      <c r="Q189" s="1" t="e">
        <f t="shared" si="82"/>
        <v>#DIV/0!</v>
      </c>
      <c r="R189" s="1" t="e">
        <f t="shared" si="83"/>
        <v>#DIV/0!</v>
      </c>
      <c r="S189" s="1" t="e">
        <f t="shared" si="84"/>
        <v>#DIV/0!</v>
      </c>
      <c r="T189" s="1" t="e">
        <f t="shared" si="85"/>
        <v>#DIV/0!</v>
      </c>
      <c r="U189" s="1" t="e">
        <f t="shared" si="86"/>
        <v>#DIV/0!</v>
      </c>
      <c r="V189">
        <f t="shared" si="87"/>
        <v>851.48000000000013</v>
      </c>
      <c r="W189">
        <f t="shared" si="88"/>
        <v>0</v>
      </c>
      <c r="X189">
        <f t="shared" si="89"/>
        <v>0</v>
      </c>
      <c r="Y189">
        <f t="shared" si="90"/>
        <v>0</v>
      </c>
      <c r="Z189">
        <f t="shared" si="91"/>
        <v>0</v>
      </c>
      <c r="AA189">
        <f t="shared" si="92"/>
        <v>0</v>
      </c>
      <c r="AC189">
        <f t="shared" si="93"/>
        <v>1045.25</v>
      </c>
      <c r="AD189">
        <f t="shared" si="94"/>
        <v>0</v>
      </c>
      <c r="AE189">
        <f t="shared" si="95"/>
        <v>0</v>
      </c>
      <c r="AF189">
        <f t="shared" si="96"/>
        <v>0</v>
      </c>
      <c r="AG189">
        <f t="shared" si="97"/>
        <v>0</v>
      </c>
      <c r="AH189">
        <f t="shared" si="98"/>
        <v>0</v>
      </c>
      <c r="AJ189">
        <f t="shared" si="99"/>
        <v>1239.0100000000002</v>
      </c>
      <c r="AK189">
        <f t="shared" si="100"/>
        <v>0</v>
      </c>
      <c r="AL189">
        <f t="shared" si="101"/>
        <v>0</v>
      </c>
      <c r="AM189">
        <f t="shared" si="102"/>
        <v>0</v>
      </c>
      <c r="AN189">
        <f t="shared" si="103"/>
        <v>0</v>
      </c>
      <c r="AO189">
        <f t="shared" si="104"/>
        <v>0</v>
      </c>
    </row>
    <row r="190" spans="1:41" x14ac:dyDescent="0.45">
      <c r="A190">
        <v>30.40509518</v>
      </c>
      <c r="B190">
        <v>112.843963</v>
      </c>
      <c r="C190">
        <v>5.3114275900000001</v>
      </c>
      <c r="D190">
        <v>6.1289000000000003E-2</v>
      </c>
      <c r="E190">
        <f t="shared" si="70"/>
        <v>6.1289000000000003E-2</v>
      </c>
      <c r="F190">
        <f t="shared" si="71"/>
        <v>0</v>
      </c>
      <c r="G190">
        <f t="shared" si="72"/>
        <v>0</v>
      </c>
      <c r="H190">
        <f t="shared" si="73"/>
        <v>0</v>
      </c>
      <c r="I190">
        <f t="shared" si="74"/>
        <v>0</v>
      </c>
      <c r="J190">
        <f t="shared" si="75"/>
        <v>0</v>
      </c>
      <c r="K190" s="1">
        <f t="shared" si="76"/>
        <v>0</v>
      </c>
      <c r="L190" s="1">
        <f t="shared" si="77"/>
        <v>0</v>
      </c>
      <c r="M190" s="1">
        <f t="shared" si="78"/>
        <v>0</v>
      </c>
      <c r="N190" s="1">
        <f t="shared" si="79"/>
        <v>0</v>
      </c>
      <c r="O190" s="1">
        <f t="shared" si="80"/>
        <v>0</v>
      </c>
      <c r="P190" s="1">
        <f t="shared" si="81"/>
        <v>25</v>
      </c>
      <c r="Q190" s="1" t="e">
        <f t="shared" si="82"/>
        <v>#DIV/0!</v>
      </c>
      <c r="R190" s="1" t="e">
        <f t="shared" si="83"/>
        <v>#DIV/0!</v>
      </c>
      <c r="S190" s="1" t="e">
        <f t="shared" si="84"/>
        <v>#DIV/0!</v>
      </c>
      <c r="T190" s="1" t="e">
        <f t="shared" si="85"/>
        <v>#DIV/0!</v>
      </c>
      <c r="U190" s="1" t="e">
        <f t="shared" si="86"/>
        <v>#DIV/0!</v>
      </c>
      <c r="V190">
        <f t="shared" si="87"/>
        <v>851.48</v>
      </c>
      <c r="W190">
        <f t="shared" si="88"/>
        <v>0</v>
      </c>
      <c r="X190">
        <f t="shared" si="89"/>
        <v>0</v>
      </c>
      <c r="Y190">
        <f t="shared" si="90"/>
        <v>0</v>
      </c>
      <c r="Z190">
        <f t="shared" si="91"/>
        <v>0</v>
      </c>
      <c r="AA190">
        <f t="shared" si="92"/>
        <v>0</v>
      </c>
      <c r="AC190">
        <f t="shared" si="93"/>
        <v>1045.25</v>
      </c>
      <c r="AD190">
        <f t="shared" si="94"/>
        <v>0</v>
      </c>
      <c r="AE190">
        <f t="shared" si="95"/>
        <v>0</v>
      </c>
      <c r="AF190">
        <f t="shared" si="96"/>
        <v>0</v>
      </c>
      <c r="AG190">
        <f t="shared" si="97"/>
        <v>0</v>
      </c>
      <c r="AH190">
        <f t="shared" si="98"/>
        <v>0</v>
      </c>
      <c r="AJ190">
        <f t="shared" si="99"/>
        <v>1239.01</v>
      </c>
      <c r="AK190">
        <f t="shared" si="100"/>
        <v>0</v>
      </c>
      <c r="AL190">
        <f t="shared" si="101"/>
        <v>0</v>
      </c>
      <c r="AM190">
        <f t="shared" si="102"/>
        <v>0</v>
      </c>
      <c r="AN190">
        <f t="shared" si="103"/>
        <v>0</v>
      </c>
      <c r="AO190">
        <f t="shared" si="104"/>
        <v>0</v>
      </c>
    </row>
    <row r="191" spans="1:41" x14ac:dyDescent="0.45">
      <c r="A191">
        <v>30.408309979999999</v>
      </c>
      <c r="B191">
        <v>112.79135650000001</v>
      </c>
      <c r="C191">
        <v>5.3114275900000001</v>
      </c>
      <c r="D191">
        <v>0.80768901000000004</v>
      </c>
      <c r="E191">
        <f t="shared" si="70"/>
        <v>0.80768901000000004</v>
      </c>
      <c r="F191">
        <f t="shared" si="71"/>
        <v>0</v>
      </c>
      <c r="G191">
        <f t="shared" si="72"/>
        <v>0</v>
      </c>
      <c r="H191">
        <f t="shared" si="73"/>
        <v>0</v>
      </c>
      <c r="I191">
        <f t="shared" si="74"/>
        <v>0</v>
      </c>
      <c r="J191">
        <f t="shared" si="75"/>
        <v>0</v>
      </c>
      <c r="K191" s="1">
        <f t="shared" si="76"/>
        <v>0</v>
      </c>
      <c r="L191" s="1">
        <f t="shared" si="77"/>
        <v>0</v>
      </c>
      <c r="M191" s="1">
        <f t="shared" si="78"/>
        <v>0</v>
      </c>
      <c r="N191" s="1">
        <f t="shared" si="79"/>
        <v>0</v>
      </c>
      <c r="O191" s="1">
        <f t="shared" si="80"/>
        <v>0</v>
      </c>
      <c r="P191" s="1">
        <f t="shared" si="81"/>
        <v>25</v>
      </c>
      <c r="Q191" s="1" t="e">
        <f t="shared" si="82"/>
        <v>#DIV/0!</v>
      </c>
      <c r="R191" s="1" t="e">
        <f t="shared" si="83"/>
        <v>#DIV/0!</v>
      </c>
      <c r="S191" s="1" t="e">
        <f t="shared" si="84"/>
        <v>#DIV/0!</v>
      </c>
      <c r="T191" s="1" t="e">
        <f t="shared" si="85"/>
        <v>#DIV/0!</v>
      </c>
      <c r="U191" s="1" t="e">
        <f t="shared" si="86"/>
        <v>#DIV/0!</v>
      </c>
      <c r="V191">
        <f t="shared" si="87"/>
        <v>851.48</v>
      </c>
      <c r="W191">
        <f t="shared" si="88"/>
        <v>0</v>
      </c>
      <c r="X191">
        <f t="shared" si="89"/>
        <v>0</v>
      </c>
      <c r="Y191">
        <f t="shared" si="90"/>
        <v>0</v>
      </c>
      <c r="Z191">
        <f t="shared" si="91"/>
        <v>0</v>
      </c>
      <c r="AA191">
        <f t="shared" si="92"/>
        <v>0</v>
      </c>
      <c r="AC191">
        <f t="shared" si="93"/>
        <v>1045.25</v>
      </c>
      <c r="AD191">
        <f t="shared" si="94"/>
        <v>0</v>
      </c>
      <c r="AE191">
        <f t="shared" si="95"/>
        <v>0</v>
      </c>
      <c r="AF191">
        <f t="shared" si="96"/>
        <v>0</v>
      </c>
      <c r="AG191">
        <f t="shared" si="97"/>
        <v>0</v>
      </c>
      <c r="AH191">
        <f t="shared" si="98"/>
        <v>0</v>
      </c>
      <c r="AJ191">
        <f t="shared" si="99"/>
        <v>1239.01</v>
      </c>
      <c r="AK191">
        <f t="shared" si="100"/>
        <v>0</v>
      </c>
      <c r="AL191">
        <f t="shared" si="101"/>
        <v>0</v>
      </c>
      <c r="AM191">
        <f t="shared" si="102"/>
        <v>0</v>
      </c>
      <c r="AN191">
        <f t="shared" si="103"/>
        <v>0</v>
      </c>
      <c r="AO191">
        <f t="shared" si="104"/>
        <v>0</v>
      </c>
    </row>
    <row r="192" spans="1:41" x14ac:dyDescent="0.45">
      <c r="A192">
        <v>30.41780589</v>
      </c>
      <c r="B192">
        <v>112.63351299999999</v>
      </c>
      <c r="C192">
        <v>5.3114275900000001</v>
      </c>
      <c r="D192">
        <v>0.48452499999999998</v>
      </c>
      <c r="E192">
        <f t="shared" si="70"/>
        <v>0.48452499999999998</v>
      </c>
      <c r="F192">
        <f t="shared" si="71"/>
        <v>0</v>
      </c>
      <c r="G192">
        <f t="shared" si="72"/>
        <v>0</v>
      </c>
      <c r="H192">
        <f t="shared" si="73"/>
        <v>0</v>
      </c>
      <c r="I192">
        <f t="shared" si="74"/>
        <v>0</v>
      </c>
      <c r="J192">
        <f t="shared" si="75"/>
        <v>0</v>
      </c>
      <c r="K192" s="1">
        <f t="shared" si="76"/>
        <v>0</v>
      </c>
      <c r="L192" s="1">
        <f t="shared" si="77"/>
        <v>0</v>
      </c>
      <c r="M192" s="1">
        <f t="shared" si="78"/>
        <v>0</v>
      </c>
      <c r="N192" s="1">
        <f t="shared" si="79"/>
        <v>0</v>
      </c>
      <c r="O192" s="1">
        <f t="shared" si="80"/>
        <v>0</v>
      </c>
      <c r="P192" s="1">
        <f t="shared" si="81"/>
        <v>25</v>
      </c>
      <c r="Q192" s="1" t="e">
        <f t="shared" si="82"/>
        <v>#DIV/0!</v>
      </c>
      <c r="R192" s="1" t="e">
        <f t="shared" si="83"/>
        <v>#DIV/0!</v>
      </c>
      <c r="S192" s="1" t="e">
        <f t="shared" si="84"/>
        <v>#DIV/0!</v>
      </c>
      <c r="T192" s="1" t="e">
        <f t="shared" si="85"/>
        <v>#DIV/0!</v>
      </c>
      <c r="U192" s="1" t="e">
        <f t="shared" si="86"/>
        <v>#DIV/0!</v>
      </c>
      <c r="V192">
        <f t="shared" si="87"/>
        <v>851.48</v>
      </c>
      <c r="W192">
        <f t="shared" si="88"/>
        <v>0</v>
      </c>
      <c r="X192">
        <f t="shared" si="89"/>
        <v>0</v>
      </c>
      <c r="Y192">
        <f t="shared" si="90"/>
        <v>0</v>
      </c>
      <c r="Z192">
        <f t="shared" si="91"/>
        <v>0</v>
      </c>
      <c r="AA192">
        <f t="shared" si="92"/>
        <v>0</v>
      </c>
      <c r="AC192">
        <f t="shared" si="93"/>
        <v>1045.25</v>
      </c>
      <c r="AD192">
        <f t="shared" si="94"/>
        <v>0</v>
      </c>
      <c r="AE192">
        <f t="shared" si="95"/>
        <v>0</v>
      </c>
      <c r="AF192">
        <f t="shared" si="96"/>
        <v>0</v>
      </c>
      <c r="AG192">
        <f t="shared" si="97"/>
        <v>0</v>
      </c>
      <c r="AH192">
        <f t="shared" si="98"/>
        <v>0</v>
      </c>
      <c r="AJ192">
        <f t="shared" si="99"/>
        <v>1239.01</v>
      </c>
      <c r="AK192">
        <f t="shared" si="100"/>
        <v>0</v>
      </c>
      <c r="AL192">
        <f t="shared" si="101"/>
        <v>0</v>
      </c>
      <c r="AM192">
        <f t="shared" si="102"/>
        <v>0</v>
      </c>
      <c r="AN192">
        <f t="shared" si="103"/>
        <v>0</v>
      </c>
      <c r="AO192">
        <f t="shared" si="104"/>
        <v>0</v>
      </c>
    </row>
    <row r="193" spans="1:41" x14ac:dyDescent="0.45">
      <c r="A193">
        <v>30.43087332</v>
      </c>
      <c r="B193">
        <v>113.1634117</v>
      </c>
      <c r="C193">
        <v>0.33875009</v>
      </c>
      <c r="D193">
        <v>2.2386660599999999</v>
      </c>
      <c r="E193">
        <f t="shared" si="70"/>
        <v>0.33875009</v>
      </c>
      <c r="F193">
        <f t="shared" si="71"/>
        <v>0.54491560999999988</v>
      </c>
      <c r="G193">
        <f t="shared" si="72"/>
        <v>0</v>
      </c>
      <c r="H193">
        <f t="shared" si="73"/>
        <v>0</v>
      </c>
      <c r="I193">
        <f t="shared" si="74"/>
        <v>0</v>
      </c>
      <c r="J193">
        <f t="shared" si="75"/>
        <v>0</v>
      </c>
      <c r="K193" s="1">
        <f t="shared" si="76"/>
        <v>0.33875009</v>
      </c>
      <c r="L193" s="1">
        <f t="shared" si="77"/>
        <v>0</v>
      </c>
      <c r="M193" s="1">
        <f t="shared" si="78"/>
        <v>0</v>
      </c>
      <c r="N193" s="1">
        <f t="shared" si="79"/>
        <v>0</v>
      </c>
      <c r="O193" s="1">
        <f t="shared" si="80"/>
        <v>0</v>
      </c>
      <c r="P193" s="1">
        <f t="shared" si="81"/>
        <v>3.7829457467184722</v>
      </c>
      <c r="Q193" s="1">
        <f t="shared" si="82"/>
        <v>15.541401447464501</v>
      </c>
      <c r="R193" s="1" t="e">
        <f t="shared" si="83"/>
        <v>#DIV/0!</v>
      </c>
      <c r="S193" s="1" t="e">
        <f t="shared" si="84"/>
        <v>#DIV/0!</v>
      </c>
      <c r="T193" s="1" t="e">
        <f t="shared" si="85"/>
        <v>#DIV/0!</v>
      </c>
      <c r="U193" s="1" t="e">
        <f t="shared" si="86"/>
        <v>#DIV/0!</v>
      </c>
      <c r="V193">
        <f t="shared" si="87"/>
        <v>161.92573676835036</v>
      </c>
      <c r="W193">
        <f t="shared" si="88"/>
        <v>621.79255427991882</v>
      </c>
      <c r="X193">
        <f t="shared" si="89"/>
        <v>0</v>
      </c>
      <c r="Y193">
        <f t="shared" si="90"/>
        <v>0</v>
      </c>
      <c r="Z193">
        <f t="shared" si="91"/>
        <v>0</v>
      </c>
      <c r="AA193">
        <f t="shared" si="92"/>
        <v>0</v>
      </c>
      <c r="AC193">
        <f t="shared" si="93"/>
        <v>196.5678298687389</v>
      </c>
      <c r="AD193">
        <f t="shared" si="94"/>
        <v>621.79255427991882</v>
      </c>
      <c r="AE193">
        <f t="shared" si="95"/>
        <v>0</v>
      </c>
      <c r="AF193">
        <f t="shared" si="96"/>
        <v>0</v>
      </c>
      <c r="AG193">
        <f t="shared" si="97"/>
        <v>0</v>
      </c>
      <c r="AH193">
        <f t="shared" si="98"/>
        <v>0</v>
      </c>
      <c r="AJ193">
        <f t="shared" si="99"/>
        <v>231.19992296912741</v>
      </c>
      <c r="AK193">
        <f t="shared" si="100"/>
        <v>745.30306513590267</v>
      </c>
      <c r="AL193">
        <f t="shared" si="101"/>
        <v>0</v>
      </c>
      <c r="AM193">
        <f t="shared" si="102"/>
        <v>0</v>
      </c>
      <c r="AN193">
        <f t="shared" si="103"/>
        <v>0</v>
      </c>
      <c r="AO193">
        <f t="shared" si="104"/>
        <v>0</v>
      </c>
    </row>
    <row r="194" spans="1:41" x14ac:dyDescent="0.45">
      <c r="A194">
        <v>30.431076969999999</v>
      </c>
      <c r="B194">
        <v>105.6133063</v>
      </c>
      <c r="C194">
        <v>3.4743599999999999E-2</v>
      </c>
      <c r="D194">
        <v>0.85282499</v>
      </c>
      <c r="E194">
        <f t="shared" si="70"/>
        <v>3.4743599999999999E-2</v>
      </c>
      <c r="F194">
        <f t="shared" si="71"/>
        <v>0.67910698999999997</v>
      </c>
      <c r="G194">
        <f t="shared" si="72"/>
        <v>0.50538899000000004</v>
      </c>
      <c r="H194">
        <f t="shared" si="73"/>
        <v>0.33167099</v>
      </c>
      <c r="I194">
        <f t="shared" si="74"/>
        <v>0.15795299000000007</v>
      </c>
      <c r="J194">
        <f t="shared" si="75"/>
        <v>0</v>
      </c>
      <c r="K194" s="1">
        <f t="shared" si="76"/>
        <v>3.4743599999999999E-2</v>
      </c>
      <c r="L194" s="1">
        <f t="shared" si="77"/>
        <v>3.4743599999999999E-2</v>
      </c>
      <c r="M194" s="1">
        <f t="shared" si="78"/>
        <v>3.4743599999999999E-2</v>
      </c>
      <c r="N194" s="1">
        <f t="shared" si="79"/>
        <v>3.4743599999999999E-2</v>
      </c>
      <c r="O194" s="1">
        <f t="shared" si="80"/>
        <v>0</v>
      </c>
      <c r="P194" s="1">
        <f t="shared" si="81"/>
        <v>1.0184856332598791</v>
      </c>
      <c r="Q194" s="1">
        <f t="shared" si="82"/>
        <v>1.2790179055585924</v>
      </c>
      <c r="R194" s="1">
        <f t="shared" si="83"/>
        <v>1.7186563561663659</v>
      </c>
      <c r="S194" s="1">
        <f t="shared" si="84"/>
        <v>2.6188301846959843</v>
      </c>
      <c r="T194" s="1">
        <f t="shared" si="85"/>
        <v>5.4990412020690433</v>
      </c>
      <c r="U194" s="1" t="e">
        <f t="shared" si="86"/>
        <v>#DIV/0!</v>
      </c>
      <c r="V194">
        <f t="shared" si="87"/>
        <v>72.080783080946077</v>
      </c>
      <c r="W194">
        <f t="shared" si="88"/>
        <v>86.953171458447201</v>
      </c>
      <c r="X194">
        <f t="shared" si="89"/>
        <v>92.610754617399607</v>
      </c>
      <c r="Y194">
        <f t="shared" si="90"/>
        <v>70.476603693919685</v>
      </c>
      <c r="Z194">
        <f t="shared" si="91"/>
        <v>110.85322103620827</v>
      </c>
      <c r="AA194">
        <f t="shared" si="92"/>
        <v>0</v>
      </c>
      <c r="AC194">
        <f t="shared" si="93"/>
        <v>85.989425330395164</v>
      </c>
      <c r="AD194">
        <f t="shared" si="94"/>
        <v>86.953171458447201</v>
      </c>
      <c r="AE194">
        <f t="shared" si="95"/>
        <v>87.526331575406886</v>
      </c>
      <c r="AF194">
        <f t="shared" si="96"/>
        <v>98.404905540879525</v>
      </c>
      <c r="AG194">
        <f t="shared" si="97"/>
        <v>52.839041202069048</v>
      </c>
      <c r="AH194">
        <f t="shared" si="98"/>
        <v>0</v>
      </c>
      <c r="AJ194">
        <f t="shared" si="99"/>
        <v>99.888067579844261</v>
      </c>
      <c r="AK194">
        <f t="shared" si="100"/>
        <v>103.49580575013665</v>
      </c>
      <c r="AL194">
        <f t="shared" si="101"/>
        <v>109.24289513707055</v>
      </c>
      <c r="AM194">
        <f t="shared" si="102"/>
        <v>128.13613192609941</v>
      </c>
      <c r="AN194">
        <f t="shared" si="103"/>
        <v>231.27404507758914</v>
      </c>
      <c r="AO194">
        <f t="shared" si="104"/>
        <v>0</v>
      </c>
    </row>
    <row r="195" spans="1:41" x14ac:dyDescent="0.45">
      <c r="A195">
        <v>30.43157823</v>
      </c>
      <c r="B195">
        <v>106.19358510000001</v>
      </c>
      <c r="C195">
        <v>6.0797200000000003E-3</v>
      </c>
      <c r="D195">
        <v>4.2841999999999998E-2</v>
      </c>
      <c r="E195">
        <f t="shared" ref="E195:E258" si="105">MIN(C195,D195)</f>
        <v>6.0797200000000003E-3</v>
      </c>
      <c r="F195">
        <f t="shared" ref="F195:F258" si="106">MAX(0,(D195-(C195*(2030-2025))))</f>
        <v>1.2443399999999997E-2</v>
      </c>
      <c r="G195">
        <f t="shared" ref="G195:G258" si="107">MAX(0,(D195-(C195*(2035-2025))))</f>
        <v>0</v>
      </c>
      <c r="H195">
        <f t="shared" ref="H195:H258" si="108">MAX(0,(D195-(C195*(2040-2025))))</f>
        <v>0</v>
      </c>
      <c r="I195">
        <f t="shared" ref="I195:I258" si="109">MAX(0,(D195-(C195*(2045-2025))))</f>
        <v>0</v>
      </c>
      <c r="J195">
        <f t="shared" ref="J195:J258" si="110">MAX(0,(D195-(C195*(2050-2025))))</f>
        <v>0</v>
      </c>
      <c r="K195" s="1">
        <f t="shared" ref="K195:K258" si="111">MIN(E195,F195)</f>
        <v>6.0797200000000003E-3</v>
      </c>
      <c r="L195" s="1">
        <f t="shared" ref="L195:L258" si="112">MIN(E195,G195)</f>
        <v>0</v>
      </c>
      <c r="M195" s="1">
        <f t="shared" ref="M195:M258" si="113">MIN(E195,H195)</f>
        <v>0</v>
      </c>
      <c r="N195" s="1">
        <f t="shared" ref="N195:N258" si="114">MIN(E195,I195)</f>
        <v>0</v>
      </c>
      <c r="O195" s="1">
        <f t="shared" ref="O195:O258" si="115">MIN(E195,J195)</f>
        <v>0</v>
      </c>
      <c r="P195" s="1">
        <f t="shared" ref="P195:P258" si="116">MAX(1,((25*E195)/D195))</f>
        <v>3.5477568740955143</v>
      </c>
      <c r="Q195" s="1">
        <f t="shared" ref="Q195:Q258" si="117">MAX(1, ((25*K195)/F195))</f>
        <v>12.214748380667668</v>
      </c>
      <c r="R195" s="1" t="e">
        <f t="shared" ref="R195:R258" si="118">MAX(1, ((25*L195)/G195))</f>
        <v>#DIV/0!</v>
      </c>
      <c r="S195" s="1" t="e">
        <f t="shared" ref="S195:S258" si="119">MAX(1, ((25*M195)/H195))</f>
        <v>#DIV/0!</v>
      </c>
      <c r="T195" s="1" t="e">
        <f t="shared" ref="T195:T258" si="120">MAX(1, ((25*N195)/I195))</f>
        <v>#DIV/0!</v>
      </c>
      <c r="U195" s="1" t="e">
        <f t="shared" ref="U195:U258" si="121">MAX(1, ((25*O195)/J195))</f>
        <v>#DIV/0!</v>
      </c>
      <c r="V195">
        <f t="shared" ref="V195:V258" si="122">(32.02+6.96+(0.13*250*P195))</f>
        <v>154.28209840810422</v>
      </c>
      <c r="W195">
        <f t="shared" ref="W195:W258" si="123">IF(F195&gt;0,(32.72+6.27+(0.15*250*Q195)),F195)</f>
        <v>497.04306427503758</v>
      </c>
      <c r="X195">
        <f t="shared" ref="X195:X258" si="124">IF(G195&gt;0,(22.27+4.87+(0.1*250*S195)),G195)</f>
        <v>0</v>
      </c>
      <c r="Y195">
        <f t="shared" ref="Y195:Y258" si="125">IF(H195&gt;0,(13.92+4.18+(0.08*250*S195)),H195)</f>
        <v>0</v>
      </c>
      <c r="Z195">
        <f t="shared" ref="Z195:Z258" si="126">IF(I195&gt;0,(11.14+3.48+(0.07*250*T195)),I195)</f>
        <v>0</v>
      </c>
      <c r="AA195">
        <f t="shared" ref="AA195:AA258" si="127">IF(J195&gt;0,(9.75+2.78+(0.07*250*U195)),J195)</f>
        <v>0</v>
      </c>
      <c r="AC195">
        <f t="shared" ref="AC195:AC258" si="128">IF(D195&gt;0,(37.59+7.66+(0.16*250*P195)),D195)</f>
        <v>187.16027496382057</v>
      </c>
      <c r="AD195">
        <f t="shared" ref="AD195:AD258" si="129">IF(F195&gt;0,(32.72+6.27+(0.15*250*Q195)),F195)</f>
        <v>497.04306427503758</v>
      </c>
      <c r="AE195">
        <f t="shared" ref="AE195:AE258" si="130">IF(G195&gt;0,(26.45+5.22+(0.13*250*R195)),G195)</f>
        <v>0</v>
      </c>
      <c r="AF195">
        <f t="shared" ref="AF195:AF258" si="131">IF(H195&gt;0,(15.31+4.53+(0.12*250*S195)),H195)</f>
        <v>0</v>
      </c>
      <c r="AG195">
        <f t="shared" ref="AG195:AG258" si="132">IF(I195&gt;0,(16.01+3.83+(0.11*250+T195)),I195)</f>
        <v>0</v>
      </c>
      <c r="AH195">
        <f t="shared" ref="AH195:AH258" si="133">IF(J195,(13.23+3.13+(0.1*250*U195)),J195)</f>
        <v>0</v>
      </c>
      <c r="AJ195">
        <f t="shared" ref="AJ195:AJ258" si="134">(43.16+8.35+(0.19*250*P195))</f>
        <v>220.02845151953693</v>
      </c>
      <c r="AK195">
        <f t="shared" ref="AK195:AK258" si="135">IF(F195&gt;0,(38.98+6.96+(0.18*250*Q195)),F195)</f>
        <v>595.60367713004507</v>
      </c>
      <c r="AL195">
        <f t="shared" ref="AL195:AL258" si="136">IF(G195&gt;0,(30.63+5.57+(0.17*250*R195)),G195)</f>
        <v>0</v>
      </c>
      <c r="AM195">
        <f t="shared" ref="AM195:AM258" si="137">IF(H195&gt;0,(25.06+4.87+(0.15*250*S195)),H195)</f>
        <v>0</v>
      </c>
      <c r="AN195">
        <f t="shared" ref="AN195:AN258" si="138">IF(I195&gt;0,(20.88+4.18+(0.15*250*T195)),I195)</f>
        <v>0</v>
      </c>
      <c r="AO195">
        <f t="shared" ref="AO195:AO258" si="139">IF(J195,(16.71+3.48+(0.14*250*U195)),J195)</f>
        <v>0</v>
      </c>
    </row>
    <row r="196" spans="1:41" x14ac:dyDescent="0.45">
      <c r="A196">
        <v>30.453910690000001</v>
      </c>
      <c r="B196">
        <v>112.7950532</v>
      </c>
      <c r="C196">
        <v>5.3114275900000001</v>
      </c>
      <c r="D196">
        <v>14.07820034</v>
      </c>
      <c r="E196">
        <f t="shared" si="105"/>
        <v>5.3114275900000001</v>
      </c>
      <c r="F196">
        <f t="shared" si="106"/>
        <v>0</v>
      </c>
      <c r="G196">
        <f t="shared" si="107"/>
        <v>0</v>
      </c>
      <c r="H196">
        <f t="shared" si="108"/>
        <v>0</v>
      </c>
      <c r="I196">
        <f t="shared" si="109"/>
        <v>0</v>
      </c>
      <c r="J196">
        <f t="shared" si="110"/>
        <v>0</v>
      </c>
      <c r="K196" s="1">
        <f t="shared" si="111"/>
        <v>0</v>
      </c>
      <c r="L196" s="1">
        <f t="shared" si="112"/>
        <v>0</v>
      </c>
      <c r="M196" s="1">
        <f t="shared" si="113"/>
        <v>0</v>
      </c>
      <c r="N196" s="1">
        <f t="shared" si="114"/>
        <v>0</v>
      </c>
      <c r="O196" s="1">
        <f t="shared" si="115"/>
        <v>0</v>
      </c>
      <c r="P196" s="1">
        <f t="shared" si="116"/>
        <v>9.4320073974739298</v>
      </c>
      <c r="Q196" s="1" t="e">
        <f t="shared" si="117"/>
        <v>#DIV/0!</v>
      </c>
      <c r="R196" s="1" t="e">
        <f t="shared" si="118"/>
        <v>#DIV/0!</v>
      </c>
      <c r="S196" s="1" t="e">
        <f t="shared" si="119"/>
        <v>#DIV/0!</v>
      </c>
      <c r="T196" s="1" t="e">
        <f t="shared" si="120"/>
        <v>#DIV/0!</v>
      </c>
      <c r="U196" s="1" t="e">
        <f t="shared" si="121"/>
        <v>#DIV/0!</v>
      </c>
      <c r="V196">
        <f t="shared" si="122"/>
        <v>345.52024041790276</v>
      </c>
      <c r="W196">
        <f t="shared" si="123"/>
        <v>0</v>
      </c>
      <c r="X196">
        <f t="shared" si="124"/>
        <v>0</v>
      </c>
      <c r="Y196">
        <f t="shared" si="125"/>
        <v>0</v>
      </c>
      <c r="Z196">
        <f t="shared" si="126"/>
        <v>0</v>
      </c>
      <c r="AA196">
        <f t="shared" si="127"/>
        <v>0</v>
      </c>
      <c r="AC196">
        <f t="shared" si="128"/>
        <v>422.53029589895721</v>
      </c>
      <c r="AD196">
        <f t="shared" si="129"/>
        <v>0</v>
      </c>
      <c r="AE196">
        <f t="shared" si="130"/>
        <v>0</v>
      </c>
      <c r="AF196">
        <f t="shared" si="131"/>
        <v>0</v>
      </c>
      <c r="AG196">
        <f t="shared" si="132"/>
        <v>0</v>
      </c>
      <c r="AH196">
        <f t="shared" si="133"/>
        <v>0</v>
      </c>
      <c r="AJ196">
        <f t="shared" si="134"/>
        <v>499.53035138001167</v>
      </c>
      <c r="AK196">
        <f t="shared" si="135"/>
        <v>0</v>
      </c>
      <c r="AL196">
        <f t="shared" si="136"/>
        <v>0</v>
      </c>
      <c r="AM196">
        <f t="shared" si="137"/>
        <v>0</v>
      </c>
      <c r="AN196">
        <f t="shared" si="138"/>
        <v>0</v>
      </c>
      <c r="AO196">
        <f t="shared" si="139"/>
        <v>0</v>
      </c>
    </row>
    <row r="197" spans="1:41" x14ac:dyDescent="0.45">
      <c r="A197">
        <v>30.457102710000001</v>
      </c>
      <c r="B197">
        <v>112.74241429999999</v>
      </c>
      <c r="C197">
        <v>5.3114275900000001</v>
      </c>
      <c r="D197">
        <v>1.814152</v>
      </c>
      <c r="E197">
        <f t="shared" si="105"/>
        <v>1.814152</v>
      </c>
      <c r="F197">
        <f t="shared" si="106"/>
        <v>0</v>
      </c>
      <c r="G197">
        <f t="shared" si="107"/>
        <v>0</v>
      </c>
      <c r="H197">
        <f t="shared" si="108"/>
        <v>0</v>
      </c>
      <c r="I197">
        <f t="shared" si="109"/>
        <v>0</v>
      </c>
      <c r="J197">
        <f t="shared" si="110"/>
        <v>0</v>
      </c>
      <c r="K197" s="1">
        <f t="shared" si="111"/>
        <v>0</v>
      </c>
      <c r="L197" s="1">
        <f t="shared" si="112"/>
        <v>0</v>
      </c>
      <c r="M197" s="1">
        <f t="shared" si="113"/>
        <v>0</v>
      </c>
      <c r="N197" s="1">
        <f t="shared" si="114"/>
        <v>0</v>
      </c>
      <c r="O197" s="1">
        <f t="shared" si="115"/>
        <v>0</v>
      </c>
      <c r="P197" s="1">
        <f t="shared" si="116"/>
        <v>25</v>
      </c>
      <c r="Q197" s="1" t="e">
        <f t="shared" si="117"/>
        <v>#DIV/0!</v>
      </c>
      <c r="R197" s="1" t="e">
        <f t="shared" si="118"/>
        <v>#DIV/0!</v>
      </c>
      <c r="S197" s="1" t="e">
        <f t="shared" si="119"/>
        <v>#DIV/0!</v>
      </c>
      <c r="T197" s="1" t="e">
        <f t="shared" si="120"/>
        <v>#DIV/0!</v>
      </c>
      <c r="U197" s="1" t="e">
        <f t="shared" si="121"/>
        <v>#DIV/0!</v>
      </c>
      <c r="V197">
        <f t="shared" si="122"/>
        <v>851.48</v>
      </c>
      <c r="W197">
        <f t="shared" si="123"/>
        <v>0</v>
      </c>
      <c r="X197">
        <f t="shared" si="124"/>
        <v>0</v>
      </c>
      <c r="Y197">
        <f t="shared" si="125"/>
        <v>0</v>
      </c>
      <c r="Z197">
        <f t="shared" si="126"/>
        <v>0</v>
      </c>
      <c r="AA197">
        <f t="shared" si="127"/>
        <v>0</v>
      </c>
      <c r="AC197">
        <f t="shared" si="128"/>
        <v>1045.25</v>
      </c>
      <c r="AD197">
        <f t="shared" si="129"/>
        <v>0</v>
      </c>
      <c r="AE197">
        <f t="shared" si="130"/>
        <v>0</v>
      </c>
      <c r="AF197">
        <f t="shared" si="131"/>
        <v>0</v>
      </c>
      <c r="AG197">
        <f t="shared" si="132"/>
        <v>0</v>
      </c>
      <c r="AH197">
        <f t="shared" si="133"/>
        <v>0</v>
      </c>
      <c r="AJ197">
        <f t="shared" si="134"/>
        <v>1239.01</v>
      </c>
      <c r="AK197">
        <f t="shared" si="135"/>
        <v>0</v>
      </c>
      <c r="AL197">
        <f t="shared" si="136"/>
        <v>0</v>
      </c>
      <c r="AM197">
        <f t="shared" si="137"/>
        <v>0</v>
      </c>
      <c r="AN197">
        <f t="shared" si="138"/>
        <v>0</v>
      </c>
      <c r="AO197">
        <f t="shared" si="139"/>
        <v>0</v>
      </c>
    </row>
    <row r="198" spans="1:41" x14ac:dyDescent="0.45">
      <c r="A198">
        <v>30.493052209999998</v>
      </c>
      <c r="B198">
        <v>112.9040767</v>
      </c>
      <c r="C198">
        <v>5.3114275900000001</v>
      </c>
      <c r="D198">
        <v>0.49288300000000002</v>
      </c>
      <c r="E198">
        <f t="shared" si="105"/>
        <v>0.49288300000000002</v>
      </c>
      <c r="F198">
        <f t="shared" si="106"/>
        <v>0</v>
      </c>
      <c r="G198">
        <f t="shared" si="107"/>
        <v>0</v>
      </c>
      <c r="H198">
        <f t="shared" si="108"/>
        <v>0</v>
      </c>
      <c r="I198">
        <f t="shared" si="109"/>
        <v>0</v>
      </c>
      <c r="J198">
        <f t="shared" si="110"/>
        <v>0</v>
      </c>
      <c r="K198" s="1">
        <f t="shared" si="111"/>
        <v>0</v>
      </c>
      <c r="L198" s="1">
        <f t="shared" si="112"/>
        <v>0</v>
      </c>
      <c r="M198" s="1">
        <f t="shared" si="113"/>
        <v>0</v>
      </c>
      <c r="N198" s="1">
        <f t="shared" si="114"/>
        <v>0</v>
      </c>
      <c r="O198" s="1">
        <f t="shared" si="115"/>
        <v>0</v>
      </c>
      <c r="P198" s="1">
        <f t="shared" si="116"/>
        <v>25</v>
      </c>
      <c r="Q198" s="1" t="e">
        <f t="shared" si="117"/>
        <v>#DIV/0!</v>
      </c>
      <c r="R198" s="1" t="e">
        <f t="shared" si="118"/>
        <v>#DIV/0!</v>
      </c>
      <c r="S198" s="1" t="e">
        <f t="shared" si="119"/>
        <v>#DIV/0!</v>
      </c>
      <c r="T198" s="1" t="e">
        <f t="shared" si="120"/>
        <v>#DIV/0!</v>
      </c>
      <c r="U198" s="1" t="e">
        <f t="shared" si="121"/>
        <v>#DIV/0!</v>
      </c>
      <c r="V198">
        <f t="shared" si="122"/>
        <v>851.48</v>
      </c>
      <c r="W198">
        <f t="shared" si="123"/>
        <v>0</v>
      </c>
      <c r="X198">
        <f t="shared" si="124"/>
        <v>0</v>
      </c>
      <c r="Y198">
        <f t="shared" si="125"/>
        <v>0</v>
      </c>
      <c r="Z198">
        <f t="shared" si="126"/>
        <v>0</v>
      </c>
      <c r="AA198">
        <f t="shared" si="127"/>
        <v>0</v>
      </c>
      <c r="AC198">
        <f t="shared" si="128"/>
        <v>1045.25</v>
      </c>
      <c r="AD198">
        <f t="shared" si="129"/>
        <v>0</v>
      </c>
      <c r="AE198">
        <f t="shared" si="130"/>
        <v>0</v>
      </c>
      <c r="AF198">
        <f t="shared" si="131"/>
        <v>0</v>
      </c>
      <c r="AG198">
        <f t="shared" si="132"/>
        <v>0</v>
      </c>
      <c r="AH198">
        <f t="shared" si="133"/>
        <v>0</v>
      </c>
      <c r="AJ198">
        <f t="shared" si="134"/>
        <v>1239.01</v>
      </c>
      <c r="AK198">
        <f t="shared" si="135"/>
        <v>0</v>
      </c>
      <c r="AL198">
        <f t="shared" si="136"/>
        <v>0</v>
      </c>
      <c r="AM198">
        <f t="shared" si="137"/>
        <v>0</v>
      </c>
      <c r="AN198">
        <f t="shared" si="138"/>
        <v>0</v>
      </c>
      <c r="AO198">
        <f t="shared" si="139"/>
        <v>0</v>
      </c>
    </row>
    <row r="199" spans="1:41" x14ac:dyDescent="0.45">
      <c r="A199">
        <v>30.496295750000002</v>
      </c>
      <c r="B199">
        <v>112.8514174</v>
      </c>
      <c r="C199">
        <v>5.3114275900000001</v>
      </c>
      <c r="D199">
        <v>1.9049520499999999</v>
      </c>
      <c r="E199">
        <f t="shared" si="105"/>
        <v>1.9049520499999999</v>
      </c>
      <c r="F199">
        <f t="shared" si="106"/>
        <v>0</v>
      </c>
      <c r="G199">
        <f t="shared" si="107"/>
        <v>0</v>
      </c>
      <c r="H199">
        <f t="shared" si="108"/>
        <v>0</v>
      </c>
      <c r="I199">
        <f t="shared" si="109"/>
        <v>0</v>
      </c>
      <c r="J199">
        <f t="shared" si="110"/>
        <v>0</v>
      </c>
      <c r="K199" s="1">
        <f t="shared" si="111"/>
        <v>0</v>
      </c>
      <c r="L199" s="1">
        <f t="shared" si="112"/>
        <v>0</v>
      </c>
      <c r="M199" s="1">
        <f t="shared" si="113"/>
        <v>0</v>
      </c>
      <c r="N199" s="1">
        <f t="shared" si="114"/>
        <v>0</v>
      </c>
      <c r="O199" s="1">
        <f t="shared" si="115"/>
        <v>0</v>
      </c>
      <c r="P199" s="1">
        <f t="shared" si="116"/>
        <v>25</v>
      </c>
      <c r="Q199" s="1" t="e">
        <f t="shared" si="117"/>
        <v>#DIV/0!</v>
      </c>
      <c r="R199" s="1" t="e">
        <f t="shared" si="118"/>
        <v>#DIV/0!</v>
      </c>
      <c r="S199" s="1" t="e">
        <f t="shared" si="119"/>
        <v>#DIV/0!</v>
      </c>
      <c r="T199" s="1" t="e">
        <f t="shared" si="120"/>
        <v>#DIV/0!</v>
      </c>
      <c r="U199" s="1" t="e">
        <f t="shared" si="121"/>
        <v>#DIV/0!</v>
      </c>
      <c r="V199">
        <f t="shared" si="122"/>
        <v>851.48</v>
      </c>
      <c r="W199">
        <f t="shared" si="123"/>
        <v>0</v>
      </c>
      <c r="X199">
        <f t="shared" si="124"/>
        <v>0</v>
      </c>
      <c r="Y199">
        <f t="shared" si="125"/>
        <v>0</v>
      </c>
      <c r="Z199">
        <f t="shared" si="126"/>
        <v>0</v>
      </c>
      <c r="AA199">
        <f t="shared" si="127"/>
        <v>0</v>
      </c>
      <c r="AC199">
        <f t="shared" si="128"/>
        <v>1045.25</v>
      </c>
      <c r="AD199">
        <f t="shared" si="129"/>
        <v>0</v>
      </c>
      <c r="AE199">
        <f t="shared" si="130"/>
        <v>0</v>
      </c>
      <c r="AF199">
        <f t="shared" si="131"/>
        <v>0</v>
      </c>
      <c r="AG199">
        <f t="shared" si="132"/>
        <v>0</v>
      </c>
      <c r="AH199">
        <f t="shared" si="133"/>
        <v>0</v>
      </c>
      <c r="AJ199">
        <f t="shared" si="134"/>
        <v>1239.01</v>
      </c>
      <c r="AK199">
        <f t="shared" si="135"/>
        <v>0</v>
      </c>
      <c r="AL199">
        <f t="shared" si="136"/>
        <v>0</v>
      </c>
      <c r="AM199">
        <f t="shared" si="137"/>
        <v>0</v>
      </c>
      <c r="AN199">
        <f t="shared" si="138"/>
        <v>0</v>
      </c>
      <c r="AO199">
        <f t="shared" si="139"/>
        <v>0</v>
      </c>
    </row>
    <row r="200" spans="1:41" x14ac:dyDescent="0.45">
      <c r="A200">
        <v>30.50587767</v>
      </c>
      <c r="B200">
        <v>112.693415</v>
      </c>
      <c r="C200">
        <v>5.3114275900000001</v>
      </c>
      <c r="D200">
        <v>0.31648999</v>
      </c>
      <c r="E200">
        <f t="shared" si="105"/>
        <v>0.31648999</v>
      </c>
      <c r="F200">
        <f t="shared" si="106"/>
        <v>0</v>
      </c>
      <c r="G200">
        <f t="shared" si="107"/>
        <v>0</v>
      </c>
      <c r="H200">
        <f t="shared" si="108"/>
        <v>0</v>
      </c>
      <c r="I200">
        <f t="shared" si="109"/>
        <v>0</v>
      </c>
      <c r="J200">
        <f t="shared" si="110"/>
        <v>0</v>
      </c>
      <c r="K200" s="1">
        <f t="shared" si="111"/>
        <v>0</v>
      </c>
      <c r="L200" s="1">
        <f t="shared" si="112"/>
        <v>0</v>
      </c>
      <c r="M200" s="1">
        <f t="shared" si="113"/>
        <v>0</v>
      </c>
      <c r="N200" s="1">
        <f t="shared" si="114"/>
        <v>0</v>
      </c>
      <c r="O200" s="1">
        <f t="shared" si="115"/>
        <v>0</v>
      </c>
      <c r="P200" s="1">
        <f t="shared" si="116"/>
        <v>25</v>
      </c>
      <c r="Q200" s="1" t="e">
        <f t="shared" si="117"/>
        <v>#DIV/0!</v>
      </c>
      <c r="R200" s="1" t="e">
        <f t="shared" si="118"/>
        <v>#DIV/0!</v>
      </c>
      <c r="S200" s="1" t="e">
        <f t="shared" si="119"/>
        <v>#DIV/0!</v>
      </c>
      <c r="T200" s="1" t="e">
        <f t="shared" si="120"/>
        <v>#DIV/0!</v>
      </c>
      <c r="U200" s="1" t="e">
        <f t="shared" si="121"/>
        <v>#DIV/0!</v>
      </c>
      <c r="V200">
        <f t="shared" si="122"/>
        <v>851.48</v>
      </c>
      <c r="W200">
        <f t="shared" si="123"/>
        <v>0</v>
      </c>
      <c r="X200">
        <f t="shared" si="124"/>
        <v>0</v>
      </c>
      <c r="Y200">
        <f t="shared" si="125"/>
        <v>0</v>
      </c>
      <c r="Z200">
        <f t="shared" si="126"/>
        <v>0</v>
      </c>
      <c r="AA200">
        <f t="shared" si="127"/>
        <v>0</v>
      </c>
      <c r="AC200">
        <f t="shared" si="128"/>
        <v>1045.25</v>
      </c>
      <c r="AD200">
        <f t="shared" si="129"/>
        <v>0</v>
      </c>
      <c r="AE200">
        <f t="shared" si="130"/>
        <v>0</v>
      </c>
      <c r="AF200">
        <f t="shared" si="131"/>
        <v>0</v>
      </c>
      <c r="AG200">
        <f t="shared" si="132"/>
        <v>0</v>
      </c>
      <c r="AH200">
        <f t="shared" si="133"/>
        <v>0</v>
      </c>
      <c r="AJ200">
        <f t="shared" si="134"/>
        <v>1239.01</v>
      </c>
      <c r="AK200">
        <f t="shared" si="135"/>
        <v>0</v>
      </c>
      <c r="AL200">
        <f t="shared" si="136"/>
        <v>0</v>
      </c>
      <c r="AM200">
        <f t="shared" si="137"/>
        <v>0</v>
      </c>
      <c r="AN200">
        <f t="shared" si="138"/>
        <v>0</v>
      </c>
      <c r="AO200">
        <f t="shared" si="139"/>
        <v>0</v>
      </c>
    </row>
    <row r="201" spans="1:41" x14ac:dyDescent="0.45">
      <c r="A201">
        <v>30.509022080000001</v>
      </c>
      <c r="B201">
        <v>112.6407396</v>
      </c>
      <c r="C201">
        <v>5.3114275900000001</v>
      </c>
      <c r="D201">
        <v>1.9303779599999999</v>
      </c>
      <c r="E201">
        <f t="shared" si="105"/>
        <v>1.9303779599999999</v>
      </c>
      <c r="F201">
        <f t="shared" si="106"/>
        <v>0</v>
      </c>
      <c r="G201">
        <f t="shared" si="107"/>
        <v>0</v>
      </c>
      <c r="H201">
        <f t="shared" si="108"/>
        <v>0</v>
      </c>
      <c r="I201">
        <f t="shared" si="109"/>
        <v>0</v>
      </c>
      <c r="J201">
        <f t="shared" si="110"/>
        <v>0</v>
      </c>
      <c r="K201" s="1">
        <f t="shared" si="111"/>
        <v>0</v>
      </c>
      <c r="L201" s="1">
        <f t="shared" si="112"/>
        <v>0</v>
      </c>
      <c r="M201" s="1">
        <f t="shared" si="113"/>
        <v>0</v>
      </c>
      <c r="N201" s="1">
        <f t="shared" si="114"/>
        <v>0</v>
      </c>
      <c r="O201" s="1">
        <f t="shared" si="115"/>
        <v>0</v>
      </c>
      <c r="P201" s="1">
        <f t="shared" si="116"/>
        <v>25</v>
      </c>
      <c r="Q201" s="1" t="e">
        <f t="shared" si="117"/>
        <v>#DIV/0!</v>
      </c>
      <c r="R201" s="1" t="e">
        <f t="shared" si="118"/>
        <v>#DIV/0!</v>
      </c>
      <c r="S201" s="1" t="e">
        <f t="shared" si="119"/>
        <v>#DIV/0!</v>
      </c>
      <c r="T201" s="1" t="e">
        <f t="shared" si="120"/>
        <v>#DIV/0!</v>
      </c>
      <c r="U201" s="1" t="e">
        <f t="shared" si="121"/>
        <v>#DIV/0!</v>
      </c>
      <c r="V201">
        <f t="shared" si="122"/>
        <v>851.48</v>
      </c>
      <c r="W201">
        <f t="shared" si="123"/>
        <v>0</v>
      </c>
      <c r="X201">
        <f t="shared" si="124"/>
        <v>0</v>
      </c>
      <c r="Y201">
        <f t="shared" si="125"/>
        <v>0</v>
      </c>
      <c r="Z201">
        <f t="shared" si="126"/>
        <v>0</v>
      </c>
      <c r="AA201">
        <f t="shared" si="127"/>
        <v>0</v>
      </c>
      <c r="AC201">
        <f t="shared" si="128"/>
        <v>1045.25</v>
      </c>
      <c r="AD201">
        <f t="shared" si="129"/>
        <v>0</v>
      </c>
      <c r="AE201">
        <f t="shared" si="130"/>
        <v>0</v>
      </c>
      <c r="AF201">
        <f t="shared" si="131"/>
        <v>0</v>
      </c>
      <c r="AG201">
        <f t="shared" si="132"/>
        <v>0</v>
      </c>
      <c r="AH201">
        <f t="shared" si="133"/>
        <v>0</v>
      </c>
      <c r="AJ201">
        <f t="shared" si="134"/>
        <v>1239.01</v>
      </c>
      <c r="AK201">
        <f t="shared" si="135"/>
        <v>0</v>
      </c>
      <c r="AL201">
        <f t="shared" si="136"/>
        <v>0</v>
      </c>
      <c r="AM201">
        <f t="shared" si="137"/>
        <v>0</v>
      </c>
      <c r="AN201">
        <f t="shared" si="138"/>
        <v>0</v>
      </c>
      <c r="AO201">
        <f t="shared" si="139"/>
        <v>0</v>
      </c>
    </row>
    <row r="202" spans="1:41" x14ac:dyDescent="0.45">
      <c r="A202">
        <v>30.522624180000001</v>
      </c>
      <c r="B202">
        <v>106.35222589999999</v>
      </c>
      <c r="C202">
        <v>6.0797200000000003E-3</v>
      </c>
      <c r="D202">
        <v>2.1416270700000002</v>
      </c>
      <c r="E202">
        <f t="shared" si="105"/>
        <v>6.0797200000000003E-3</v>
      </c>
      <c r="F202">
        <f t="shared" si="106"/>
        <v>2.1112284700000004</v>
      </c>
      <c r="G202">
        <f t="shared" si="107"/>
        <v>2.0808298700000001</v>
      </c>
      <c r="H202">
        <f t="shared" si="108"/>
        <v>2.0504312700000003</v>
      </c>
      <c r="I202">
        <f t="shared" si="109"/>
        <v>2.02003267</v>
      </c>
      <c r="J202">
        <f t="shared" si="110"/>
        <v>1.9896340700000001</v>
      </c>
      <c r="K202" s="1">
        <f t="shared" si="111"/>
        <v>6.0797200000000003E-3</v>
      </c>
      <c r="L202" s="1">
        <f t="shared" si="112"/>
        <v>6.0797200000000003E-3</v>
      </c>
      <c r="M202" s="1">
        <f t="shared" si="113"/>
        <v>6.0797200000000003E-3</v>
      </c>
      <c r="N202" s="1">
        <f t="shared" si="114"/>
        <v>6.0797200000000003E-3</v>
      </c>
      <c r="O202" s="1">
        <f t="shared" si="115"/>
        <v>6.0797200000000003E-3</v>
      </c>
      <c r="P202" s="1">
        <f t="shared" si="116"/>
        <v>1</v>
      </c>
      <c r="Q202" s="1">
        <f t="shared" si="117"/>
        <v>1</v>
      </c>
      <c r="R202" s="1">
        <f t="shared" si="118"/>
        <v>1</v>
      </c>
      <c r="S202" s="1">
        <f t="shared" si="119"/>
        <v>1</v>
      </c>
      <c r="T202" s="1">
        <f t="shared" si="120"/>
        <v>1</v>
      </c>
      <c r="U202" s="1">
        <f t="shared" si="121"/>
        <v>1</v>
      </c>
      <c r="V202">
        <f t="shared" si="122"/>
        <v>71.48</v>
      </c>
      <c r="W202">
        <f t="shared" si="123"/>
        <v>76.489999999999995</v>
      </c>
      <c r="X202">
        <f t="shared" si="124"/>
        <v>52.14</v>
      </c>
      <c r="Y202">
        <f t="shared" si="125"/>
        <v>38.1</v>
      </c>
      <c r="Z202">
        <f t="shared" si="126"/>
        <v>32.120000000000005</v>
      </c>
      <c r="AA202">
        <f t="shared" si="127"/>
        <v>30.03</v>
      </c>
      <c r="AC202">
        <f t="shared" si="128"/>
        <v>85.25</v>
      </c>
      <c r="AD202">
        <f t="shared" si="129"/>
        <v>76.489999999999995</v>
      </c>
      <c r="AE202">
        <f t="shared" si="130"/>
        <v>64.17</v>
      </c>
      <c r="AF202">
        <f t="shared" si="131"/>
        <v>49.84</v>
      </c>
      <c r="AG202">
        <f t="shared" si="132"/>
        <v>48.34</v>
      </c>
      <c r="AH202">
        <f t="shared" si="133"/>
        <v>41.36</v>
      </c>
      <c r="AJ202">
        <f t="shared" si="134"/>
        <v>99.009999999999991</v>
      </c>
      <c r="AK202">
        <f t="shared" si="135"/>
        <v>90.94</v>
      </c>
      <c r="AL202">
        <f t="shared" si="136"/>
        <v>78.7</v>
      </c>
      <c r="AM202">
        <f t="shared" si="137"/>
        <v>67.430000000000007</v>
      </c>
      <c r="AN202">
        <f t="shared" si="138"/>
        <v>62.56</v>
      </c>
      <c r="AO202">
        <f t="shared" si="139"/>
        <v>55.19</v>
      </c>
    </row>
    <row r="203" spans="1:41" x14ac:dyDescent="0.45">
      <c r="A203">
        <v>30.54190067</v>
      </c>
      <c r="B203">
        <v>112.8551506</v>
      </c>
      <c r="C203">
        <v>5.3114275900000001</v>
      </c>
      <c r="D203">
        <v>0.43227198999999999</v>
      </c>
      <c r="E203">
        <f t="shared" si="105"/>
        <v>0.43227198999999999</v>
      </c>
      <c r="F203">
        <f t="shared" si="106"/>
        <v>0</v>
      </c>
      <c r="G203">
        <f t="shared" si="107"/>
        <v>0</v>
      </c>
      <c r="H203">
        <f t="shared" si="108"/>
        <v>0</v>
      </c>
      <c r="I203">
        <f t="shared" si="109"/>
        <v>0</v>
      </c>
      <c r="J203">
        <f t="shared" si="110"/>
        <v>0</v>
      </c>
      <c r="K203" s="1">
        <f t="shared" si="111"/>
        <v>0</v>
      </c>
      <c r="L203" s="1">
        <f t="shared" si="112"/>
        <v>0</v>
      </c>
      <c r="M203" s="1">
        <f t="shared" si="113"/>
        <v>0</v>
      </c>
      <c r="N203" s="1">
        <f t="shared" si="114"/>
        <v>0</v>
      </c>
      <c r="O203" s="1">
        <f t="shared" si="115"/>
        <v>0</v>
      </c>
      <c r="P203" s="1">
        <f t="shared" si="116"/>
        <v>25</v>
      </c>
      <c r="Q203" s="1" t="e">
        <f t="shared" si="117"/>
        <v>#DIV/0!</v>
      </c>
      <c r="R203" s="1" t="e">
        <f t="shared" si="118"/>
        <v>#DIV/0!</v>
      </c>
      <c r="S203" s="1" t="e">
        <f t="shared" si="119"/>
        <v>#DIV/0!</v>
      </c>
      <c r="T203" s="1" t="e">
        <f t="shared" si="120"/>
        <v>#DIV/0!</v>
      </c>
      <c r="U203" s="1" t="e">
        <f t="shared" si="121"/>
        <v>#DIV/0!</v>
      </c>
      <c r="V203">
        <f t="shared" si="122"/>
        <v>851.48</v>
      </c>
      <c r="W203">
        <f t="shared" si="123"/>
        <v>0</v>
      </c>
      <c r="X203">
        <f t="shared" si="124"/>
        <v>0</v>
      </c>
      <c r="Y203">
        <f t="shared" si="125"/>
        <v>0</v>
      </c>
      <c r="Z203">
        <f t="shared" si="126"/>
        <v>0</v>
      </c>
      <c r="AA203">
        <f t="shared" si="127"/>
        <v>0</v>
      </c>
      <c r="AC203">
        <f t="shared" si="128"/>
        <v>1045.25</v>
      </c>
      <c r="AD203">
        <f t="shared" si="129"/>
        <v>0</v>
      </c>
      <c r="AE203">
        <f t="shared" si="130"/>
        <v>0</v>
      </c>
      <c r="AF203">
        <f t="shared" si="131"/>
        <v>0</v>
      </c>
      <c r="AG203">
        <f t="shared" si="132"/>
        <v>0</v>
      </c>
      <c r="AH203">
        <f t="shared" si="133"/>
        <v>0</v>
      </c>
      <c r="AJ203">
        <f t="shared" si="134"/>
        <v>1239.01</v>
      </c>
      <c r="AK203">
        <f t="shared" si="135"/>
        <v>0</v>
      </c>
      <c r="AL203">
        <f t="shared" si="136"/>
        <v>0</v>
      </c>
      <c r="AM203">
        <f t="shared" si="137"/>
        <v>0</v>
      </c>
      <c r="AN203">
        <f t="shared" si="138"/>
        <v>0</v>
      </c>
      <c r="AO203">
        <f t="shared" si="139"/>
        <v>0</v>
      </c>
    </row>
    <row r="204" spans="1:41" x14ac:dyDescent="0.45">
      <c r="A204">
        <v>30.545121399999999</v>
      </c>
      <c r="B204">
        <v>112.8024587</v>
      </c>
      <c r="C204">
        <v>5.3114275900000001</v>
      </c>
      <c r="D204">
        <v>6.9975999999999997E-2</v>
      </c>
      <c r="E204">
        <f t="shared" si="105"/>
        <v>6.9975999999999997E-2</v>
      </c>
      <c r="F204">
        <f t="shared" si="106"/>
        <v>0</v>
      </c>
      <c r="G204">
        <f t="shared" si="107"/>
        <v>0</v>
      </c>
      <c r="H204">
        <f t="shared" si="108"/>
        <v>0</v>
      </c>
      <c r="I204">
        <f t="shared" si="109"/>
        <v>0</v>
      </c>
      <c r="J204">
        <f t="shared" si="110"/>
        <v>0</v>
      </c>
      <c r="K204" s="1">
        <f t="shared" si="111"/>
        <v>0</v>
      </c>
      <c r="L204" s="1">
        <f t="shared" si="112"/>
        <v>0</v>
      </c>
      <c r="M204" s="1">
        <f t="shared" si="113"/>
        <v>0</v>
      </c>
      <c r="N204" s="1">
        <f t="shared" si="114"/>
        <v>0</v>
      </c>
      <c r="O204" s="1">
        <f t="shared" si="115"/>
        <v>0</v>
      </c>
      <c r="P204" s="1">
        <f t="shared" si="116"/>
        <v>25</v>
      </c>
      <c r="Q204" s="1" t="e">
        <f t="shared" si="117"/>
        <v>#DIV/0!</v>
      </c>
      <c r="R204" s="1" t="e">
        <f t="shared" si="118"/>
        <v>#DIV/0!</v>
      </c>
      <c r="S204" s="1" t="e">
        <f t="shared" si="119"/>
        <v>#DIV/0!</v>
      </c>
      <c r="T204" s="1" t="e">
        <f t="shared" si="120"/>
        <v>#DIV/0!</v>
      </c>
      <c r="U204" s="1" t="e">
        <f t="shared" si="121"/>
        <v>#DIV/0!</v>
      </c>
      <c r="V204">
        <f t="shared" si="122"/>
        <v>851.48</v>
      </c>
      <c r="W204">
        <f t="shared" si="123"/>
        <v>0</v>
      </c>
      <c r="X204">
        <f t="shared" si="124"/>
        <v>0</v>
      </c>
      <c r="Y204">
        <f t="shared" si="125"/>
        <v>0</v>
      </c>
      <c r="Z204">
        <f t="shared" si="126"/>
        <v>0</v>
      </c>
      <c r="AA204">
        <f t="shared" si="127"/>
        <v>0</v>
      </c>
      <c r="AC204">
        <f t="shared" si="128"/>
        <v>1045.25</v>
      </c>
      <c r="AD204">
        <f t="shared" si="129"/>
        <v>0</v>
      </c>
      <c r="AE204">
        <f t="shared" si="130"/>
        <v>0</v>
      </c>
      <c r="AF204">
        <f t="shared" si="131"/>
        <v>0</v>
      </c>
      <c r="AG204">
        <f t="shared" si="132"/>
        <v>0</v>
      </c>
      <c r="AH204">
        <f t="shared" si="133"/>
        <v>0</v>
      </c>
      <c r="AJ204">
        <f t="shared" si="134"/>
        <v>1239.01</v>
      </c>
      <c r="AK204">
        <f t="shared" si="135"/>
        <v>0</v>
      </c>
      <c r="AL204">
        <f t="shared" si="136"/>
        <v>0</v>
      </c>
      <c r="AM204">
        <f t="shared" si="137"/>
        <v>0</v>
      </c>
      <c r="AN204">
        <f t="shared" si="138"/>
        <v>0</v>
      </c>
      <c r="AO204">
        <f t="shared" si="139"/>
        <v>0</v>
      </c>
    </row>
    <row r="205" spans="1:41" x14ac:dyDescent="0.45">
      <c r="A205">
        <v>30.548317340000001</v>
      </c>
      <c r="B205">
        <v>112.74976270000001</v>
      </c>
      <c r="C205">
        <v>5.3114275900000001</v>
      </c>
      <c r="D205">
        <v>4.8260000000000004E-3</v>
      </c>
      <c r="E205">
        <f t="shared" si="105"/>
        <v>4.8260000000000004E-3</v>
      </c>
      <c r="F205">
        <f t="shared" si="106"/>
        <v>0</v>
      </c>
      <c r="G205">
        <f t="shared" si="107"/>
        <v>0</v>
      </c>
      <c r="H205">
        <f t="shared" si="108"/>
        <v>0</v>
      </c>
      <c r="I205">
        <f t="shared" si="109"/>
        <v>0</v>
      </c>
      <c r="J205">
        <f t="shared" si="110"/>
        <v>0</v>
      </c>
      <c r="K205" s="1">
        <f t="shared" si="111"/>
        <v>0</v>
      </c>
      <c r="L205" s="1">
        <f t="shared" si="112"/>
        <v>0</v>
      </c>
      <c r="M205" s="1">
        <f t="shared" si="113"/>
        <v>0</v>
      </c>
      <c r="N205" s="1">
        <f t="shared" si="114"/>
        <v>0</v>
      </c>
      <c r="O205" s="1">
        <f t="shared" si="115"/>
        <v>0</v>
      </c>
      <c r="P205" s="1">
        <f t="shared" si="116"/>
        <v>25</v>
      </c>
      <c r="Q205" s="1" t="e">
        <f t="shared" si="117"/>
        <v>#DIV/0!</v>
      </c>
      <c r="R205" s="1" t="e">
        <f t="shared" si="118"/>
        <v>#DIV/0!</v>
      </c>
      <c r="S205" s="1" t="e">
        <f t="shared" si="119"/>
        <v>#DIV/0!</v>
      </c>
      <c r="T205" s="1" t="e">
        <f t="shared" si="120"/>
        <v>#DIV/0!</v>
      </c>
      <c r="U205" s="1" t="e">
        <f t="shared" si="121"/>
        <v>#DIV/0!</v>
      </c>
      <c r="V205">
        <f t="shared" si="122"/>
        <v>851.48</v>
      </c>
      <c r="W205">
        <f t="shared" si="123"/>
        <v>0</v>
      </c>
      <c r="X205">
        <f t="shared" si="124"/>
        <v>0</v>
      </c>
      <c r="Y205">
        <f t="shared" si="125"/>
        <v>0</v>
      </c>
      <c r="Z205">
        <f t="shared" si="126"/>
        <v>0</v>
      </c>
      <c r="AA205">
        <f t="shared" si="127"/>
        <v>0</v>
      </c>
      <c r="AC205">
        <f t="shared" si="128"/>
        <v>1045.25</v>
      </c>
      <c r="AD205">
        <f t="shared" si="129"/>
        <v>0</v>
      </c>
      <c r="AE205">
        <f t="shared" si="130"/>
        <v>0</v>
      </c>
      <c r="AF205">
        <f t="shared" si="131"/>
        <v>0</v>
      </c>
      <c r="AG205">
        <f t="shared" si="132"/>
        <v>0</v>
      </c>
      <c r="AH205">
        <f t="shared" si="133"/>
        <v>0</v>
      </c>
      <c r="AJ205">
        <f t="shared" si="134"/>
        <v>1239.01</v>
      </c>
      <c r="AK205">
        <f t="shared" si="135"/>
        <v>0</v>
      </c>
      <c r="AL205">
        <f t="shared" si="136"/>
        <v>0</v>
      </c>
      <c r="AM205">
        <f t="shared" si="137"/>
        <v>0</v>
      </c>
      <c r="AN205">
        <f t="shared" si="138"/>
        <v>0</v>
      </c>
      <c r="AO205">
        <f t="shared" si="139"/>
        <v>0</v>
      </c>
    </row>
    <row r="206" spans="1:41" x14ac:dyDescent="0.45">
      <c r="A206">
        <v>30.566569449999999</v>
      </c>
      <c r="B206">
        <v>106.72228029999999</v>
      </c>
      <c r="C206">
        <v>6.0797200000000003E-3</v>
      </c>
      <c r="D206">
        <v>3.85811496</v>
      </c>
      <c r="E206">
        <f t="shared" si="105"/>
        <v>6.0797200000000003E-3</v>
      </c>
      <c r="F206">
        <f t="shared" si="106"/>
        <v>3.8277163600000002</v>
      </c>
      <c r="G206">
        <f t="shared" si="107"/>
        <v>3.7973177599999999</v>
      </c>
      <c r="H206">
        <f t="shared" si="108"/>
        <v>3.76691916</v>
      </c>
      <c r="I206">
        <f t="shared" si="109"/>
        <v>3.7365205599999998</v>
      </c>
      <c r="J206">
        <f t="shared" si="110"/>
        <v>3.7061219599999999</v>
      </c>
      <c r="K206" s="1">
        <f t="shared" si="111"/>
        <v>6.0797200000000003E-3</v>
      </c>
      <c r="L206" s="1">
        <f t="shared" si="112"/>
        <v>6.0797200000000003E-3</v>
      </c>
      <c r="M206" s="1">
        <f t="shared" si="113"/>
        <v>6.0797200000000003E-3</v>
      </c>
      <c r="N206" s="1">
        <f t="shared" si="114"/>
        <v>6.0797200000000003E-3</v>
      </c>
      <c r="O206" s="1">
        <f t="shared" si="115"/>
        <v>6.0797200000000003E-3</v>
      </c>
      <c r="P206" s="1">
        <f t="shared" si="116"/>
        <v>1</v>
      </c>
      <c r="Q206" s="1">
        <f t="shared" si="117"/>
        <v>1</v>
      </c>
      <c r="R206" s="1">
        <f t="shared" si="118"/>
        <v>1</v>
      </c>
      <c r="S206" s="1">
        <f t="shared" si="119"/>
        <v>1</v>
      </c>
      <c r="T206" s="1">
        <f t="shared" si="120"/>
        <v>1</v>
      </c>
      <c r="U206" s="1">
        <f t="shared" si="121"/>
        <v>1</v>
      </c>
      <c r="V206">
        <f t="shared" si="122"/>
        <v>71.48</v>
      </c>
      <c r="W206">
        <f t="shared" si="123"/>
        <v>76.489999999999995</v>
      </c>
      <c r="X206">
        <f t="shared" si="124"/>
        <v>52.14</v>
      </c>
      <c r="Y206">
        <f t="shared" si="125"/>
        <v>38.1</v>
      </c>
      <c r="Z206">
        <f t="shared" si="126"/>
        <v>32.120000000000005</v>
      </c>
      <c r="AA206">
        <f t="shared" si="127"/>
        <v>30.03</v>
      </c>
      <c r="AC206">
        <f t="shared" si="128"/>
        <v>85.25</v>
      </c>
      <c r="AD206">
        <f t="shared" si="129"/>
        <v>76.489999999999995</v>
      </c>
      <c r="AE206">
        <f t="shared" si="130"/>
        <v>64.17</v>
      </c>
      <c r="AF206">
        <f t="shared" si="131"/>
        <v>49.84</v>
      </c>
      <c r="AG206">
        <f t="shared" si="132"/>
        <v>48.34</v>
      </c>
      <c r="AH206">
        <f t="shared" si="133"/>
        <v>41.36</v>
      </c>
      <c r="AJ206">
        <f t="shared" si="134"/>
        <v>99.009999999999991</v>
      </c>
      <c r="AK206">
        <f t="shared" si="135"/>
        <v>90.94</v>
      </c>
      <c r="AL206">
        <f t="shared" si="136"/>
        <v>78.7</v>
      </c>
      <c r="AM206">
        <f t="shared" si="137"/>
        <v>67.430000000000007</v>
      </c>
      <c r="AN206">
        <f t="shared" si="138"/>
        <v>62.56</v>
      </c>
      <c r="AO206">
        <f t="shared" si="139"/>
        <v>55.19</v>
      </c>
    </row>
    <row r="207" spans="1:41" x14ac:dyDescent="0.45">
      <c r="A207">
        <v>30.609851949999999</v>
      </c>
      <c r="B207">
        <v>113.23175670000001</v>
      </c>
      <c r="C207">
        <v>0.33875009</v>
      </c>
      <c r="D207">
        <v>1.2064999999999999E-2</v>
      </c>
      <c r="E207">
        <f t="shared" si="105"/>
        <v>1.2064999999999999E-2</v>
      </c>
      <c r="F207">
        <f t="shared" si="106"/>
        <v>0</v>
      </c>
      <c r="G207">
        <f t="shared" si="107"/>
        <v>0</v>
      </c>
      <c r="H207">
        <f t="shared" si="108"/>
        <v>0</v>
      </c>
      <c r="I207">
        <f t="shared" si="109"/>
        <v>0</v>
      </c>
      <c r="J207">
        <f t="shared" si="110"/>
        <v>0</v>
      </c>
      <c r="K207" s="1">
        <f t="shared" si="111"/>
        <v>0</v>
      </c>
      <c r="L207" s="1">
        <f t="shared" si="112"/>
        <v>0</v>
      </c>
      <c r="M207" s="1">
        <f t="shared" si="113"/>
        <v>0</v>
      </c>
      <c r="N207" s="1">
        <f t="shared" si="114"/>
        <v>0</v>
      </c>
      <c r="O207" s="1">
        <f t="shared" si="115"/>
        <v>0</v>
      </c>
      <c r="P207" s="1">
        <f t="shared" si="116"/>
        <v>25</v>
      </c>
      <c r="Q207" s="1" t="e">
        <f t="shared" si="117"/>
        <v>#DIV/0!</v>
      </c>
      <c r="R207" s="1" t="e">
        <f t="shared" si="118"/>
        <v>#DIV/0!</v>
      </c>
      <c r="S207" s="1" t="e">
        <f t="shared" si="119"/>
        <v>#DIV/0!</v>
      </c>
      <c r="T207" s="1" t="e">
        <f t="shared" si="120"/>
        <v>#DIV/0!</v>
      </c>
      <c r="U207" s="1" t="e">
        <f t="shared" si="121"/>
        <v>#DIV/0!</v>
      </c>
      <c r="V207">
        <f t="shared" si="122"/>
        <v>851.48</v>
      </c>
      <c r="W207">
        <f t="shared" si="123"/>
        <v>0</v>
      </c>
      <c r="X207">
        <f t="shared" si="124"/>
        <v>0</v>
      </c>
      <c r="Y207">
        <f t="shared" si="125"/>
        <v>0</v>
      </c>
      <c r="Z207">
        <f t="shared" si="126"/>
        <v>0</v>
      </c>
      <c r="AA207">
        <f t="shared" si="127"/>
        <v>0</v>
      </c>
      <c r="AC207">
        <f t="shared" si="128"/>
        <v>1045.25</v>
      </c>
      <c r="AD207">
        <f t="shared" si="129"/>
        <v>0</v>
      </c>
      <c r="AE207">
        <f t="shared" si="130"/>
        <v>0</v>
      </c>
      <c r="AF207">
        <f t="shared" si="131"/>
        <v>0</v>
      </c>
      <c r="AG207">
        <f t="shared" si="132"/>
        <v>0</v>
      </c>
      <c r="AH207">
        <f t="shared" si="133"/>
        <v>0</v>
      </c>
      <c r="AJ207">
        <f t="shared" si="134"/>
        <v>1239.01</v>
      </c>
      <c r="AK207">
        <f t="shared" si="135"/>
        <v>0</v>
      </c>
      <c r="AL207">
        <f t="shared" si="136"/>
        <v>0</v>
      </c>
      <c r="AM207">
        <f t="shared" si="137"/>
        <v>0</v>
      </c>
      <c r="AN207">
        <f t="shared" si="138"/>
        <v>0</v>
      </c>
      <c r="AO207">
        <f t="shared" si="139"/>
        <v>0</v>
      </c>
    </row>
    <row r="208" spans="1:41" x14ac:dyDescent="0.45">
      <c r="A208">
        <v>30.613022189999999</v>
      </c>
      <c r="B208">
        <v>105.4009957</v>
      </c>
      <c r="C208">
        <v>4.3429500000000003E-2</v>
      </c>
      <c r="D208">
        <v>13.893025400000001</v>
      </c>
      <c r="E208">
        <f t="shared" si="105"/>
        <v>4.3429500000000003E-2</v>
      </c>
      <c r="F208">
        <f t="shared" si="106"/>
        <v>13.675877900000001</v>
      </c>
      <c r="G208">
        <f t="shared" si="107"/>
        <v>13.4587304</v>
      </c>
      <c r="H208">
        <f t="shared" si="108"/>
        <v>13.241582900000001</v>
      </c>
      <c r="I208">
        <f t="shared" si="109"/>
        <v>13.024435400000002</v>
      </c>
      <c r="J208">
        <f t="shared" si="110"/>
        <v>12.8072879</v>
      </c>
      <c r="K208" s="1">
        <f t="shared" si="111"/>
        <v>4.3429500000000003E-2</v>
      </c>
      <c r="L208" s="1">
        <f t="shared" si="112"/>
        <v>4.3429500000000003E-2</v>
      </c>
      <c r="M208" s="1">
        <f t="shared" si="113"/>
        <v>4.3429500000000003E-2</v>
      </c>
      <c r="N208" s="1">
        <f t="shared" si="114"/>
        <v>4.3429500000000003E-2</v>
      </c>
      <c r="O208" s="1">
        <f t="shared" si="115"/>
        <v>4.3429500000000003E-2</v>
      </c>
      <c r="P208" s="1">
        <f t="shared" si="116"/>
        <v>1</v>
      </c>
      <c r="Q208" s="1">
        <f t="shared" si="117"/>
        <v>1</v>
      </c>
      <c r="R208" s="1">
        <f t="shared" si="118"/>
        <v>1</v>
      </c>
      <c r="S208" s="1">
        <f t="shared" si="119"/>
        <v>1</v>
      </c>
      <c r="T208" s="1">
        <f t="shared" si="120"/>
        <v>1</v>
      </c>
      <c r="U208" s="1">
        <f t="shared" si="121"/>
        <v>1</v>
      </c>
      <c r="V208">
        <f t="shared" si="122"/>
        <v>71.48</v>
      </c>
      <c r="W208">
        <f t="shared" si="123"/>
        <v>76.489999999999995</v>
      </c>
      <c r="X208">
        <f t="shared" si="124"/>
        <v>52.14</v>
      </c>
      <c r="Y208">
        <f t="shared" si="125"/>
        <v>38.1</v>
      </c>
      <c r="Z208">
        <f t="shared" si="126"/>
        <v>32.120000000000005</v>
      </c>
      <c r="AA208">
        <f t="shared" si="127"/>
        <v>30.03</v>
      </c>
      <c r="AC208">
        <f t="shared" si="128"/>
        <v>85.25</v>
      </c>
      <c r="AD208">
        <f t="shared" si="129"/>
        <v>76.489999999999995</v>
      </c>
      <c r="AE208">
        <f t="shared" si="130"/>
        <v>64.17</v>
      </c>
      <c r="AF208">
        <f t="shared" si="131"/>
        <v>49.84</v>
      </c>
      <c r="AG208">
        <f t="shared" si="132"/>
        <v>48.34</v>
      </c>
      <c r="AH208">
        <f t="shared" si="133"/>
        <v>41.36</v>
      </c>
      <c r="AJ208">
        <f t="shared" si="134"/>
        <v>99.009999999999991</v>
      </c>
      <c r="AK208">
        <f t="shared" si="135"/>
        <v>90.94</v>
      </c>
      <c r="AL208">
        <f t="shared" si="136"/>
        <v>78.7</v>
      </c>
      <c r="AM208">
        <f t="shared" si="137"/>
        <v>67.430000000000007</v>
      </c>
      <c r="AN208">
        <f t="shared" si="138"/>
        <v>62.56</v>
      </c>
      <c r="AO208">
        <f t="shared" si="139"/>
        <v>55.19</v>
      </c>
    </row>
    <row r="209" spans="1:41" x14ac:dyDescent="0.45">
      <c r="A209">
        <v>30.79738442</v>
      </c>
      <c r="B209">
        <v>106.19443219999999</v>
      </c>
      <c r="C209">
        <v>1.302885E-2</v>
      </c>
      <c r="D209">
        <v>2.8570809399999999</v>
      </c>
      <c r="E209">
        <f t="shared" si="105"/>
        <v>1.302885E-2</v>
      </c>
      <c r="F209">
        <f t="shared" si="106"/>
        <v>2.79193669</v>
      </c>
      <c r="G209">
        <f t="shared" si="107"/>
        <v>2.7267924400000001</v>
      </c>
      <c r="H209">
        <f t="shared" si="108"/>
        <v>2.6616481899999997</v>
      </c>
      <c r="I209">
        <f t="shared" si="109"/>
        <v>2.5965039399999998</v>
      </c>
      <c r="J209">
        <f t="shared" si="110"/>
        <v>2.5313596899999999</v>
      </c>
      <c r="K209" s="1">
        <f t="shared" si="111"/>
        <v>1.302885E-2</v>
      </c>
      <c r="L209" s="1">
        <f t="shared" si="112"/>
        <v>1.302885E-2</v>
      </c>
      <c r="M209" s="1">
        <f t="shared" si="113"/>
        <v>1.302885E-2</v>
      </c>
      <c r="N209" s="1">
        <f t="shared" si="114"/>
        <v>1.302885E-2</v>
      </c>
      <c r="O209" s="1">
        <f t="shared" si="115"/>
        <v>1.302885E-2</v>
      </c>
      <c r="P209" s="1">
        <f t="shared" si="116"/>
        <v>1</v>
      </c>
      <c r="Q209" s="1">
        <f t="shared" si="117"/>
        <v>1</v>
      </c>
      <c r="R209" s="1">
        <f t="shared" si="118"/>
        <v>1</v>
      </c>
      <c r="S209" s="1">
        <f t="shared" si="119"/>
        <v>1</v>
      </c>
      <c r="T209" s="1">
        <f t="shared" si="120"/>
        <v>1</v>
      </c>
      <c r="U209" s="1">
        <f t="shared" si="121"/>
        <v>1</v>
      </c>
      <c r="V209">
        <f t="shared" si="122"/>
        <v>71.48</v>
      </c>
      <c r="W209">
        <f t="shared" si="123"/>
        <v>76.489999999999995</v>
      </c>
      <c r="X209">
        <f t="shared" si="124"/>
        <v>52.14</v>
      </c>
      <c r="Y209">
        <f t="shared" si="125"/>
        <v>38.1</v>
      </c>
      <c r="Z209">
        <f t="shared" si="126"/>
        <v>32.120000000000005</v>
      </c>
      <c r="AA209">
        <f t="shared" si="127"/>
        <v>30.03</v>
      </c>
      <c r="AC209">
        <f t="shared" si="128"/>
        <v>85.25</v>
      </c>
      <c r="AD209">
        <f t="shared" si="129"/>
        <v>76.489999999999995</v>
      </c>
      <c r="AE209">
        <f t="shared" si="130"/>
        <v>64.17</v>
      </c>
      <c r="AF209">
        <f t="shared" si="131"/>
        <v>49.84</v>
      </c>
      <c r="AG209">
        <f t="shared" si="132"/>
        <v>48.34</v>
      </c>
      <c r="AH209">
        <f t="shared" si="133"/>
        <v>41.36</v>
      </c>
      <c r="AJ209">
        <f t="shared" si="134"/>
        <v>99.009999999999991</v>
      </c>
      <c r="AK209">
        <f t="shared" si="135"/>
        <v>90.94</v>
      </c>
      <c r="AL209">
        <f t="shared" si="136"/>
        <v>78.7</v>
      </c>
      <c r="AM209">
        <f t="shared" si="137"/>
        <v>67.430000000000007</v>
      </c>
      <c r="AN209">
        <f t="shared" si="138"/>
        <v>62.56</v>
      </c>
      <c r="AO209">
        <f t="shared" si="139"/>
        <v>55.19</v>
      </c>
    </row>
    <row r="210" spans="1:41" x14ac:dyDescent="0.45">
      <c r="A210">
        <v>30.934546409999999</v>
      </c>
      <c r="B210">
        <v>105.7701864</v>
      </c>
      <c r="C210">
        <v>6.0797200000000003E-3</v>
      </c>
      <c r="D210">
        <v>3.1332199599999999</v>
      </c>
      <c r="E210">
        <f t="shared" si="105"/>
        <v>6.0797200000000003E-3</v>
      </c>
      <c r="F210">
        <f t="shared" si="106"/>
        <v>3.1028213600000001</v>
      </c>
      <c r="G210">
        <f t="shared" si="107"/>
        <v>3.0724227599999998</v>
      </c>
      <c r="H210">
        <f t="shared" si="108"/>
        <v>3.04202416</v>
      </c>
      <c r="I210">
        <f t="shared" si="109"/>
        <v>3.0116255599999997</v>
      </c>
      <c r="J210">
        <f t="shared" si="110"/>
        <v>2.9812269599999999</v>
      </c>
      <c r="K210" s="1">
        <f t="shared" si="111"/>
        <v>6.0797200000000003E-3</v>
      </c>
      <c r="L210" s="1">
        <f t="shared" si="112"/>
        <v>6.0797200000000003E-3</v>
      </c>
      <c r="M210" s="1">
        <f t="shared" si="113"/>
        <v>6.0797200000000003E-3</v>
      </c>
      <c r="N210" s="1">
        <f t="shared" si="114"/>
        <v>6.0797200000000003E-3</v>
      </c>
      <c r="O210" s="1">
        <f t="shared" si="115"/>
        <v>6.0797200000000003E-3</v>
      </c>
      <c r="P210" s="1">
        <f t="shared" si="116"/>
        <v>1</v>
      </c>
      <c r="Q210" s="1">
        <f t="shared" si="117"/>
        <v>1</v>
      </c>
      <c r="R210" s="1">
        <f t="shared" si="118"/>
        <v>1</v>
      </c>
      <c r="S210" s="1">
        <f t="shared" si="119"/>
        <v>1</v>
      </c>
      <c r="T210" s="1">
        <f t="shared" si="120"/>
        <v>1</v>
      </c>
      <c r="U210" s="1">
        <f t="shared" si="121"/>
        <v>1</v>
      </c>
      <c r="V210">
        <f t="shared" si="122"/>
        <v>71.48</v>
      </c>
      <c r="W210">
        <f t="shared" si="123"/>
        <v>76.489999999999995</v>
      </c>
      <c r="X210">
        <f t="shared" si="124"/>
        <v>52.14</v>
      </c>
      <c r="Y210">
        <f t="shared" si="125"/>
        <v>38.1</v>
      </c>
      <c r="Z210">
        <f t="shared" si="126"/>
        <v>32.120000000000005</v>
      </c>
      <c r="AA210">
        <f t="shared" si="127"/>
        <v>30.03</v>
      </c>
      <c r="AC210">
        <f t="shared" si="128"/>
        <v>85.25</v>
      </c>
      <c r="AD210">
        <f t="shared" si="129"/>
        <v>76.489999999999995</v>
      </c>
      <c r="AE210">
        <f t="shared" si="130"/>
        <v>64.17</v>
      </c>
      <c r="AF210">
        <f t="shared" si="131"/>
        <v>49.84</v>
      </c>
      <c r="AG210">
        <f t="shared" si="132"/>
        <v>48.34</v>
      </c>
      <c r="AH210">
        <f t="shared" si="133"/>
        <v>41.36</v>
      </c>
      <c r="AJ210">
        <f t="shared" si="134"/>
        <v>99.009999999999991</v>
      </c>
      <c r="AK210">
        <f t="shared" si="135"/>
        <v>90.94</v>
      </c>
      <c r="AL210">
        <f t="shared" si="136"/>
        <v>78.7</v>
      </c>
      <c r="AM210">
        <f t="shared" si="137"/>
        <v>67.430000000000007</v>
      </c>
      <c r="AN210">
        <f t="shared" si="138"/>
        <v>62.56</v>
      </c>
      <c r="AO210">
        <f t="shared" si="139"/>
        <v>55.19</v>
      </c>
    </row>
    <row r="211" spans="1:41" x14ac:dyDescent="0.45">
      <c r="A211">
        <v>31.070607240000001</v>
      </c>
      <c r="B211">
        <v>106.5671732</v>
      </c>
      <c r="C211">
        <v>0.43863794</v>
      </c>
      <c r="D211">
        <v>0.23318900000000001</v>
      </c>
      <c r="E211">
        <f t="shared" si="105"/>
        <v>0.23318900000000001</v>
      </c>
      <c r="F211">
        <f t="shared" si="106"/>
        <v>0</v>
      </c>
      <c r="G211">
        <f t="shared" si="107"/>
        <v>0</v>
      </c>
      <c r="H211">
        <f t="shared" si="108"/>
        <v>0</v>
      </c>
      <c r="I211">
        <f t="shared" si="109"/>
        <v>0</v>
      </c>
      <c r="J211">
        <f t="shared" si="110"/>
        <v>0</v>
      </c>
      <c r="K211" s="1">
        <f t="shared" si="111"/>
        <v>0</v>
      </c>
      <c r="L211" s="1">
        <f t="shared" si="112"/>
        <v>0</v>
      </c>
      <c r="M211" s="1">
        <f t="shared" si="113"/>
        <v>0</v>
      </c>
      <c r="N211" s="1">
        <f t="shared" si="114"/>
        <v>0</v>
      </c>
      <c r="O211" s="1">
        <f t="shared" si="115"/>
        <v>0</v>
      </c>
      <c r="P211" s="1">
        <f t="shared" si="116"/>
        <v>25</v>
      </c>
      <c r="Q211" s="1" t="e">
        <f t="shared" si="117"/>
        <v>#DIV/0!</v>
      </c>
      <c r="R211" s="1" t="e">
        <f t="shared" si="118"/>
        <v>#DIV/0!</v>
      </c>
      <c r="S211" s="1" t="e">
        <f t="shared" si="119"/>
        <v>#DIV/0!</v>
      </c>
      <c r="T211" s="1" t="e">
        <f t="shared" si="120"/>
        <v>#DIV/0!</v>
      </c>
      <c r="U211" s="1" t="e">
        <f t="shared" si="121"/>
        <v>#DIV/0!</v>
      </c>
      <c r="V211">
        <f t="shared" si="122"/>
        <v>851.48</v>
      </c>
      <c r="W211">
        <f t="shared" si="123"/>
        <v>0</v>
      </c>
      <c r="X211">
        <f t="shared" si="124"/>
        <v>0</v>
      </c>
      <c r="Y211">
        <f t="shared" si="125"/>
        <v>0</v>
      </c>
      <c r="Z211">
        <f t="shared" si="126"/>
        <v>0</v>
      </c>
      <c r="AA211">
        <f t="shared" si="127"/>
        <v>0</v>
      </c>
      <c r="AC211">
        <f t="shared" si="128"/>
        <v>1045.25</v>
      </c>
      <c r="AD211">
        <f t="shared" si="129"/>
        <v>0</v>
      </c>
      <c r="AE211">
        <f t="shared" si="130"/>
        <v>0</v>
      </c>
      <c r="AF211">
        <f t="shared" si="131"/>
        <v>0</v>
      </c>
      <c r="AG211">
        <f t="shared" si="132"/>
        <v>0</v>
      </c>
      <c r="AH211">
        <f t="shared" si="133"/>
        <v>0</v>
      </c>
      <c r="AJ211">
        <f t="shared" si="134"/>
        <v>1239.01</v>
      </c>
      <c r="AK211">
        <f t="shared" si="135"/>
        <v>0</v>
      </c>
      <c r="AL211">
        <f t="shared" si="136"/>
        <v>0</v>
      </c>
      <c r="AM211">
        <f t="shared" si="137"/>
        <v>0</v>
      </c>
      <c r="AN211">
        <f t="shared" si="138"/>
        <v>0</v>
      </c>
      <c r="AO211">
        <f t="shared" si="139"/>
        <v>0</v>
      </c>
    </row>
    <row r="212" spans="1:41" x14ac:dyDescent="0.45">
      <c r="A212">
        <v>31.206734539999999</v>
      </c>
      <c r="B212">
        <v>105.2369856</v>
      </c>
      <c r="C212">
        <v>2.7577731600000002</v>
      </c>
      <c r="D212">
        <v>1.7725000000000001E-2</v>
      </c>
      <c r="E212">
        <f t="shared" si="105"/>
        <v>1.7725000000000001E-2</v>
      </c>
      <c r="F212">
        <f t="shared" si="106"/>
        <v>0</v>
      </c>
      <c r="G212">
        <f t="shared" si="107"/>
        <v>0</v>
      </c>
      <c r="H212">
        <f t="shared" si="108"/>
        <v>0</v>
      </c>
      <c r="I212">
        <f t="shared" si="109"/>
        <v>0</v>
      </c>
      <c r="J212">
        <f t="shared" si="110"/>
        <v>0</v>
      </c>
      <c r="K212" s="1">
        <f t="shared" si="111"/>
        <v>0</v>
      </c>
      <c r="L212" s="1">
        <f t="shared" si="112"/>
        <v>0</v>
      </c>
      <c r="M212" s="1">
        <f t="shared" si="113"/>
        <v>0</v>
      </c>
      <c r="N212" s="1">
        <f t="shared" si="114"/>
        <v>0</v>
      </c>
      <c r="O212" s="1">
        <f t="shared" si="115"/>
        <v>0</v>
      </c>
      <c r="P212" s="1">
        <f t="shared" si="116"/>
        <v>25</v>
      </c>
      <c r="Q212" s="1" t="e">
        <f t="shared" si="117"/>
        <v>#DIV/0!</v>
      </c>
      <c r="R212" s="1" t="e">
        <f t="shared" si="118"/>
        <v>#DIV/0!</v>
      </c>
      <c r="S212" s="1" t="e">
        <f t="shared" si="119"/>
        <v>#DIV/0!</v>
      </c>
      <c r="T212" s="1" t="e">
        <f t="shared" si="120"/>
        <v>#DIV/0!</v>
      </c>
      <c r="U212" s="1" t="e">
        <f t="shared" si="121"/>
        <v>#DIV/0!</v>
      </c>
      <c r="V212">
        <f t="shared" si="122"/>
        <v>851.48</v>
      </c>
      <c r="W212">
        <f t="shared" si="123"/>
        <v>0</v>
      </c>
      <c r="X212">
        <f t="shared" si="124"/>
        <v>0</v>
      </c>
      <c r="Y212">
        <f t="shared" si="125"/>
        <v>0</v>
      </c>
      <c r="Z212">
        <f t="shared" si="126"/>
        <v>0</v>
      </c>
      <c r="AA212">
        <f t="shared" si="127"/>
        <v>0</v>
      </c>
      <c r="AC212">
        <f t="shared" si="128"/>
        <v>1045.25</v>
      </c>
      <c r="AD212">
        <f t="shared" si="129"/>
        <v>0</v>
      </c>
      <c r="AE212">
        <f t="shared" si="130"/>
        <v>0</v>
      </c>
      <c r="AF212">
        <f t="shared" si="131"/>
        <v>0</v>
      </c>
      <c r="AG212">
        <f t="shared" si="132"/>
        <v>0</v>
      </c>
      <c r="AH212">
        <f t="shared" si="133"/>
        <v>0</v>
      </c>
      <c r="AJ212">
        <f t="shared" si="134"/>
        <v>1239.01</v>
      </c>
      <c r="AK212">
        <f t="shared" si="135"/>
        <v>0</v>
      </c>
      <c r="AL212">
        <f t="shared" si="136"/>
        <v>0</v>
      </c>
      <c r="AM212">
        <f t="shared" si="137"/>
        <v>0</v>
      </c>
      <c r="AN212">
        <f t="shared" si="138"/>
        <v>0</v>
      </c>
      <c r="AO212">
        <f t="shared" si="139"/>
        <v>0</v>
      </c>
    </row>
    <row r="213" spans="1:41" x14ac:dyDescent="0.45">
      <c r="A213">
        <v>31.209148259999999</v>
      </c>
      <c r="B213">
        <v>106.1953941</v>
      </c>
      <c r="C213">
        <v>4.3429500000000003E-2</v>
      </c>
      <c r="D213">
        <v>2.564044</v>
      </c>
      <c r="E213">
        <f t="shared" si="105"/>
        <v>4.3429500000000003E-2</v>
      </c>
      <c r="F213">
        <f t="shared" si="106"/>
        <v>2.3468965000000002</v>
      </c>
      <c r="G213">
        <f t="shared" si="107"/>
        <v>2.1297489999999999</v>
      </c>
      <c r="H213">
        <f t="shared" si="108"/>
        <v>1.9126015000000001</v>
      </c>
      <c r="I213">
        <f t="shared" si="109"/>
        <v>1.6954539999999998</v>
      </c>
      <c r="J213">
        <f t="shared" si="110"/>
        <v>1.4783065</v>
      </c>
      <c r="K213" s="1">
        <f t="shared" si="111"/>
        <v>4.3429500000000003E-2</v>
      </c>
      <c r="L213" s="1">
        <f t="shared" si="112"/>
        <v>4.3429500000000003E-2</v>
      </c>
      <c r="M213" s="1">
        <f t="shared" si="113"/>
        <v>4.3429500000000003E-2</v>
      </c>
      <c r="N213" s="1">
        <f t="shared" si="114"/>
        <v>4.3429500000000003E-2</v>
      </c>
      <c r="O213" s="1">
        <f t="shared" si="115"/>
        <v>4.3429500000000003E-2</v>
      </c>
      <c r="P213" s="1">
        <f t="shared" si="116"/>
        <v>1</v>
      </c>
      <c r="Q213" s="1">
        <f t="shared" si="117"/>
        <v>1</v>
      </c>
      <c r="R213" s="1">
        <f t="shared" si="118"/>
        <v>1</v>
      </c>
      <c r="S213" s="1">
        <f t="shared" si="119"/>
        <v>1</v>
      </c>
      <c r="T213" s="1">
        <f t="shared" si="120"/>
        <v>1</v>
      </c>
      <c r="U213" s="1">
        <f t="shared" si="121"/>
        <v>1</v>
      </c>
      <c r="V213">
        <f t="shared" si="122"/>
        <v>71.48</v>
      </c>
      <c r="W213">
        <f t="shared" si="123"/>
        <v>76.489999999999995</v>
      </c>
      <c r="X213">
        <f t="shared" si="124"/>
        <v>52.14</v>
      </c>
      <c r="Y213">
        <f t="shared" si="125"/>
        <v>38.1</v>
      </c>
      <c r="Z213">
        <f t="shared" si="126"/>
        <v>32.120000000000005</v>
      </c>
      <c r="AA213">
        <f t="shared" si="127"/>
        <v>30.03</v>
      </c>
      <c r="AC213">
        <f t="shared" si="128"/>
        <v>85.25</v>
      </c>
      <c r="AD213">
        <f t="shared" si="129"/>
        <v>76.489999999999995</v>
      </c>
      <c r="AE213">
        <f t="shared" si="130"/>
        <v>64.17</v>
      </c>
      <c r="AF213">
        <f t="shared" si="131"/>
        <v>49.84</v>
      </c>
      <c r="AG213">
        <f t="shared" si="132"/>
        <v>48.34</v>
      </c>
      <c r="AH213">
        <f t="shared" si="133"/>
        <v>41.36</v>
      </c>
      <c r="AJ213">
        <f t="shared" si="134"/>
        <v>99.009999999999991</v>
      </c>
      <c r="AK213">
        <f t="shared" si="135"/>
        <v>90.94</v>
      </c>
      <c r="AL213">
        <f t="shared" si="136"/>
        <v>78.7</v>
      </c>
      <c r="AM213">
        <f t="shared" si="137"/>
        <v>67.430000000000007</v>
      </c>
      <c r="AN213">
        <f t="shared" si="138"/>
        <v>62.56</v>
      </c>
      <c r="AO213">
        <f t="shared" si="139"/>
        <v>55.19</v>
      </c>
    </row>
    <row r="214" spans="1:41" x14ac:dyDescent="0.45">
      <c r="A214">
        <v>31.249173580000001</v>
      </c>
      <c r="B214">
        <v>107.1543989</v>
      </c>
      <c r="C214">
        <v>4.3429500000000003E-2</v>
      </c>
      <c r="D214">
        <v>2.7884039899999999</v>
      </c>
      <c r="E214">
        <f t="shared" si="105"/>
        <v>4.3429500000000003E-2</v>
      </c>
      <c r="F214">
        <f t="shared" si="106"/>
        <v>2.5712564900000001</v>
      </c>
      <c r="G214">
        <f t="shared" si="107"/>
        <v>2.3541089899999998</v>
      </c>
      <c r="H214">
        <f t="shared" si="108"/>
        <v>2.13696149</v>
      </c>
      <c r="I214">
        <f t="shared" si="109"/>
        <v>1.9198139899999997</v>
      </c>
      <c r="J214">
        <f t="shared" si="110"/>
        <v>1.7026664899999999</v>
      </c>
      <c r="K214" s="1">
        <f t="shared" si="111"/>
        <v>4.3429500000000003E-2</v>
      </c>
      <c r="L214" s="1">
        <f t="shared" si="112"/>
        <v>4.3429500000000003E-2</v>
      </c>
      <c r="M214" s="1">
        <f t="shared" si="113"/>
        <v>4.3429500000000003E-2</v>
      </c>
      <c r="N214" s="1">
        <f t="shared" si="114"/>
        <v>4.3429500000000003E-2</v>
      </c>
      <c r="O214" s="1">
        <f t="shared" si="115"/>
        <v>4.3429500000000003E-2</v>
      </c>
      <c r="P214" s="1">
        <f t="shared" si="116"/>
        <v>1</v>
      </c>
      <c r="Q214" s="1">
        <f t="shared" si="117"/>
        <v>1</v>
      </c>
      <c r="R214" s="1">
        <f t="shared" si="118"/>
        <v>1</v>
      </c>
      <c r="S214" s="1">
        <f t="shared" si="119"/>
        <v>1</v>
      </c>
      <c r="T214" s="1">
        <f t="shared" si="120"/>
        <v>1</v>
      </c>
      <c r="U214" s="1">
        <f t="shared" si="121"/>
        <v>1</v>
      </c>
      <c r="V214">
        <f t="shared" si="122"/>
        <v>71.48</v>
      </c>
      <c r="W214">
        <f t="shared" si="123"/>
        <v>76.489999999999995</v>
      </c>
      <c r="X214">
        <f t="shared" si="124"/>
        <v>52.14</v>
      </c>
      <c r="Y214">
        <f t="shared" si="125"/>
        <v>38.1</v>
      </c>
      <c r="Z214">
        <f t="shared" si="126"/>
        <v>32.120000000000005</v>
      </c>
      <c r="AA214">
        <f t="shared" si="127"/>
        <v>30.03</v>
      </c>
      <c r="AC214">
        <f t="shared" si="128"/>
        <v>85.25</v>
      </c>
      <c r="AD214">
        <f t="shared" si="129"/>
        <v>76.489999999999995</v>
      </c>
      <c r="AE214">
        <f t="shared" si="130"/>
        <v>64.17</v>
      </c>
      <c r="AF214">
        <f t="shared" si="131"/>
        <v>49.84</v>
      </c>
      <c r="AG214">
        <f t="shared" si="132"/>
        <v>48.34</v>
      </c>
      <c r="AH214">
        <f t="shared" si="133"/>
        <v>41.36</v>
      </c>
      <c r="AJ214">
        <f t="shared" si="134"/>
        <v>99.009999999999991</v>
      </c>
      <c r="AK214">
        <f t="shared" si="135"/>
        <v>90.94</v>
      </c>
      <c r="AL214">
        <f t="shared" si="136"/>
        <v>78.7</v>
      </c>
      <c r="AM214">
        <f t="shared" si="137"/>
        <v>67.430000000000007</v>
      </c>
      <c r="AN214">
        <f t="shared" si="138"/>
        <v>62.56</v>
      </c>
      <c r="AO214">
        <f t="shared" si="139"/>
        <v>55.19</v>
      </c>
    </row>
    <row r="215" spans="1:41" x14ac:dyDescent="0.45">
      <c r="A215">
        <v>31.25457926</v>
      </c>
      <c r="B215">
        <v>105.66275229999999</v>
      </c>
      <c r="C215">
        <v>6.8396799999999999E-3</v>
      </c>
      <c r="D215">
        <v>0.35450800999999998</v>
      </c>
      <c r="E215">
        <f t="shared" si="105"/>
        <v>6.8396799999999999E-3</v>
      </c>
      <c r="F215">
        <f t="shared" si="106"/>
        <v>0.32030960999999997</v>
      </c>
      <c r="G215">
        <f t="shared" si="107"/>
        <v>0.28611121</v>
      </c>
      <c r="H215">
        <f t="shared" si="108"/>
        <v>0.25191280999999999</v>
      </c>
      <c r="I215">
        <f t="shared" si="109"/>
        <v>0.21771441</v>
      </c>
      <c r="J215">
        <f t="shared" si="110"/>
        <v>0.18351600999999998</v>
      </c>
      <c r="K215" s="1">
        <f t="shared" si="111"/>
        <v>6.8396799999999999E-3</v>
      </c>
      <c r="L215" s="1">
        <f t="shared" si="112"/>
        <v>6.8396799999999999E-3</v>
      </c>
      <c r="M215" s="1">
        <f t="shared" si="113"/>
        <v>6.8396799999999999E-3</v>
      </c>
      <c r="N215" s="1">
        <f t="shared" si="114"/>
        <v>6.8396799999999999E-3</v>
      </c>
      <c r="O215" s="1">
        <f t="shared" si="115"/>
        <v>6.8396799999999999E-3</v>
      </c>
      <c r="P215" s="1">
        <f t="shared" si="116"/>
        <v>1</v>
      </c>
      <c r="Q215" s="1">
        <f t="shared" si="117"/>
        <v>1</v>
      </c>
      <c r="R215" s="1">
        <f t="shared" si="118"/>
        <v>1</v>
      </c>
      <c r="S215" s="1">
        <f t="shared" si="119"/>
        <v>1</v>
      </c>
      <c r="T215" s="1">
        <f t="shared" si="120"/>
        <v>1</v>
      </c>
      <c r="U215" s="1">
        <f t="shared" si="121"/>
        <v>1</v>
      </c>
      <c r="V215">
        <f t="shared" si="122"/>
        <v>71.48</v>
      </c>
      <c r="W215">
        <f t="shared" si="123"/>
        <v>76.489999999999995</v>
      </c>
      <c r="X215">
        <f t="shared" si="124"/>
        <v>52.14</v>
      </c>
      <c r="Y215">
        <f t="shared" si="125"/>
        <v>38.1</v>
      </c>
      <c r="Z215">
        <f t="shared" si="126"/>
        <v>32.120000000000005</v>
      </c>
      <c r="AA215">
        <f t="shared" si="127"/>
        <v>30.03</v>
      </c>
      <c r="AC215">
        <f t="shared" si="128"/>
        <v>85.25</v>
      </c>
      <c r="AD215">
        <f t="shared" si="129"/>
        <v>76.489999999999995</v>
      </c>
      <c r="AE215">
        <f t="shared" si="130"/>
        <v>64.17</v>
      </c>
      <c r="AF215">
        <f t="shared" si="131"/>
        <v>49.84</v>
      </c>
      <c r="AG215">
        <f t="shared" si="132"/>
        <v>48.34</v>
      </c>
      <c r="AH215">
        <f t="shared" si="133"/>
        <v>41.36</v>
      </c>
      <c r="AJ215">
        <f t="shared" si="134"/>
        <v>99.009999999999991</v>
      </c>
      <c r="AK215">
        <f t="shared" si="135"/>
        <v>90.94</v>
      </c>
      <c r="AL215">
        <f t="shared" si="136"/>
        <v>78.7</v>
      </c>
      <c r="AM215">
        <f t="shared" si="137"/>
        <v>67.430000000000007</v>
      </c>
      <c r="AN215">
        <f t="shared" si="138"/>
        <v>62.56</v>
      </c>
      <c r="AO215">
        <f t="shared" si="139"/>
        <v>55.19</v>
      </c>
    </row>
    <row r="216" spans="1:41" x14ac:dyDescent="0.45">
      <c r="A216">
        <v>31.435459770000001</v>
      </c>
      <c r="B216">
        <v>106.7832341</v>
      </c>
      <c r="C216">
        <v>6.8396799999999999E-3</v>
      </c>
      <c r="D216">
        <v>0.53176199999999996</v>
      </c>
      <c r="E216">
        <f t="shared" si="105"/>
        <v>6.8396799999999999E-3</v>
      </c>
      <c r="F216">
        <f t="shared" si="106"/>
        <v>0.49756359999999994</v>
      </c>
      <c r="G216">
        <f t="shared" si="107"/>
        <v>0.46336519999999998</v>
      </c>
      <c r="H216">
        <f t="shared" si="108"/>
        <v>0.42916679999999996</v>
      </c>
      <c r="I216">
        <f t="shared" si="109"/>
        <v>0.3949684</v>
      </c>
      <c r="J216">
        <f t="shared" si="110"/>
        <v>0.36076999999999992</v>
      </c>
      <c r="K216" s="1">
        <f t="shared" si="111"/>
        <v>6.8396799999999999E-3</v>
      </c>
      <c r="L216" s="1">
        <f t="shared" si="112"/>
        <v>6.8396799999999999E-3</v>
      </c>
      <c r="M216" s="1">
        <f t="shared" si="113"/>
        <v>6.8396799999999999E-3</v>
      </c>
      <c r="N216" s="1">
        <f t="shared" si="114"/>
        <v>6.8396799999999999E-3</v>
      </c>
      <c r="O216" s="1">
        <f t="shared" si="115"/>
        <v>6.8396799999999999E-3</v>
      </c>
      <c r="P216" s="1">
        <f t="shared" si="116"/>
        <v>1</v>
      </c>
      <c r="Q216" s="1">
        <f t="shared" si="117"/>
        <v>1</v>
      </c>
      <c r="R216" s="1">
        <f t="shared" si="118"/>
        <v>1</v>
      </c>
      <c r="S216" s="1">
        <f t="shared" si="119"/>
        <v>1</v>
      </c>
      <c r="T216" s="1">
        <f t="shared" si="120"/>
        <v>1</v>
      </c>
      <c r="U216" s="1">
        <f t="shared" si="121"/>
        <v>1</v>
      </c>
      <c r="V216">
        <f t="shared" si="122"/>
        <v>71.48</v>
      </c>
      <c r="W216">
        <f t="shared" si="123"/>
        <v>76.489999999999995</v>
      </c>
      <c r="X216">
        <f t="shared" si="124"/>
        <v>52.14</v>
      </c>
      <c r="Y216">
        <f t="shared" si="125"/>
        <v>38.1</v>
      </c>
      <c r="Z216">
        <f t="shared" si="126"/>
        <v>32.120000000000005</v>
      </c>
      <c r="AA216">
        <f t="shared" si="127"/>
        <v>30.03</v>
      </c>
      <c r="AC216">
        <f t="shared" si="128"/>
        <v>85.25</v>
      </c>
      <c r="AD216">
        <f t="shared" si="129"/>
        <v>76.489999999999995</v>
      </c>
      <c r="AE216">
        <f t="shared" si="130"/>
        <v>64.17</v>
      </c>
      <c r="AF216">
        <f t="shared" si="131"/>
        <v>49.84</v>
      </c>
      <c r="AG216">
        <f t="shared" si="132"/>
        <v>48.34</v>
      </c>
      <c r="AH216">
        <f t="shared" si="133"/>
        <v>41.36</v>
      </c>
      <c r="AJ216">
        <f t="shared" si="134"/>
        <v>99.009999999999991</v>
      </c>
      <c r="AK216">
        <f t="shared" si="135"/>
        <v>90.94</v>
      </c>
      <c r="AL216">
        <f t="shared" si="136"/>
        <v>78.7</v>
      </c>
      <c r="AM216">
        <f t="shared" si="137"/>
        <v>67.430000000000007</v>
      </c>
      <c r="AN216">
        <f t="shared" si="138"/>
        <v>62.56</v>
      </c>
      <c r="AO216">
        <f t="shared" si="139"/>
        <v>55.19</v>
      </c>
    </row>
    <row r="217" spans="1:41" x14ac:dyDescent="0.45">
      <c r="A217">
        <v>31.529735259999999</v>
      </c>
      <c r="B217">
        <v>105.9823432</v>
      </c>
      <c r="C217">
        <v>6.8396799999999999E-3</v>
      </c>
      <c r="D217">
        <v>1.21962905</v>
      </c>
      <c r="E217">
        <f t="shared" si="105"/>
        <v>6.8396799999999999E-3</v>
      </c>
      <c r="F217">
        <f t="shared" si="106"/>
        <v>1.18543065</v>
      </c>
      <c r="G217">
        <f t="shared" si="107"/>
        <v>1.1512322500000001</v>
      </c>
      <c r="H217">
        <f t="shared" si="108"/>
        <v>1.1170338499999999</v>
      </c>
      <c r="I217">
        <f t="shared" si="109"/>
        <v>1.0828354499999999</v>
      </c>
      <c r="J217">
        <f t="shared" si="110"/>
        <v>1.04863705</v>
      </c>
      <c r="K217" s="1">
        <f t="shared" si="111"/>
        <v>6.8396799999999999E-3</v>
      </c>
      <c r="L217" s="1">
        <f t="shared" si="112"/>
        <v>6.8396799999999999E-3</v>
      </c>
      <c r="M217" s="1">
        <f t="shared" si="113"/>
        <v>6.8396799999999999E-3</v>
      </c>
      <c r="N217" s="1">
        <f t="shared" si="114"/>
        <v>6.8396799999999999E-3</v>
      </c>
      <c r="O217" s="1">
        <f t="shared" si="115"/>
        <v>6.8396799999999999E-3</v>
      </c>
      <c r="P217" s="1">
        <f t="shared" si="116"/>
        <v>1</v>
      </c>
      <c r="Q217" s="1">
        <f t="shared" si="117"/>
        <v>1</v>
      </c>
      <c r="R217" s="1">
        <f t="shared" si="118"/>
        <v>1</v>
      </c>
      <c r="S217" s="1">
        <f t="shared" si="119"/>
        <v>1</v>
      </c>
      <c r="T217" s="1">
        <f t="shared" si="120"/>
        <v>1</v>
      </c>
      <c r="U217" s="1">
        <f t="shared" si="121"/>
        <v>1</v>
      </c>
      <c r="V217">
        <f t="shared" si="122"/>
        <v>71.48</v>
      </c>
      <c r="W217">
        <f t="shared" si="123"/>
        <v>76.489999999999995</v>
      </c>
      <c r="X217">
        <f t="shared" si="124"/>
        <v>52.14</v>
      </c>
      <c r="Y217">
        <f t="shared" si="125"/>
        <v>38.1</v>
      </c>
      <c r="Z217">
        <f t="shared" si="126"/>
        <v>32.120000000000005</v>
      </c>
      <c r="AA217">
        <f t="shared" si="127"/>
        <v>30.03</v>
      </c>
      <c r="AC217">
        <f t="shared" si="128"/>
        <v>85.25</v>
      </c>
      <c r="AD217">
        <f t="shared" si="129"/>
        <v>76.489999999999995</v>
      </c>
      <c r="AE217">
        <f t="shared" si="130"/>
        <v>64.17</v>
      </c>
      <c r="AF217">
        <f t="shared" si="131"/>
        <v>49.84</v>
      </c>
      <c r="AG217">
        <f t="shared" si="132"/>
        <v>48.34</v>
      </c>
      <c r="AH217">
        <f t="shared" si="133"/>
        <v>41.36</v>
      </c>
      <c r="AJ217">
        <f t="shared" si="134"/>
        <v>99.009999999999991</v>
      </c>
      <c r="AK217">
        <f t="shared" si="135"/>
        <v>90.94</v>
      </c>
      <c r="AL217">
        <f t="shared" si="136"/>
        <v>78.7</v>
      </c>
      <c r="AM217">
        <f t="shared" si="137"/>
        <v>67.430000000000007</v>
      </c>
      <c r="AN217">
        <f t="shared" si="138"/>
        <v>62.56</v>
      </c>
      <c r="AO217">
        <f t="shared" si="139"/>
        <v>55.19</v>
      </c>
    </row>
    <row r="218" spans="1:41" x14ac:dyDescent="0.45">
      <c r="A218">
        <v>32.209861930000002</v>
      </c>
      <c r="B218">
        <v>120.1524965</v>
      </c>
      <c r="C218">
        <v>0</v>
      </c>
      <c r="D218">
        <v>3.9371000000000003E-2</v>
      </c>
      <c r="E218">
        <f t="shared" si="105"/>
        <v>0</v>
      </c>
      <c r="F218">
        <f t="shared" si="106"/>
        <v>3.9371000000000003E-2</v>
      </c>
      <c r="G218">
        <f t="shared" si="107"/>
        <v>3.9371000000000003E-2</v>
      </c>
      <c r="H218">
        <f t="shared" si="108"/>
        <v>3.9371000000000003E-2</v>
      </c>
      <c r="I218">
        <f t="shared" si="109"/>
        <v>3.9371000000000003E-2</v>
      </c>
      <c r="J218">
        <f t="shared" si="110"/>
        <v>3.9371000000000003E-2</v>
      </c>
      <c r="K218" s="1">
        <f t="shared" si="111"/>
        <v>0</v>
      </c>
      <c r="L218" s="1">
        <f t="shared" si="112"/>
        <v>0</v>
      </c>
      <c r="M218" s="1">
        <f t="shared" si="113"/>
        <v>0</v>
      </c>
      <c r="N218" s="1">
        <f t="shared" si="114"/>
        <v>0</v>
      </c>
      <c r="O218" s="1">
        <f t="shared" si="115"/>
        <v>0</v>
      </c>
      <c r="P218" s="1">
        <f t="shared" si="116"/>
        <v>1</v>
      </c>
      <c r="Q218" s="1">
        <f t="shared" si="117"/>
        <v>1</v>
      </c>
      <c r="R218" s="1">
        <f t="shared" si="118"/>
        <v>1</v>
      </c>
      <c r="S218" s="1">
        <f t="shared" si="119"/>
        <v>1</v>
      </c>
      <c r="T218" s="1">
        <f t="shared" si="120"/>
        <v>1</v>
      </c>
      <c r="U218" s="1">
        <f t="shared" si="121"/>
        <v>1</v>
      </c>
      <c r="V218">
        <f t="shared" si="122"/>
        <v>71.48</v>
      </c>
      <c r="W218">
        <f t="shared" si="123"/>
        <v>76.489999999999995</v>
      </c>
      <c r="X218">
        <f t="shared" si="124"/>
        <v>52.14</v>
      </c>
      <c r="Y218">
        <f t="shared" si="125"/>
        <v>38.1</v>
      </c>
      <c r="Z218">
        <f t="shared" si="126"/>
        <v>32.120000000000005</v>
      </c>
      <c r="AA218">
        <f t="shared" si="127"/>
        <v>30.03</v>
      </c>
      <c r="AC218">
        <f t="shared" si="128"/>
        <v>85.25</v>
      </c>
      <c r="AD218">
        <f t="shared" si="129"/>
        <v>76.489999999999995</v>
      </c>
      <c r="AE218">
        <f t="shared" si="130"/>
        <v>64.17</v>
      </c>
      <c r="AF218">
        <f t="shared" si="131"/>
        <v>49.84</v>
      </c>
      <c r="AG218">
        <f t="shared" si="132"/>
        <v>48.34</v>
      </c>
      <c r="AH218">
        <f t="shared" si="133"/>
        <v>41.36</v>
      </c>
      <c r="AJ218">
        <f t="shared" si="134"/>
        <v>99.009999999999991</v>
      </c>
      <c r="AK218">
        <f t="shared" si="135"/>
        <v>90.94</v>
      </c>
      <c r="AL218">
        <f t="shared" si="136"/>
        <v>78.7</v>
      </c>
      <c r="AM218">
        <f t="shared" si="137"/>
        <v>67.430000000000007</v>
      </c>
      <c r="AN218">
        <f t="shared" si="138"/>
        <v>62.56</v>
      </c>
      <c r="AO218">
        <f t="shared" si="139"/>
        <v>55.19</v>
      </c>
    </row>
    <row r="219" spans="1:41" x14ac:dyDescent="0.45">
      <c r="A219">
        <v>32.354232230000001</v>
      </c>
      <c r="B219">
        <v>105.9821661</v>
      </c>
      <c r="C219">
        <v>6.8396799999999999E-3</v>
      </c>
      <c r="D219">
        <v>1.7730000000000001E-3</v>
      </c>
      <c r="E219">
        <f t="shared" si="105"/>
        <v>1.7730000000000001E-3</v>
      </c>
      <c r="F219">
        <f t="shared" si="106"/>
        <v>0</v>
      </c>
      <c r="G219">
        <f t="shared" si="107"/>
        <v>0</v>
      </c>
      <c r="H219">
        <f t="shared" si="108"/>
        <v>0</v>
      </c>
      <c r="I219">
        <f t="shared" si="109"/>
        <v>0</v>
      </c>
      <c r="J219">
        <f t="shared" si="110"/>
        <v>0</v>
      </c>
      <c r="K219" s="1">
        <f t="shared" si="111"/>
        <v>0</v>
      </c>
      <c r="L219" s="1">
        <f t="shared" si="112"/>
        <v>0</v>
      </c>
      <c r="M219" s="1">
        <f t="shared" si="113"/>
        <v>0</v>
      </c>
      <c r="N219" s="1">
        <f t="shared" si="114"/>
        <v>0</v>
      </c>
      <c r="O219" s="1">
        <f t="shared" si="115"/>
        <v>0</v>
      </c>
      <c r="P219" s="1">
        <f t="shared" si="116"/>
        <v>25</v>
      </c>
      <c r="Q219" s="1" t="e">
        <f t="shared" si="117"/>
        <v>#DIV/0!</v>
      </c>
      <c r="R219" s="1" t="e">
        <f t="shared" si="118"/>
        <v>#DIV/0!</v>
      </c>
      <c r="S219" s="1" t="e">
        <f t="shared" si="119"/>
        <v>#DIV/0!</v>
      </c>
      <c r="T219" s="1" t="e">
        <f t="shared" si="120"/>
        <v>#DIV/0!</v>
      </c>
      <c r="U219" s="1" t="e">
        <f t="shared" si="121"/>
        <v>#DIV/0!</v>
      </c>
      <c r="V219">
        <f t="shared" si="122"/>
        <v>851.48</v>
      </c>
      <c r="W219">
        <f t="shared" si="123"/>
        <v>0</v>
      </c>
      <c r="X219">
        <f t="shared" si="124"/>
        <v>0</v>
      </c>
      <c r="Y219">
        <f t="shared" si="125"/>
        <v>0</v>
      </c>
      <c r="Z219">
        <f t="shared" si="126"/>
        <v>0</v>
      </c>
      <c r="AA219">
        <f t="shared" si="127"/>
        <v>0</v>
      </c>
      <c r="AC219">
        <f t="shared" si="128"/>
        <v>1045.25</v>
      </c>
      <c r="AD219">
        <f t="shared" si="129"/>
        <v>0</v>
      </c>
      <c r="AE219">
        <f t="shared" si="130"/>
        <v>0</v>
      </c>
      <c r="AF219">
        <f t="shared" si="131"/>
        <v>0</v>
      </c>
      <c r="AG219">
        <f t="shared" si="132"/>
        <v>0</v>
      </c>
      <c r="AH219">
        <f t="shared" si="133"/>
        <v>0</v>
      </c>
      <c r="AJ219">
        <f t="shared" si="134"/>
        <v>1239.01</v>
      </c>
      <c r="AK219">
        <f t="shared" si="135"/>
        <v>0</v>
      </c>
      <c r="AL219">
        <f t="shared" si="136"/>
        <v>0</v>
      </c>
      <c r="AM219">
        <f t="shared" si="137"/>
        <v>0</v>
      </c>
      <c r="AN219">
        <f t="shared" si="138"/>
        <v>0</v>
      </c>
      <c r="AO219">
        <f t="shared" si="139"/>
        <v>0</v>
      </c>
    </row>
    <row r="220" spans="1:41" x14ac:dyDescent="0.45">
      <c r="A220">
        <v>32.501261820000003</v>
      </c>
      <c r="B220">
        <v>119.27434270000001</v>
      </c>
      <c r="C220">
        <v>40.306919100000002</v>
      </c>
      <c r="D220">
        <v>1.197824</v>
      </c>
      <c r="E220">
        <f t="shared" si="105"/>
        <v>1.197824</v>
      </c>
      <c r="F220">
        <f t="shared" si="106"/>
        <v>0</v>
      </c>
      <c r="G220">
        <f t="shared" si="107"/>
        <v>0</v>
      </c>
      <c r="H220">
        <f t="shared" si="108"/>
        <v>0</v>
      </c>
      <c r="I220">
        <f t="shared" si="109"/>
        <v>0</v>
      </c>
      <c r="J220">
        <f t="shared" si="110"/>
        <v>0</v>
      </c>
      <c r="K220" s="1">
        <f t="shared" si="111"/>
        <v>0</v>
      </c>
      <c r="L220" s="1">
        <f t="shared" si="112"/>
        <v>0</v>
      </c>
      <c r="M220" s="1">
        <f t="shared" si="113"/>
        <v>0</v>
      </c>
      <c r="N220" s="1">
        <f t="shared" si="114"/>
        <v>0</v>
      </c>
      <c r="O220" s="1">
        <f t="shared" si="115"/>
        <v>0</v>
      </c>
      <c r="P220" s="1">
        <f t="shared" si="116"/>
        <v>25</v>
      </c>
      <c r="Q220" s="1" t="e">
        <f t="shared" si="117"/>
        <v>#DIV/0!</v>
      </c>
      <c r="R220" s="1" t="e">
        <f t="shared" si="118"/>
        <v>#DIV/0!</v>
      </c>
      <c r="S220" s="1" t="e">
        <f t="shared" si="119"/>
        <v>#DIV/0!</v>
      </c>
      <c r="T220" s="1" t="e">
        <f t="shared" si="120"/>
        <v>#DIV/0!</v>
      </c>
      <c r="U220" s="1" t="e">
        <f t="shared" si="121"/>
        <v>#DIV/0!</v>
      </c>
      <c r="V220">
        <f t="shared" si="122"/>
        <v>851.48</v>
      </c>
      <c r="W220">
        <f t="shared" si="123"/>
        <v>0</v>
      </c>
      <c r="X220">
        <f t="shared" si="124"/>
        <v>0</v>
      </c>
      <c r="Y220">
        <f t="shared" si="125"/>
        <v>0</v>
      </c>
      <c r="Z220">
        <f t="shared" si="126"/>
        <v>0</v>
      </c>
      <c r="AA220">
        <f t="shared" si="127"/>
        <v>0</v>
      </c>
      <c r="AC220">
        <f t="shared" si="128"/>
        <v>1045.25</v>
      </c>
      <c r="AD220">
        <f t="shared" si="129"/>
        <v>0</v>
      </c>
      <c r="AE220">
        <f t="shared" si="130"/>
        <v>0</v>
      </c>
      <c r="AF220">
        <f t="shared" si="131"/>
        <v>0</v>
      </c>
      <c r="AG220">
        <f t="shared" si="132"/>
        <v>0</v>
      </c>
      <c r="AH220">
        <f t="shared" si="133"/>
        <v>0</v>
      </c>
      <c r="AJ220">
        <f t="shared" si="134"/>
        <v>1239.01</v>
      </c>
      <c r="AK220">
        <f t="shared" si="135"/>
        <v>0</v>
      </c>
      <c r="AL220">
        <f t="shared" si="136"/>
        <v>0</v>
      </c>
      <c r="AM220">
        <f t="shared" si="137"/>
        <v>0</v>
      </c>
      <c r="AN220">
        <f t="shared" si="138"/>
        <v>0</v>
      </c>
      <c r="AO220">
        <f t="shared" si="139"/>
        <v>0</v>
      </c>
    </row>
    <row r="221" spans="1:41" x14ac:dyDescent="0.45">
      <c r="A221">
        <v>32.508454129999997</v>
      </c>
      <c r="B221">
        <v>119.98569500000001</v>
      </c>
      <c r="C221">
        <v>56.601669309999998</v>
      </c>
      <c r="D221">
        <v>0.168845</v>
      </c>
      <c r="E221">
        <f t="shared" si="105"/>
        <v>0.168845</v>
      </c>
      <c r="F221">
        <f t="shared" si="106"/>
        <v>0</v>
      </c>
      <c r="G221">
        <f t="shared" si="107"/>
        <v>0</v>
      </c>
      <c r="H221">
        <f t="shared" si="108"/>
        <v>0</v>
      </c>
      <c r="I221">
        <f t="shared" si="109"/>
        <v>0</v>
      </c>
      <c r="J221">
        <f t="shared" si="110"/>
        <v>0</v>
      </c>
      <c r="K221" s="1">
        <f t="shared" si="111"/>
        <v>0</v>
      </c>
      <c r="L221" s="1">
        <f t="shared" si="112"/>
        <v>0</v>
      </c>
      <c r="M221" s="1">
        <f t="shared" si="113"/>
        <v>0</v>
      </c>
      <c r="N221" s="1">
        <f t="shared" si="114"/>
        <v>0</v>
      </c>
      <c r="O221" s="1">
        <f t="shared" si="115"/>
        <v>0</v>
      </c>
      <c r="P221" s="1">
        <f t="shared" si="116"/>
        <v>25</v>
      </c>
      <c r="Q221" s="1" t="e">
        <f t="shared" si="117"/>
        <v>#DIV/0!</v>
      </c>
      <c r="R221" s="1" t="e">
        <f t="shared" si="118"/>
        <v>#DIV/0!</v>
      </c>
      <c r="S221" s="1" t="e">
        <f t="shared" si="119"/>
        <v>#DIV/0!</v>
      </c>
      <c r="T221" s="1" t="e">
        <f t="shared" si="120"/>
        <v>#DIV/0!</v>
      </c>
      <c r="U221" s="1" t="e">
        <f t="shared" si="121"/>
        <v>#DIV/0!</v>
      </c>
      <c r="V221">
        <f t="shared" si="122"/>
        <v>851.48</v>
      </c>
      <c r="W221">
        <f t="shared" si="123"/>
        <v>0</v>
      </c>
      <c r="X221">
        <f t="shared" si="124"/>
        <v>0</v>
      </c>
      <c r="Y221">
        <f t="shared" si="125"/>
        <v>0</v>
      </c>
      <c r="Z221">
        <f t="shared" si="126"/>
        <v>0</v>
      </c>
      <c r="AA221">
        <f t="shared" si="127"/>
        <v>0</v>
      </c>
      <c r="AC221">
        <f t="shared" si="128"/>
        <v>1045.25</v>
      </c>
      <c r="AD221">
        <f t="shared" si="129"/>
        <v>0</v>
      </c>
      <c r="AE221">
        <f t="shared" si="130"/>
        <v>0</v>
      </c>
      <c r="AF221">
        <f t="shared" si="131"/>
        <v>0</v>
      </c>
      <c r="AG221">
        <f t="shared" si="132"/>
        <v>0</v>
      </c>
      <c r="AH221">
        <f t="shared" si="133"/>
        <v>0</v>
      </c>
      <c r="AJ221">
        <f t="shared" si="134"/>
        <v>1239.01</v>
      </c>
      <c r="AK221">
        <f t="shared" si="135"/>
        <v>0</v>
      </c>
      <c r="AL221">
        <f t="shared" si="136"/>
        <v>0</v>
      </c>
      <c r="AM221">
        <f t="shared" si="137"/>
        <v>0</v>
      </c>
      <c r="AN221">
        <f t="shared" si="138"/>
        <v>0</v>
      </c>
      <c r="AO221">
        <f t="shared" si="139"/>
        <v>0</v>
      </c>
    </row>
    <row r="222" spans="1:41" x14ac:dyDescent="0.45">
      <c r="A222">
        <v>32.527756599999996</v>
      </c>
      <c r="B222">
        <v>119.4425181</v>
      </c>
      <c r="C222">
        <v>56.601669309999998</v>
      </c>
      <c r="D222">
        <v>7.2896108599999998</v>
      </c>
      <c r="E222">
        <f t="shared" si="105"/>
        <v>7.2896108599999998</v>
      </c>
      <c r="F222">
        <f t="shared" si="106"/>
        <v>0</v>
      </c>
      <c r="G222">
        <f t="shared" si="107"/>
        <v>0</v>
      </c>
      <c r="H222">
        <f t="shared" si="108"/>
        <v>0</v>
      </c>
      <c r="I222">
        <f t="shared" si="109"/>
        <v>0</v>
      </c>
      <c r="J222">
        <f t="shared" si="110"/>
        <v>0</v>
      </c>
      <c r="K222" s="1">
        <f t="shared" si="111"/>
        <v>0</v>
      </c>
      <c r="L222" s="1">
        <f t="shared" si="112"/>
        <v>0</v>
      </c>
      <c r="M222" s="1">
        <f t="shared" si="113"/>
        <v>0</v>
      </c>
      <c r="N222" s="1">
        <f t="shared" si="114"/>
        <v>0</v>
      </c>
      <c r="O222" s="1">
        <f t="shared" si="115"/>
        <v>0</v>
      </c>
      <c r="P222" s="1">
        <f t="shared" si="116"/>
        <v>25</v>
      </c>
      <c r="Q222" s="1" t="e">
        <f t="shared" si="117"/>
        <v>#DIV/0!</v>
      </c>
      <c r="R222" s="1" t="e">
        <f t="shared" si="118"/>
        <v>#DIV/0!</v>
      </c>
      <c r="S222" s="1" t="e">
        <f t="shared" si="119"/>
        <v>#DIV/0!</v>
      </c>
      <c r="T222" s="1" t="e">
        <f t="shared" si="120"/>
        <v>#DIV/0!</v>
      </c>
      <c r="U222" s="1" t="e">
        <f t="shared" si="121"/>
        <v>#DIV/0!</v>
      </c>
      <c r="V222">
        <f t="shared" si="122"/>
        <v>851.48</v>
      </c>
      <c r="W222">
        <f t="shared" si="123"/>
        <v>0</v>
      </c>
      <c r="X222">
        <f t="shared" si="124"/>
        <v>0</v>
      </c>
      <c r="Y222">
        <f t="shared" si="125"/>
        <v>0</v>
      </c>
      <c r="Z222">
        <f t="shared" si="126"/>
        <v>0</v>
      </c>
      <c r="AA222">
        <f t="shared" si="127"/>
        <v>0</v>
      </c>
      <c r="AC222">
        <f t="shared" si="128"/>
        <v>1045.25</v>
      </c>
      <c r="AD222">
        <f t="shared" si="129"/>
        <v>0</v>
      </c>
      <c r="AE222">
        <f t="shared" si="130"/>
        <v>0</v>
      </c>
      <c r="AF222">
        <f t="shared" si="131"/>
        <v>0</v>
      </c>
      <c r="AG222">
        <f t="shared" si="132"/>
        <v>0</v>
      </c>
      <c r="AH222">
        <f t="shared" si="133"/>
        <v>0</v>
      </c>
      <c r="AJ222">
        <f t="shared" si="134"/>
        <v>1239.01</v>
      </c>
      <c r="AK222">
        <f t="shared" si="135"/>
        <v>0</v>
      </c>
      <c r="AL222">
        <f t="shared" si="136"/>
        <v>0</v>
      </c>
      <c r="AM222">
        <f t="shared" si="137"/>
        <v>0</v>
      </c>
      <c r="AN222">
        <f t="shared" si="138"/>
        <v>0</v>
      </c>
      <c r="AO222">
        <f t="shared" si="139"/>
        <v>0</v>
      </c>
    </row>
    <row r="223" spans="1:41" x14ac:dyDescent="0.45">
      <c r="A223">
        <v>32.544457289999997</v>
      </c>
      <c r="B223">
        <v>113.13147499999999</v>
      </c>
      <c r="C223">
        <v>42.111118320000003</v>
      </c>
      <c r="D223">
        <v>6.3680000000000004E-3</v>
      </c>
      <c r="E223">
        <f t="shared" si="105"/>
        <v>6.3680000000000004E-3</v>
      </c>
      <c r="F223">
        <f t="shared" si="106"/>
        <v>0</v>
      </c>
      <c r="G223">
        <f t="shared" si="107"/>
        <v>0</v>
      </c>
      <c r="H223">
        <f t="shared" si="108"/>
        <v>0</v>
      </c>
      <c r="I223">
        <f t="shared" si="109"/>
        <v>0</v>
      </c>
      <c r="J223">
        <f t="shared" si="110"/>
        <v>0</v>
      </c>
      <c r="K223" s="1">
        <f t="shared" si="111"/>
        <v>0</v>
      </c>
      <c r="L223" s="1">
        <f t="shared" si="112"/>
        <v>0</v>
      </c>
      <c r="M223" s="1">
        <f t="shared" si="113"/>
        <v>0</v>
      </c>
      <c r="N223" s="1">
        <f t="shared" si="114"/>
        <v>0</v>
      </c>
      <c r="O223" s="1">
        <f t="shared" si="115"/>
        <v>0</v>
      </c>
      <c r="P223" s="1">
        <f t="shared" si="116"/>
        <v>25</v>
      </c>
      <c r="Q223" s="1" t="e">
        <f t="shared" si="117"/>
        <v>#DIV/0!</v>
      </c>
      <c r="R223" s="1" t="e">
        <f t="shared" si="118"/>
        <v>#DIV/0!</v>
      </c>
      <c r="S223" s="1" t="e">
        <f t="shared" si="119"/>
        <v>#DIV/0!</v>
      </c>
      <c r="T223" s="1" t="e">
        <f t="shared" si="120"/>
        <v>#DIV/0!</v>
      </c>
      <c r="U223" s="1" t="e">
        <f t="shared" si="121"/>
        <v>#DIV/0!</v>
      </c>
      <c r="V223">
        <f t="shared" si="122"/>
        <v>851.48</v>
      </c>
      <c r="W223">
        <f t="shared" si="123"/>
        <v>0</v>
      </c>
      <c r="X223">
        <f t="shared" si="124"/>
        <v>0</v>
      </c>
      <c r="Y223">
        <f t="shared" si="125"/>
        <v>0</v>
      </c>
      <c r="Z223">
        <f t="shared" si="126"/>
        <v>0</v>
      </c>
      <c r="AA223">
        <f t="shared" si="127"/>
        <v>0</v>
      </c>
      <c r="AC223">
        <f t="shared" si="128"/>
        <v>1045.25</v>
      </c>
      <c r="AD223">
        <f t="shared" si="129"/>
        <v>0</v>
      </c>
      <c r="AE223">
        <f t="shared" si="130"/>
        <v>0</v>
      </c>
      <c r="AF223">
        <f t="shared" si="131"/>
        <v>0</v>
      </c>
      <c r="AG223">
        <f t="shared" si="132"/>
        <v>0</v>
      </c>
      <c r="AH223">
        <f t="shared" si="133"/>
        <v>0</v>
      </c>
      <c r="AJ223">
        <f t="shared" si="134"/>
        <v>1239.01</v>
      </c>
      <c r="AK223">
        <f t="shared" si="135"/>
        <v>0</v>
      </c>
      <c r="AL223">
        <f t="shared" si="136"/>
        <v>0</v>
      </c>
      <c r="AM223">
        <f t="shared" si="137"/>
        <v>0</v>
      </c>
      <c r="AN223">
        <f t="shared" si="138"/>
        <v>0</v>
      </c>
      <c r="AO223">
        <f t="shared" si="139"/>
        <v>0</v>
      </c>
    </row>
    <row r="224" spans="1:41" x14ac:dyDescent="0.45">
      <c r="A224">
        <v>32.551149500000001</v>
      </c>
      <c r="B224">
        <v>113.0235335</v>
      </c>
      <c r="C224">
        <v>48.126995090000001</v>
      </c>
      <c r="D224">
        <v>26.350034709999999</v>
      </c>
      <c r="E224">
        <f t="shared" si="105"/>
        <v>26.350034709999999</v>
      </c>
      <c r="F224">
        <f t="shared" si="106"/>
        <v>0</v>
      </c>
      <c r="G224">
        <f t="shared" si="107"/>
        <v>0</v>
      </c>
      <c r="H224">
        <f t="shared" si="108"/>
        <v>0</v>
      </c>
      <c r="I224">
        <f t="shared" si="109"/>
        <v>0</v>
      </c>
      <c r="J224">
        <f t="shared" si="110"/>
        <v>0</v>
      </c>
      <c r="K224" s="1">
        <f t="shared" si="111"/>
        <v>0</v>
      </c>
      <c r="L224" s="1">
        <f t="shared" si="112"/>
        <v>0</v>
      </c>
      <c r="M224" s="1">
        <f t="shared" si="113"/>
        <v>0</v>
      </c>
      <c r="N224" s="1">
        <f t="shared" si="114"/>
        <v>0</v>
      </c>
      <c r="O224" s="1">
        <f t="shared" si="115"/>
        <v>0</v>
      </c>
      <c r="P224" s="1">
        <f t="shared" si="116"/>
        <v>25</v>
      </c>
      <c r="Q224" s="1" t="e">
        <f t="shared" si="117"/>
        <v>#DIV/0!</v>
      </c>
      <c r="R224" s="1" t="e">
        <f t="shared" si="118"/>
        <v>#DIV/0!</v>
      </c>
      <c r="S224" s="1" t="e">
        <f t="shared" si="119"/>
        <v>#DIV/0!</v>
      </c>
      <c r="T224" s="1" t="e">
        <f t="shared" si="120"/>
        <v>#DIV/0!</v>
      </c>
      <c r="U224" s="1" t="e">
        <f t="shared" si="121"/>
        <v>#DIV/0!</v>
      </c>
      <c r="V224">
        <f t="shared" si="122"/>
        <v>851.48</v>
      </c>
      <c r="W224">
        <f t="shared" si="123"/>
        <v>0</v>
      </c>
      <c r="X224">
        <f t="shared" si="124"/>
        <v>0</v>
      </c>
      <c r="Y224">
        <f t="shared" si="125"/>
        <v>0</v>
      </c>
      <c r="Z224">
        <f t="shared" si="126"/>
        <v>0</v>
      </c>
      <c r="AA224">
        <f t="shared" si="127"/>
        <v>0</v>
      </c>
      <c r="AC224">
        <f t="shared" si="128"/>
        <v>1045.25</v>
      </c>
      <c r="AD224">
        <f t="shared" si="129"/>
        <v>0</v>
      </c>
      <c r="AE224">
        <f t="shared" si="130"/>
        <v>0</v>
      </c>
      <c r="AF224">
        <f t="shared" si="131"/>
        <v>0</v>
      </c>
      <c r="AG224">
        <f t="shared" si="132"/>
        <v>0</v>
      </c>
      <c r="AH224">
        <f t="shared" si="133"/>
        <v>0</v>
      </c>
      <c r="AJ224">
        <f t="shared" si="134"/>
        <v>1239.01</v>
      </c>
      <c r="AK224">
        <f t="shared" si="135"/>
        <v>0</v>
      </c>
      <c r="AL224">
        <f t="shared" si="136"/>
        <v>0</v>
      </c>
      <c r="AM224">
        <f t="shared" si="137"/>
        <v>0</v>
      </c>
      <c r="AN224">
        <f t="shared" si="138"/>
        <v>0</v>
      </c>
      <c r="AO224">
        <f t="shared" si="139"/>
        <v>0</v>
      </c>
    </row>
    <row r="225" spans="1:41" x14ac:dyDescent="0.45">
      <c r="A225">
        <v>32.560411479999999</v>
      </c>
      <c r="B225">
        <v>119.5572116</v>
      </c>
      <c r="C225">
        <v>56.601669309999998</v>
      </c>
      <c r="D225">
        <v>3.8825030300000001</v>
      </c>
      <c r="E225">
        <f t="shared" si="105"/>
        <v>3.8825030300000001</v>
      </c>
      <c r="F225">
        <f t="shared" si="106"/>
        <v>0</v>
      </c>
      <c r="G225">
        <f t="shared" si="107"/>
        <v>0</v>
      </c>
      <c r="H225">
        <f t="shared" si="108"/>
        <v>0</v>
      </c>
      <c r="I225">
        <f t="shared" si="109"/>
        <v>0</v>
      </c>
      <c r="J225">
        <f t="shared" si="110"/>
        <v>0</v>
      </c>
      <c r="K225" s="1">
        <f t="shared" si="111"/>
        <v>0</v>
      </c>
      <c r="L225" s="1">
        <f t="shared" si="112"/>
        <v>0</v>
      </c>
      <c r="M225" s="1">
        <f t="shared" si="113"/>
        <v>0</v>
      </c>
      <c r="N225" s="1">
        <f t="shared" si="114"/>
        <v>0</v>
      </c>
      <c r="O225" s="1">
        <f t="shared" si="115"/>
        <v>0</v>
      </c>
      <c r="P225" s="1">
        <f t="shared" si="116"/>
        <v>25</v>
      </c>
      <c r="Q225" s="1" t="e">
        <f t="shared" si="117"/>
        <v>#DIV/0!</v>
      </c>
      <c r="R225" s="1" t="e">
        <f t="shared" si="118"/>
        <v>#DIV/0!</v>
      </c>
      <c r="S225" s="1" t="e">
        <f t="shared" si="119"/>
        <v>#DIV/0!</v>
      </c>
      <c r="T225" s="1" t="e">
        <f t="shared" si="120"/>
        <v>#DIV/0!</v>
      </c>
      <c r="U225" s="1" t="e">
        <f t="shared" si="121"/>
        <v>#DIV/0!</v>
      </c>
      <c r="V225">
        <f t="shared" si="122"/>
        <v>851.48</v>
      </c>
      <c r="W225">
        <f t="shared" si="123"/>
        <v>0</v>
      </c>
      <c r="X225">
        <f t="shared" si="124"/>
        <v>0</v>
      </c>
      <c r="Y225">
        <f t="shared" si="125"/>
        <v>0</v>
      </c>
      <c r="Z225">
        <f t="shared" si="126"/>
        <v>0</v>
      </c>
      <c r="AA225">
        <f t="shared" si="127"/>
        <v>0</v>
      </c>
      <c r="AC225">
        <f t="shared" si="128"/>
        <v>1045.25</v>
      </c>
      <c r="AD225">
        <f t="shared" si="129"/>
        <v>0</v>
      </c>
      <c r="AE225">
        <f t="shared" si="130"/>
        <v>0</v>
      </c>
      <c r="AF225">
        <f t="shared" si="131"/>
        <v>0</v>
      </c>
      <c r="AG225">
        <f t="shared" si="132"/>
        <v>0</v>
      </c>
      <c r="AH225">
        <f t="shared" si="133"/>
        <v>0</v>
      </c>
      <c r="AJ225">
        <f t="shared" si="134"/>
        <v>1239.01</v>
      </c>
      <c r="AK225">
        <f t="shared" si="135"/>
        <v>0</v>
      </c>
      <c r="AL225">
        <f t="shared" si="136"/>
        <v>0</v>
      </c>
      <c r="AM225">
        <f t="shared" si="137"/>
        <v>0</v>
      </c>
      <c r="AN225">
        <f t="shared" si="138"/>
        <v>0</v>
      </c>
      <c r="AO225">
        <f t="shared" si="139"/>
        <v>0</v>
      </c>
    </row>
    <row r="226" spans="1:41" x14ac:dyDescent="0.45">
      <c r="A226">
        <v>32.565842029999999</v>
      </c>
      <c r="B226">
        <v>120.269091</v>
      </c>
      <c r="C226">
        <v>17.774396899999999</v>
      </c>
      <c r="D226">
        <v>2.0024959999999998</v>
      </c>
      <c r="E226">
        <f t="shared" si="105"/>
        <v>2.0024959999999998</v>
      </c>
      <c r="F226">
        <f t="shared" si="106"/>
        <v>0</v>
      </c>
      <c r="G226">
        <f t="shared" si="107"/>
        <v>0</v>
      </c>
      <c r="H226">
        <f t="shared" si="108"/>
        <v>0</v>
      </c>
      <c r="I226">
        <f t="shared" si="109"/>
        <v>0</v>
      </c>
      <c r="J226">
        <f t="shared" si="110"/>
        <v>0</v>
      </c>
      <c r="K226" s="1">
        <f t="shared" si="111"/>
        <v>0</v>
      </c>
      <c r="L226" s="1">
        <f t="shared" si="112"/>
        <v>0</v>
      </c>
      <c r="M226" s="1">
        <f t="shared" si="113"/>
        <v>0</v>
      </c>
      <c r="N226" s="1">
        <f t="shared" si="114"/>
        <v>0</v>
      </c>
      <c r="O226" s="1">
        <f t="shared" si="115"/>
        <v>0</v>
      </c>
      <c r="P226" s="1">
        <f t="shared" si="116"/>
        <v>25</v>
      </c>
      <c r="Q226" s="1" t="e">
        <f t="shared" si="117"/>
        <v>#DIV/0!</v>
      </c>
      <c r="R226" s="1" t="e">
        <f t="shared" si="118"/>
        <v>#DIV/0!</v>
      </c>
      <c r="S226" s="1" t="e">
        <f t="shared" si="119"/>
        <v>#DIV/0!</v>
      </c>
      <c r="T226" s="1" t="e">
        <f t="shared" si="120"/>
        <v>#DIV/0!</v>
      </c>
      <c r="U226" s="1" t="e">
        <f t="shared" si="121"/>
        <v>#DIV/0!</v>
      </c>
      <c r="V226">
        <f t="shared" si="122"/>
        <v>851.48</v>
      </c>
      <c r="W226">
        <f t="shared" si="123"/>
        <v>0</v>
      </c>
      <c r="X226">
        <f t="shared" si="124"/>
        <v>0</v>
      </c>
      <c r="Y226">
        <f t="shared" si="125"/>
        <v>0</v>
      </c>
      <c r="Z226">
        <f t="shared" si="126"/>
        <v>0</v>
      </c>
      <c r="AA226">
        <f t="shared" si="127"/>
        <v>0</v>
      </c>
      <c r="AC226">
        <f t="shared" si="128"/>
        <v>1045.25</v>
      </c>
      <c r="AD226">
        <f t="shared" si="129"/>
        <v>0</v>
      </c>
      <c r="AE226">
        <f t="shared" si="130"/>
        <v>0</v>
      </c>
      <c r="AF226">
        <f t="shared" si="131"/>
        <v>0</v>
      </c>
      <c r="AG226">
        <f t="shared" si="132"/>
        <v>0</v>
      </c>
      <c r="AH226">
        <f t="shared" si="133"/>
        <v>0</v>
      </c>
      <c r="AJ226">
        <f t="shared" si="134"/>
        <v>1239.01</v>
      </c>
      <c r="AK226">
        <f t="shared" si="135"/>
        <v>0</v>
      </c>
      <c r="AL226">
        <f t="shared" si="136"/>
        <v>0</v>
      </c>
      <c r="AM226">
        <f t="shared" si="137"/>
        <v>0</v>
      </c>
      <c r="AN226">
        <f t="shared" si="138"/>
        <v>0</v>
      </c>
      <c r="AO226">
        <f t="shared" si="139"/>
        <v>0</v>
      </c>
    </row>
    <row r="227" spans="1:41" x14ac:dyDescent="0.45">
      <c r="A227">
        <v>32.579481940000001</v>
      </c>
      <c r="B227">
        <v>119.3963916</v>
      </c>
      <c r="C227">
        <v>40.306919100000002</v>
      </c>
      <c r="D227">
        <v>3.77709699</v>
      </c>
      <c r="E227">
        <f t="shared" si="105"/>
        <v>3.77709699</v>
      </c>
      <c r="F227">
        <f t="shared" si="106"/>
        <v>0</v>
      </c>
      <c r="G227">
        <f t="shared" si="107"/>
        <v>0</v>
      </c>
      <c r="H227">
        <f t="shared" si="108"/>
        <v>0</v>
      </c>
      <c r="I227">
        <f t="shared" si="109"/>
        <v>0</v>
      </c>
      <c r="J227">
        <f t="shared" si="110"/>
        <v>0</v>
      </c>
      <c r="K227" s="1">
        <f t="shared" si="111"/>
        <v>0</v>
      </c>
      <c r="L227" s="1">
        <f t="shared" si="112"/>
        <v>0</v>
      </c>
      <c r="M227" s="1">
        <f t="shared" si="113"/>
        <v>0</v>
      </c>
      <c r="N227" s="1">
        <f t="shared" si="114"/>
        <v>0</v>
      </c>
      <c r="O227" s="1">
        <f t="shared" si="115"/>
        <v>0</v>
      </c>
      <c r="P227" s="1">
        <f t="shared" si="116"/>
        <v>25</v>
      </c>
      <c r="Q227" s="1" t="e">
        <f t="shared" si="117"/>
        <v>#DIV/0!</v>
      </c>
      <c r="R227" s="1" t="e">
        <f t="shared" si="118"/>
        <v>#DIV/0!</v>
      </c>
      <c r="S227" s="1" t="e">
        <f t="shared" si="119"/>
        <v>#DIV/0!</v>
      </c>
      <c r="T227" s="1" t="e">
        <f t="shared" si="120"/>
        <v>#DIV/0!</v>
      </c>
      <c r="U227" s="1" t="e">
        <f t="shared" si="121"/>
        <v>#DIV/0!</v>
      </c>
      <c r="V227">
        <f t="shared" si="122"/>
        <v>851.48</v>
      </c>
      <c r="W227">
        <f t="shared" si="123"/>
        <v>0</v>
      </c>
      <c r="X227">
        <f t="shared" si="124"/>
        <v>0</v>
      </c>
      <c r="Y227">
        <f t="shared" si="125"/>
        <v>0</v>
      </c>
      <c r="Z227">
        <f t="shared" si="126"/>
        <v>0</v>
      </c>
      <c r="AA227">
        <f t="shared" si="127"/>
        <v>0</v>
      </c>
      <c r="AC227">
        <f t="shared" si="128"/>
        <v>1045.25</v>
      </c>
      <c r="AD227">
        <f t="shared" si="129"/>
        <v>0</v>
      </c>
      <c r="AE227">
        <f t="shared" si="130"/>
        <v>0</v>
      </c>
      <c r="AF227">
        <f t="shared" si="131"/>
        <v>0</v>
      </c>
      <c r="AG227">
        <f t="shared" si="132"/>
        <v>0</v>
      </c>
      <c r="AH227">
        <f t="shared" si="133"/>
        <v>0</v>
      </c>
      <c r="AJ227">
        <f t="shared" si="134"/>
        <v>1239.01</v>
      </c>
      <c r="AK227">
        <f t="shared" si="135"/>
        <v>0</v>
      </c>
      <c r="AL227">
        <f t="shared" si="136"/>
        <v>0</v>
      </c>
      <c r="AM227">
        <f t="shared" si="137"/>
        <v>0</v>
      </c>
      <c r="AN227">
        <f t="shared" si="138"/>
        <v>0</v>
      </c>
      <c r="AO227">
        <f t="shared" si="139"/>
        <v>0</v>
      </c>
    </row>
    <row r="228" spans="1:41" x14ac:dyDescent="0.45">
      <c r="A228">
        <v>32.580003619999999</v>
      </c>
      <c r="B228">
        <v>112.5375842</v>
      </c>
      <c r="C228">
        <v>52.400897980000003</v>
      </c>
      <c r="D228">
        <v>0.23480599999999999</v>
      </c>
      <c r="E228">
        <f t="shared" si="105"/>
        <v>0.23480599999999999</v>
      </c>
      <c r="F228">
        <f t="shared" si="106"/>
        <v>0</v>
      </c>
      <c r="G228">
        <f t="shared" si="107"/>
        <v>0</v>
      </c>
      <c r="H228">
        <f t="shared" si="108"/>
        <v>0</v>
      </c>
      <c r="I228">
        <f t="shared" si="109"/>
        <v>0</v>
      </c>
      <c r="J228">
        <f t="shared" si="110"/>
        <v>0</v>
      </c>
      <c r="K228" s="1">
        <f t="shared" si="111"/>
        <v>0</v>
      </c>
      <c r="L228" s="1">
        <f t="shared" si="112"/>
        <v>0</v>
      </c>
      <c r="M228" s="1">
        <f t="shared" si="113"/>
        <v>0</v>
      </c>
      <c r="N228" s="1">
        <f t="shared" si="114"/>
        <v>0</v>
      </c>
      <c r="O228" s="1">
        <f t="shared" si="115"/>
        <v>0</v>
      </c>
      <c r="P228" s="1">
        <f t="shared" si="116"/>
        <v>25</v>
      </c>
      <c r="Q228" s="1" t="e">
        <f t="shared" si="117"/>
        <v>#DIV/0!</v>
      </c>
      <c r="R228" s="1" t="e">
        <f t="shared" si="118"/>
        <v>#DIV/0!</v>
      </c>
      <c r="S228" s="1" t="e">
        <f t="shared" si="119"/>
        <v>#DIV/0!</v>
      </c>
      <c r="T228" s="1" t="e">
        <f t="shared" si="120"/>
        <v>#DIV/0!</v>
      </c>
      <c r="U228" s="1" t="e">
        <f t="shared" si="121"/>
        <v>#DIV/0!</v>
      </c>
      <c r="V228">
        <f t="shared" si="122"/>
        <v>851.48</v>
      </c>
      <c r="W228">
        <f t="shared" si="123"/>
        <v>0</v>
      </c>
      <c r="X228">
        <f t="shared" si="124"/>
        <v>0</v>
      </c>
      <c r="Y228">
        <f t="shared" si="125"/>
        <v>0</v>
      </c>
      <c r="Z228">
        <f t="shared" si="126"/>
        <v>0</v>
      </c>
      <c r="AA228">
        <f t="shared" si="127"/>
        <v>0</v>
      </c>
      <c r="AC228">
        <f t="shared" si="128"/>
        <v>1045.25</v>
      </c>
      <c r="AD228">
        <f t="shared" si="129"/>
        <v>0</v>
      </c>
      <c r="AE228">
        <f t="shared" si="130"/>
        <v>0</v>
      </c>
      <c r="AF228">
        <f t="shared" si="131"/>
        <v>0</v>
      </c>
      <c r="AG228">
        <f t="shared" si="132"/>
        <v>0</v>
      </c>
      <c r="AH228">
        <f t="shared" si="133"/>
        <v>0</v>
      </c>
      <c r="AJ228">
        <f t="shared" si="134"/>
        <v>1239.01</v>
      </c>
      <c r="AK228">
        <f t="shared" si="135"/>
        <v>0</v>
      </c>
      <c r="AL228">
        <f t="shared" si="136"/>
        <v>0</v>
      </c>
      <c r="AM228">
        <f t="shared" si="137"/>
        <v>0</v>
      </c>
      <c r="AN228">
        <f t="shared" si="138"/>
        <v>0</v>
      </c>
      <c r="AO228">
        <f t="shared" si="139"/>
        <v>0</v>
      </c>
    </row>
    <row r="229" spans="1:41" x14ac:dyDescent="0.45">
      <c r="A229">
        <v>32.585788569999998</v>
      </c>
      <c r="B229">
        <v>119.3427684</v>
      </c>
      <c r="C229">
        <v>40.306919100000002</v>
      </c>
      <c r="D229">
        <v>2.0930991200000002</v>
      </c>
      <c r="E229">
        <f t="shared" si="105"/>
        <v>2.0930991200000002</v>
      </c>
      <c r="F229">
        <f t="shared" si="106"/>
        <v>0</v>
      </c>
      <c r="G229">
        <f t="shared" si="107"/>
        <v>0</v>
      </c>
      <c r="H229">
        <f t="shared" si="108"/>
        <v>0</v>
      </c>
      <c r="I229">
        <f t="shared" si="109"/>
        <v>0</v>
      </c>
      <c r="J229">
        <f t="shared" si="110"/>
        <v>0</v>
      </c>
      <c r="K229" s="1">
        <f t="shared" si="111"/>
        <v>0</v>
      </c>
      <c r="L229" s="1">
        <f t="shared" si="112"/>
        <v>0</v>
      </c>
      <c r="M229" s="1">
        <f t="shared" si="113"/>
        <v>0</v>
      </c>
      <c r="N229" s="1">
        <f t="shared" si="114"/>
        <v>0</v>
      </c>
      <c r="O229" s="1">
        <f t="shared" si="115"/>
        <v>0</v>
      </c>
      <c r="P229" s="1">
        <f t="shared" si="116"/>
        <v>25</v>
      </c>
      <c r="Q229" s="1" t="e">
        <f t="shared" si="117"/>
        <v>#DIV/0!</v>
      </c>
      <c r="R229" s="1" t="e">
        <f t="shared" si="118"/>
        <v>#DIV/0!</v>
      </c>
      <c r="S229" s="1" t="e">
        <f t="shared" si="119"/>
        <v>#DIV/0!</v>
      </c>
      <c r="T229" s="1" t="e">
        <f t="shared" si="120"/>
        <v>#DIV/0!</v>
      </c>
      <c r="U229" s="1" t="e">
        <f t="shared" si="121"/>
        <v>#DIV/0!</v>
      </c>
      <c r="V229">
        <f t="shared" si="122"/>
        <v>851.48</v>
      </c>
      <c r="W229">
        <f t="shared" si="123"/>
        <v>0</v>
      </c>
      <c r="X229">
        <f t="shared" si="124"/>
        <v>0</v>
      </c>
      <c r="Y229">
        <f t="shared" si="125"/>
        <v>0</v>
      </c>
      <c r="Z229">
        <f t="shared" si="126"/>
        <v>0</v>
      </c>
      <c r="AA229">
        <f t="shared" si="127"/>
        <v>0</v>
      </c>
      <c r="AC229">
        <f t="shared" si="128"/>
        <v>1045.25</v>
      </c>
      <c r="AD229">
        <f t="shared" si="129"/>
        <v>0</v>
      </c>
      <c r="AE229">
        <f t="shared" si="130"/>
        <v>0</v>
      </c>
      <c r="AF229">
        <f t="shared" si="131"/>
        <v>0</v>
      </c>
      <c r="AG229">
        <f t="shared" si="132"/>
        <v>0</v>
      </c>
      <c r="AH229">
        <f t="shared" si="133"/>
        <v>0</v>
      </c>
      <c r="AJ229">
        <f t="shared" si="134"/>
        <v>1239.01</v>
      </c>
      <c r="AK229">
        <f t="shared" si="135"/>
        <v>0</v>
      </c>
      <c r="AL229">
        <f t="shared" si="136"/>
        <v>0</v>
      </c>
      <c r="AM229">
        <f t="shared" si="137"/>
        <v>0</v>
      </c>
      <c r="AN229">
        <f t="shared" si="138"/>
        <v>0</v>
      </c>
      <c r="AO229">
        <f t="shared" si="139"/>
        <v>0</v>
      </c>
    </row>
    <row r="230" spans="1:41" x14ac:dyDescent="0.45">
      <c r="A230">
        <v>32.599168499999998</v>
      </c>
      <c r="B230">
        <v>120.00127790000001</v>
      </c>
      <c r="C230">
        <v>56.601669309999998</v>
      </c>
      <c r="D230">
        <v>0.106533</v>
      </c>
      <c r="E230">
        <f t="shared" si="105"/>
        <v>0.106533</v>
      </c>
      <c r="F230">
        <f t="shared" si="106"/>
        <v>0</v>
      </c>
      <c r="G230">
        <f t="shared" si="107"/>
        <v>0</v>
      </c>
      <c r="H230">
        <f t="shared" si="108"/>
        <v>0</v>
      </c>
      <c r="I230">
        <f t="shared" si="109"/>
        <v>0</v>
      </c>
      <c r="J230">
        <f t="shared" si="110"/>
        <v>0</v>
      </c>
      <c r="K230" s="1">
        <f t="shared" si="111"/>
        <v>0</v>
      </c>
      <c r="L230" s="1">
        <f t="shared" si="112"/>
        <v>0</v>
      </c>
      <c r="M230" s="1">
        <f t="shared" si="113"/>
        <v>0</v>
      </c>
      <c r="N230" s="1">
        <f t="shared" si="114"/>
        <v>0</v>
      </c>
      <c r="O230" s="1">
        <f t="shared" si="115"/>
        <v>0</v>
      </c>
      <c r="P230" s="1">
        <f t="shared" si="116"/>
        <v>25</v>
      </c>
      <c r="Q230" s="1" t="e">
        <f t="shared" si="117"/>
        <v>#DIV/0!</v>
      </c>
      <c r="R230" s="1" t="e">
        <f t="shared" si="118"/>
        <v>#DIV/0!</v>
      </c>
      <c r="S230" s="1" t="e">
        <f t="shared" si="119"/>
        <v>#DIV/0!</v>
      </c>
      <c r="T230" s="1" t="e">
        <f t="shared" si="120"/>
        <v>#DIV/0!</v>
      </c>
      <c r="U230" s="1" t="e">
        <f t="shared" si="121"/>
        <v>#DIV/0!</v>
      </c>
      <c r="V230">
        <f t="shared" si="122"/>
        <v>851.48</v>
      </c>
      <c r="W230">
        <f t="shared" si="123"/>
        <v>0</v>
      </c>
      <c r="X230">
        <f t="shared" si="124"/>
        <v>0</v>
      </c>
      <c r="Y230">
        <f t="shared" si="125"/>
        <v>0</v>
      </c>
      <c r="Z230">
        <f t="shared" si="126"/>
        <v>0</v>
      </c>
      <c r="AA230">
        <f t="shared" si="127"/>
        <v>0</v>
      </c>
      <c r="AC230">
        <f t="shared" si="128"/>
        <v>1045.25</v>
      </c>
      <c r="AD230">
        <f t="shared" si="129"/>
        <v>0</v>
      </c>
      <c r="AE230">
        <f t="shared" si="130"/>
        <v>0</v>
      </c>
      <c r="AF230">
        <f t="shared" si="131"/>
        <v>0</v>
      </c>
      <c r="AG230">
        <f t="shared" si="132"/>
        <v>0</v>
      </c>
      <c r="AH230">
        <f t="shared" si="133"/>
        <v>0</v>
      </c>
      <c r="AJ230">
        <f t="shared" si="134"/>
        <v>1239.01</v>
      </c>
      <c r="AK230">
        <f t="shared" si="135"/>
        <v>0</v>
      </c>
      <c r="AL230">
        <f t="shared" si="136"/>
        <v>0</v>
      </c>
      <c r="AM230">
        <f t="shared" si="137"/>
        <v>0</v>
      </c>
      <c r="AN230">
        <f t="shared" si="138"/>
        <v>0</v>
      </c>
      <c r="AO230">
        <f t="shared" si="139"/>
        <v>0</v>
      </c>
    </row>
    <row r="231" spans="1:41" x14ac:dyDescent="0.45">
      <c r="A231">
        <v>32.599388140000002</v>
      </c>
      <c r="B231">
        <v>119.6183856</v>
      </c>
      <c r="C231">
        <v>56.601669309999998</v>
      </c>
      <c r="D231">
        <v>0.54075300999999998</v>
      </c>
      <c r="E231">
        <f t="shared" si="105"/>
        <v>0.54075300999999998</v>
      </c>
      <c r="F231">
        <f t="shared" si="106"/>
        <v>0</v>
      </c>
      <c r="G231">
        <f t="shared" si="107"/>
        <v>0</v>
      </c>
      <c r="H231">
        <f t="shared" si="108"/>
        <v>0</v>
      </c>
      <c r="I231">
        <f t="shared" si="109"/>
        <v>0</v>
      </c>
      <c r="J231">
        <f t="shared" si="110"/>
        <v>0</v>
      </c>
      <c r="K231" s="1">
        <f t="shared" si="111"/>
        <v>0</v>
      </c>
      <c r="L231" s="1">
        <f t="shared" si="112"/>
        <v>0</v>
      </c>
      <c r="M231" s="1">
        <f t="shared" si="113"/>
        <v>0</v>
      </c>
      <c r="N231" s="1">
        <f t="shared" si="114"/>
        <v>0</v>
      </c>
      <c r="O231" s="1">
        <f t="shared" si="115"/>
        <v>0</v>
      </c>
      <c r="P231" s="1">
        <f t="shared" si="116"/>
        <v>25</v>
      </c>
      <c r="Q231" s="1" t="e">
        <f t="shared" si="117"/>
        <v>#DIV/0!</v>
      </c>
      <c r="R231" s="1" t="e">
        <f t="shared" si="118"/>
        <v>#DIV/0!</v>
      </c>
      <c r="S231" s="1" t="e">
        <f t="shared" si="119"/>
        <v>#DIV/0!</v>
      </c>
      <c r="T231" s="1" t="e">
        <f t="shared" si="120"/>
        <v>#DIV/0!</v>
      </c>
      <c r="U231" s="1" t="e">
        <f t="shared" si="121"/>
        <v>#DIV/0!</v>
      </c>
      <c r="V231">
        <f t="shared" si="122"/>
        <v>851.48</v>
      </c>
      <c r="W231">
        <f t="shared" si="123"/>
        <v>0</v>
      </c>
      <c r="X231">
        <f t="shared" si="124"/>
        <v>0</v>
      </c>
      <c r="Y231">
        <f t="shared" si="125"/>
        <v>0</v>
      </c>
      <c r="Z231">
        <f t="shared" si="126"/>
        <v>0</v>
      </c>
      <c r="AA231">
        <f t="shared" si="127"/>
        <v>0</v>
      </c>
      <c r="AC231">
        <f t="shared" si="128"/>
        <v>1045.25</v>
      </c>
      <c r="AD231">
        <f t="shared" si="129"/>
        <v>0</v>
      </c>
      <c r="AE231">
        <f t="shared" si="130"/>
        <v>0</v>
      </c>
      <c r="AF231">
        <f t="shared" si="131"/>
        <v>0</v>
      </c>
      <c r="AG231">
        <f t="shared" si="132"/>
        <v>0</v>
      </c>
      <c r="AH231">
        <f t="shared" si="133"/>
        <v>0</v>
      </c>
      <c r="AJ231">
        <f t="shared" si="134"/>
        <v>1239.01</v>
      </c>
      <c r="AK231">
        <f t="shared" si="135"/>
        <v>0</v>
      </c>
      <c r="AL231">
        <f t="shared" si="136"/>
        <v>0</v>
      </c>
      <c r="AM231">
        <f t="shared" si="137"/>
        <v>0</v>
      </c>
      <c r="AN231">
        <f t="shared" si="138"/>
        <v>0</v>
      </c>
      <c r="AO231">
        <f t="shared" si="139"/>
        <v>0</v>
      </c>
    </row>
    <row r="232" spans="1:41" x14ac:dyDescent="0.45">
      <c r="A232">
        <v>32.60183421</v>
      </c>
      <c r="B232">
        <v>120.7135038</v>
      </c>
      <c r="C232">
        <v>17.774396899999999</v>
      </c>
      <c r="D232">
        <v>0.50822197999999996</v>
      </c>
      <c r="E232">
        <f t="shared" si="105"/>
        <v>0.50822197999999996</v>
      </c>
      <c r="F232">
        <f t="shared" si="106"/>
        <v>0</v>
      </c>
      <c r="G232">
        <f t="shared" si="107"/>
        <v>0</v>
      </c>
      <c r="H232">
        <f t="shared" si="108"/>
        <v>0</v>
      </c>
      <c r="I232">
        <f t="shared" si="109"/>
        <v>0</v>
      </c>
      <c r="J232">
        <f t="shared" si="110"/>
        <v>0</v>
      </c>
      <c r="K232" s="1">
        <f t="shared" si="111"/>
        <v>0</v>
      </c>
      <c r="L232" s="1">
        <f t="shared" si="112"/>
        <v>0</v>
      </c>
      <c r="M232" s="1">
        <f t="shared" si="113"/>
        <v>0</v>
      </c>
      <c r="N232" s="1">
        <f t="shared" si="114"/>
        <v>0</v>
      </c>
      <c r="O232" s="1">
        <f t="shared" si="115"/>
        <v>0</v>
      </c>
      <c r="P232" s="1">
        <f t="shared" si="116"/>
        <v>25</v>
      </c>
      <c r="Q232" s="1" t="e">
        <f t="shared" si="117"/>
        <v>#DIV/0!</v>
      </c>
      <c r="R232" s="1" t="e">
        <f t="shared" si="118"/>
        <v>#DIV/0!</v>
      </c>
      <c r="S232" s="1" t="e">
        <f t="shared" si="119"/>
        <v>#DIV/0!</v>
      </c>
      <c r="T232" s="1" t="e">
        <f t="shared" si="120"/>
        <v>#DIV/0!</v>
      </c>
      <c r="U232" s="1" t="e">
        <f t="shared" si="121"/>
        <v>#DIV/0!</v>
      </c>
      <c r="V232">
        <f t="shared" si="122"/>
        <v>851.48</v>
      </c>
      <c r="W232">
        <f t="shared" si="123"/>
        <v>0</v>
      </c>
      <c r="X232">
        <f t="shared" si="124"/>
        <v>0</v>
      </c>
      <c r="Y232">
        <f t="shared" si="125"/>
        <v>0</v>
      </c>
      <c r="Z232">
        <f t="shared" si="126"/>
        <v>0</v>
      </c>
      <c r="AA232">
        <f t="shared" si="127"/>
        <v>0</v>
      </c>
      <c r="AC232">
        <f t="shared" si="128"/>
        <v>1045.25</v>
      </c>
      <c r="AD232">
        <f t="shared" si="129"/>
        <v>0</v>
      </c>
      <c r="AE232">
        <f t="shared" si="130"/>
        <v>0</v>
      </c>
      <c r="AF232">
        <f t="shared" si="131"/>
        <v>0</v>
      </c>
      <c r="AG232">
        <f t="shared" si="132"/>
        <v>0</v>
      </c>
      <c r="AH232">
        <f t="shared" si="133"/>
        <v>0</v>
      </c>
      <c r="AJ232">
        <f t="shared" si="134"/>
        <v>1239.01</v>
      </c>
      <c r="AK232">
        <f t="shared" si="135"/>
        <v>0</v>
      </c>
      <c r="AL232">
        <f t="shared" si="136"/>
        <v>0</v>
      </c>
      <c r="AM232">
        <f t="shared" si="137"/>
        <v>0</v>
      </c>
      <c r="AN232">
        <f t="shared" si="138"/>
        <v>0</v>
      </c>
      <c r="AO232">
        <f t="shared" si="139"/>
        <v>0</v>
      </c>
    </row>
    <row r="233" spans="1:41" x14ac:dyDescent="0.45">
      <c r="A233">
        <v>32.622630030000003</v>
      </c>
      <c r="B233">
        <v>112.59527850000001</v>
      </c>
      <c r="C233">
        <v>52.400897980000003</v>
      </c>
      <c r="D233">
        <v>8.5823999999999998E-2</v>
      </c>
      <c r="E233">
        <f t="shared" si="105"/>
        <v>8.5823999999999998E-2</v>
      </c>
      <c r="F233">
        <f t="shared" si="106"/>
        <v>0</v>
      </c>
      <c r="G233">
        <f t="shared" si="107"/>
        <v>0</v>
      </c>
      <c r="H233">
        <f t="shared" si="108"/>
        <v>0</v>
      </c>
      <c r="I233">
        <f t="shared" si="109"/>
        <v>0</v>
      </c>
      <c r="J233">
        <f t="shared" si="110"/>
        <v>0</v>
      </c>
      <c r="K233" s="1">
        <f t="shared" si="111"/>
        <v>0</v>
      </c>
      <c r="L233" s="1">
        <f t="shared" si="112"/>
        <v>0</v>
      </c>
      <c r="M233" s="1">
        <f t="shared" si="113"/>
        <v>0</v>
      </c>
      <c r="N233" s="1">
        <f t="shared" si="114"/>
        <v>0</v>
      </c>
      <c r="O233" s="1">
        <f t="shared" si="115"/>
        <v>0</v>
      </c>
      <c r="P233" s="1">
        <f t="shared" si="116"/>
        <v>25</v>
      </c>
      <c r="Q233" s="1" t="e">
        <f t="shared" si="117"/>
        <v>#DIV/0!</v>
      </c>
      <c r="R233" s="1" t="e">
        <f t="shared" si="118"/>
        <v>#DIV/0!</v>
      </c>
      <c r="S233" s="1" t="e">
        <f t="shared" si="119"/>
        <v>#DIV/0!</v>
      </c>
      <c r="T233" s="1" t="e">
        <f t="shared" si="120"/>
        <v>#DIV/0!</v>
      </c>
      <c r="U233" s="1" t="e">
        <f t="shared" si="121"/>
        <v>#DIV/0!</v>
      </c>
      <c r="V233">
        <f t="shared" si="122"/>
        <v>851.48</v>
      </c>
      <c r="W233">
        <f t="shared" si="123"/>
        <v>0</v>
      </c>
      <c r="X233">
        <f t="shared" si="124"/>
        <v>0</v>
      </c>
      <c r="Y233">
        <f t="shared" si="125"/>
        <v>0</v>
      </c>
      <c r="Z233">
        <f t="shared" si="126"/>
        <v>0</v>
      </c>
      <c r="AA233">
        <f t="shared" si="127"/>
        <v>0</v>
      </c>
      <c r="AC233">
        <f t="shared" si="128"/>
        <v>1045.25</v>
      </c>
      <c r="AD233">
        <f t="shared" si="129"/>
        <v>0</v>
      </c>
      <c r="AE233">
        <f t="shared" si="130"/>
        <v>0</v>
      </c>
      <c r="AF233">
        <f t="shared" si="131"/>
        <v>0</v>
      </c>
      <c r="AG233">
        <f t="shared" si="132"/>
        <v>0</v>
      </c>
      <c r="AH233">
        <f t="shared" si="133"/>
        <v>0</v>
      </c>
      <c r="AJ233">
        <f t="shared" si="134"/>
        <v>1239.01</v>
      </c>
      <c r="AK233">
        <f t="shared" si="135"/>
        <v>0</v>
      </c>
      <c r="AL233">
        <f t="shared" si="136"/>
        <v>0</v>
      </c>
      <c r="AM233">
        <f t="shared" si="137"/>
        <v>0</v>
      </c>
      <c r="AN233">
        <f t="shared" si="138"/>
        <v>0</v>
      </c>
      <c r="AO233">
        <f t="shared" si="139"/>
        <v>0</v>
      </c>
    </row>
    <row r="234" spans="1:41" x14ac:dyDescent="0.45">
      <c r="A234">
        <v>32.631868670000003</v>
      </c>
      <c r="B234">
        <v>119.73324909999999</v>
      </c>
      <c r="C234">
        <v>56.601669309999998</v>
      </c>
      <c r="D234">
        <v>0.78846799999999995</v>
      </c>
      <c r="E234">
        <f t="shared" si="105"/>
        <v>0.78846799999999995</v>
      </c>
      <c r="F234">
        <f t="shared" si="106"/>
        <v>0</v>
      </c>
      <c r="G234">
        <f t="shared" si="107"/>
        <v>0</v>
      </c>
      <c r="H234">
        <f t="shared" si="108"/>
        <v>0</v>
      </c>
      <c r="I234">
        <f t="shared" si="109"/>
        <v>0</v>
      </c>
      <c r="J234">
        <f t="shared" si="110"/>
        <v>0</v>
      </c>
      <c r="K234" s="1">
        <f t="shared" si="111"/>
        <v>0</v>
      </c>
      <c r="L234" s="1">
        <f t="shared" si="112"/>
        <v>0</v>
      </c>
      <c r="M234" s="1">
        <f t="shared" si="113"/>
        <v>0</v>
      </c>
      <c r="N234" s="1">
        <f t="shared" si="114"/>
        <v>0</v>
      </c>
      <c r="O234" s="1">
        <f t="shared" si="115"/>
        <v>0</v>
      </c>
      <c r="P234" s="1">
        <f t="shared" si="116"/>
        <v>25.000000000000004</v>
      </c>
      <c r="Q234" s="1" t="e">
        <f t="shared" si="117"/>
        <v>#DIV/0!</v>
      </c>
      <c r="R234" s="1" t="e">
        <f t="shared" si="118"/>
        <v>#DIV/0!</v>
      </c>
      <c r="S234" s="1" t="e">
        <f t="shared" si="119"/>
        <v>#DIV/0!</v>
      </c>
      <c r="T234" s="1" t="e">
        <f t="shared" si="120"/>
        <v>#DIV/0!</v>
      </c>
      <c r="U234" s="1" t="e">
        <f t="shared" si="121"/>
        <v>#DIV/0!</v>
      </c>
      <c r="V234">
        <f t="shared" si="122"/>
        <v>851.48000000000013</v>
      </c>
      <c r="W234">
        <f t="shared" si="123"/>
        <v>0</v>
      </c>
      <c r="X234">
        <f t="shared" si="124"/>
        <v>0</v>
      </c>
      <c r="Y234">
        <f t="shared" si="125"/>
        <v>0</v>
      </c>
      <c r="Z234">
        <f t="shared" si="126"/>
        <v>0</v>
      </c>
      <c r="AA234">
        <f t="shared" si="127"/>
        <v>0</v>
      </c>
      <c r="AC234">
        <f t="shared" si="128"/>
        <v>1045.25</v>
      </c>
      <c r="AD234">
        <f t="shared" si="129"/>
        <v>0</v>
      </c>
      <c r="AE234">
        <f t="shared" si="130"/>
        <v>0</v>
      </c>
      <c r="AF234">
        <f t="shared" si="131"/>
        <v>0</v>
      </c>
      <c r="AG234">
        <f t="shared" si="132"/>
        <v>0</v>
      </c>
      <c r="AH234">
        <f t="shared" si="133"/>
        <v>0</v>
      </c>
      <c r="AJ234">
        <f t="shared" si="134"/>
        <v>1239.0100000000002</v>
      </c>
      <c r="AK234">
        <f t="shared" si="135"/>
        <v>0</v>
      </c>
      <c r="AL234">
        <f t="shared" si="136"/>
        <v>0</v>
      </c>
      <c r="AM234">
        <f t="shared" si="137"/>
        <v>0</v>
      </c>
      <c r="AN234">
        <f t="shared" si="138"/>
        <v>0</v>
      </c>
      <c r="AO234">
        <f t="shared" si="139"/>
        <v>0</v>
      </c>
    </row>
    <row r="235" spans="1:41" x14ac:dyDescent="0.45">
      <c r="A235">
        <v>32.635881140000002</v>
      </c>
      <c r="B235">
        <v>113.13944499999999</v>
      </c>
      <c r="C235">
        <v>42.111118320000003</v>
      </c>
      <c r="D235">
        <v>9.8403000000000004E-2</v>
      </c>
      <c r="E235">
        <f t="shared" si="105"/>
        <v>9.8403000000000004E-2</v>
      </c>
      <c r="F235">
        <f t="shared" si="106"/>
        <v>0</v>
      </c>
      <c r="G235">
        <f t="shared" si="107"/>
        <v>0</v>
      </c>
      <c r="H235">
        <f t="shared" si="108"/>
        <v>0</v>
      </c>
      <c r="I235">
        <f t="shared" si="109"/>
        <v>0</v>
      </c>
      <c r="J235">
        <f t="shared" si="110"/>
        <v>0</v>
      </c>
      <c r="K235" s="1">
        <f t="shared" si="111"/>
        <v>0</v>
      </c>
      <c r="L235" s="1">
        <f t="shared" si="112"/>
        <v>0</v>
      </c>
      <c r="M235" s="1">
        <f t="shared" si="113"/>
        <v>0</v>
      </c>
      <c r="N235" s="1">
        <f t="shared" si="114"/>
        <v>0</v>
      </c>
      <c r="O235" s="1">
        <f t="shared" si="115"/>
        <v>0</v>
      </c>
      <c r="P235" s="1">
        <f t="shared" si="116"/>
        <v>25</v>
      </c>
      <c r="Q235" s="1" t="e">
        <f t="shared" si="117"/>
        <v>#DIV/0!</v>
      </c>
      <c r="R235" s="1" t="e">
        <f t="shared" si="118"/>
        <v>#DIV/0!</v>
      </c>
      <c r="S235" s="1" t="e">
        <f t="shared" si="119"/>
        <v>#DIV/0!</v>
      </c>
      <c r="T235" s="1" t="e">
        <f t="shared" si="120"/>
        <v>#DIV/0!</v>
      </c>
      <c r="U235" s="1" t="e">
        <f t="shared" si="121"/>
        <v>#DIV/0!</v>
      </c>
      <c r="V235">
        <f t="shared" si="122"/>
        <v>851.48</v>
      </c>
      <c r="W235">
        <f t="shared" si="123"/>
        <v>0</v>
      </c>
      <c r="X235">
        <f t="shared" si="124"/>
        <v>0</v>
      </c>
      <c r="Y235">
        <f t="shared" si="125"/>
        <v>0</v>
      </c>
      <c r="Z235">
        <f t="shared" si="126"/>
        <v>0</v>
      </c>
      <c r="AA235">
        <f t="shared" si="127"/>
        <v>0</v>
      </c>
      <c r="AC235">
        <f t="shared" si="128"/>
        <v>1045.25</v>
      </c>
      <c r="AD235">
        <f t="shared" si="129"/>
        <v>0</v>
      </c>
      <c r="AE235">
        <f t="shared" si="130"/>
        <v>0</v>
      </c>
      <c r="AF235">
        <f t="shared" si="131"/>
        <v>0</v>
      </c>
      <c r="AG235">
        <f t="shared" si="132"/>
        <v>0</v>
      </c>
      <c r="AH235">
        <f t="shared" si="133"/>
        <v>0</v>
      </c>
      <c r="AJ235">
        <f t="shared" si="134"/>
        <v>1239.01</v>
      </c>
      <c r="AK235">
        <f t="shared" si="135"/>
        <v>0</v>
      </c>
      <c r="AL235">
        <f t="shared" si="136"/>
        <v>0</v>
      </c>
      <c r="AM235">
        <f t="shared" si="137"/>
        <v>0</v>
      </c>
      <c r="AN235">
        <f t="shared" si="138"/>
        <v>0</v>
      </c>
      <c r="AO235">
        <f t="shared" si="139"/>
        <v>0</v>
      </c>
    </row>
    <row r="236" spans="1:41" x14ac:dyDescent="0.45">
      <c r="A236">
        <v>32.637908619999997</v>
      </c>
      <c r="B236">
        <v>120.0626913</v>
      </c>
      <c r="C236">
        <v>134.76608279999999</v>
      </c>
      <c r="D236">
        <v>0.72323501000000001</v>
      </c>
      <c r="E236">
        <f t="shared" si="105"/>
        <v>0.72323501000000001</v>
      </c>
      <c r="F236">
        <f t="shared" si="106"/>
        <v>0</v>
      </c>
      <c r="G236">
        <f t="shared" si="107"/>
        <v>0</v>
      </c>
      <c r="H236">
        <f t="shared" si="108"/>
        <v>0</v>
      </c>
      <c r="I236">
        <f t="shared" si="109"/>
        <v>0</v>
      </c>
      <c r="J236">
        <f t="shared" si="110"/>
        <v>0</v>
      </c>
      <c r="K236" s="1">
        <f t="shared" si="111"/>
        <v>0</v>
      </c>
      <c r="L236" s="1">
        <f t="shared" si="112"/>
        <v>0</v>
      </c>
      <c r="M236" s="1">
        <f t="shared" si="113"/>
        <v>0</v>
      </c>
      <c r="N236" s="1">
        <f t="shared" si="114"/>
        <v>0</v>
      </c>
      <c r="O236" s="1">
        <f t="shared" si="115"/>
        <v>0</v>
      </c>
      <c r="P236" s="1">
        <f t="shared" si="116"/>
        <v>25.000000000000004</v>
      </c>
      <c r="Q236" s="1" t="e">
        <f t="shared" si="117"/>
        <v>#DIV/0!</v>
      </c>
      <c r="R236" s="1" t="e">
        <f t="shared" si="118"/>
        <v>#DIV/0!</v>
      </c>
      <c r="S236" s="1" t="e">
        <f t="shared" si="119"/>
        <v>#DIV/0!</v>
      </c>
      <c r="T236" s="1" t="e">
        <f t="shared" si="120"/>
        <v>#DIV/0!</v>
      </c>
      <c r="U236" s="1" t="e">
        <f t="shared" si="121"/>
        <v>#DIV/0!</v>
      </c>
      <c r="V236">
        <f t="shared" si="122"/>
        <v>851.48000000000013</v>
      </c>
      <c r="W236">
        <f t="shared" si="123"/>
        <v>0</v>
      </c>
      <c r="X236">
        <f t="shared" si="124"/>
        <v>0</v>
      </c>
      <c r="Y236">
        <f t="shared" si="125"/>
        <v>0</v>
      </c>
      <c r="Z236">
        <f t="shared" si="126"/>
        <v>0</v>
      </c>
      <c r="AA236">
        <f t="shared" si="127"/>
        <v>0</v>
      </c>
      <c r="AC236">
        <f t="shared" si="128"/>
        <v>1045.25</v>
      </c>
      <c r="AD236">
        <f t="shared" si="129"/>
        <v>0</v>
      </c>
      <c r="AE236">
        <f t="shared" si="130"/>
        <v>0</v>
      </c>
      <c r="AF236">
        <f t="shared" si="131"/>
        <v>0</v>
      </c>
      <c r="AG236">
        <f t="shared" si="132"/>
        <v>0</v>
      </c>
      <c r="AH236">
        <f t="shared" si="133"/>
        <v>0</v>
      </c>
      <c r="AJ236">
        <f t="shared" si="134"/>
        <v>1239.0100000000002</v>
      </c>
      <c r="AK236">
        <f t="shared" si="135"/>
        <v>0</v>
      </c>
      <c r="AL236">
        <f t="shared" si="136"/>
        <v>0</v>
      </c>
      <c r="AM236">
        <f t="shared" si="137"/>
        <v>0</v>
      </c>
      <c r="AN236">
        <f t="shared" si="138"/>
        <v>0</v>
      </c>
      <c r="AO236">
        <f t="shared" si="139"/>
        <v>0</v>
      </c>
    </row>
    <row r="237" spans="1:41" x14ac:dyDescent="0.45">
      <c r="A237">
        <v>32.638333469999999</v>
      </c>
      <c r="B237">
        <v>119.6796178</v>
      </c>
      <c r="C237">
        <v>56.601669309999998</v>
      </c>
      <c r="D237">
        <v>0.15893800999999999</v>
      </c>
      <c r="E237">
        <f t="shared" si="105"/>
        <v>0.15893800999999999</v>
      </c>
      <c r="F237">
        <f t="shared" si="106"/>
        <v>0</v>
      </c>
      <c r="G237">
        <f t="shared" si="107"/>
        <v>0</v>
      </c>
      <c r="H237">
        <f t="shared" si="108"/>
        <v>0</v>
      </c>
      <c r="I237">
        <f t="shared" si="109"/>
        <v>0</v>
      </c>
      <c r="J237">
        <f t="shared" si="110"/>
        <v>0</v>
      </c>
      <c r="K237" s="1">
        <f t="shared" si="111"/>
        <v>0</v>
      </c>
      <c r="L237" s="1">
        <f t="shared" si="112"/>
        <v>0</v>
      </c>
      <c r="M237" s="1">
        <f t="shared" si="113"/>
        <v>0</v>
      </c>
      <c r="N237" s="1">
        <f t="shared" si="114"/>
        <v>0</v>
      </c>
      <c r="O237" s="1">
        <f t="shared" si="115"/>
        <v>0</v>
      </c>
      <c r="P237" s="1">
        <f t="shared" si="116"/>
        <v>25</v>
      </c>
      <c r="Q237" s="1" t="e">
        <f t="shared" si="117"/>
        <v>#DIV/0!</v>
      </c>
      <c r="R237" s="1" t="e">
        <f t="shared" si="118"/>
        <v>#DIV/0!</v>
      </c>
      <c r="S237" s="1" t="e">
        <f t="shared" si="119"/>
        <v>#DIV/0!</v>
      </c>
      <c r="T237" s="1" t="e">
        <f t="shared" si="120"/>
        <v>#DIV/0!</v>
      </c>
      <c r="U237" s="1" t="e">
        <f t="shared" si="121"/>
        <v>#DIV/0!</v>
      </c>
      <c r="V237">
        <f t="shared" si="122"/>
        <v>851.48</v>
      </c>
      <c r="W237">
        <f t="shared" si="123"/>
        <v>0</v>
      </c>
      <c r="X237">
        <f t="shared" si="124"/>
        <v>0</v>
      </c>
      <c r="Y237">
        <f t="shared" si="125"/>
        <v>0</v>
      </c>
      <c r="Z237">
        <f t="shared" si="126"/>
        <v>0</v>
      </c>
      <c r="AA237">
        <f t="shared" si="127"/>
        <v>0</v>
      </c>
      <c r="AC237">
        <f t="shared" si="128"/>
        <v>1045.25</v>
      </c>
      <c r="AD237">
        <f t="shared" si="129"/>
        <v>0</v>
      </c>
      <c r="AE237">
        <f t="shared" si="130"/>
        <v>0</v>
      </c>
      <c r="AF237">
        <f t="shared" si="131"/>
        <v>0</v>
      </c>
      <c r="AG237">
        <f t="shared" si="132"/>
        <v>0</v>
      </c>
      <c r="AH237">
        <f t="shared" si="133"/>
        <v>0</v>
      </c>
      <c r="AJ237">
        <f t="shared" si="134"/>
        <v>1239.01</v>
      </c>
      <c r="AK237">
        <f t="shared" si="135"/>
        <v>0</v>
      </c>
      <c r="AL237">
        <f t="shared" si="136"/>
        <v>0</v>
      </c>
      <c r="AM237">
        <f t="shared" si="137"/>
        <v>0</v>
      </c>
      <c r="AN237">
        <f t="shared" si="138"/>
        <v>0</v>
      </c>
      <c r="AO237">
        <f t="shared" si="139"/>
        <v>0</v>
      </c>
    </row>
    <row r="238" spans="1:41" x14ac:dyDescent="0.45">
      <c r="A238">
        <v>32.639244009999999</v>
      </c>
      <c r="B238">
        <v>113.0854166</v>
      </c>
      <c r="C238">
        <v>48.126995090000001</v>
      </c>
      <c r="D238">
        <v>0.70592999000000001</v>
      </c>
      <c r="E238">
        <f t="shared" si="105"/>
        <v>0.70592999000000001</v>
      </c>
      <c r="F238">
        <f t="shared" si="106"/>
        <v>0</v>
      </c>
      <c r="G238">
        <f t="shared" si="107"/>
        <v>0</v>
      </c>
      <c r="H238">
        <f t="shared" si="108"/>
        <v>0</v>
      </c>
      <c r="I238">
        <f t="shared" si="109"/>
        <v>0</v>
      </c>
      <c r="J238">
        <f t="shared" si="110"/>
        <v>0</v>
      </c>
      <c r="K238" s="1">
        <f t="shared" si="111"/>
        <v>0</v>
      </c>
      <c r="L238" s="1">
        <f t="shared" si="112"/>
        <v>0</v>
      </c>
      <c r="M238" s="1">
        <f t="shared" si="113"/>
        <v>0</v>
      </c>
      <c r="N238" s="1">
        <f t="shared" si="114"/>
        <v>0</v>
      </c>
      <c r="O238" s="1">
        <f t="shared" si="115"/>
        <v>0</v>
      </c>
      <c r="P238" s="1">
        <f t="shared" si="116"/>
        <v>25.000000000000004</v>
      </c>
      <c r="Q238" s="1" t="e">
        <f t="shared" si="117"/>
        <v>#DIV/0!</v>
      </c>
      <c r="R238" s="1" t="e">
        <f t="shared" si="118"/>
        <v>#DIV/0!</v>
      </c>
      <c r="S238" s="1" t="e">
        <f t="shared" si="119"/>
        <v>#DIV/0!</v>
      </c>
      <c r="T238" s="1" t="e">
        <f t="shared" si="120"/>
        <v>#DIV/0!</v>
      </c>
      <c r="U238" s="1" t="e">
        <f t="shared" si="121"/>
        <v>#DIV/0!</v>
      </c>
      <c r="V238">
        <f t="shared" si="122"/>
        <v>851.48000000000013</v>
      </c>
      <c r="W238">
        <f t="shared" si="123"/>
        <v>0</v>
      </c>
      <c r="X238">
        <f t="shared" si="124"/>
        <v>0</v>
      </c>
      <c r="Y238">
        <f t="shared" si="125"/>
        <v>0</v>
      </c>
      <c r="Z238">
        <f t="shared" si="126"/>
        <v>0</v>
      </c>
      <c r="AA238">
        <f t="shared" si="127"/>
        <v>0</v>
      </c>
      <c r="AC238">
        <f t="shared" si="128"/>
        <v>1045.25</v>
      </c>
      <c r="AD238">
        <f t="shared" si="129"/>
        <v>0</v>
      </c>
      <c r="AE238">
        <f t="shared" si="130"/>
        <v>0</v>
      </c>
      <c r="AF238">
        <f t="shared" si="131"/>
        <v>0</v>
      </c>
      <c r="AG238">
        <f t="shared" si="132"/>
        <v>0</v>
      </c>
      <c r="AH238">
        <f t="shared" si="133"/>
        <v>0</v>
      </c>
      <c r="AJ238">
        <f t="shared" si="134"/>
        <v>1239.0100000000002</v>
      </c>
      <c r="AK238">
        <f t="shared" si="135"/>
        <v>0</v>
      </c>
      <c r="AL238">
        <f t="shared" si="136"/>
        <v>0</v>
      </c>
      <c r="AM238">
        <f t="shared" si="137"/>
        <v>0</v>
      </c>
      <c r="AN238">
        <f t="shared" si="138"/>
        <v>0</v>
      </c>
      <c r="AO238">
        <f t="shared" si="139"/>
        <v>0</v>
      </c>
    </row>
    <row r="239" spans="1:41" x14ac:dyDescent="0.45">
      <c r="A239">
        <v>32.642581389999997</v>
      </c>
      <c r="B239">
        <v>113.03138370000001</v>
      </c>
      <c r="C239">
        <v>48.126995090000001</v>
      </c>
      <c r="D239">
        <v>1.2503E-2</v>
      </c>
      <c r="E239">
        <f t="shared" si="105"/>
        <v>1.2503E-2</v>
      </c>
      <c r="F239">
        <f t="shared" si="106"/>
        <v>0</v>
      </c>
      <c r="G239">
        <f t="shared" si="107"/>
        <v>0</v>
      </c>
      <c r="H239">
        <f t="shared" si="108"/>
        <v>0</v>
      </c>
      <c r="I239">
        <f t="shared" si="109"/>
        <v>0</v>
      </c>
      <c r="J239">
        <f t="shared" si="110"/>
        <v>0</v>
      </c>
      <c r="K239" s="1">
        <f t="shared" si="111"/>
        <v>0</v>
      </c>
      <c r="L239" s="1">
        <f t="shared" si="112"/>
        <v>0</v>
      </c>
      <c r="M239" s="1">
        <f t="shared" si="113"/>
        <v>0</v>
      </c>
      <c r="N239" s="1">
        <f t="shared" si="114"/>
        <v>0</v>
      </c>
      <c r="O239" s="1">
        <f t="shared" si="115"/>
        <v>0</v>
      </c>
      <c r="P239" s="1">
        <f t="shared" si="116"/>
        <v>25</v>
      </c>
      <c r="Q239" s="1" t="e">
        <f t="shared" si="117"/>
        <v>#DIV/0!</v>
      </c>
      <c r="R239" s="1" t="e">
        <f t="shared" si="118"/>
        <v>#DIV/0!</v>
      </c>
      <c r="S239" s="1" t="e">
        <f t="shared" si="119"/>
        <v>#DIV/0!</v>
      </c>
      <c r="T239" s="1" t="e">
        <f t="shared" si="120"/>
        <v>#DIV/0!</v>
      </c>
      <c r="U239" s="1" t="e">
        <f t="shared" si="121"/>
        <v>#DIV/0!</v>
      </c>
      <c r="V239">
        <f t="shared" si="122"/>
        <v>851.48</v>
      </c>
      <c r="W239">
        <f t="shared" si="123"/>
        <v>0</v>
      </c>
      <c r="X239">
        <f t="shared" si="124"/>
        <v>0</v>
      </c>
      <c r="Y239">
        <f t="shared" si="125"/>
        <v>0</v>
      </c>
      <c r="Z239">
        <f t="shared" si="126"/>
        <v>0</v>
      </c>
      <c r="AA239">
        <f t="shared" si="127"/>
        <v>0</v>
      </c>
      <c r="AC239">
        <f t="shared" si="128"/>
        <v>1045.25</v>
      </c>
      <c r="AD239">
        <f t="shared" si="129"/>
        <v>0</v>
      </c>
      <c r="AE239">
        <f t="shared" si="130"/>
        <v>0</v>
      </c>
      <c r="AF239">
        <f t="shared" si="131"/>
        <v>0</v>
      </c>
      <c r="AG239">
        <f t="shared" si="132"/>
        <v>0</v>
      </c>
      <c r="AH239">
        <f t="shared" si="133"/>
        <v>0</v>
      </c>
      <c r="AJ239">
        <f t="shared" si="134"/>
        <v>1239.01</v>
      </c>
      <c r="AK239">
        <f t="shared" si="135"/>
        <v>0</v>
      </c>
      <c r="AL239">
        <f t="shared" si="136"/>
        <v>0</v>
      </c>
      <c r="AM239">
        <f t="shared" si="137"/>
        <v>0</v>
      </c>
      <c r="AN239">
        <f t="shared" si="138"/>
        <v>0</v>
      </c>
      <c r="AO239">
        <f t="shared" si="139"/>
        <v>0</v>
      </c>
    </row>
    <row r="240" spans="1:41" x14ac:dyDescent="0.45">
      <c r="A240">
        <v>32.644527770000003</v>
      </c>
      <c r="B240">
        <v>120.0090823</v>
      </c>
      <c r="C240">
        <v>134.76608279999999</v>
      </c>
      <c r="D240">
        <v>0.38364699000000002</v>
      </c>
      <c r="E240">
        <f t="shared" si="105"/>
        <v>0.38364699000000002</v>
      </c>
      <c r="F240">
        <f t="shared" si="106"/>
        <v>0</v>
      </c>
      <c r="G240">
        <f t="shared" si="107"/>
        <v>0</v>
      </c>
      <c r="H240">
        <f t="shared" si="108"/>
        <v>0</v>
      </c>
      <c r="I240">
        <f t="shared" si="109"/>
        <v>0</v>
      </c>
      <c r="J240">
        <f t="shared" si="110"/>
        <v>0</v>
      </c>
      <c r="K240" s="1">
        <f t="shared" si="111"/>
        <v>0</v>
      </c>
      <c r="L240" s="1">
        <f t="shared" si="112"/>
        <v>0</v>
      </c>
      <c r="M240" s="1">
        <f t="shared" si="113"/>
        <v>0</v>
      </c>
      <c r="N240" s="1">
        <f t="shared" si="114"/>
        <v>0</v>
      </c>
      <c r="O240" s="1">
        <f t="shared" si="115"/>
        <v>0</v>
      </c>
      <c r="P240" s="1">
        <f t="shared" si="116"/>
        <v>25</v>
      </c>
      <c r="Q240" s="1" t="e">
        <f t="shared" si="117"/>
        <v>#DIV/0!</v>
      </c>
      <c r="R240" s="1" t="e">
        <f t="shared" si="118"/>
        <v>#DIV/0!</v>
      </c>
      <c r="S240" s="1" t="e">
        <f t="shared" si="119"/>
        <v>#DIV/0!</v>
      </c>
      <c r="T240" s="1" t="e">
        <f t="shared" si="120"/>
        <v>#DIV/0!</v>
      </c>
      <c r="U240" s="1" t="e">
        <f t="shared" si="121"/>
        <v>#DIV/0!</v>
      </c>
      <c r="V240">
        <f t="shared" si="122"/>
        <v>851.48</v>
      </c>
      <c r="W240">
        <f t="shared" si="123"/>
        <v>0</v>
      </c>
      <c r="X240">
        <f t="shared" si="124"/>
        <v>0</v>
      </c>
      <c r="Y240">
        <f t="shared" si="125"/>
        <v>0</v>
      </c>
      <c r="Z240">
        <f t="shared" si="126"/>
        <v>0</v>
      </c>
      <c r="AA240">
        <f t="shared" si="127"/>
        <v>0</v>
      </c>
      <c r="AC240">
        <f t="shared" si="128"/>
        <v>1045.25</v>
      </c>
      <c r="AD240">
        <f t="shared" si="129"/>
        <v>0</v>
      </c>
      <c r="AE240">
        <f t="shared" si="130"/>
        <v>0</v>
      </c>
      <c r="AF240">
        <f t="shared" si="131"/>
        <v>0</v>
      </c>
      <c r="AG240">
        <f t="shared" si="132"/>
        <v>0</v>
      </c>
      <c r="AH240">
        <f t="shared" si="133"/>
        <v>0</v>
      </c>
      <c r="AJ240">
        <f t="shared" si="134"/>
        <v>1239.01</v>
      </c>
      <c r="AK240">
        <f t="shared" si="135"/>
        <v>0</v>
      </c>
      <c r="AL240">
        <f t="shared" si="136"/>
        <v>0</v>
      </c>
      <c r="AM240">
        <f t="shared" si="137"/>
        <v>0</v>
      </c>
      <c r="AN240">
        <f t="shared" si="138"/>
        <v>0</v>
      </c>
      <c r="AO240">
        <f t="shared" si="139"/>
        <v>0</v>
      </c>
    </row>
    <row r="241" spans="1:41" x14ac:dyDescent="0.45">
      <c r="A241">
        <v>32.645893270000002</v>
      </c>
      <c r="B241">
        <v>112.9773465</v>
      </c>
      <c r="C241">
        <v>48.126995090000001</v>
      </c>
      <c r="D241">
        <v>1.39840996</v>
      </c>
      <c r="E241">
        <f t="shared" si="105"/>
        <v>1.39840996</v>
      </c>
      <c r="F241">
        <f t="shared" si="106"/>
        <v>0</v>
      </c>
      <c r="G241">
        <f t="shared" si="107"/>
        <v>0</v>
      </c>
      <c r="H241">
        <f t="shared" si="108"/>
        <v>0</v>
      </c>
      <c r="I241">
        <f t="shared" si="109"/>
        <v>0</v>
      </c>
      <c r="J241">
        <f t="shared" si="110"/>
        <v>0</v>
      </c>
      <c r="K241" s="1">
        <f t="shared" si="111"/>
        <v>0</v>
      </c>
      <c r="L241" s="1">
        <f t="shared" si="112"/>
        <v>0</v>
      </c>
      <c r="M241" s="1">
        <f t="shared" si="113"/>
        <v>0</v>
      </c>
      <c r="N241" s="1">
        <f t="shared" si="114"/>
        <v>0</v>
      </c>
      <c r="O241" s="1">
        <f t="shared" si="115"/>
        <v>0</v>
      </c>
      <c r="P241" s="1">
        <f t="shared" si="116"/>
        <v>25</v>
      </c>
      <c r="Q241" s="1" t="e">
        <f t="shared" si="117"/>
        <v>#DIV/0!</v>
      </c>
      <c r="R241" s="1" t="e">
        <f t="shared" si="118"/>
        <v>#DIV/0!</v>
      </c>
      <c r="S241" s="1" t="e">
        <f t="shared" si="119"/>
        <v>#DIV/0!</v>
      </c>
      <c r="T241" s="1" t="e">
        <f t="shared" si="120"/>
        <v>#DIV/0!</v>
      </c>
      <c r="U241" s="1" t="e">
        <f t="shared" si="121"/>
        <v>#DIV/0!</v>
      </c>
      <c r="V241">
        <f t="shared" si="122"/>
        <v>851.48</v>
      </c>
      <c r="W241">
        <f t="shared" si="123"/>
        <v>0</v>
      </c>
      <c r="X241">
        <f t="shared" si="124"/>
        <v>0</v>
      </c>
      <c r="Y241">
        <f t="shared" si="125"/>
        <v>0</v>
      </c>
      <c r="Z241">
        <f t="shared" si="126"/>
        <v>0</v>
      </c>
      <c r="AA241">
        <f t="shared" si="127"/>
        <v>0</v>
      </c>
      <c r="AC241">
        <f t="shared" si="128"/>
        <v>1045.25</v>
      </c>
      <c r="AD241">
        <f t="shared" si="129"/>
        <v>0</v>
      </c>
      <c r="AE241">
        <f t="shared" si="130"/>
        <v>0</v>
      </c>
      <c r="AF241">
        <f t="shared" si="131"/>
        <v>0</v>
      </c>
      <c r="AG241">
        <f t="shared" si="132"/>
        <v>0</v>
      </c>
      <c r="AH241">
        <f t="shared" si="133"/>
        <v>0</v>
      </c>
      <c r="AJ241">
        <f t="shared" si="134"/>
        <v>1239.01</v>
      </c>
      <c r="AK241">
        <f t="shared" si="135"/>
        <v>0</v>
      </c>
      <c r="AL241">
        <f t="shared" si="136"/>
        <v>0</v>
      </c>
      <c r="AM241">
        <f t="shared" si="137"/>
        <v>0</v>
      </c>
      <c r="AN241">
        <f t="shared" si="138"/>
        <v>0</v>
      </c>
      <c r="AO241">
        <f t="shared" si="139"/>
        <v>0</v>
      </c>
    </row>
    <row r="242" spans="1:41" x14ac:dyDescent="0.45">
      <c r="A242">
        <v>32.651121860000003</v>
      </c>
      <c r="B242">
        <v>119.95546469999999</v>
      </c>
      <c r="C242">
        <v>134.76608279999999</v>
      </c>
      <c r="D242">
        <v>1.05021298</v>
      </c>
      <c r="E242">
        <f t="shared" si="105"/>
        <v>1.05021298</v>
      </c>
      <c r="F242">
        <f t="shared" si="106"/>
        <v>0</v>
      </c>
      <c r="G242">
        <f t="shared" si="107"/>
        <v>0</v>
      </c>
      <c r="H242">
        <f t="shared" si="108"/>
        <v>0</v>
      </c>
      <c r="I242">
        <f t="shared" si="109"/>
        <v>0</v>
      </c>
      <c r="J242">
        <f t="shared" si="110"/>
        <v>0</v>
      </c>
      <c r="K242" s="1">
        <f t="shared" si="111"/>
        <v>0</v>
      </c>
      <c r="L242" s="1">
        <f t="shared" si="112"/>
        <v>0</v>
      </c>
      <c r="M242" s="1">
        <f t="shared" si="113"/>
        <v>0</v>
      </c>
      <c r="N242" s="1">
        <f t="shared" si="114"/>
        <v>0</v>
      </c>
      <c r="O242" s="1">
        <f t="shared" si="115"/>
        <v>0</v>
      </c>
      <c r="P242" s="1">
        <f t="shared" si="116"/>
        <v>25</v>
      </c>
      <c r="Q242" s="1" t="e">
        <f t="shared" si="117"/>
        <v>#DIV/0!</v>
      </c>
      <c r="R242" s="1" t="e">
        <f t="shared" si="118"/>
        <v>#DIV/0!</v>
      </c>
      <c r="S242" s="1" t="e">
        <f t="shared" si="119"/>
        <v>#DIV/0!</v>
      </c>
      <c r="T242" s="1" t="e">
        <f t="shared" si="120"/>
        <v>#DIV/0!</v>
      </c>
      <c r="U242" s="1" t="e">
        <f t="shared" si="121"/>
        <v>#DIV/0!</v>
      </c>
      <c r="V242">
        <f t="shared" si="122"/>
        <v>851.48</v>
      </c>
      <c r="W242">
        <f t="shared" si="123"/>
        <v>0</v>
      </c>
      <c r="X242">
        <f t="shared" si="124"/>
        <v>0</v>
      </c>
      <c r="Y242">
        <f t="shared" si="125"/>
        <v>0</v>
      </c>
      <c r="Z242">
        <f t="shared" si="126"/>
        <v>0</v>
      </c>
      <c r="AA242">
        <f t="shared" si="127"/>
        <v>0</v>
      </c>
      <c r="AC242">
        <f t="shared" si="128"/>
        <v>1045.25</v>
      </c>
      <c r="AD242">
        <f t="shared" si="129"/>
        <v>0</v>
      </c>
      <c r="AE242">
        <f t="shared" si="130"/>
        <v>0</v>
      </c>
      <c r="AF242">
        <f t="shared" si="131"/>
        <v>0</v>
      </c>
      <c r="AG242">
        <f t="shared" si="132"/>
        <v>0</v>
      </c>
      <c r="AH242">
        <f t="shared" si="133"/>
        <v>0</v>
      </c>
      <c r="AJ242">
        <f t="shared" si="134"/>
        <v>1239.01</v>
      </c>
      <c r="AK242">
        <f t="shared" si="135"/>
        <v>0</v>
      </c>
      <c r="AL242">
        <f t="shared" si="136"/>
        <v>0</v>
      </c>
      <c r="AM242">
        <f t="shared" si="137"/>
        <v>0</v>
      </c>
      <c r="AN242">
        <f t="shared" si="138"/>
        <v>0</v>
      </c>
      <c r="AO242">
        <f t="shared" si="139"/>
        <v>0</v>
      </c>
    </row>
    <row r="243" spans="1:41" x14ac:dyDescent="0.45">
      <c r="A243">
        <v>32.651187790000002</v>
      </c>
      <c r="B243">
        <v>119.5723299</v>
      </c>
      <c r="C243">
        <v>56.601669309999998</v>
      </c>
      <c r="D243">
        <v>1.07919097</v>
      </c>
      <c r="E243">
        <f t="shared" si="105"/>
        <v>1.07919097</v>
      </c>
      <c r="F243">
        <f t="shared" si="106"/>
        <v>0</v>
      </c>
      <c r="G243">
        <f t="shared" si="107"/>
        <v>0</v>
      </c>
      <c r="H243">
        <f t="shared" si="108"/>
        <v>0</v>
      </c>
      <c r="I243">
        <f t="shared" si="109"/>
        <v>0</v>
      </c>
      <c r="J243">
        <f t="shared" si="110"/>
        <v>0</v>
      </c>
      <c r="K243" s="1">
        <f t="shared" si="111"/>
        <v>0</v>
      </c>
      <c r="L243" s="1">
        <f t="shared" si="112"/>
        <v>0</v>
      </c>
      <c r="M243" s="1">
        <f t="shared" si="113"/>
        <v>0</v>
      </c>
      <c r="N243" s="1">
        <f t="shared" si="114"/>
        <v>0</v>
      </c>
      <c r="O243" s="1">
        <f t="shared" si="115"/>
        <v>0</v>
      </c>
      <c r="P243" s="1">
        <f t="shared" si="116"/>
        <v>25</v>
      </c>
      <c r="Q243" s="1" t="e">
        <f t="shared" si="117"/>
        <v>#DIV/0!</v>
      </c>
      <c r="R243" s="1" t="e">
        <f t="shared" si="118"/>
        <v>#DIV/0!</v>
      </c>
      <c r="S243" s="1" t="e">
        <f t="shared" si="119"/>
        <v>#DIV/0!</v>
      </c>
      <c r="T243" s="1" t="e">
        <f t="shared" si="120"/>
        <v>#DIV/0!</v>
      </c>
      <c r="U243" s="1" t="e">
        <f t="shared" si="121"/>
        <v>#DIV/0!</v>
      </c>
      <c r="V243">
        <f t="shared" si="122"/>
        <v>851.48</v>
      </c>
      <c r="W243">
        <f t="shared" si="123"/>
        <v>0</v>
      </c>
      <c r="X243">
        <f t="shared" si="124"/>
        <v>0</v>
      </c>
      <c r="Y243">
        <f t="shared" si="125"/>
        <v>0</v>
      </c>
      <c r="Z243">
        <f t="shared" si="126"/>
        <v>0</v>
      </c>
      <c r="AA243">
        <f t="shared" si="127"/>
        <v>0</v>
      </c>
      <c r="AC243">
        <f t="shared" si="128"/>
        <v>1045.25</v>
      </c>
      <c r="AD243">
        <f t="shared" si="129"/>
        <v>0</v>
      </c>
      <c r="AE243">
        <f t="shared" si="130"/>
        <v>0</v>
      </c>
      <c r="AF243">
        <f t="shared" si="131"/>
        <v>0</v>
      </c>
      <c r="AG243">
        <f t="shared" si="132"/>
        <v>0</v>
      </c>
      <c r="AH243">
        <f t="shared" si="133"/>
        <v>0</v>
      </c>
      <c r="AJ243">
        <f t="shared" si="134"/>
        <v>1239.01</v>
      </c>
      <c r="AK243">
        <f t="shared" si="135"/>
        <v>0</v>
      </c>
      <c r="AL243">
        <f t="shared" si="136"/>
        <v>0</v>
      </c>
      <c r="AM243">
        <f t="shared" si="137"/>
        <v>0</v>
      </c>
      <c r="AN243">
        <f t="shared" si="138"/>
        <v>0</v>
      </c>
      <c r="AO243">
        <f t="shared" si="139"/>
        <v>0</v>
      </c>
    </row>
    <row r="244" spans="1:41" x14ac:dyDescent="0.45">
      <c r="A244">
        <v>32.662070159999999</v>
      </c>
      <c r="B244">
        <v>112.7070957</v>
      </c>
      <c r="C244">
        <v>42.111118320000003</v>
      </c>
      <c r="D244">
        <v>0.58289301000000004</v>
      </c>
      <c r="E244">
        <f t="shared" si="105"/>
        <v>0.58289301000000004</v>
      </c>
      <c r="F244">
        <f t="shared" si="106"/>
        <v>0</v>
      </c>
      <c r="G244">
        <f t="shared" si="107"/>
        <v>0</v>
      </c>
      <c r="H244">
        <f t="shared" si="108"/>
        <v>0</v>
      </c>
      <c r="I244">
        <f t="shared" si="109"/>
        <v>0</v>
      </c>
      <c r="J244">
        <f t="shared" si="110"/>
        <v>0</v>
      </c>
      <c r="K244" s="1">
        <f t="shared" si="111"/>
        <v>0</v>
      </c>
      <c r="L244" s="1">
        <f t="shared" si="112"/>
        <v>0</v>
      </c>
      <c r="M244" s="1">
        <f t="shared" si="113"/>
        <v>0</v>
      </c>
      <c r="N244" s="1">
        <f t="shared" si="114"/>
        <v>0</v>
      </c>
      <c r="O244" s="1">
        <f t="shared" si="115"/>
        <v>0</v>
      </c>
      <c r="P244" s="1">
        <f t="shared" si="116"/>
        <v>25</v>
      </c>
      <c r="Q244" s="1" t="e">
        <f t="shared" si="117"/>
        <v>#DIV/0!</v>
      </c>
      <c r="R244" s="1" t="e">
        <f t="shared" si="118"/>
        <v>#DIV/0!</v>
      </c>
      <c r="S244" s="1" t="e">
        <f t="shared" si="119"/>
        <v>#DIV/0!</v>
      </c>
      <c r="T244" s="1" t="e">
        <f t="shared" si="120"/>
        <v>#DIV/0!</v>
      </c>
      <c r="U244" s="1" t="e">
        <f t="shared" si="121"/>
        <v>#DIV/0!</v>
      </c>
      <c r="V244">
        <f t="shared" si="122"/>
        <v>851.48</v>
      </c>
      <c r="W244">
        <f t="shared" si="123"/>
        <v>0</v>
      </c>
      <c r="X244">
        <f t="shared" si="124"/>
        <v>0</v>
      </c>
      <c r="Y244">
        <f t="shared" si="125"/>
        <v>0</v>
      </c>
      <c r="Z244">
        <f t="shared" si="126"/>
        <v>0</v>
      </c>
      <c r="AA244">
        <f t="shared" si="127"/>
        <v>0</v>
      </c>
      <c r="AC244">
        <f t="shared" si="128"/>
        <v>1045.25</v>
      </c>
      <c r="AD244">
        <f t="shared" si="129"/>
        <v>0</v>
      </c>
      <c r="AE244">
        <f t="shared" si="130"/>
        <v>0</v>
      </c>
      <c r="AF244">
        <f t="shared" si="131"/>
        <v>0</v>
      </c>
      <c r="AG244">
        <f t="shared" si="132"/>
        <v>0</v>
      </c>
      <c r="AH244">
        <f t="shared" si="133"/>
        <v>0</v>
      </c>
      <c r="AJ244">
        <f t="shared" si="134"/>
        <v>1239.01</v>
      </c>
      <c r="AK244">
        <f t="shared" si="135"/>
        <v>0</v>
      </c>
      <c r="AL244">
        <f t="shared" si="136"/>
        <v>0</v>
      </c>
      <c r="AM244">
        <f t="shared" si="137"/>
        <v>0</v>
      </c>
      <c r="AN244">
        <f t="shared" si="138"/>
        <v>0</v>
      </c>
      <c r="AO244">
        <f t="shared" si="139"/>
        <v>0</v>
      </c>
    </row>
    <row r="245" spans="1:41" x14ac:dyDescent="0.45">
      <c r="A245">
        <v>32.664234810000004</v>
      </c>
      <c r="B245">
        <v>119.8482035</v>
      </c>
      <c r="C245">
        <v>134.76608279999999</v>
      </c>
      <c r="D245">
        <v>0.147872</v>
      </c>
      <c r="E245">
        <f t="shared" si="105"/>
        <v>0.147872</v>
      </c>
      <c r="F245">
        <f t="shared" si="106"/>
        <v>0</v>
      </c>
      <c r="G245">
        <f t="shared" si="107"/>
        <v>0</v>
      </c>
      <c r="H245">
        <f t="shared" si="108"/>
        <v>0</v>
      </c>
      <c r="I245">
        <f t="shared" si="109"/>
        <v>0</v>
      </c>
      <c r="J245">
        <f t="shared" si="110"/>
        <v>0</v>
      </c>
      <c r="K245" s="1">
        <f t="shared" si="111"/>
        <v>0</v>
      </c>
      <c r="L245" s="1">
        <f t="shared" si="112"/>
        <v>0</v>
      </c>
      <c r="M245" s="1">
        <f t="shared" si="113"/>
        <v>0</v>
      </c>
      <c r="N245" s="1">
        <f t="shared" si="114"/>
        <v>0</v>
      </c>
      <c r="O245" s="1">
        <f t="shared" si="115"/>
        <v>0</v>
      </c>
      <c r="P245" s="1">
        <f t="shared" si="116"/>
        <v>25</v>
      </c>
      <c r="Q245" s="1" t="e">
        <f t="shared" si="117"/>
        <v>#DIV/0!</v>
      </c>
      <c r="R245" s="1" t="e">
        <f t="shared" si="118"/>
        <v>#DIV/0!</v>
      </c>
      <c r="S245" s="1" t="e">
        <f t="shared" si="119"/>
        <v>#DIV/0!</v>
      </c>
      <c r="T245" s="1" t="e">
        <f t="shared" si="120"/>
        <v>#DIV/0!</v>
      </c>
      <c r="U245" s="1" t="e">
        <f t="shared" si="121"/>
        <v>#DIV/0!</v>
      </c>
      <c r="V245">
        <f t="shared" si="122"/>
        <v>851.48</v>
      </c>
      <c r="W245">
        <f t="shared" si="123"/>
        <v>0</v>
      </c>
      <c r="X245">
        <f t="shared" si="124"/>
        <v>0</v>
      </c>
      <c r="Y245">
        <f t="shared" si="125"/>
        <v>0</v>
      </c>
      <c r="Z245">
        <f t="shared" si="126"/>
        <v>0</v>
      </c>
      <c r="AA245">
        <f t="shared" si="127"/>
        <v>0</v>
      </c>
      <c r="AC245">
        <f t="shared" si="128"/>
        <v>1045.25</v>
      </c>
      <c r="AD245">
        <f t="shared" si="129"/>
        <v>0</v>
      </c>
      <c r="AE245">
        <f t="shared" si="130"/>
        <v>0</v>
      </c>
      <c r="AF245">
        <f t="shared" si="131"/>
        <v>0</v>
      </c>
      <c r="AG245">
        <f t="shared" si="132"/>
        <v>0</v>
      </c>
      <c r="AH245">
        <f t="shared" si="133"/>
        <v>0</v>
      </c>
      <c r="AJ245">
        <f t="shared" si="134"/>
        <v>1239.01</v>
      </c>
      <c r="AK245">
        <f t="shared" si="135"/>
        <v>0</v>
      </c>
      <c r="AL245">
        <f t="shared" si="136"/>
        <v>0</v>
      </c>
      <c r="AM245">
        <f t="shared" si="137"/>
        <v>0</v>
      </c>
      <c r="AN245">
        <f t="shared" si="138"/>
        <v>0</v>
      </c>
      <c r="AO245">
        <f t="shared" si="139"/>
        <v>0</v>
      </c>
    </row>
    <row r="246" spans="1:41" x14ac:dyDescent="0.45">
      <c r="A246">
        <v>32.667851749999997</v>
      </c>
      <c r="B246">
        <v>120.56099330000001</v>
      </c>
      <c r="C246">
        <v>17.774396899999999</v>
      </c>
      <c r="D246">
        <v>0.12398199999999999</v>
      </c>
      <c r="E246">
        <f t="shared" si="105"/>
        <v>0.12398199999999999</v>
      </c>
      <c r="F246">
        <f t="shared" si="106"/>
        <v>0</v>
      </c>
      <c r="G246">
        <f t="shared" si="107"/>
        <v>0</v>
      </c>
      <c r="H246">
        <f t="shared" si="108"/>
        <v>0</v>
      </c>
      <c r="I246">
        <f t="shared" si="109"/>
        <v>0</v>
      </c>
      <c r="J246">
        <f t="shared" si="110"/>
        <v>0</v>
      </c>
      <c r="K246" s="1">
        <f t="shared" si="111"/>
        <v>0</v>
      </c>
      <c r="L246" s="1">
        <f t="shared" si="112"/>
        <v>0</v>
      </c>
      <c r="M246" s="1">
        <f t="shared" si="113"/>
        <v>0</v>
      </c>
      <c r="N246" s="1">
        <f t="shared" si="114"/>
        <v>0</v>
      </c>
      <c r="O246" s="1">
        <f t="shared" si="115"/>
        <v>0</v>
      </c>
      <c r="P246" s="1">
        <f t="shared" si="116"/>
        <v>25</v>
      </c>
      <c r="Q246" s="1" t="e">
        <f t="shared" si="117"/>
        <v>#DIV/0!</v>
      </c>
      <c r="R246" s="1" t="e">
        <f t="shared" si="118"/>
        <v>#DIV/0!</v>
      </c>
      <c r="S246" s="1" t="e">
        <f t="shared" si="119"/>
        <v>#DIV/0!</v>
      </c>
      <c r="T246" s="1" t="e">
        <f t="shared" si="120"/>
        <v>#DIV/0!</v>
      </c>
      <c r="U246" s="1" t="e">
        <f t="shared" si="121"/>
        <v>#DIV/0!</v>
      </c>
      <c r="V246">
        <f t="shared" si="122"/>
        <v>851.48</v>
      </c>
      <c r="W246">
        <f t="shared" si="123"/>
        <v>0</v>
      </c>
      <c r="X246">
        <f t="shared" si="124"/>
        <v>0</v>
      </c>
      <c r="Y246">
        <f t="shared" si="125"/>
        <v>0</v>
      </c>
      <c r="Z246">
        <f t="shared" si="126"/>
        <v>0</v>
      </c>
      <c r="AA246">
        <f t="shared" si="127"/>
        <v>0</v>
      </c>
      <c r="AC246">
        <f t="shared" si="128"/>
        <v>1045.25</v>
      </c>
      <c r="AD246">
        <f t="shared" si="129"/>
        <v>0</v>
      </c>
      <c r="AE246">
        <f t="shared" si="130"/>
        <v>0</v>
      </c>
      <c r="AF246">
        <f t="shared" si="131"/>
        <v>0</v>
      </c>
      <c r="AG246">
        <f t="shared" si="132"/>
        <v>0</v>
      </c>
      <c r="AH246">
        <f t="shared" si="133"/>
        <v>0</v>
      </c>
      <c r="AJ246">
        <f t="shared" si="134"/>
        <v>1239.01</v>
      </c>
      <c r="AK246">
        <f t="shared" si="135"/>
        <v>0</v>
      </c>
      <c r="AL246">
        <f t="shared" si="136"/>
        <v>0</v>
      </c>
      <c r="AM246">
        <f t="shared" si="137"/>
        <v>0</v>
      </c>
      <c r="AN246">
        <f t="shared" si="138"/>
        <v>0</v>
      </c>
      <c r="AO246">
        <f t="shared" si="139"/>
        <v>0</v>
      </c>
    </row>
    <row r="247" spans="1:41" x14ac:dyDescent="0.45">
      <c r="A247">
        <v>32.668362340000002</v>
      </c>
      <c r="B247">
        <v>112.5989658</v>
      </c>
      <c r="C247">
        <v>52.400897980000003</v>
      </c>
      <c r="D247">
        <v>1.3590209499999999</v>
      </c>
      <c r="E247">
        <f t="shared" si="105"/>
        <v>1.3590209499999999</v>
      </c>
      <c r="F247">
        <f t="shared" si="106"/>
        <v>0</v>
      </c>
      <c r="G247">
        <f t="shared" si="107"/>
        <v>0</v>
      </c>
      <c r="H247">
        <f t="shared" si="108"/>
        <v>0</v>
      </c>
      <c r="I247">
        <f t="shared" si="109"/>
        <v>0</v>
      </c>
      <c r="J247">
        <f t="shared" si="110"/>
        <v>0</v>
      </c>
      <c r="K247" s="1">
        <f t="shared" si="111"/>
        <v>0</v>
      </c>
      <c r="L247" s="1">
        <f t="shared" si="112"/>
        <v>0</v>
      </c>
      <c r="M247" s="1">
        <f t="shared" si="113"/>
        <v>0</v>
      </c>
      <c r="N247" s="1">
        <f t="shared" si="114"/>
        <v>0</v>
      </c>
      <c r="O247" s="1">
        <f t="shared" si="115"/>
        <v>0</v>
      </c>
      <c r="P247" s="1">
        <f t="shared" si="116"/>
        <v>25.000000000000004</v>
      </c>
      <c r="Q247" s="1" t="e">
        <f t="shared" si="117"/>
        <v>#DIV/0!</v>
      </c>
      <c r="R247" s="1" t="e">
        <f t="shared" si="118"/>
        <v>#DIV/0!</v>
      </c>
      <c r="S247" s="1" t="e">
        <f t="shared" si="119"/>
        <v>#DIV/0!</v>
      </c>
      <c r="T247" s="1" t="e">
        <f t="shared" si="120"/>
        <v>#DIV/0!</v>
      </c>
      <c r="U247" s="1" t="e">
        <f t="shared" si="121"/>
        <v>#DIV/0!</v>
      </c>
      <c r="V247">
        <f t="shared" si="122"/>
        <v>851.48000000000013</v>
      </c>
      <c r="W247">
        <f t="shared" si="123"/>
        <v>0</v>
      </c>
      <c r="X247">
        <f t="shared" si="124"/>
        <v>0</v>
      </c>
      <c r="Y247">
        <f t="shared" si="125"/>
        <v>0</v>
      </c>
      <c r="Z247">
        <f t="shared" si="126"/>
        <v>0</v>
      </c>
      <c r="AA247">
        <f t="shared" si="127"/>
        <v>0</v>
      </c>
      <c r="AC247">
        <f t="shared" si="128"/>
        <v>1045.25</v>
      </c>
      <c r="AD247">
        <f t="shared" si="129"/>
        <v>0</v>
      </c>
      <c r="AE247">
        <f t="shared" si="130"/>
        <v>0</v>
      </c>
      <c r="AF247">
        <f t="shared" si="131"/>
        <v>0</v>
      </c>
      <c r="AG247">
        <f t="shared" si="132"/>
        <v>0</v>
      </c>
      <c r="AH247">
        <f t="shared" si="133"/>
        <v>0</v>
      </c>
      <c r="AJ247">
        <f t="shared" si="134"/>
        <v>1239.0100000000002</v>
      </c>
      <c r="AK247">
        <f t="shared" si="135"/>
        <v>0</v>
      </c>
      <c r="AL247">
        <f t="shared" si="136"/>
        <v>0</v>
      </c>
      <c r="AM247">
        <f t="shared" si="137"/>
        <v>0</v>
      </c>
      <c r="AN247">
        <f t="shared" si="138"/>
        <v>0</v>
      </c>
      <c r="AO247">
        <f t="shared" si="139"/>
        <v>0</v>
      </c>
    </row>
    <row r="248" spans="1:41" x14ac:dyDescent="0.45">
      <c r="A248">
        <v>32.6699439</v>
      </c>
      <c r="B248">
        <v>120.1777835</v>
      </c>
      <c r="C248">
        <v>134.76608279999999</v>
      </c>
      <c r="D248">
        <v>0.22456300000000001</v>
      </c>
      <c r="E248">
        <f t="shared" si="105"/>
        <v>0.22456300000000001</v>
      </c>
      <c r="F248">
        <f t="shared" si="106"/>
        <v>0</v>
      </c>
      <c r="G248">
        <f t="shared" si="107"/>
        <v>0</v>
      </c>
      <c r="H248">
        <f t="shared" si="108"/>
        <v>0</v>
      </c>
      <c r="I248">
        <f t="shared" si="109"/>
        <v>0</v>
      </c>
      <c r="J248">
        <f t="shared" si="110"/>
        <v>0</v>
      </c>
      <c r="K248" s="1">
        <f t="shared" si="111"/>
        <v>0</v>
      </c>
      <c r="L248" s="1">
        <f t="shared" si="112"/>
        <v>0</v>
      </c>
      <c r="M248" s="1">
        <f t="shared" si="113"/>
        <v>0</v>
      </c>
      <c r="N248" s="1">
        <f t="shared" si="114"/>
        <v>0</v>
      </c>
      <c r="O248" s="1">
        <f t="shared" si="115"/>
        <v>0</v>
      </c>
      <c r="P248" s="1">
        <f t="shared" si="116"/>
        <v>25</v>
      </c>
      <c r="Q248" s="1" t="e">
        <f t="shared" si="117"/>
        <v>#DIV/0!</v>
      </c>
      <c r="R248" s="1" t="e">
        <f t="shared" si="118"/>
        <v>#DIV/0!</v>
      </c>
      <c r="S248" s="1" t="e">
        <f t="shared" si="119"/>
        <v>#DIV/0!</v>
      </c>
      <c r="T248" s="1" t="e">
        <f t="shared" si="120"/>
        <v>#DIV/0!</v>
      </c>
      <c r="U248" s="1" t="e">
        <f t="shared" si="121"/>
        <v>#DIV/0!</v>
      </c>
      <c r="V248">
        <f t="shared" si="122"/>
        <v>851.48</v>
      </c>
      <c r="W248">
        <f t="shared" si="123"/>
        <v>0</v>
      </c>
      <c r="X248">
        <f t="shared" si="124"/>
        <v>0</v>
      </c>
      <c r="Y248">
        <f t="shared" si="125"/>
        <v>0</v>
      </c>
      <c r="Z248">
        <f t="shared" si="126"/>
        <v>0</v>
      </c>
      <c r="AA248">
        <f t="shared" si="127"/>
        <v>0</v>
      </c>
      <c r="AC248">
        <f t="shared" si="128"/>
        <v>1045.25</v>
      </c>
      <c r="AD248">
        <f t="shared" si="129"/>
        <v>0</v>
      </c>
      <c r="AE248">
        <f t="shared" si="130"/>
        <v>0</v>
      </c>
      <c r="AF248">
        <f t="shared" si="131"/>
        <v>0</v>
      </c>
      <c r="AG248">
        <f t="shared" si="132"/>
        <v>0</v>
      </c>
      <c r="AH248">
        <f t="shared" si="133"/>
        <v>0</v>
      </c>
      <c r="AJ248">
        <f t="shared" si="134"/>
        <v>1239.01</v>
      </c>
      <c r="AK248">
        <f t="shared" si="135"/>
        <v>0</v>
      </c>
      <c r="AL248">
        <f t="shared" si="136"/>
        <v>0</v>
      </c>
      <c r="AM248">
        <f t="shared" si="137"/>
        <v>0</v>
      </c>
      <c r="AN248">
        <f t="shared" si="138"/>
        <v>0</v>
      </c>
      <c r="AO248">
        <f t="shared" si="139"/>
        <v>0</v>
      </c>
    </row>
    <row r="249" spans="1:41" x14ac:dyDescent="0.45">
      <c r="A249">
        <v>32.67478947</v>
      </c>
      <c r="B249">
        <v>113.2515401</v>
      </c>
      <c r="C249">
        <v>42.111118320000003</v>
      </c>
      <c r="D249">
        <v>3.3510620599999998</v>
      </c>
      <c r="E249">
        <f t="shared" si="105"/>
        <v>3.3510620599999998</v>
      </c>
      <c r="F249">
        <f t="shared" si="106"/>
        <v>0</v>
      </c>
      <c r="G249">
        <f t="shared" si="107"/>
        <v>0</v>
      </c>
      <c r="H249">
        <f t="shared" si="108"/>
        <v>0</v>
      </c>
      <c r="I249">
        <f t="shared" si="109"/>
        <v>0</v>
      </c>
      <c r="J249">
        <f t="shared" si="110"/>
        <v>0</v>
      </c>
      <c r="K249" s="1">
        <f t="shared" si="111"/>
        <v>0</v>
      </c>
      <c r="L249" s="1">
        <f t="shared" si="112"/>
        <v>0</v>
      </c>
      <c r="M249" s="1">
        <f t="shared" si="113"/>
        <v>0</v>
      </c>
      <c r="N249" s="1">
        <f t="shared" si="114"/>
        <v>0</v>
      </c>
      <c r="O249" s="1">
        <f t="shared" si="115"/>
        <v>0</v>
      </c>
      <c r="P249" s="1">
        <f t="shared" si="116"/>
        <v>25</v>
      </c>
      <c r="Q249" s="1" t="e">
        <f t="shared" si="117"/>
        <v>#DIV/0!</v>
      </c>
      <c r="R249" s="1" t="e">
        <f t="shared" si="118"/>
        <v>#DIV/0!</v>
      </c>
      <c r="S249" s="1" t="e">
        <f t="shared" si="119"/>
        <v>#DIV/0!</v>
      </c>
      <c r="T249" s="1" t="e">
        <f t="shared" si="120"/>
        <v>#DIV/0!</v>
      </c>
      <c r="U249" s="1" t="e">
        <f t="shared" si="121"/>
        <v>#DIV/0!</v>
      </c>
      <c r="V249">
        <f t="shared" si="122"/>
        <v>851.48</v>
      </c>
      <c r="W249">
        <f t="shared" si="123"/>
        <v>0</v>
      </c>
      <c r="X249">
        <f t="shared" si="124"/>
        <v>0</v>
      </c>
      <c r="Y249">
        <f t="shared" si="125"/>
        <v>0</v>
      </c>
      <c r="Z249">
        <f t="shared" si="126"/>
        <v>0</v>
      </c>
      <c r="AA249">
        <f t="shared" si="127"/>
        <v>0</v>
      </c>
      <c r="AC249">
        <f t="shared" si="128"/>
        <v>1045.25</v>
      </c>
      <c r="AD249">
        <f t="shared" si="129"/>
        <v>0</v>
      </c>
      <c r="AE249">
        <f t="shared" si="130"/>
        <v>0</v>
      </c>
      <c r="AF249">
        <f t="shared" si="131"/>
        <v>0</v>
      </c>
      <c r="AG249">
        <f t="shared" si="132"/>
        <v>0</v>
      </c>
      <c r="AH249">
        <f t="shared" si="133"/>
        <v>0</v>
      </c>
      <c r="AJ249">
        <f t="shared" si="134"/>
        <v>1239.01</v>
      </c>
      <c r="AK249">
        <f t="shared" si="135"/>
        <v>0</v>
      </c>
      <c r="AL249">
        <f t="shared" si="136"/>
        <v>0</v>
      </c>
      <c r="AM249">
        <f t="shared" si="137"/>
        <v>0</v>
      </c>
      <c r="AN249">
        <f t="shared" si="138"/>
        <v>0</v>
      </c>
      <c r="AO249">
        <f t="shared" si="139"/>
        <v>0</v>
      </c>
    </row>
    <row r="250" spans="1:41" x14ac:dyDescent="0.45">
      <c r="A250">
        <v>32.676595140000003</v>
      </c>
      <c r="B250">
        <v>119.35765360000001</v>
      </c>
      <c r="C250">
        <v>40.306919100000002</v>
      </c>
      <c r="D250">
        <v>0.687388</v>
      </c>
      <c r="E250">
        <f t="shared" si="105"/>
        <v>0.687388</v>
      </c>
      <c r="F250">
        <f t="shared" si="106"/>
        <v>0</v>
      </c>
      <c r="G250">
        <f t="shared" si="107"/>
        <v>0</v>
      </c>
      <c r="H250">
        <f t="shared" si="108"/>
        <v>0</v>
      </c>
      <c r="I250">
        <f t="shared" si="109"/>
        <v>0</v>
      </c>
      <c r="J250">
        <f t="shared" si="110"/>
        <v>0</v>
      </c>
      <c r="K250" s="1">
        <f t="shared" si="111"/>
        <v>0</v>
      </c>
      <c r="L250" s="1">
        <f t="shared" si="112"/>
        <v>0</v>
      </c>
      <c r="M250" s="1">
        <f t="shared" si="113"/>
        <v>0</v>
      </c>
      <c r="N250" s="1">
        <f t="shared" si="114"/>
        <v>0</v>
      </c>
      <c r="O250" s="1">
        <f t="shared" si="115"/>
        <v>0</v>
      </c>
      <c r="P250" s="1">
        <f t="shared" si="116"/>
        <v>25</v>
      </c>
      <c r="Q250" s="1" t="e">
        <f t="shared" si="117"/>
        <v>#DIV/0!</v>
      </c>
      <c r="R250" s="1" t="e">
        <f t="shared" si="118"/>
        <v>#DIV/0!</v>
      </c>
      <c r="S250" s="1" t="e">
        <f t="shared" si="119"/>
        <v>#DIV/0!</v>
      </c>
      <c r="T250" s="1" t="e">
        <f t="shared" si="120"/>
        <v>#DIV/0!</v>
      </c>
      <c r="U250" s="1" t="e">
        <f t="shared" si="121"/>
        <v>#DIV/0!</v>
      </c>
      <c r="V250">
        <f t="shared" si="122"/>
        <v>851.48</v>
      </c>
      <c r="W250">
        <f t="shared" si="123"/>
        <v>0</v>
      </c>
      <c r="X250">
        <f t="shared" si="124"/>
        <v>0</v>
      </c>
      <c r="Y250">
        <f t="shared" si="125"/>
        <v>0</v>
      </c>
      <c r="Z250">
        <f t="shared" si="126"/>
        <v>0</v>
      </c>
      <c r="AA250">
        <f t="shared" si="127"/>
        <v>0</v>
      </c>
      <c r="AC250">
        <f t="shared" si="128"/>
        <v>1045.25</v>
      </c>
      <c r="AD250">
        <f t="shared" si="129"/>
        <v>0</v>
      </c>
      <c r="AE250">
        <f t="shared" si="130"/>
        <v>0</v>
      </c>
      <c r="AF250">
        <f t="shared" si="131"/>
        <v>0</v>
      </c>
      <c r="AG250">
        <f t="shared" si="132"/>
        <v>0</v>
      </c>
      <c r="AH250">
        <f t="shared" si="133"/>
        <v>0</v>
      </c>
      <c r="AJ250">
        <f t="shared" si="134"/>
        <v>1239.01</v>
      </c>
      <c r="AK250">
        <f t="shared" si="135"/>
        <v>0</v>
      </c>
      <c r="AL250">
        <f t="shared" si="136"/>
        <v>0</v>
      </c>
      <c r="AM250">
        <f t="shared" si="137"/>
        <v>0</v>
      </c>
      <c r="AN250">
        <f t="shared" si="138"/>
        <v>0</v>
      </c>
      <c r="AO250">
        <f t="shared" si="139"/>
        <v>0</v>
      </c>
    </row>
    <row r="251" spans="1:41" x14ac:dyDescent="0.45">
      <c r="A251">
        <v>32.677247399999999</v>
      </c>
      <c r="B251">
        <v>119.74090820000001</v>
      </c>
      <c r="C251">
        <v>134.76608279999999</v>
      </c>
      <c r="D251">
        <v>1.2693690099999999</v>
      </c>
      <c r="E251">
        <f t="shared" si="105"/>
        <v>1.2693690099999999</v>
      </c>
      <c r="F251">
        <f t="shared" si="106"/>
        <v>0</v>
      </c>
      <c r="G251">
        <f t="shared" si="107"/>
        <v>0</v>
      </c>
      <c r="H251">
        <f t="shared" si="108"/>
        <v>0</v>
      </c>
      <c r="I251">
        <f t="shared" si="109"/>
        <v>0</v>
      </c>
      <c r="J251">
        <f t="shared" si="110"/>
        <v>0</v>
      </c>
      <c r="K251" s="1">
        <f t="shared" si="111"/>
        <v>0</v>
      </c>
      <c r="L251" s="1">
        <f t="shared" si="112"/>
        <v>0</v>
      </c>
      <c r="M251" s="1">
        <f t="shared" si="113"/>
        <v>0</v>
      </c>
      <c r="N251" s="1">
        <f t="shared" si="114"/>
        <v>0</v>
      </c>
      <c r="O251" s="1">
        <f t="shared" si="115"/>
        <v>0</v>
      </c>
      <c r="P251" s="1">
        <f t="shared" si="116"/>
        <v>25</v>
      </c>
      <c r="Q251" s="1" t="e">
        <f t="shared" si="117"/>
        <v>#DIV/0!</v>
      </c>
      <c r="R251" s="1" t="e">
        <f t="shared" si="118"/>
        <v>#DIV/0!</v>
      </c>
      <c r="S251" s="1" t="e">
        <f t="shared" si="119"/>
        <v>#DIV/0!</v>
      </c>
      <c r="T251" s="1" t="e">
        <f t="shared" si="120"/>
        <v>#DIV/0!</v>
      </c>
      <c r="U251" s="1" t="e">
        <f t="shared" si="121"/>
        <v>#DIV/0!</v>
      </c>
      <c r="V251">
        <f t="shared" si="122"/>
        <v>851.48</v>
      </c>
      <c r="W251">
        <f t="shared" si="123"/>
        <v>0</v>
      </c>
      <c r="X251">
        <f t="shared" si="124"/>
        <v>0</v>
      </c>
      <c r="Y251">
        <f t="shared" si="125"/>
        <v>0</v>
      </c>
      <c r="Z251">
        <f t="shared" si="126"/>
        <v>0</v>
      </c>
      <c r="AA251">
        <f t="shared" si="127"/>
        <v>0</v>
      </c>
      <c r="AC251">
        <f t="shared" si="128"/>
        <v>1045.25</v>
      </c>
      <c r="AD251">
        <f t="shared" si="129"/>
        <v>0</v>
      </c>
      <c r="AE251">
        <f t="shared" si="130"/>
        <v>0</v>
      </c>
      <c r="AF251">
        <f t="shared" si="131"/>
        <v>0</v>
      </c>
      <c r="AG251">
        <f t="shared" si="132"/>
        <v>0</v>
      </c>
      <c r="AH251">
        <f t="shared" si="133"/>
        <v>0</v>
      </c>
      <c r="AJ251">
        <f t="shared" si="134"/>
        <v>1239.01</v>
      </c>
      <c r="AK251">
        <f t="shared" si="135"/>
        <v>0</v>
      </c>
      <c r="AL251">
        <f t="shared" si="136"/>
        <v>0</v>
      </c>
      <c r="AM251">
        <f t="shared" si="137"/>
        <v>0</v>
      </c>
      <c r="AN251">
        <f t="shared" si="138"/>
        <v>0</v>
      </c>
      <c r="AO251">
        <f t="shared" si="139"/>
        <v>0</v>
      </c>
    </row>
    <row r="252" spans="1:41" x14ac:dyDescent="0.45">
      <c r="A252">
        <v>32.68159575</v>
      </c>
      <c r="B252">
        <v>113.1434367</v>
      </c>
      <c r="C252">
        <v>42.111118320000003</v>
      </c>
      <c r="D252">
        <v>0.11136799999999999</v>
      </c>
      <c r="E252">
        <f t="shared" si="105"/>
        <v>0.11136799999999999</v>
      </c>
      <c r="F252">
        <f t="shared" si="106"/>
        <v>0</v>
      </c>
      <c r="G252">
        <f t="shared" si="107"/>
        <v>0</v>
      </c>
      <c r="H252">
        <f t="shared" si="108"/>
        <v>0</v>
      </c>
      <c r="I252">
        <f t="shared" si="109"/>
        <v>0</v>
      </c>
      <c r="J252">
        <f t="shared" si="110"/>
        <v>0</v>
      </c>
      <c r="K252" s="1">
        <f t="shared" si="111"/>
        <v>0</v>
      </c>
      <c r="L252" s="1">
        <f t="shared" si="112"/>
        <v>0</v>
      </c>
      <c r="M252" s="1">
        <f t="shared" si="113"/>
        <v>0</v>
      </c>
      <c r="N252" s="1">
        <f t="shared" si="114"/>
        <v>0</v>
      </c>
      <c r="O252" s="1">
        <f t="shared" si="115"/>
        <v>0</v>
      </c>
      <c r="P252" s="1">
        <f t="shared" si="116"/>
        <v>25</v>
      </c>
      <c r="Q252" s="1" t="e">
        <f t="shared" si="117"/>
        <v>#DIV/0!</v>
      </c>
      <c r="R252" s="1" t="e">
        <f t="shared" si="118"/>
        <v>#DIV/0!</v>
      </c>
      <c r="S252" s="1" t="e">
        <f t="shared" si="119"/>
        <v>#DIV/0!</v>
      </c>
      <c r="T252" s="1" t="e">
        <f t="shared" si="120"/>
        <v>#DIV/0!</v>
      </c>
      <c r="U252" s="1" t="e">
        <f t="shared" si="121"/>
        <v>#DIV/0!</v>
      </c>
      <c r="V252">
        <f t="shared" si="122"/>
        <v>851.48</v>
      </c>
      <c r="W252">
        <f t="shared" si="123"/>
        <v>0</v>
      </c>
      <c r="X252">
        <f t="shared" si="124"/>
        <v>0</v>
      </c>
      <c r="Y252">
        <f t="shared" si="125"/>
        <v>0</v>
      </c>
      <c r="Z252">
        <f t="shared" si="126"/>
        <v>0</v>
      </c>
      <c r="AA252">
        <f t="shared" si="127"/>
        <v>0</v>
      </c>
      <c r="AC252">
        <f t="shared" si="128"/>
        <v>1045.25</v>
      </c>
      <c r="AD252">
        <f t="shared" si="129"/>
        <v>0</v>
      </c>
      <c r="AE252">
        <f t="shared" si="130"/>
        <v>0</v>
      </c>
      <c r="AF252">
        <f t="shared" si="131"/>
        <v>0</v>
      </c>
      <c r="AG252">
        <f t="shared" si="132"/>
        <v>0</v>
      </c>
      <c r="AH252">
        <f t="shared" si="133"/>
        <v>0</v>
      </c>
      <c r="AJ252">
        <f t="shared" si="134"/>
        <v>1239.01</v>
      </c>
      <c r="AK252">
        <f t="shared" si="135"/>
        <v>0</v>
      </c>
      <c r="AL252">
        <f t="shared" si="136"/>
        <v>0</v>
      </c>
      <c r="AM252">
        <f t="shared" si="137"/>
        <v>0</v>
      </c>
      <c r="AN252">
        <f t="shared" si="138"/>
        <v>0</v>
      </c>
      <c r="AO252">
        <f t="shared" si="139"/>
        <v>0</v>
      </c>
    </row>
    <row r="253" spans="1:41" x14ac:dyDescent="0.45">
      <c r="A253">
        <v>32.683265300000002</v>
      </c>
      <c r="B253">
        <v>120.0705334</v>
      </c>
      <c r="C253">
        <v>134.76608279999999</v>
      </c>
      <c r="D253">
        <v>1.3656350399999999</v>
      </c>
      <c r="E253">
        <f t="shared" si="105"/>
        <v>1.3656350399999999</v>
      </c>
      <c r="F253">
        <f t="shared" si="106"/>
        <v>0</v>
      </c>
      <c r="G253">
        <f t="shared" si="107"/>
        <v>0</v>
      </c>
      <c r="H253">
        <f t="shared" si="108"/>
        <v>0</v>
      </c>
      <c r="I253">
        <f t="shared" si="109"/>
        <v>0</v>
      </c>
      <c r="J253">
        <f t="shared" si="110"/>
        <v>0</v>
      </c>
      <c r="K253" s="1">
        <f t="shared" si="111"/>
        <v>0</v>
      </c>
      <c r="L253" s="1">
        <f t="shared" si="112"/>
        <v>0</v>
      </c>
      <c r="M253" s="1">
        <f t="shared" si="113"/>
        <v>0</v>
      </c>
      <c r="N253" s="1">
        <f t="shared" si="114"/>
        <v>0</v>
      </c>
      <c r="O253" s="1">
        <f t="shared" si="115"/>
        <v>0</v>
      </c>
      <c r="P253" s="1">
        <f t="shared" si="116"/>
        <v>25</v>
      </c>
      <c r="Q253" s="1" t="e">
        <f t="shared" si="117"/>
        <v>#DIV/0!</v>
      </c>
      <c r="R253" s="1" t="e">
        <f t="shared" si="118"/>
        <v>#DIV/0!</v>
      </c>
      <c r="S253" s="1" t="e">
        <f t="shared" si="119"/>
        <v>#DIV/0!</v>
      </c>
      <c r="T253" s="1" t="e">
        <f t="shared" si="120"/>
        <v>#DIV/0!</v>
      </c>
      <c r="U253" s="1" t="e">
        <f t="shared" si="121"/>
        <v>#DIV/0!</v>
      </c>
      <c r="V253">
        <f t="shared" si="122"/>
        <v>851.48</v>
      </c>
      <c r="W253">
        <f t="shared" si="123"/>
        <v>0</v>
      </c>
      <c r="X253">
        <f t="shared" si="124"/>
        <v>0</v>
      </c>
      <c r="Y253">
        <f t="shared" si="125"/>
        <v>0</v>
      </c>
      <c r="Z253">
        <f t="shared" si="126"/>
        <v>0</v>
      </c>
      <c r="AA253">
        <f t="shared" si="127"/>
        <v>0</v>
      </c>
      <c r="AC253">
        <f t="shared" si="128"/>
        <v>1045.25</v>
      </c>
      <c r="AD253">
        <f t="shared" si="129"/>
        <v>0</v>
      </c>
      <c r="AE253">
        <f t="shared" si="130"/>
        <v>0</v>
      </c>
      <c r="AF253">
        <f t="shared" si="131"/>
        <v>0</v>
      </c>
      <c r="AG253">
        <f t="shared" si="132"/>
        <v>0</v>
      </c>
      <c r="AH253">
        <f t="shared" si="133"/>
        <v>0</v>
      </c>
      <c r="AJ253">
        <f t="shared" si="134"/>
        <v>1239.01</v>
      </c>
      <c r="AK253">
        <f t="shared" si="135"/>
        <v>0</v>
      </c>
      <c r="AL253">
        <f t="shared" si="136"/>
        <v>0</v>
      </c>
      <c r="AM253">
        <f t="shared" si="137"/>
        <v>0</v>
      </c>
      <c r="AN253">
        <f t="shared" si="138"/>
        <v>0</v>
      </c>
      <c r="AO253">
        <f t="shared" si="139"/>
        <v>0</v>
      </c>
    </row>
    <row r="254" spans="1:41" x14ac:dyDescent="0.45">
      <c r="A254">
        <v>32.684960629999999</v>
      </c>
      <c r="B254">
        <v>113.0893782</v>
      </c>
      <c r="C254">
        <v>42.111118320000003</v>
      </c>
      <c r="D254">
        <v>5.1857371299999997</v>
      </c>
      <c r="E254">
        <f t="shared" si="105"/>
        <v>5.1857371299999997</v>
      </c>
      <c r="F254">
        <f t="shared" si="106"/>
        <v>0</v>
      </c>
      <c r="G254">
        <f t="shared" si="107"/>
        <v>0</v>
      </c>
      <c r="H254">
        <f t="shared" si="108"/>
        <v>0</v>
      </c>
      <c r="I254">
        <f t="shared" si="109"/>
        <v>0</v>
      </c>
      <c r="J254">
        <f t="shared" si="110"/>
        <v>0</v>
      </c>
      <c r="K254" s="1">
        <f t="shared" si="111"/>
        <v>0</v>
      </c>
      <c r="L254" s="1">
        <f t="shared" si="112"/>
        <v>0</v>
      </c>
      <c r="M254" s="1">
        <f t="shared" si="113"/>
        <v>0</v>
      </c>
      <c r="N254" s="1">
        <f t="shared" si="114"/>
        <v>0</v>
      </c>
      <c r="O254" s="1">
        <f t="shared" si="115"/>
        <v>0</v>
      </c>
      <c r="P254" s="1">
        <f t="shared" si="116"/>
        <v>25</v>
      </c>
      <c r="Q254" s="1" t="e">
        <f t="shared" si="117"/>
        <v>#DIV/0!</v>
      </c>
      <c r="R254" s="1" t="e">
        <f t="shared" si="118"/>
        <v>#DIV/0!</v>
      </c>
      <c r="S254" s="1" t="e">
        <f t="shared" si="119"/>
        <v>#DIV/0!</v>
      </c>
      <c r="T254" s="1" t="e">
        <f t="shared" si="120"/>
        <v>#DIV/0!</v>
      </c>
      <c r="U254" s="1" t="e">
        <f t="shared" si="121"/>
        <v>#DIV/0!</v>
      </c>
      <c r="V254">
        <f t="shared" si="122"/>
        <v>851.48</v>
      </c>
      <c r="W254">
        <f t="shared" si="123"/>
        <v>0</v>
      </c>
      <c r="X254">
        <f t="shared" si="124"/>
        <v>0</v>
      </c>
      <c r="Y254">
        <f t="shared" si="125"/>
        <v>0</v>
      </c>
      <c r="Z254">
        <f t="shared" si="126"/>
        <v>0</v>
      </c>
      <c r="AA254">
        <f t="shared" si="127"/>
        <v>0</v>
      </c>
      <c r="AC254">
        <f t="shared" si="128"/>
        <v>1045.25</v>
      </c>
      <c r="AD254">
        <f t="shared" si="129"/>
        <v>0</v>
      </c>
      <c r="AE254">
        <f t="shared" si="130"/>
        <v>0</v>
      </c>
      <c r="AF254">
        <f t="shared" si="131"/>
        <v>0</v>
      </c>
      <c r="AG254">
        <f t="shared" si="132"/>
        <v>0</v>
      </c>
      <c r="AH254">
        <f t="shared" si="133"/>
        <v>0</v>
      </c>
      <c r="AJ254">
        <f t="shared" si="134"/>
        <v>1239.01</v>
      </c>
      <c r="AK254">
        <f t="shared" si="135"/>
        <v>0</v>
      </c>
      <c r="AL254">
        <f t="shared" si="136"/>
        <v>0</v>
      </c>
      <c r="AM254">
        <f t="shared" si="137"/>
        <v>0</v>
      </c>
      <c r="AN254">
        <f t="shared" si="138"/>
        <v>0</v>
      </c>
      <c r="AO254">
        <f t="shared" si="139"/>
        <v>0</v>
      </c>
    </row>
    <row r="255" spans="1:41" x14ac:dyDescent="0.45">
      <c r="A255">
        <v>32.696578029999998</v>
      </c>
      <c r="B255">
        <v>119.5799016</v>
      </c>
      <c r="C255">
        <v>17.315341950000001</v>
      </c>
      <c r="D255">
        <v>5.2894067800000002</v>
      </c>
      <c r="E255">
        <f t="shared" si="105"/>
        <v>5.2894067800000002</v>
      </c>
      <c r="F255">
        <f t="shared" si="106"/>
        <v>0</v>
      </c>
      <c r="G255">
        <f t="shared" si="107"/>
        <v>0</v>
      </c>
      <c r="H255">
        <f t="shared" si="108"/>
        <v>0</v>
      </c>
      <c r="I255">
        <f t="shared" si="109"/>
        <v>0</v>
      </c>
      <c r="J255">
        <f t="shared" si="110"/>
        <v>0</v>
      </c>
      <c r="K255" s="1">
        <f t="shared" si="111"/>
        <v>0</v>
      </c>
      <c r="L255" s="1">
        <f t="shared" si="112"/>
        <v>0</v>
      </c>
      <c r="M255" s="1">
        <f t="shared" si="113"/>
        <v>0</v>
      </c>
      <c r="N255" s="1">
        <f t="shared" si="114"/>
        <v>0</v>
      </c>
      <c r="O255" s="1">
        <f t="shared" si="115"/>
        <v>0</v>
      </c>
      <c r="P255" s="1">
        <f t="shared" si="116"/>
        <v>25</v>
      </c>
      <c r="Q255" s="1" t="e">
        <f t="shared" si="117"/>
        <v>#DIV/0!</v>
      </c>
      <c r="R255" s="1" t="e">
        <f t="shared" si="118"/>
        <v>#DIV/0!</v>
      </c>
      <c r="S255" s="1" t="e">
        <f t="shared" si="119"/>
        <v>#DIV/0!</v>
      </c>
      <c r="T255" s="1" t="e">
        <f t="shared" si="120"/>
        <v>#DIV/0!</v>
      </c>
      <c r="U255" s="1" t="e">
        <f t="shared" si="121"/>
        <v>#DIV/0!</v>
      </c>
      <c r="V255">
        <f t="shared" si="122"/>
        <v>851.48</v>
      </c>
      <c r="W255">
        <f t="shared" si="123"/>
        <v>0</v>
      </c>
      <c r="X255">
        <f t="shared" si="124"/>
        <v>0</v>
      </c>
      <c r="Y255">
        <f t="shared" si="125"/>
        <v>0</v>
      </c>
      <c r="Z255">
        <f t="shared" si="126"/>
        <v>0</v>
      </c>
      <c r="AA255">
        <f t="shared" si="127"/>
        <v>0</v>
      </c>
      <c r="AC255">
        <f t="shared" si="128"/>
        <v>1045.25</v>
      </c>
      <c r="AD255">
        <f t="shared" si="129"/>
        <v>0</v>
      </c>
      <c r="AE255">
        <f t="shared" si="130"/>
        <v>0</v>
      </c>
      <c r="AF255">
        <f t="shared" si="131"/>
        <v>0</v>
      </c>
      <c r="AG255">
        <f t="shared" si="132"/>
        <v>0</v>
      </c>
      <c r="AH255">
        <f t="shared" si="133"/>
        <v>0</v>
      </c>
      <c r="AJ255">
        <f t="shared" si="134"/>
        <v>1239.01</v>
      </c>
      <c r="AK255">
        <f t="shared" si="135"/>
        <v>0</v>
      </c>
      <c r="AL255">
        <f t="shared" si="136"/>
        <v>0</v>
      </c>
      <c r="AM255">
        <f t="shared" si="137"/>
        <v>0</v>
      </c>
      <c r="AN255">
        <f t="shared" si="138"/>
        <v>0</v>
      </c>
      <c r="AO255">
        <f t="shared" si="139"/>
        <v>0</v>
      </c>
    </row>
    <row r="256" spans="1:41" x14ac:dyDescent="0.45">
      <c r="A256">
        <v>32.708591689999999</v>
      </c>
      <c r="B256">
        <v>120.23933340000001</v>
      </c>
      <c r="C256">
        <v>134.76608279999999</v>
      </c>
      <c r="D256">
        <v>0.110794</v>
      </c>
      <c r="E256">
        <f t="shared" si="105"/>
        <v>0.110794</v>
      </c>
      <c r="F256">
        <f t="shared" si="106"/>
        <v>0</v>
      </c>
      <c r="G256">
        <f t="shared" si="107"/>
        <v>0</v>
      </c>
      <c r="H256">
        <f t="shared" si="108"/>
        <v>0</v>
      </c>
      <c r="I256">
        <f t="shared" si="109"/>
        <v>0</v>
      </c>
      <c r="J256">
        <f t="shared" si="110"/>
        <v>0</v>
      </c>
      <c r="K256" s="1">
        <f t="shared" si="111"/>
        <v>0</v>
      </c>
      <c r="L256" s="1">
        <f t="shared" si="112"/>
        <v>0</v>
      </c>
      <c r="M256" s="1">
        <f t="shared" si="113"/>
        <v>0</v>
      </c>
      <c r="N256" s="1">
        <f t="shared" si="114"/>
        <v>0</v>
      </c>
      <c r="O256" s="1">
        <f t="shared" si="115"/>
        <v>0</v>
      </c>
      <c r="P256" s="1">
        <f t="shared" si="116"/>
        <v>25</v>
      </c>
      <c r="Q256" s="1" t="e">
        <f t="shared" si="117"/>
        <v>#DIV/0!</v>
      </c>
      <c r="R256" s="1" t="e">
        <f t="shared" si="118"/>
        <v>#DIV/0!</v>
      </c>
      <c r="S256" s="1" t="e">
        <f t="shared" si="119"/>
        <v>#DIV/0!</v>
      </c>
      <c r="T256" s="1" t="e">
        <f t="shared" si="120"/>
        <v>#DIV/0!</v>
      </c>
      <c r="U256" s="1" t="e">
        <f t="shared" si="121"/>
        <v>#DIV/0!</v>
      </c>
      <c r="V256">
        <f t="shared" si="122"/>
        <v>851.48</v>
      </c>
      <c r="W256">
        <f t="shared" si="123"/>
        <v>0</v>
      </c>
      <c r="X256">
        <f t="shared" si="124"/>
        <v>0</v>
      </c>
      <c r="Y256">
        <f t="shared" si="125"/>
        <v>0</v>
      </c>
      <c r="Z256">
        <f t="shared" si="126"/>
        <v>0</v>
      </c>
      <c r="AA256">
        <f t="shared" si="127"/>
        <v>0</v>
      </c>
      <c r="AC256">
        <f t="shared" si="128"/>
        <v>1045.25</v>
      </c>
      <c r="AD256">
        <f t="shared" si="129"/>
        <v>0</v>
      </c>
      <c r="AE256">
        <f t="shared" si="130"/>
        <v>0</v>
      </c>
      <c r="AF256">
        <f t="shared" si="131"/>
        <v>0</v>
      </c>
      <c r="AG256">
        <f t="shared" si="132"/>
        <v>0</v>
      </c>
      <c r="AH256">
        <f t="shared" si="133"/>
        <v>0</v>
      </c>
      <c r="AJ256">
        <f t="shared" si="134"/>
        <v>1239.01</v>
      </c>
      <c r="AK256">
        <f t="shared" si="135"/>
        <v>0</v>
      </c>
      <c r="AL256">
        <f t="shared" si="136"/>
        <v>0</v>
      </c>
      <c r="AM256">
        <f t="shared" si="137"/>
        <v>0</v>
      </c>
      <c r="AN256">
        <f t="shared" si="138"/>
        <v>0</v>
      </c>
      <c r="AO256">
        <f t="shared" si="139"/>
        <v>0</v>
      </c>
    </row>
    <row r="257" spans="1:41" x14ac:dyDescent="0.45">
      <c r="A257">
        <v>32.728623310000003</v>
      </c>
      <c r="B257">
        <v>120.0783842</v>
      </c>
      <c r="C257">
        <v>134.76608279999999</v>
      </c>
      <c r="D257">
        <v>0.84422302000000005</v>
      </c>
      <c r="E257">
        <f t="shared" si="105"/>
        <v>0.84422302000000005</v>
      </c>
      <c r="F257">
        <f t="shared" si="106"/>
        <v>0</v>
      </c>
      <c r="G257">
        <f t="shared" si="107"/>
        <v>0</v>
      </c>
      <c r="H257">
        <f t="shared" si="108"/>
        <v>0</v>
      </c>
      <c r="I257">
        <f t="shared" si="109"/>
        <v>0</v>
      </c>
      <c r="J257">
        <f t="shared" si="110"/>
        <v>0</v>
      </c>
      <c r="K257" s="1">
        <f t="shared" si="111"/>
        <v>0</v>
      </c>
      <c r="L257" s="1">
        <f t="shared" si="112"/>
        <v>0</v>
      </c>
      <c r="M257" s="1">
        <f t="shared" si="113"/>
        <v>0</v>
      </c>
      <c r="N257" s="1">
        <f t="shared" si="114"/>
        <v>0</v>
      </c>
      <c r="O257" s="1">
        <f t="shared" si="115"/>
        <v>0</v>
      </c>
      <c r="P257" s="1">
        <f t="shared" si="116"/>
        <v>25</v>
      </c>
      <c r="Q257" s="1" t="e">
        <f t="shared" si="117"/>
        <v>#DIV/0!</v>
      </c>
      <c r="R257" s="1" t="e">
        <f t="shared" si="118"/>
        <v>#DIV/0!</v>
      </c>
      <c r="S257" s="1" t="e">
        <f t="shared" si="119"/>
        <v>#DIV/0!</v>
      </c>
      <c r="T257" s="1" t="e">
        <f t="shared" si="120"/>
        <v>#DIV/0!</v>
      </c>
      <c r="U257" s="1" t="e">
        <f t="shared" si="121"/>
        <v>#DIV/0!</v>
      </c>
      <c r="V257">
        <f t="shared" si="122"/>
        <v>851.48</v>
      </c>
      <c r="W257">
        <f t="shared" si="123"/>
        <v>0</v>
      </c>
      <c r="X257">
        <f t="shared" si="124"/>
        <v>0</v>
      </c>
      <c r="Y257">
        <f t="shared" si="125"/>
        <v>0</v>
      </c>
      <c r="Z257">
        <f t="shared" si="126"/>
        <v>0</v>
      </c>
      <c r="AA257">
        <f t="shared" si="127"/>
        <v>0</v>
      </c>
      <c r="AC257">
        <f t="shared" si="128"/>
        <v>1045.25</v>
      </c>
      <c r="AD257">
        <f t="shared" si="129"/>
        <v>0</v>
      </c>
      <c r="AE257">
        <f t="shared" si="130"/>
        <v>0</v>
      </c>
      <c r="AF257">
        <f t="shared" si="131"/>
        <v>0</v>
      </c>
      <c r="AG257">
        <f t="shared" si="132"/>
        <v>0</v>
      </c>
      <c r="AH257">
        <f t="shared" si="133"/>
        <v>0</v>
      </c>
      <c r="AJ257">
        <f t="shared" si="134"/>
        <v>1239.01</v>
      </c>
      <c r="AK257">
        <f t="shared" si="135"/>
        <v>0</v>
      </c>
      <c r="AL257">
        <f t="shared" si="136"/>
        <v>0</v>
      </c>
      <c r="AM257">
        <f t="shared" si="137"/>
        <v>0</v>
      </c>
      <c r="AN257">
        <f t="shared" si="138"/>
        <v>0</v>
      </c>
      <c r="AO257">
        <f t="shared" si="139"/>
        <v>0</v>
      </c>
    </row>
    <row r="258" spans="1:41" x14ac:dyDescent="0.45">
      <c r="A258">
        <v>32.733669800000001</v>
      </c>
      <c r="B258">
        <v>120.4082372</v>
      </c>
      <c r="C258">
        <v>17.774396899999999</v>
      </c>
      <c r="D258">
        <v>0.10226200000000001</v>
      </c>
      <c r="E258">
        <f t="shared" si="105"/>
        <v>0.10226200000000001</v>
      </c>
      <c r="F258">
        <f t="shared" si="106"/>
        <v>0</v>
      </c>
      <c r="G258">
        <f t="shared" si="107"/>
        <v>0</v>
      </c>
      <c r="H258">
        <f t="shared" si="108"/>
        <v>0</v>
      </c>
      <c r="I258">
        <f t="shared" si="109"/>
        <v>0</v>
      </c>
      <c r="J258">
        <f t="shared" si="110"/>
        <v>0</v>
      </c>
      <c r="K258" s="1">
        <f t="shared" si="111"/>
        <v>0</v>
      </c>
      <c r="L258" s="1">
        <f t="shared" si="112"/>
        <v>0</v>
      </c>
      <c r="M258" s="1">
        <f t="shared" si="113"/>
        <v>0</v>
      </c>
      <c r="N258" s="1">
        <f t="shared" si="114"/>
        <v>0</v>
      </c>
      <c r="O258" s="1">
        <f t="shared" si="115"/>
        <v>0</v>
      </c>
      <c r="P258" s="1">
        <f t="shared" si="116"/>
        <v>25</v>
      </c>
      <c r="Q258" s="1" t="e">
        <f t="shared" si="117"/>
        <v>#DIV/0!</v>
      </c>
      <c r="R258" s="1" t="e">
        <f t="shared" si="118"/>
        <v>#DIV/0!</v>
      </c>
      <c r="S258" s="1" t="e">
        <f t="shared" si="119"/>
        <v>#DIV/0!</v>
      </c>
      <c r="T258" s="1" t="e">
        <f t="shared" si="120"/>
        <v>#DIV/0!</v>
      </c>
      <c r="U258" s="1" t="e">
        <f t="shared" si="121"/>
        <v>#DIV/0!</v>
      </c>
      <c r="V258">
        <f t="shared" si="122"/>
        <v>851.48</v>
      </c>
      <c r="W258">
        <f t="shared" si="123"/>
        <v>0</v>
      </c>
      <c r="X258">
        <f t="shared" si="124"/>
        <v>0</v>
      </c>
      <c r="Y258">
        <f t="shared" si="125"/>
        <v>0</v>
      </c>
      <c r="Z258">
        <f t="shared" si="126"/>
        <v>0</v>
      </c>
      <c r="AA258">
        <f t="shared" si="127"/>
        <v>0</v>
      </c>
      <c r="AC258">
        <f t="shared" si="128"/>
        <v>1045.25</v>
      </c>
      <c r="AD258">
        <f t="shared" si="129"/>
        <v>0</v>
      </c>
      <c r="AE258">
        <f t="shared" si="130"/>
        <v>0</v>
      </c>
      <c r="AF258">
        <f t="shared" si="131"/>
        <v>0</v>
      </c>
      <c r="AG258">
        <f t="shared" si="132"/>
        <v>0</v>
      </c>
      <c r="AH258">
        <f t="shared" si="133"/>
        <v>0</v>
      </c>
      <c r="AJ258">
        <f t="shared" si="134"/>
        <v>1239.01</v>
      </c>
      <c r="AK258">
        <f t="shared" si="135"/>
        <v>0</v>
      </c>
      <c r="AL258">
        <f t="shared" si="136"/>
        <v>0</v>
      </c>
      <c r="AM258">
        <f t="shared" si="137"/>
        <v>0</v>
      </c>
      <c r="AN258">
        <f t="shared" si="138"/>
        <v>0</v>
      </c>
      <c r="AO258">
        <f t="shared" si="139"/>
        <v>0</v>
      </c>
    </row>
    <row r="259" spans="1:41" x14ac:dyDescent="0.45">
      <c r="A259">
        <v>32.740451299999997</v>
      </c>
      <c r="B259">
        <v>120.3545937</v>
      </c>
      <c r="C259">
        <v>17.774396899999999</v>
      </c>
      <c r="D259">
        <v>0.49175598999999998</v>
      </c>
      <c r="E259">
        <f t="shared" ref="E259:E322" si="140">MIN(C259,D259)</f>
        <v>0.49175598999999998</v>
      </c>
      <c r="F259">
        <f t="shared" ref="F259:F322" si="141">MAX(0,(D259-(C259*(2030-2025))))</f>
        <v>0</v>
      </c>
      <c r="G259">
        <f t="shared" ref="G259:G322" si="142">MAX(0,(D259-(C259*(2035-2025))))</f>
        <v>0</v>
      </c>
      <c r="H259">
        <f t="shared" ref="H259:H322" si="143">MAX(0,(D259-(C259*(2040-2025))))</f>
        <v>0</v>
      </c>
      <c r="I259">
        <f t="shared" ref="I259:I322" si="144">MAX(0,(D259-(C259*(2045-2025))))</f>
        <v>0</v>
      </c>
      <c r="J259">
        <f t="shared" ref="J259:J322" si="145">MAX(0,(D259-(C259*(2050-2025))))</f>
        <v>0</v>
      </c>
      <c r="K259" s="1">
        <f t="shared" ref="K259:K322" si="146">MIN(E259,F259)</f>
        <v>0</v>
      </c>
      <c r="L259" s="1">
        <f t="shared" ref="L259:L322" si="147">MIN(E259,G259)</f>
        <v>0</v>
      </c>
      <c r="M259" s="1">
        <f t="shared" ref="M259:M322" si="148">MIN(E259,H259)</f>
        <v>0</v>
      </c>
      <c r="N259" s="1">
        <f t="shared" ref="N259:N322" si="149">MIN(E259,I259)</f>
        <v>0</v>
      </c>
      <c r="O259" s="1">
        <f t="shared" ref="O259:O322" si="150">MIN(E259,J259)</f>
        <v>0</v>
      </c>
      <c r="P259" s="1">
        <f t="shared" ref="P259:P322" si="151">MAX(1,((25*E259)/D259))</f>
        <v>25</v>
      </c>
      <c r="Q259" s="1" t="e">
        <f t="shared" ref="Q259:Q322" si="152">MAX(1, ((25*K259)/F259))</f>
        <v>#DIV/0!</v>
      </c>
      <c r="R259" s="1" t="e">
        <f t="shared" ref="R259:R322" si="153">MAX(1, ((25*L259)/G259))</f>
        <v>#DIV/0!</v>
      </c>
      <c r="S259" s="1" t="e">
        <f t="shared" ref="S259:S322" si="154">MAX(1, ((25*M259)/H259))</f>
        <v>#DIV/0!</v>
      </c>
      <c r="T259" s="1" t="e">
        <f t="shared" ref="T259:T322" si="155">MAX(1, ((25*N259)/I259))</f>
        <v>#DIV/0!</v>
      </c>
      <c r="U259" s="1" t="e">
        <f t="shared" ref="U259:U322" si="156">MAX(1, ((25*O259)/J259))</f>
        <v>#DIV/0!</v>
      </c>
      <c r="V259">
        <f t="shared" ref="V259:V322" si="157">(32.02+6.96+(0.13*250*P259))</f>
        <v>851.48</v>
      </c>
      <c r="W259">
        <f t="shared" ref="W259:W322" si="158">IF(F259&gt;0,(32.72+6.27+(0.15*250*Q259)),F259)</f>
        <v>0</v>
      </c>
      <c r="X259">
        <f t="shared" ref="X259:X322" si="159">IF(G259&gt;0,(22.27+4.87+(0.1*250*S259)),G259)</f>
        <v>0</v>
      </c>
      <c r="Y259">
        <f t="shared" ref="Y259:Y322" si="160">IF(H259&gt;0,(13.92+4.18+(0.08*250*S259)),H259)</f>
        <v>0</v>
      </c>
      <c r="Z259">
        <f t="shared" ref="Z259:Z322" si="161">IF(I259&gt;0,(11.14+3.48+(0.07*250*T259)),I259)</f>
        <v>0</v>
      </c>
      <c r="AA259">
        <f t="shared" ref="AA259:AA322" si="162">IF(J259&gt;0,(9.75+2.78+(0.07*250*U259)),J259)</f>
        <v>0</v>
      </c>
      <c r="AC259">
        <f t="shared" ref="AC259:AC322" si="163">IF(D259&gt;0,(37.59+7.66+(0.16*250*P259)),D259)</f>
        <v>1045.25</v>
      </c>
      <c r="AD259">
        <f t="shared" ref="AD259:AD322" si="164">IF(F259&gt;0,(32.72+6.27+(0.15*250*Q259)),F259)</f>
        <v>0</v>
      </c>
      <c r="AE259">
        <f t="shared" ref="AE259:AE322" si="165">IF(G259&gt;0,(26.45+5.22+(0.13*250*R259)),G259)</f>
        <v>0</v>
      </c>
      <c r="AF259">
        <f t="shared" ref="AF259:AF322" si="166">IF(H259&gt;0,(15.31+4.53+(0.12*250*S259)),H259)</f>
        <v>0</v>
      </c>
      <c r="AG259">
        <f t="shared" ref="AG259:AG322" si="167">IF(I259&gt;0,(16.01+3.83+(0.11*250+T259)),I259)</f>
        <v>0</v>
      </c>
      <c r="AH259">
        <f t="shared" ref="AH259:AH322" si="168">IF(J259,(13.23+3.13+(0.1*250*U259)),J259)</f>
        <v>0</v>
      </c>
      <c r="AJ259">
        <f t="shared" ref="AJ259:AJ322" si="169">(43.16+8.35+(0.19*250*P259))</f>
        <v>1239.01</v>
      </c>
      <c r="AK259">
        <f t="shared" ref="AK259:AK322" si="170">IF(F259&gt;0,(38.98+6.96+(0.18*250*Q259)),F259)</f>
        <v>0</v>
      </c>
      <c r="AL259">
        <f t="shared" ref="AL259:AL322" si="171">IF(G259&gt;0,(30.63+5.57+(0.17*250*R259)),G259)</f>
        <v>0</v>
      </c>
      <c r="AM259">
        <f t="shared" ref="AM259:AM322" si="172">IF(H259&gt;0,(25.06+4.87+(0.15*250*S259)),H259)</f>
        <v>0</v>
      </c>
      <c r="AN259">
        <f t="shared" ref="AN259:AN322" si="173">IF(I259&gt;0,(20.88+4.18+(0.15*250*T259)),I259)</f>
        <v>0</v>
      </c>
      <c r="AO259">
        <f t="shared" ref="AO259:AO322" si="174">IF(J259,(16.71+3.48+(0.14*250*U259)),J259)</f>
        <v>0</v>
      </c>
    </row>
    <row r="260" spans="1:41" x14ac:dyDescent="0.45">
      <c r="A260">
        <v>32.741852270000003</v>
      </c>
      <c r="B260">
        <v>119.9710412</v>
      </c>
      <c r="C260">
        <v>134.76608279999999</v>
      </c>
      <c r="D260">
        <v>0.54874498000000005</v>
      </c>
      <c r="E260">
        <f t="shared" si="140"/>
        <v>0.54874498000000005</v>
      </c>
      <c r="F260">
        <f t="shared" si="141"/>
        <v>0</v>
      </c>
      <c r="G260">
        <f t="shared" si="142"/>
        <v>0</v>
      </c>
      <c r="H260">
        <f t="shared" si="143"/>
        <v>0</v>
      </c>
      <c r="I260">
        <f t="shared" si="144"/>
        <v>0</v>
      </c>
      <c r="J260">
        <f t="shared" si="145"/>
        <v>0</v>
      </c>
      <c r="K260" s="1">
        <f t="shared" si="146"/>
        <v>0</v>
      </c>
      <c r="L260" s="1">
        <f t="shared" si="147"/>
        <v>0</v>
      </c>
      <c r="M260" s="1">
        <f t="shared" si="148"/>
        <v>0</v>
      </c>
      <c r="N260" s="1">
        <f t="shared" si="149"/>
        <v>0</v>
      </c>
      <c r="O260" s="1">
        <f t="shared" si="150"/>
        <v>0</v>
      </c>
      <c r="P260" s="1">
        <f t="shared" si="151"/>
        <v>25</v>
      </c>
      <c r="Q260" s="1" t="e">
        <f t="shared" si="152"/>
        <v>#DIV/0!</v>
      </c>
      <c r="R260" s="1" t="e">
        <f t="shared" si="153"/>
        <v>#DIV/0!</v>
      </c>
      <c r="S260" s="1" t="e">
        <f t="shared" si="154"/>
        <v>#DIV/0!</v>
      </c>
      <c r="T260" s="1" t="e">
        <f t="shared" si="155"/>
        <v>#DIV/0!</v>
      </c>
      <c r="U260" s="1" t="e">
        <f t="shared" si="156"/>
        <v>#DIV/0!</v>
      </c>
      <c r="V260">
        <f t="shared" si="157"/>
        <v>851.48</v>
      </c>
      <c r="W260">
        <f t="shared" si="158"/>
        <v>0</v>
      </c>
      <c r="X260">
        <f t="shared" si="159"/>
        <v>0</v>
      </c>
      <c r="Y260">
        <f t="shared" si="160"/>
        <v>0</v>
      </c>
      <c r="Z260">
        <f t="shared" si="161"/>
        <v>0</v>
      </c>
      <c r="AA260">
        <f t="shared" si="162"/>
        <v>0</v>
      </c>
      <c r="AC260">
        <f t="shared" si="163"/>
        <v>1045.25</v>
      </c>
      <c r="AD260">
        <f t="shared" si="164"/>
        <v>0</v>
      </c>
      <c r="AE260">
        <f t="shared" si="165"/>
        <v>0</v>
      </c>
      <c r="AF260">
        <f t="shared" si="166"/>
        <v>0</v>
      </c>
      <c r="AG260">
        <f t="shared" si="167"/>
        <v>0</v>
      </c>
      <c r="AH260">
        <f t="shared" si="168"/>
        <v>0</v>
      </c>
      <c r="AJ260">
        <f t="shared" si="169"/>
        <v>1239.01</v>
      </c>
      <c r="AK260">
        <f t="shared" si="170"/>
        <v>0</v>
      </c>
      <c r="AL260">
        <f t="shared" si="171"/>
        <v>0</v>
      </c>
      <c r="AM260">
        <f t="shared" si="172"/>
        <v>0</v>
      </c>
      <c r="AN260">
        <f t="shared" si="173"/>
        <v>0</v>
      </c>
      <c r="AO260">
        <f t="shared" si="174"/>
        <v>0</v>
      </c>
    </row>
    <row r="261" spans="1:41" x14ac:dyDescent="0.45">
      <c r="A261">
        <v>32.74439091</v>
      </c>
      <c r="B261">
        <v>118.7666186</v>
      </c>
      <c r="C261">
        <v>13.949555399999999</v>
      </c>
      <c r="D261">
        <v>0.18561300999999999</v>
      </c>
      <c r="E261">
        <f t="shared" si="140"/>
        <v>0.18561300999999999</v>
      </c>
      <c r="F261">
        <f t="shared" si="141"/>
        <v>0</v>
      </c>
      <c r="G261">
        <f t="shared" si="142"/>
        <v>0</v>
      </c>
      <c r="H261">
        <f t="shared" si="143"/>
        <v>0</v>
      </c>
      <c r="I261">
        <f t="shared" si="144"/>
        <v>0</v>
      </c>
      <c r="J261">
        <f t="shared" si="145"/>
        <v>0</v>
      </c>
      <c r="K261" s="1">
        <f t="shared" si="146"/>
        <v>0</v>
      </c>
      <c r="L261" s="1">
        <f t="shared" si="147"/>
        <v>0</v>
      </c>
      <c r="M261" s="1">
        <f t="shared" si="148"/>
        <v>0</v>
      </c>
      <c r="N261" s="1">
        <f t="shared" si="149"/>
        <v>0</v>
      </c>
      <c r="O261" s="1">
        <f t="shared" si="150"/>
        <v>0</v>
      </c>
      <c r="P261" s="1">
        <f t="shared" si="151"/>
        <v>25</v>
      </c>
      <c r="Q261" s="1" t="e">
        <f t="shared" si="152"/>
        <v>#DIV/0!</v>
      </c>
      <c r="R261" s="1" t="e">
        <f t="shared" si="153"/>
        <v>#DIV/0!</v>
      </c>
      <c r="S261" s="1" t="e">
        <f t="shared" si="154"/>
        <v>#DIV/0!</v>
      </c>
      <c r="T261" s="1" t="e">
        <f t="shared" si="155"/>
        <v>#DIV/0!</v>
      </c>
      <c r="U261" s="1" t="e">
        <f t="shared" si="156"/>
        <v>#DIV/0!</v>
      </c>
      <c r="V261">
        <f t="shared" si="157"/>
        <v>851.48</v>
      </c>
      <c r="W261">
        <f t="shared" si="158"/>
        <v>0</v>
      </c>
      <c r="X261">
        <f t="shared" si="159"/>
        <v>0</v>
      </c>
      <c r="Y261">
        <f t="shared" si="160"/>
        <v>0</v>
      </c>
      <c r="Z261">
        <f t="shared" si="161"/>
        <v>0</v>
      </c>
      <c r="AA261">
        <f t="shared" si="162"/>
        <v>0</v>
      </c>
      <c r="AC261">
        <f t="shared" si="163"/>
        <v>1045.25</v>
      </c>
      <c r="AD261">
        <f t="shared" si="164"/>
        <v>0</v>
      </c>
      <c r="AE261">
        <f t="shared" si="165"/>
        <v>0</v>
      </c>
      <c r="AF261">
        <f t="shared" si="166"/>
        <v>0</v>
      </c>
      <c r="AG261">
        <f t="shared" si="167"/>
        <v>0</v>
      </c>
      <c r="AH261">
        <f t="shared" si="168"/>
        <v>0</v>
      </c>
      <c r="AJ261">
        <f t="shared" si="169"/>
        <v>1239.01</v>
      </c>
      <c r="AK261">
        <f t="shared" si="170"/>
        <v>0</v>
      </c>
      <c r="AL261">
        <f t="shared" si="171"/>
        <v>0</v>
      </c>
      <c r="AM261">
        <f t="shared" si="172"/>
        <v>0</v>
      </c>
      <c r="AN261">
        <f t="shared" si="173"/>
        <v>0</v>
      </c>
      <c r="AO261">
        <f t="shared" si="174"/>
        <v>0</v>
      </c>
    </row>
    <row r="262" spans="1:41" x14ac:dyDescent="0.45">
      <c r="A262">
        <v>32.74720773</v>
      </c>
      <c r="B262">
        <v>120.30094130000001</v>
      </c>
      <c r="C262">
        <v>17.774396899999999</v>
      </c>
      <c r="D262">
        <v>0.79345697000000004</v>
      </c>
      <c r="E262">
        <f t="shared" si="140"/>
        <v>0.79345697000000004</v>
      </c>
      <c r="F262">
        <f t="shared" si="141"/>
        <v>0</v>
      </c>
      <c r="G262">
        <f t="shared" si="142"/>
        <v>0</v>
      </c>
      <c r="H262">
        <f t="shared" si="143"/>
        <v>0</v>
      </c>
      <c r="I262">
        <f t="shared" si="144"/>
        <v>0</v>
      </c>
      <c r="J262">
        <f t="shared" si="145"/>
        <v>0</v>
      </c>
      <c r="K262" s="1">
        <f t="shared" si="146"/>
        <v>0</v>
      </c>
      <c r="L262" s="1">
        <f t="shared" si="147"/>
        <v>0</v>
      </c>
      <c r="M262" s="1">
        <f t="shared" si="148"/>
        <v>0</v>
      </c>
      <c r="N262" s="1">
        <f t="shared" si="149"/>
        <v>0</v>
      </c>
      <c r="O262" s="1">
        <f t="shared" si="150"/>
        <v>0</v>
      </c>
      <c r="P262" s="1">
        <f t="shared" si="151"/>
        <v>25</v>
      </c>
      <c r="Q262" s="1" t="e">
        <f t="shared" si="152"/>
        <v>#DIV/0!</v>
      </c>
      <c r="R262" s="1" t="e">
        <f t="shared" si="153"/>
        <v>#DIV/0!</v>
      </c>
      <c r="S262" s="1" t="e">
        <f t="shared" si="154"/>
        <v>#DIV/0!</v>
      </c>
      <c r="T262" s="1" t="e">
        <f t="shared" si="155"/>
        <v>#DIV/0!</v>
      </c>
      <c r="U262" s="1" t="e">
        <f t="shared" si="156"/>
        <v>#DIV/0!</v>
      </c>
      <c r="V262">
        <f t="shared" si="157"/>
        <v>851.48</v>
      </c>
      <c r="W262">
        <f t="shared" si="158"/>
        <v>0</v>
      </c>
      <c r="X262">
        <f t="shared" si="159"/>
        <v>0</v>
      </c>
      <c r="Y262">
        <f t="shared" si="160"/>
        <v>0</v>
      </c>
      <c r="Z262">
        <f t="shared" si="161"/>
        <v>0</v>
      </c>
      <c r="AA262">
        <f t="shared" si="162"/>
        <v>0</v>
      </c>
      <c r="AC262">
        <f t="shared" si="163"/>
        <v>1045.25</v>
      </c>
      <c r="AD262">
        <f t="shared" si="164"/>
        <v>0</v>
      </c>
      <c r="AE262">
        <f t="shared" si="165"/>
        <v>0</v>
      </c>
      <c r="AF262">
        <f t="shared" si="166"/>
        <v>0</v>
      </c>
      <c r="AG262">
        <f t="shared" si="167"/>
        <v>0</v>
      </c>
      <c r="AH262">
        <f t="shared" si="168"/>
        <v>0</v>
      </c>
      <c r="AJ262">
        <f t="shared" si="169"/>
        <v>1239.01</v>
      </c>
      <c r="AK262">
        <f t="shared" si="170"/>
        <v>0</v>
      </c>
      <c r="AL262">
        <f t="shared" si="171"/>
        <v>0</v>
      </c>
      <c r="AM262">
        <f t="shared" si="172"/>
        <v>0</v>
      </c>
      <c r="AN262">
        <f t="shared" si="173"/>
        <v>0</v>
      </c>
      <c r="AO262">
        <f t="shared" si="174"/>
        <v>0</v>
      </c>
    </row>
    <row r="263" spans="1:41" x14ac:dyDescent="0.45">
      <c r="A263">
        <v>32.753939090000003</v>
      </c>
      <c r="B263">
        <v>120.2472801</v>
      </c>
      <c r="C263">
        <v>134.76608279999999</v>
      </c>
      <c r="D263">
        <v>0.27352800999999999</v>
      </c>
      <c r="E263">
        <f t="shared" si="140"/>
        <v>0.27352800999999999</v>
      </c>
      <c r="F263">
        <f t="shared" si="141"/>
        <v>0</v>
      </c>
      <c r="G263">
        <f t="shared" si="142"/>
        <v>0</v>
      </c>
      <c r="H263">
        <f t="shared" si="143"/>
        <v>0</v>
      </c>
      <c r="I263">
        <f t="shared" si="144"/>
        <v>0</v>
      </c>
      <c r="J263">
        <f t="shared" si="145"/>
        <v>0</v>
      </c>
      <c r="K263" s="1">
        <f t="shared" si="146"/>
        <v>0</v>
      </c>
      <c r="L263" s="1">
        <f t="shared" si="147"/>
        <v>0</v>
      </c>
      <c r="M263" s="1">
        <f t="shared" si="148"/>
        <v>0</v>
      </c>
      <c r="N263" s="1">
        <f t="shared" si="149"/>
        <v>0</v>
      </c>
      <c r="O263" s="1">
        <f t="shared" si="150"/>
        <v>0</v>
      </c>
      <c r="P263" s="1">
        <f t="shared" si="151"/>
        <v>25</v>
      </c>
      <c r="Q263" s="1" t="e">
        <f t="shared" si="152"/>
        <v>#DIV/0!</v>
      </c>
      <c r="R263" s="1" t="e">
        <f t="shared" si="153"/>
        <v>#DIV/0!</v>
      </c>
      <c r="S263" s="1" t="e">
        <f t="shared" si="154"/>
        <v>#DIV/0!</v>
      </c>
      <c r="T263" s="1" t="e">
        <f t="shared" si="155"/>
        <v>#DIV/0!</v>
      </c>
      <c r="U263" s="1" t="e">
        <f t="shared" si="156"/>
        <v>#DIV/0!</v>
      </c>
      <c r="V263">
        <f t="shared" si="157"/>
        <v>851.48</v>
      </c>
      <c r="W263">
        <f t="shared" si="158"/>
        <v>0</v>
      </c>
      <c r="X263">
        <f t="shared" si="159"/>
        <v>0</v>
      </c>
      <c r="Y263">
        <f t="shared" si="160"/>
        <v>0</v>
      </c>
      <c r="Z263">
        <f t="shared" si="161"/>
        <v>0</v>
      </c>
      <c r="AA263">
        <f t="shared" si="162"/>
        <v>0</v>
      </c>
      <c r="AC263">
        <f t="shared" si="163"/>
        <v>1045.25</v>
      </c>
      <c r="AD263">
        <f t="shared" si="164"/>
        <v>0</v>
      </c>
      <c r="AE263">
        <f t="shared" si="165"/>
        <v>0</v>
      </c>
      <c r="AF263">
        <f t="shared" si="166"/>
        <v>0</v>
      </c>
      <c r="AG263">
        <f t="shared" si="167"/>
        <v>0</v>
      </c>
      <c r="AH263">
        <f t="shared" si="168"/>
        <v>0</v>
      </c>
      <c r="AJ263">
        <f t="shared" si="169"/>
        <v>1239.01</v>
      </c>
      <c r="AK263">
        <f t="shared" si="170"/>
        <v>0</v>
      </c>
      <c r="AL263">
        <f t="shared" si="171"/>
        <v>0</v>
      </c>
      <c r="AM263">
        <f t="shared" si="172"/>
        <v>0</v>
      </c>
      <c r="AN263">
        <f t="shared" si="173"/>
        <v>0</v>
      </c>
      <c r="AO263">
        <f t="shared" si="174"/>
        <v>0</v>
      </c>
    </row>
    <row r="264" spans="1:41" x14ac:dyDescent="0.45">
      <c r="A264">
        <v>32.754980830000001</v>
      </c>
      <c r="B264">
        <v>119.8636637</v>
      </c>
      <c r="C264">
        <v>134.76608279999999</v>
      </c>
      <c r="D264">
        <v>0.92546998999999996</v>
      </c>
      <c r="E264">
        <f t="shared" si="140"/>
        <v>0.92546998999999996</v>
      </c>
      <c r="F264">
        <f t="shared" si="141"/>
        <v>0</v>
      </c>
      <c r="G264">
        <f t="shared" si="142"/>
        <v>0</v>
      </c>
      <c r="H264">
        <f t="shared" si="143"/>
        <v>0</v>
      </c>
      <c r="I264">
        <f t="shared" si="144"/>
        <v>0</v>
      </c>
      <c r="J264">
        <f t="shared" si="145"/>
        <v>0</v>
      </c>
      <c r="K264" s="1">
        <f t="shared" si="146"/>
        <v>0</v>
      </c>
      <c r="L264" s="1">
        <f t="shared" si="147"/>
        <v>0</v>
      </c>
      <c r="M264" s="1">
        <f t="shared" si="148"/>
        <v>0</v>
      </c>
      <c r="N264" s="1">
        <f t="shared" si="149"/>
        <v>0</v>
      </c>
      <c r="O264" s="1">
        <f t="shared" si="150"/>
        <v>0</v>
      </c>
      <c r="P264" s="1">
        <f t="shared" si="151"/>
        <v>25</v>
      </c>
      <c r="Q264" s="1" t="e">
        <f t="shared" si="152"/>
        <v>#DIV/0!</v>
      </c>
      <c r="R264" s="1" t="e">
        <f t="shared" si="153"/>
        <v>#DIV/0!</v>
      </c>
      <c r="S264" s="1" t="e">
        <f t="shared" si="154"/>
        <v>#DIV/0!</v>
      </c>
      <c r="T264" s="1" t="e">
        <f t="shared" si="155"/>
        <v>#DIV/0!</v>
      </c>
      <c r="U264" s="1" t="e">
        <f t="shared" si="156"/>
        <v>#DIV/0!</v>
      </c>
      <c r="V264">
        <f t="shared" si="157"/>
        <v>851.48</v>
      </c>
      <c r="W264">
        <f t="shared" si="158"/>
        <v>0</v>
      </c>
      <c r="X264">
        <f t="shared" si="159"/>
        <v>0</v>
      </c>
      <c r="Y264">
        <f t="shared" si="160"/>
        <v>0</v>
      </c>
      <c r="Z264">
        <f t="shared" si="161"/>
        <v>0</v>
      </c>
      <c r="AA264">
        <f t="shared" si="162"/>
        <v>0</v>
      </c>
      <c r="AC264">
        <f t="shared" si="163"/>
        <v>1045.25</v>
      </c>
      <c r="AD264">
        <f t="shared" si="164"/>
        <v>0</v>
      </c>
      <c r="AE264">
        <f t="shared" si="165"/>
        <v>0</v>
      </c>
      <c r="AF264">
        <f t="shared" si="166"/>
        <v>0</v>
      </c>
      <c r="AG264">
        <f t="shared" si="167"/>
        <v>0</v>
      </c>
      <c r="AH264">
        <f t="shared" si="168"/>
        <v>0</v>
      </c>
      <c r="AJ264">
        <f t="shared" si="169"/>
        <v>1239.01</v>
      </c>
      <c r="AK264">
        <f t="shared" si="170"/>
        <v>0</v>
      </c>
      <c r="AL264">
        <f t="shared" si="171"/>
        <v>0</v>
      </c>
      <c r="AM264">
        <f t="shared" si="172"/>
        <v>0</v>
      </c>
      <c r="AN264">
        <f t="shared" si="173"/>
        <v>0</v>
      </c>
      <c r="AO264">
        <f t="shared" si="174"/>
        <v>0</v>
      </c>
    </row>
    <row r="265" spans="1:41" x14ac:dyDescent="0.45">
      <c r="A265">
        <v>32.761507430000002</v>
      </c>
      <c r="B265">
        <v>119.809962</v>
      </c>
      <c r="C265">
        <v>134.76608279999999</v>
      </c>
      <c r="D265">
        <v>3.3305249200000002</v>
      </c>
      <c r="E265">
        <f t="shared" si="140"/>
        <v>3.3305249200000002</v>
      </c>
      <c r="F265">
        <f t="shared" si="141"/>
        <v>0</v>
      </c>
      <c r="G265">
        <f t="shared" si="142"/>
        <v>0</v>
      </c>
      <c r="H265">
        <f t="shared" si="143"/>
        <v>0</v>
      </c>
      <c r="I265">
        <f t="shared" si="144"/>
        <v>0</v>
      </c>
      <c r="J265">
        <f t="shared" si="145"/>
        <v>0</v>
      </c>
      <c r="K265" s="1">
        <f t="shared" si="146"/>
        <v>0</v>
      </c>
      <c r="L265" s="1">
        <f t="shared" si="147"/>
        <v>0</v>
      </c>
      <c r="M265" s="1">
        <f t="shared" si="148"/>
        <v>0</v>
      </c>
      <c r="N265" s="1">
        <f t="shared" si="149"/>
        <v>0</v>
      </c>
      <c r="O265" s="1">
        <f t="shared" si="150"/>
        <v>0</v>
      </c>
      <c r="P265" s="1">
        <f t="shared" si="151"/>
        <v>25</v>
      </c>
      <c r="Q265" s="1" t="e">
        <f t="shared" si="152"/>
        <v>#DIV/0!</v>
      </c>
      <c r="R265" s="1" t="e">
        <f t="shared" si="153"/>
        <v>#DIV/0!</v>
      </c>
      <c r="S265" s="1" t="e">
        <f t="shared" si="154"/>
        <v>#DIV/0!</v>
      </c>
      <c r="T265" s="1" t="e">
        <f t="shared" si="155"/>
        <v>#DIV/0!</v>
      </c>
      <c r="U265" s="1" t="e">
        <f t="shared" si="156"/>
        <v>#DIV/0!</v>
      </c>
      <c r="V265">
        <f t="shared" si="157"/>
        <v>851.48</v>
      </c>
      <c r="W265">
        <f t="shared" si="158"/>
        <v>0</v>
      </c>
      <c r="X265">
        <f t="shared" si="159"/>
        <v>0</v>
      </c>
      <c r="Y265">
        <f t="shared" si="160"/>
        <v>0</v>
      </c>
      <c r="Z265">
        <f t="shared" si="161"/>
        <v>0</v>
      </c>
      <c r="AA265">
        <f t="shared" si="162"/>
        <v>0</v>
      </c>
      <c r="AC265">
        <f t="shared" si="163"/>
        <v>1045.25</v>
      </c>
      <c r="AD265">
        <f t="shared" si="164"/>
        <v>0</v>
      </c>
      <c r="AE265">
        <f t="shared" si="165"/>
        <v>0</v>
      </c>
      <c r="AF265">
        <f t="shared" si="166"/>
        <v>0</v>
      </c>
      <c r="AG265">
        <f t="shared" si="167"/>
        <v>0</v>
      </c>
      <c r="AH265">
        <f t="shared" si="168"/>
        <v>0</v>
      </c>
      <c r="AJ265">
        <f t="shared" si="169"/>
        <v>1239.01</v>
      </c>
      <c r="AK265">
        <f t="shared" si="170"/>
        <v>0</v>
      </c>
      <c r="AL265">
        <f t="shared" si="171"/>
        <v>0</v>
      </c>
      <c r="AM265">
        <f t="shared" si="172"/>
        <v>0</v>
      </c>
      <c r="AN265">
        <f t="shared" si="173"/>
        <v>0</v>
      </c>
      <c r="AO265">
        <f t="shared" si="174"/>
        <v>0</v>
      </c>
    </row>
    <row r="266" spans="1:41" x14ac:dyDescent="0.45">
      <c r="A266">
        <v>32.765360110000003</v>
      </c>
      <c r="B266">
        <v>120.5235983</v>
      </c>
      <c r="C266">
        <v>17.774396899999999</v>
      </c>
      <c r="D266">
        <v>0.28209900999999998</v>
      </c>
      <c r="E266">
        <f t="shared" si="140"/>
        <v>0.28209900999999998</v>
      </c>
      <c r="F266">
        <f t="shared" si="141"/>
        <v>0</v>
      </c>
      <c r="G266">
        <f t="shared" si="142"/>
        <v>0</v>
      </c>
      <c r="H266">
        <f t="shared" si="143"/>
        <v>0</v>
      </c>
      <c r="I266">
        <f t="shared" si="144"/>
        <v>0</v>
      </c>
      <c r="J266">
        <f t="shared" si="145"/>
        <v>0</v>
      </c>
      <c r="K266" s="1">
        <f t="shared" si="146"/>
        <v>0</v>
      </c>
      <c r="L266" s="1">
        <f t="shared" si="147"/>
        <v>0</v>
      </c>
      <c r="M266" s="1">
        <f t="shared" si="148"/>
        <v>0</v>
      </c>
      <c r="N266" s="1">
        <f t="shared" si="149"/>
        <v>0</v>
      </c>
      <c r="O266" s="1">
        <f t="shared" si="150"/>
        <v>0</v>
      </c>
      <c r="P266" s="1">
        <f t="shared" si="151"/>
        <v>25</v>
      </c>
      <c r="Q266" s="1" t="e">
        <f t="shared" si="152"/>
        <v>#DIV/0!</v>
      </c>
      <c r="R266" s="1" t="e">
        <f t="shared" si="153"/>
        <v>#DIV/0!</v>
      </c>
      <c r="S266" s="1" t="e">
        <f t="shared" si="154"/>
        <v>#DIV/0!</v>
      </c>
      <c r="T266" s="1" t="e">
        <f t="shared" si="155"/>
        <v>#DIV/0!</v>
      </c>
      <c r="U266" s="1" t="e">
        <f t="shared" si="156"/>
        <v>#DIV/0!</v>
      </c>
      <c r="V266">
        <f t="shared" si="157"/>
        <v>851.48</v>
      </c>
      <c r="W266">
        <f t="shared" si="158"/>
        <v>0</v>
      </c>
      <c r="X266">
        <f t="shared" si="159"/>
        <v>0</v>
      </c>
      <c r="Y266">
        <f t="shared" si="160"/>
        <v>0</v>
      </c>
      <c r="Z266">
        <f t="shared" si="161"/>
        <v>0</v>
      </c>
      <c r="AA266">
        <f t="shared" si="162"/>
        <v>0</v>
      </c>
      <c r="AC266">
        <f t="shared" si="163"/>
        <v>1045.25</v>
      </c>
      <c r="AD266">
        <f t="shared" si="164"/>
        <v>0</v>
      </c>
      <c r="AE266">
        <f t="shared" si="165"/>
        <v>0</v>
      </c>
      <c r="AF266">
        <f t="shared" si="166"/>
        <v>0</v>
      </c>
      <c r="AG266">
        <f t="shared" si="167"/>
        <v>0</v>
      </c>
      <c r="AH266">
        <f t="shared" si="168"/>
        <v>0</v>
      </c>
      <c r="AJ266">
        <f t="shared" si="169"/>
        <v>1239.01</v>
      </c>
      <c r="AK266">
        <f t="shared" si="170"/>
        <v>0</v>
      </c>
      <c r="AL266">
        <f t="shared" si="171"/>
        <v>0</v>
      </c>
      <c r="AM266">
        <f t="shared" si="172"/>
        <v>0</v>
      </c>
      <c r="AN266">
        <f t="shared" si="173"/>
        <v>0</v>
      </c>
      <c r="AO266">
        <f t="shared" si="174"/>
        <v>0</v>
      </c>
    </row>
    <row r="267" spans="1:41" x14ac:dyDescent="0.45">
      <c r="A267">
        <v>32.780936480000001</v>
      </c>
      <c r="B267">
        <v>119.64880580000001</v>
      </c>
      <c r="C267">
        <v>17.315341950000001</v>
      </c>
      <c r="D267">
        <v>9.8554229699999993</v>
      </c>
      <c r="E267">
        <f t="shared" si="140"/>
        <v>9.8554229699999993</v>
      </c>
      <c r="F267">
        <f t="shared" si="141"/>
        <v>0</v>
      </c>
      <c r="G267">
        <f t="shared" si="142"/>
        <v>0</v>
      </c>
      <c r="H267">
        <f t="shared" si="143"/>
        <v>0</v>
      </c>
      <c r="I267">
        <f t="shared" si="144"/>
        <v>0</v>
      </c>
      <c r="J267">
        <f t="shared" si="145"/>
        <v>0</v>
      </c>
      <c r="K267" s="1">
        <f t="shared" si="146"/>
        <v>0</v>
      </c>
      <c r="L267" s="1">
        <f t="shared" si="147"/>
        <v>0</v>
      </c>
      <c r="M267" s="1">
        <f t="shared" si="148"/>
        <v>0</v>
      </c>
      <c r="N267" s="1">
        <f t="shared" si="149"/>
        <v>0</v>
      </c>
      <c r="O267" s="1">
        <f t="shared" si="150"/>
        <v>0</v>
      </c>
      <c r="P267" s="1">
        <f t="shared" si="151"/>
        <v>25</v>
      </c>
      <c r="Q267" s="1" t="e">
        <f t="shared" si="152"/>
        <v>#DIV/0!</v>
      </c>
      <c r="R267" s="1" t="e">
        <f t="shared" si="153"/>
        <v>#DIV/0!</v>
      </c>
      <c r="S267" s="1" t="e">
        <f t="shared" si="154"/>
        <v>#DIV/0!</v>
      </c>
      <c r="T267" s="1" t="e">
        <f t="shared" si="155"/>
        <v>#DIV/0!</v>
      </c>
      <c r="U267" s="1" t="e">
        <f t="shared" si="156"/>
        <v>#DIV/0!</v>
      </c>
      <c r="V267">
        <f t="shared" si="157"/>
        <v>851.48</v>
      </c>
      <c r="W267">
        <f t="shared" si="158"/>
        <v>0</v>
      </c>
      <c r="X267">
        <f t="shared" si="159"/>
        <v>0</v>
      </c>
      <c r="Y267">
        <f t="shared" si="160"/>
        <v>0</v>
      </c>
      <c r="Z267">
        <f t="shared" si="161"/>
        <v>0</v>
      </c>
      <c r="AA267">
        <f t="shared" si="162"/>
        <v>0</v>
      </c>
      <c r="AC267">
        <f t="shared" si="163"/>
        <v>1045.25</v>
      </c>
      <c r="AD267">
        <f t="shared" si="164"/>
        <v>0</v>
      </c>
      <c r="AE267">
        <f t="shared" si="165"/>
        <v>0</v>
      </c>
      <c r="AF267">
        <f t="shared" si="166"/>
        <v>0</v>
      </c>
      <c r="AG267">
        <f t="shared" si="167"/>
        <v>0</v>
      </c>
      <c r="AH267">
        <f t="shared" si="168"/>
        <v>0</v>
      </c>
      <c r="AJ267">
        <f t="shared" si="169"/>
        <v>1239.01</v>
      </c>
      <c r="AK267">
        <f t="shared" si="170"/>
        <v>0</v>
      </c>
      <c r="AL267">
        <f t="shared" si="171"/>
        <v>0</v>
      </c>
      <c r="AM267">
        <f t="shared" si="172"/>
        <v>0</v>
      </c>
      <c r="AN267">
        <f t="shared" si="173"/>
        <v>0</v>
      </c>
      <c r="AO267">
        <f t="shared" si="174"/>
        <v>0</v>
      </c>
    </row>
    <row r="268" spans="1:41" x14ac:dyDescent="0.45">
      <c r="A268">
        <v>32.783795670000003</v>
      </c>
      <c r="B268">
        <v>118.82755160000001</v>
      </c>
      <c r="C268">
        <v>13.949555399999999</v>
      </c>
      <c r="D268">
        <v>1.4663449500000001</v>
      </c>
      <c r="E268">
        <f t="shared" si="140"/>
        <v>1.4663449500000001</v>
      </c>
      <c r="F268">
        <f t="shared" si="141"/>
        <v>0</v>
      </c>
      <c r="G268">
        <f t="shared" si="142"/>
        <v>0</v>
      </c>
      <c r="H268">
        <f t="shared" si="143"/>
        <v>0</v>
      </c>
      <c r="I268">
        <f t="shared" si="144"/>
        <v>0</v>
      </c>
      <c r="J268">
        <f t="shared" si="145"/>
        <v>0</v>
      </c>
      <c r="K268" s="1">
        <f t="shared" si="146"/>
        <v>0</v>
      </c>
      <c r="L268" s="1">
        <f t="shared" si="147"/>
        <v>0</v>
      </c>
      <c r="M268" s="1">
        <f t="shared" si="148"/>
        <v>0</v>
      </c>
      <c r="N268" s="1">
        <f t="shared" si="149"/>
        <v>0</v>
      </c>
      <c r="O268" s="1">
        <f t="shared" si="150"/>
        <v>0</v>
      </c>
      <c r="P268" s="1">
        <f t="shared" si="151"/>
        <v>25</v>
      </c>
      <c r="Q268" s="1" t="e">
        <f t="shared" si="152"/>
        <v>#DIV/0!</v>
      </c>
      <c r="R268" s="1" t="e">
        <f t="shared" si="153"/>
        <v>#DIV/0!</v>
      </c>
      <c r="S268" s="1" t="e">
        <f t="shared" si="154"/>
        <v>#DIV/0!</v>
      </c>
      <c r="T268" s="1" t="e">
        <f t="shared" si="155"/>
        <v>#DIV/0!</v>
      </c>
      <c r="U268" s="1" t="e">
        <f t="shared" si="156"/>
        <v>#DIV/0!</v>
      </c>
      <c r="V268">
        <f t="shared" si="157"/>
        <v>851.48</v>
      </c>
      <c r="W268">
        <f t="shared" si="158"/>
        <v>0</v>
      </c>
      <c r="X268">
        <f t="shared" si="159"/>
        <v>0</v>
      </c>
      <c r="Y268">
        <f t="shared" si="160"/>
        <v>0</v>
      </c>
      <c r="Z268">
        <f t="shared" si="161"/>
        <v>0</v>
      </c>
      <c r="AA268">
        <f t="shared" si="162"/>
        <v>0</v>
      </c>
      <c r="AC268">
        <f t="shared" si="163"/>
        <v>1045.25</v>
      </c>
      <c r="AD268">
        <f t="shared" si="164"/>
        <v>0</v>
      </c>
      <c r="AE268">
        <f t="shared" si="165"/>
        <v>0</v>
      </c>
      <c r="AF268">
        <f t="shared" si="166"/>
        <v>0</v>
      </c>
      <c r="AG268">
        <f t="shared" si="167"/>
        <v>0</v>
      </c>
      <c r="AH268">
        <f t="shared" si="168"/>
        <v>0</v>
      </c>
      <c r="AJ268">
        <f t="shared" si="169"/>
        <v>1239.01</v>
      </c>
      <c r="AK268">
        <f t="shared" si="170"/>
        <v>0</v>
      </c>
      <c r="AL268">
        <f t="shared" si="171"/>
        <v>0</v>
      </c>
      <c r="AM268">
        <f t="shared" si="172"/>
        <v>0</v>
      </c>
      <c r="AN268">
        <f t="shared" si="173"/>
        <v>0</v>
      </c>
      <c r="AO268">
        <f t="shared" si="174"/>
        <v>0</v>
      </c>
    </row>
    <row r="269" spans="1:41" x14ac:dyDescent="0.45">
      <c r="A269">
        <v>32.785791940000003</v>
      </c>
      <c r="B269">
        <v>120.3626074</v>
      </c>
      <c r="C269">
        <v>17.774396899999999</v>
      </c>
      <c r="D269">
        <v>8.3521999999999999E-2</v>
      </c>
      <c r="E269">
        <f t="shared" si="140"/>
        <v>8.3521999999999999E-2</v>
      </c>
      <c r="F269">
        <f t="shared" si="141"/>
        <v>0</v>
      </c>
      <c r="G269">
        <f t="shared" si="142"/>
        <v>0</v>
      </c>
      <c r="H269">
        <f t="shared" si="143"/>
        <v>0</v>
      </c>
      <c r="I269">
        <f t="shared" si="144"/>
        <v>0</v>
      </c>
      <c r="J269">
        <f t="shared" si="145"/>
        <v>0</v>
      </c>
      <c r="K269" s="1">
        <f t="shared" si="146"/>
        <v>0</v>
      </c>
      <c r="L269" s="1">
        <f t="shared" si="147"/>
        <v>0</v>
      </c>
      <c r="M269" s="1">
        <f t="shared" si="148"/>
        <v>0</v>
      </c>
      <c r="N269" s="1">
        <f t="shared" si="149"/>
        <v>0</v>
      </c>
      <c r="O269" s="1">
        <f t="shared" si="150"/>
        <v>0</v>
      </c>
      <c r="P269" s="1">
        <f t="shared" si="151"/>
        <v>25</v>
      </c>
      <c r="Q269" s="1" t="e">
        <f t="shared" si="152"/>
        <v>#DIV/0!</v>
      </c>
      <c r="R269" s="1" t="e">
        <f t="shared" si="153"/>
        <v>#DIV/0!</v>
      </c>
      <c r="S269" s="1" t="e">
        <f t="shared" si="154"/>
        <v>#DIV/0!</v>
      </c>
      <c r="T269" s="1" t="e">
        <f t="shared" si="155"/>
        <v>#DIV/0!</v>
      </c>
      <c r="U269" s="1" t="e">
        <f t="shared" si="156"/>
        <v>#DIV/0!</v>
      </c>
      <c r="V269">
        <f t="shared" si="157"/>
        <v>851.48</v>
      </c>
      <c r="W269">
        <f t="shared" si="158"/>
        <v>0</v>
      </c>
      <c r="X269">
        <f t="shared" si="159"/>
        <v>0</v>
      </c>
      <c r="Y269">
        <f t="shared" si="160"/>
        <v>0</v>
      </c>
      <c r="Z269">
        <f t="shared" si="161"/>
        <v>0</v>
      </c>
      <c r="AA269">
        <f t="shared" si="162"/>
        <v>0</v>
      </c>
      <c r="AC269">
        <f t="shared" si="163"/>
        <v>1045.25</v>
      </c>
      <c r="AD269">
        <f t="shared" si="164"/>
        <v>0</v>
      </c>
      <c r="AE269">
        <f t="shared" si="165"/>
        <v>0</v>
      </c>
      <c r="AF269">
        <f t="shared" si="166"/>
        <v>0</v>
      </c>
      <c r="AG269">
        <f t="shared" si="167"/>
        <v>0</v>
      </c>
      <c r="AH269">
        <f t="shared" si="168"/>
        <v>0</v>
      </c>
      <c r="AJ269">
        <f t="shared" si="169"/>
        <v>1239.01</v>
      </c>
      <c r="AK269">
        <f t="shared" si="170"/>
        <v>0</v>
      </c>
      <c r="AL269">
        <f t="shared" si="171"/>
        <v>0</v>
      </c>
      <c r="AM269">
        <f t="shared" si="172"/>
        <v>0</v>
      </c>
      <c r="AN269">
        <f t="shared" si="173"/>
        <v>0</v>
      </c>
      <c r="AO269">
        <f t="shared" si="174"/>
        <v>0</v>
      </c>
    </row>
    <row r="270" spans="1:41" x14ac:dyDescent="0.45">
      <c r="A270">
        <v>32.789836639999997</v>
      </c>
      <c r="B270">
        <v>118.7737516</v>
      </c>
      <c r="C270">
        <v>13.949555399999999</v>
      </c>
      <c r="D270">
        <v>0.94662701999999999</v>
      </c>
      <c r="E270">
        <f t="shared" si="140"/>
        <v>0.94662701999999999</v>
      </c>
      <c r="F270">
        <f t="shared" si="141"/>
        <v>0</v>
      </c>
      <c r="G270">
        <f t="shared" si="142"/>
        <v>0</v>
      </c>
      <c r="H270">
        <f t="shared" si="143"/>
        <v>0</v>
      </c>
      <c r="I270">
        <f t="shared" si="144"/>
        <v>0</v>
      </c>
      <c r="J270">
        <f t="shared" si="145"/>
        <v>0</v>
      </c>
      <c r="K270" s="1">
        <f t="shared" si="146"/>
        <v>0</v>
      </c>
      <c r="L270" s="1">
        <f t="shared" si="147"/>
        <v>0</v>
      </c>
      <c r="M270" s="1">
        <f t="shared" si="148"/>
        <v>0</v>
      </c>
      <c r="N270" s="1">
        <f t="shared" si="149"/>
        <v>0</v>
      </c>
      <c r="O270" s="1">
        <f t="shared" si="150"/>
        <v>0</v>
      </c>
      <c r="P270" s="1">
        <f t="shared" si="151"/>
        <v>25</v>
      </c>
      <c r="Q270" s="1" t="e">
        <f t="shared" si="152"/>
        <v>#DIV/0!</v>
      </c>
      <c r="R270" s="1" t="e">
        <f t="shared" si="153"/>
        <v>#DIV/0!</v>
      </c>
      <c r="S270" s="1" t="e">
        <f t="shared" si="154"/>
        <v>#DIV/0!</v>
      </c>
      <c r="T270" s="1" t="e">
        <f t="shared" si="155"/>
        <v>#DIV/0!</v>
      </c>
      <c r="U270" s="1" t="e">
        <f t="shared" si="156"/>
        <v>#DIV/0!</v>
      </c>
      <c r="V270">
        <f t="shared" si="157"/>
        <v>851.48</v>
      </c>
      <c r="W270">
        <f t="shared" si="158"/>
        <v>0</v>
      </c>
      <c r="X270">
        <f t="shared" si="159"/>
        <v>0</v>
      </c>
      <c r="Y270">
        <f t="shared" si="160"/>
        <v>0</v>
      </c>
      <c r="Z270">
        <f t="shared" si="161"/>
        <v>0</v>
      </c>
      <c r="AA270">
        <f t="shared" si="162"/>
        <v>0</v>
      </c>
      <c r="AC270">
        <f t="shared" si="163"/>
        <v>1045.25</v>
      </c>
      <c r="AD270">
        <f t="shared" si="164"/>
        <v>0</v>
      </c>
      <c r="AE270">
        <f t="shared" si="165"/>
        <v>0</v>
      </c>
      <c r="AF270">
        <f t="shared" si="166"/>
        <v>0</v>
      </c>
      <c r="AG270">
        <f t="shared" si="167"/>
        <v>0</v>
      </c>
      <c r="AH270">
        <f t="shared" si="168"/>
        <v>0</v>
      </c>
      <c r="AJ270">
        <f t="shared" si="169"/>
        <v>1239.01</v>
      </c>
      <c r="AK270">
        <f t="shared" si="170"/>
        <v>0</v>
      </c>
      <c r="AL270">
        <f t="shared" si="171"/>
        <v>0</v>
      </c>
      <c r="AM270">
        <f t="shared" si="172"/>
        <v>0</v>
      </c>
      <c r="AN270">
        <f t="shared" si="173"/>
        <v>0</v>
      </c>
      <c r="AO270">
        <f t="shared" si="174"/>
        <v>0</v>
      </c>
    </row>
    <row r="271" spans="1:41" x14ac:dyDescent="0.45">
      <c r="A271">
        <v>32.793800179999998</v>
      </c>
      <c r="B271">
        <v>119.9251289</v>
      </c>
      <c r="C271">
        <v>134.76608279999999</v>
      </c>
      <c r="D271">
        <v>2.9357829099999999</v>
      </c>
      <c r="E271">
        <f t="shared" si="140"/>
        <v>2.9357829099999999</v>
      </c>
      <c r="F271">
        <f t="shared" si="141"/>
        <v>0</v>
      </c>
      <c r="G271">
        <f t="shared" si="142"/>
        <v>0</v>
      </c>
      <c r="H271">
        <f t="shared" si="143"/>
        <v>0</v>
      </c>
      <c r="I271">
        <f t="shared" si="144"/>
        <v>0</v>
      </c>
      <c r="J271">
        <f t="shared" si="145"/>
        <v>0</v>
      </c>
      <c r="K271" s="1">
        <f t="shared" si="146"/>
        <v>0</v>
      </c>
      <c r="L271" s="1">
        <f t="shared" si="147"/>
        <v>0</v>
      </c>
      <c r="M271" s="1">
        <f t="shared" si="148"/>
        <v>0</v>
      </c>
      <c r="N271" s="1">
        <f t="shared" si="149"/>
        <v>0</v>
      </c>
      <c r="O271" s="1">
        <f t="shared" si="150"/>
        <v>0</v>
      </c>
      <c r="P271" s="1">
        <f t="shared" si="151"/>
        <v>25</v>
      </c>
      <c r="Q271" s="1" t="e">
        <f t="shared" si="152"/>
        <v>#DIV/0!</v>
      </c>
      <c r="R271" s="1" t="e">
        <f t="shared" si="153"/>
        <v>#DIV/0!</v>
      </c>
      <c r="S271" s="1" t="e">
        <f t="shared" si="154"/>
        <v>#DIV/0!</v>
      </c>
      <c r="T271" s="1" t="e">
        <f t="shared" si="155"/>
        <v>#DIV/0!</v>
      </c>
      <c r="U271" s="1" t="e">
        <f t="shared" si="156"/>
        <v>#DIV/0!</v>
      </c>
      <c r="V271">
        <f t="shared" si="157"/>
        <v>851.48</v>
      </c>
      <c r="W271">
        <f t="shared" si="158"/>
        <v>0</v>
      </c>
      <c r="X271">
        <f t="shared" si="159"/>
        <v>0</v>
      </c>
      <c r="Y271">
        <f t="shared" si="160"/>
        <v>0</v>
      </c>
      <c r="Z271">
        <f t="shared" si="161"/>
        <v>0</v>
      </c>
      <c r="AA271">
        <f t="shared" si="162"/>
        <v>0</v>
      </c>
      <c r="AC271">
        <f t="shared" si="163"/>
        <v>1045.25</v>
      </c>
      <c r="AD271">
        <f t="shared" si="164"/>
        <v>0</v>
      </c>
      <c r="AE271">
        <f t="shared" si="165"/>
        <v>0</v>
      </c>
      <c r="AF271">
        <f t="shared" si="166"/>
        <v>0</v>
      </c>
      <c r="AG271">
        <f t="shared" si="167"/>
        <v>0</v>
      </c>
      <c r="AH271">
        <f t="shared" si="168"/>
        <v>0</v>
      </c>
      <c r="AJ271">
        <f t="shared" si="169"/>
        <v>1239.01</v>
      </c>
      <c r="AK271">
        <f t="shared" si="170"/>
        <v>0</v>
      </c>
      <c r="AL271">
        <f t="shared" si="171"/>
        <v>0</v>
      </c>
      <c r="AM271">
        <f t="shared" si="172"/>
        <v>0</v>
      </c>
      <c r="AN271">
        <f t="shared" si="173"/>
        <v>0</v>
      </c>
      <c r="AO271">
        <f t="shared" si="174"/>
        <v>0</v>
      </c>
    </row>
    <row r="272" spans="1:41" x14ac:dyDescent="0.45">
      <c r="A272">
        <v>32.806886280000001</v>
      </c>
      <c r="B272">
        <v>119.8176758</v>
      </c>
      <c r="C272">
        <v>134.76608279999999</v>
      </c>
      <c r="D272">
        <v>1.0994189999999999</v>
      </c>
      <c r="E272">
        <f t="shared" si="140"/>
        <v>1.0994189999999999</v>
      </c>
      <c r="F272">
        <f t="shared" si="141"/>
        <v>0</v>
      </c>
      <c r="G272">
        <f t="shared" si="142"/>
        <v>0</v>
      </c>
      <c r="H272">
        <f t="shared" si="143"/>
        <v>0</v>
      </c>
      <c r="I272">
        <f t="shared" si="144"/>
        <v>0</v>
      </c>
      <c r="J272">
        <f t="shared" si="145"/>
        <v>0</v>
      </c>
      <c r="K272" s="1">
        <f t="shared" si="146"/>
        <v>0</v>
      </c>
      <c r="L272" s="1">
        <f t="shared" si="147"/>
        <v>0</v>
      </c>
      <c r="M272" s="1">
        <f t="shared" si="148"/>
        <v>0</v>
      </c>
      <c r="N272" s="1">
        <f t="shared" si="149"/>
        <v>0</v>
      </c>
      <c r="O272" s="1">
        <f t="shared" si="150"/>
        <v>0</v>
      </c>
      <c r="P272" s="1">
        <f t="shared" si="151"/>
        <v>25</v>
      </c>
      <c r="Q272" s="1" t="e">
        <f t="shared" si="152"/>
        <v>#DIV/0!</v>
      </c>
      <c r="R272" s="1" t="e">
        <f t="shared" si="153"/>
        <v>#DIV/0!</v>
      </c>
      <c r="S272" s="1" t="e">
        <f t="shared" si="154"/>
        <v>#DIV/0!</v>
      </c>
      <c r="T272" s="1" t="e">
        <f t="shared" si="155"/>
        <v>#DIV/0!</v>
      </c>
      <c r="U272" s="1" t="e">
        <f t="shared" si="156"/>
        <v>#DIV/0!</v>
      </c>
      <c r="V272">
        <f t="shared" si="157"/>
        <v>851.48</v>
      </c>
      <c r="W272">
        <f t="shared" si="158"/>
        <v>0</v>
      </c>
      <c r="X272">
        <f t="shared" si="159"/>
        <v>0</v>
      </c>
      <c r="Y272">
        <f t="shared" si="160"/>
        <v>0</v>
      </c>
      <c r="Z272">
        <f t="shared" si="161"/>
        <v>0</v>
      </c>
      <c r="AA272">
        <f t="shared" si="162"/>
        <v>0</v>
      </c>
      <c r="AC272">
        <f t="shared" si="163"/>
        <v>1045.25</v>
      </c>
      <c r="AD272">
        <f t="shared" si="164"/>
        <v>0</v>
      </c>
      <c r="AE272">
        <f t="shared" si="165"/>
        <v>0</v>
      </c>
      <c r="AF272">
        <f t="shared" si="166"/>
        <v>0</v>
      </c>
      <c r="AG272">
        <f t="shared" si="167"/>
        <v>0</v>
      </c>
      <c r="AH272">
        <f t="shared" si="168"/>
        <v>0</v>
      </c>
      <c r="AJ272">
        <f t="shared" si="169"/>
        <v>1239.01</v>
      </c>
      <c r="AK272">
        <f t="shared" si="170"/>
        <v>0</v>
      </c>
      <c r="AL272">
        <f t="shared" si="171"/>
        <v>0</v>
      </c>
      <c r="AM272">
        <f t="shared" si="172"/>
        <v>0</v>
      </c>
      <c r="AN272">
        <f t="shared" si="173"/>
        <v>0</v>
      </c>
      <c r="AO272">
        <f t="shared" si="174"/>
        <v>0</v>
      </c>
    </row>
    <row r="273" spans="1:41" x14ac:dyDescent="0.45">
      <c r="A273">
        <v>32.817074359999999</v>
      </c>
      <c r="B273">
        <v>118.9423567</v>
      </c>
      <c r="C273">
        <v>13.949555399999999</v>
      </c>
      <c r="D273">
        <v>1.6332730099999999</v>
      </c>
      <c r="E273">
        <f t="shared" si="140"/>
        <v>1.6332730099999999</v>
      </c>
      <c r="F273">
        <f t="shared" si="141"/>
        <v>0</v>
      </c>
      <c r="G273">
        <f t="shared" si="142"/>
        <v>0</v>
      </c>
      <c r="H273">
        <f t="shared" si="143"/>
        <v>0</v>
      </c>
      <c r="I273">
        <f t="shared" si="144"/>
        <v>0</v>
      </c>
      <c r="J273">
        <f t="shared" si="145"/>
        <v>0</v>
      </c>
      <c r="K273" s="1">
        <f t="shared" si="146"/>
        <v>0</v>
      </c>
      <c r="L273" s="1">
        <f t="shared" si="147"/>
        <v>0</v>
      </c>
      <c r="M273" s="1">
        <f t="shared" si="148"/>
        <v>0</v>
      </c>
      <c r="N273" s="1">
        <f t="shared" si="149"/>
        <v>0</v>
      </c>
      <c r="O273" s="1">
        <f t="shared" si="150"/>
        <v>0</v>
      </c>
      <c r="P273" s="1">
        <f t="shared" si="151"/>
        <v>24.999999999999996</v>
      </c>
      <c r="Q273" s="1" t="e">
        <f t="shared" si="152"/>
        <v>#DIV/0!</v>
      </c>
      <c r="R273" s="1" t="e">
        <f t="shared" si="153"/>
        <v>#DIV/0!</v>
      </c>
      <c r="S273" s="1" t="e">
        <f t="shared" si="154"/>
        <v>#DIV/0!</v>
      </c>
      <c r="T273" s="1" t="e">
        <f t="shared" si="155"/>
        <v>#DIV/0!</v>
      </c>
      <c r="U273" s="1" t="e">
        <f t="shared" si="156"/>
        <v>#DIV/0!</v>
      </c>
      <c r="V273">
        <f t="shared" si="157"/>
        <v>851.4799999999999</v>
      </c>
      <c r="W273">
        <f t="shared" si="158"/>
        <v>0</v>
      </c>
      <c r="X273">
        <f t="shared" si="159"/>
        <v>0</v>
      </c>
      <c r="Y273">
        <f t="shared" si="160"/>
        <v>0</v>
      </c>
      <c r="Z273">
        <f t="shared" si="161"/>
        <v>0</v>
      </c>
      <c r="AA273">
        <f t="shared" si="162"/>
        <v>0</v>
      </c>
      <c r="AC273">
        <f t="shared" si="163"/>
        <v>1045.25</v>
      </c>
      <c r="AD273">
        <f t="shared" si="164"/>
        <v>0</v>
      </c>
      <c r="AE273">
        <f t="shared" si="165"/>
        <v>0</v>
      </c>
      <c r="AF273">
        <f t="shared" si="166"/>
        <v>0</v>
      </c>
      <c r="AG273">
        <f t="shared" si="167"/>
        <v>0</v>
      </c>
      <c r="AH273">
        <f t="shared" si="168"/>
        <v>0</v>
      </c>
      <c r="AJ273">
        <f t="shared" si="169"/>
        <v>1239.0099999999998</v>
      </c>
      <c r="AK273">
        <f t="shared" si="170"/>
        <v>0</v>
      </c>
      <c r="AL273">
        <f t="shared" si="171"/>
        <v>0</v>
      </c>
      <c r="AM273">
        <f t="shared" si="172"/>
        <v>0</v>
      </c>
      <c r="AN273">
        <f t="shared" si="173"/>
        <v>0</v>
      </c>
      <c r="AO273">
        <f t="shared" si="174"/>
        <v>0</v>
      </c>
    </row>
    <row r="274" spans="1:41" x14ac:dyDescent="0.45">
      <c r="A274">
        <v>32.818749969999999</v>
      </c>
      <c r="B274">
        <v>113.15543839999999</v>
      </c>
      <c r="C274">
        <v>42.111118320000003</v>
      </c>
      <c r="D274">
        <v>1.0643060200000001</v>
      </c>
      <c r="E274">
        <f t="shared" si="140"/>
        <v>1.0643060200000001</v>
      </c>
      <c r="F274">
        <f t="shared" si="141"/>
        <v>0</v>
      </c>
      <c r="G274">
        <f t="shared" si="142"/>
        <v>0</v>
      </c>
      <c r="H274">
        <f t="shared" si="143"/>
        <v>0</v>
      </c>
      <c r="I274">
        <f t="shared" si="144"/>
        <v>0</v>
      </c>
      <c r="J274">
        <f t="shared" si="145"/>
        <v>0</v>
      </c>
      <c r="K274" s="1">
        <f t="shared" si="146"/>
        <v>0</v>
      </c>
      <c r="L274" s="1">
        <f t="shared" si="147"/>
        <v>0</v>
      </c>
      <c r="M274" s="1">
        <f t="shared" si="148"/>
        <v>0</v>
      </c>
      <c r="N274" s="1">
        <f t="shared" si="149"/>
        <v>0</v>
      </c>
      <c r="O274" s="1">
        <f t="shared" si="150"/>
        <v>0</v>
      </c>
      <c r="P274" s="1">
        <f t="shared" si="151"/>
        <v>25</v>
      </c>
      <c r="Q274" s="1" t="e">
        <f t="shared" si="152"/>
        <v>#DIV/0!</v>
      </c>
      <c r="R274" s="1" t="e">
        <f t="shared" si="153"/>
        <v>#DIV/0!</v>
      </c>
      <c r="S274" s="1" t="e">
        <f t="shared" si="154"/>
        <v>#DIV/0!</v>
      </c>
      <c r="T274" s="1" t="e">
        <f t="shared" si="155"/>
        <v>#DIV/0!</v>
      </c>
      <c r="U274" s="1" t="e">
        <f t="shared" si="156"/>
        <v>#DIV/0!</v>
      </c>
      <c r="V274">
        <f t="shared" si="157"/>
        <v>851.48</v>
      </c>
      <c r="W274">
        <f t="shared" si="158"/>
        <v>0</v>
      </c>
      <c r="X274">
        <f t="shared" si="159"/>
        <v>0</v>
      </c>
      <c r="Y274">
        <f t="shared" si="160"/>
        <v>0</v>
      </c>
      <c r="Z274">
        <f t="shared" si="161"/>
        <v>0</v>
      </c>
      <c r="AA274">
        <f t="shared" si="162"/>
        <v>0</v>
      </c>
      <c r="AC274">
        <f t="shared" si="163"/>
        <v>1045.25</v>
      </c>
      <c r="AD274">
        <f t="shared" si="164"/>
        <v>0</v>
      </c>
      <c r="AE274">
        <f t="shared" si="165"/>
        <v>0</v>
      </c>
      <c r="AF274">
        <f t="shared" si="166"/>
        <v>0</v>
      </c>
      <c r="AG274">
        <f t="shared" si="167"/>
        <v>0</v>
      </c>
      <c r="AH274">
        <f t="shared" si="168"/>
        <v>0</v>
      </c>
      <c r="AJ274">
        <f t="shared" si="169"/>
        <v>1239.01</v>
      </c>
      <c r="AK274">
        <f t="shared" si="170"/>
        <v>0</v>
      </c>
      <c r="AL274">
        <f t="shared" si="171"/>
        <v>0</v>
      </c>
      <c r="AM274">
        <f t="shared" si="172"/>
        <v>0</v>
      </c>
      <c r="AN274">
        <f t="shared" si="173"/>
        <v>0</v>
      </c>
      <c r="AO274">
        <f t="shared" si="174"/>
        <v>0</v>
      </c>
    </row>
    <row r="275" spans="1:41" x14ac:dyDescent="0.45">
      <c r="A275">
        <v>32.826326870000003</v>
      </c>
      <c r="B275">
        <v>119.656432</v>
      </c>
      <c r="C275">
        <v>134.76608279999999</v>
      </c>
      <c r="D275">
        <v>2.3453999999999999E-2</v>
      </c>
      <c r="E275">
        <f t="shared" si="140"/>
        <v>2.3453999999999999E-2</v>
      </c>
      <c r="F275">
        <f t="shared" si="141"/>
        <v>0</v>
      </c>
      <c r="G275">
        <f t="shared" si="142"/>
        <v>0</v>
      </c>
      <c r="H275">
        <f t="shared" si="143"/>
        <v>0</v>
      </c>
      <c r="I275">
        <f t="shared" si="144"/>
        <v>0</v>
      </c>
      <c r="J275">
        <f t="shared" si="145"/>
        <v>0</v>
      </c>
      <c r="K275" s="1">
        <f t="shared" si="146"/>
        <v>0</v>
      </c>
      <c r="L275" s="1">
        <f t="shared" si="147"/>
        <v>0</v>
      </c>
      <c r="M275" s="1">
        <f t="shared" si="148"/>
        <v>0</v>
      </c>
      <c r="N275" s="1">
        <f t="shared" si="149"/>
        <v>0</v>
      </c>
      <c r="O275" s="1">
        <f t="shared" si="150"/>
        <v>0</v>
      </c>
      <c r="P275" s="1">
        <f t="shared" si="151"/>
        <v>24.999999999999996</v>
      </c>
      <c r="Q275" s="1" t="e">
        <f t="shared" si="152"/>
        <v>#DIV/0!</v>
      </c>
      <c r="R275" s="1" t="e">
        <f t="shared" si="153"/>
        <v>#DIV/0!</v>
      </c>
      <c r="S275" s="1" t="e">
        <f t="shared" si="154"/>
        <v>#DIV/0!</v>
      </c>
      <c r="T275" s="1" t="e">
        <f t="shared" si="155"/>
        <v>#DIV/0!</v>
      </c>
      <c r="U275" s="1" t="e">
        <f t="shared" si="156"/>
        <v>#DIV/0!</v>
      </c>
      <c r="V275">
        <f t="shared" si="157"/>
        <v>851.4799999999999</v>
      </c>
      <c r="W275">
        <f t="shared" si="158"/>
        <v>0</v>
      </c>
      <c r="X275">
        <f t="shared" si="159"/>
        <v>0</v>
      </c>
      <c r="Y275">
        <f t="shared" si="160"/>
        <v>0</v>
      </c>
      <c r="Z275">
        <f t="shared" si="161"/>
        <v>0</v>
      </c>
      <c r="AA275">
        <f t="shared" si="162"/>
        <v>0</v>
      </c>
      <c r="AC275">
        <f t="shared" si="163"/>
        <v>1045.25</v>
      </c>
      <c r="AD275">
        <f t="shared" si="164"/>
        <v>0</v>
      </c>
      <c r="AE275">
        <f t="shared" si="165"/>
        <v>0</v>
      </c>
      <c r="AF275">
        <f t="shared" si="166"/>
        <v>0</v>
      </c>
      <c r="AG275">
        <f t="shared" si="167"/>
        <v>0</v>
      </c>
      <c r="AH275">
        <f t="shared" si="168"/>
        <v>0</v>
      </c>
      <c r="AJ275">
        <f t="shared" si="169"/>
        <v>1239.0099999999998</v>
      </c>
      <c r="AK275">
        <f t="shared" si="170"/>
        <v>0</v>
      </c>
      <c r="AL275">
        <f t="shared" si="171"/>
        <v>0</v>
      </c>
      <c r="AM275">
        <f t="shared" si="172"/>
        <v>0</v>
      </c>
      <c r="AN275">
        <f t="shared" si="173"/>
        <v>0</v>
      </c>
      <c r="AO275">
        <f t="shared" si="174"/>
        <v>0</v>
      </c>
    </row>
    <row r="276" spans="1:41" x14ac:dyDescent="0.45">
      <c r="A276">
        <v>32.837865209999997</v>
      </c>
      <c r="B276">
        <v>119.16488409999999</v>
      </c>
      <c r="C276">
        <v>13.185196879999999</v>
      </c>
      <c r="D276">
        <v>0.25119701</v>
      </c>
      <c r="E276">
        <f t="shared" si="140"/>
        <v>0.25119701</v>
      </c>
      <c r="F276">
        <f t="shared" si="141"/>
        <v>0</v>
      </c>
      <c r="G276">
        <f t="shared" si="142"/>
        <v>0</v>
      </c>
      <c r="H276">
        <f t="shared" si="143"/>
        <v>0</v>
      </c>
      <c r="I276">
        <f t="shared" si="144"/>
        <v>0</v>
      </c>
      <c r="J276">
        <f t="shared" si="145"/>
        <v>0</v>
      </c>
      <c r="K276" s="1">
        <f t="shared" si="146"/>
        <v>0</v>
      </c>
      <c r="L276" s="1">
        <f t="shared" si="147"/>
        <v>0</v>
      </c>
      <c r="M276" s="1">
        <f t="shared" si="148"/>
        <v>0</v>
      </c>
      <c r="N276" s="1">
        <f t="shared" si="149"/>
        <v>0</v>
      </c>
      <c r="O276" s="1">
        <f t="shared" si="150"/>
        <v>0</v>
      </c>
      <c r="P276" s="1">
        <f t="shared" si="151"/>
        <v>25</v>
      </c>
      <c r="Q276" s="1" t="e">
        <f t="shared" si="152"/>
        <v>#DIV/0!</v>
      </c>
      <c r="R276" s="1" t="e">
        <f t="shared" si="153"/>
        <v>#DIV/0!</v>
      </c>
      <c r="S276" s="1" t="e">
        <f t="shared" si="154"/>
        <v>#DIV/0!</v>
      </c>
      <c r="T276" s="1" t="e">
        <f t="shared" si="155"/>
        <v>#DIV/0!</v>
      </c>
      <c r="U276" s="1" t="e">
        <f t="shared" si="156"/>
        <v>#DIV/0!</v>
      </c>
      <c r="V276">
        <f t="shared" si="157"/>
        <v>851.48</v>
      </c>
      <c r="W276">
        <f t="shared" si="158"/>
        <v>0</v>
      </c>
      <c r="X276">
        <f t="shared" si="159"/>
        <v>0</v>
      </c>
      <c r="Y276">
        <f t="shared" si="160"/>
        <v>0</v>
      </c>
      <c r="Z276">
        <f t="shared" si="161"/>
        <v>0</v>
      </c>
      <c r="AA276">
        <f t="shared" si="162"/>
        <v>0</v>
      </c>
      <c r="AC276">
        <f t="shared" si="163"/>
        <v>1045.25</v>
      </c>
      <c r="AD276">
        <f t="shared" si="164"/>
        <v>0</v>
      </c>
      <c r="AE276">
        <f t="shared" si="165"/>
        <v>0</v>
      </c>
      <c r="AF276">
        <f t="shared" si="166"/>
        <v>0</v>
      </c>
      <c r="AG276">
        <f t="shared" si="167"/>
        <v>0</v>
      </c>
      <c r="AH276">
        <f t="shared" si="168"/>
        <v>0</v>
      </c>
      <c r="AJ276">
        <f t="shared" si="169"/>
        <v>1239.01</v>
      </c>
      <c r="AK276">
        <f t="shared" si="170"/>
        <v>0</v>
      </c>
      <c r="AL276">
        <f t="shared" si="171"/>
        <v>0</v>
      </c>
      <c r="AM276">
        <f t="shared" si="172"/>
        <v>0</v>
      </c>
      <c r="AN276">
        <f t="shared" si="173"/>
        <v>0</v>
      </c>
      <c r="AO276">
        <f t="shared" si="174"/>
        <v>0</v>
      </c>
    </row>
    <row r="277" spans="1:41" x14ac:dyDescent="0.45">
      <c r="A277">
        <v>32.844064709999998</v>
      </c>
      <c r="B277">
        <v>119.11107370000001</v>
      </c>
      <c r="C277">
        <v>13.185196879999999</v>
      </c>
      <c r="D277">
        <v>0.49432999</v>
      </c>
      <c r="E277">
        <f t="shared" si="140"/>
        <v>0.49432999</v>
      </c>
      <c r="F277">
        <f t="shared" si="141"/>
        <v>0</v>
      </c>
      <c r="G277">
        <f t="shared" si="142"/>
        <v>0</v>
      </c>
      <c r="H277">
        <f t="shared" si="143"/>
        <v>0</v>
      </c>
      <c r="I277">
        <f t="shared" si="144"/>
        <v>0</v>
      </c>
      <c r="J277">
        <f t="shared" si="145"/>
        <v>0</v>
      </c>
      <c r="K277" s="1">
        <f t="shared" si="146"/>
        <v>0</v>
      </c>
      <c r="L277" s="1">
        <f t="shared" si="147"/>
        <v>0</v>
      </c>
      <c r="M277" s="1">
        <f t="shared" si="148"/>
        <v>0</v>
      </c>
      <c r="N277" s="1">
        <f t="shared" si="149"/>
        <v>0</v>
      </c>
      <c r="O277" s="1">
        <f t="shared" si="150"/>
        <v>0</v>
      </c>
      <c r="P277" s="1">
        <f t="shared" si="151"/>
        <v>25</v>
      </c>
      <c r="Q277" s="1" t="e">
        <f t="shared" si="152"/>
        <v>#DIV/0!</v>
      </c>
      <c r="R277" s="1" t="e">
        <f t="shared" si="153"/>
        <v>#DIV/0!</v>
      </c>
      <c r="S277" s="1" t="e">
        <f t="shared" si="154"/>
        <v>#DIV/0!</v>
      </c>
      <c r="T277" s="1" t="e">
        <f t="shared" si="155"/>
        <v>#DIV/0!</v>
      </c>
      <c r="U277" s="1" t="e">
        <f t="shared" si="156"/>
        <v>#DIV/0!</v>
      </c>
      <c r="V277">
        <f t="shared" si="157"/>
        <v>851.48</v>
      </c>
      <c r="W277">
        <f t="shared" si="158"/>
        <v>0</v>
      </c>
      <c r="X277">
        <f t="shared" si="159"/>
        <v>0</v>
      </c>
      <c r="Y277">
        <f t="shared" si="160"/>
        <v>0</v>
      </c>
      <c r="Z277">
        <f t="shared" si="161"/>
        <v>0</v>
      </c>
      <c r="AA277">
        <f t="shared" si="162"/>
        <v>0</v>
      </c>
      <c r="AC277">
        <f t="shared" si="163"/>
        <v>1045.25</v>
      </c>
      <c r="AD277">
        <f t="shared" si="164"/>
        <v>0</v>
      </c>
      <c r="AE277">
        <f t="shared" si="165"/>
        <v>0</v>
      </c>
      <c r="AF277">
        <f t="shared" si="166"/>
        <v>0</v>
      </c>
      <c r="AG277">
        <f t="shared" si="167"/>
        <v>0</v>
      </c>
      <c r="AH277">
        <f t="shared" si="168"/>
        <v>0</v>
      </c>
      <c r="AJ277">
        <f t="shared" si="169"/>
        <v>1239.01</v>
      </c>
      <c r="AK277">
        <f t="shared" si="170"/>
        <v>0</v>
      </c>
      <c r="AL277">
        <f t="shared" si="171"/>
        <v>0</v>
      </c>
      <c r="AM277">
        <f t="shared" si="172"/>
        <v>0</v>
      </c>
      <c r="AN277">
        <f t="shared" si="173"/>
        <v>0</v>
      </c>
      <c r="AO277">
        <f t="shared" si="174"/>
        <v>0</v>
      </c>
    </row>
    <row r="278" spans="1:41" x14ac:dyDescent="0.45">
      <c r="A278">
        <v>32.877061050000002</v>
      </c>
      <c r="B278">
        <v>119.2260782</v>
      </c>
      <c r="C278">
        <v>13.185196879999999</v>
      </c>
      <c r="D278">
        <v>0.95962000000000003</v>
      </c>
      <c r="E278">
        <f t="shared" si="140"/>
        <v>0.95962000000000003</v>
      </c>
      <c r="F278">
        <f t="shared" si="141"/>
        <v>0</v>
      </c>
      <c r="G278">
        <f t="shared" si="142"/>
        <v>0</v>
      </c>
      <c r="H278">
        <f t="shared" si="143"/>
        <v>0</v>
      </c>
      <c r="I278">
        <f t="shared" si="144"/>
        <v>0</v>
      </c>
      <c r="J278">
        <f t="shared" si="145"/>
        <v>0</v>
      </c>
      <c r="K278" s="1">
        <f t="shared" si="146"/>
        <v>0</v>
      </c>
      <c r="L278" s="1">
        <f t="shared" si="147"/>
        <v>0</v>
      </c>
      <c r="M278" s="1">
        <f t="shared" si="148"/>
        <v>0</v>
      </c>
      <c r="N278" s="1">
        <f t="shared" si="149"/>
        <v>0</v>
      </c>
      <c r="O278" s="1">
        <f t="shared" si="150"/>
        <v>0</v>
      </c>
      <c r="P278" s="1">
        <f t="shared" si="151"/>
        <v>25</v>
      </c>
      <c r="Q278" s="1" t="e">
        <f t="shared" si="152"/>
        <v>#DIV/0!</v>
      </c>
      <c r="R278" s="1" t="e">
        <f t="shared" si="153"/>
        <v>#DIV/0!</v>
      </c>
      <c r="S278" s="1" t="e">
        <f t="shared" si="154"/>
        <v>#DIV/0!</v>
      </c>
      <c r="T278" s="1" t="e">
        <f t="shared" si="155"/>
        <v>#DIV/0!</v>
      </c>
      <c r="U278" s="1" t="e">
        <f t="shared" si="156"/>
        <v>#DIV/0!</v>
      </c>
      <c r="V278">
        <f t="shared" si="157"/>
        <v>851.48</v>
      </c>
      <c r="W278">
        <f t="shared" si="158"/>
        <v>0</v>
      </c>
      <c r="X278">
        <f t="shared" si="159"/>
        <v>0</v>
      </c>
      <c r="Y278">
        <f t="shared" si="160"/>
        <v>0</v>
      </c>
      <c r="Z278">
        <f t="shared" si="161"/>
        <v>0</v>
      </c>
      <c r="AA278">
        <f t="shared" si="162"/>
        <v>0</v>
      </c>
      <c r="AC278">
        <f t="shared" si="163"/>
        <v>1045.25</v>
      </c>
      <c r="AD278">
        <f t="shared" si="164"/>
        <v>0</v>
      </c>
      <c r="AE278">
        <f t="shared" si="165"/>
        <v>0</v>
      </c>
      <c r="AF278">
        <f t="shared" si="166"/>
        <v>0</v>
      </c>
      <c r="AG278">
        <f t="shared" si="167"/>
        <v>0</v>
      </c>
      <c r="AH278">
        <f t="shared" si="168"/>
        <v>0</v>
      </c>
      <c r="AJ278">
        <f t="shared" si="169"/>
        <v>1239.01</v>
      </c>
      <c r="AK278">
        <f t="shared" si="170"/>
        <v>0</v>
      </c>
      <c r="AL278">
        <f t="shared" si="171"/>
        <v>0</v>
      </c>
      <c r="AM278">
        <f t="shared" si="172"/>
        <v>0</v>
      </c>
      <c r="AN278">
        <f t="shared" si="173"/>
        <v>0</v>
      </c>
      <c r="AO278">
        <f t="shared" si="174"/>
        <v>0</v>
      </c>
    </row>
    <row r="279" spans="1:41" x14ac:dyDescent="0.45">
      <c r="A279">
        <v>32.883289449999999</v>
      </c>
      <c r="B279">
        <v>119.1722467</v>
      </c>
      <c r="C279">
        <v>13.185196879999999</v>
      </c>
      <c r="D279">
        <v>1.1769339999999999</v>
      </c>
      <c r="E279">
        <f t="shared" si="140"/>
        <v>1.1769339999999999</v>
      </c>
      <c r="F279">
        <f t="shared" si="141"/>
        <v>0</v>
      </c>
      <c r="G279">
        <f t="shared" si="142"/>
        <v>0</v>
      </c>
      <c r="H279">
        <f t="shared" si="143"/>
        <v>0</v>
      </c>
      <c r="I279">
        <f t="shared" si="144"/>
        <v>0</v>
      </c>
      <c r="J279">
        <f t="shared" si="145"/>
        <v>0</v>
      </c>
      <c r="K279" s="1">
        <f t="shared" si="146"/>
        <v>0</v>
      </c>
      <c r="L279" s="1">
        <f t="shared" si="147"/>
        <v>0</v>
      </c>
      <c r="M279" s="1">
        <f t="shared" si="148"/>
        <v>0</v>
      </c>
      <c r="N279" s="1">
        <f t="shared" si="149"/>
        <v>0</v>
      </c>
      <c r="O279" s="1">
        <f t="shared" si="150"/>
        <v>0</v>
      </c>
      <c r="P279" s="1">
        <f t="shared" si="151"/>
        <v>25</v>
      </c>
      <c r="Q279" s="1" t="e">
        <f t="shared" si="152"/>
        <v>#DIV/0!</v>
      </c>
      <c r="R279" s="1" t="e">
        <f t="shared" si="153"/>
        <v>#DIV/0!</v>
      </c>
      <c r="S279" s="1" t="e">
        <f t="shared" si="154"/>
        <v>#DIV/0!</v>
      </c>
      <c r="T279" s="1" t="e">
        <f t="shared" si="155"/>
        <v>#DIV/0!</v>
      </c>
      <c r="U279" s="1" t="e">
        <f t="shared" si="156"/>
        <v>#DIV/0!</v>
      </c>
      <c r="V279">
        <f t="shared" si="157"/>
        <v>851.48</v>
      </c>
      <c r="W279">
        <f t="shared" si="158"/>
        <v>0</v>
      </c>
      <c r="X279">
        <f t="shared" si="159"/>
        <v>0</v>
      </c>
      <c r="Y279">
        <f t="shared" si="160"/>
        <v>0</v>
      </c>
      <c r="Z279">
        <f t="shared" si="161"/>
        <v>0</v>
      </c>
      <c r="AA279">
        <f t="shared" si="162"/>
        <v>0</v>
      </c>
      <c r="AC279">
        <f t="shared" si="163"/>
        <v>1045.25</v>
      </c>
      <c r="AD279">
        <f t="shared" si="164"/>
        <v>0</v>
      </c>
      <c r="AE279">
        <f t="shared" si="165"/>
        <v>0</v>
      </c>
      <c r="AF279">
        <f t="shared" si="166"/>
        <v>0</v>
      </c>
      <c r="AG279">
        <f t="shared" si="167"/>
        <v>0</v>
      </c>
      <c r="AH279">
        <f t="shared" si="168"/>
        <v>0</v>
      </c>
      <c r="AJ279">
        <f t="shared" si="169"/>
        <v>1239.01</v>
      </c>
      <c r="AK279">
        <f t="shared" si="170"/>
        <v>0</v>
      </c>
      <c r="AL279">
        <f t="shared" si="171"/>
        <v>0</v>
      </c>
      <c r="AM279">
        <f t="shared" si="172"/>
        <v>0</v>
      </c>
      <c r="AN279">
        <f t="shared" si="173"/>
        <v>0</v>
      </c>
      <c r="AO279">
        <f t="shared" si="174"/>
        <v>0</v>
      </c>
    </row>
    <row r="280" spans="1:41" x14ac:dyDescent="0.45">
      <c r="A280">
        <v>32.920130129999997</v>
      </c>
      <c r="B280">
        <v>118.8490865</v>
      </c>
      <c r="C280">
        <v>13.949555399999999</v>
      </c>
      <c r="D280">
        <v>0.76259398</v>
      </c>
      <c r="E280">
        <f t="shared" si="140"/>
        <v>0.76259398</v>
      </c>
      <c r="F280">
        <f t="shared" si="141"/>
        <v>0</v>
      </c>
      <c r="G280">
        <f t="shared" si="142"/>
        <v>0</v>
      </c>
      <c r="H280">
        <f t="shared" si="143"/>
        <v>0</v>
      </c>
      <c r="I280">
        <f t="shared" si="144"/>
        <v>0</v>
      </c>
      <c r="J280">
        <f t="shared" si="145"/>
        <v>0</v>
      </c>
      <c r="K280" s="1">
        <f t="shared" si="146"/>
        <v>0</v>
      </c>
      <c r="L280" s="1">
        <f t="shared" si="147"/>
        <v>0</v>
      </c>
      <c r="M280" s="1">
        <f t="shared" si="148"/>
        <v>0</v>
      </c>
      <c r="N280" s="1">
        <f t="shared" si="149"/>
        <v>0</v>
      </c>
      <c r="O280" s="1">
        <f t="shared" si="150"/>
        <v>0</v>
      </c>
      <c r="P280" s="1">
        <f t="shared" si="151"/>
        <v>25</v>
      </c>
      <c r="Q280" s="1" t="e">
        <f t="shared" si="152"/>
        <v>#DIV/0!</v>
      </c>
      <c r="R280" s="1" t="e">
        <f t="shared" si="153"/>
        <v>#DIV/0!</v>
      </c>
      <c r="S280" s="1" t="e">
        <f t="shared" si="154"/>
        <v>#DIV/0!</v>
      </c>
      <c r="T280" s="1" t="e">
        <f t="shared" si="155"/>
        <v>#DIV/0!</v>
      </c>
      <c r="U280" s="1" t="e">
        <f t="shared" si="156"/>
        <v>#DIV/0!</v>
      </c>
      <c r="V280">
        <f t="shared" si="157"/>
        <v>851.48</v>
      </c>
      <c r="W280">
        <f t="shared" si="158"/>
        <v>0</v>
      </c>
      <c r="X280">
        <f t="shared" si="159"/>
        <v>0</v>
      </c>
      <c r="Y280">
        <f t="shared" si="160"/>
        <v>0</v>
      </c>
      <c r="Z280">
        <f t="shared" si="161"/>
        <v>0</v>
      </c>
      <c r="AA280">
        <f t="shared" si="162"/>
        <v>0</v>
      </c>
      <c r="AC280">
        <f t="shared" si="163"/>
        <v>1045.25</v>
      </c>
      <c r="AD280">
        <f t="shared" si="164"/>
        <v>0</v>
      </c>
      <c r="AE280">
        <f t="shared" si="165"/>
        <v>0</v>
      </c>
      <c r="AF280">
        <f t="shared" si="166"/>
        <v>0</v>
      </c>
      <c r="AG280">
        <f t="shared" si="167"/>
        <v>0</v>
      </c>
      <c r="AH280">
        <f t="shared" si="168"/>
        <v>0</v>
      </c>
      <c r="AJ280">
        <f t="shared" si="169"/>
        <v>1239.01</v>
      </c>
      <c r="AK280">
        <f t="shared" si="170"/>
        <v>0</v>
      </c>
      <c r="AL280">
        <f t="shared" si="171"/>
        <v>0</v>
      </c>
      <c r="AM280">
        <f t="shared" si="172"/>
        <v>0</v>
      </c>
      <c r="AN280">
        <f t="shared" si="173"/>
        <v>0</v>
      </c>
      <c r="AO280">
        <f t="shared" si="174"/>
        <v>0</v>
      </c>
    </row>
    <row r="281" spans="1:41" x14ac:dyDescent="0.45">
      <c r="A281">
        <v>32.934921840000001</v>
      </c>
      <c r="B281">
        <v>119.1257483</v>
      </c>
      <c r="C281">
        <v>13.185196879999999</v>
      </c>
      <c r="D281">
        <v>2.2273999999999999E-2</v>
      </c>
      <c r="E281">
        <f t="shared" si="140"/>
        <v>2.2273999999999999E-2</v>
      </c>
      <c r="F281">
        <f t="shared" si="141"/>
        <v>0</v>
      </c>
      <c r="G281">
        <f t="shared" si="142"/>
        <v>0</v>
      </c>
      <c r="H281">
        <f t="shared" si="143"/>
        <v>0</v>
      </c>
      <c r="I281">
        <f t="shared" si="144"/>
        <v>0</v>
      </c>
      <c r="J281">
        <f t="shared" si="145"/>
        <v>0</v>
      </c>
      <c r="K281" s="1">
        <f t="shared" si="146"/>
        <v>0</v>
      </c>
      <c r="L281" s="1">
        <f t="shared" si="147"/>
        <v>0</v>
      </c>
      <c r="M281" s="1">
        <f t="shared" si="148"/>
        <v>0</v>
      </c>
      <c r="N281" s="1">
        <f t="shared" si="149"/>
        <v>0</v>
      </c>
      <c r="O281" s="1">
        <f t="shared" si="150"/>
        <v>0</v>
      </c>
      <c r="P281" s="1">
        <f t="shared" si="151"/>
        <v>25</v>
      </c>
      <c r="Q281" s="1" t="e">
        <f t="shared" si="152"/>
        <v>#DIV/0!</v>
      </c>
      <c r="R281" s="1" t="e">
        <f t="shared" si="153"/>
        <v>#DIV/0!</v>
      </c>
      <c r="S281" s="1" t="e">
        <f t="shared" si="154"/>
        <v>#DIV/0!</v>
      </c>
      <c r="T281" s="1" t="e">
        <f t="shared" si="155"/>
        <v>#DIV/0!</v>
      </c>
      <c r="U281" s="1" t="e">
        <f t="shared" si="156"/>
        <v>#DIV/0!</v>
      </c>
      <c r="V281">
        <f t="shared" si="157"/>
        <v>851.48</v>
      </c>
      <c r="W281">
        <f t="shared" si="158"/>
        <v>0</v>
      </c>
      <c r="X281">
        <f t="shared" si="159"/>
        <v>0</v>
      </c>
      <c r="Y281">
        <f t="shared" si="160"/>
        <v>0</v>
      </c>
      <c r="Z281">
        <f t="shared" si="161"/>
        <v>0</v>
      </c>
      <c r="AA281">
        <f t="shared" si="162"/>
        <v>0</v>
      </c>
      <c r="AC281">
        <f t="shared" si="163"/>
        <v>1045.25</v>
      </c>
      <c r="AD281">
        <f t="shared" si="164"/>
        <v>0</v>
      </c>
      <c r="AE281">
        <f t="shared" si="165"/>
        <v>0</v>
      </c>
      <c r="AF281">
        <f t="shared" si="166"/>
        <v>0</v>
      </c>
      <c r="AG281">
        <f t="shared" si="167"/>
        <v>0</v>
      </c>
      <c r="AH281">
        <f t="shared" si="168"/>
        <v>0</v>
      </c>
      <c r="AJ281">
        <f t="shared" si="169"/>
        <v>1239.01</v>
      </c>
      <c r="AK281">
        <f t="shared" si="170"/>
        <v>0</v>
      </c>
      <c r="AL281">
        <f t="shared" si="171"/>
        <v>0</v>
      </c>
      <c r="AM281">
        <f t="shared" si="172"/>
        <v>0</v>
      </c>
      <c r="AN281">
        <f t="shared" si="173"/>
        <v>0</v>
      </c>
      <c r="AO281">
        <f t="shared" si="174"/>
        <v>0</v>
      </c>
    </row>
    <row r="282" spans="1:41" x14ac:dyDescent="0.45">
      <c r="A282">
        <v>32.971632890000002</v>
      </c>
      <c r="B282">
        <v>118.80236309999999</v>
      </c>
      <c r="C282">
        <v>13.185196879999999</v>
      </c>
      <c r="D282">
        <v>0.44052198999999997</v>
      </c>
      <c r="E282">
        <f t="shared" si="140"/>
        <v>0.44052198999999997</v>
      </c>
      <c r="F282">
        <f t="shared" si="141"/>
        <v>0</v>
      </c>
      <c r="G282">
        <f t="shared" si="142"/>
        <v>0</v>
      </c>
      <c r="H282">
        <f t="shared" si="143"/>
        <v>0</v>
      </c>
      <c r="I282">
        <f t="shared" si="144"/>
        <v>0</v>
      </c>
      <c r="J282">
        <f t="shared" si="145"/>
        <v>0</v>
      </c>
      <c r="K282" s="1">
        <f t="shared" si="146"/>
        <v>0</v>
      </c>
      <c r="L282" s="1">
        <f t="shared" si="147"/>
        <v>0</v>
      </c>
      <c r="M282" s="1">
        <f t="shared" si="148"/>
        <v>0</v>
      </c>
      <c r="N282" s="1">
        <f t="shared" si="149"/>
        <v>0</v>
      </c>
      <c r="O282" s="1">
        <f t="shared" si="150"/>
        <v>0</v>
      </c>
      <c r="P282" s="1">
        <f t="shared" si="151"/>
        <v>25</v>
      </c>
      <c r="Q282" s="1" t="e">
        <f t="shared" si="152"/>
        <v>#DIV/0!</v>
      </c>
      <c r="R282" s="1" t="e">
        <f t="shared" si="153"/>
        <v>#DIV/0!</v>
      </c>
      <c r="S282" s="1" t="e">
        <f t="shared" si="154"/>
        <v>#DIV/0!</v>
      </c>
      <c r="T282" s="1" t="e">
        <f t="shared" si="155"/>
        <v>#DIV/0!</v>
      </c>
      <c r="U282" s="1" t="e">
        <f t="shared" si="156"/>
        <v>#DIV/0!</v>
      </c>
      <c r="V282">
        <f t="shared" si="157"/>
        <v>851.48</v>
      </c>
      <c r="W282">
        <f t="shared" si="158"/>
        <v>0</v>
      </c>
      <c r="X282">
        <f t="shared" si="159"/>
        <v>0</v>
      </c>
      <c r="Y282">
        <f t="shared" si="160"/>
        <v>0</v>
      </c>
      <c r="Z282">
        <f t="shared" si="161"/>
        <v>0</v>
      </c>
      <c r="AA282">
        <f t="shared" si="162"/>
        <v>0</v>
      </c>
      <c r="AC282">
        <f t="shared" si="163"/>
        <v>1045.25</v>
      </c>
      <c r="AD282">
        <f t="shared" si="164"/>
        <v>0</v>
      </c>
      <c r="AE282">
        <f t="shared" si="165"/>
        <v>0</v>
      </c>
      <c r="AF282">
        <f t="shared" si="166"/>
        <v>0</v>
      </c>
      <c r="AG282">
        <f t="shared" si="167"/>
        <v>0</v>
      </c>
      <c r="AH282">
        <f t="shared" si="168"/>
        <v>0</v>
      </c>
      <c r="AJ282">
        <f t="shared" si="169"/>
        <v>1239.01</v>
      </c>
      <c r="AK282">
        <f t="shared" si="170"/>
        <v>0</v>
      </c>
      <c r="AL282">
        <f t="shared" si="171"/>
        <v>0</v>
      </c>
      <c r="AM282">
        <f t="shared" si="172"/>
        <v>0</v>
      </c>
      <c r="AN282">
        <f t="shared" si="173"/>
        <v>0</v>
      </c>
      <c r="AO282">
        <f t="shared" si="174"/>
        <v>0</v>
      </c>
    </row>
    <row r="283" spans="1:41" x14ac:dyDescent="0.45">
      <c r="A283">
        <v>32.986537579999997</v>
      </c>
      <c r="B283">
        <v>119.0791912</v>
      </c>
      <c r="C283">
        <v>13.185196879999999</v>
      </c>
      <c r="D283">
        <v>0.28646298999999997</v>
      </c>
      <c r="E283">
        <f t="shared" si="140"/>
        <v>0.28646298999999997</v>
      </c>
      <c r="F283">
        <f t="shared" si="141"/>
        <v>0</v>
      </c>
      <c r="G283">
        <f t="shared" si="142"/>
        <v>0</v>
      </c>
      <c r="H283">
        <f t="shared" si="143"/>
        <v>0</v>
      </c>
      <c r="I283">
        <f t="shared" si="144"/>
        <v>0</v>
      </c>
      <c r="J283">
        <f t="shared" si="145"/>
        <v>0</v>
      </c>
      <c r="K283" s="1">
        <f t="shared" si="146"/>
        <v>0</v>
      </c>
      <c r="L283" s="1">
        <f t="shared" si="147"/>
        <v>0</v>
      </c>
      <c r="M283" s="1">
        <f t="shared" si="148"/>
        <v>0</v>
      </c>
      <c r="N283" s="1">
        <f t="shared" si="149"/>
        <v>0</v>
      </c>
      <c r="O283" s="1">
        <f t="shared" si="150"/>
        <v>0</v>
      </c>
      <c r="P283" s="1">
        <f t="shared" si="151"/>
        <v>25</v>
      </c>
      <c r="Q283" s="1" t="e">
        <f t="shared" si="152"/>
        <v>#DIV/0!</v>
      </c>
      <c r="R283" s="1" t="e">
        <f t="shared" si="153"/>
        <v>#DIV/0!</v>
      </c>
      <c r="S283" s="1" t="e">
        <f t="shared" si="154"/>
        <v>#DIV/0!</v>
      </c>
      <c r="T283" s="1" t="e">
        <f t="shared" si="155"/>
        <v>#DIV/0!</v>
      </c>
      <c r="U283" s="1" t="e">
        <f t="shared" si="156"/>
        <v>#DIV/0!</v>
      </c>
      <c r="V283">
        <f t="shared" si="157"/>
        <v>851.48</v>
      </c>
      <c r="W283">
        <f t="shared" si="158"/>
        <v>0</v>
      </c>
      <c r="X283">
        <f t="shared" si="159"/>
        <v>0</v>
      </c>
      <c r="Y283">
        <f t="shared" si="160"/>
        <v>0</v>
      </c>
      <c r="Z283">
        <f t="shared" si="161"/>
        <v>0</v>
      </c>
      <c r="AA283">
        <f t="shared" si="162"/>
        <v>0</v>
      </c>
      <c r="AC283">
        <f t="shared" si="163"/>
        <v>1045.25</v>
      </c>
      <c r="AD283">
        <f t="shared" si="164"/>
        <v>0</v>
      </c>
      <c r="AE283">
        <f t="shared" si="165"/>
        <v>0</v>
      </c>
      <c r="AF283">
        <f t="shared" si="166"/>
        <v>0</v>
      </c>
      <c r="AG283">
        <f t="shared" si="167"/>
        <v>0</v>
      </c>
      <c r="AH283">
        <f t="shared" si="168"/>
        <v>0</v>
      </c>
      <c r="AJ283">
        <f t="shared" si="169"/>
        <v>1239.01</v>
      </c>
      <c r="AK283">
        <f t="shared" si="170"/>
        <v>0</v>
      </c>
      <c r="AL283">
        <f t="shared" si="171"/>
        <v>0</v>
      </c>
      <c r="AM283">
        <f t="shared" si="172"/>
        <v>0</v>
      </c>
      <c r="AN283">
        <f t="shared" si="173"/>
        <v>0</v>
      </c>
      <c r="AO283">
        <f t="shared" si="174"/>
        <v>0</v>
      </c>
    </row>
    <row r="284" spans="1:41" x14ac:dyDescent="0.45">
      <c r="A284">
        <v>32.992697630000002</v>
      </c>
      <c r="B284">
        <v>119.0252763</v>
      </c>
      <c r="C284">
        <v>13.185196879999999</v>
      </c>
      <c r="D284">
        <v>6.6470000000000001E-2</v>
      </c>
      <c r="E284">
        <f t="shared" si="140"/>
        <v>6.6470000000000001E-2</v>
      </c>
      <c r="F284">
        <f t="shared" si="141"/>
        <v>0</v>
      </c>
      <c r="G284">
        <f t="shared" si="142"/>
        <v>0</v>
      </c>
      <c r="H284">
        <f t="shared" si="143"/>
        <v>0</v>
      </c>
      <c r="I284">
        <f t="shared" si="144"/>
        <v>0</v>
      </c>
      <c r="J284">
        <f t="shared" si="145"/>
        <v>0</v>
      </c>
      <c r="K284" s="1">
        <f t="shared" si="146"/>
        <v>0</v>
      </c>
      <c r="L284" s="1">
        <f t="shared" si="147"/>
        <v>0</v>
      </c>
      <c r="M284" s="1">
        <f t="shared" si="148"/>
        <v>0</v>
      </c>
      <c r="N284" s="1">
        <f t="shared" si="149"/>
        <v>0</v>
      </c>
      <c r="O284" s="1">
        <f t="shared" si="150"/>
        <v>0</v>
      </c>
      <c r="P284" s="1">
        <f t="shared" si="151"/>
        <v>25</v>
      </c>
      <c r="Q284" s="1" t="e">
        <f t="shared" si="152"/>
        <v>#DIV/0!</v>
      </c>
      <c r="R284" s="1" t="e">
        <f t="shared" si="153"/>
        <v>#DIV/0!</v>
      </c>
      <c r="S284" s="1" t="e">
        <f t="shared" si="154"/>
        <v>#DIV/0!</v>
      </c>
      <c r="T284" s="1" t="e">
        <f t="shared" si="155"/>
        <v>#DIV/0!</v>
      </c>
      <c r="U284" s="1" t="e">
        <f t="shared" si="156"/>
        <v>#DIV/0!</v>
      </c>
      <c r="V284">
        <f t="shared" si="157"/>
        <v>851.48</v>
      </c>
      <c r="W284">
        <f t="shared" si="158"/>
        <v>0</v>
      </c>
      <c r="X284">
        <f t="shared" si="159"/>
        <v>0</v>
      </c>
      <c r="Y284">
        <f t="shared" si="160"/>
        <v>0</v>
      </c>
      <c r="Z284">
        <f t="shared" si="161"/>
        <v>0</v>
      </c>
      <c r="AA284">
        <f t="shared" si="162"/>
        <v>0</v>
      </c>
      <c r="AC284">
        <f t="shared" si="163"/>
        <v>1045.25</v>
      </c>
      <c r="AD284">
        <f t="shared" si="164"/>
        <v>0</v>
      </c>
      <c r="AE284">
        <f t="shared" si="165"/>
        <v>0</v>
      </c>
      <c r="AF284">
        <f t="shared" si="166"/>
        <v>0</v>
      </c>
      <c r="AG284">
        <f t="shared" si="167"/>
        <v>0</v>
      </c>
      <c r="AH284">
        <f t="shared" si="168"/>
        <v>0</v>
      </c>
      <c r="AJ284">
        <f t="shared" si="169"/>
        <v>1239.01</v>
      </c>
      <c r="AK284">
        <f t="shared" si="170"/>
        <v>0</v>
      </c>
      <c r="AL284">
        <f t="shared" si="171"/>
        <v>0</v>
      </c>
      <c r="AM284">
        <f t="shared" si="172"/>
        <v>0</v>
      </c>
      <c r="AN284">
        <f t="shared" si="173"/>
        <v>0</v>
      </c>
      <c r="AO284">
        <f t="shared" si="174"/>
        <v>0</v>
      </c>
    </row>
    <row r="285" spans="1:41" x14ac:dyDescent="0.45">
      <c r="A285">
        <v>33.004941940000002</v>
      </c>
      <c r="B285">
        <v>118.9174222</v>
      </c>
      <c r="C285">
        <v>13.185196879999999</v>
      </c>
      <c r="D285">
        <v>1.3682639599999999</v>
      </c>
      <c r="E285">
        <f t="shared" si="140"/>
        <v>1.3682639599999999</v>
      </c>
      <c r="F285">
        <f t="shared" si="141"/>
        <v>0</v>
      </c>
      <c r="G285">
        <f t="shared" si="142"/>
        <v>0</v>
      </c>
      <c r="H285">
        <f t="shared" si="143"/>
        <v>0</v>
      </c>
      <c r="I285">
        <f t="shared" si="144"/>
        <v>0</v>
      </c>
      <c r="J285">
        <f t="shared" si="145"/>
        <v>0</v>
      </c>
      <c r="K285" s="1">
        <f t="shared" si="146"/>
        <v>0</v>
      </c>
      <c r="L285" s="1">
        <f t="shared" si="147"/>
        <v>0</v>
      </c>
      <c r="M285" s="1">
        <f t="shared" si="148"/>
        <v>0</v>
      </c>
      <c r="N285" s="1">
        <f t="shared" si="149"/>
        <v>0</v>
      </c>
      <c r="O285" s="1">
        <f t="shared" si="150"/>
        <v>0</v>
      </c>
      <c r="P285" s="1">
        <f t="shared" si="151"/>
        <v>25</v>
      </c>
      <c r="Q285" s="1" t="e">
        <f t="shared" si="152"/>
        <v>#DIV/0!</v>
      </c>
      <c r="R285" s="1" t="e">
        <f t="shared" si="153"/>
        <v>#DIV/0!</v>
      </c>
      <c r="S285" s="1" t="e">
        <f t="shared" si="154"/>
        <v>#DIV/0!</v>
      </c>
      <c r="T285" s="1" t="e">
        <f t="shared" si="155"/>
        <v>#DIV/0!</v>
      </c>
      <c r="U285" s="1" t="e">
        <f t="shared" si="156"/>
        <v>#DIV/0!</v>
      </c>
      <c r="V285">
        <f t="shared" si="157"/>
        <v>851.48</v>
      </c>
      <c r="W285">
        <f t="shared" si="158"/>
        <v>0</v>
      </c>
      <c r="X285">
        <f t="shared" si="159"/>
        <v>0</v>
      </c>
      <c r="Y285">
        <f t="shared" si="160"/>
        <v>0</v>
      </c>
      <c r="Z285">
        <f t="shared" si="161"/>
        <v>0</v>
      </c>
      <c r="AA285">
        <f t="shared" si="162"/>
        <v>0</v>
      </c>
      <c r="AC285">
        <f t="shared" si="163"/>
        <v>1045.25</v>
      </c>
      <c r="AD285">
        <f t="shared" si="164"/>
        <v>0</v>
      </c>
      <c r="AE285">
        <f t="shared" si="165"/>
        <v>0</v>
      </c>
      <c r="AF285">
        <f t="shared" si="166"/>
        <v>0</v>
      </c>
      <c r="AG285">
        <f t="shared" si="167"/>
        <v>0</v>
      </c>
      <c r="AH285">
        <f t="shared" si="168"/>
        <v>0</v>
      </c>
      <c r="AJ285">
        <f t="shared" si="169"/>
        <v>1239.01</v>
      </c>
      <c r="AK285">
        <f t="shared" si="170"/>
        <v>0</v>
      </c>
      <c r="AL285">
        <f t="shared" si="171"/>
        <v>0</v>
      </c>
      <c r="AM285">
        <f t="shared" si="172"/>
        <v>0</v>
      </c>
      <c r="AN285">
        <f t="shared" si="173"/>
        <v>0</v>
      </c>
      <c r="AO285">
        <f t="shared" si="174"/>
        <v>0</v>
      </c>
    </row>
    <row r="286" spans="1:41" x14ac:dyDescent="0.45">
      <c r="A286">
        <v>33.026049</v>
      </c>
      <c r="B286">
        <v>120.2951462</v>
      </c>
      <c r="C286">
        <v>134.76608279999999</v>
      </c>
      <c r="D286">
        <v>4.8578999999999997E-2</v>
      </c>
      <c r="E286">
        <f t="shared" si="140"/>
        <v>4.8578999999999997E-2</v>
      </c>
      <c r="F286">
        <f t="shared" si="141"/>
        <v>0</v>
      </c>
      <c r="G286">
        <f t="shared" si="142"/>
        <v>0</v>
      </c>
      <c r="H286">
        <f t="shared" si="143"/>
        <v>0</v>
      </c>
      <c r="I286">
        <f t="shared" si="144"/>
        <v>0</v>
      </c>
      <c r="J286">
        <f t="shared" si="145"/>
        <v>0</v>
      </c>
      <c r="K286" s="1">
        <f t="shared" si="146"/>
        <v>0</v>
      </c>
      <c r="L286" s="1">
        <f t="shared" si="147"/>
        <v>0</v>
      </c>
      <c r="M286" s="1">
        <f t="shared" si="148"/>
        <v>0</v>
      </c>
      <c r="N286" s="1">
        <f t="shared" si="149"/>
        <v>0</v>
      </c>
      <c r="O286" s="1">
        <f t="shared" si="150"/>
        <v>0</v>
      </c>
      <c r="P286" s="1">
        <f t="shared" si="151"/>
        <v>25</v>
      </c>
      <c r="Q286" s="1" t="e">
        <f t="shared" si="152"/>
        <v>#DIV/0!</v>
      </c>
      <c r="R286" s="1" t="e">
        <f t="shared" si="153"/>
        <v>#DIV/0!</v>
      </c>
      <c r="S286" s="1" t="e">
        <f t="shared" si="154"/>
        <v>#DIV/0!</v>
      </c>
      <c r="T286" s="1" t="e">
        <f t="shared" si="155"/>
        <v>#DIV/0!</v>
      </c>
      <c r="U286" s="1" t="e">
        <f t="shared" si="156"/>
        <v>#DIV/0!</v>
      </c>
      <c r="V286">
        <f t="shared" si="157"/>
        <v>851.48</v>
      </c>
      <c r="W286">
        <f t="shared" si="158"/>
        <v>0</v>
      </c>
      <c r="X286">
        <f t="shared" si="159"/>
        <v>0</v>
      </c>
      <c r="Y286">
        <f t="shared" si="160"/>
        <v>0</v>
      </c>
      <c r="Z286">
        <f t="shared" si="161"/>
        <v>0</v>
      </c>
      <c r="AA286">
        <f t="shared" si="162"/>
        <v>0</v>
      </c>
      <c r="AC286">
        <f t="shared" si="163"/>
        <v>1045.25</v>
      </c>
      <c r="AD286">
        <f t="shared" si="164"/>
        <v>0</v>
      </c>
      <c r="AE286">
        <f t="shared" si="165"/>
        <v>0</v>
      </c>
      <c r="AF286">
        <f t="shared" si="166"/>
        <v>0</v>
      </c>
      <c r="AG286">
        <f t="shared" si="167"/>
        <v>0</v>
      </c>
      <c r="AH286">
        <f t="shared" si="168"/>
        <v>0</v>
      </c>
      <c r="AJ286">
        <f t="shared" si="169"/>
        <v>1239.01</v>
      </c>
      <c r="AK286">
        <f t="shared" si="170"/>
        <v>0</v>
      </c>
      <c r="AL286">
        <f t="shared" si="171"/>
        <v>0</v>
      </c>
      <c r="AM286">
        <f t="shared" si="172"/>
        <v>0</v>
      </c>
      <c r="AN286">
        <f t="shared" si="173"/>
        <v>0</v>
      </c>
      <c r="AO286">
        <f t="shared" si="174"/>
        <v>0</v>
      </c>
    </row>
    <row r="287" spans="1:41" x14ac:dyDescent="0.45">
      <c r="A287">
        <v>33.03197291</v>
      </c>
      <c r="B287">
        <v>119.08651949999999</v>
      </c>
      <c r="C287">
        <v>13.185196879999999</v>
      </c>
      <c r="D287">
        <v>9.7149999999999997E-3</v>
      </c>
      <c r="E287">
        <f t="shared" si="140"/>
        <v>9.7149999999999997E-3</v>
      </c>
      <c r="F287">
        <f t="shared" si="141"/>
        <v>0</v>
      </c>
      <c r="G287">
        <f t="shared" si="142"/>
        <v>0</v>
      </c>
      <c r="H287">
        <f t="shared" si="143"/>
        <v>0</v>
      </c>
      <c r="I287">
        <f t="shared" si="144"/>
        <v>0</v>
      </c>
      <c r="J287">
        <f t="shared" si="145"/>
        <v>0</v>
      </c>
      <c r="K287" s="1">
        <f t="shared" si="146"/>
        <v>0</v>
      </c>
      <c r="L287" s="1">
        <f t="shared" si="147"/>
        <v>0</v>
      </c>
      <c r="M287" s="1">
        <f t="shared" si="148"/>
        <v>0</v>
      </c>
      <c r="N287" s="1">
        <f t="shared" si="149"/>
        <v>0</v>
      </c>
      <c r="O287" s="1">
        <f t="shared" si="150"/>
        <v>0</v>
      </c>
      <c r="P287" s="1">
        <f t="shared" si="151"/>
        <v>25</v>
      </c>
      <c r="Q287" s="1" t="e">
        <f t="shared" si="152"/>
        <v>#DIV/0!</v>
      </c>
      <c r="R287" s="1" t="e">
        <f t="shared" si="153"/>
        <v>#DIV/0!</v>
      </c>
      <c r="S287" s="1" t="e">
        <f t="shared" si="154"/>
        <v>#DIV/0!</v>
      </c>
      <c r="T287" s="1" t="e">
        <f t="shared" si="155"/>
        <v>#DIV/0!</v>
      </c>
      <c r="U287" s="1" t="e">
        <f t="shared" si="156"/>
        <v>#DIV/0!</v>
      </c>
      <c r="V287">
        <f t="shared" si="157"/>
        <v>851.48</v>
      </c>
      <c r="W287">
        <f t="shared" si="158"/>
        <v>0</v>
      </c>
      <c r="X287">
        <f t="shared" si="159"/>
        <v>0</v>
      </c>
      <c r="Y287">
        <f t="shared" si="160"/>
        <v>0</v>
      </c>
      <c r="Z287">
        <f t="shared" si="161"/>
        <v>0</v>
      </c>
      <c r="AA287">
        <f t="shared" si="162"/>
        <v>0</v>
      </c>
      <c r="AC287">
        <f t="shared" si="163"/>
        <v>1045.25</v>
      </c>
      <c r="AD287">
        <f t="shared" si="164"/>
        <v>0</v>
      </c>
      <c r="AE287">
        <f t="shared" si="165"/>
        <v>0</v>
      </c>
      <c r="AF287">
        <f t="shared" si="166"/>
        <v>0</v>
      </c>
      <c r="AG287">
        <f t="shared" si="167"/>
        <v>0</v>
      </c>
      <c r="AH287">
        <f t="shared" si="168"/>
        <v>0</v>
      </c>
      <c r="AJ287">
        <f t="shared" si="169"/>
        <v>1239.01</v>
      </c>
      <c r="AK287">
        <f t="shared" si="170"/>
        <v>0</v>
      </c>
      <c r="AL287">
        <f t="shared" si="171"/>
        <v>0</v>
      </c>
      <c r="AM287">
        <f t="shared" si="172"/>
        <v>0</v>
      </c>
      <c r="AN287">
        <f t="shared" si="173"/>
        <v>0</v>
      </c>
      <c r="AO287">
        <f t="shared" si="174"/>
        <v>0</v>
      </c>
    </row>
    <row r="288" spans="1:41" x14ac:dyDescent="0.45">
      <c r="A288">
        <v>33.05038819</v>
      </c>
      <c r="B288">
        <v>118.92466210000001</v>
      </c>
      <c r="C288">
        <v>13.185196879999999</v>
      </c>
      <c r="D288">
        <v>0.47516998999999999</v>
      </c>
      <c r="E288">
        <f t="shared" si="140"/>
        <v>0.47516998999999999</v>
      </c>
      <c r="F288">
        <f t="shared" si="141"/>
        <v>0</v>
      </c>
      <c r="G288">
        <f t="shared" si="142"/>
        <v>0</v>
      </c>
      <c r="H288">
        <f t="shared" si="143"/>
        <v>0</v>
      </c>
      <c r="I288">
        <f t="shared" si="144"/>
        <v>0</v>
      </c>
      <c r="J288">
        <f t="shared" si="145"/>
        <v>0</v>
      </c>
      <c r="K288" s="1">
        <f t="shared" si="146"/>
        <v>0</v>
      </c>
      <c r="L288" s="1">
        <f t="shared" si="147"/>
        <v>0</v>
      </c>
      <c r="M288" s="1">
        <f t="shared" si="148"/>
        <v>0</v>
      </c>
      <c r="N288" s="1">
        <f t="shared" si="149"/>
        <v>0</v>
      </c>
      <c r="O288" s="1">
        <f t="shared" si="150"/>
        <v>0</v>
      </c>
      <c r="P288" s="1">
        <f t="shared" si="151"/>
        <v>25</v>
      </c>
      <c r="Q288" s="1" t="e">
        <f t="shared" si="152"/>
        <v>#DIV/0!</v>
      </c>
      <c r="R288" s="1" t="e">
        <f t="shared" si="153"/>
        <v>#DIV/0!</v>
      </c>
      <c r="S288" s="1" t="e">
        <f t="shared" si="154"/>
        <v>#DIV/0!</v>
      </c>
      <c r="T288" s="1" t="e">
        <f t="shared" si="155"/>
        <v>#DIV/0!</v>
      </c>
      <c r="U288" s="1" t="e">
        <f t="shared" si="156"/>
        <v>#DIV/0!</v>
      </c>
      <c r="V288">
        <f t="shared" si="157"/>
        <v>851.48</v>
      </c>
      <c r="W288">
        <f t="shared" si="158"/>
        <v>0</v>
      </c>
      <c r="X288">
        <f t="shared" si="159"/>
        <v>0</v>
      </c>
      <c r="Y288">
        <f t="shared" si="160"/>
        <v>0</v>
      </c>
      <c r="Z288">
        <f t="shared" si="161"/>
        <v>0</v>
      </c>
      <c r="AA288">
        <f t="shared" si="162"/>
        <v>0</v>
      </c>
      <c r="AC288">
        <f t="shared" si="163"/>
        <v>1045.25</v>
      </c>
      <c r="AD288">
        <f t="shared" si="164"/>
        <v>0</v>
      </c>
      <c r="AE288">
        <f t="shared" si="165"/>
        <v>0</v>
      </c>
      <c r="AF288">
        <f t="shared" si="166"/>
        <v>0</v>
      </c>
      <c r="AG288">
        <f t="shared" si="167"/>
        <v>0</v>
      </c>
      <c r="AH288">
        <f t="shared" si="168"/>
        <v>0</v>
      </c>
      <c r="AJ288">
        <f t="shared" si="169"/>
        <v>1239.01</v>
      </c>
      <c r="AK288">
        <f t="shared" si="170"/>
        <v>0</v>
      </c>
      <c r="AL288">
        <f t="shared" si="171"/>
        <v>0</v>
      </c>
      <c r="AM288">
        <f t="shared" si="172"/>
        <v>0</v>
      </c>
      <c r="AN288">
        <f t="shared" si="173"/>
        <v>0</v>
      </c>
      <c r="AO288">
        <f t="shared" si="174"/>
        <v>0</v>
      </c>
    </row>
    <row r="289" spans="1:41" x14ac:dyDescent="0.45">
      <c r="A289">
        <v>33.064645949999999</v>
      </c>
      <c r="B289">
        <v>118.37767340000001</v>
      </c>
      <c r="C289">
        <v>4.5904979700000004</v>
      </c>
      <c r="D289">
        <v>0.34090501000000001</v>
      </c>
      <c r="E289">
        <f t="shared" si="140"/>
        <v>0.34090501000000001</v>
      </c>
      <c r="F289">
        <f t="shared" si="141"/>
        <v>0</v>
      </c>
      <c r="G289">
        <f t="shared" si="142"/>
        <v>0</v>
      </c>
      <c r="H289">
        <f t="shared" si="143"/>
        <v>0</v>
      </c>
      <c r="I289">
        <f t="shared" si="144"/>
        <v>0</v>
      </c>
      <c r="J289">
        <f t="shared" si="145"/>
        <v>0</v>
      </c>
      <c r="K289" s="1">
        <f t="shared" si="146"/>
        <v>0</v>
      </c>
      <c r="L289" s="1">
        <f t="shared" si="147"/>
        <v>0</v>
      </c>
      <c r="M289" s="1">
        <f t="shared" si="148"/>
        <v>0</v>
      </c>
      <c r="N289" s="1">
        <f t="shared" si="149"/>
        <v>0</v>
      </c>
      <c r="O289" s="1">
        <f t="shared" si="150"/>
        <v>0</v>
      </c>
      <c r="P289" s="1">
        <f t="shared" si="151"/>
        <v>25.000000000000004</v>
      </c>
      <c r="Q289" s="1" t="e">
        <f t="shared" si="152"/>
        <v>#DIV/0!</v>
      </c>
      <c r="R289" s="1" t="e">
        <f t="shared" si="153"/>
        <v>#DIV/0!</v>
      </c>
      <c r="S289" s="1" t="e">
        <f t="shared" si="154"/>
        <v>#DIV/0!</v>
      </c>
      <c r="T289" s="1" t="e">
        <f t="shared" si="155"/>
        <v>#DIV/0!</v>
      </c>
      <c r="U289" s="1" t="e">
        <f t="shared" si="156"/>
        <v>#DIV/0!</v>
      </c>
      <c r="V289">
        <f t="shared" si="157"/>
        <v>851.48000000000013</v>
      </c>
      <c r="W289">
        <f t="shared" si="158"/>
        <v>0</v>
      </c>
      <c r="X289">
        <f t="shared" si="159"/>
        <v>0</v>
      </c>
      <c r="Y289">
        <f t="shared" si="160"/>
        <v>0</v>
      </c>
      <c r="Z289">
        <f t="shared" si="161"/>
        <v>0</v>
      </c>
      <c r="AA289">
        <f t="shared" si="162"/>
        <v>0</v>
      </c>
      <c r="AC289">
        <f t="shared" si="163"/>
        <v>1045.25</v>
      </c>
      <c r="AD289">
        <f t="shared" si="164"/>
        <v>0</v>
      </c>
      <c r="AE289">
        <f t="shared" si="165"/>
        <v>0</v>
      </c>
      <c r="AF289">
        <f t="shared" si="166"/>
        <v>0</v>
      </c>
      <c r="AG289">
        <f t="shared" si="167"/>
        <v>0</v>
      </c>
      <c r="AH289">
        <f t="shared" si="168"/>
        <v>0</v>
      </c>
      <c r="AJ289">
        <f t="shared" si="169"/>
        <v>1239.0100000000002</v>
      </c>
      <c r="AK289">
        <f t="shared" si="170"/>
        <v>0</v>
      </c>
      <c r="AL289">
        <f t="shared" si="171"/>
        <v>0</v>
      </c>
      <c r="AM289">
        <f t="shared" si="172"/>
        <v>0</v>
      </c>
      <c r="AN289">
        <f t="shared" si="173"/>
        <v>0</v>
      </c>
      <c r="AO289">
        <f t="shared" si="174"/>
        <v>0</v>
      </c>
    </row>
    <row r="290" spans="1:41" x14ac:dyDescent="0.45">
      <c r="A290">
        <v>33.068575860000003</v>
      </c>
      <c r="B290">
        <v>118.762732</v>
      </c>
      <c r="C290">
        <v>4.5904979700000004</v>
      </c>
      <c r="D290">
        <v>0.12783900000000001</v>
      </c>
      <c r="E290">
        <f t="shared" si="140"/>
        <v>0.12783900000000001</v>
      </c>
      <c r="F290">
        <f t="shared" si="141"/>
        <v>0</v>
      </c>
      <c r="G290">
        <f t="shared" si="142"/>
        <v>0</v>
      </c>
      <c r="H290">
        <f t="shared" si="143"/>
        <v>0</v>
      </c>
      <c r="I290">
        <f t="shared" si="144"/>
        <v>0</v>
      </c>
      <c r="J290">
        <f t="shared" si="145"/>
        <v>0</v>
      </c>
      <c r="K290" s="1">
        <f t="shared" si="146"/>
        <v>0</v>
      </c>
      <c r="L290" s="1">
        <f t="shared" si="147"/>
        <v>0</v>
      </c>
      <c r="M290" s="1">
        <f t="shared" si="148"/>
        <v>0</v>
      </c>
      <c r="N290" s="1">
        <f t="shared" si="149"/>
        <v>0</v>
      </c>
      <c r="O290" s="1">
        <f t="shared" si="150"/>
        <v>0</v>
      </c>
      <c r="P290" s="1">
        <f t="shared" si="151"/>
        <v>25</v>
      </c>
      <c r="Q290" s="1" t="e">
        <f t="shared" si="152"/>
        <v>#DIV/0!</v>
      </c>
      <c r="R290" s="1" t="e">
        <f t="shared" si="153"/>
        <v>#DIV/0!</v>
      </c>
      <c r="S290" s="1" t="e">
        <f t="shared" si="154"/>
        <v>#DIV/0!</v>
      </c>
      <c r="T290" s="1" t="e">
        <f t="shared" si="155"/>
        <v>#DIV/0!</v>
      </c>
      <c r="U290" s="1" t="e">
        <f t="shared" si="156"/>
        <v>#DIV/0!</v>
      </c>
      <c r="V290">
        <f t="shared" si="157"/>
        <v>851.48</v>
      </c>
      <c r="W290">
        <f t="shared" si="158"/>
        <v>0</v>
      </c>
      <c r="X290">
        <f t="shared" si="159"/>
        <v>0</v>
      </c>
      <c r="Y290">
        <f t="shared" si="160"/>
        <v>0</v>
      </c>
      <c r="Z290">
        <f t="shared" si="161"/>
        <v>0</v>
      </c>
      <c r="AA290">
        <f t="shared" si="162"/>
        <v>0</v>
      </c>
      <c r="AC290">
        <f t="shared" si="163"/>
        <v>1045.25</v>
      </c>
      <c r="AD290">
        <f t="shared" si="164"/>
        <v>0</v>
      </c>
      <c r="AE290">
        <f t="shared" si="165"/>
        <v>0</v>
      </c>
      <c r="AF290">
        <f t="shared" si="166"/>
        <v>0</v>
      </c>
      <c r="AG290">
        <f t="shared" si="167"/>
        <v>0</v>
      </c>
      <c r="AH290">
        <f t="shared" si="168"/>
        <v>0</v>
      </c>
      <c r="AJ290">
        <f t="shared" si="169"/>
        <v>1239.01</v>
      </c>
      <c r="AK290">
        <f t="shared" si="170"/>
        <v>0</v>
      </c>
      <c r="AL290">
        <f t="shared" si="171"/>
        <v>0</v>
      </c>
      <c r="AM290">
        <f t="shared" si="172"/>
        <v>0</v>
      </c>
      <c r="AN290">
        <f t="shared" si="173"/>
        <v>0</v>
      </c>
      <c r="AO290">
        <f t="shared" si="174"/>
        <v>0</v>
      </c>
    </row>
    <row r="291" spans="1:41" x14ac:dyDescent="0.45">
      <c r="A291">
        <v>33.07121678</v>
      </c>
      <c r="B291">
        <v>119.1478216</v>
      </c>
      <c r="C291">
        <v>13.185196879999999</v>
      </c>
      <c r="D291">
        <v>0.70388596999999997</v>
      </c>
      <c r="E291">
        <f t="shared" si="140"/>
        <v>0.70388596999999997</v>
      </c>
      <c r="F291">
        <f t="shared" si="141"/>
        <v>0</v>
      </c>
      <c r="G291">
        <f t="shared" si="142"/>
        <v>0</v>
      </c>
      <c r="H291">
        <f t="shared" si="143"/>
        <v>0</v>
      </c>
      <c r="I291">
        <f t="shared" si="144"/>
        <v>0</v>
      </c>
      <c r="J291">
        <f t="shared" si="145"/>
        <v>0</v>
      </c>
      <c r="K291" s="1">
        <f t="shared" si="146"/>
        <v>0</v>
      </c>
      <c r="L291" s="1">
        <f t="shared" si="147"/>
        <v>0</v>
      </c>
      <c r="M291" s="1">
        <f t="shared" si="148"/>
        <v>0</v>
      </c>
      <c r="N291" s="1">
        <f t="shared" si="149"/>
        <v>0</v>
      </c>
      <c r="O291" s="1">
        <f t="shared" si="150"/>
        <v>0</v>
      </c>
      <c r="P291" s="1">
        <f t="shared" si="151"/>
        <v>25.000000000000004</v>
      </c>
      <c r="Q291" s="1" t="e">
        <f t="shared" si="152"/>
        <v>#DIV/0!</v>
      </c>
      <c r="R291" s="1" t="e">
        <f t="shared" si="153"/>
        <v>#DIV/0!</v>
      </c>
      <c r="S291" s="1" t="e">
        <f t="shared" si="154"/>
        <v>#DIV/0!</v>
      </c>
      <c r="T291" s="1" t="e">
        <f t="shared" si="155"/>
        <v>#DIV/0!</v>
      </c>
      <c r="U291" s="1" t="e">
        <f t="shared" si="156"/>
        <v>#DIV/0!</v>
      </c>
      <c r="V291">
        <f t="shared" si="157"/>
        <v>851.48000000000013</v>
      </c>
      <c r="W291">
        <f t="shared" si="158"/>
        <v>0</v>
      </c>
      <c r="X291">
        <f t="shared" si="159"/>
        <v>0</v>
      </c>
      <c r="Y291">
        <f t="shared" si="160"/>
        <v>0</v>
      </c>
      <c r="Z291">
        <f t="shared" si="161"/>
        <v>0</v>
      </c>
      <c r="AA291">
        <f t="shared" si="162"/>
        <v>0</v>
      </c>
      <c r="AC291">
        <f t="shared" si="163"/>
        <v>1045.25</v>
      </c>
      <c r="AD291">
        <f t="shared" si="164"/>
        <v>0</v>
      </c>
      <c r="AE291">
        <f t="shared" si="165"/>
        <v>0</v>
      </c>
      <c r="AF291">
        <f t="shared" si="166"/>
        <v>0</v>
      </c>
      <c r="AG291">
        <f t="shared" si="167"/>
        <v>0</v>
      </c>
      <c r="AH291">
        <f t="shared" si="168"/>
        <v>0</v>
      </c>
      <c r="AJ291">
        <f t="shared" si="169"/>
        <v>1239.0100000000002</v>
      </c>
      <c r="AK291">
        <f t="shared" si="170"/>
        <v>0</v>
      </c>
      <c r="AL291">
        <f t="shared" si="171"/>
        <v>0</v>
      </c>
      <c r="AM291">
        <f t="shared" si="172"/>
        <v>0</v>
      </c>
      <c r="AN291">
        <f t="shared" si="173"/>
        <v>0</v>
      </c>
      <c r="AO291">
        <f t="shared" si="174"/>
        <v>0</v>
      </c>
    </row>
    <row r="292" spans="1:41" x14ac:dyDescent="0.45">
      <c r="A292">
        <v>33.089718859999998</v>
      </c>
      <c r="B292">
        <v>118.98590009999999</v>
      </c>
      <c r="C292">
        <v>13.185196879999999</v>
      </c>
      <c r="D292">
        <v>4.1453999999999998E-2</v>
      </c>
      <c r="E292">
        <f t="shared" si="140"/>
        <v>4.1453999999999998E-2</v>
      </c>
      <c r="F292">
        <f t="shared" si="141"/>
        <v>0</v>
      </c>
      <c r="G292">
        <f t="shared" si="142"/>
        <v>0</v>
      </c>
      <c r="H292">
        <f t="shared" si="143"/>
        <v>0</v>
      </c>
      <c r="I292">
        <f t="shared" si="144"/>
        <v>0</v>
      </c>
      <c r="J292">
        <f t="shared" si="145"/>
        <v>0</v>
      </c>
      <c r="K292" s="1">
        <f t="shared" si="146"/>
        <v>0</v>
      </c>
      <c r="L292" s="1">
        <f t="shared" si="147"/>
        <v>0</v>
      </c>
      <c r="M292" s="1">
        <f t="shared" si="148"/>
        <v>0</v>
      </c>
      <c r="N292" s="1">
        <f t="shared" si="149"/>
        <v>0</v>
      </c>
      <c r="O292" s="1">
        <f t="shared" si="150"/>
        <v>0</v>
      </c>
      <c r="P292" s="1">
        <f t="shared" si="151"/>
        <v>25</v>
      </c>
      <c r="Q292" s="1" t="e">
        <f t="shared" si="152"/>
        <v>#DIV/0!</v>
      </c>
      <c r="R292" s="1" t="e">
        <f t="shared" si="153"/>
        <v>#DIV/0!</v>
      </c>
      <c r="S292" s="1" t="e">
        <f t="shared" si="154"/>
        <v>#DIV/0!</v>
      </c>
      <c r="T292" s="1" t="e">
        <f t="shared" si="155"/>
        <v>#DIV/0!</v>
      </c>
      <c r="U292" s="1" t="e">
        <f t="shared" si="156"/>
        <v>#DIV/0!</v>
      </c>
      <c r="V292">
        <f t="shared" si="157"/>
        <v>851.48</v>
      </c>
      <c r="W292">
        <f t="shared" si="158"/>
        <v>0</v>
      </c>
      <c r="X292">
        <f t="shared" si="159"/>
        <v>0</v>
      </c>
      <c r="Y292">
        <f t="shared" si="160"/>
        <v>0</v>
      </c>
      <c r="Z292">
        <f t="shared" si="161"/>
        <v>0</v>
      </c>
      <c r="AA292">
        <f t="shared" si="162"/>
        <v>0</v>
      </c>
      <c r="AC292">
        <f t="shared" si="163"/>
        <v>1045.25</v>
      </c>
      <c r="AD292">
        <f t="shared" si="164"/>
        <v>0</v>
      </c>
      <c r="AE292">
        <f t="shared" si="165"/>
        <v>0</v>
      </c>
      <c r="AF292">
        <f t="shared" si="166"/>
        <v>0</v>
      </c>
      <c r="AG292">
        <f t="shared" si="167"/>
        <v>0</v>
      </c>
      <c r="AH292">
        <f t="shared" si="168"/>
        <v>0</v>
      </c>
      <c r="AJ292">
        <f t="shared" si="169"/>
        <v>1239.01</v>
      </c>
      <c r="AK292">
        <f t="shared" si="170"/>
        <v>0</v>
      </c>
      <c r="AL292">
        <f t="shared" si="171"/>
        <v>0</v>
      </c>
      <c r="AM292">
        <f t="shared" si="172"/>
        <v>0</v>
      </c>
      <c r="AN292">
        <f t="shared" si="173"/>
        <v>0</v>
      </c>
      <c r="AO292">
        <f t="shared" si="174"/>
        <v>0</v>
      </c>
    </row>
    <row r="293" spans="1:41" x14ac:dyDescent="0.45">
      <c r="A293">
        <v>33.116650780000001</v>
      </c>
      <c r="B293">
        <v>119.1551958</v>
      </c>
      <c r="C293">
        <v>13.185196879999999</v>
      </c>
      <c r="D293">
        <v>2.1307E-2</v>
      </c>
      <c r="E293">
        <f t="shared" si="140"/>
        <v>2.1307E-2</v>
      </c>
      <c r="F293">
        <f t="shared" si="141"/>
        <v>0</v>
      </c>
      <c r="G293">
        <f t="shared" si="142"/>
        <v>0</v>
      </c>
      <c r="H293">
        <f t="shared" si="143"/>
        <v>0</v>
      </c>
      <c r="I293">
        <f t="shared" si="144"/>
        <v>0</v>
      </c>
      <c r="J293">
        <f t="shared" si="145"/>
        <v>0</v>
      </c>
      <c r="K293" s="1">
        <f t="shared" si="146"/>
        <v>0</v>
      </c>
      <c r="L293" s="1">
        <f t="shared" si="147"/>
        <v>0</v>
      </c>
      <c r="M293" s="1">
        <f t="shared" si="148"/>
        <v>0</v>
      </c>
      <c r="N293" s="1">
        <f t="shared" si="149"/>
        <v>0</v>
      </c>
      <c r="O293" s="1">
        <f t="shared" si="150"/>
        <v>0</v>
      </c>
      <c r="P293" s="1">
        <f t="shared" si="151"/>
        <v>25</v>
      </c>
      <c r="Q293" s="1" t="e">
        <f t="shared" si="152"/>
        <v>#DIV/0!</v>
      </c>
      <c r="R293" s="1" t="e">
        <f t="shared" si="153"/>
        <v>#DIV/0!</v>
      </c>
      <c r="S293" s="1" t="e">
        <f t="shared" si="154"/>
        <v>#DIV/0!</v>
      </c>
      <c r="T293" s="1" t="e">
        <f t="shared" si="155"/>
        <v>#DIV/0!</v>
      </c>
      <c r="U293" s="1" t="e">
        <f t="shared" si="156"/>
        <v>#DIV/0!</v>
      </c>
      <c r="V293">
        <f t="shared" si="157"/>
        <v>851.48</v>
      </c>
      <c r="W293">
        <f t="shared" si="158"/>
        <v>0</v>
      </c>
      <c r="X293">
        <f t="shared" si="159"/>
        <v>0</v>
      </c>
      <c r="Y293">
        <f t="shared" si="160"/>
        <v>0</v>
      </c>
      <c r="Z293">
        <f t="shared" si="161"/>
        <v>0</v>
      </c>
      <c r="AA293">
        <f t="shared" si="162"/>
        <v>0</v>
      </c>
      <c r="AC293">
        <f t="shared" si="163"/>
        <v>1045.25</v>
      </c>
      <c r="AD293">
        <f t="shared" si="164"/>
        <v>0</v>
      </c>
      <c r="AE293">
        <f t="shared" si="165"/>
        <v>0</v>
      </c>
      <c r="AF293">
        <f t="shared" si="166"/>
        <v>0</v>
      </c>
      <c r="AG293">
        <f t="shared" si="167"/>
        <v>0</v>
      </c>
      <c r="AH293">
        <f t="shared" si="168"/>
        <v>0</v>
      </c>
      <c r="AJ293">
        <f t="shared" si="169"/>
        <v>1239.01</v>
      </c>
      <c r="AK293">
        <f t="shared" si="170"/>
        <v>0</v>
      </c>
      <c r="AL293">
        <f t="shared" si="171"/>
        <v>0</v>
      </c>
      <c r="AM293">
        <f t="shared" si="172"/>
        <v>0</v>
      </c>
      <c r="AN293">
        <f t="shared" si="173"/>
        <v>0</v>
      </c>
      <c r="AO293">
        <f t="shared" si="174"/>
        <v>0</v>
      </c>
    </row>
    <row r="294" spans="1:41" x14ac:dyDescent="0.45">
      <c r="A294">
        <v>33.15344906</v>
      </c>
      <c r="B294">
        <v>118.83110240000001</v>
      </c>
      <c r="C294">
        <v>4.5469388999999998</v>
      </c>
      <c r="D294">
        <v>0.102087</v>
      </c>
      <c r="E294">
        <f t="shared" si="140"/>
        <v>0.102087</v>
      </c>
      <c r="F294">
        <f t="shared" si="141"/>
        <v>0</v>
      </c>
      <c r="G294">
        <f t="shared" si="142"/>
        <v>0</v>
      </c>
      <c r="H294">
        <f t="shared" si="143"/>
        <v>0</v>
      </c>
      <c r="I294">
        <f t="shared" si="144"/>
        <v>0</v>
      </c>
      <c r="J294">
        <f t="shared" si="145"/>
        <v>0</v>
      </c>
      <c r="K294" s="1">
        <f t="shared" si="146"/>
        <v>0</v>
      </c>
      <c r="L294" s="1">
        <f t="shared" si="147"/>
        <v>0</v>
      </c>
      <c r="M294" s="1">
        <f t="shared" si="148"/>
        <v>0</v>
      </c>
      <c r="N294" s="1">
        <f t="shared" si="149"/>
        <v>0</v>
      </c>
      <c r="O294" s="1">
        <f t="shared" si="150"/>
        <v>0</v>
      </c>
      <c r="P294" s="1">
        <f t="shared" si="151"/>
        <v>25</v>
      </c>
      <c r="Q294" s="1" t="e">
        <f t="shared" si="152"/>
        <v>#DIV/0!</v>
      </c>
      <c r="R294" s="1" t="e">
        <f t="shared" si="153"/>
        <v>#DIV/0!</v>
      </c>
      <c r="S294" s="1" t="e">
        <f t="shared" si="154"/>
        <v>#DIV/0!</v>
      </c>
      <c r="T294" s="1" t="e">
        <f t="shared" si="155"/>
        <v>#DIV/0!</v>
      </c>
      <c r="U294" s="1" t="e">
        <f t="shared" si="156"/>
        <v>#DIV/0!</v>
      </c>
      <c r="V294">
        <f t="shared" si="157"/>
        <v>851.48</v>
      </c>
      <c r="W294">
        <f t="shared" si="158"/>
        <v>0</v>
      </c>
      <c r="X294">
        <f t="shared" si="159"/>
        <v>0</v>
      </c>
      <c r="Y294">
        <f t="shared" si="160"/>
        <v>0</v>
      </c>
      <c r="Z294">
        <f t="shared" si="161"/>
        <v>0</v>
      </c>
      <c r="AA294">
        <f t="shared" si="162"/>
        <v>0</v>
      </c>
      <c r="AC294">
        <f t="shared" si="163"/>
        <v>1045.25</v>
      </c>
      <c r="AD294">
        <f t="shared" si="164"/>
        <v>0</v>
      </c>
      <c r="AE294">
        <f t="shared" si="165"/>
        <v>0</v>
      </c>
      <c r="AF294">
        <f t="shared" si="166"/>
        <v>0</v>
      </c>
      <c r="AG294">
        <f t="shared" si="167"/>
        <v>0</v>
      </c>
      <c r="AH294">
        <f t="shared" si="168"/>
        <v>0</v>
      </c>
      <c r="AJ294">
        <f t="shared" si="169"/>
        <v>1239.01</v>
      </c>
      <c r="AK294">
        <f t="shared" si="170"/>
        <v>0</v>
      </c>
      <c r="AL294">
        <f t="shared" si="171"/>
        <v>0</v>
      </c>
      <c r="AM294">
        <f t="shared" si="172"/>
        <v>0</v>
      </c>
      <c r="AN294">
        <f t="shared" si="173"/>
        <v>0</v>
      </c>
      <c r="AO294">
        <f t="shared" si="174"/>
        <v>0</v>
      </c>
    </row>
    <row r="295" spans="1:41" x14ac:dyDescent="0.45">
      <c r="A295">
        <v>33.332170650000002</v>
      </c>
      <c r="B295">
        <v>119.68679349999999</v>
      </c>
      <c r="C295">
        <v>7.8538036299999998</v>
      </c>
      <c r="D295">
        <v>6.5775E-2</v>
      </c>
      <c r="E295">
        <f t="shared" si="140"/>
        <v>6.5775E-2</v>
      </c>
      <c r="F295">
        <f t="shared" si="141"/>
        <v>0</v>
      </c>
      <c r="G295">
        <f t="shared" si="142"/>
        <v>0</v>
      </c>
      <c r="H295">
        <f t="shared" si="143"/>
        <v>0</v>
      </c>
      <c r="I295">
        <f t="shared" si="144"/>
        <v>0</v>
      </c>
      <c r="J295">
        <f t="shared" si="145"/>
        <v>0</v>
      </c>
      <c r="K295" s="1">
        <f t="shared" si="146"/>
        <v>0</v>
      </c>
      <c r="L295" s="1">
        <f t="shared" si="147"/>
        <v>0</v>
      </c>
      <c r="M295" s="1">
        <f t="shared" si="148"/>
        <v>0</v>
      </c>
      <c r="N295" s="1">
        <f t="shared" si="149"/>
        <v>0</v>
      </c>
      <c r="O295" s="1">
        <f t="shared" si="150"/>
        <v>0</v>
      </c>
      <c r="P295" s="1">
        <f t="shared" si="151"/>
        <v>25</v>
      </c>
      <c r="Q295" s="1" t="e">
        <f t="shared" si="152"/>
        <v>#DIV/0!</v>
      </c>
      <c r="R295" s="1" t="e">
        <f t="shared" si="153"/>
        <v>#DIV/0!</v>
      </c>
      <c r="S295" s="1" t="e">
        <f t="shared" si="154"/>
        <v>#DIV/0!</v>
      </c>
      <c r="T295" s="1" t="e">
        <f t="shared" si="155"/>
        <v>#DIV/0!</v>
      </c>
      <c r="U295" s="1" t="e">
        <f t="shared" si="156"/>
        <v>#DIV/0!</v>
      </c>
      <c r="V295">
        <f t="shared" si="157"/>
        <v>851.48</v>
      </c>
      <c r="W295">
        <f t="shared" si="158"/>
        <v>0</v>
      </c>
      <c r="X295">
        <f t="shared" si="159"/>
        <v>0</v>
      </c>
      <c r="Y295">
        <f t="shared" si="160"/>
        <v>0</v>
      </c>
      <c r="Z295">
        <f t="shared" si="161"/>
        <v>0</v>
      </c>
      <c r="AA295">
        <f t="shared" si="162"/>
        <v>0</v>
      </c>
      <c r="AC295">
        <f t="shared" si="163"/>
        <v>1045.25</v>
      </c>
      <c r="AD295">
        <f t="shared" si="164"/>
        <v>0</v>
      </c>
      <c r="AE295">
        <f t="shared" si="165"/>
        <v>0</v>
      </c>
      <c r="AF295">
        <f t="shared" si="166"/>
        <v>0</v>
      </c>
      <c r="AG295">
        <f t="shared" si="167"/>
        <v>0</v>
      </c>
      <c r="AH295">
        <f t="shared" si="168"/>
        <v>0</v>
      </c>
      <c r="AJ295">
        <f t="shared" si="169"/>
        <v>1239.01</v>
      </c>
      <c r="AK295">
        <f t="shared" si="170"/>
        <v>0</v>
      </c>
      <c r="AL295">
        <f t="shared" si="171"/>
        <v>0</v>
      </c>
      <c r="AM295">
        <f t="shared" si="172"/>
        <v>0</v>
      </c>
      <c r="AN295">
        <f t="shared" si="173"/>
        <v>0</v>
      </c>
      <c r="AO295">
        <f t="shared" si="174"/>
        <v>0</v>
      </c>
    </row>
    <row r="296" spans="1:41" x14ac:dyDescent="0.45">
      <c r="A296">
        <v>33.349220039999999</v>
      </c>
      <c r="B296">
        <v>114.79247789999999</v>
      </c>
      <c r="C296">
        <v>5.63210297</v>
      </c>
      <c r="D296">
        <v>0.37986599999999998</v>
      </c>
      <c r="E296">
        <f t="shared" si="140"/>
        <v>0.37986599999999998</v>
      </c>
      <c r="F296">
        <f t="shared" si="141"/>
        <v>0</v>
      </c>
      <c r="G296">
        <f t="shared" si="142"/>
        <v>0</v>
      </c>
      <c r="H296">
        <f t="shared" si="143"/>
        <v>0</v>
      </c>
      <c r="I296">
        <f t="shared" si="144"/>
        <v>0</v>
      </c>
      <c r="J296">
        <f t="shared" si="145"/>
        <v>0</v>
      </c>
      <c r="K296" s="1">
        <f t="shared" si="146"/>
        <v>0</v>
      </c>
      <c r="L296" s="1">
        <f t="shared" si="147"/>
        <v>0</v>
      </c>
      <c r="M296" s="1">
        <f t="shared" si="148"/>
        <v>0</v>
      </c>
      <c r="N296" s="1">
        <f t="shared" si="149"/>
        <v>0</v>
      </c>
      <c r="O296" s="1">
        <f t="shared" si="150"/>
        <v>0</v>
      </c>
      <c r="P296" s="1">
        <f t="shared" si="151"/>
        <v>25</v>
      </c>
      <c r="Q296" s="1" t="e">
        <f t="shared" si="152"/>
        <v>#DIV/0!</v>
      </c>
      <c r="R296" s="1" t="e">
        <f t="shared" si="153"/>
        <v>#DIV/0!</v>
      </c>
      <c r="S296" s="1" t="e">
        <f t="shared" si="154"/>
        <v>#DIV/0!</v>
      </c>
      <c r="T296" s="1" t="e">
        <f t="shared" si="155"/>
        <v>#DIV/0!</v>
      </c>
      <c r="U296" s="1" t="e">
        <f t="shared" si="156"/>
        <v>#DIV/0!</v>
      </c>
      <c r="V296">
        <f t="shared" si="157"/>
        <v>851.48</v>
      </c>
      <c r="W296">
        <f t="shared" si="158"/>
        <v>0</v>
      </c>
      <c r="X296">
        <f t="shared" si="159"/>
        <v>0</v>
      </c>
      <c r="Y296">
        <f t="shared" si="160"/>
        <v>0</v>
      </c>
      <c r="Z296">
        <f t="shared" si="161"/>
        <v>0</v>
      </c>
      <c r="AA296">
        <f t="shared" si="162"/>
        <v>0</v>
      </c>
      <c r="AC296">
        <f t="shared" si="163"/>
        <v>1045.25</v>
      </c>
      <c r="AD296">
        <f t="shared" si="164"/>
        <v>0</v>
      </c>
      <c r="AE296">
        <f t="shared" si="165"/>
        <v>0</v>
      </c>
      <c r="AF296">
        <f t="shared" si="166"/>
        <v>0</v>
      </c>
      <c r="AG296">
        <f t="shared" si="167"/>
        <v>0</v>
      </c>
      <c r="AH296">
        <f t="shared" si="168"/>
        <v>0</v>
      </c>
      <c r="AJ296">
        <f t="shared" si="169"/>
        <v>1239.01</v>
      </c>
      <c r="AK296">
        <f t="shared" si="170"/>
        <v>0</v>
      </c>
      <c r="AL296">
        <f t="shared" si="171"/>
        <v>0</v>
      </c>
      <c r="AM296">
        <f t="shared" si="172"/>
        <v>0</v>
      </c>
      <c r="AN296">
        <f t="shared" si="173"/>
        <v>0</v>
      </c>
      <c r="AO296">
        <f t="shared" si="174"/>
        <v>0</v>
      </c>
    </row>
    <row r="297" spans="1:41" x14ac:dyDescent="0.45">
      <c r="A297">
        <v>33.475584470000001</v>
      </c>
      <c r="B297">
        <v>115.5209424</v>
      </c>
      <c r="C297">
        <v>14.643466950000001</v>
      </c>
      <c r="D297">
        <v>4.2283000000000001E-2</v>
      </c>
      <c r="E297">
        <f t="shared" si="140"/>
        <v>4.2283000000000001E-2</v>
      </c>
      <c r="F297">
        <f t="shared" si="141"/>
        <v>0</v>
      </c>
      <c r="G297">
        <f t="shared" si="142"/>
        <v>0</v>
      </c>
      <c r="H297">
        <f t="shared" si="143"/>
        <v>0</v>
      </c>
      <c r="I297">
        <f t="shared" si="144"/>
        <v>0</v>
      </c>
      <c r="J297">
        <f t="shared" si="145"/>
        <v>0</v>
      </c>
      <c r="K297" s="1">
        <f t="shared" si="146"/>
        <v>0</v>
      </c>
      <c r="L297" s="1">
        <f t="shared" si="147"/>
        <v>0</v>
      </c>
      <c r="M297" s="1">
        <f t="shared" si="148"/>
        <v>0</v>
      </c>
      <c r="N297" s="1">
        <f t="shared" si="149"/>
        <v>0</v>
      </c>
      <c r="O297" s="1">
        <f t="shared" si="150"/>
        <v>0</v>
      </c>
      <c r="P297" s="1">
        <f t="shared" si="151"/>
        <v>25</v>
      </c>
      <c r="Q297" s="1" t="e">
        <f t="shared" si="152"/>
        <v>#DIV/0!</v>
      </c>
      <c r="R297" s="1" t="e">
        <f t="shared" si="153"/>
        <v>#DIV/0!</v>
      </c>
      <c r="S297" s="1" t="e">
        <f t="shared" si="154"/>
        <v>#DIV/0!</v>
      </c>
      <c r="T297" s="1" t="e">
        <f t="shared" si="155"/>
        <v>#DIV/0!</v>
      </c>
      <c r="U297" s="1" t="e">
        <f t="shared" si="156"/>
        <v>#DIV/0!</v>
      </c>
      <c r="V297">
        <f t="shared" si="157"/>
        <v>851.48</v>
      </c>
      <c r="W297">
        <f t="shared" si="158"/>
        <v>0</v>
      </c>
      <c r="X297">
        <f t="shared" si="159"/>
        <v>0</v>
      </c>
      <c r="Y297">
        <f t="shared" si="160"/>
        <v>0</v>
      </c>
      <c r="Z297">
        <f t="shared" si="161"/>
        <v>0</v>
      </c>
      <c r="AA297">
        <f t="shared" si="162"/>
        <v>0</v>
      </c>
      <c r="AC297">
        <f t="shared" si="163"/>
        <v>1045.25</v>
      </c>
      <c r="AD297">
        <f t="shared" si="164"/>
        <v>0</v>
      </c>
      <c r="AE297">
        <f t="shared" si="165"/>
        <v>0</v>
      </c>
      <c r="AF297">
        <f t="shared" si="166"/>
        <v>0</v>
      </c>
      <c r="AG297">
        <f t="shared" si="167"/>
        <v>0</v>
      </c>
      <c r="AH297">
        <f t="shared" si="168"/>
        <v>0</v>
      </c>
      <c r="AJ297">
        <f t="shared" si="169"/>
        <v>1239.01</v>
      </c>
      <c r="AK297">
        <f t="shared" si="170"/>
        <v>0</v>
      </c>
      <c r="AL297">
        <f t="shared" si="171"/>
        <v>0</v>
      </c>
      <c r="AM297">
        <f t="shared" si="172"/>
        <v>0</v>
      </c>
      <c r="AN297">
        <f t="shared" si="173"/>
        <v>0</v>
      </c>
      <c r="AO297">
        <f t="shared" si="174"/>
        <v>0</v>
      </c>
    </row>
    <row r="298" spans="1:41" x14ac:dyDescent="0.45">
      <c r="A298">
        <v>34.852790599999999</v>
      </c>
      <c r="B298">
        <v>115.01448600000001</v>
      </c>
      <c r="C298">
        <v>0</v>
      </c>
      <c r="D298">
        <v>2.50790501</v>
      </c>
      <c r="E298">
        <f t="shared" si="140"/>
        <v>0</v>
      </c>
      <c r="F298">
        <f t="shared" si="141"/>
        <v>2.50790501</v>
      </c>
      <c r="G298">
        <f t="shared" si="142"/>
        <v>2.50790501</v>
      </c>
      <c r="H298">
        <f t="shared" si="143"/>
        <v>2.50790501</v>
      </c>
      <c r="I298">
        <f t="shared" si="144"/>
        <v>2.50790501</v>
      </c>
      <c r="J298">
        <f t="shared" si="145"/>
        <v>2.50790501</v>
      </c>
      <c r="K298" s="1">
        <f t="shared" si="146"/>
        <v>0</v>
      </c>
      <c r="L298" s="1">
        <f t="shared" si="147"/>
        <v>0</v>
      </c>
      <c r="M298" s="1">
        <f t="shared" si="148"/>
        <v>0</v>
      </c>
      <c r="N298" s="1">
        <f t="shared" si="149"/>
        <v>0</v>
      </c>
      <c r="O298" s="1">
        <f t="shared" si="150"/>
        <v>0</v>
      </c>
      <c r="P298" s="1">
        <f t="shared" si="151"/>
        <v>1</v>
      </c>
      <c r="Q298" s="1">
        <f t="shared" si="152"/>
        <v>1</v>
      </c>
      <c r="R298" s="1">
        <f t="shared" si="153"/>
        <v>1</v>
      </c>
      <c r="S298" s="1">
        <f t="shared" si="154"/>
        <v>1</v>
      </c>
      <c r="T298" s="1">
        <f t="shared" si="155"/>
        <v>1</v>
      </c>
      <c r="U298" s="1">
        <f t="shared" si="156"/>
        <v>1</v>
      </c>
      <c r="V298">
        <f t="shared" si="157"/>
        <v>71.48</v>
      </c>
      <c r="W298">
        <f t="shared" si="158"/>
        <v>76.489999999999995</v>
      </c>
      <c r="X298">
        <f t="shared" si="159"/>
        <v>52.14</v>
      </c>
      <c r="Y298">
        <f t="shared" si="160"/>
        <v>38.1</v>
      </c>
      <c r="Z298">
        <f t="shared" si="161"/>
        <v>32.120000000000005</v>
      </c>
      <c r="AA298">
        <f t="shared" si="162"/>
        <v>30.03</v>
      </c>
      <c r="AC298">
        <f t="shared" si="163"/>
        <v>85.25</v>
      </c>
      <c r="AD298">
        <f t="shared" si="164"/>
        <v>76.489999999999995</v>
      </c>
      <c r="AE298">
        <f t="shared" si="165"/>
        <v>64.17</v>
      </c>
      <c r="AF298">
        <f t="shared" si="166"/>
        <v>49.84</v>
      </c>
      <c r="AG298">
        <f t="shared" si="167"/>
        <v>48.34</v>
      </c>
      <c r="AH298">
        <f t="shared" si="168"/>
        <v>41.36</v>
      </c>
      <c r="AJ298">
        <f t="shared" si="169"/>
        <v>99.009999999999991</v>
      </c>
      <c r="AK298">
        <f t="shared" si="170"/>
        <v>90.94</v>
      </c>
      <c r="AL298">
        <f t="shared" si="171"/>
        <v>78.7</v>
      </c>
      <c r="AM298">
        <f t="shared" si="172"/>
        <v>67.430000000000007</v>
      </c>
      <c r="AN298">
        <f t="shared" si="173"/>
        <v>62.56</v>
      </c>
      <c r="AO298">
        <f t="shared" si="174"/>
        <v>55.19</v>
      </c>
    </row>
    <row r="299" spans="1:41" x14ac:dyDescent="0.45">
      <c r="A299">
        <v>34.956883750000003</v>
      </c>
      <c r="B299">
        <v>114.8583192</v>
      </c>
      <c r="C299">
        <v>0</v>
      </c>
      <c r="D299">
        <v>0.90991199</v>
      </c>
      <c r="E299">
        <f t="shared" si="140"/>
        <v>0</v>
      </c>
      <c r="F299">
        <f t="shared" si="141"/>
        <v>0.90991199</v>
      </c>
      <c r="G299">
        <f t="shared" si="142"/>
        <v>0.90991199</v>
      </c>
      <c r="H299">
        <f t="shared" si="143"/>
        <v>0.90991199</v>
      </c>
      <c r="I299">
        <f t="shared" si="144"/>
        <v>0.90991199</v>
      </c>
      <c r="J299">
        <f t="shared" si="145"/>
        <v>0.90991199</v>
      </c>
      <c r="K299" s="1">
        <f t="shared" si="146"/>
        <v>0</v>
      </c>
      <c r="L299" s="1">
        <f t="shared" si="147"/>
        <v>0</v>
      </c>
      <c r="M299" s="1">
        <f t="shared" si="148"/>
        <v>0</v>
      </c>
      <c r="N299" s="1">
        <f t="shared" si="149"/>
        <v>0</v>
      </c>
      <c r="O299" s="1">
        <f t="shared" si="150"/>
        <v>0</v>
      </c>
      <c r="P299" s="1">
        <f t="shared" si="151"/>
        <v>1</v>
      </c>
      <c r="Q299" s="1">
        <f t="shared" si="152"/>
        <v>1</v>
      </c>
      <c r="R299" s="1">
        <f t="shared" si="153"/>
        <v>1</v>
      </c>
      <c r="S299" s="1">
        <f t="shared" si="154"/>
        <v>1</v>
      </c>
      <c r="T299" s="1">
        <f t="shared" si="155"/>
        <v>1</v>
      </c>
      <c r="U299" s="1">
        <f t="shared" si="156"/>
        <v>1</v>
      </c>
      <c r="V299">
        <f t="shared" si="157"/>
        <v>71.48</v>
      </c>
      <c r="W299">
        <f t="shared" si="158"/>
        <v>76.489999999999995</v>
      </c>
      <c r="X299">
        <f t="shared" si="159"/>
        <v>52.14</v>
      </c>
      <c r="Y299">
        <f t="shared" si="160"/>
        <v>38.1</v>
      </c>
      <c r="Z299">
        <f t="shared" si="161"/>
        <v>32.120000000000005</v>
      </c>
      <c r="AA299">
        <f t="shared" si="162"/>
        <v>30.03</v>
      </c>
      <c r="AC299">
        <f t="shared" si="163"/>
        <v>85.25</v>
      </c>
      <c r="AD299">
        <f t="shared" si="164"/>
        <v>76.489999999999995</v>
      </c>
      <c r="AE299">
        <f t="shared" si="165"/>
        <v>64.17</v>
      </c>
      <c r="AF299">
        <f t="shared" si="166"/>
        <v>49.84</v>
      </c>
      <c r="AG299">
        <f t="shared" si="167"/>
        <v>48.34</v>
      </c>
      <c r="AH299">
        <f t="shared" si="168"/>
        <v>41.36</v>
      </c>
      <c r="AJ299">
        <f t="shared" si="169"/>
        <v>99.009999999999991</v>
      </c>
      <c r="AK299">
        <f t="shared" si="170"/>
        <v>90.94</v>
      </c>
      <c r="AL299">
        <f t="shared" si="171"/>
        <v>78.7</v>
      </c>
      <c r="AM299">
        <f t="shared" si="172"/>
        <v>67.430000000000007</v>
      </c>
      <c r="AN299">
        <f t="shared" si="173"/>
        <v>62.56</v>
      </c>
      <c r="AO299">
        <f t="shared" si="174"/>
        <v>55.19</v>
      </c>
    </row>
    <row r="300" spans="1:41" x14ac:dyDescent="0.45">
      <c r="A300">
        <v>35.046528870000003</v>
      </c>
      <c r="B300">
        <v>107.8235207</v>
      </c>
      <c r="C300">
        <v>0</v>
      </c>
      <c r="D300">
        <v>0.124359</v>
      </c>
      <c r="E300">
        <f t="shared" si="140"/>
        <v>0</v>
      </c>
      <c r="F300">
        <f t="shared" si="141"/>
        <v>0.124359</v>
      </c>
      <c r="G300">
        <f t="shared" si="142"/>
        <v>0.124359</v>
      </c>
      <c r="H300">
        <f t="shared" si="143"/>
        <v>0.124359</v>
      </c>
      <c r="I300">
        <f t="shared" si="144"/>
        <v>0.124359</v>
      </c>
      <c r="J300">
        <f t="shared" si="145"/>
        <v>0.124359</v>
      </c>
      <c r="K300" s="1">
        <f t="shared" si="146"/>
        <v>0</v>
      </c>
      <c r="L300" s="1">
        <f t="shared" si="147"/>
        <v>0</v>
      </c>
      <c r="M300" s="1">
        <f t="shared" si="148"/>
        <v>0</v>
      </c>
      <c r="N300" s="1">
        <f t="shared" si="149"/>
        <v>0</v>
      </c>
      <c r="O300" s="1">
        <f t="shared" si="150"/>
        <v>0</v>
      </c>
      <c r="P300" s="1">
        <f t="shared" si="151"/>
        <v>1</v>
      </c>
      <c r="Q300" s="1">
        <f t="shared" si="152"/>
        <v>1</v>
      </c>
      <c r="R300" s="1">
        <f t="shared" si="153"/>
        <v>1</v>
      </c>
      <c r="S300" s="1">
        <f t="shared" si="154"/>
        <v>1</v>
      </c>
      <c r="T300" s="1">
        <f t="shared" si="155"/>
        <v>1</v>
      </c>
      <c r="U300" s="1">
        <f t="shared" si="156"/>
        <v>1</v>
      </c>
      <c r="V300">
        <f t="shared" si="157"/>
        <v>71.48</v>
      </c>
      <c r="W300">
        <f t="shared" si="158"/>
        <v>76.489999999999995</v>
      </c>
      <c r="X300">
        <f t="shared" si="159"/>
        <v>52.14</v>
      </c>
      <c r="Y300">
        <f t="shared" si="160"/>
        <v>38.1</v>
      </c>
      <c r="Z300">
        <f t="shared" si="161"/>
        <v>32.120000000000005</v>
      </c>
      <c r="AA300">
        <f t="shared" si="162"/>
        <v>30.03</v>
      </c>
      <c r="AC300">
        <f t="shared" si="163"/>
        <v>85.25</v>
      </c>
      <c r="AD300">
        <f t="shared" si="164"/>
        <v>76.489999999999995</v>
      </c>
      <c r="AE300">
        <f t="shared" si="165"/>
        <v>64.17</v>
      </c>
      <c r="AF300">
        <f t="shared" si="166"/>
        <v>49.84</v>
      </c>
      <c r="AG300">
        <f t="shared" si="167"/>
        <v>48.34</v>
      </c>
      <c r="AH300">
        <f t="shared" si="168"/>
        <v>41.36</v>
      </c>
      <c r="AJ300">
        <f t="shared" si="169"/>
        <v>99.009999999999991</v>
      </c>
      <c r="AK300">
        <f t="shared" si="170"/>
        <v>90.94</v>
      </c>
      <c r="AL300">
        <f t="shared" si="171"/>
        <v>78.7</v>
      </c>
      <c r="AM300">
        <f t="shared" si="172"/>
        <v>67.430000000000007</v>
      </c>
      <c r="AN300">
        <f t="shared" si="173"/>
        <v>62.56</v>
      </c>
      <c r="AO300">
        <f t="shared" si="174"/>
        <v>55.19</v>
      </c>
    </row>
    <row r="301" spans="1:41" x14ac:dyDescent="0.45">
      <c r="A301">
        <v>35.181206869999997</v>
      </c>
      <c r="B301">
        <v>114.9395234</v>
      </c>
      <c r="C301">
        <v>0</v>
      </c>
      <c r="D301">
        <v>0.61929798000000003</v>
      </c>
      <c r="E301">
        <f t="shared" si="140"/>
        <v>0</v>
      </c>
      <c r="F301">
        <f t="shared" si="141"/>
        <v>0.61929798000000003</v>
      </c>
      <c r="G301">
        <f t="shared" si="142"/>
        <v>0.61929798000000003</v>
      </c>
      <c r="H301">
        <f t="shared" si="143"/>
        <v>0.61929798000000003</v>
      </c>
      <c r="I301">
        <f t="shared" si="144"/>
        <v>0.61929798000000003</v>
      </c>
      <c r="J301">
        <f t="shared" si="145"/>
        <v>0.61929798000000003</v>
      </c>
      <c r="K301" s="1">
        <f t="shared" si="146"/>
        <v>0</v>
      </c>
      <c r="L301" s="1">
        <f t="shared" si="147"/>
        <v>0</v>
      </c>
      <c r="M301" s="1">
        <f t="shared" si="148"/>
        <v>0</v>
      </c>
      <c r="N301" s="1">
        <f t="shared" si="149"/>
        <v>0</v>
      </c>
      <c r="O301" s="1">
        <f t="shared" si="150"/>
        <v>0</v>
      </c>
      <c r="P301" s="1">
        <f t="shared" si="151"/>
        <v>1</v>
      </c>
      <c r="Q301" s="1">
        <f t="shared" si="152"/>
        <v>1</v>
      </c>
      <c r="R301" s="1">
        <f t="shared" si="153"/>
        <v>1</v>
      </c>
      <c r="S301" s="1">
        <f t="shared" si="154"/>
        <v>1</v>
      </c>
      <c r="T301" s="1">
        <f t="shared" si="155"/>
        <v>1</v>
      </c>
      <c r="U301" s="1">
        <f t="shared" si="156"/>
        <v>1</v>
      </c>
      <c r="V301">
        <f t="shared" si="157"/>
        <v>71.48</v>
      </c>
      <c r="W301">
        <f t="shared" si="158"/>
        <v>76.489999999999995</v>
      </c>
      <c r="X301">
        <f t="shared" si="159"/>
        <v>52.14</v>
      </c>
      <c r="Y301">
        <f t="shared" si="160"/>
        <v>38.1</v>
      </c>
      <c r="Z301">
        <f t="shared" si="161"/>
        <v>32.120000000000005</v>
      </c>
      <c r="AA301">
        <f t="shared" si="162"/>
        <v>30.03</v>
      </c>
      <c r="AC301">
        <f t="shared" si="163"/>
        <v>85.25</v>
      </c>
      <c r="AD301">
        <f t="shared" si="164"/>
        <v>76.489999999999995</v>
      </c>
      <c r="AE301">
        <f t="shared" si="165"/>
        <v>64.17</v>
      </c>
      <c r="AF301">
        <f t="shared" si="166"/>
        <v>49.84</v>
      </c>
      <c r="AG301">
        <f t="shared" si="167"/>
        <v>48.34</v>
      </c>
      <c r="AH301">
        <f t="shared" si="168"/>
        <v>41.36</v>
      </c>
      <c r="AJ301">
        <f t="shared" si="169"/>
        <v>99.009999999999991</v>
      </c>
      <c r="AK301">
        <f t="shared" si="170"/>
        <v>90.94</v>
      </c>
      <c r="AL301">
        <f t="shared" si="171"/>
        <v>78.7</v>
      </c>
      <c r="AM301">
        <f t="shared" si="172"/>
        <v>67.430000000000007</v>
      </c>
      <c r="AN301">
        <f t="shared" si="173"/>
        <v>62.56</v>
      </c>
      <c r="AO301">
        <f t="shared" si="174"/>
        <v>55.19</v>
      </c>
    </row>
    <row r="302" spans="1:41" x14ac:dyDescent="0.45">
      <c r="A302">
        <v>35.184206949999997</v>
      </c>
      <c r="B302">
        <v>107.8266782</v>
      </c>
      <c r="C302">
        <v>0</v>
      </c>
      <c r="D302">
        <v>6.2179999999999999E-2</v>
      </c>
      <c r="E302">
        <f t="shared" si="140"/>
        <v>0</v>
      </c>
      <c r="F302">
        <f t="shared" si="141"/>
        <v>6.2179999999999999E-2</v>
      </c>
      <c r="G302">
        <f t="shared" si="142"/>
        <v>6.2179999999999999E-2</v>
      </c>
      <c r="H302">
        <f t="shared" si="143"/>
        <v>6.2179999999999999E-2</v>
      </c>
      <c r="I302">
        <f t="shared" si="144"/>
        <v>6.2179999999999999E-2</v>
      </c>
      <c r="J302">
        <f t="shared" si="145"/>
        <v>6.2179999999999999E-2</v>
      </c>
      <c r="K302" s="1">
        <f t="shared" si="146"/>
        <v>0</v>
      </c>
      <c r="L302" s="1">
        <f t="shared" si="147"/>
        <v>0</v>
      </c>
      <c r="M302" s="1">
        <f t="shared" si="148"/>
        <v>0</v>
      </c>
      <c r="N302" s="1">
        <f t="shared" si="149"/>
        <v>0</v>
      </c>
      <c r="O302" s="1">
        <f t="shared" si="150"/>
        <v>0</v>
      </c>
      <c r="P302" s="1">
        <f t="shared" si="151"/>
        <v>1</v>
      </c>
      <c r="Q302" s="1">
        <f t="shared" si="152"/>
        <v>1</v>
      </c>
      <c r="R302" s="1">
        <f t="shared" si="153"/>
        <v>1</v>
      </c>
      <c r="S302" s="1">
        <f t="shared" si="154"/>
        <v>1</v>
      </c>
      <c r="T302" s="1">
        <f t="shared" si="155"/>
        <v>1</v>
      </c>
      <c r="U302" s="1">
        <f t="shared" si="156"/>
        <v>1</v>
      </c>
      <c r="V302">
        <f t="shared" si="157"/>
        <v>71.48</v>
      </c>
      <c r="W302">
        <f t="shared" si="158"/>
        <v>76.489999999999995</v>
      </c>
      <c r="X302">
        <f t="shared" si="159"/>
        <v>52.14</v>
      </c>
      <c r="Y302">
        <f t="shared" si="160"/>
        <v>38.1</v>
      </c>
      <c r="Z302">
        <f t="shared" si="161"/>
        <v>32.120000000000005</v>
      </c>
      <c r="AA302">
        <f t="shared" si="162"/>
        <v>30.03</v>
      </c>
      <c r="AC302">
        <f t="shared" si="163"/>
        <v>85.25</v>
      </c>
      <c r="AD302">
        <f t="shared" si="164"/>
        <v>76.489999999999995</v>
      </c>
      <c r="AE302">
        <f t="shared" si="165"/>
        <v>64.17</v>
      </c>
      <c r="AF302">
        <f t="shared" si="166"/>
        <v>49.84</v>
      </c>
      <c r="AG302">
        <f t="shared" si="167"/>
        <v>48.34</v>
      </c>
      <c r="AH302">
        <f t="shared" si="168"/>
        <v>41.36</v>
      </c>
      <c r="AJ302">
        <f t="shared" si="169"/>
        <v>99.009999999999991</v>
      </c>
      <c r="AK302">
        <f t="shared" si="170"/>
        <v>90.94</v>
      </c>
      <c r="AL302">
        <f t="shared" si="171"/>
        <v>78.7</v>
      </c>
      <c r="AM302">
        <f t="shared" si="172"/>
        <v>67.430000000000007</v>
      </c>
      <c r="AN302">
        <f t="shared" si="173"/>
        <v>62.56</v>
      </c>
      <c r="AO302">
        <f t="shared" si="174"/>
        <v>55.19</v>
      </c>
    </row>
    <row r="303" spans="1:41" x14ac:dyDescent="0.45">
      <c r="A303">
        <v>35.333705250000001</v>
      </c>
      <c r="B303">
        <v>115.3506149</v>
      </c>
      <c r="C303">
        <v>0</v>
      </c>
      <c r="D303">
        <v>4.2457428000000004</v>
      </c>
      <c r="E303">
        <f t="shared" si="140"/>
        <v>0</v>
      </c>
      <c r="F303">
        <f t="shared" si="141"/>
        <v>4.2457428000000004</v>
      </c>
      <c r="G303">
        <f t="shared" si="142"/>
        <v>4.2457428000000004</v>
      </c>
      <c r="H303">
        <f t="shared" si="143"/>
        <v>4.2457428000000004</v>
      </c>
      <c r="I303">
        <f t="shared" si="144"/>
        <v>4.2457428000000004</v>
      </c>
      <c r="J303">
        <f t="shared" si="145"/>
        <v>4.2457428000000004</v>
      </c>
      <c r="K303" s="1">
        <f t="shared" si="146"/>
        <v>0</v>
      </c>
      <c r="L303" s="1">
        <f t="shared" si="147"/>
        <v>0</v>
      </c>
      <c r="M303" s="1">
        <f t="shared" si="148"/>
        <v>0</v>
      </c>
      <c r="N303" s="1">
        <f t="shared" si="149"/>
        <v>0</v>
      </c>
      <c r="O303" s="1">
        <f t="shared" si="150"/>
        <v>0</v>
      </c>
      <c r="P303" s="1">
        <f t="shared" si="151"/>
        <v>1</v>
      </c>
      <c r="Q303" s="1">
        <f t="shared" si="152"/>
        <v>1</v>
      </c>
      <c r="R303" s="1">
        <f t="shared" si="153"/>
        <v>1</v>
      </c>
      <c r="S303" s="1">
        <f t="shared" si="154"/>
        <v>1</v>
      </c>
      <c r="T303" s="1">
        <f t="shared" si="155"/>
        <v>1</v>
      </c>
      <c r="U303" s="1">
        <f t="shared" si="156"/>
        <v>1</v>
      </c>
      <c r="V303">
        <f t="shared" si="157"/>
        <v>71.48</v>
      </c>
      <c r="W303">
        <f t="shared" si="158"/>
        <v>76.489999999999995</v>
      </c>
      <c r="X303">
        <f t="shared" si="159"/>
        <v>52.14</v>
      </c>
      <c r="Y303">
        <f t="shared" si="160"/>
        <v>38.1</v>
      </c>
      <c r="Z303">
        <f t="shared" si="161"/>
        <v>32.120000000000005</v>
      </c>
      <c r="AA303">
        <f t="shared" si="162"/>
        <v>30.03</v>
      </c>
      <c r="AC303">
        <f t="shared" si="163"/>
        <v>85.25</v>
      </c>
      <c r="AD303">
        <f t="shared" si="164"/>
        <v>76.489999999999995</v>
      </c>
      <c r="AE303">
        <f t="shared" si="165"/>
        <v>64.17</v>
      </c>
      <c r="AF303">
        <f t="shared" si="166"/>
        <v>49.84</v>
      </c>
      <c r="AG303">
        <f t="shared" si="167"/>
        <v>48.34</v>
      </c>
      <c r="AH303">
        <f t="shared" si="168"/>
        <v>41.36</v>
      </c>
      <c r="AJ303">
        <f t="shared" si="169"/>
        <v>99.009999999999991</v>
      </c>
      <c r="AK303">
        <f t="shared" si="170"/>
        <v>90.94</v>
      </c>
      <c r="AL303">
        <f t="shared" si="171"/>
        <v>78.7</v>
      </c>
      <c r="AM303">
        <f t="shared" si="172"/>
        <v>67.430000000000007</v>
      </c>
      <c r="AN303">
        <f t="shared" si="173"/>
        <v>62.56</v>
      </c>
      <c r="AO303">
        <f t="shared" si="174"/>
        <v>55.19</v>
      </c>
    </row>
    <row r="304" spans="1:41" x14ac:dyDescent="0.45">
      <c r="A304">
        <v>35.36825855</v>
      </c>
      <c r="B304">
        <v>114.90438090000001</v>
      </c>
      <c r="C304">
        <v>7.5089607200000001</v>
      </c>
      <c r="D304">
        <v>3.9196000000000002E-2</v>
      </c>
      <c r="E304">
        <f t="shared" si="140"/>
        <v>3.9196000000000002E-2</v>
      </c>
      <c r="F304">
        <f t="shared" si="141"/>
        <v>0</v>
      </c>
      <c r="G304">
        <f t="shared" si="142"/>
        <v>0</v>
      </c>
      <c r="H304">
        <f t="shared" si="143"/>
        <v>0</v>
      </c>
      <c r="I304">
        <f t="shared" si="144"/>
        <v>0</v>
      </c>
      <c r="J304">
        <f t="shared" si="145"/>
        <v>0</v>
      </c>
      <c r="K304" s="1">
        <f t="shared" si="146"/>
        <v>0</v>
      </c>
      <c r="L304" s="1">
        <f t="shared" si="147"/>
        <v>0</v>
      </c>
      <c r="M304" s="1">
        <f t="shared" si="148"/>
        <v>0</v>
      </c>
      <c r="N304" s="1">
        <f t="shared" si="149"/>
        <v>0</v>
      </c>
      <c r="O304" s="1">
        <f t="shared" si="150"/>
        <v>0</v>
      </c>
      <c r="P304" s="1">
        <f t="shared" si="151"/>
        <v>25</v>
      </c>
      <c r="Q304" s="1" t="e">
        <f t="shared" si="152"/>
        <v>#DIV/0!</v>
      </c>
      <c r="R304" s="1" t="e">
        <f t="shared" si="153"/>
        <v>#DIV/0!</v>
      </c>
      <c r="S304" s="1" t="e">
        <f t="shared" si="154"/>
        <v>#DIV/0!</v>
      </c>
      <c r="T304" s="1" t="e">
        <f t="shared" si="155"/>
        <v>#DIV/0!</v>
      </c>
      <c r="U304" s="1" t="e">
        <f t="shared" si="156"/>
        <v>#DIV/0!</v>
      </c>
      <c r="V304">
        <f t="shared" si="157"/>
        <v>851.48</v>
      </c>
      <c r="W304">
        <f t="shared" si="158"/>
        <v>0</v>
      </c>
      <c r="X304">
        <f t="shared" si="159"/>
        <v>0</v>
      </c>
      <c r="Y304">
        <f t="shared" si="160"/>
        <v>0</v>
      </c>
      <c r="Z304">
        <f t="shared" si="161"/>
        <v>0</v>
      </c>
      <c r="AA304">
        <f t="shared" si="162"/>
        <v>0</v>
      </c>
      <c r="AC304">
        <f t="shared" si="163"/>
        <v>1045.25</v>
      </c>
      <c r="AD304">
        <f t="shared" si="164"/>
        <v>0</v>
      </c>
      <c r="AE304">
        <f t="shared" si="165"/>
        <v>0</v>
      </c>
      <c r="AF304">
        <f t="shared" si="166"/>
        <v>0</v>
      </c>
      <c r="AG304">
        <f t="shared" si="167"/>
        <v>0</v>
      </c>
      <c r="AH304">
        <f t="shared" si="168"/>
        <v>0</v>
      </c>
      <c r="AJ304">
        <f t="shared" si="169"/>
        <v>1239.01</v>
      </c>
      <c r="AK304">
        <f t="shared" si="170"/>
        <v>0</v>
      </c>
      <c r="AL304">
        <f t="shared" si="171"/>
        <v>0</v>
      </c>
      <c r="AM304">
        <f t="shared" si="172"/>
        <v>0</v>
      </c>
      <c r="AN304">
        <f t="shared" si="173"/>
        <v>0</v>
      </c>
      <c r="AO304">
        <f t="shared" si="174"/>
        <v>0</v>
      </c>
    </row>
    <row r="305" spans="1:41" x14ac:dyDescent="0.45">
      <c r="A305">
        <v>35.388195160000002</v>
      </c>
      <c r="B305">
        <v>115.2444316</v>
      </c>
      <c r="C305">
        <v>0</v>
      </c>
      <c r="D305">
        <v>0.57734101999999998</v>
      </c>
      <c r="E305">
        <f t="shared" si="140"/>
        <v>0</v>
      </c>
      <c r="F305">
        <f t="shared" si="141"/>
        <v>0.57734101999999998</v>
      </c>
      <c r="G305">
        <f t="shared" si="142"/>
        <v>0.57734101999999998</v>
      </c>
      <c r="H305">
        <f t="shared" si="143"/>
        <v>0.57734101999999998</v>
      </c>
      <c r="I305">
        <f t="shared" si="144"/>
        <v>0.57734101999999998</v>
      </c>
      <c r="J305">
        <f t="shared" si="145"/>
        <v>0.57734101999999998</v>
      </c>
      <c r="K305" s="1">
        <f t="shared" si="146"/>
        <v>0</v>
      </c>
      <c r="L305" s="1">
        <f t="shared" si="147"/>
        <v>0</v>
      </c>
      <c r="M305" s="1">
        <f t="shared" si="148"/>
        <v>0</v>
      </c>
      <c r="N305" s="1">
        <f t="shared" si="149"/>
        <v>0</v>
      </c>
      <c r="O305" s="1">
        <f t="shared" si="150"/>
        <v>0</v>
      </c>
      <c r="P305" s="1">
        <f t="shared" si="151"/>
        <v>1</v>
      </c>
      <c r="Q305" s="1">
        <f t="shared" si="152"/>
        <v>1</v>
      </c>
      <c r="R305" s="1">
        <f t="shared" si="153"/>
        <v>1</v>
      </c>
      <c r="S305" s="1">
        <f t="shared" si="154"/>
        <v>1</v>
      </c>
      <c r="T305" s="1">
        <f t="shared" si="155"/>
        <v>1</v>
      </c>
      <c r="U305" s="1">
        <f t="shared" si="156"/>
        <v>1</v>
      </c>
      <c r="V305">
        <f t="shared" si="157"/>
        <v>71.48</v>
      </c>
      <c r="W305">
        <f t="shared" si="158"/>
        <v>76.489999999999995</v>
      </c>
      <c r="X305">
        <f t="shared" si="159"/>
        <v>52.14</v>
      </c>
      <c r="Y305">
        <f t="shared" si="160"/>
        <v>38.1</v>
      </c>
      <c r="Z305">
        <f t="shared" si="161"/>
        <v>32.120000000000005</v>
      </c>
      <c r="AA305">
        <f t="shared" si="162"/>
        <v>30.03</v>
      </c>
      <c r="AC305">
        <f t="shared" si="163"/>
        <v>85.25</v>
      </c>
      <c r="AD305">
        <f t="shared" si="164"/>
        <v>76.489999999999995</v>
      </c>
      <c r="AE305">
        <f t="shared" si="165"/>
        <v>64.17</v>
      </c>
      <c r="AF305">
        <f t="shared" si="166"/>
        <v>49.84</v>
      </c>
      <c r="AG305">
        <f t="shared" si="167"/>
        <v>48.34</v>
      </c>
      <c r="AH305">
        <f t="shared" si="168"/>
        <v>41.36</v>
      </c>
      <c r="AJ305">
        <f t="shared" si="169"/>
        <v>99.009999999999991</v>
      </c>
      <c r="AK305">
        <f t="shared" si="170"/>
        <v>90.94</v>
      </c>
      <c r="AL305">
        <f t="shared" si="171"/>
        <v>78.7</v>
      </c>
      <c r="AM305">
        <f t="shared" si="172"/>
        <v>67.430000000000007</v>
      </c>
      <c r="AN305">
        <f t="shared" si="173"/>
        <v>62.56</v>
      </c>
      <c r="AO305">
        <f t="shared" si="174"/>
        <v>55.19</v>
      </c>
    </row>
    <row r="306" spans="1:41" x14ac:dyDescent="0.45">
      <c r="A306">
        <v>35.411887210000003</v>
      </c>
      <c r="B306">
        <v>107.94408679999999</v>
      </c>
      <c r="C306">
        <v>2.6567150000000001E-2</v>
      </c>
      <c r="D306">
        <v>0.27290400999999997</v>
      </c>
      <c r="E306">
        <f t="shared" si="140"/>
        <v>2.6567150000000001E-2</v>
      </c>
      <c r="F306">
        <f t="shared" si="141"/>
        <v>0.14006825999999997</v>
      </c>
      <c r="G306">
        <f t="shared" si="142"/>
        <v>7.2325099999999698E-3</v>
      </c>
      <c r="H306">
        <f t="shared" si="143"/>
        <v>0</v>
      </c>
      <c r="I306">
        <f t="shared" si="144"/>
        <v>0</v>
      </c>
      <c r="J306">
        <f t="shared" si="145"/>
        <v>0</v>
      </c>
      <c r="K306" s="1">
        <f t="shared" si="146"/>
        <v>2.6567150000000001E-2</v>
      </c>
      <c r="L306" s="1">
        <f t="shared" si="147"/>
        <v>7.2325099999999698E-3</v>
      </c>
      <c r="M306" s="1">
        <f t="shared" si="148"/>
        <v>0</v>
      </c>
      <c r="N306" s="1">
        <f t="shared" si="149"/>
        <v>0</v>
      </c>
      <c r="O306" s="1">
        <f t="shared" si="150"/>
        <v>0</v>
      </c>
      <c r="P306" s="1">
        <f t="shared" si="151"/>
        <v>2.4337449273830756</v>
      </c>
      <c r="Q306" s="1">
        <f t="shared" si="152"/>
        <v>4.7418219516684239</v>
      </c>
      <c r="R306" s="1">
        <f t="shared" si="153"/>
        <v>25</v>
      </c>
      <c r="S306" s="1" t="e">
        <f t="shared" si="154"/>
        <v>#DIV/0!</v>
      </c>
      <c r="T306" s="1" t="e">
        <f t="shared" si="155"/>
        <v>#DIV/0!</v>
      </c>
      <c r="U306" s="1" t="e">
        <f t="shared" si="156"/>
        <v>#DIV/0!</v>
      </c>
      <c r="V306">
        <f t="shared" si="157"/>
        <v>118.07671013994997</v>
      </c>
      <c r="W306">
        <f t="shared" si="158"/>
        <v>216.80832318756592</v>
      </c>
      <c r="X306" t="e">
        <f t="shared" si="159"/>
        <v>#DIV/0!</v>
      </c>
      <c r="Y306">
        <f t="shared" si="160"/>
        <v>0</v>
      </c>
      <c r="Z306">
        <f t="shared" si="161"/>
        <v>0</v>
      </c>
      <c r="AA306">
        <f t="shared" si="162"/>
        <v>0</v>
      </c>
      <c r="AC306">
        <f t="shared" si="163"/>
        <v>142.59979709532303</v>
      </c>
      <c r="AD306">
        <f t="shared" si="164"/>
        <v>216.80832318756592</v>
      </c>
      <c r="AE306">
        <f t="shared" si="165"/>
        <v>844.17</v>
      </c>
      <c r="AF306">
        <f t="shared" si="166"/>
        <v>0</v>
      </c>
      <c r="AG306">
        <f t="shared" si="167"/>
        <v>0</v>
      </c>
      <c r="AH306">
        <f t="shared" si="168"/>
        <v>0</v>
      </c>
      <c r="AJ306">
        <f t="shared" si="169"/>
        <v>167.1128840506961</v>
      </c>
      <c r="AK306">
        <f t="shared" si="170"/>
        <v>259.32198782507908</v>
      </c>
      <c r="AL306">
        <f t="shared" si="171"/>
        <v>1098.7</v>
      </c>
      <c r="AM306">
        <f t="shared" si="172"/>
        <v>0</v>
      </c>
      <c r="AN306">
        <f t="shared" si="173"/>
        <v>0</v>
      </c>
      <c r="AO306">
        <f t="shared" si="174"/>
        <v>0</v>
      </c>
    </row>
    <row r="307" spans="1:41" x14ac:dyDescent="0.45">
      <c r="A307">
        <v>35.492602089999998</v>
      </c>
      <c r="B307">
        <v>115.0875116</v>
      </c>
      <c r="C307">
        <v>7.5089607200000001</v>
      </c>
      <c r="D307">
        <v>2.37258792</v>
      </c>
      <c r="E307">
        <f t="shared" si="140"/>
        <v>2.37258792</v>
      </c>
      <c r="F307">
        <f t="shared" si="141"/>
        <v>0</v>
      </c>
      <c r="G307">
        <f t="shared" si="142"/>
        <v>0</v>
      </c>
      <c r="H307">
        <f t="shared" si="143"/>
        <v>0</v>
      </c>
      <c r="I307">
        <f t="shared" si="144"/>
        <v>0</v>
      </c>
      <c r="J307">
        <f t="shared" si="145"/>
        <v>0</v>
      </c>
      <c r="K307" s="1">
        <f t="shared" si="146"/>
        <v>0</v>
      </c>
      <c r="L307" s="1">
        <f t="shared" si="147"/>
        <v>0</v>
      </c>
      <c r="M307" s="1">
        <f t="shared" si="148"/>
        <v>0</v>
      </c>
      <c r="N307" s="1">
        <f t="shared" si="149"/>
        <v>0</v>
      </c>
      <c r="O307" s="1">
        <f t="shared" si="150"/>
        <v>0</v>
      </c>
      <c r="P307" s="1">
        <f t="shared" si="151"/>
        <v>25</v>
      </c>
      <c r="Q307" s="1" t="e">
        <f t="shared" si="152"/>
        <v>#DIV/0!</v>
      </c>
      <c r="R307" s="1" t="e">
        <f t="shared" si="153"/>
        <v>#DIV/0!</v>
      </c>
      <c r="S307" s="1" t="e">
        <f t="shared" si="154"/>
        <v>#DIV/0!</v>
      </c>
      <c r="T307" s="1" t="e">
        <f t="shared" si="155"/>
        <v>#DIV/0!</v>
      </c>
      <c r="U307" s="1" t="e">
        <f t="shared" si="156"/>
        <v>#DIV/0!</v>
      </c>
      <c r="V307">
        <f t="shared" si="157"/>
        <v>851.48</v>
      </c>
      <c r="W307">
        <f t="shared" si="158"/>
        <v>0</v>
      </c>
      <c r="X307">
        <f t="shared" si="159"/>
        <v>0</v>
      </c>
      <c r="Y307">
        <f t="shared" si="160"/>
        <v>0</v>
      </c>
      <c r="Z307">
        <f t="shared" si="161"/>
        <v>0</v>
      </c>
      <c r="AA307">
        <f t="shared" si="162"/>
        <v>0</v>
      </c>
      <c r="AC307">
        <f t="shared" si="163"/>
        <v>1045.25</v>
      </c>
      <c r="AD307">
        <f t="shared" si="164"/>
        <v>0</v>
      </c>
      <c r="AE307">
        <f t="shared" si="165"/>
        <v>0</v>
      </c>
      <c r="AF307">
        <f t="shared" si="166"/>
        <v>0</v>
      </c>
      <c r="AG307">
        <f t="shared" si="167"/>
        <v>0</v>
      </c>
      <c r="AH307">
        <f t="shared" si="168"/>
        <v>0</v>
      </c>
      <c r="AJ307">
        <f t="shared" si="169"/>
        <v>1239.01</v>
      </c>
      <c r="AK307">
        <f t="shared" si="170"/>
        <v>0</v>
      </c>
      <c r="AL307">
        <f t="shared" si="171"/>
        <v>0</v>
      </c>
      <c r="AM307">
        <f t="shared" si="172"/>
        <v>0</v>
      </c>
      <c r="AN307">
        <f t="shared" si="173"/>
        <v>0</v>
      </c>
      <c r="AO307">
        <f t="shared" si="174"/>
        <v>0</v>
      </c>
    </row>
    <row r="308" spans="1:41" x14ac:dyDescent="0.45">
      <c r="A308">
        <v>35.501150039999999</v>
      </c>
      <c r="B308">
        <v>114.97573730000001</v>
      </c>
      <c r="C308">
        <v>7.5089607200000001</v>
      </c>
      <c r="D308">
        <v>1.50518799</v>
      </c>
      <c r="E308">
        <f t="shared" si="140"/>
        <v>1.50518799</v>
      </c>
      <c r="F308">
        <f t="shared" si="141"/>
        <v>0</v>
      </c>
      <c r="G308">
        <f t="shared" si="142"/>
        <v>0</v>
      </c>
      <c r="H308">
        <f t="shared" si="143"/>
        <v>0</v>
      </c>
      <c r="I308">
        <f t="shared" si="144"/>
        <v>0</v>
      </c>
      <c r="J308">
        <f t="shared" si="145"/>
        <v>0</v>
      </c>
      <c r="K308" s="1">
        <f t="shared" si="146"/>
        <v>0</v>
      </c>
      <c r="L308" s="1">
        <f t="shared" si="147"/>
        <v>0</v>
      </c>
      <c r="M308" s="1">
        <f t="shared" si="148"/>
        <v>0</v>
      </c>
      <c r="N308" s="1">
        <f t="shared" si="149"/>
        <v>0</v>
      </c>
      <c r="O308" s="1">
        <f t="shared" si="150"/>
        <v>0</v>
      </c>
      <c r="P308" s="1">
        <f t="shared" si="151"/>
        <v>25</v>
      </c>
      <c r="Q308" s="1" t="e">
        <f t="shared" si="152"/>
        <v>#DIV/0!</v>
      </c>
      <c r="R308" s="1" t="e">
        <f t="shared" si="153"/>
        <v>#DIV/0!</v>
      </c>
      <c r="S308" s="1" t="e">
        <f t="shared" si="154"/>
        <v>#DIV/0!</v>
      </c>
      <c r="T308" s="1" t="e">
        <f t="shared" si="155"/>
        <v>#DIV/0!</v>
      </c>
      <c r="U308" s="1" t="e">
        <f t="shared" si="156"/>
        <v>#DIV/0!</v>
      </c>
      <c r="V308">
        <f t="shared" si="157"/>
        <v>851.48</v>
      </c>
      <c r="W308">
        <f t="shared" si="158"/>
        <v>0</v>
      </c>
      <c r="X308">
        <f t="shared" si="159"/>
        <v>0</v>
      </c>
      <c r="Y308">
        <f t="shared" si="160"/>
        <v>0</v>
      </c>
      <c r="Z308">
        <f t="shared" si="161"/>
        <v>0</v>
      </c>
      <c r="AA308">
        <f t="shared" si="162"/>
        <v>0</v>
      </c>
      <c r="AC308">
        <f t="shared" si="163"/>
        <v>1045.25</v>
      </c>
      <c r="AD308">
        <f t="shared" si="164"/>
        <v>0</v>
      </c>
      <c r="AE308">
        <f t="shared" si="165"/>
        <v>0</v>
      </c>
      <c r="AF308">
        <f t="shared" si="166"/>
        <v>0</v>
      </c>
      <c r="AG308">
        <f t="shared" si="167"/>
        <v>0</v>
      </c>
      <c r="AH308">
        <f t="shared" si="168"/>
        <v>0</v>
      </c>
      <c r="AJ308">
        <f t="shared" si="169"/>
        <v>1239.01</v>
      </c>
      <c r="AK308">
        <f t="shared" si="170"/>
        <v>0</v>
      </c>
      <c r="AL308">
        <f t="shared" si="171"/>
        <v>0</v>
      </c>
      <c r="AM308">
        <f t="shared" si="172"/>
        <v>0</v>
      </c>
      <c r="AN308">
        <f t="shared" si="173"/>
        <v>0</v>
      </c>
      <c r="AO308">
        <f t="shared" si="174"/>
        <v>0</v>
      </c>
    </row>
    <row r="309" spans="1:41" x14ac:dyDescent="0.45">
      <c r="A309">
        <v>35.512211020000002</v>
      </c>
      <c r="B309">
        <v>107.3289003</v>
      </c>
      <c r="C309">
        <v>1.062686E-2</v>
      </c>
      <c r="D309">
        <v>0.236591</v>
      </c>
      <c r="E309">
        <f t="shared" si="140"/>
        <v>1.062686E-2</v>
      </c>
      <c r="F309">
        <f t="shared" si="141"/>
        <v>0.1834567</v>
      </c>
      <c r="G309">
        <f t="shared" si="142"/>
        <v>0.1303224</v>
      </c>
      <c r="H309">
        <f t="shared" si="143"/>
        <v>7.7188099999999982E-2</v>
      </c>
      <c r="I309">
        <f t="shared" si="144"/>
        <v>2.4053799999999986E-2</v>
      </c>
      <c r="J309">
        <f t="shared" si="145"/>
        <v>0</v>
      </c>
      <c r="K309" s="1">
        <f t="shared" si="146"/>
        <v>1.062686E-2</v>
      </c>
      <c r="L309" s="1">
        <f t="shared" si="147"/>
        <v>1.062686E-2</v>
      </c>
      <c r="M309" s="1">
        <f t="shared" si="148"/>
        <v>1.062686E-2</v>
      </c>
      <c r="N309" s="1">
        <f t="shared" si="149"/>
        <v>1.062686E-2</v>
      </c>
      <c r="O309" s="1">
        <f t="shared" si="150"/>
        <v>0</v>
      </c>
      <c r="P309" s="1">
        <f t="shared" si="151"/>
        <v>1.1229146501768876</v>
      </c>
      <c r="Q309" s="1">
        <f t="shared" si="152"/>
        <v>1.4481428042693454</v>
      </c>
      <c r="R309" s="1">
        <f t="shared" si="153"/>
        <v>2.0385712663364086</v>
      </c>
      <c r="S309" s="1">
        <f t="shared" si="154"/>
        <v>3.4418712210820068</v>
      </c>
      <c r="T309" s="1">
        <f t="shared" si="155"/>
        <v>11.044886878580522</v>
      </c>
      <c r="U309" s="1" t="e">
        <f t="shared" si="156"/>
        <v>#DIV/0!</v>
      </c>
      <c r="V309">
        <f t="shared" si="157"/>
        <v>75.474726130748849</v>
      </c>
      <c r="W309">
        <f t="shared" si="158"/>
        <v>93.295355160100456</v>
      </c>
      <c r="X309">
        <f t="shared" si="159"/>
        <v>113.18678052705017</v>
      </c>
      <c r="Y309">
        <f t="shared" si="160"/>
        <v>86.937424421640145</v>
      </c>
      <c r="Z309">
        <f t="shared" si="161"/>
        <v>207.90552037515914</v>
      </c>
      <c r="AA309">
        <f t="shared" si="162"/>
        <v>0</v>
      </c>
      <c r="AC309">
        <f t="shared" si="163"/>
        <v>90.166586007075509</v>
      </c>
      <c r="AD309">
        <f t="shared" si="164"/>
        <v>93.295355160100456</v>
      </c>
      <c r="AE309">
        <f t="shared" si="165"/>
        <v>97.923566155933287</v>
      </c>
      <c r="AF309">
        <f t="shared" si="166"/>
        <v>123.0961366324602</v>
      </c>
      <c r="AG309">
        <f t="shared" si="167"/>
        <v>58.384886878580524</v>
      </c>
      <c r="AH309">
        <f t="shared" si="168"/>
        <v>0</v>
      </c>
      <c r="AJ309">
        <f t="shared" si="169"/>
        <v>104.84844588340216</v>
      </c>
      <c r="AK309">
        <f t="shared" si="170"/>
        <v>111.10642619212054</v>
      </c>
      <c r="AL309">
        <f t="shared" si="171"/>
        <v>122.83927881929736</v>
      </c>
      <c r="AM309">
        <f t="shared" si="172"/>
        <v>159.00017079057525</v>
      </c>
      <c r="AN309">
        <f t="shared" si="173"/>
        <v>439.24325794676957</v>
      </c>
      <c r="AO309">
        <f t="shared" si="174"/>
        <v>0</v>
      </c>
    </row>
    <row r="310" spans="1:41" x14ac:dyDescent="0.45">
      <c r="A310">
        <v>35.57096937</v>
      </c>
      <c r="B310">
        <v>115.2658479</v>
      </c>
      <c r="C310">
        <v>7.5089607200000001</v>
      </c>
      <c r="D310">
        <v>15.849966050000001</v>
      </c>
      <c r="E310">
        <f t="shared" si="140"/>
        <v>7.5089607200000001</v>
      </c>
      <c r="F310">
        <f t="shared" si="141"/>
        <v>0</v>
      </c>
      <c r="G310">
        <f t="shared" si="142"/>
        <v>0</v>
      </c>
      <c r="H310">
        <f t="shared" si="143"/>
        <v>0</v>
      </c>
      <c r="I310">
        <f t="shared" si="144"/>
        <v>0</v>
      </c>
      <c r="J310">
        <f t="shared" si="145"/>
        <v>0</v>
      </c>
      <c r="K310" s="1">
        <f t="shared" si="146"/>
        <v>0</v>
      </c>
      <c r="L310" s="1">
        <f t="shared" si="147"/>
        <v>0</v>
      </c>
      <c r="M310" s="1">
        <f t="shared" si="148"/>
        <v>0</v>
      </c>
      <c r="N310" s="1">
        <f t="shared" si="149"/>
        <v>0</v>
      </c>
      <c r="O310" s="1">
        <f t="shared" si="150"/>
        <v>0</v>
      </c>
      <c r="P310" s="1">
        <f t="shared" si="151"/>
        <v>11.843811993527897</v>
      </c>
      <c r="Q310" s="1" t="e">
        <f t="shared" si="152"/>
        <v>#DIV/0!</v>
      </c>
      <c r="R310" s="1" t="e">
        <f t="shared" si="153"/>
        <v>#DIV/0!</v>
      </c>
      <c r="S310" s="1" t="e">
        <f t="shared" si="154"/>
        <v>#DIV/0!</v>
      </c>
      <c r="T310" s="1" t="e">
        <f t="shared" si="155"/>
        <v>#DIV/0!</v>
      </c>
      <c r="U310" s="1" t="e">
        <f t="shared" si="156"/>
        <v>#DIV/0!</v>
      </c>
      <c r="V310">
        <f t="shared" si="157"/>
        <v>423.90388978965666</v>
      </c>
      <c r="W310">
        <f t="shared" si="158"/>
        <v>0</v>
      </c>
      <c r="X310">
        <f t="shared" si="159"/>
        <v>0</v>
      </c>
      <c r="Y310">
        <f t="shared" si="160"/>
        <v>0</v>
      </c>
      <c r="Z310">
        <f t="shared" si="161"/>
        <v>0</v>
      </c>
      <c r="AA310">
        <f t="shared" si="162"/>
        <v>0</v>
      </c>
      <c r="AC310">
        <f t="shared" si="163"/>
        <v>519.00247974111585</v>
      </c>
      <c r="AD310">
        <f t="shared" si="164"/>
        <v>0</v>
      </c>
      <c r="AE310">
        <f t="shared" si="165"/>
        <v>0</v>
      </c>
      <c r="AF310">
        <f t="shared" si="166"/>
        <v>0</v>
      </c>
      <c r="AG310">
        <f t="shared" si="167"/>
        <v>0</v>
      </c>
      <c r="AH310">
        <f t="shared" si="168"/>
        <v>0</v>
      </c>
      <c r="AJ310">
        <f t="shared" si="169"/>
        <v>614.09106969257505</v>
      </c>
      <c r="AK310">
        <f t="shared" si="170"/>
        <v>0</v>
      </c>
      <c r="AL310">
        <f t="shared" si="171"/>
        <v>0</v>
      </c>
      <c r="AM310">
        <f t="shared" si="172"/>
        <v>0</v>
      </c>
      <c r="AN310">
        <f t="shared" si="173"/>
        <v>0</v>
      </c>
      <c r="AO310">
        <f t="shared" si="174"/>
        <v>0</v>
      </c>
    </row>
    <row r="311" spans="1:41" x14ac:dyDescent="0.45">
      <c r="A311">
        <v>35.588296249999999</v>
      </c>
      <c r="B311">
        <v>115.0420921</v>
      </c>
      <c r="C311">
        <v>7.5089607200000001</v>
      </c>
      <c r="D311">
        <v>16.250970840000001</v>
      </c>
      <c r="E311">
        <f t="shared" si="140"/>
        <v>7.5089607200000001</v>
      </c>
      <c r="F311">
        <f t="shared" si="141"/>
        <v>0</v>
      </c>
      <c r="G311">
        <f t="shared" si="142"/>
        <v>0</v>
      </c>
      <c r="H311">
        <f t="shared" si="143"/>
        <v>0</v>
      </c>
      <c r="I311">
        <f t="shared" si="144"/>
        <v>0</v>
      </c>
      <c r="J311">
        <f t="shared" si="145"/>
        <v>0</v>
      </c>
      <c r="K311" s="1">
        <f t="shared" si="146"/>
        <v>0</v>
      </c>
      <c r="L311" s="1">
        <f t="shared" si="147"/>
        <v>0</v>
      </c>
      <c r="M311" s="1">
        <f t="shared" si="148"/>
        <v>0</v>
      </c>
      <c r="N311" s="1">
        <f t="shared" si="149"/>
        <v>0</v>
      </c>
      <c r="O311" s="1">
        <f t="shared" si="150"/>
        <v>0</v>
      </c>
      <c r="P311" s="1">
        <f t="shared" si="151"/>
        <v>11.551557125309566</v>
      </c>
      <c r="Q311" s="1" t="e">
        <f t="shared" si="152"/>
        <v>#DIV/0!</v>
      </c>
      <c r="R311" s="1" t="e">
        <f t="shared" si="153"/>
        <v>#DIV/0!</v>
      </c>
      <c r="S311" s="1" t="e">
        <f t="shared" si="154"/>
        <v>#DIV/0!</v>
      </c>
      <c r="T311" s="1" t="e">
        <f t="shared" si="155"/>
        <v>#DIV/0!</v>
      </c>
      <c r="U311" s="1" t="e">
        <f t="shared" si="156"/>
        <v>#DIV/0!</v>
      </c>
      <c r="V311">
        <f t="shared" si="157"/>
        <v>414.40560657256094</v>
      </c>
      <c r="W311">
        <f t="shared" si="158"/>
        <v>0</v>
      </c>
      <c r="X311">
        <f t="shared" si="159"/>
        <v>0</v>
      </c>
      <c r="Y311">
        <f t="shared" si="160"/>
        <v>0</v>
      </c>
      <c r="Z311">
        <f t="shared" si="161"/>
        <v>0</v>
      </c>
      <c r="AA311">
        <f t="shared" si="162"/>
        <v>0</v>
      </c>
      <c r="AC311">
        <f t="shared" si="163"/>
        <v>507.31228501238263</v>
      </c>
      <c r="AD311">
        <f t="shared" si="164"/>
        <v>0</v>
      </c>
      <c r="AE311">
        <f t="shared" si="165"/>
        <v>0</v>
      </c>
      <c r="AF311">
        <f t="shared" si="166"/>
        <v>0</v>
      </c>
      <c r="AG311">
        <f t="shared" si="167"/>
        <v>0</v>
      </c>
      <c r="AH311">
        <f t="shared" si="168"/>
        <v>0</v>
      </c>
      <c r="AJ311">
        <f t="shared" si="169"/>
        <v>600.20896345220433</v>
      </c>
      <c r="AK311">
        <f t="shared" si="170"/>
        <v>0</v>
      </c>
      <c r="AL311">
        <f t="shared" si="171"/>
        <v>0</v>
      </c>
      <c r="AM311">
        <f t="shared" si="172"/>
        <v>0</v>
      </c>
      <c r="AN311">
        <f t="shared" si="173"/>
        <v>0</v>
      </c>
      <c r="AO311">
        <f t="shared" si="174"/>
        <v>0</v>
      </c>
    </row>
    <row r="312" spans="1:41" x14ac:dyDescent="0.45">
      <c r="A312">
        <v>35.602694460000002</v>
      </c>
      <c r="B312">
        <v>107.4428441</v>
      </c>
      <c r="C312">
        <v>1.062686E-2</v>
      </c>
      <c r="D312">
        <v>16.476837159999999</v>
      </c>
      <c r="E312">
        <f t="shared" si="140"/>
        <v>1.062686E-2</v>
      </c>
      <c r="F312">
        <f t="shared" si="141"/>
        <v>16.423702859999999</v>
      </c>
      <c r="G312">
        <f t="shared" si="142"/>
        <v>16.370568559999999</v>
      </c>
      <c r="H312">
        <f t="shared" si="143"/>
        <v>16.317434259999999</v>
      </c>
      <c r="I312">
        <f t="shared" si="144"/>
        <v>16.264299959999999</v>
      </c>
      <c r="J312">
        <f t="shared" si="145"/>
        <v>16.211165659999999</v>
      </c>
      <c r="K312" s="1">
        <f t="shared" si="146"/>
        <v>1.062686E-2</v>
      </c>
      <c r="L312" s="1">
        <f t="shared" si="147"/>
        <v>1.062686E-2</v>
      </c>
      <c r="M312" s="1">
        <f t="shared" si="148"/>
        <v>1.062686E-2</v>
      </c>
      <c r="N312" s="1">
        <f t="shared" si="149"/>
        <v>1.062686E-2</v>
      </c>
      <c r="O312" s="1">
        <f t="shared" si="150"/>
        <v>1.062686E-2</v>
      </c>
      <c r="P312" s="1">
        <f t="shared" si="151"/>
        <v>1</v>
      </c>
      <c r="Q312" s="1">
        <f t="shared" si="152"/>
        <v>1</v>
      </c>
      <c r="R312" s="1">
        <f t="shared" si="153"/>
        <v>1</v>
      </c>
      <c r="S312" s="1">
        <f t="shared" si="154"/>
        <v>1</v>
      </c>
      <c r="T312" s="1">
        <f t="shared" si="155"/>
        <v>1</v>
      </c>
      <c r="U312" s="1">
        <f t="shared" si="156"/>
        <v>1</v>
      </c>
      <c r="V312">
        <f t="shared" si="157"/>
        <v>71.48</v>
      </c>
      <c r="W312">
        <f t="shared" si="158"/>
        <v>76.489999999999995</v>
      </c>
      <c r="X312">
        <f t="shared" si="159"/>
        <v>52.14</v>
      </c>
      <c r="Y312">
        <f t="shared" si="160"/>
        <v>38.1</v>
      </c>
      <c r="Z312">
        <f t="shared" si="161"/>
        <v>32.120000000000005</v>
      </c>
      <c r="AA312">
        <f t="shared" si="162"/>
        <v>30.03</v>
      </c>
      <c r="AC312">
        <f t="shared" si="163"/>
        <v>85.25</v>
      </c>
      <c r="AD312">
        <f t="shared" si="164"/>
        <v>76.489999999999995</v>
      </c>
      <c r="AE312">
        <f t="shared" si="165"/>
        <v>64.17</v>
      </c>
      <c r="AF312">
        <f t="shared" si="166"/>
        <v>49.84</v>
      </c>
      <c r="AG312">
        <f t="shared" si="167"/>
        <v>48.34</v>
      </c>
      <c r="AH312">
        <f t="shared" si="168"/>
        <v>41.36</v>
      </c>
      <c r="AJ312">
        <f t="shared" si="169"/>
        <v>99.009999999999991</v>
      </c>
      <c r="AK312">
        <f t="shared" si="170"/>
        <v>90.94</v>
      </c>
      <c r="AL312">
        <f t="shared" si="171"/>
        <v>78.7</v>
      </c>
      <c r="AM312">
        <f t="shared" si="172"/>
        <v>67.430000000000007</v>
      </c>
      <c r="AN312">
        <f t="shared" si="173"/>
        <v>62.56</v>
      </c>
      <c r="AO312">
        <f t="shared" si="174"/>
        <v>55.19</v>
      </c>
    </row>
    <row r="313" spans="1:41" x14ac:dyDescent="0.45">
      <c r="A313">
        <v>35.616662609999999</v>
      </c>
      <c r="B313">
        <v>115.2712174</v>
      </c>
      <c r="C313">
        <v>7.5089607200000001</v>
      </c>
      <c r="D313">
        <v>23.01345444</v>
      </c>
      <c r="E313">
        <f t="shared" si="140"/>
        <v>7.5089607200000001</v>
      </c>
      <c r="F313">
        <f t="shared" si="141"/>
        <v>0</v>
      </c>
      <c r="G313">
        <f t="shared" si="142"/>
        <v>0</v>
      </c>
      <c r="H313">
        <f t="shared" si="143"/>
        <v>0</v>
      </c>
      <c r="I313">
        <f t="shared" si="144"/>
        <v>0</v>
      </c>
      <c r="J313">
        <f t="shared" si="145"/>
        <v>0</v>
      </c>
      <c r="K313" s="1">
        <f t="shared" si="146"/>
        <v>0</v>
      </c>
      <c r="L313" s="1">
        <f t="shared" si="147"/>
        <v>0</v>
      </c>
      <c r="M313" s="1">
        <f t="shared" si="148"/>
        <v>0</v>
      </c>
      <c r="N313" s="1">
        <f t="shared" si="149"/>
        <v>0</v>
      </c>
      <c r="O313" s="1">
        <f t="shared" si="150"/>
        <v>0</v>
      </c>
      <c r="P313" s="1">
        <f t="shared" si="151"/>
        <v>8.1571420965691406</v>
      </c>
      <c r="Q313" s="1" t="e">
        <f t="shared" si="152"/>
        <v>#DIV/0!</v>
      </c>
      <c r="R313" s="1" t="e">
        <f t="shared" si="153"/>
        <v>#DIV/0!</v>
      </c>
      <c r="S313" s="1" t="e">
        <f t="shared" si="154"/>
        <v>#DIV/0!</v>
      </c>
      <c r="T313" s="1" t="e">
        <f t="shared" si="155"/>
        <v>#DIV/0!</v>
      </c>
      <c r="U313" s="1" t="e">
        <f t="shared" si="156"/>
        <v>#DIV/0!</v>
      </c>
      <c r="V313">
        <f t="shared" si="157"/>
        <v>304.08711813849709</v>
      </c>
      <c r="W313">
        <f t="shared" si="158"/>
        <v>0</v>
      </c>
      <c r="X313">
        <f t="shared" si="159"/>
        <v>0</v>
      </c>
      <c r="Y313">
        <f t="shared" si="160"/>
        <v>0</v>
      </c>
      <c r="Z313">
        <f t="shared" si="161"/>
        <v>0</v>
      </c>
      <c r="AA313">
        <f t="shared" si="162"/>
        <v>0</v>
      </c>
      <c r="AC313">
        <f t="shared" si="163"/>
        <v>371.53568386276561</v>
      </c>
      <c r="AD313">
        <f t="shared" si="164"/>
        <v>0</v>
      </c>
      <c r="AE313">
        <f t="shared" si="165"/>
        <v>0</v>
      </c>
      <c r="AF313">
        <f t="shared" si="166"/>
        <v>0</v>
      </c>
      <c r="AG313">
        <f t="shared" si="167"/>
        <v>0</v>
      </c>
      <c r="AH313">
        <f t="shared" si="168"/>
        <v>0</v>
      </c>
      <c r="AJ313">
        <f t="shared" si="169"/>
        <v>438.97424958703419</v>
      </c>
      <c r="AK313">
        <f t="shared" si="170"/>
        <v>0</v>
      </c>
      <c r="AL313">
        <f t="shared" si="171"/>
        <v>0</v>
      </c>
      <c r="AM313">
        <f t="shared" si="172"/>
        <v>0</v>
      </c>
      <c r="AN313">
        <f t="shared" si="173"/>
        <v>0</v>
      </c>
      <c r="AO313">
        <f t="shared" si="174"/>
        <v>0</v>
      </c>
    </row>
    <row r="314" spans="1:41" x14ac:dyDescent="0.45">
      <c r="A314">
        <v>35.66673205</v>
      </c>
      <c r="B314">
        <v>115.2205993</v>
      </c>
      <c r="C314">
        <v>7.5089607200000001</v>
      </c>
      <c r="D314">
        <v>13.111167910000001</v>
      </c>
      <c r="E314">
        <f t="shared" si="140"/>
        <v>7.5089607200000001</v>
      </c>
      <c r="F314">
        <f t="shared" si="141"/>
        <v>0</v>
      </c>
      <c r="G314">
        <f t="shared" si="142"/>
        <v>0</v>
      </c>
      <c r="H314">
        <f t="shared" si="143"/>
        <v>0</v>
      </c>
      <c r="I314">
        <f t="shared" si="144"/>
        <v>0</v>
      </c>
      <c r="J314">
        <f t="shared" si="145"/>
        <v>0</v>
      </c>
      <c r="K314" s="1">
        <f t="shared" si="146"/>
        <v>0</v>
      </c>
      <c r="L314" s="1">
        <f t="shared" si="147"/>
        <v>0</v>
      </c>
      <c r="M314" s="1">
        <f t="shared" si="148"/>
        <v>0</v>
      </c>
      <c r="N314" s="1">
        <f t="shared" si="149"/>
        <v>0</v>
      </c>
      <c r="O314" s="1">
        <f t="shared" si="150"/>
        <v>0</v>
      </c>
      <c r="P314" s="1">
        <f t="shared" si="151"/>
        <v>14.317871549552903</v>
      </c>
      <c r="Q314" s="1" t="e">
        <f t="shared" si="152"/>
        <v>#DIV/0!</v>
      </c>
      <c r="R314" s="1" t="e">
        <f t="shared" si="153"/>
        <v>#DIV/0!</v>
      </c>
      <c r="S314" s="1" t="e">
        <f t="shared" si="154"/>
        <v>#DIV/0!</v>
      </c>
      <c r="T314" s="1" t="e">
        <f t="shared" si="155"/>
        <v>#DIV/0!</v>
      </c>
      <c r="U314" s="1" t="e">
        <f t="shared" si="156"/>
        <v>#DIV/0!</v>
      </c>
      <c r="V314">
        <f t="shared" si="157"/>
        <v>504.31082536046938</v>
      </c>
      <c r="W314">
        <f t="shared" si="158"/>
        <v>0</v>
      </c>
      <c r="X314">
        <f t="shared" si="159"/>
        <v>0</v>
      </c>
      <c r="Y314">
        <f t="shared" si="160"/>
        <v>0</v>
      </c>
      <c r="Z314">
        <f t="shared" si="161"/>
        <v>0</v>
      </c>
      <c r="AA314">
        <f t="shared" si="162"/>
        <v>0</v>
      </c>
      <c r="AC314">
        <f t="shared" si="163"/>
        <v>617.96486198211608</v>
      </c>
      <c r="AD314">
        <f t="shared" si="164"/>
        <v>0</v>
      </c>
      <c r="AE314">
        <f t="shared" si="165"/>
        <v>0</v>
      </c>
      <c r="AF314">
        <f t="shared" si="166"/>
        <v>0</v>
      </c>
      <c r="AG314">
        <f t="shared" si="167"/>
        <v>0</v>
      </c>
      <c r="AH314">
        <f t="shared" si="168"/>
        <v>0</v>
      </c>
      <c r="AJ314">
        <f t="shared" si="169"/>
        <v>731.6088986037629</v>
      </c>
      <c r="AK314">
        <f t="shared" si="170"/>
        <v>0</v>
      </c>
      <c r="AL314">
        <f t="shared" si="171"/>
        <v>0</v>
      </c>
      <c r="AM314">
        <f t="shared" si="172"/>
        <v>0</v>
      </c>
      <c r="AN314">
        <f t="shared" si="173"/>
        <v>0</v>
      </c>
      <c r="AO314">
        <f t="shared" si="174"/>
        <v>0</v>
      </c>
    </row>
    <row r="315" spans="1:41" x14ac:dyDescent="0.45">
      <c r="A315">
        <v>35.703643200000002</v>
      </c>
      <c r="B315">
        <v>115.3379948</v>
      </c>
      <c r="C315">
        <v>7.5089607200000001</v>
      </c>
      <c r="D315">
        <v>0.14679600000000001</v>
      </c>
      <c r="E315">
        <f t="shared" si="140"/>
        <v>0.14679600000000001</v>
      </c>
      <c r="F315">
        <f t="shared" si="141"/>
        <v>0</v>
      </c>
      <c r="G315">
        <f t="shared" si="142"/>
        <v>0</v>
      </c>
      <c r="H315">
        <f t="shared" si="143"/>
        <v>0</v>
      </c>
      <c r="I315">
        <f t="shared" si="144"/>
        <v>0</v>
      </c>
      <c r="J315">
        <f t="shared" si="145"/>
        <v>0</v>
      </c>
      <c r="K315" s="1">
        <f t="shared" si="146"/>
        <v>0</v>
      </c>
      <c r="L315" s="1">
        <f t="shared" si="147"/>
        <v>0</v>
      </c>
      <c r="M315" s="1">
        <f t="shared" si="148"/>
        <v>0</v>
      </c>
      <c r="N315" s="1">
        <f t="shared" si="149"/>
        <v>0</v>
      </c>
      <c r="O315" s="1">
        <f t="shared" si="150"/>
        <v>0</v>
      </c>
      <c r="P315" s="1">
        <f t="shared" si="151"/>
        <v>25</v>
      </c>
      <c r="Q315" s="1" t="e">
        <f t="shared" si="152"/>
        <v>#DIV/0!</v>
      </c>
      <c r="R315" s="1" t="e">
        <f t="shared" si="153"/>
        <v>#DIV/0!</v>
      </c>
      <c r="S315" s="1" t="e">
        <f t="shared" si="154"/>
        <v>#DIV/0!</v>
      </c>
      <c r="T315" s="1" t="e">
        <f t="shared" si="155"/>
        <v>#DIV/0!</v>
      </c>
      <c r="U315" s="1" t="e">
        <f t="shared" si="156"/>
        <v>#DIV/0!</v>
      </c>
      <c r="V315">
        <f t="shared" si="157"/>
        <v>851.48</v>
      </c>
      <c r="W315">
        <f t="shared" si="158"/>
        <v>0</v>
      </c>
      <c r="X315">
        <f t="shared" si="159"/>
        <v>0</v>
      </c>
      <c r="Y315">
        <f t="shared" si="160"/>
        <v>0</v>
      </c>
      <c r="Z315">
        <f t="shared" si="161"/>
        <v>0</v>
      </c>
      <c r="AA315">
        <f t="shared" si="162"/>
        <v>0</v>
      </c>
      <c r="AC315">
        <f t="shared" si="163"/>
        <v>1045.25</v>
      </c>
      <c r="AD315">
        <f t="shared" si="164"/>
        <v>0</v>
      </c>
      <c r="AE315">
        <f t="shared" si="165"/>
        <v>0</v>
      </c>
      <c r="AF315">
        <f t="shared" si="166"/>
        <v>0</v>
      </c>
      <c r="AG315">
        <f t="shared" si="167"/>
        <v>0</v>
      </c>
      <c r="AH315">
        <f t="shared" si="168"/>
        <v>0</v>
      </c>
      <c r="AJ315">
        <f t="shared" si="169"/>
        <v>1239.01</v>
      </c>
      <c r="AK315">
        <f t="shared" si="170"/>
        <v>0</v>
      </c>
      <c r="AL315">
        <f t="shared" si="171"/>
        <v>0</v>
      </c>
      <c r="AM315">
        <f t="shared" si="172"/>
        <v>0</v>
      </c>
      <c r="AN315">
        <f t="shared" si="173"/>
        <v>0</v>
      </c>
      <c r="AO315">
        <f t="shared" si="174"/>
        <v>0</v>
      </c>
    </row>
    <row r="316" spans="1:41" x14ac:dyDescent="0.45">
      <c r="A316">
        <v>35.718865839999999</v>
      </c>
      <c r="B316">
        <v>108.6836078</v>
      </c>
      <c r="C316">
        <v>1.062686E-2</v>
      </c>
      <c r="D316">
        <v>2.7404370299999998</v>
      </c>
      <c r="E316">
        <f t="shared" si="140"/>
        <v>1.062686E-2</v>
      </c>
      <c r="F316">
        <f t="shared" si="141"/>
        <v>2.6873027299999999</v>
      </c>
      <c r="G316">
        <f t="shared" si="142"/>
        <v>2.6341684299999999</v>
      </c>
      <c r="H316">
        <f t="shared" si="143"/>
        <v>2.5810341299999999</v>
      </c>
      <c r="I316">
        <f t="shared" si="144"/>
        <v>2.52789983</v>
      </c>
      <c r="J316">
        <f t="shared" si="145"/>
        <v>2.47476553</v>
      </c>
      <c r="K316" s="1">
        <f t="shared" si="146"/>
        <v>1.062686E-2</v>
      </c>
      <c r="L316" s="1">
        <f t="shared" si="147"/>
        <v>1.062686E-2</v>
      </c>
      <c r="M316" s="1">
        <f t="shared" si="148"/>
        <v>1.062686E-2</v>
      </c>
      <c r="N316" s="1">
        <f t="shared" si="149"/>
        <v>1.062686E-2</v>
      </c>
      <c r="O316" s="1">
        <f t="shared" si="150"/>
        <v>1.062686E-2</v>
      </c>
      <c r="P316" s="1">
        <f t="shared" si="151"/>
        <v>1</v>
      </c>
      <c r="Q316" s="1">
        <f t="shared" si="152"/>
        <v>1</v>
      </c>
      <c r="R316" s="1">
        <f t="shared" si="153"/>
        <v>1</v>
      </c>
      <c r="S316" s="1">
        <f t="shared" si="154"/>
        <v>1</v>
      </c>
      <c r="T316" s="1">
        <f t="shared" si="155"/>
        <v>1</v>
      </c>
      <c r="U316" s="1">
        <f t="shared" si="156"/>
        <v>1</v>
      </c>
      <c r="V316">
        <f t="shared" si="157"/>
        <v>71.48</v>
      </c>
      <c r="W316">
        <f t="shared" si="158"/>
        <v>76.489999999999995</v>
      </c>
      <c r="X316">
        <f t="shared" si="159"/>
        <v>52.14</v>
      </c>
      <c r="Y316">
        <f t="shared" si="160"/>
        <v>38.1</v>
      </c>
      <c r="Z316">
        <f t="shared" si="161"/>
        <v>32.120000000000005</v>
      </c>
      <c r="AA316">
        <f t="shared" si="162"/>
        <v>30.03</v>
      </c>
      <c r="AC316">
        <f t="shared" si="163"/>
        <v>85.25</v>
      </c>
      <c r="AD316">
        <f t="shared" si="164"/>
        <v>76.489999999999995</v>
      </c>
      <c r="AE316">
        <f t="shared" si="165"/>
        <v>64.17</v>
      </c>
      <c r="AF316">
        <f t="shared" si="166"/>
        <v>49.84</v>
      </c>
      <c r="AG316">
        <f t="shared" si="167"/>
        <v>48.34</v>
      </c>
      <c r="AH316">
        <f t="shared" si="168"/>
        <v>41.36</v>
      </c>
      <c r="AJ316">
        <f t="shared" si="169"/>
        <v>99.009999999999991</v>
      </c>
      <c r="AK316">
        <f t="shared" si="170"/>
        <v>90.94</v>
      </c>
      <c r="AL316">
        <f t="shared" si="171"/>
        <v>78.7</v>
      </c>
      <c r="AM316">
        <f t="shared" si="172"/>
        <v>67.430000000000007</v>
      </c>
      <c r="AN316">
        <f t="shared" si="173"/>
        <v>62.56</v>
      </c>
      <c r="AO316">
        <f t="shared" si="174"/>
        <v>55.19</v>
      </c>
    </row>
    <row r="317" spans="1:41" x14ac:dyDescent="0.45">
      <c r="A317">
        <v>35.74489895</v>
      </c>
      <c r="B317">
        <v>115.3994606</v>
      </c>
      <c r="C317">
        <v>7.5089607200000001</v>
      </c>
      <c r="D317">
        <v>34.599956509999998</v>
      </c>
      <c r="E317">
        <f t="shared" si="140"/>
        <v>7.5089607200000001</v>
      </c>
      <c r="F317">
        <f t="shared" si="141"/>
        <v>0</v>
      </c>
      <c r="G317">
        <f t="shared" si="142"/>
        <v>0</v>
      </c>
      <c r="H317">
        <f t="shared" si="143"/>
        <v>0</v>
      </c>
      <c r="I317">
        <f t="shared" si="144"/>
        <v>0</v>
      </c>
      <c r="J317">
        <f t="shared" si="145"/>
        <v>0</v>
      </c>
      <c r="K317" s="1">
        <f t="shared" si="146"/>
        <v>0</v>
      </c>
      <c r="L317" s="1">
        <f t="shared" si="147"/>
        <v>0</v>
      </c>
      <c r="M317" s="1">
        <f t="shared" si="148"/>
        <v>0</v>
      </c>
      <c r="N317" s="1">
        <f t="shared" si="149"/>
        <v>0</v>
      </c>
      <c r="O317" s="1">
        <f t="shared" si="150"/>
        <v>0</v>
      </c>
      <c r="P317" s="1">
        <f t="shared" si="151"/>
        <v>5.4255564727587</v>
      </c>
      <c r="Q317" s="1" t="e">
        <f t="shared" si="152"/>
        <v>#DIV/0!</v>
      </c>
      <c r="R317" s="1" t="e">
        <f t="shared" si="153"/>
        <v>#DIV/0!</v>
      </c>
      <c r="S317" s="1" t="e">
        <f t="shared" si="154"/>
        <v>#DIV/0!</v>
      </c>
      <c r="T317" s="1" t="e">
        <f t="shared" si="155"/>
        <v>#DIV/0!</v>
      </c>
      <c r="U317" s="1" t="e">
        <f t="shared" si="156"/>
        <v>#DIV/0!</v>
      </c>
      <c r="V317">
        <f t="shared" si="157"/>
        <v>215.31058536465775</v>
      </c>
      <c r="W317">
        <f t="shared" si="158"/>
        <v>0</v>
      </c>
      <c r="X317">
        <f t="shared" si="159"/>
        <v>0</v>
      </c>
      <c r="Y317">
        <f t="shared" si="160"/>
        <v>0</v>
      </c>
      <c r="Z317">
        <f t="shared" si="161"/>
        <v>0</v>
      </c>
      <c r="AA317">
        <f t="shared" si="162"/>
        <v>0</v>
      </c>
      <c r="AC317">
        <f t="shared" si="163"/>
        <v>262.272258910348</v>
      </c>
      <c r="AD317">
        <f t="shared" si="164"/>
        <v>0</v>
      </c>
      <c r="AE317">
        <f t="shared" si="165"/>
        <v>0</v>
      </c>
      <c r="AF317">
        <f t="shared" si="166"/>
        <v>0</v>
      </c>
      <c r="AG317">
        <f t="shared" si="167"/>
        <v>0</v>
      </c>
      <c r="AH317">
        <f t="shared" si="168"/>
        <v>0</v>
      </c>
      <c r="AJ317">
        <f t="shared" si="169"/>
        <v>309.22393245603826</v>
      </c>
      <c r="AK317">
        <f t="shared" si="170"/>
        <v>0</v>
      </c>
      <c r="AL317">
        <f t="shared" si="171"/>
        <v>0</v>
      </c>
      <c r="AM317">
        <f t="shared" si="172"/>
        <v>0</v>
      </c>
      <c r="AN317">
        <f t="shared" si="173"/>
        <v>0</v>
      </c>
      <c r="AO317">
        <f t="shared" si="174"/>
        <v>0</v>
      </c>
    </row>
    <row r="318" spans="1:41" x14ac:dyDescent="0.45">
      <c r="A318">
        <v>35.758122579999998</v>
      </c>
      <c r="B318">
        <v>115.2313053</v>
      </c>
      <c r="C318">
        <v>7.5089607200000001</v>
      </c>
      <c r="D318">
        <v>6.51179504</v>
      </c>
      <c r="E318">
        <f t="shared" si="140"/>
        <v>6.51179504</v>
      </c>
      <c r="F318">
        <f t="shared" si="141"/>
        <v>0</v>
      </c>
      <c r="G318">
        <f t="shared" si="142"/>
        <v>0</v>
      </c>
      <c r="H318">
        <f t="shared" si="143"/>
        <v>0</v>
      </c>
      <c r="I318">
        <f t="shared" si="144"/>
        <v>0</v>
      </c>
      <c r="J318">
        <f t="shared" si="145"/>
        <v>0</v>
      </c>
      <c r="K318" s="1">
        <f t="shared" si="146"/>
        <v>0</v>
      </c>
      <c r="L318" s="1">
        <f t="shared" si="147"/>
        <v>0</v>
      </c>
      <c r="M318" s="1">
        <f t="shared" si="148"/>
        <v>0</v>
      </c>
      <c r="N318" s="1">
        <f t="shared" si="149"/>
        <v>0</v>
      </c>
      <c r="O318" s="1">
        <f t="shared" si="150"/>
        <v>0</v>
      </c>
      <c r="P318" s="1">
        <f t="shared" si="151"/>
        <v>25</v>
      </c>
      <c r="Q318" s="1" t="e">
        <f t="shared" si="152"/>
        <v>#DIV/0!</v>
      </c>
      <c r="R318" s="1" t="e">
        <f t="shared" si="153"/>
        <v>#DIV/0!</v>
      </c>
      <c r="S318" s="1" t="e">
        <f t="shared" si="154"/>
        <v>#DIV/0!</v>
      </c>
      <c r="T318" s="1" t="e">
        <f t="shared" si="155"/>
        <v>#DIV/0!</v>
      </c>
      <c r="U318" s="1" t="e">
        <f t="shared" si="156"/>
        <v>#DIV/0!</v>
      </c>
      <c r="V318">
        <f t="shared" si="157"/>
        <v>851.48</v>
      </c>
      <c r="W318">
        <f t="shared" si="158"/>
        <v>0</v>
      </c>
      <c r="X318">
        <f t="shared" si="159"/>
        <v>0</v>
      </c>
      <c r="Y318">
        <f t="shared" si="160"/>
        <v>0</v>
      </c>
      <c r="Z318">
        <f t="shared" si="161"/>
        <v>0</v>
      </c>
      <c r="AA318">
        <f t="shared" si="162"/>
        <v>0</v>
      </c>
      <c r="AC318">
        <f t="shared" si="163"/>
        <v>1045.25</v>
      </c>
      <c r="AD318">
        <f t="shared" si="164"/>
        <v>0</v>
      </c>
      <c r="AE318">
        <f t="shared" si="165"/>
        <v>0</v>
      </c>
      <c r="AF318">
        <f t="shared" si="166"/>
        <v>0</v>
      </c>
      <c r="AG318">
        <f t="shared" si="167"/>
        <v>0</v>
      </c>
      <c r="AH318">
        <f t="shared" si="168"/>
        <v>0</v>
      </c>
      <c r="AJ318">
        <f t="shared" si="169"/>
        <v>1239.01</v>
      </c>
      <c r="AK318">
        <f t="shared" si="170"/>
        <v>0</v>
      </c>
      <c r="AL318">
        <f t="shared" si="171"/>
        <v>0</v>
      </c>
      <c r="AM318">
        <f t="shared" si="172"/>
        <v>0</v>
      </c>
      <c r="AN318">
        <f t="shared" si="173"/>
        <v>0</v>
      </c>
      <c r="AO318">
        <f t="shared" si="174"/>
        <v>0</v>
      </c>
    </row>
    <row r="319" spans="1:41" x14ac:dyDescent="0.45">
      <c r="A319">
        <v>35.790586179999998</v>
      </c>
      <c r="B319">
        <v>115.4049193</v>
      </c>
      <c r="C319">
        <v>7.5089607200000001</v>
      </c>
      <c r="D319">
        <v>1.2747780099999999</v>
      </c>
      <c r="E319">
        <f t="shared" si="140"/>
        <v>1.2747780099999999</v>
      </c>
      <c r="F319">
        <f t="shared" si="141"/>
        <v>0</v>
      </c>
      <c r="G319">
        <f t="shared" si="142"/>
        <v>0</v>
      </c>
      <c r="H319">
        <f t="shared" si="143"/>
        <v>0</v>
      </c>
      <c r="I319">
        <f t="shared" si="144"/>
        <v>0</v>
      </c>
      <c r="J319">
        <f t="shared" si="145"/>
        <v>0</v>
      </c>
      <c r="K319" s="1">
        <f t="shared" si="146"/>
        <v>0</v>
      </c>
      <c r="L319" s="1">
        <f t="shared" si="147"/>
        <v>0</v>
      </c>
      <c r="M319" s="1">
        <f t="shared" si="148"/>
        <v>0</v>
      </c>
      <c r="N319" s="1">
        <f t="shared" si="149"/>
        <v>0</v>
      </c>
      <c r="O319" s="1">
        <f t="shared" si="150"/>
        <v>0</v>
      </c>
      <c r="P319" s="1">
        <f t="shared" si="151"/>
        <v>25</v>
      </c>
      <c r="Q319" s="1" t="e">
        <f t="shared" si="152"/>
        <v>#DIV/0!</v>
      </c>
      <c r="R319" s="1" t="e">
        <f t="shared" si="153"/>
        <v>#DIV/0!</v>
      </c>
      <c r="S319" s="1" t="e">
        <f t="shared" si="154"/>
        <v>#DIV/0!</v>
      </c>
      <c r="T319" s="1" t="e">
        <f t="shared" si="155"/>
        <v>#DIV/0!</v>
      </c>
      <c r="U319" s="1" t="e">
        <f t="shared" si="156"/>
        <v>#DIV/0!</v>
      </c>
      <c r="V319">
        <f t="shared" si="157"/>
        <v>851.48</v>
      </c>
      <c r="W319">
        <f t="shared" si="158"/>
        <v>0</v>
      </c>
      <c r="X319">
        <f t="shared" si="159"/>
        <v>0</v>
      </c>
      <c r="Y319">
        <f t="shared" si="160"/>
        <v>0</v>
      </c>
      <c r="Z319">
        <f t="shared" si="161"/>
        <v>0</v>
      </c>
      <c r="AA319">
        <f t="shared" si="162"/>
        <v>0</v>
      </c>
      <c r="AC319">
        <f t="shared" si="163"/>
        <v>1045.25</v>
      </c>
      <c r="AD319">
        <f t="shared" si="164"/>
        <v>0</v>
      </c>
      <c r="AE319">
        <f t="shared" si="165"/>
        <v>0</v>
      </c>
      <c r="AF319">
        <f t="shared" si="166"/>
        <v>0</v>
      </c>
      <c r="AG319">
        <f t="shared" si="167"/>
        <v>0</v>
      </c>
      <c r="AH319">
        <f t="shared" si="168"/>
        <v>0</v>
      </c>
      <c r="AJ319">
        <f t="shared" si="169"/>
        <v>1239.01</v>
      </c>
      <c r="AK319">
        <f t="shared" si="170"/>
        <v>0</v>
      </c>
      <c r="AL319">
        <f t="shared" si="171"/>
        <v>0</v>
      </c>
      <c r="AM319">
        <f t="shared" si="172"/>
        <v>0</v>
      </c>
      <c r="AN319">
        <f t="shared" si="173"/>
        <v>0</v>
      </c>
      <c r="AO319">
        <f t="shared" si="174"/>
        <v>0</v>
      </c>
    </row>
    <row r="320" spans="1:41" x14ac:dyDescent="0.45">
      <c r="A320">
        <v>35.795023059999998</v>
      </c>
      <c r="B320">
        <v>115.34884169999999</v>
      </c>
      <c r="C320">
        <v>7.5089607200000001</v>
      </c>
      <c r="D320">
        <v>20.65184975</v>
      </c>
      <c r="E320">
        <f t="shared" si="140"/>
        <v>7.5089607200000001</v>
      </c>
      <c r="F320">
        <f t="shared" si="141"/>
        <v>0</v>
      </c>
      <c r="G320">
        <f t="shared" si="142"/>
        <v>0</v>
      </c>
      <c r="H320">
        <f t="shared" si="143"/>
        <v>0</v>
      </c>
      <c r="I320">
        <f t="shared" si="144"/>
        <v>0</v>
      </c>
      <c r="J320">
        <f t="shared" si="145"/>
        <v>0</v>
      </c>
      <c r="K320" s="1">
        <f t="shared" si="146"/>
        <v>0</v>
      </c>
      <c r="L320" s="1">
        <f t="shared" si="147"/>
        <v>0</v>
      </c>
      <c r="M320" s="1">
        <f t="shared" si="148"/>
        <v>0</v>
      </c>
      <c r="N320" s="1">
        <f t="shared" si="149"/>
        <v>0</v>
      </c>
      <c r="O320" s="1">
        <f t="shared" si="150"/>
        <v>0</v>
      </c>
      <c r="P320" s="1">
        <f t="shared" si="151"/>
        <v>9.0899372343148102</v>
      </c>
      <c r="Q320" s="1" t="e">
        <f t="shared" si="152"/>
        <v>#DIV/0!</v>
      </c>
      <c r="R320" s="1" t="e">
        <f t="shared" si="153"/>
        <v>#DIV/0!</v>
      </c>
      <c r="S320" s="1" t="e">
        <f t="shared" si="154"/>
        <v>#DIV/0!</v>
      </c>
      <c r="T320" s="1" t="e">
        <f t="shared" si="155"/>
        <v>#DIV/0!</v>
      </c>
      <c r="U320" s="1" t="e">
        <f t="shared" si="156"/>
        <v>#DIV/0!</v>
      </c>
      <c r="V320">
        <f t="shared" si="157"/>
        <v>334.40296011523134</v>
      </c>
      <c r="W320">
        <f t="shared" si="158"/>
        <v>0</v>
      </c>
      <c r="X320">
        <f t="shared" si="159"/>
        <v>0</v>
      </c>
      <c r="Y320">
        <f t="shared" si="160"/>
        <v>0</v>
      </c>
      <c r="Z320">
        <f t="shared" si="161"/>
        <v>0</v>
      </c>
      <c r="AA320">
        <f t="shared" si="162"/>
        <v>0</v>
      </c>
      <c r="AC320">
        <f t="shared" si="163"/>
        <v>408.84748937259241</v>
      </c>
      <c r="AD320">
        <f t="shared" si="164"/>
        <v>0</v>
      </c>
      <c r="AE320">
        <f t="shared" si="165"/>
        <v>0</v>
      </c>
      <c r="AF320">
        <f t="shared" si="166"/>
        <v>0</v>
      </c>
      <c r="AG320">
        <f t="shared" si="167"/>
        <v>0</v>
      </c>
      <c r="AH320">
        <f t="shared" si="168"/>
        <v>0</v>
      </c>
      <c r="AJ320">
        <f t="shared" si="169"/>
        <v>483.28201862995348</v>
      </c>
      <c r="AK320">
        <f t="shared" si="170"/>
        <v>0</v>
      </c>
      <c r="AL320">
        <f t="shared" si="171"/>
        <v>0</v>
      </c>
      <c r="AM320">
        <f t="shared" si="172"/>
        <v>0</v>
      </c>
      <c r="AN320">
        <f t="shared" si="173"/>
        <v>0</v>
      </c>
      <c r="AO320">
        <f t="shared" si="174"/>
        <v>0</v>
      </c>
    </row>
    <row r="321" spans="1:41" x14ac:dyDescent="0.45">
      <c r="A321">
        <v>35.821014249999998</v>
      </c>
      <c r="B321">
        <v>108.17966850000001</v>
      </c>
      <c r="C321">
        <v>4.2673910000000002E-2</v>
      </c>
      <c r="D321">
        <v>34.820617679999998</v>
      </c>
      <c r="E321">
        <f t="shared" si="140"/>
        <v>4.2673910000000002E-2</v>
      </c>
      <c r="F321">
        <f t="shared" si="141"/>
        <v>34.607248129999995</v>
      </c>
      <c r="G321">
        <f t="shared" si="142"/>
        <v>34.393878579999999</v>
      </c>
      <c r="H321">
        <f t="shared" si="143"/>
        <v>34.180509029999996</v>
      </c>
      <c r="I321">
        <f t="shared" si="144"/>
        <v>33.96713948</v>
      </c>
      <c r="J321">
        <f t="shared" si="145"/>
        <v>33.753769929999997</v>
      </c>
      <c r="K321" s="1">
        <f t="shared" si="146"/>
        <v>4.2673910000000002E-2</v>
      </c>
      <c r="L321" s="1">
        <f t="shared" si="147"/>
        <v>4.2673910000000002E-2</v>
      </c>
      <c r="M321" s="1">
        <f t="shared" si="148"/>
        <v>4.2673910000000002E-2</v>
      </c>
      <c r="N321" s="1">
        <f t="shared" si="149"/>
        <v>4.2673910000000002E-2</v>
      </c>
      <c r="O321" s="1">
        <f t="shared" si="150"/>
        <v>4.2673910000000002E-2</v>
      </c>
      <c r="P321" s="1">
        <f t="shared" si="151"/>
        <v>1</v>
      </c>
      <c r="Q321" s="1">
        <f t="shared" si="152"/>
        <v>1</v>
      </c>
      <c r="R321" s="1">
        <f t="shared" si="153"/>
        <v>1</v>
      </c>
      <c r="S321" s="1">
        <f t="shared" si="154"/>
        <v>1</v>
      </c>
      <c r="T321" s="1">
        <f t="shared" si="155"/>
        <v>1</v>
      </c>
      <c r="U321" s="1">
        <f t="shared" si="156"/>
        <v>1</v>
      </c>
      <c r="V321">
        <f t="shared" si="157"/>
        <v>71.48</v>
      </c>
      <c r="W321">
        <f t="shared" si="158"/>
        <v>76.489999999999995</v>
      </c>
      <c r="X321">
        <f t="shared" si="159"/>
        <v>52.14</v>
      </c>
      <c r="Y321">
        <f t="shared" si="160"/>
        <v>38.1</v>
      </c>
      <c r="Z321">
        <f t="shared" si="161"/>
        <v>32.120000000000005</v>
      </c>
      <c r="AA321">
        <f t="shared" si="162"/>
        <v>30.03</v>
      </c>
      <c r="AC321">
        <f t="shared" si="163"/>
        <v>85.25</v>
      </c>
      <c r="AD321">
        <f t="shared" si="164"/>
        <v>76.489999999999995</v>
      </c>
      <c r="AE321">
        <f t="shared" si="165"/>
        <v>64.17</v>
      </c>
      <c r="AF321">
        <f t="shared" si="166"/>
        <v>49.84</v>
      </c>
      <c r="AG321">
        <f t="shared" si="167"/>
        <v>48.34</v>
      </c>
      <c r="AH321">
        <f t="shared" si="168"/>
        <v>41.36</v>
      </c>
      <c r="AJ321">
        <f t="shared" si="169"/>
        <v>99.009999999999991</v>
      </c>
      <c r="AK321">
        <f t="shared" si="170"/>
        <v>90.94</v>
      </c>
      <c r="AL321">
        <f t="shared" si="171"/>
        <v>78.7</v>
      </c>
      <c r="AM321">
        <f t="shared" si="172"/>
        <v>67.430000000000007</v>
      </c>
      <c r="AN321">
        <f t="shared" si="173"/>
        <v>62.56</v>
      </c>
      <c r="AO321">
        <f t="shared" si="174"/>
        <v>55.19</v>
      </c>
    </row>
    <row r="322" spans="1:41" x14ac:dyDescent="0.45">
      <c r="A322">
        <v>35.84071256</v>
      </c>
      <c r="B322">
        <v>115.3542745</v>
      </c>
      <c r="C322">
        <v>7.5089607200000001</v>
      </c>
      <c r="D322">
        <v>17.769199369999999</v>
      </c>
      <c r="E322">
        <f t="shared" si="140"/>
        <v>7.5089607200000001</v>
      </c>
      <c r="F322">
        <f t="shared" si="141"/>
        <v>0</v>
      </c>
      <c r="G322">
        <f t="shared" si="142"/>
        <v>0</v>
      </c>
      <c r="H322">
        <f t="shared" si="143"/>
        <v>0</v>
      </c>
      <c r="I322">
        <f t="shared" si="144"/>
        <v>0</v>
      </c>
      <c r="J322">
        <f t="shared" si="145"/>
        <v>0</v>
      </c>
      <c r="K322" s="1">
        <f t="shared" si="146"/>
        <v>0</v>
      </c>
      <c r="L322" s="1">
        <f t="shared" si="147"/>
        <v>0</v>
      </c>
      <c r="M322" s="1">
        <f t="shared" si="148"/>
        <v>0</v>
      </c>
      <c r="N322" s="1">
        <f t="shared" si="149"/>
        <v>0</v>
      </c>
      <c r="O322" s="1">
        <f t="shared" si="150"/>
        <v>0</v>
      </c>
      <c r="P322" s="1">
        <f t="shared" si="151"/>
        <v>10.564573793737562</v>
      </c>
      <c r="Q322" s="1" t="e">
        <f t="shared" si="152"/>
        <v>#DIV/0!</v>
      </c>
      <c r="R322" s="1" t="e">
        <f t="shared" si="153"/>
        <v>#DIV/0!</v>
      </c>
      <c r="S322" s="1" t="e">
        <f t="shared" si="154"/>
        <v>#DIV/0!</v>
      </c>
      <c r="T322" s="1" t="e">
        <f t="shared" si="155"/>
        <v>#DIV/0!</v>
      </c>
      <c r="U322" s="1" t="e">
        <f t="shared" si="156"/>
        <v>#DIV/0!</v>
      </c>
      <c r="V322">
        <f t="shared" si="157"/>
        <v>382.32864829647076</v>
      </c>
      <c r="W322">
        <f t="shared" si="158"/>
        <v>0</v>
      </c>
      <c r="X322">
        <f t="shared" si="159"/>
        <v>0</v>
      </c>
      <c r="Y322">
        <f t="shared" si="160"/>
        <v>0</v>
      </c>
      <c r="Z322">
        <f t="shared" si="161"/>
        <v>0</v>
      </c>
      <c r="AA322">
        <f t="shared" si="162"/>
        <v>0</v>
      </c>
      <c r="AC322">
        <f t="shared" si="163"/>
        <v>467.83295174950251</v>
      </c>
      <c r="AD322">
        <f t="shared" si="164"/>
        <v>0</v>
      </c>
      <c r="AE322">
        <f t="shared" si="165"/>
        <v>0</v>
      </c>
      <c r="AF322">
        <f t="shared" si="166"/>
        <v>0</v>
      </c>
      <c r="AG322">
        <f t="shared" si="167"/>
        <v>0</v>
      </c>
      <c r="AH322">
        <f t="shared" si="168"/>
        <v>0</v>
      </c>
      <c r="AJ322">
        <f t="shared" si="169"/>
        <v>553.32725520253427</v>
      </c>
      <c r="AK322">
        <f t="shared" si="170"/>
        <v>0</v>
      </c>
      <c r="AL322">
        <f t="shared" si="171"/>
        <v>0</v>
      </c>
      <c r="AM322">
        <f t="shared" si="172"/>
        <v>0</v>
      </c>
      <c r="AN322">
        <f t="shared" si="173"/>
        <v>0</v>
      </c>
      <c r="AO322">
        <f t="shared" si="174"/>
        <v>0</v>
      </c>
    </row>
    <row r="323" spans="1:41" x14ac:dyDescent="0.45">
      <c r="A323">
        <v>35.875125230000002</v>
      </c>
      <c r="B323">
        <v>107.67346120000001</v>
      </c>
      <c r="C323">
        <v>0.14331736</v>
      </c>
      <c r="D323">
        <v>52.646286009999997</v>
      </c>
      <c r="E323">
        <f t="shared" ref="E323:E386" si="175">MIN(C323,D323)</f>
        <v>0.14331736</v>
      </c>
      <c r="F323">
        <f t="shared" ref="F323:F386" si="176">MAX(0,(D323-(C323*(2030-2025))))</f>
        <v>51.929699209999995</v>
      </c>
      <c r="G323">
        <f t="shared" ref="G323:G386" si="177">MAX(0,(D323-(C323*(2035-2025))))</f>
        <v>51.213112409999994</v>
      </c>
      <c r="H323">
        <f t="shared" ref="H323:H386" si="178">MAX(0,(D323-(C323*(2040-2025))))</f>
        <v>50.496525609999999</v>
      </c>
      <c r="I323">
        <f t="shared" ref="I323:I386" si="179">MAX(0,(D323-(C323*(2045-2025))))</f>
        <v>49.779938809999997</v>
      </c>
      <c r="J323">
        <f t="shared" ref="J323:J386" si="180">MAX(0,(D323-(C323*(2050-2025))))</f>
        <v>49.063352009999996</v>
      </c>
      <c r="K323" s="1">
        <f t="shared" ref="K323:K386" si="181">MIN(E323,F323)</f>
        <v>0.14331736</v>
      </c>
      <c r="L323" s="1">
        <f t="shared" ref="L323:L386" si="182">MIN(E323,G323)</f>
        <v>0.14331736</v>
      </c>
      <c r="M323" s="1">
        <f t="shared" ref="M323:M386" si="183">MIN(E323,H323)</f>
        <v>0.14331736</v>
      </c>
      <c r="N323" s="1">
        <f t="shared" ref="N323:N386" si="184">MIN(E323,I323)</f>
        <v>0.14331736</v>
      </c>
      <c r="O323" s="1">
        <f t="shared" ref="O323:O386" si="185">MIN(E323,J323)</f>
        <v>0.14331736</v>
      </c>
      <c r="P323" s="1">
        <f t="shared" ref="P323:P386" si="186">MAX(1,((25*E323)/D323))</f>
        <v>1</v>
      </c>
      <c r="Q323" s="1">
        <f t="shared" ref="Q323:Q386" si="187">MAX(1, ((25*K323)/F323))</f>
        <v>1</v>
      </c>
      <c r="R323" s="1">
        <f t="shared" ref="R323:R386" si="188">MAX(1, ((25*L323)/G323))</f>
        <v>1</v>
      </c>
      <c r="S323" s="1">
        <f t="shared" ref="S323:S386" si="189">MAX(1, ((25*M323)/H323))</f>
        <v>1</v>
      </c>
      <c r="T323" s="1">
        <f t="shared" ref="T323:T386" si="190">MAX(1, ((25*N323)/I323))</f>
        <v>1</v>
      </c>
      <c r="U323" s="1">
        <f t="shared" ref="U323:U386" si="191">MAX(1, ((25*O323)/J323))</f>
        <v>1</v>
      </c>
      <c r="V323">
        <f t="shared" ref="V323:V386" si="192">(32.02+6.96+(0.13*250*P323))</f>
        <v>71.48</v>
      </c>
      <c r="W323">
        <f t="shared" ref="W323:W386" si="193">IF(F323&gt;0,(32.72+6.27+(0.15*250*Q323)),F323)</f>
        <v>76.489999999999995</v>
      </c>
      <c r="X323">
        <f t="shared" ref="X323:X386" si="194">IF(G323&gt;0,(22.27+4.87+(0.1*250*S323)),G323)</f>
        <v>52.14</v>
      </c>
      <c r="Y323">
        <f t="shared" ref="Y323:Y386" si="195">IF(H323&gt;0,(13.92+4.18+(0.08*250*S323)),H323)</f>
        <v>38.1</v>
      </c>
      <c r="Z323">
        <f t="shared" ref="Z323:Z386" si="196">IF(I323&gt;0,(11.14+3.48+(0.07*250*T323)),I323)</f>
        <v>32.120000000000005</v>
      </c>
      <c r="AA323">
        <f t="shared" ref="AA323:AA386" si="197">IF(J323&gt;0,(9.75+2.78+(0.07*250*U323)),J323)</f>
        <v>30.03</v>
      </c>
      <c r="AC323">
        <f t="shared" ref="AC323:AC386" si="198">IF(D323&gt;0,(37.59+7.66+(0.16*250*P323)),D323)</f>
        <v>85.25</v>
      </c>
      <c r="AD323">
        <f t="shared" ref="AD323:AD386" si="199">IF(F323&gt;0,(32.72+6.27+(0.15*250*Q323)),F323)</f>
        <v>76.489999999999995</v>
      </c>
      <c r="AE323">
        <f t="shared" ref="AE323:AE386" si="200">IF(G323&gt;0,(26.45+5.22+(0.13*250*R323)),G323)</f>
        <v>64.17</v>
      </c>
      <c r="AF323">
        <f t="shared" ref="AF323:AF386" si="201">IF(H323&gt;0,(15.31+4.53+(0.12*250*S323)),H323)</f>
        <v>49.84</v>
      </c>
      <c r="AG323">
        <f t="shared" ref="AG323:AG386" si="202">IF(I323&gt;0,(16.01+3.83+(0.11*250+T323)),I323)</f>
        <v>48.34</v>
      </c>
      <c r="AH323">
        <f t="shared" ref="AH323:AH386" si="203">IF(J323,(13.23+3.13+(0.1*250*U323)),J323)</f>
        <v>41.36</v>
      </c>
      <c r="AJ323">
        <f t="shared" ref="AJ323:AJ386" si="204">(43.16+8.35+(0.19*250*P323))</f>
        <v>99.009999999999991</v>
      </c>
      <c r="AK323">
        <f t="shared" ref="AK323:AK386" si="205">IF(F323&gt;0,(38.98+6.96+(0.18*250*Q323)),F323)</f>
        <v>90.94</v>
      </c>
      <c r="AL323">
        <f t="shared" ref="AL323:AL386" si="206">IF(G323&gt;0,(30.63+5.57+(0.17*250*R323)),G323)</f>
        <v>78.7</v>
      </c>
      <c r="AM323">
        <f t="shared" ref="AM323:AM386" si="207">IF(H323&gt;0,(25.06+4.87+(0.15*250*S323)),H323)</f>
        <v>67.430000000000007</v>
      </c>
      <c r="AN323">
        <f t="shared" ref="AN323:AN386" si="208">IF(I323&gt;0,(20.88+4.18+(0.15*250*T323)),I323)</f>
        <v>62.56</v>
      </c>
      <c r="AO323">
        <f t="shared" ref="AO323:AO386" si="209">IF(J323,(16.71+3.48+(0.14*250*U323)),J323)</f>
        <v>55.19</v>
      </c>
    </row>
    <row r="324" spans="1:41" x14ac:dyDescent="0.45">
      <c r="A324">
        <v>35.923981550000001</v>
      </c>
      <c r="B324">
        <v>107.4487286</v>
      </c>
      <c r="C324">
        <v>0.14331736</v>
      </c>
      <c r="D324">
        <v>15.91948223</v>
      </c>
      <c r="E324">
        <f t="shared" si="175"/>
        <v>0.14331736</v>
      </c>
      <c r="F324">
        <f t="shared" si="176"/>
        <v>15.20289543</v>
      </c>
      <c r="G324">
        <f t="shared" si="177"/>
        <v>14.48630863</v>
      </c>
      <c r="H324">
        <f t="shared" si="178"/>
        <v>13.76972183</v>
      </c>
      <c r="I324">
        <f t="shared" si="179"/>
        <v>13.05313503</v>
      </c>
      <c r="J324">
        <f t="shared" si="180"/>
        <v>12.33654823</v>
      </c>
      <c r="K324" s="1">
        <f t="shared" si="181"/>
        <v>0.14331736</v>
      </c>
      <c r="L324" s="1">
        <f t="shared" si="182"/>
        <v>0.14331736</v>
      </c>
      <c r="M324" s="1">
        <f t="shared" si="183"/>
        <v>0.14331736</v>
      </c>
      <c r="N324" s="1">
        <f t="shared" si="184"/>
        <v>0.14331736</v>
      </c>
      <c r="O324" s="1">
        <f t="shared" si="185"/>
        <v>0.14331736</v>
      </c>
      <c r="P324" s="1">
        <f t="shared" si="186"/>
        <v>1</v>
      </c>
      <c r="Q324" s="1">
        <f t="shared" si="187"/>
        <v>1</v>
      </c>
      <c r="R324" s="1">
        <f t="shared" si="188"/>
        <v>1</v>
      </c>
      <c r="S324" s="1">
        <f t="shared" si="189"/>
        <v>1</v>
      </c>
      <c r="T324" s="1">
        <f t="shared" si="190"/>
        <v>1</v>
      </c>
      <c r="U324" s="1">
        <f t="shared" si="191"/>
        <v>1</v>
      </c>
      <c r="V324">
        <f t="shared" si="192"/>
        <v>71.48</v>
      </c>
      <c r="W324">
        <f t="shared" si="193"/>
        <v>76.489999999999995</v>
      </c>
      <c r="X324">
        <f t="shared" si="194"/>
        <v>52.14</v>
      </c>
      <c r="Y324">
        <f t="shared" si="195"/>
        <v>38.1</v>
      </c>
      <c r="Z324">
        <f t="shared" si="196"/>
        <v>32.120000000000005</v>
      </c>
      <c r="AA324">
        <f t="shared" si="197"/>
        <v>30.03</v>
      </c>
      <c r="AC324">
        <f t="shared" si="198"/>
        <v>85.25</v>
      </c>
      <c r="AD324">
        <f t="shared" si="199"/>
        <v>76.489999999999995</v>
      </c>
      <c r="AE324">
        <f t="shared" si="200"/>
        <v>64.17</v>
      </c>
      <c r="AF324">
        <f t="shared" si="201"/>
        <v>49.84</v>
      </c>
      <c r="AG324">
        <f t="shared" si="202"/>
        <v>48.34</v>
      </c>
      <c r="AH324">
        <f t="shared" si="203"/>
        <v>41.36</v>
      </c>
      <c r="AJ324">
        <f t="shared" si="204"/>
        <v>99.009999999999991</v>
      </c>
      <c r="AK324">
        <f t="shared" si="205"/>
        <v>90.94</v>
      </c>
      <c r="AL324">
        <f t="shared" si="206"/>
        <v>78.7</v>
      </c>
      <c r="AM324">
        <f t="shared" si="207"/>
        <v>67.430000000000007</v>
      </c>
      <c r="AN324">
        <f t="shared" si="208"/>
        <v>62.56</v>
      </c>
      <c r="AO324">
        <f t="shared" si="209"/>
        <v>55.19</v>
      </c>
    </row>
    <row r="325" spans="1:41" x14ac:dyDescent="0.45">
      <c r="A325">
        <v>36.009421770000003</v>
      </c>
      <c r="B325">
        <v>107.9023419</v>
      </c>
      <c r="C325">
        <v>0.14331736</v>
      </c>
      <c r="D325">
        <v>0.26115501000000002</v>
      </c>
      <c r="E325">
        <f t="shared" si="175"/>
        <v>0.14331736</v>
      </c>
      <c r="F325">
        <f t="shared" si="176"/>
        <v>0</v>
      </c>
      <c r="G325">
        <f t="shared" si="177"/>
        <v>0</v>
      </c>
      <c r="H325">
        <f t="shared" si="178"/>
        <v>0</v>
      </c>
      <c r="I325">
        <f t="shared" si="179"/>
        <v>0</v>
      </c>
      <c r="J325">
        <f t="shared" si="180"/>
        <v>0</v>
      </c>
      <c r="K325" s="1">
        <f t="shared" si="181"/>
        <v>0</v>
      </c>
      <c r="L325" s="1">
        <f t="shared" si="182"/>
        <v>0</v>
      </c>
      <c r="M325" s="1">
        <f t="shared" si="183"/>
        <v>0</v>
      </c>
      <c r="N325" s="1">
        <f t="shared" si="184"/>
        <v>0</v>
      </c>
      <c r="O325" s="1">
        <f t="shared" si="185"/>
        <v>0</v>
      </c>
      <c r="P325" s="1">
        <f t="shared" si="186"/>
        <v>13.719568313087311</v>
      </c>
      <c r="Q325" s="1" t="e">
        <f t="shared" si="187"/>
        <v>#DIV/0!</v>
      </c>
      <c r="R325" s="1" t="e">
        <f t="shared" si="188"/>
        <v>#DIV/0!</v>
      </c>
      <c r="S325" s="1" t="e">
        <f t="shared" si="189"/>
        <v>#DIV/0!</v>
      </c>
      <c r="T325" s="1" t="e">
        <f t="shared" si="190"/>
        <v>#DIV/0!</v>
      </c>
      <c r="U325" s="1" t="e">
        <f t="shared" si="191"/>
        <v>#DIV/0!</v>
      </c>
      <c r="V325">
        <f t="shared" si="192"/>
        <v>484.86597017533762</v>
      </c>
      <c r="W325">
        <f t="shared" si="193"/>
        <v>0</v>
      </c>
      <c r="X325">
        <f t="shared" si="194"/>
        <v>0</v>
      </c>
      <c r="Y325">
        <f t="shared" si="195"/>
        <v>0</v>
      </c>
      <c r="Z325">
        <f t="shared" si="196"/>
        <v>0</v>
      </c>
      <c r="AA325">
        <f t="shared" si="197"/>
        <v>0</v>
      </c>
      <c r="AC325">
        <f t="shared" si="198"/>
        <v>594.03273252349243</v>
      </c>
      <c r="AD325">
        <f t="shared" si="199"/>
        <v>0</v>
      </c>
      <c r="AE325">
        <f t="shared" si="200"/>
        <v>0</v>
      </c>
      <c r="AF325">
        <f t="shared" si="201"/>
        <v>0</v>
      </c>
      <c r="AG325">
        <f t="shared" si="202"/>
        <v>0</v>
      </c>
      <c r="AH325">
        <f t="shared" si="203"/>
        <v>0</v>
      </c>
      <c r="AJ325">
        <f t="shared" si="204"/>
        <v>703.1894948716473</v>
      </c>
      <c r="AK325">
        <f t="shared" si="205"/>
        <v>0</v>
      </c>
      <c r="AL325">
        <f t="shared" si="206"/>
        <v>0</v>
      </c>
      <c r="AM325">
        <f t="shared" si="207"/>
        <v>0</v>
      </c>
      <c r="AN325">
        <f t="shared" si="208"/>
        <v>0</v>
      </c>
      <c r="AO325">
        <f t="shared" si="209"/>
        <v>0</v>
      </c>
    </row>
    <row r="326" spans="1:41" x14ac:dyDescent="0.45">
      <c r="A326">
        <v>36.157631389999999</v>
      </c>
      <c r="B326">
        <v>107.0567827</v>
      </c>
      <c r="C326">
        <v>1.2898562</v>
      </c>
      <c r="D326">
        <v>6.2236909899999997</v>
      </c>
      <c r="E326">
        <f t="shared" si="175"/>
        <v>1.2898562</v>
      </c>
      <c r="F326">
        <f t="shared" si="176"/>
        <v>0</v>
      </c>
      <c r="G326">
        <f t="shared" si="177"/>
        <v>0</v>
      </c>
      <c r="H326">
        <f t="shared" si="178"/>
        <v>0</v>
      </c>
      <c r="I326">
        <f t="shared" si="179"/>
        <v>0</v>
      </c>
      <c r="J326">
        <f t="shared" si="180"/>
        <v>0</v>
      </c>
      <c r="K326" s="1">
        <f t="shared" si="181"/>
        <v>0</v>
      </c>
      <c r="L326" s="1">
        <f t="shared" si="182"/>
        <v>0</v>
      </c>
      <c r="M326" s="1">
        <f t="shared" si="183"/>
        <v>0</v>
      </c>
      <c r="N326" s="1">
        <f t="shared" si="184"/>
        <v>0</v>
      </c>
      <c r="O326" s="1">
        <f t="shared" si="185"/>
        <v>0</v>
      </c>
      <c r="P326" s="1">
        <f t="shared" si="186"/>
        <v>5.1812349057516434</v>
      </c>
      <c r="Q326" s="1" t="e">
        <f t="shared" si="187"/>
        <v>#DIV/0!</v>
      </c>
      <c r="R326" s="1" t="e">
        <f t="shared" si="188"/>
        <v>#DIV/0!</v>
      </c>
      <c r="S326" s="1" t="e">
        <f t="shared" si="189"/>
        <v>#DIV/0!</v>
      </c>
      <c r="T326" s="1" t="e">
        <f t="shared" si="190"/>
        <v>#DIV/0!</v>
      </c>
      <c r="U326" s="1" t="e">
        <f t="shared" si="191"/>
        <v>#DIV/0!</v>
      </c>
      <c r="V326">
        <f t="shared" si="192"/>
        <v>207.37013443692842</v>
      </c>
      <c r="W326">
        <f t="shared" si="193"/>
        <v>0</v>
      </c>
      <c r="X326">
        <f t="shared" si="194"/>
        <v>0</v>
      </c>
      <c r="Y326">
        <f t="shared" si="195"/>
        <v>0</v>
      </c>
      <c r="Z326">
        <f t="shared" si="196"/>
        <v>0</v>
      </c>
      <c r="AA326">
        <f t="shared" si="197"/>
        <v>0</v>
      </c>
      <c r="AC326">
        <f t="shared" si="198"/>
        <v>252.49939623006574</v>
      </c>
      <c r="AD326">
        <f t="shared" si="199"/>
        <v>0</v>
      </c>
      <c r="AE326">
        <f t="shared" si="200"/>
        <v>0</v>
      </c>
      <c r="AF326">
        <f t="shared" si="201"/>
        <v>0</v>
      </c>
      <c r="AG326">
        <f t="shared" si="202"/>
        <v>0</v>
      </c>
      <c r="AH326">
        <f t="shared" si="203"/>
        <v>0</v>
      </c>
      <c r="AJ326">
        <f t="shared" si="204"/>
        <v>297.61865802320307</v>
      </c>
      <c r="AK326">
        <f t="shared" si="205"/>
        <v>0</v>
      </c>
      <c r="AL326">
        <f t="shared" si="206"/>
        <v>0</v>
      </c>
      <c r="AM326">
        <f t="shared" si="207"/>
        <v>0</v>
      </c>
      <c r="AN326">
        <f t="shared" si="208"/>
        <v>0</v>
      </c>
      <c r="AO326">
        <f t="shared" si="209"/>
        <v>0</v>
      </c>
    </row>
    <row r="327" spans="1:41" x14ac:dyDescent="0.45">
      <c r="A327">
        <v>36.289724640000003</v>
      </c>
      <c r="B327">
        <v>107.5688969</v>
      </c>
      <c r="C327">
        <v>1.2898562</v>
      </c>
      <c r="D327">
        <v>15.64400768</v>
      </c>
      <c r="E327">
        <f t="shared" si="175"/>
        <v>1.2898562</v>
      </c>
      <c r="F327">
        <f t="shared" si="176"/>
        <v>9.1947266799999987</v>
      </c>
      <c r="G327">
        <f t="shared" si="177"/>
        <v>2.7454456799999996</v>
      </c>
      <c r="H327">
        <f t="shared" si="178"/>
        <v>0</v>
      </c>
      <c r="I327">
        <f t="shared" si="179"/>
        <v>0</v>
      </c>
      <c r="J327">
        <f t="shared" si="180"/>
        <v>0</v>
      </c>
      <c r="K327" s="1">
        <f t="shared" si="181"/>
        <v>1.2898562</v>
      </c>
      <c r="L327" s="1">
        <f t="shared" si="182"/>
        <v>1.2898562</v>
      </c>
      <c r="M327" s="1">
        <f t="shared" si="183"/>
        <v>0</v>
      </c>
      <c r="N327" s="1">
        <f t="shared" si="184"/>
        <v>0</v>
      </c>
      <c r="O327" s="1">
        <f t="shared" si="185"/>
        <v>0</v>
      </c>
      <c r="P327" s="1">
        <f t="shared" si="186"/>
        <v>2.0612624117556049</v>
      </c>
      <c r="Q327" s="1">
        <f t="shared" si="187"/>
        <v>3.5070542194735479</v>
      </c>
      <c r="R327" s="1">
        <f t="shared" si="188"/>
        <v>11.745417232221476</v>
      </c>
      <c r="S327" s="1" t="e">
        <f t="shared" si="189"/>
        <v>#DIV/0!</v>
      </c>
      <c r="T327" s="1" t="e">
        <f t="shared" si="190"/>
        <v>#DIV/0!</v>
      </c>
      <c r="U327" s="1" t="e">
        <f t="shared" si="191"/>
        <v>#DIV/0!</v>
      </c>
      <c r="V327">
        <f t="shared" si="192"/>
        <v>105.97102838205716</v>
      </c>
      <c r="W327">
        <f t="shared" si="193"/>
        <v>170.50453323025806</v>
      </c>
      <c r="X327" t="e">
        <f t="shared" si="194"/>
        <v>#DIV/0!</v>
      </c>
      <c r="Y327">
        <f t="shared" si="195"/>
        <v>0</v>
      </c>
      <c r="Z327">
        <f t="shared" si="196"/>
        <v>0</v>
      </c>
      <c r="AA327">
        <f t="shared" si="197"/>
        <v>0</v>
      </c>
      <c r="AC327">
        <f t="shared" si="198"/>
        <v>127.70049647022419</v>
      </c>
      <c r="AD327">
        <f t="shared" si="199"/>
        <v>170.50453323025806</v>
      </c>
      <c r="AE327">
        <f t="shared" si="200"/>
        <v>413.39606004719798</v>
      </c>
      <c r="AF327">
        <f t="shared" si="201"/>
        <v>0</v>
      </c>
      <c r="AG327">
        <f t="shared" si="202"/>
        <v>0</v>
      </c>
      <c r="AH327">
        <f t="shared" si="203"/>
        <v>0</v>
      </c>
      <c r="AJ327">
        <f t="shared" si="204"/>
        <v>149.41996455839123</v>
      </c>
      <c r="AK327">
        <f t="shared" si="205"/>
        <v>203.75743987630966</v>
      </c>
      <c r="AL327">
        <f t="shared" si="206"/>
        <v>535.38023236941274</v>
      </c>
      <c r="AM327">
        <f t="shared" si="207"/>
        <v>0</v>
      </c>
      <c r="AN327">
        <f t="shared" si="208"/>
        <v>0</v>
      </c>
      <c r="AO327">
        <f t="shared" si="209"/>
        <v>0</v>
      </c>
    </row>
    <row r="328" spans="1:41" x14ac:dyDescent="0.45">
      <c r="A328">
        <v>36.329753859999997</v>
      </c>
      <c r="B328">
        <v>107.9668568</v>
      </c>
      <c r="C328">
        <v>4.8771324199999997</v>
      </c>
      <c r="D328">
        <v>2.66443801</v>
      </c>
      <c r="E328">
        <f t="shared" si="175"/>
        <v>2.66443801</v>
      </c>
      <c r="F328">
        <f t="shared" si="176"/>
        <v>0</v>
      </c>
      <c r="G328">
        <f t="shared" si="177"/>
        <v>0</v>
      </c>
      <c r="H328">
        <f t="shared" si="178"/>
        <v>0</v>
      </c>
      <c r="I328">
        <f t="shared" si="179"/>
        <v>0</v>
      </c>
      <c r="J328">
        <f t="shared" si="180"/>
        <v>0</v>
      </c>
      <c r="K328" s="1">
        <f t="shared" si="181"/>
        <v>0</v>
      </c>
      <c r="L328" s="1">
        <f t="shared" si="182"/>
        <v>0</v>
      </c>
      <c r="M328" s="1">
        <f t="shared" si="183"/>
        <v>0</v>
      </c>
      <c r="N328" s="1">
        <f t="shared" si="184"/>
        <v>0</v>
      </c>
      <c r="O328" s="1">
        <f t="shared" si="185"/>
        <v>0</v>
      </c>
      <c r="P328" s="1">
        <f t="shared" si="186"/>
        <v>25</v>
      </c>
      <c r="Q328" s="1" t="e">
        <f t="shared" si="187"/>
        <v>#DIV/0!</v>
      </c>
      <c r="R328" s="1" t="e">
        <f t="shared" si="188"/>
        <v>#DIV/0!</v>
      </c>
      <c r="S328" s="1" t="e">
        <f t="shared" si="189"/>
        <v>#DIV/0!</v>
      </c>
      <c r="T328" s="1" t="e">
        <f t="shared" si="190"/>
        <v>#DIV/0!</v>
      </c>
      <c r="U328" s="1" t="e">
        <f t="shared" si="191"/>
        <v>#DIV/0!</v>
      </c>
      <c r="V328">
        <f t="shared" si="192"/>
        <v>851.48</v>
      </c>
      <c r="W328">
        <f t="shared" si="193"/>
        <v>0</v>
      </c>
      <c r="X328">
        <f t="shared" si="194"/>
        <v>0</v>
      </c>
      <c r="Y328">
        <f t="shared" si="195"/>
        <v>0</v>
      </c>
      <c r="Z328">
        <f t="shared" si="196"/>
        <v>0</v>
      </c>
      <c r="AA328">
        <f t="shared" si="197"/>
        <v>0</v>
      </c>
      <c r="AC328">
        <f t="shared" si="198"/>
        <v>1045.25</v>
      </c>
      <c r="AD328">
        <f t="shared" si="199"/>
        <v>0</v>
      </c>
      <c r="AE328">
        <f t="shared" si="200"/>
        <v>0</v>
      </c>
      <c r="AF328">
        <f t="shared" si="201"/>
        <v>0</v>
      </c>
      <c r="AG328">
        <f t="shared" si="202"/>
        <v>0</v>
      </c>
      <c r="AH328">
        <f t="shared" si="203"/>
        <v>0</v>
      </c>
      <c r="AJ328">
        <f t="shared" si="204"/>
        <v>1239.01</v>
      </c>
      <c r="AK328">
        <f t="shared" si="205"/>
        <v>0</v>
      </c>
      <c r="AL328">
        <f t="shared" si="206"/>
        <v>0</v>
      </c>
      <c r="AM328">
        <f t="shared" si="207"/>
        <v>0</v>
      </c>
      <c r="AN328">
        <f t="shared" si="208"/>
        <v>0</v>
      </c>
      <c r="AO328">
        <f t="shared" si="209"/>
        <v>0</v>
      </c>
    </row>
    <row r="329" spans="1:41" x14ac:dyDescent="0.45">
      <c r="A329">
        <v>36.363760540000001</v>
      </c>
      <c r="B329">
        <v>108.59215759999999</v>
      </c>
      <c r="C329">
        <v>4.2673910000000002E-2</v>
      </c>
      <c r="D329">
        <v>2.28124189</v>
      </c>
      <c r="E329">
        <f t="shared" si="175"/>
        <v>4.2673910000000002E-2</v>
      </c>
      <c r="F329">
        <f t="shared" si="176"/>
        <v>2.0678723400000001</v>
      </c>
      <c r="G329">
        <f t="shared" si="177"/>
        <v>1.85450279</v>
      </c>
      <c r="H329">
        <f t="shared" si="178"/>
        <v>1.6411332399999998</v>
      </c>
      <c r="I329">
        <f t="shared" si="179"/>
        <v>1.4277636899999999</v>
      </c>
      <c r="J329">
        <f t="shared" si="180"/>
        <v>1.21439414</v>
      </c>
      <c r="K329" s="1">
        <f t="shared" si="181"/>
        <v>4.2673910000000002E-2</v>
      </c>
      <c r="L329" s="1">
        <f t="shared" si="182"/>
        <v>4.2673910000000002E-2</v>
      </c>
      <c r="M329" s="1">
        <f t="shared" si="183"/>
        <v>4.2673910000000002E-2</v>
      </c>
      <c r="N329" s="1">
        <f t="shared" si="184"/>
        <v>4.2673910000000002E-2</v>
      </c>
      <c r="O329" s="1">
        <f t="shared" si="185"/>
        <v>4.2673910000000002E-2</v>
      </c>
      <c r="P329" s="1">
        <f t="shared" si="186"/>
        <v>1</v>
      </c>
      <c r="Q329" s="1">
        <f t="shared" si="187"/>
        <v>1</v>
      </c>
      <c r="R329" s="1">
        <f t="shared" si="188"/>
        <v>1</v>
      </c>
      <c r="S329" s="1">
        <f t="shared" si="189"/>
        <v>1</v>
      </c>
      <c r="T329" s="1">
        <f t="shared" si="190"/>
        <v>1</v>
      </c>
      <c r="U329" s="1">
        <f t="shared" si="191"/>
        <v>1</v>
      </c>
      <c r="V329">
        <f t="shared" si="192"/>
        <v>71.48</v>
      </c>
      <c r="W329">
        <f t="shared" si="193"/>
        <v>76.489999999999995</v>
      </c>
      <c r="X329">
        <f t="shared" si="194"/>
        <v>52.14</v>
      </c>
      <c r="Y329">
        <f t="shared" si="195"/>
        <v>38.1</v>
      </c>
      <c r="Z329">
        <f t="shared" si="196"/>
        <v>32.120000000000005</v>
      </c>
      <c r="AA329">
        <f t="shared" si="197"/>
        <v>30.03</v>
      </c>
      <c r="AC329">
        <f t="shared" si="198"/>
        <v>85.25</v>
      </c>
      <c r="AD329">
        <f t="shared" si="199"/>
        <v>76.489999999999995</v>
      </c>
      <c r="AE329">
        <f t="shared" si="200"/>
        <v>64.17</v>
      </c>
      <c r="AF329">
        <f t="shared" si="201"/>
        <v>49.84</v>
      </c>
      <c r="AG329">
        <f t="shared" si="202"/>
        <v>48.34</v>
      </c>
      <c r="AH329">
        <f t="shared" si="203"/>
        <v>41.36</v>
      </c>
      <c r="AJ329">
        <f t="shared" si="204"/>
        <v>99.009999999999991</v>
      </c>
      <c r="AK329">
        <f t="shared" si="205"/>
        <v>90.94</v>
      </c>
      <c r="AL329">
        <f t="shared" si="206"/>
        <v>78.7</v>
      </c>
      <c r="AM329">
        <f t="shared" si="207"/>
        <v>67.430000000000007</v>
      </c>
      <c r="AN329">
        <f t="shared" si="208"/>
        <v>62.56</v>
      </c>
      <c r="AO329">
        <f t="shared" si="209"/>
        <v>55.19</v>
      </c>
    </row>
    <row r="330" spans="1:41" x14ac:dyDescent="0.45">
      <c r="A330">
        <v>36.371699649999996</v>
      </c>
      <c r="B330">
        <v>108.19499399999999</v>
      </c>
      <c r="C330">
        <v>4.8771324199999997</v>
      </c>
      <c r="D330">
        <v>24.808153149999999</v>
      </c>
      <c r="E330">
        <f t="shared" si="175"/>
        <v>4.8771324199999997</v>
      </c>
      <c r="F330">
        <f t="shared" si="176"/>
        <v>0.42249105000000142</v>
      </c>
      <c r="G330">
        <f t="shared" si="177"/>
        <v>0</v>
      </c>
      <c r="H330">
        <f t="shared" si="178"/>
        <v>0</v>
      </c>
      <c r="I330">
        <f t="shared" si="179"/>
        <v>0</v>
      </c>
      <c r="J330">
        <f t="shared" si="180"/>
        <v>0</v>
      </c>
      <c r="K330" s="1">
        <f t="shared" si="181"/>
        <v>0.42249105000000142</v>
      </c>
      <c r="L330" s="1">
        <f t="shared" si="182"/>
        <v>0</v>
      </c>
      <c r="M330" s="1">
        <f t="shared" si="183"/>
        <v>0</v>
      </c>
      <c r="N330" s="1">
        <f t="shared" si="184"/>
        <v>0</v>
      </c>
      <c r="O330" s="1">
        <f t="shared" si="185"/>
        <v>0</v>
      </c>
      <c r="P330" s="1">
        <f t="shared" si="186"/>
        <v>4.9148483469435531</v>
      </c>
      <c r="Q330" s="1">
        <f t="shared" si="187"/>
        <v>25</v>
      </c>
      <c r="R330" s="1" t="e">
        <f t="shared" si="188"/>
        <v>#DIV/0!</v>
      </c>
      <c r="S330" s="1" t="e">
        <f t="shared" si="189"/>
        <v>#DIV/0!</v>
      </c>
      <c r="T330" s="1" t="e">
        <f t="shared" si="190"/>
        <v>#DIV/0!</v>
      </c>
      <c r="U330" s="1" t="e">
        <f t="shared" si="191"/>
        <v>#DIV/0!</v>
      </c>
      <c r="V330">
        <f t="shared" si="192"/>
        <v>198.71257127566548</v>
      </c>
      <c r="W330">
        <f t="shared" si="193"/>
        <v>976.49</v>
      </c>
      <c r="X330">
        <f t="shared" si="194"/>
        <v>0</v>
      </c>
      <c r="Y330">
        <f t="shared" si="195"/>
        <v>0</v>
      </c>
      <c r="Z330">
        <f t="shared" si="196"/>
        <v>0</v>
      </c>
      <c r="AA330">
        <f t="shared" si="197"/>
        <v>0</v>
      </c>
      <c r="AC330">
        <f t="shared" si="198"/>
        <v>241.84393387774213</v>
      </c>
      <c r="AD330">
        <f t="shared" si="199"/>
        <v>976.49</v>
      </c>
      <c r="AE330">
        <f t="shared" si="200"/>
        <v>0</v>
      </c>
      <c r="AF330">
        <f t="shared" si="201"/>
        <v>0</v>
      </c>
      <c r="AG330">
        <f t="shared" si="202"/>
        <v>0</v>
      </c>
      <c r="AH330">
        <f t="shared" si="203"/>
        <v>0</v>
      </c>
      <c r="AJ330">
        <f t="shared" si="204"/>
        <v>284.96529647981879</v>
      </c>
      <c r="AK330">
        <f t="shared" si="205"/>
        <v>1170.94</v>
      </c>
      <c r="AL330">
        <f t="shared" si="206"/>
        <v>0</v>
      </c>
      <c r="AM330">
        <f t="shared" si="207"/>
        <v>0</v>
      </c>
      <c r="AN330">
        <f t="shared" si="208"/>
        <v>0</v>
      </c>
      <c r="AO330">
        <f t="shared" si="209"/>
        <v>0</v>
      </c>
    </row>
    <row r="331" spans="1:41" x14ac:dyDescent="0.45">
      <c r="A331">
        <v>36.424213659999999</v>
      </c>
      <c r="B331">
        <v>107.7988106</v>
      </c>
      <c r="C331">
        <v>4.8771324199999997</v>
      </c>
      <c r="D331">
        <v>0.63358802000000003</v>
      </c>
      <c r="E331">
        <f t="shared" si="175"/>
        <v>0.63358802000000003</v>
      </c>
      <c r="F331">
        <f t="shared" si="176"/>
        <v>0</v>
      </c>
      <c r="G331">
        <f t="shared" si="177"/>
        <v>0</v>
      </c>
      <c r="H331">
        <f t="shared" si="178"/>
        <v>0</v>
      </c>
      <c r="I331">
        <f t="shared" si="179"/>
        <v>0</v>
      </c>
      <c r="J331">
        <f t="shared" si="180"/>
        <v>0</v>
      </c>
      <c r="K331" s="1">
        <f t="shared" si="181"/>
        <v>0</v>
      </c>
      <c r="L331" s="1">
        <f t="shared" si="182"/>
        <v>0</v>
      </c>
      <c r="M331" s="1">
        <f t="shared" si="183"/>
        <v>0</v>
      </c>
      <c r="N331" s="1">
        <f t="shared" si="184"/>
        <v>0</v>
      </c>
      <c r="O331" s="1">
        <f t="shared" si="185"/>
        <v>0</v>
      </c>
      <c r="P331" s="1">
        <f t="shared" si="186"/>
        <v>25</v>
      </c>
      <c r="Q331" s="1" t="e">
        <f t="shared" si="187"/>
        <v>#DIV/0!</v>
      </c>
      <c r="R331" s="1" t="e">
        <f t="shared" si="188"/>
        <v>#DIV/0!</v>
      </c>
      <c r="S331" s="1" t="e">
        <f t="shared" si="189"/>
        <v>#DIV/0!</v>
      </c>
      <c r="T331" s="1" t="e">
        <f t="shared" si="190"/>
        <v>#DIV/0!</v>
      </c>
      <c r="U331" s="1" t="e">
        <f t="shared" si="191"/>
        <v>#DIV/0!</v>
      </c>
      <c r="V331">
        <f t="shared" si="192"/>
        <v>851.48</v>
      </c>
      <c r="W331">
        <f t="shared" si="193"/>
        <v>0</v>
      </c>
      <c r="X331">
        <f t="shared" si="194"/>
        <v>0</v>
      </c>
      <c r="Y331">
        <f t="shared" si="195"/>
        <v>0</v>
      </c>
      <c r="Z331">
        <f t="shared" si="196"/>
        <v>0</v>
      </c>
      <c r="AA331">
        <f t="shared" si="197"/>
        <v>0</v>
      </c>
      <c r="AC331">
        <f t="shared" si="198"/>
        <v>1045.25</v>
      </c>
      <c r="AD331">
        <f t="shared" si="199"/>
        <v>0</v>
      </c>
      <c r="AE331">
        <f t="shared" si="200"/>
        <v>0</v>
      </c>
      <c r="AF331">
        <f t="shared" si="201"/>
        <v>0</v>
      </c>
      <c r="AG331">
        <f t="shared" si="202"/>
        <v>0</v>
      </c>
      <c r="AH331">
        <f t="shared" si="203"/>
        <v>0</v>
      </c>
      <c r="AJ331">
        <f t="shared" si="204"/>
        <v>1239.01</v>
      </c>
      <c r="AK331">
        <f t="shared" si="205"/>
        <v>0</v>
      </c>
      <c r="AL331">
        <f t="shared" si="206"/>
        <v>0</v>
      </c>
      <c r="AM331">
        <f t="shared" si="207"/>
        <v>0</v>
      </c>
      <c r="AN331">
        <f t="shared" si="208"/>
        <v>0</v>
      </c>
      <c r="AO331">
        <f t="shared" si="209"/>
        <v>0</v>
      </c>
    </row>
    <row r="332" spans="1:41" x14ac:dyDescent="0.45">
      <c r="A332">
        <v>36.437269090000001</v>
      </c>
      <c r="B332">
        <v>109.3334103</v>
      </c>
      <c r="C332">
        <v>4.2673910000000002E-2</v>
      </c>
      <c r="D332">
        <v>0.61390602999999999</v>
      </c>
      <c r="E332">
        <f t="shared" si="175"/>
        <v>4.2673910000000002E-2</v>
      </c>
      <c r="F332">
        <f t="shared" si="176"/>
        <v>0.40053647999999997</v>
      </c>
      <c r="G332">
        <f t="shared" si="177"/>
        <v>0.18716692999999995</v>
      </c>
      <c r="H332">
        <f t="shared" si="178"/>
        <v>0</v>
      </c>
      <c r="I332">
        <f t="shared" si="179"/>
        <v>0</v>
      </c>
      <c r="J332">
        <f t="shared" si="180"/>
        <v>0</v>
      </c>
      <c r="K332" s="1">
        <f t="shared" si="181"/>
        <v>4.2673910000000002E-2</v>
      </c>
      <c r="L332" s="1">
        <f t="shared" si="182"/>
        <v>4.2673910000000002E-2</v>
      </c>
      <c r="M332" s="1">
        <f t="shared" si="183"/>
        <v>0</v>
      </c>
      <c r="N332" s="1">
        <f t="shared" si="184"/>
        <v>0</v>
      </c>
      <c r="O332" s="1">
        <f t="shared" si="185"/>
        <v>0</v>
      </c>
      <c r="P332" s="1">
        <f t="shared" si="186"/>
        <v>1.7378030152269395</v>
      </c>
      <c r="Q332" s="1">
        <f t="shared" si="187"/>
        <v>2.6635470257290921</v>
      </c>
      <c r="R332" s="1">
        <f t="shared" si="188"/>
        <v>5.6999799590664884</v>
      </c>
      <c r="S332" s="1" t="e">
        <f t="shared" si="189"/>
        <v>#DIV/0!</v>
      </c>
      <c r="T332" s="1" t="e">
        <f t="shared" si="190"/>
        <v>#DIV/0!</v>
      </c>
      <c r="U332" s="1" t="e">
        <f t="shared" si="191"/>
        <v>#DIV/0!</v>
      </c>
      <c r="V332">
        <f t="shared" si="192"/>
        <v>95.458597994875532</v>
      </c>
      <c r="W332">
        <f t="shared" si="193"/>
        <v>138.87301346484094</v>
      </c>
      <c r="X332" t="e">
        <f t="shared" si="194"/>
        <v>#DIV/0!</v>
      </c>
      <c r="Y332">
        <f t="shared" si="195"/>
        <v>0</v>
      </c>
      <c r="Z332">
        <f t="shared" si="196"/>
        <v>0</v>
      </c>
      <c r="AA332">
        <f t="shared" si="197"/>
        <v>0</v>
      </c>
      <c r="AC332">
        <f t="shared" si="198"/>
        <v>114.76212060907758</v>
      </c>
      <c r="AD332">
        <f t="shared" si="199"/>
        <v>138.87301346484094</v>
      </c>
      <c r="AE332">
        <f t="shared" si="200"/>
        <v>216.91934866966085</v>
      </c>
      <c r="AF332">
        <f t="shared" si="201"/>
        <v>0</v>
      </c>
      <c r="AG332">
        <f t="shared" si="202"/>
        <v>0</v>
      </c>
      <c r="AH332">
        <f t="shared" si="203"/>
        <v>0</v>
      </c>
      <c r="AJ332">
        <f t="shared" si="204"/>
        <v>134.05564322327962</v>
      </c>
      <c r="AK332">
        <f t="shared" si="205"/>
        <v>165.79961615780914</v>
      </c>
      <c r="AL332">
        <f t="shared" si="206"/>
        <v>278.44914826032579</v>
      </c>
      <c r="AM332">
        <f t="shared" si="207"/>
        <v>0</v>
      </c>
      <c r="AN332">
        <f t="shared" si="208"/>
        <v>0</v>
      </c>
      <c r="AO332">
        <f t="shared" si="209"/>
        <v>0</v>
      </c>
    </row>
    <row r="333" spans="1:41" x14ac:dyDescent="0.45">
      <c r="A333">
        <v>36.467425630000001</v>
      </c>
      <c r="B333">
        <v>107.9703184</v>
      </c>
      <c r="C333">
        <v>4.8771324199999997</v>
      </c>
      <c r="D333">
        <v>8.5576982499999996</v>
      </c>
      <c r="E333">
        <f t="shared" si="175"/>
        <v>4.8771324199999997</v>
      </c>
      <c r="F333">
        <f t="shared" si="176"/>
        <v>0</v>
      </c>
      <c r="G333">
        <f t="shared" si="177"/>
        <v>0</v>
      </c>
      <c r="H333">
        <f t="shared" si="178"/>
        <v>0</v>
      </c>
      <c r="I333">
        <f t="shared" si="179"/>
        <v>0</v>
      </c>
      <c r="J333">
        <f t="shared" si="180"/>
        <v>0</v>
      </c>
      <c r="K333" s="1">
        <f t="shared" si="181"/>
        <v>0</v>
      </c>
      <c r="L333" s="1">
        <f t="shared" si="182"/>
        <v>0</v>
      </c>
      <c r="M333" s="1">
        <f t="shared" si="183"/>
        <v>0</v>
      </c>
      <c r="N333" s="1">
        <f t="shared" si="184"/>
        <v>0</v>
      </c>
      <c r="O333" s="1">
        <f t="shared" si="185"/>
        <v>0</v>
      </c>
      <c r="P333" s="1">
        <f t="shared" si="186"/>
        <v>14.2477926818698</v>
      </c>
      <c r="Q333" s="1" t="e">
        <f t="shared" si="187"/>
        <v>#DIV/0!</v>
      </c>
      <c r="R333" s="1" t="e">
        <f t="shared" si="188"/>
        <v>#DIV/0!</v>
      </c>
      <c r="S333" s="1" t="e">
        <f t="shared" si="189"/>
        <v>#DIV/0!</v>
      </c>
      <c r="T333" s="1" t="e">
        <f t="shared" si="190"/>
        <v>#DIV/0!</v>
      </c>
      <c r="U333" s="1" t="e">
        <f t="shared" si="191"/>
        <v>#DIV/0!</v>
      </c>
      <c r="V333">
        <f t="shared" si="192"/>
        <v>502.03326216076852</v>
      </c>
      <c r="W333">
        <f t="shared" si="193"/>
        <v>0</v>
      </c>
      <c r="X333">
        <f t="shared" si="194"/>
        <v>0</v>
      </c>
      <c r="Y333">
        <f t="shared" si="195"/>
        <v>0</v>
      </c>
      <c r="Z333">
        <f t="shared" si="196"/>
        <v>0</v>
      </c>
      <c r="AA333">
        <f t="shared" si="197"/>
        <v>0</v>
      </c>
      <c r="AC333">
        <f t="shared" si="198"/>
        <v>615.16170727479198</v>
      </c>
      <c r="AD333">
        <f t="shared" si="199"/>
        <v>0</v>
      </c>
      <c r="AE333">
        <f t="shared" si="200"/>
        <v>0</v>
      </c>
      <c r="AF333">
        <f t="shared" si="201"/>
        <v>0</v>
      </c>
      <c r="AG333">
        <f t="shared" si="202"/>
        <v>0</v>
      </c>
      <c r="AH333">
        <f t="shared" si="203"/>
        <v>0</v>
      </c>
      <c r="AJ333">
        <f t="shared" si="204"/>
        <v>728.28015238881551</v>
      </c>
      <c r="AK333">
        <f t="shared" si="205"/>
        <v>0</v>
      </c>
      <c r="AL333">
        <f t="shared" si="206"/>
        <v>0</v>
      </c>
      <c r="AM333">
        <f t="shared" si="207"/>
        <v>0</v>
      </c>
      <c r="AN333">
        <f t="shared" si="208"/>
        <v>0</v>
      </c>
      <c r="AO333">
        <f t="shared" si="209"/>
        <v>0</v>
      </c>
    </row>
    <row r="334" spans="1:41" x14ac:dyDescent="0.45">
      <c r="A334">
        <v>36.557281119999999</v>
      </c>
      <c r="B334">
        <v>108.08639460000001</v>
      </c>
      <c r="C334">
        <v>4.8771324199999997</v>
      </c>
      <c r="D334">
        <v>107.913826</v>
      </c>
      <c r="E334">
        <f t="shared" si="175"/>
        <v>4.8771324199999997</v>
      </c>
      <c r="F334">
        <f t="shared" si="176"/>
        <v>83.52816390000001</v>
      </c>
      <c r="G334">
        <f t="shared" si="177"/>
        <v>59.142501800000005</v>
      </c>
      <c r="H334">
        <f t="shared" si="178"/>
        <v>34.7568397</v>
      </c>
      <c r="I334">
        <f t="shared" si="179"/>
        <v>10.37117760000001</v>
      </c>
      <c r="J334">
        <f t="shared" si="180"/>
        <v>0</v>
      </c>
      <c r="K334" s="1">
        <f t="shared" si="181"/>
        <v>4.8771324199999997</v>
      </c>
      <c r="L334" s="1">
        <f t="shared" si="182"/>
        <v>4.8771324199999997</v>
      </c>
      <c r="M334" s="1">
        <f t="shared" si="183"/>
        <v>4.8771324199999997</v>
      </c>
      <c r="N334" s="1">
        <f t="shared" si="184"/>
        <v>4.8771324199999997</v>
      </c>
      <c r="O334" s="1">
        <f t="shared" si="185"/>
        <v>0</v>
      </c>
      <c r="P334" s="1">
        <f t="shared" si="186"/>
        <v>1.1298673675048829</v>
      </c>
      <c r="Q334" s="1">
        <f t="shared" si="187"/>
        <v>1.4597269328938283</v>
      </c>
      <c r="R334" s="1">
        <f t="shared" si="188"/>
        <v>2.0616021776068996</v>
      </c>
      <c r="S334" s="1">
        <f t="shared" si="189"/>
        <v>3.5080378870004107</v>
      </c>
      <c r="T334" s="1">
        <f t="shared" si="190"/>
        <v>11.756457675548809</v>
      </c>
      <c r="U334" s="1" t="e">
        <f t="shared" si="191"/>
        <v>#DIV/0!</v>
      </c>
      <c r="V334">
        <f t="shared" si="192"/>
        <v>75.700689443908701</v>
      </c>
      <c r="W334">
        <f t="shared" si="193"/>
        <v>93.729759983518562</v>
      </c>
      <c r="X334">
        <f t="shared" si="194"/>
        <v>114.84094717501027</v>
      </c>
      <c r="Y334">
        <f t="shared" si="195"/>
        <v>88.260757740008216</v>
      </c>
      <c r="Z334">
        <f t="shared" si="196"/>
        <v>220.35800932210415</v>
      </c>
      <c r="AA334">
        <f t="shared" si="197"/>
        <v>0</v>
      </c>
      <c r="AC334">
        <f t="shared" si="198"/>
        <v>90.444694700195313</v>
      </c>
      <c r="AD334">
        <f t="shared" si="199"/>
        <v>93.729759983518562</v>
      </c>
      <c r="AE334">
        <f t="shared" si="200"/>
        <v>98.672070772224231</v>
      </c>
      <c r="AF334">
        <f t="shared" si="201"/>
        <v>125.08113661001232</v>
      </c>
      <c r="AG334">
        <f t="shared" si="202"/>
        <v>59.096457675548812</v>
      </c>
      <c r="AH334">
        <f t="shared" si="203"/>
        <v>0</v>
      </c>
      <c r="AJ334">
        <f t="shared" si="204"/>
        <v>105.17869995648194</v>
      </c>
      <c r="AK334">
        <f t="shared" si="205"/>
        <v>111.62771198022227</v>
      </c>
      <c r="AL334">
        <f t="shared" si="206"/>
        <v>123.81809254829324</v>
      </c>
      <c r="AM334">
        <f t="shared" si="207"/>
        <v>161.4814207625154</v>
      </c>
      <c r="AN334">
        <f t="shared" si="208"/>
        <v>465.92716283308033</v>
      </c>
      <c r="AO334">
        <f t="shared" si="209"/>
        <v>0</v>
      </c>
    </row>
    <row r="335" spans="1:41" x14ac:dyDescent="0.45">
      <c r="A335">
        <v>36.596748359999999</v>
      </c>
      <c r="B335">
        <v>108.42907030000001</v>
      </c>
      <c r="C335">
        <v>0.21280456</v>
      </c>
      <c r="D335">
        <v>11.07043934</v>
      </c>
      <c r="E335">
        <f t="shared" si="175"/>
        <v>0.21280456</v>
      </c>
      <c r="F335">
        <f t="shared" si="176"/>
        <v>10.00641654</v>
      </c>
      <c r="G335">
        <f t="shared" si="177"/>
        <v>8.94239374</v>
      </c>
      <c r="H335">
        <f t="shared" si="178"/>
        <v>7.8783709399999999</v>
      </c>
      <c r="I335">
        <f t="shared" si="179"/>
        <v>6.8143481399999999</v>
      </c>
      <c r="J335">
        <f t="shared" si="180"/>
        <v>5.7503253399999998</v>
      </c>
      <c r="K335" s="1">
        <f t="shared" si="181"/>
        <v>0.21280456</v>
      </c>
      <c r="L335" s="1">
        <f t="shared" si="182"/>
        <v>0.21280456</v>
      </c>
      <c r="M335" s="1">
        <f t="shared" si="183"/>
        <v>0.21280456</v>
      </c>
      <c r="N335" s="1">
        <f t="shared" si="184"/>
        <v>0.21280456</v>
      </c>
      <c r="O335" s="1">
        <f t="shared" si="185"/>
        <v>0.21280456</v>
      </c>
      <c r="P335" s="1">
        <f t="shared" si="186"/>
        <v>1</v>
      </c>
      <c r="Q335" s="1">
        <f t="shared" si="187"/>
        <v>1</v>
      </c>
      <c r="R335" s="1">
        <f t="shared" si="188"/>
        <v>1</v>
      </c>
      <c r="S335" s="1">
        <f t="shared" si="189"/>
        <v>1</v>
      </c>
      <c r="T335" s="1">
        <f t="shared" si="190"/>
        <v>1</v>
      </c>
      <c r="U335" s="1">
        <f t="shared" si="191"/>
        <v>1</v>
      </c>
      <c r="V335">
        <f t="shared" si="192"/>
        <v>71.48</v>
      </c>
      <c r="W335">
        <f t="shared" si="193"/>
        <v>76.489999999999995</v>
      </c>
      <c r="X335">
        <f t="shared" si="194"/>
        <v>52.14</v>
      </c>
      <c r="Y335">
        <f t="shared" si="195"/>
        <v>38.1</v>
      </c>
      <c r="Z335">
        <f t="shared" si="196"/>
        <v>32.120000000000005</v>
      </c>
      <c r="AA335">
        <f t="shared" si="197"/>
        <v>30.03</v>
      </c>
      <c r="AC335">
        <f t="shared" si="198"/>
        <v>85.25</v>
      </c>
      <c r="AD335">
        <f t="shared" si="199"/>
        <v>76.489999999999995</v>
      </c>
      <c r="AE335">
        <f t="shared" si="200"/>
        <v>64.17</v>
      </c>
      <c r="AF335">
        <f t="shared" si="201"/>
        <v>49.84</v>
      </c>
      <c r="AG335">
        <f t="shared" si="202"/>
        <v>48.34</v>
      </c>
      <c r="AH335">
        <f t="shared" si="203"/>
        <v>41.36</v>
      </c>
      <c r="AJ335">
        <f t="shared" si="204"/>
        <v>99.009999999999991</v>
      </c>
      <c r="AK335">
        <f t="shared" si="205"/>
        <v>90.94</v>
      </c>
      <c r="AL335">
        <f t="shared" si="206"/>
        <v>78.7</v>
      </c>
      <c r="AM335">
        <f t="shared" si="207"/>
        <v>67.430000000000007</v>
      </c>
      <c r="AN335">
        <f t="shared" si="208"/>
        <v>62.56</v>
      </c>
      <c r="AO335">
        <f t="shared" si="209"/>
        <v>55.19</v>
      </c>
    </row>
    <row r="336" spans="1:41" x14ac:dyDescent="0.45">
      <c r="A336">
        <v>36.603168580000002</v>
      </c>
      <c r="B336">
        <v>108.0876207</v>
      </c>
      <c r="C336">
        <v>8.3210926099999991</v>
      </c>
      <c r="D336">
        <v>7.5248999999999996E-2</v>
      </c>
      <c r="E336">
        <f t="shared" si="175"/>
        <v>7.5248999999999996E-2</v>
      </c>
      <c r="F336">
        <f t="shared" si="176"/>
        <v>0</v>
      </c>
      <c r="G336">
        <f t="shared" si="177"/>
        <v>0</v>
      </c>
      <c r="H336">
        <f t="shared" si="178"/>
        <v>0</v>
      </c>
      <c r="I336">
        <f t="shared" si="179"/>
        <v>0</v>
      </c>
      <c r="J336">
        <f t="shared" si="180"/>
        <v>0</v>
      </c>
      <c r="K336" s="1">
        <f t="shared" si="181"/>
        <v>0</v>
      </c>
      <c r="L336" s="1">
        <f t="shared" si="182"/>
        <v>0</v>
      </c>
      <c r="M336" s="1">
        <f t="shared" si="183"/>
        <v>0</v>
      </c>
      <c r="N336" s="1">
        <f t="shared" si="184"/>
        <v>0</v>
      </c>
      <c r="O336" s="1">
        <f t="shared" si="185"/>
        <v>0</v>
      </c>
      <c r="P336" s="1">
        <f t="shared" si="186"/>
        <v>25</v>
      </c>
      <c r="Q336" s="1" t="e">
        <f t="shared" si="187"/>
        <v>#DIV/0!</v>
      </c>
      <c r="R336" s="1" t="e">
        <f t="shared" si="188"/>
        <v>#DIV/0!</v>
      </c>
      <c r="S336" s="1" t="e">
        <f t="shared" si="189"/>
        <v>#DIV/0!</v>
      </c>
      <c r="T336" s="1" t="e">
        <f t="shared" si="190"/>
        <v>#DIV/0!</v>
      </c>
      <c r="U336" s="1" t="e">
        <f t="shared" si="191"/>
        <v>#DIV/0!</v>
      </c>
      <c r="V336">
        <f t="shared" si="192"/>
        <v>851.48</v>
      </c>
      <c r="W336">
        <f t="shared" si="193"/>
        <v>0</v>
      </c>
      <c r="X336">
        <f t="shared" si="194"/>
        <v>0</v>
      </c>
      <c r="Y336">
        <f t="shared" si="195"/>
        <v>0</v>
      </c>
      <c r="Z336">
        <f t="shared" si="196"/>
        <v>0</v>
      </c>
      <c r="AA336">
        <f t="shared" si="197"/>
        <v>0</v>
      </c>
      <c r="AC336">
        <f t="shared" si="198"/>
        <v>1045.25</v>
      </c>
      <c r="AD336">
        <f t="shared" si="199"/>
        <v>0</v>
      </c>
      <c r="AE336">
        <f t="shared" si="200"/>
        <v>0</v>
      </c>
      <c r="AF336">
        <f t="shared" si="201"/>
        <v>0</v>
      </c>
      <c r="AG336">
        <f t="shared" si="202"/>
        <v>0</v>
      </c>
      <c r="AH336">
        <f t="shared" si="203"/>
        <v>0</v>
      </c>
      <c r="AJ336">
        <f t="shared" si="204"/>
        <v>1239.01</v>
      </c>
      <c r="AK336">
        <f t="shared" si="205"/>
        <v>0</v>
      </c>
      <c r="AL336">
        <f t="shared" si="206"/>
        <v>0</v>
      </c>
      <c r="AM336">
        <f t="shared" si="207"/>
        <v>0</v>
      </c>
      <c r="AN336">
        <f t="shared" si="208"/>
        <v>0</v>
      </c>
      <c r="AO336">
        <f t="shared" si="209"/>
        <v>0</v>
      </c>
    </row>
    <row r="337" spans="1:41" x14ac:dyDescent="0.45">
      <c r="A337">
        <v>36.64905546</v>
      </c>
      <c r="B337">
        <v>108.0888482</v>
      </c>
      <c r="C337">
        <v>8.3210926099999991</v>
      </c>
      <c r="D337">
        <v>8.6067037600000003</v>
      </c>
      <c r="E337">
        <f t="shared" si="175"/>
        <v>8.3210926099999991</v>
      </c>
      <c r="F337">
        <f t="shared" si="176"/>
        <v>0</v>
      </c>
      <c r="G337">
        <f t="shared" si="177"/>
        <v>0</v>
      </c>
      <c r="H337">
        <f t="shared" si="178"/>
        <v>0</v>
      </c>
      <c r="I337">
        <f t="shared" si="179"/>
        <v>0</v>
      </c>
      <c r="J337">
        <f t="shared" si="180"/>
        <v>0</v>
      </c>
      <c r="K337" s="1">
        <f t="shared" si="181"/>
        <v>0</v>
      </c>
      <c r="L337" s="1">
        <f t="shared" si="182"/>
        <v>0</v>
      </c>
      <c r="M337" s="1">
        <f t="shared" si="183"/>
        <v>0</v>
      </c>
      <c r="N337" s="1">
        <f t="shared" si="184"/>
        <v>0</v>
      </c>
      <c r="O337" s="1">
        <f t="shared" si="185"/>
        <v>0</v>
      </c>
      <c r="P337" s="1">
        <f t="shared" si="186"/>
        <v>24.170381722305262</v>
      </c>
      <c r="Q337" s="1" t="e">
        <f t="shared" si="187"/>
        <v>#DIV/0!</v>
      </c>
      <c r="R337" s="1" t="e">
        <f t="shared" si="188"/>
        <v>#DIV/0!</v>
      </c>
      <c r="S337" s="1" t="e">
        <f t="shared" si="189"/>
        <v>#DIV/0!</v>
      </c>
      <c r="T337" s="1" t="e">
        <f t="shared" si="190"/>
        <v>#DIV/0!</v>
      </c>
      <c r="U337" s="1" t="e">
        <f t="shared" si="191"/>
        <v>#DIV/0!</v>
      </c>
      <c r="V337">
        <f t="shared" si="192"/>
        <v>824.51740597492108</v>
      </c>
      <c r="W337">
        <f t="shared" si="193"/>
        <v>0</v>
      </c>
      <c r="X337">
        <f t="shared" si="194"/>
        <v>0</v>
      </c>
      <c r="Y337">
        <f t="shared" si="195"/>
        <v>0</v>
      </c>
      <c r="Z337">
        <f t="shared" si="196"/>
        <v>0</v>
      </c>
      <c r="AA337">
        <f t="shared" si="197"/>
        <v>0</v>
      </c>
      <c r="AC337">
        <f t="shared" si="198"/>
        <v>1012.0652688922105</v>
      </c>
      <c r="AD337">
        <f t="shared" si="199"/>
        <v>0</v>
      </c>
      <c r="AE337">
        <f t="shared" si="200"/>
        <v>0</v>
      </c>
      <c r="AF337">
        <f t="shared" si="201"/>
        <v>0</v>
      </c>
      <c r="AG337">
        <f t="shared" si="202"/>
        <v>0</v>
      </c>
      <c r="AH337">
        <f t="shared" si="203"/>
        <v>0</v>
      </c>
      <c r="AJ337">
        <f t="shared" si="204"/>
        <v>1199.6031318094999</v>
      </c>
      <c r="AK337">
        <f t="shared" si="205"/>
        <v>0</v>
      </c>
      <c r="AL337">
        <f t="shared" si="206"/>
        <v>0</v>
      </c>
      <c r="AM337">
        <f t="shared" si="207"/>
        <v>0</v>
      </c>
      <c r="AN337">
        <f t="shared" si="208"/>
        <v>0</v>
      </c>
      <c r="AO337">
        <f t="shared" si="209"/>
        <v>0</v>
      </c>
    </row>
    <row r="338" spans="1:41" x14ac:dyDescent="0.45">
      <c r="A338">
        <v>36.653666829999999</v>
      </c>
      <c r="B338">
        <v>107.80409969999999</v>
      </c>
      <c r="C338">
        <v>4.8771324199999997</v>
      </c>
      <c r="D338">
        <v>7.5939068799999996</v>
      </c>
      <c r="E338">
        <f t="shared" si="175"/>
        <v>4.8771324199999997</v>
      </c>
      <c r="F338">
        <f t="shared" si="176"/>
        <v>0</v>
      </c>
      <c r="G338">
        <f t="shared" si="177"/>
        <v>0</v>
      </c>
      <c r="H338">
        <f t="shared" si="178"/>
        <v>0</v>
      </c>
      <c r="I338">
        <f t="shared" si="179"/>
        <v>0</v>
      </c>
      <c r="J338">
        <f t="shared" si="180"/>
        <v>0</v>
      </c>
      <c r="K338" s="1">
        <f t="shared" si="181"/>
        <v>0</v>
      </c>
      <c r="L338" s="1">
        <f t="shared" si="182"/>
        <v>0</v>
      </c>
      <c r="M338" s="1">
        <f t="shared" si="183"/>
        <v>0</v>
      </c>
      <c r="N338" s="1">
        <f t="shared" si="184"/>
        <v>0</v>
      </c>
      <c r="O338" s="1">
        <f t="shared" si="185"/>
        <v>0</v>
      </c>
      <c r="P338" s="1">
        <f t="shared" si="186"/>
        <v>16.056071324909372</v>
      </c>
      <c r="Q338" s="1" t="e">
        <f t="shared" si="187"/>
        <v>#DIV/0!</v>
      </c>
      <c r="R338" s="1" t="e">
        <f t="shared" si="188"/>
        <v>#DIV/0!</v>
      </c>
      <c r="S338" s="1" t="e">
        <f t="shared" si="189"/>
        <v>#DIV/0!</v>
      </c>
      <c r="T338" s="1" t="e">
        <f t="shared" si="190"/>
        <v>#DIV/0!</v>
      </c>
      <c r="U338" s="1" t="e">
        <f t="shared" si="191"/>
        <v>#DIV/0!</v>
      </c>
      <c r="V338">
        <f t="shared" si="192"/>
        <v>560.80231805955464</v>
      </c>
      <c r="W338">
        <f t="shared" si="193"/>
        <v>0</v>
      </c>
      <c r="X338">
        <f t="shared" si="194"/>
        <v>0</v>
      </c>
      <c r="Y338">
        <f t="shared" si="195"/>
        <v>0</v>
      </c>
      <c r="Z338">
        <f t="shared" si="196"/>
        <v>0</v>
      </c>
      <c r="AA338">
        <f t="shared" si="197"/>
        <v>0</v>
      </c>
      <c r="AC338">
        <f t="shared" si="198"/>
        <v>687.49285299637484</v>
      </c>
      <c r="AD338">
        <f t="shared" si="199"/>
        <v>0</v>
      </c>
      <c r="AE338">
        <f t="shared" si="200"/>
        <v>0</v>
      </c>
      <c r="AF338">
        <f t="shared" si="201"/>
        <v>0</v>
      </c>
      <c r="AG338">
        <f t="shared" si="202"/>
        <v>0</v>
      </c>
      <c r="AH338">
        <f t="shared" si="203"/>
        <v>0</v>
      </c>
      <c r="AJ338">
        <f t="shared" si="204"/>
        <v>814.17338793319516</v>
      </c>
      <c r="AK338">
        <f t="shared" si="205"/>
        <v>0</v>
      </c>
      <c r="AL338">
        <f t="shared" si="206"/>
        <v>0</v>
      </c>
      <c r="AM338">
        <f t="shared" si="207"/>
        <v>0</v>
      </c>
      <c r="AN338">
        <f t="shared" si="208"/>
        <v>0</v>
      </c>
      <c r="AO338">
        <f t="shared" si="209"/>
        <v>0</v>
      </c>
    </row>
    <row r="339" spans="1:41" x14ac:dyDescent="0.45">
      <c r="A339">
        <v>36.663889679999997</v>
      </c>
      <c r="B339">
        <v>106.89271890000001</v>
      </c>
      <c r="C339">
        <v>1.2898562</v>
      </c>
      <c r="D339">
        <v>48.273925779999999</v>
      </c>
      <c r="E339">
        <f t="shared" si="175"/>
        <v>1.2898562</v>
      </c>
      <c r="F339">
        <f t="shared" si="176"/>
        <v>41.82464478</v>
      </c>
      <c r="G339">
        <f t="shared" si="177"/>
        <v>35.375363780000001</v>
      </c>
      <c r="H339">
        <f t="shared" si="178"/>
        <v>28.926082779999998</v>
      </c>
      <c r="I339">
        <f t="shared" si="179"/>
        <v>22.476801779999999</v>
      </c>
      <c r="J339">
        <f t="shared" si="180"/>
        <v>16.027520779999996</v>
      </c>
      <c r="K339" s="1">
        <f t="shared" si="181"/>
        <v>1.2898562</v>
      </c>
      <c r="L339" s="1">
        <f t="shared" si="182"/>
        <v>1.2898562</v>
      </c>
      <c r="M339" s="1">
        <f t="shared" si="183"/>
        <v>1.2898562</v>
      </c>
      <c r="N339" s="1">
        <f t="shared" si="184"/>
        <v>1.2898562</v>
      </c>
      <c r="O339" s="1">
        <f t="shared" si="185"/>
        <v>1.2898562</v>
      </c>
      <c r="P339" s="1">
        <f t="shared" si="186"/>
        <v>1</v>
      </c>
      <c r="Q339" s="1">
        <f t="shared" si="187"/>
        <v>1</v>
      </c>
      <c r="R339" s="1">
        <f t="shared" si="188"/>
        <v>1</v>
      </c>
      <c r="S339" s="1">
        <f t="shared" si="189"/>
        <v>1.1147864453425314</v>
      </c>
      <c r="T339" s="1">
        <f t="shared" si="190"/>
        <v>1.4346527284274517</v>
      </c>
      <c r="U339" s="1">
        <f t="shared" si="191"/>
        <v>2.0119396781714864</v>
      </c>
      <c r="V339">
        <f t="shared" si="192"/>
        <v>71.48</v>
      </c>
      <c r="W339">
        <f t="shared" si="193"/>
        <v>76.489999999999995</v>
      </c>
      <c r="X339">
        <f t="shared" si="194"/>
        <v>55.009661133563284</v>
      </c>
      <c r="Y339">
        <f t="shared" si="195"/>
        <v>40.395728906850628</v>
      </c>
      <c r="Z339">
        <f t="shared" si="196"/>
        <v>39.726422747480406</v>
      </c>
      <c r="AA339">
        <f t="shared" si="197"/>
        <v>47.738944368001015</v>
      </c>
      <c r="AC339">
        <f t="shared" si="198"/>
        <v>85.25</v>
      </c>
      <c r="AD339">
        <f t="shared" si="199"/>
        <v>76.489999999999995</v>
      </c>
      <c r="AE339">
        <f t="shared" si="200"/>
        <v>64.17</v>
      </c>
      <c r="AF339">
        <f t="shared" si="201"/>
        <v>53.283593360275944</v>
      </c>
      <c r="AG339">
        <f t="shared" si="202"/>
        <v>48.774652728427455</v>
      </c>
      <c r="AH339">
        <f t="shared" si="203"/>
        <v>66.658491954287157</v>
      </c>
      <c r="AJ339">
        <f t="shared" si="204"/>
        <v>99.009999999999991</v>
      </c>
      <c r="AK339">
        <f t="shared" si="205"/>
        <v>90.94</v>
      </c>
      <c r="AL339">
        <f t="shared" si="206"/>
        <v>78.7</v>
      </c>
      <c r="AM339">
        <f t="shared" si="207"/>
        <v>71.734491700344932</v>
      </c>
      <c r="AN339">
        <f t="shared" si="208"/>
        <v>78.859477316029441</v>
      </c>
      <c r="AO339">
        <f t="shared" si="209"/>
        <v>90.607888736002025</v>
      </c>
    </row>
    <row r="340" spans="1:41" x14ac:dyDescent="0.45">
      <c r="A340">
        <v>36.694941720000003</v>
      </c>
      <c r="B340">
        <v>108.0900772</v>
      </c>
      <c r="C340">
        <v>8.3210926099999991</v>
      </c>
      <c r="D340">
        <v>0.10063999999999999</v>
      </c>
      <c r="E340">
        <f t="shared" si="175"/>
        <v>0.10063999999999999</v>
      </c>
      <c r="F340">
        <f t="shared" si="176"/>
        <v>0</v>
      </c>
      <c r="G340">
        <f t="shared" si="177"/>
        <v>0</v>
      </c>
      <c r="H340">
        <f t="shared" si="178"/>
        <v>0</v>
      </c>
      <c r="I340">
        <f t="shared" si="179"/>
        <v>0</v>
      </c>
      <c r="J340">
        <f t="shared" si="180"/>
        <v>0</v>
      </c>
      <c r="K340" s="1">
        <f t="shared" si="181"/>
        <v>0</v>
      </c>
      <c r="L340" s="1">
        <f t="shared" si="182"/>
        <v>0</v>
      </c>
      <c r="M340" s="1">
        <f t="shared" si="183"/>
        <v>0</v>
      </c>
      <c r="N340" s="1">
        <f t="shared" si="184"/>
        <v>0</v>
      </c>
      <c r="O340" s="1">
        <f t="shared" si="185"/>
        <v>0</v>
      </c>
      <c r="P340" s="1">
        <f t="shared" si="186"/>
        <v>25.000000000000004</v>
      </c>
      <c r="Q340" s="1" t="e">
        <f t="shared" si="187"/>
        <v>#DIV/0!</v>
      </c>
      <c r="R340" s="1" t="e">
        <f t="shared" si="188"/>
        <v>#DIV/0!</v>
      </c>
      <c r="S340" s="1" t="e">
        <f t="shared" si="189"/>
        <v>#DIV/0!</v>
      </c>
      <c r="T340" s="1" t="e">
        <f t="shared" si="190"/>
        <v>#DIV/0!</v>
      </c>
      <c r="U340" s="1" t="e">
        <f t="shared" si="191"/>
        <v>#DIV/0!</v>
      </c>
      <c r="V340">
        <f t="shared" si="192"/>
        <v>851.48000000000013</v>
      </c>
      <c r="W340">
        <f t="shared" si="193"/>
        <v>0</v>
      </c>
      <c r="X340">
        <f t="shared" si="194"/>
        <v>0</v>
      </c>
      <c r="Y340">
        <f t="shared" si="195"/>
        <v>0</v>
      </c>
      <c r="Z340">
        <f t="shared" si="196"/>
        <v>0</v>
      </c>
      <c r="AA340">
        <f t="shared" si="197"/>
        <v>0</v>
      </c>
      <c r="AC340">
        <f t="shared" si="198"/>
        <v>1045.25</v>
      </c>
      <c r="AD340">
        <f t="shared" si="199"/>
        <v>0</v>
      </c>
      <c r="AE340">
        <f t="shared" si="200"/>
        <v>0</v>
      </c>
      <c r="AF340">
        <f t="shared" si="201"/>
        <v>0</v>
      </c>
      <c r="AG340">
        <f t="shared" si="202"/>
        <v>0</v>
      </c>
      <c r="AH340">
        <f t="shared" si="203"/>
        <v>0</v>
      </c>
      <c r="AJ340">
        <f t="shared" si="204"/>
        <v>1239.0100000000002</v>
      </c>
      <c r="AK340">
        <f t="shared" si="205"/>
        <v>0</v>
      </c>
      <c r="AL340">
        <f t="shared" si="206"/>
        <v>0</v>
      </c>
      <c r="AM340">
        <f t="shared" si="207"/>
        <v>0</v>
      </c>
      <c r="AN340">
        <f t="shared" si="208"/>
        <v>0</v>
      </c>
      <c r="AO340">
        <f t="shared" si="209"/>
        <v>0</v>
      </c>
    </row>
    <row r="341" spans="1:41" x14ac:dyDescent="0.45">
      <c r="A341">
        <v>36.70420163</v>
      </c>
      <c r="B341">
        <v>107.46322120000001</v>
      </c>
      <c r="C341">
        <v>1.2898562</v>
      </c>
      <c r="D341">
        <v>4.44613981</v>
      </c>
      <c r="E341">
        <f t="shared" si="175"/>
        <v>1.2898562</v>
      </c>
      <c r="F341">
        <f t="shared" si="176"/>
        <v>0</v>
      </c>
      <c r="G341">
        <f t="shared" si="177"/>
        <v>0</v>
      </c>
      <c r="H341">
        <f t="shared" si="178"/>
        <v>0</v>
      </c>
      <c r="I341">
        <f t="shared" si="179"/>
        <v>0</v>
      </c>
      <c r="J341">
        <f t="shared" si="180"/>
        <v>0</v>
      </c>
      <c r="K341" s="1">
        <f t="shared" si="181"/>
        <v>0</v>
      </c>
      <c r="L341" s="1">
        <f t="shared" si="182"/>
        <v>0</v>
      </c>
      <c r="M341" s="1">
        <f t="shared" si="183"/>
        <v>0</v>
      </c>
      <c r="N341" s="1">
        <f t="shared" si="184"/>
        <v>0</v>
      </c>
      <c r="O341" s="1">
        <f t="shared" si="185"/>
        <v>0</v>
      </c>
      <c r="P341" s="1">
        <f t="shared" si="186"/>
        <v>7.2526745397149357</v>
      </c>
      <c r="Q341" s="1" t="e">
        <f t="shared" si="187"/>
        <v>#DIV/0!</v>
      </c>
      <c r="R341" s="1" t="e">
        <f t="shared" si="188"/>
        <v>#DIV/0!</v>
      </c>
      <c r="S341" s="1" t="e">
        <f t="shared" si="189"/>
        <v>#DIV/0!</v>
      </c>
      <c r="T341" s="1" t="e">
        <f t="shared" si="190"/>
        <v>#DIV/0!</v>
      </c>
      <c r="U341" s="1" t="e">
        <f t="shared" si="191"/>
        <v>#DIV/0!</v>
      </c>
      <c r="V341">
        <f t="shared" si="192"/>
        <v>274.69192254073539</v>
      </c>
      <c r="W341">
        <f t="shared" si="193"/>
        <v>0</v>
      </c>
      <c r="X341">
        <f t="shared" si="194"/>
        <v>0</v>
      </c>
      <c r="Y341">
        <f t="shared" si="195"/>
        <v>0</v>
      </c>
      <c r="Z341">
        <f t="shared" si="196"/>
        <v>0</v>
      </c>
      <c r="AA341">
        <f t="shared" si="197"/>
        <v>0</v>
      </c>
      <c r="AC341">
        <f t="shared" si="198"/>
        <v>335.35698158859742</v>
      </c>
      <c r="AD341">
        <f t="shared" si="199"/>
        <v>0</v>
      </c>
      <c r="AE341">
        <f t="shared" si="200"/>
        <v>0</v>
      </c>
      <c r="AF341">
        <f t="shared" si="201"/>
        <v>0</v>
      </c>
      <c r="AG341">
        <f t="shared" si="202"/>
        <v>0</v>
      </c>
      <c r="AH341">
        <f t="shared" si="203"/>
        <v>0</v>
      </c>
      <c r="AJ341">
        <f t="shared" si="204"/>
        <v>396.01204063645946</v>
      </c>
      <c r="AK341">
        <f t="shared" si="205"/>
        <v>0</v>
      </c>
      <c r="AL341">
        <f t="shared" si="206"/>
        <v>0</v>
      </c>
      <c r="AM341">
        <f t="shared" si="207"/>
        <v>0</v>
      </c>
      <c r="AN341">
        <f t="shared" si="208"/>
        <v>0</v>
      </c>
      <c r="AO341">
        <f t="shared" si="209"/>
        <v>0</v>
      </c>
    </row>
    <row r="342" spans="1:41" x14ac:dyDescent="0.45">
      <c r="A342">
        <v>36.726992670000001</v>
      </c>
      <c r="B342">
        <v>108.7753512</v>
      </c>
      <c r="C342">
        <v>0.21280456</v>
      </c>
      <c r="D342">
        <v>21.72185516</v>
      </c>
      <c r="E342">
        <f t="shared" si="175"/>
        <v>0.21280456</v>
      </c>
      <c r="F342">
        <f t="shared" si="176"/>
        <v>20.65783236</v>
      </c>
      <c r="G342">
        <f t="shared" si="177"/>
        <v>19.59380956</v>
      </c>
      <c r="H342">
        <f t="shared" si="178"/>
        <v>18.52978676</v>
      </c>
      <c r="I342">
        <f t="shared" si="179"/>
        <v>17.46576396</v>
      </c>
      <c r="J342">
        <f t="shared" si="180"/>
        <v>16.40174116</v>
      </c>
      <c r="K342" s="1">
        <f t="shared" si="181"/>
        <v>0.21280456</v>
      </c>
      <c r="L342" s="1">
        <f t="shared" si="182"/>
        <v>0.21280456</v>
      </c>
      <c r="M342" s="1">
        <f t="shared" si="183"/>
        <v>0.21280456</v>
      </c>
      <c r="N342" s="1">
        <f t="shared" si="184"/>
        <v>0.21280456</v>
      </c>
      <c r="O342" s="1">
        <f t="shared" si="185"/>
        <v>0.21280456</v>
      </c>
      <c r="P342" s="1">
        <f t="shared" si="186"/>
        <v>1</v>
      </c>
      <c r="Q342" s="1">
        <f t="shared" si="187"/>
        <v>1</v>
      </c>
      <c r="R342" s="1">
        <f t="shared" si="188"/>
        <v>1</v>
      </c>
      <c r="S342" s="1">
        <f t="shared" si="189"/>
        <v>1</v>
      </c>
      <c r="T342" s="1">
        <f t="shared" si="190"/>
        <v>1</v>
      </c>
      <c r="U342" s="1">
        <f t="shared" si="191"/>
        <v>1</v>
      </c>
      <c r="V342">
        <f t="shared" si="192"/>
        <v>71.48</v>
      </c>
      <c r="W342">
        <f t="shared" si="193"/>
        <v>76.489999999999995</v>
      </c>
      <c r="X342">
        <f t="shared" si="194"/>
        <v>52.14</v>
      </c>
      <c r="Y342">
        <f t="shared" si="195"/>
        <v>38.1</v>
      </c>
      <c r="Z342">
        <f t="shared" si="196"/>
        <v>32.120000000000005</v>
      </c>
      <c r="AA342">
        <f t="shared" si="197"/>
        <v>30.03</v>
      </c>
      <c r="AC342">
        <f t="shared" si="198"/>
        <v>85.25</v>
      </c>
      <c r="AD342">
        <f t="shared" si="199"/>
        <v>76.489999999999995</v>
      </c>
      <c r="AE342">
        <f t="shared" si="200"/>
        <v>64.17</v>
      </c>
      <c r="AF342">
        <f t="shared" si="201"/>
        <v>49.84</v>
      </c>
      <c r="AG342">
        <f t="shared" si="202"/>
        <v>48.34</v>
      </c>
      <c r="AH342">
        <f t="shared" si="203"/>
        <v>41.36</v>
      </c>
      <c r="AJ342">
        <f t="shared" si="204"/>
        <v>99.009999999999991</v>
      </c>
      <c r="AK342">
        <f t="shared" si="205"/>
        <v>90.94</v>
      </c>
      <c r="AL342">
        <f t="shared" si="206"/>
        <v>78.7</v>
      </c>
      <c r="AM342">
        <f t="shared" si="207"/>
        <v>67.430000000000007</v>
      </c>
      <c r="AN342">
        <f t="shared" si="208"/>
        <v>62.56</v>
      </c>
      <c r="AO342">
        <f t="shared" si="209"/>
        <v>55.19</v>
      </c>
    </row>
    <row r="343" spans="1:41" x14ac:dyDescent="0.45">
      <c r="A343">
        <v>36.874957209999998</v>
      </c>
      <c r="B343">
        <v>110.03816430000001</v>
      </c>
      <c r="C343">
        <v>0</v>
      </c>
      <c r="D343">
        <v>1.2388830200000001</v>
      </c>
      <c r="E343">
        <f t="shared" si="175"/>
        <v>0</v>
      </c>
      <c r="F343">
        <f t="shared" si="176"/>
        <v>1.2388830200000001</v>
      </c>
      <c r="G343">
        <f t="shared" si="177"/>
        <v>1.2388830200000001</v>
      </c>
      <c r="H343">
        <f t="shared" si="178"/>
        <v>1.2388830200000001</v>
      </c>
      <c r="I343">
        <f t="shared" si="179"/>
        <v>1.2388830200000001</v>
      </c>
      <c r="J343">
        <f t="shared" si="180"/>
        <v>1.2388830200000001</v>
      </c>
      <c r="K343" s="1">
        <f t="shared" si="181"/>
        <v>0</v>
      </c>
      <c r="L343" s="1">
        <f t="shared" si="182"/>
        <v>0</v>
      </c>
      <c r="M343" s="1">
        <f t="shared" si="183"/>
        <v>0</v>
      </c>
      <c r="N343" s="1">
        <f t="shared" si="184"/>
        <v>0</v>
      </c>
      <c r="O343" s="1">
        <f t="shared" si="185"/>
        <v>0</v>
      </c>
      <c r="P343" s="1">
        <f t="shared" si="186"/>
        <v>1</v>
      </c>
      <c r="Q343" s="1">
        <f t="shared" si="187"/>
        <v>1</v>
      </c>
      <c r="R343" s="1">
        <f t="shared" si="188"/>
        <v>1</v>
      </c>
      <c r="S343" s="1">
        <f t="shared" si="189"/>
        <v>1</v>
      </c>
      <c r="T343" s="1">
        <f t="shared" si="190"/>
        <v>1</v>
      </c>
      <c r="U343" s="1">
        <f t="shared" si="191"/>
        <v>1</v>
      </c>
      <c r="V343">
        <f t="shared" si="192"/>
        <v>71.48</v>
      </c>
      <c r="W343">
        <f t="shared" si="193"/>
        <v>76.489999999999995</v>
      </c>
      <c r="X343">
        <f t="shared" si="194"/>
        <v>52.14</v>
      </c>
      <c r="Y343">
        <f t="shared" si="195"/>
        <v>38.1</v>
      </c>
      <c r="Z343">
        <f t="shared" si="196"/>
        <v>32.120000000000005</v>
      </c>
      <c r="AA343">
        <f t="shared" si="197"/>
        <v>30.03</v>
      </c>
      <c r="AC343">
        <f t="shared" si="198"/>
        <v>85.25</v>
      </c>
      <c r="AD343">
        <f t="shared" si="199"/>
        <v>76.489999999999995</v>
      </c>
      <c r="AE343">
        <f t="shared" si="200"/>
        <v>64.17</v>
      </c>
      <c r="AF343">
        <f t="shared" si="201"/>
        <v>49.84</v>
      </c>
      <c r="AG343">
        <f t="shared" si="202"/>
        <v>48.34</v>
      </c>
      <c r="AH343">
        <f t="shared" si="203"/>
        <v>41.36</v>
      </c>
      <c r="AJ343">
        <f t="shared" si="204"/>
        <v>99.009999999999991</v>
      </c>
      <c r="AK343">
        <f t="shared" si="205"/>
        <v>90.94</v>
      </c>
      <c r="AL343">
        <f t="shared" si="206"/>
        <v>78.7</v>
      </c>
      <c r="AM343">
        <f t="shared" si="207"/>
        <v>67.430000000000007</v>
      </c>
      <c r="AN343">
        <f t="shared" si="208"/>
        <v>62.56</v>
      </c>
      <c r="AO343">
        <f t="shared" si="209"/>
        <v>55.19</v>
      </c>
    </row>
    <row r="344" spans="1:41" x14ac:dyDescent="0.45">
      <c r="A344">
        <v>36.92232241</v>
      </c>
      <c r="B344">
        <v>108.2105365</v>
      </c>
      <c r="C344">
        <v>8.3210926099999991</v>
      </c>
      <c r="D344">
        <v>9.3369884499999998</v>
      </c>
      <c r="E344">
        <f t="shared" si="175"/>
        <v>8.3210926099999991</v>
      </c>
      <c r="F344">
        <f t="shared" si="176"/>
        <v>0</v>
      </c>
      <c r="G344">
        <f t="shared" si="177"/>
        <v>0</v>
      </c>
      <c r="H344">
        <f t="shared" si="178"/>
        <v>0</v>
      </c>
      <c r="I344">
        <f t="shared" si="179"/>
        <v>0</v>
      </c>
      <c r="J344">
        <f t="shared" si="180"/>
        <v>0</v>
      </c>
      <c r="K344" s="1">
        <f t="shared" si="181"/>
        <v>0</v>
      </c>
      <c r="L344" s="1">
        <f t="shared" si="182"/>
        <v>0</v>
      </c>
      <c r="M344" s="1">
        <f t="shared" si="183"/>
        <v>0</v>
      </c>
      <c r="N344" s="1">
        <f t="shared" si="184"/>
        <v>0</v>
      </c>
      <c r="O344" s="1">
        <f t="shared" si="185"/>
        <v>0</v>
      </c>
      <c r="P344" s="1">
        <f t="shared" si="186"/>
        <v>22.279915667026447</v>
      </c>
      <c r="Q344" s="1" t="e">
        <f t="shared" si="187"/>
        <v>#DIV/0!</v>
      </c>
      <c r="R344" s="1" t="e">
        <f t="shared" si="188"/>
        <v>#DIV/0!</v>
      </c>
      <c r="S344" s="1" t="e">
        <f t="shared" si="189"/>
        <v>#DIV/0!</v>
      </c>
      <c r="T344" s="1" t="e">
        <f t="shared" si="190"/>
        <v>#DIV/0!</v>
      </c>
      <c r="U344" s="1" t="e">
        <f t="shared" si="191"/>
        <v>#DIV/0!</v>
      </c>
      <c r="V344">
        <f t="shared" si="192"/>
        <v>763.07725917835955</v>
      </c>
      <c r="W344">
        <f t="shared" si="193"/>
        <v>0</v>
      </c>
      <c r="X344">
        <f t="shared" si="194"/>
        <v>0</v>
      </c>
      <c r="Y344">
        <f t="shared" si="195"/>
        <v>0</v>
      </c>
      <c r="Z344">
        <f t="shared" si="196"/>
        <v>0</v>
      </c>
      <c r="AA344">
        <f t="shared" si="197"/>
        <v>0</v>
      </c>
      <c r="AC344">
        <f t="shared" si="198"/>
        <v>936.44662668105786</v>
      </c>
      <c r="AD344">
        <f t="shared" si="199"/>
        <v>0</v>
      </c>
      <c r="AE344">
        <f t="shared" si="200"/>
        <v>0</v>
      </c>
      <c r="AF344">
        <f t="shared" si="201"/>
        <v>0</v>
      </c>
      <c r="AG344">
        <f t="shared" si="202"/>
        <v>0</v>
      </c>
      <c r="AH344">
        <f t="shared" si="203"/>
        <v>0</v>
      </c>
      <c r="AJ344">
        <f t="shared" si="204"/>
        <v>1109.8059941837562</v>
      </c>
      <c r="AK344">
        <f t="shared" si="205"/>
        <v>0</v>
      </c>
      <c r="AL344">
        <f t="shared" si="206"/>
        <v>0</v>
      </c>
      <c r="AM344">
        <f t="shared" si="207"/>
        <v>0</v>
      </c>
      <c r="AN344">
        <f t="shared" si="208"/>
        <v>0</v>
      </c>
      <c r="AO344">
        <f t="shared" si="209"/>
        <v>0</v>
      </c>
    </row>
    <row r="345" spans="1:41" x14ac:dyDescent="0.45">
      <c r="A345">
        <v>36.925342430000001</v>
      </c>
      <c r="B345">
        <v>108.0390955</v>
      </c>
      <c r="C345">
        <v>8.3210926099999991</v>
      </c>
      <c r="D345">
        <v>26.901620860000001</v>
      </c>
      <c r="E345">
        <f t="shared" si="175"/>
        <v>8.3210926099999991</v>
      </c>
      <c r="F345">
        <f t="shared" si="176"/>
        <v>0</v>
      </c>
      <c r="G345">
        <f t="shared" si="177"/>
        <v>0</v>
      </c>
      <c r="H345">
        <f t="shared" si="178"/>
        <v>0</v>
      </c>
      <c r="I345">
        <f t="shared" si="179"/>
        <v>0</v>
      </c>
      <c r="J345">
        <f t="shared" si="180"/>
        <v>0</v>
      </c>
      <c r="K345" s="1">
        <f t="shared" si="181"/>
        <v>0</v>
      </c>
      <c r="L345" s="1">
        <f t="shared" si="182"/>
        <v>0</v>
      </c>
      <c r="M345" s="1">
        <f t="shared" si="183"/>
        <v>0</v>
      </c>
      <c r="N345" s="1">
        <f t="shared" si="184"/>
        <v>0</v>
      </c>
      <c r="O345" s="1">
        <f t="shared" si="185"/>
        <v>0</v>
      </c>
      <c r="P345" s="1">
        <f t="shared" si="186"/>
        <v>7.7328914987169277</v>
      </c>
      <c r="Q345" s="1" t="e">
        <f t="shared" si="187"/>
        <v>#DIV/0!</v>
      </c>
      <c r="R345" s="1" t="e">
        <f t="shared" si="188"/>
        <v>#DIV/0!</v>
      </c>
      <c r="S345" s="1" t="e">
        <f t="shared" si="189"/>
        <v>#DIV/0!</v>
      </c>
      <c r="T345" s="1" t="e">
        <f t="shared" si="190"/>
        <v>#DIV/0!</v>
      </c>
      <c r="U345" s="1" t="e">
        <f t="shared" si="191"/>
        <v>#DIV/0!</v>
      </c>
      <c r="V345">
        <f t="shared" si="192"/>
        <v>290.29897370830014</v>
      </c>
      <c r="W345">
        <f t="shared" si="193"/>
        <v>0</v>
      </c>
      <c r="X345">
        <f t="shared" si="194"/>
        <v>0</v>
      </c>
      <c r="Y345">
        <f t="shared" si="195"/>
        <v>0</v>
      </c>
      <c r="Z345">
        <f t="shared" si="196"/>
        <v>0</v>
      </c>
      <c r="AA345">
        <f t="shared" si="197"/>
        <v>0</v>
      </c>
      <c r="AC345">
        <f t="shared" si="198"/>
        <v>354.56565994867708</v>
      </c>
      <c r="AD345">
        <f t="shared" si="199"/>
        <v>0</v>
      </c>
      <c r="AE345">
        <f t="shared" si="200"/>
        <v>0</v>
      </c>
      <c r="AF345">
        <f t="shared" si="201"/>
        <v>0</v>
      </c>
      <c r="AG345">
        <f t="shared" si="202"/>
        <v>0</v>
      </c>
      <c r="AH345">
        <f t="shared" si="203"/>
        <v>0</v>
      </c>
      <c r="AJ345">
        <f t="shared" si="204"/>
        <v>418.82234618905403</v>
      </c>
      <c r="AK345">
        <f t="shared" si="205"/>
        <v>0</v>
      </c>
      <c r="AL345">
        <f t="shared" si="206"/>
        <v>0</v>
      </c>
      <c r="AM345">
        <f t="shared" si="207"/>
        <v>0</v>
      </c>
      <c r="AN345">
        <f t="shared" si="208"/>
        <v>0</v>
      </c>
      <c r="AO345">
        <f t="shared" si="209"/>
        <v>0</v>
      </c>
    </row>
    <row r="346" spans="1:41" x14ac:dyDescent="0.45">
      <c r="A346">
        <v>36.927220419999998</v>
      </c>
      <c r="B346">
        <v>107.9247943</v>
      </c>
      <c r="C346">
        <v>8.3210926099999991</v>
      </c>
      <c r="D346">
        <v>0.106679</v>
      </c>
      <c r="E346">
        <f t="shared" si="175"/>
        <v>0.106679</v>
      </c>
      <c r="F346">
        <f t="shared" si="176"/>
        <v>0</v>
      </c>
      <c r="G346">
        <f t="shared" si="177"/>
        <v>0</v>
      </c>
      <c r="H346">
        <f t="shared" si="178"/>
        <v>0</v>
      </c>
      <c r="I346">
        <f t="shared" si="179"/>
        <v>0</v>
      </c>
      <c r="J346">
        <f t="shared" si="180"/>
        <v>0</v>
      </c>
      <c r="K346" s="1">
        <f t="shared" si="181"/>
        <v>0</v>
      </c>
      <c r="L346" s="1">
        <f t="shared" si="182"/>
        <v>0</v>
      </c>
      <c r="M346" s="1">
        <f t="shared" si="183"/>
        <v>0</v>
      </c>
      <c r="N346" s="1">
        <f t="shared" si="184"/>
        <v>0</v>
      </c>
      <c r="O346" s="1">
        <f t="shared" si="185"/>
        <v>0</v>
      </c>
      <c r="P346" s="1">
        <f t="shared" si="186"/>
        <v>25</v>
      </c>
      <c r="Q346" s="1" t="e">
        <f t="shared" si="187"/>
        <v>#DIV/0!</v>
      </c>
      <c r="R346" s="1" t="e">
        <f t="shared" si="188"/>
        <v>#DIV/0!</v>
      </c>
      <c r="S346" s="1" t="e">
        <f t="shared" si="189"/>
        <v>#DIV/0!</v>
      </c>
      <c r="T346" s="1" t="e">
        <f t="shared" si="190"/>
        <v>#DIV/0!</v>
      </c>
      <c r="U346" s="1" t="e">
        <f t="shared" si="191"/>
        <v>#DIV/0!</v>
      </c>
      <c r="V346">
        <f t="shared" si="192"/>
        <v>851.48</v>
      </c>
      <c r="W346">
        <f t="shared" si="193"/>
        <v>0</v>
      </c>
      <c r="X346">
        <f t="shared" si="194"/>
        <v>0</v>
      </c>
      <c r="Y346">
        <f t="shared" si="195"/>
        <v>0</v>
      </c>
      <c r="Z346">
        <f t="shared" si="196"/>
        <v>0</v>
      </c>
      <c r="AA346">
        <f t="shared" si="197"/>
        <v>0</v>
      </c>
      <c r="AC346">
        <f t="shared" si="198"/>
        <v>1045.25</v>
      </c>
      <c r="AD346">
        <f t="shared" si="199"/>
        <v>0</v>
      </c>
      <c r="AE346">
        <f t="shared" si="200"/>
        <v>0</v>
      </c>
      <c r="AF346">
        <f t="shared" si="201"/>
        <v>0</v>
      </c>
      <c r="AG346">
        <f t="shared" si="202"/>
        <v>0</v>
      </c>
      <c r="AH346">
        <f t="shared" si="203"/>
        <v>0</v>
      </c>
      <c r="AJ346">
        <f t="shared" si="204"/>
        <v>1239.01</v>
      </c>
      <c r="AK346">
        <f t="shared" si="205"/>
        <v>0</v>
      </c>
      <c r="AL346">
        <f t="shared" si="206"/>
        <v>0</v>
      </c>
      <c r="AM346">
        <f t="shared" si="207"/>
        <v>0</v>
      </c>
      <c r="AN346">
        <f t="shared" si="208"/>
        <v>0</v>
      </c>
      <c r="AO346">
        <f t="shared" si="209"/>
        <v>0</v>
      </c>
    </row>
    <row r="347" spans="1:41" x14ac:dyDescent="0.45">
      <c r="A347">
        <v>36.955038190000003</v>
      </c>
      <c r="B347">
        <v>108.8407028</v>
      </c>
      <c r="C347">
        <v>0.21280456</v>
      </c>
      <c r="D347">
        <v>83.612007140000003</v>
      </c>
      <c r="E347">
        <f t="shared" si="175"/>
        <v>0.21280456</v>
      </c>
      <c r="F347">
        <f t="shared" si="176"/>
        <v>82.547984339999999</v>
      </c>
      <c r="G347">
        <f t="shared" si="177"/>
        <v>81.483961539999996</v>
      </c>
      <c r="H347">
        <f t="shared" si="178"/>
        <v>80.419938740000006</v>
      </c>
      <c r="I347">
        <f t="shared" si="179"/>
        <v>79.355915940000003</v>
      </c>
      <c r="J347">
        <f t="shared" si="180"/>
        <v>78.291893139999999</v>
      </c>
      <c r="K347" s="1">
        <f t="shared" si="181"/>
        <v>0.21280456</v>
      </c>
      <c r="L347" s="1">
        <f t="shared" si="182"/>
        <v>0.21280456</v>
      </c>
      <c r="M347" s="1">
        <f t="shared" si="183"/>
        <v>0.21280456</v>
      </c>
      <c r="N347" s="1">
        <f t="shared" si="184"/>
        <v>0.21280456</v>
      </c>
      <c r="O347" s="1">
        <f t="shared" si="185"/>
        <v>0.21280456</v>
      </c>
      <c r="P347" s="1">
        <f t="shared" si="186"/>
        <v>1</v>
      </c>
      <c r="Q347" s="1">
        <f t="shared" si="187"/>
        <v>1</v>
      </c>
      <c r="R347" s="1">
        <f t="shared" si="188"/>
        <v>1</v>
      </c>
      <c r="S347" s="1">
        <f t="shared" si="189"/>
        <v>1</v>
      </c>
      <c r="T347" s="1">
        <f t="shared" si="190"/>
        <v>1</v>
      </c>
      <c r="U347" s="1">
        <f t="shared" si="191"/>
        <v>1</v>
      </c>
      <c r="V347">
        <f t="shared" si="192"/>
        <v>71.48</v>
      </c>
      <c r="W347">
        <f t="shared" si="193"/>
        <v>76.489999999999995</v>
      </c>
      <c r="X347">
        <f t="shared" si="194"/>
        <v>52.14</v>
      </c>
      <c r="Y347">
        <f t="shared" si="195"/>
        <v>38.1</v>
      </c>
      <c r="Z347">
        <f t="shared" si="196"/>
        <v>32.120000000000005</v>
      </c>
      <c r="AA347">
        <f t="shared" si="197"/>
        <v>30.03</v>
      </c>
      <c r="AC347">
        <f t="shared" si="198"/>
        <v>85.25</v>
      </c>
      <c r="AD347">
        <f t="shared" si="199"/>
        <v>76.489999999999995</v>
      </c>
      <c r="AE347">
        <f t="shared" si="200"/>
        <v>64.17</v>
      </c>
      <c r="AF347">
        <f t="shared" si="201"/>
        <v>49.84</v>
      </c>
      <c r="AG347">
        <f t="shared" si="202"/>
        <v>48.34</v>
      </c>
      <c r="AH347">
        <f t="shared" si="203"/>
        <v>41.36</v>
      </c>
      <c r="AJ347">
        <f t="shared" si="204"/>
        <v>99.009999999999991</v>
      </c>
      <c r="AK347">
        <f t="shared" si="205"/>
        <v>90.94</v>
      </c>
      <c r="AL347">
        <f t="shared" si="206"/>
        <v>78.7</v>
      </c>
      <c r="AM347">
        <f t="shared" si="207"/>
        <v>67.430000000000007</v>
      </c>
      <c r="AN347">
        <f t="shared" si="208"/>
        <v>62.56</v>
      </c>
      <c r="AO347">
        <f t="shared" si="209"/>
        <v>55.19</v>
      </c>
    </row>
    <row r="348" spans="1:41" x14ac:dyDescent="0.45">
      <c r="A348">
        <v>36.982802720000002</v>
      </c>
      <c r="B348">
        <v>109.52854050000001</v>
      </c>
      <c r="C348">
        <v>4.2673910000000002E-2</v>
      </c>
      <c r="D348">
        <v>0.72275001000000005</v>
      </c>
      <c r="E348">
        <f t="shared" si="175"/>
        <v>4.2673910000000002E-2</v>
      </c>
      <c r="F348">
        <f t="shared" si="176"/>
        <v>0.50938046000000003</v>
      </c>
      <c r="G348">
        <f t="shared" si="177"/>
        <v>0.29601091000000002</v>
      </c>
      <c r="H348">
        <f t="shared" si="178"/>
        <v>8.2641359999999997E-2</v>
      </c>
      <c r="I348">
        <f t="shared" si="179"/>
        <v>0</v>
      </c>
      <c r="J348">
        <f t="shared" si="180"/>
        <v>0</v>
      </c>
      <c r="K348" s="1">
        <f t="shared" si="181"/>
        <v>4.2673910000000002E-2</v>
      </c>
      <c r="L348" s="1">
        <f t="shared" si="182"/>
        <v>4.2673910000000002E-2</v>
      </c>
      <c r="M348" s="1">
        <f t="shared" si="183"/>
        <v>4.2673910000000002E-2</v>
      </c>
      <c r="N348" s="1">
        <f t="shared" si="184"/>
        <v>0</v>
      </c>
      <c r="O348" s="1">
        <f t="shared" si="185"/>
        <v>0</v>
      </c>
      <c r="P348" s="1">
        <f t="shared" si="186"/>
        <v>1.4760951023715654</v>
      </c>
      <c r="Q348" s="1">
        <f t="shared" si="187"/>
        <v>2.0944025807350362</v>
      </c>
      <c r="R348" s="1">
        <f t="shared" si="188"/>
        <v>3.6040825319580279</v>
      </c>
      <c r="S348" s="1">
        <f t="shared" si="189"/>
        <v>12.909368263058594</v>
      </c>
      <c r="T348" s="1" t="e">
        <f t="shared" si="190"/>
        <v>#DIV/0!</v>
      </c>
      <c r="U348" s="1" t="e">
        <f t="shared" si="191"/>
        <v>#DIV/0!</v>
      </c>
      <c r="V348">
        <f t="shared" si="192"/>
        <v>86.953090827075869</v>
      </c>
      <c r="W348">
        <f t="shared" si="193"/>
        <v>117.53009677756386</v>
      </c>
      <c r="X348">
        <f t="shared" si="194"/>
        <v>349.87420657646481</v>
      </c>
      <c r="Y348">
        <f t="shared" si="195"/>
        <v>276.28736526117189</v>
      </c>
      <c r="Z348">
        <f t="shared" si="196"/>
        <v>0</v>
      </c>
      <c r="AA348">
        <f t="shared" si="197"/>
        <v>0</v>
      </c>
      <c r="AC348">
        <f t="shared" si="198"/>
        <v>104.29380409486262</v>
      </c>
      <c r="AD348">
        <f t="shared" si="199"/>
        <v>117.53009677756386</v>
      </c>
      <c r="AE348">
        <f t="shared" si="200"/>
        <v>148.80268228863591</v>
      </c>
      <c r="AF348">
        <f t="shared" si="201"/>
        <v>407.12104789175783</v>
      </c>
      <c r="AG348">
        <f t="shared" si="202"/>
        <v>0</v>
      </c>
      <c r="AH348">
        <f t="shared" si="203"/>
        <v>0</v>
      </c>
      <c r="AJ348">
        <f t="shared" si="204"/>
        <v>121.62451736264936</v>
      </c>
      <c r="AK348">
        <f t="shared" si="205"/>
        <v>140.18811613307662</v>
      </c>
      <c r="AL348">
        <f t="shared" si="206"/>
        <v>189.37350760821619</v>
      </c>
      <c r="AM348">
        <f t="shared" si="207"/>
        <v>514.03130986469728</v>
      </c>
      <c r="AN348">
        <f t="shared" si="208"/>
        <v>0</v>
      </c>
      <c r="AO348">
        <f t="shared" si="209"/>
        <v>0</v>
      </c>
    </row>
    <row r="349" spans="1:41" x14ac:dyDescent="0.45">
      <c r="A349">
        <v>37.024733580000003</v>
      </c>
      <c r="B349">
        <v>119.4169534</v>
      </c>
      <c r="C349">
        <v>0</v>
      </c>
      <c r="D349">
        <v>0.83479296999999997</v>
      </c>
      <c r="E349">
        <f t="shared" si="175"/>
        <v>0</v>
      </c>
      <c r="F349">
        <f t="shared" si="176"/>
        <v>0.83479296999999997</v>
      </c>
      <c r="G349">
        <f t="shared" si="177"/>
        <v>0.83479296999999997</v>
      </c>
      <c r="H349">
        <f t="shared" si="178"/>
        <v>0.83479296999999997</v>
      </c>
      <c r="I349">
        <f t="shared" si="179"/>
        <v>0.83479296999999997</v>
      </c>
      <c r="J349">
        <f t="shared" si="180"/>
        <v>0.83479296999999997</v>
      </c>
      <c r="K349" s="1">
        <f t="shared" si="181"/>
        <v>0</v>
      </c>
      <c r="L349" s="1">
        <f t="shared" si="182"/>
        <v>0</v>
      </c>
      <c r="M349" s="1">
        <f t="shared" si="183"/>
        <v>0</v>
      </c>
      <c r="N349" s="1">
        <f t="shared" si="184"/>
        <v>0</v>
      </c>
      <c r="O349" s="1">
        <f t="shared" si="185"/>
        <v>0</v>
      </c>
      <c r="P349" s="1">
        <f t="shared" si="186"/>
        <v>1</v>
      </c>
      <c r="Q349" s="1">
        <f t="shared" si="187"/>
        <v>1</v>
      </c>
      <c r="R349" s="1">
        <f t="shared" si="188"/>
        <v>1</v>
      </c>
      <c r="S349" s="1">
        <f t="shared" si="189"/>
        <v>1</v>
      </c>
      <c r="T349" s="1">
        <f t="shared" si="190"/>
        <v>1</v>
      </c>
      <c r="U349" s="1">
        <f t="shared" si="191"/>
        <v>1</v>
      </c>
      <c r="V349">
        <f t="shared" si="192"/>
        <v>71.48</v>
      </c>
      <c r="W349">
        <f t="shared" si="193"/>
        <v>76.489999999999995</v>
      </c>
      <c r="X349">
        <f t="shared" si="194"/>
        <v>52.14</v>
      </c>
      <c r="Y349">
        <f t="shared" si="195"/>
        <v>38.1</v>
      </c>
      <c r="Z349">
        <f t="shared" si="196"/>
        <v>32.120000000000005</v>
      </c>
      <c r="AA349">
        <f t="shared" si="197"/>
        <v>30.03</v>
      </c>
      <c r="AC349">
        <f t="shared" si="198"/>
        <v>85.25</v>
      </c>
      <c r="AD349">
        <f t="shared" si="199"/>
        <v>76.489999999999995</v>
      </c>
      <c r="AE349">
        <f t="shared" si="200"/>
        <v>64.17</v>
      </c>
      <c r="AF349">
        <f t="shared" si="201"/>
        <v>49.84</v>
      </c>
      <c r="AG349">
        <f t="shared" si="202"/>
        <v>48.34</v>
      </c>
      <c r="AH349">
        <f t="shared" si="203"/>
        <v>41.36</v>
      </c>
      <c r="AJ349">
        <f t="shared" si="204"/>
        <v>99.009999999999991</v>
      </c>
      <c r="AK349">
        <f t="shared" si="205"/>
        <v>90.94</v>
      </c>
      <c r="AL349">
        <f t="shared" si="206"/>
        <v>78.7</v>
      </c>
      <c r="AM349">
        <f t="shared" si="207"/>
        <v>67.430000000000007</v>
      </c>
      <c r="AN349">
        <f t="shared" si="208"/>
        <v>62.56</v>
      </c>
      <c r="AO349">
        <f t="shared" si="209"/>
        <v>55.19</v>
      </c>
    </row>
    <row r="350" spans="1:41" x14ac:dyDescent="0.45">
      <c r="A350">
        <v>37.03513684</v>
      </c>
      <c r="B350">
        <v>109.3018063</v>
      </c>
      <c r="C350">
        <v>0.55589759000000005</v>
      </c>
      <c r="D350">
        <v>60.610736850000002</v>
      </c>
      <c r="E350">
        <f t="shared" si="175"/>
        <v>0.55589759000000005</v>
      </c>
      <c r="F350">
        <f t="shared" si="176"/>
        <v>57.831248900000006</v>
      </c>
      <c r="G350">
        <f t="shared" si="177"/>
        <v>55.051760950000002</v>
      </c>
      <c r="H350">
        <f t="shared" si="178"/>
        <v>52.272272999999998</v>
      </c>
      <c r="I350">
        <f t="shared" si="179"/>
        <v>49.492785050000002</v>
      </c>
      <c r="J350">
        <f t="shared" si="180"/>
        <v>46.713297099999998</v>
      </c>
      <c r="K350" s="1">
        <f t="shared" si="181"/>
        <v>0.55589759000000005</v>
      </c>
      <c r="L350" s="1">
        <f t="shared" si="182"/>
        <v>0.55589759000000005</v>
      </c>
      <c r="M350" s="1">
        <f t="shared" si="183"/>
        <v>0.55589759000000005</v>
      </c>
      <c r="N350" s="1">
        <f t="shared" si="184"/>
        <v>0.55589759000000005</v>
      </c>
      <c r="O350" s="1">
        <f t="shared" si="185"/>
        <v>0.55589759000000005</v>
      </c>
      <c r="P350" s="1">
        <f t="shared" si="186"/>
        <v>1</v>
      </c>
      <c r="Q350" s="1">
        <f t="shared" si="187"/>
        <v>1</v>
      </c>
      <c r="R350" s="1">
        <f t="shared" si="188"/>
        <v>1</v>
      </c>
      <c r="S350" s="1">
        <f t="shared" si="189"/>
        <v>1</v>
      </c>
      <c r="T350" s="1">
        <f t="shared" si="190"/>
        <v>1</v>
      </c>
      <c r="U350" s="1">
        <f t="shared" si="191"/>
        <v>1</v>
      </c>
      <c r="V350">
        <f t="shared" si="192"/>
        <v>71.48</v>
      </c>
      <c r="W350">
        <f t="shared" si="193"/>
        <v>76.489999999999995</v>
      </c>
      <c r="X350">
        <f t="shared" si="194"/>
        <v>52.14</v>
      </c>
      <c r="Y350">
        <f t="shared" si="195"/>
        <v>38.1</v>
      </c>
      <c r="Z350">
        <f t="shared" si="196"/>
        <v>32.120000000000005</v>
      </c>
      <c r="AA350">
        <f t="shared" si="197"/>
        <v>30.03</v>
      </c>
      <c r="AC350">
        <f t="shared" si="198"/>
        <v>85.25</v>
      </c>
      <c r="AD350">
        <f t="shared" si="199"/>
        <v>76.489999999999995</v>
      </c>
      <c r="AE350">
        <f t="shared" si="200"/>
        <v>64.17</v>
      </c>
      <c r="AF350">
        <f t="shared" si="201"/>
        <v>49.84</v>
      </c>
      <c r="AG350">
        <f t="shared" si="202"/>
        <v>48.34</v>
      </c>
      <c r="AH350">
        <f t="shared" si="203"/>
        <v>41.36</v>
      </c>
      <c r="AJ350">
        <f t="shared" si="204"/>
        <v>99.009999999999991</v>
      </c>
      <c r="AK350">
        <f t="shared" si="205"/>
        <v>90.94</v>
      </c>
      <c r="AL350">
        <f t="shared" si="206"/>
        <v>78.7</v>
      </c>
      <c r="AM350">
        <f t="shared" si="207"/>
        <v>67.430000000000007</v>
      </c>
      <c r="AN350">
        <f t="shared" si="208"/>
        <v>62.56</v>
      </c>
      <c r="AO350">
        <f t="shared" si="209"/>
        <v>55.19</v>
      </c>
    </row>
    <row r="351" spans="1:41" x14ac:dyDescent="0.45">
      <c r="A351">
        <v>37.043841690000001</v>
      </c>
      <c r="B351">
        <v>117.9189599</v>
      </c>
      <c r="C351">
        <v>0</v>
      </c>
      <c r="D351">
        <v>0.67801201</v>
      </c>
      <c r="E351">
        <f t="shared" si="175"/>
        <v>0</v>
      </c>
      <c r="F351">
        <f t="shared" si="176"/>
        <v>0.67801201</v>
      </c>
      <c r="G351">
        <f t="shared" si="177"/>
        <v>0.67801201</v>
      </c>
      <c r="H351">
        <f t="shared" si="178"/>
        <v>0.67801201</v>
      </c>
      <c r="I351">
        <f t="shared" si="179"/>
        <v>0.67801201</v>
      </c>
      <c r="J351">
        <f t="shared" si="180"/>
        <v>0.67801201</v>
      </c>
      <c r="K351" s="1">
        <f t="shared" si="181"/>
        <v>0</v>
      </c>
      <c r="L351" s="1">
        <f t="shared" si="182"/>
        <v>0</v>
      </c>
      <c r="M351" s="1">
        <f t="shared" si="183"/>
        <v>0</v>
      </c>
      <c r="N351" s="1">
        <f t="shared" si="184"/>
        <v>0</v>
      </c>
      <c r="O351" s="1">
        <f t="shared" si="185"/>
        <v>0</v>
      </c>
      <c r="P351" s="1">
        <f t="shared" si="186"/>
        <v>1</v>
      </c>
      <c r="Q351" s="1">
        <f t="shared" si="187"/>
        <v>1</v>
      </c>
      <c r="R351" s="1">
        <f t="shared" si="188"/>
        <v>1</v>
      </c>
      <c r="S351" s="1">
        <f t="shared" si="189"/>
        <v>1</v>
      </c>
      <c r="T351" s="1">
        <f t="shared" si="190"/>
        <v>1</v>
      </c>
      <c r="U351" s="1">
        <f t="shared" si="191"/>
        <v>1</v>
      </c>
      <c r="V351">
        <f t="shared" si="192"/>
        <v>71.48</v>
      </c>
      <c r="W351">
        <f t="shared" si="193"/>
        <v>76.489999999999995</v>
      </c>
      <c r="X351">
        <f t="shared" si="194"/>
        <v>52.14</v>
      </c>
      <c r="Y351">
        <f t="shared" si="195"/>
        <v>38.1</v>
      </c>
      <c r="Z351">
        <f t="shared" si="196"/>
        <v>32.120000000000005</v>
      </c>
      <c r="AA351">
        <f t="shared" si="197"/>
        <v>30.03</v>
      </c>
      <c r="AC351">
        <f t="shared" si="198"/>
        <v>85.25</v>
      </c>
      <c r="AD351">
        <f t="shared" si="199"/>
        <v>76.489999999999995</v>
      </c>
      <c r="AE351">
        <f t="shared" si="200"/>
        <v>64.17</v>
      </c>
      <c r="AF351">
        <f t="shared" si="201"/>
        <v>49.84</v>
      </c>
      <c r="AG351">
        <f t="shared" si="202"/>
        <v>48.34</v>
      </c>
      <c r="AH351">
        <f t="shared" si="203"/>
        <v>41.36</v>
      </c>
      <c r="AJ351">
        <f t="shared" si="204"/>
        <v>99.009999999999991</v>
      </c>
      <c r="AK351">
        <f t="shared" si="205"/>
        <v>90.94</v>
      </c>
      <c r="AL351">
        <f t="shared" si="206"/>
        <v>78.7</v>
      </c>
      <c r="AM351">
        <f t="shared" si="207"/>
        <v>67.430000000000007</v>
      </c>
      <c r="AN351">
        <f t="shared" si="208"/>
        <v>62.56</v>
      </c>
      <c r="AO351">
        <f t="shared" si="209"/>
        <v>55.19</v>
      </c>
    </row>
    <row r="352" spans="1:41" x14ac:dyDescent="0.45">
      <c r="A352">
        <v>37.054827320000001</v>
      </c>
      <c r="B352">
        <v>116.82521989999999</v>
      </c>
      <c r="C352">
        <v>0</v>
      </c>
      <c r="D352">
        <v>4.81981897</v>
      </c>
      <c r="E352">
        <f t="shared" si="175"/>
        <v>0</v>
      </c>
      <c r="F352">
        <f t="shared" si="176"/>
        <v>4.81981897</v>
      </c>
      <c r="G352">
        <f t="shared" si="177"/>
        <v>4.81981897</v>
      </c>
      <c r="H352">
        <f t="shared" si="178"/>
        <v>4.81981897</v>
      </c>
      <c r="I352">
        <f t="shared" si="179"/>
        <v>4.81981897</v>
      </c>
      <c r="J352">
        <f t="shared" si="180"/>
        <v>4.81981897</v>
      </c>
      <c r="K352" s="1">
        <f t="shared" si="181"/>
        <v>0</v>
      </c>
      <c r="L352" s="1">
        <f t="shared" si="182"/>
        <v>0</v>
      </c>
      <c r="M352" s="1">
        <f t="shared" si="183"/>
        <v>0</v>
      </c>
      <c r="N352" s="1">
        <f t="shared" si="184"/>
        <v>0</v>
      </c>
      <c r="O352" s="1">
        <f t="shared" si="185"/>
        <v>0</v>
      </c>
      <c r="P352" s="1">
        <f t="shared" si="186"/>
        <v>1</v>
      </c>
      <c r="Q352" s="1">
        <f t="shared" si="187"/>
        <v>1</v>
      </c>
      <c r="R352" s="1">
        <f t="shared" si="188"/>
        <v>1</v>
      </c>
      <c r="S352" s="1">
        <f t="shared" si="189"/>
        <v>1</v>
      </c>
      <c r="T352" s="1">
        <f t="shared" si="190"/>
        <v>1</v>
      </c>
      <c r="U352" s="1">
        <f t="shared" si="191"/>
        <v>1</v>
      </c>
      <c r="V352">
        <f t="shared" si="192"/>
        <v>71.48</v>
      </c>
      <c r="W352">
        <f t="shared" si="193"/>
        <v>76.489999999999995</v>
      </c>
      <c r="X352">
        <f t="shared" si="194"/>
        <v>52.14</v>
      </c>
      <c r="Y352">
        <f t="shared" si="195"/>
        <v>38.1</v>
      </c>
      <c r="Z352">
        <f t="shared" si="196"/>
        <v>32.120000000000005</v>
      </c>
      <c r="AA352">
        <f t="shared" si="197"/>
        <v>30.03</v>
      </c>
      <c r="AC352">
        <f t="shared" si="198"/>
        <v>85.25</v>
      </c>
      <c r="AD352">
        <f t="shared" si="199"/>
        <v>76.489999999999995</v>
      </c>
      <c r="AE352">
        <f t="shared" si="200"/>
        <v>64.17</v>
      </c>
      <c r="AF352">
        <f t="shared" si="201"/>
        <v>49.84</v>
      </c>
      <c r="AG352">
        <f t="shared" si="202"/>
        <v>48.34</v>
      </c>
      <c r="AH352">
        <f t="shared" si="203"/>
        <v>41.36</v>
      </c>
      <c r="AJ352">
        <f t="shared" si="204"/>
        <v>99.009999999999991</v>
      </c>
      <c r="AK352">
        <f t="shared" si="205"/>
        <v>90.94</v>
      </c>
      <c r="AL352">
        <f t="shared" si="206"/>
        <v>78.7</v>
      </c>
      <c r="AM352">
        <f t="shared" si="207"/>
        <v>67.430000000000007</v>
      </c>
      <c r="AN352">
        <f t="shared" si="208"/>
        <v>62.56</v>
      </c>
      <c r="AO352">
        <f t="shared" si="209"/>
        <v>55.19</v>
      </c>
    </row>
    <row r="353" spans="1:41" x14ac:dyDescent="0.45">
      <c r="A353">
        <v>37.0716714</v>
      </c>
      <c r="B353">
        <v>117.6347765</v>
      </c>
      <c r="C353">
        <v>18.32290459</v>
      </c>
      <c r="D353">
        <v>0.109276</v>
      </c>
      <c r="E353">
        <f t="shared" si="175"/>
        <v>0.109276</v>
      </c>
      <c r="F353">
        <f t="shared" si="176"/>
        <v>0</v>
      </c>
      <c r="G353">
        <f t="shared" si="177"/>
        <v>0</v>
      </c>
      <c r="H353">
        <f t="shared" si="178"/>
        <v>0</v>
      </c>
      <c r="I353">
        <f t="shared" si="179"/>
        <v>0</v>
      </c>
      <c r="J353">
        <f t="shared" si="180"/>
        <v>0</v>
      </c>
      <c r="K353" s="1">
        <f t="shared" si="181"/>
        <v>0</v>
      </c>
      <c r="L353" s="1">
        <f t="shared" si="182"/>
        <v>0</v>
      </c>
      <c r="M353" s="1">
        <f t="shared" si="183"/>
        <v>0</v>
      </c>
      <c r="N353" s="1">
        <f t="shared" si="184"/>
        <v>0</v>
      </c>
      <c r="O353" s="1">
        <f t="shared" si="185"/>
        <v>0</v>
      </c>
      <c r="P353" s="1">
        <f t="shared" si="186"/>
        <v>25</v>
      </c>
      <c r="Q353" s="1" t="e">
        <f t="shared" si="187"/>
        <v>#DIV/0!</v>
      </c>
      <c r="R353" s="1" t="e">
        <f t="shared" si="188"/>
        <v>#DIV/0!</v>
      </c>
      <c r="S353" s="1" t="e">
        <f t="shared" si="189"/>
        <v>#DIV/0!</v>
      </c>
      <c r="T353" s="1" t="e">
        <f t="shared" si="190"/>
        <v>#DIV/0!</v>
      </c>
      <c r="U353" s="1" t="e">
        <f t="shared" si="191"/>
        <v>#DIV/0!</v>
      </c>
      <c r="V353">
        <f t="shared" si="192"/>
        <v>851.48</v>
      </c>
      <c r="W353">
        <f t="shared" si="193"/>
        <v>0</v>
      </c>
      <c r="X353">
        <f t="shared" si="194"/>
        <v>0</v>
      </c>
      <c r="Y353">
        <f t="shared" si="195"/>
        <v>0</v>
      </c>
      <c r="Z353">
        <f t="shared" si="196"/>
        <v>0</v>
      </c>
      <c r="AA353">
        <f t="shared" si="197"/>
        <v>0</v>
      </c>
      <c r="AC353">
        <f t="shared" si="198"/>
        <v>1045.25</v>
      </c>
      <c r="AD353">
        <f t="shared" si="199"/>
        <v>0</v>
      </c>
      <c r="AE353">
        <f t="shared" si="200"/>
        <v>0</v>
      </c>
      <c r="AF353">
        <f t="shared" si="201"/>
        <v>0</v>
      </c>
      <c r="AG353">
        <f t="shared" si="202"/>
        <v>0</v>
      </c>
      <c r="AH353">
        <f t="shared" si="203"/>
        <v>0</v>
      </c>
      <c r="AJ353">
        <f t="shared" si="204"/>
        <v>1239.01</v>
      </c>
      <c r="AK353">
        <f t="shared" si="205"/>
        <v>0</v>
      </c>
      <c r="AL353">
        <f t="shared" si="206"/>
        <v>0</v>
      </c>
      <c r="AM353">
        <f t="shared" si="207"/>
        <v>0</v>
      </c>
      <c r="AN353">
        <f t="shared" si="208"/>
        <v>0</v>
      </c>
      <c r="AO353">
        <f t="shared" si="209"/>
        <v>0</v>
      </c>
    </row>
    <row r="354" spans="1:41" x14ac:dyDescent="0.45">
      <c r="A354">
        <v>37.112523549999999</v>
      </c>
      <c r="B354">
        <v>107.8147716</v>
      </c>
      <c r="C354">
        <v>8.3210926099999991</v>
      </c>
      <c r="D354">
        <v>0.99576198999999999</v>
      </c>
      <c r="E354">
        <f t="shared" si="175"/>
        <v>0.99576198999999999</v>
      </c>
      <c r="F354">
        <f t="shared" si="176"/>
        <v>0</v>
      </c>
      <c r="G354">
        <f t="shared" si="177"/>
        <v>0</v>
      </c>
      <c r="H354">
        <f t="shared" si="178"/>
        <v>0</v>
      </c>
      <c r="I354">
        <f t="shared" si="179"/>
        <v>0</v>
      </c>
      <c r="J354">
        <f t="shared" si="180"/>
        <v>0</v>
      </c>
      <c r="K354" s="1">
        <f t="shared" si="181"/>
        <v>0</v>
      </c>
      <c r="L354" s="1">
        <f t="shared" si="182"/>
        <v>0</v>
      </c>
      <c r="M354" s="1">
        <f t="shared" si="183"/>
        <v>0</v>
      </c>
      <c r="N354" s="1">
        <f t="shared" si="184"/>
        <v>0</v>
      </c>
      <c r="O354" s="1">
        <f t="shared" si="185"/>
        <v>0</v>
      </c>
      <c r="P354" s="1">
        <f t="shared" si="186"/>
        <v>25</v>
      </c>
      <c r="Q354" s="1" t="e">
        <f t="shared" si="187"/>
        <v>#DIV/0!</v>
      </c>
      <c r="R354" s="1" t="e">
        <f t="shared" si="188"/>
        <v>#DIV/0!</v>
      </c>
      <c r="S354" s="1" t="e">
        <f t="shared" si="189"/>
        <v>#DIV/0!</v>
      </c>
      <c r="T354" s="1" t="e">
        <f t="shared" si="190"/>
        <v>#DIV/0!</v>
      </c>
      <c r="U354" s="1" t="e">
        <f t="shared" si="191"/>
        <v>#DIV/0!</v>
      </c>
      <c r="V354">
        <f t="shared" si="192"/>
        <v>851.48</v>
      </c>
      <c r="W354">
        <f t="shared" si="193"/>
        <v>0</v>
      </c>
      <c r="X354">
        <f t="shared" si="194"/>
        <v>0</v>
      </c>
      <c r="Y354">
        <f t="shared" si="195"/>
        <v>0</v>
      </c>
      <c r="Z354">
        <f t="shared" si="196"/>
        <v>0</v>
      </c>
      <c r="AA354">
        <f t="shared" si="197"/>
        <v>0</v>
      </c>
      <c r="AC354">
        <f t="shared" si="198"/>
        <v>1045.25</v>
      </c>
      <c r="AD354">
        <f t="shared" si="199"/>
        <v>0</v>
      </c>
      <c r="AE354">
        <f t="shared" si="200"/>
        <v>0</v>
      </c>
      <c r="AF354">
        <f t="shared" si="201"/>
        <v>0</v>
      </c>
      <c r="AG354">
        <f t="shared" si="202"/>
        <v>0</v>
      </c>
      <c r="AH354">
        <f t="shared" si="203"/>
        <v>0</v>
      </c>
      <c r="AJ354">
        <f t="shared" si="204"/>
        <v>1239.01</v>
      </c>
      <c r="AK354">
        <f t="shared" si="205"/>
        <v>0</v>
      </c>
      <c r="AL354">
        <f t="shared" si="206"/>
        <v>0</v>
      </c>
      <c r="AM354">
        <f t="shared" si="207"/>
        <v>0</v>
      </c>
      <c r="AN354">
        <f t="shared" si="208"/>
        <v>0</v>
      </c>
      <c r="AO354">
        <f t="shared" si="209"/>
        <v>0</v>
      </c>
    </row>
    <row r="355" spans="1:41" x14ac:dyDescent="0.45">
      <c r="A355">
        <v>37.123217050000001</v>
      </c>
      <c r="B355">
        <v>106.8406954</v>
      </c>
      <c r="C355">
        <v>0</v>
      </c>
      <c r="D355">
        <v>1.54738402</v>
      </c>
      <c r="E355">
        <f t="shared" si="175"/>
        <v>0</v>
      </c>
      <c r="F355">
        <f t="shared" si="176"/>
        <v>1.54738402</v>
      </c>
      <c r="G355">
        <f t="shared" si="177"/>
        <v>1.54738402</v>
      </c>
      <c r="H355">
        <f t="shared" si="178"/>
        <v>1.54738402</v>
      </c>
      <c r="I355">
        <f t="shared" si="179"/>
        <v>1.54738402</v>
      </c>
      <c r="J355">
        <f t="shared" si="180"/>
        <v>1.54738402</v>
      </c>
      <c r="K355" s="1">
        <f t="shared" si="181"/>
        <v>0</v>
      </c>
      <c r="L355" s="1">
        <f t="shared" si="182"/>
        <v>0</v>
      </c>
      <c r="M355" s="1">
        <f t="shared" si="183"/>
        <v>0</v>
      </c>
      <c r="N355" s="1">
        <f t="shared" si="184"/>
        <v>0</v>
      </c>
      <c r="O355" s="1">
        <f t="shared" si="185"/>
        <v>0</v>
      </c>
      <c r="P355" s="1">
        <f t="shared" si="186"/>
        <v>1</v>
      </c>
      <c r="Q355" s="1">
        <f t="shared" si="187"/>
        <v>1</v>
      </c>
      <c r="R355" s="1">
        <f t="shared" si="188"/>
        <v>1</v>
      </c>
      <c r="S355" s="1">
        <f t="shared" si="189"/>
        <v>1</v>
      </c>
      <c r="T355" s="1">
        <f t="shared" si="190"/>
        <v>1</v>
      </c>
      <c r="U355" s="1">
        <f t="shared" si="191"/>
        <v>1</v>
      </c>
      <c r="V355">
        <f t="shared" si="192"/>
        <v>71.48</v>
      </c>
      <c r="W355">
        <f t="shared" si="193"/>
        <v>76.489999999999995</v>
      </c>
      <c r="X355">
        <f t="shared" si="194"/>
        <v>52.14</v>
      </c>
      <c r="Y355">
        <f t="shared" si="195"/>
        <v>38.1</v>
      </c>
      <c r="Z355">
        <f t="shared" si="196"/>
        <v>32.120000000000005</v>
      </c>
      <c r="AA355">
        <f t="shared" si="197"/>
        <v>30.03</v>
      </c>
      <c r="AC355">
        <f t="shared" si="198"/>
        <v>85.25</v>
      </c>
      <c r="AD355">
        <f t="shared" si="199"/>
        <v>76.489999999999995</v>
      </c>
      <c r="AE355">
        <f t="shared" si="200"/>
        <v>64.17</v>
      </c>
      <c r="AF355">
        <f t="shared" si="201"/>
        <v>49.84</v>
      </c>
      <c r="AG355">
        <f t="shared" si="202"/>
        <v>48.34</v>
      </c>
      <c r="AH355">
        <f t="shared" si="203"/>
        <v>41.36</v>
      </c>
      <c r="AJ355">
        <f t="shared" si="204"/>
        <v>99.009999999999991</v>
      </c>
      <c r="AK355">
        <f t="shared" si="205"/>
        <v>90.94</v>
      </c>
      <c r="AL355">
        <f t="shared" si="206"/>
        <v>78.7</v>
      </c>
      <c r="AM355">
        <f t="shared" si="207"/>
        <v>67.430000000000007</v>
      </c>
      <c r="AN355">
        <f t="shared" si="208"/>
        <v>62.56</v>
      </c>
      <c r="AO355">
        <f t="shared" si="209"/>
        <v>55.19</v>
      </c>
    </row>
    <row r="356" spans="1:41" x14ac:dyDescent="0.45">
      <c r="A356">
        <v>37.140552919999998</v>
      </c>
      <c r="B356">
        <v>117.8761441</v>
      </c>
      <c r="C356">
        <v>18.32290459</v>
      </c>
      <c r="D356">
        <v>3.8501780000000001</v>
      </c>
      <c r="E356">
        <f t="shared" si="175"/>
        <v>3.8501780000000001</v>
      </c>
      <c r="F356">
        <f t="shared" si="176"/>
        <v>0</v>
      </c>
      <c r="G356">
        <f t="shared" si="177"/>
        <v>0</v>
      </c>
      <c r="H356">
        <f t="shared" si="178"/>
        <v>0</v>
      </c>
      <c r="I356">
        <f t="shared" si="179"/>
        <v>0</v>
      </c>
      <c r="J356">
        <f t="shared" si="180"/>
        <v>0</v>
      </c>
      <c r="K356" s="1">
        <f t="shared" si="181"/>
        <v>0</v>
      </c>
      <c r="L356" s="1">
        <f t="shared" si="182"/>
        <v>0</v>
      </c>
      <c r="M356" s="1">
        <f t="shared" si="183"/>
        <v>0</v>
      </c>
      <c r="N356" s="1">
        <f t="shared" si="184"/>
        <v>0</v>
      </c>
      <c r="O356" s="1">
        <f t="shared" si="185"/>
        <v>0</v>
      </c>
      <c r="P356" s="1">
        <f t="shared" si="186"/>
        <v>25</v>
      </c>
      <c r="Q356" s="1" t="e">
        <f t="shared" si="187"/>
        <v>#DIV/0!</v>
      </c>
      <c r="R356" s="1" t="e">
        <f t="shared" si="188"/>
        <v>#DIV/0!</v>
      </c>
      <c r="S356" s="1" t="e">
        <f t="shared" si="189"/>
        <v>#DIV/0!</v>
      </c>
      <c r="T356" s="1" t="e">
        <f t="shared" si="190"/>
        <v>#DIV/0!</v>
      </c>
      <c r="U356" s="1" t="e">
        <f t="shared" si="191"/>
        <v>#DIV/0!</v>
      </c>
      <c r="V356">
        <f t="shared" si="192"/>
        <v>851.48</v>
      </c>
      <c r="W356">
        <f t="shared" si="193"/>
        <v>0</v>
      </c>
      <c r="X356">
        <f t="shared" si="194"/>
        <v>0</v>
      </c>
      <c r="Y356">
        <f t="shared" si="195"/>
        <v>0</v>
      </c>
      <c r="Z356">
        <f t="shared" si="196"/>
        <v>0</v>
      </c>
      <c r="AA356">
        <f t="shared" si="197"/>
        <v>0</v>
      </c>
      <c r="AC356">
        <f t="shared" si="198"/>
        <v>1045.25</v>
      </c>
      <c r="AD356">
        <f t="shared" si="199"/>
        <v>0</v>
      </c>
      <c r="AE356">
        <f t="shared" si="200"/>
        <v>0</v>
      </c>
      <c r="AF356">
        <f t="shared" si="201"/>
        <v>0</v>
      </c>
      <c r="AG356">
        <f t="shared" si="202"/>
        <v>0</v>
      </c>
      <c r="AH356">
        <f t="shared" si="203"/>
        <v>0</v>
      </c>
      <c r="AJ356">
        <f t="shared" si="204"/>
        <v>1239.01</v>
      </c>
      <c r="AK356">
        <f t="shared" si="205"/>
        <v>0</v>
      </c>
      <c r="AL356">
        <f t="shared" si="206"/>
        <v>0</v>
      </c>
      <c r="AM356">
        <f t="shared" si="207"/>
        <v>0</v>
      </c>
      <c r="AN356">
        <f t="shared" si="208"/>
        <v>0</v>
      </c>
      <c r="AO356">
        <f t="shared" si="209"/>
        <v>0</v>
      </c>
    </row>
    <row r="357" spans="1:41" x14ac:dyDescent="0.45">
      <c r="A357">
        <v>37.15172424</v>
      </c>
      <c r="B357">
        <v>117.7623473</v>
      </c>
      <c r="C357">
        <v>18.32290459</v>
      </c>
      <c r="D357">
        <v>8.7413000000000005E-2</v>
      </c>
      <c r="E357">
        <f t="shared" si="175"/>
        <v>8.7413000000000005E-2</v>
      </c>
      <c r="F357">
        <f t="shared" si="176"/>
        <v>0</v>
      </c>
      <c r="G357">
        <f t="shared" si="177"/>
        <v>0</v>
      </c>
      <c r="H357">
        <f t="shared" si="178"/>
        <v>0</v>
      </c>
      <c r="I357">
        <f t="shared" si="179"/>
        <v>0</v>
      </c>
      <c r="J357">
        <f t="shared" si="180"/>
        <v>0</v>
      </c>
      <c r="K357" s="1">
        <f t="shared" si="181"/>
        <v>0</v>
      </c>
      <c r="L357" s="1">
        <f t="shared" si="182"/>
        <v>0</v>
      </c>
      <c r="M357" s="1">
        <f t="shared" si="183"/>
        <v>0</v>
      </c>
      <c r="N357" s="1">
        <f t="shared" si="184"/>
        <v>0</v>
      </c>
      <c r="O357" s="1">
        <f t="shared" si="185"/>
        <v>0</v>
      </c>
      <c r="P357" s="1">
        <f t="shared" si="186"/>
        <v>25</v>
      </c>
      <c r="Q357" s="1" t="e">
        <f t="shared" si="187"/>
        <v>#DIV/0!</v>
      </c>
      <c r="R357" s="1" t="e">
        <f t="shared" si="188"/>
        <v>#DIV/0!</v>
      </c>
      <c r="S357" s="1" t="e">
        <f t="shared" si="189"/>
        <v>#DIV/0!</v>
      </c>
      <c r="T357" s="1" t="e">
        <f t="shared" si="190"/>
        <v>#DIV/0!</v>
      </c>
      <c r="U357" s="1" t="e">
        <f t="shared" si="191"/>
        <v>#DIV/0!</v>
      </c>
      <c r="V357">
        <f t="shared" si="192"/>
        <v>851.48</v>
      </c>
      <c r="W357">
        <f t="shared" si="193"/>
        <v>0</v>
      </c>
      <c r="X357">
        <f t="shared" si="194"/>
        <v>0</v>
      </c>
      <c r="Y357">
        <f t="shared" si="195"/>
        <v>0</v>
      </c>
      <c r="Z357">
        <f t="shared" si="196"/>
        <v>0</v>
      </c>
      <c r="AA357">
        <f t="shared" si="197"/>
        <v>0</v>
      </c>
      <c r="AC357">
        <f t="shared" si="198"/>
        <v>1045.25</v>
      </c>
      <c r="AD357">
        <f t="shared" si="199"/>
        <v>0</v>
      </c>
      <c r="AE357">
        <f t="shared" si="200"/>
        <v>0</v>
      </c>
      <c r="AF357">
        <f t="shared" si="201"/>
        <v>0</v>
      </c>
      <c r="AG357">
        <f t="shared" si="202"/>
        <v>0</v>
      </c>
      <c r="AH357">
        <f t="shared" si="203"/>
        <v>0</v>
      </c>
      <c r="AJ357">
        <f t="shared" si="204"/>
        <v>1239.01</v>
      </c>
      <c r="AK357">
        <f t="shared" si="205"/>
        <v>0</v>
      </c>
      <c r="AL357">
        <f t="shared" si="206"/>
        <v>0</v>
      </c>
      <c r="AM357">
        <f t="shared" si="207"/>
        <v>0</v>
      </c>
      <c r="AN357">
        <f t="shared" si="208"/>
        <v>0</v>
      </c>
      <c r="AO357">
        <f t="shared" si="209"/>
        <v>0</v>
      </c>
    </row>
    <row r="358" spans="1:41" x14ac:dyDescent="0.45">
      <c r="A358">
        <v>37.163420270000003</v>
      </c>
      <c r="B358">
        <v>118.1107848</v>
      </c>
      <c r="C358">
        <v>21.771209720000002</v>
      </c>
      <c r="D358">
        <v>3.2437488999999999</v>
      </c>
      <c r="E358">
        <f t="shared" si="175"/>
        <v>3.2437488999999999</v>
      </c>
      <c r="F358">
        <f t="shared" si="176"/>
        <v>0</v>
      </c>
      <c r="G358">
        <f t="shared" si="177"/>
        <v>0</v>
      </c>
      <c r="H358">
        <f t="shared" si="178"/>
        <v>0</v>
      </c>
      <c r="I358">
        <f t="shared" si="179"/>
        <v>0</v>
      </c>
      <c r="J358">
        <f t="shared" si="180"/>
        <v>0</v>
      </c>
      <c r="K358" s="1">
        <f t="shared" si="181"/>
        <v>0</v>
      </c>
      <c r="L358" s="1">
        <f t="shared" si="182"/>
        <v>0</v>
      </c>
      <c r="M358" s="1">
        <f t="shared" si="183"/>
        <v>0</v>
      </c>
      <c r="N358" s="1">
        <f t="shared" si="184"/>
        <v>0</v>
      </c>
      <c r="O358" s="1">
        <f t="shared" si="185"/>
        <v>0</v>
      </c>
      <c r="P358" s="1">
        <f t="shared" si="186"/>
        <v>25</v>
      </c>
      <c r="Q358" s="1" t="e">
        <f t="shared" si="187"/>
        <v>#DIV/0!</v>
      </c>
      <c r="R358" s="1" t="e">
        <f t="shared" si="188"/>
        <v>#DIV/0!</v>
      </c>
      <c r="S358" s="1" t="e">
        <f t="shared" si="189"/>
        <v>#DIV/0!</v>
      </c>
      <c r="T358" s="1" t="e">
        <f t="shared" si="190"/>
        <v>#DIV/0!</v>
      </c>
      <c r="U358" s="1" t="e">
        <f t="shared" si="191"/>
        <v>#DIV/0!</v>
      </c>
      <c r="V358">
        <f t="shared" si="192"/>
        <v>851.48</v>
      </c>
      <c r="W358">
        <f t="shared" si="193"/>
        <v>0</v>
      </c>
      <c r="X358">
        <f t="shared" si="194"/>
        <v>0</v>
      </c>
      <c r="Y358">
        <f t="shared" si="195"/>
        <v>0</v>
      </c>
      <c r="Z358">
        <f t="shared" si="196"/>
        <v>0</v>
      </c>
      <c r="AA358">
        <f t="shared" si="197"/>
        <v>0</v>
      </c>
      <c r="AC358">
        <f t="shared" si="198"/>
        <v>1045.25</v>
      </c>
      <c r="AD358">
        <f t="shared" si="199"/>
        <v>0</v>
      </c>
      <c r="AE358">
        <f t="shared" si="200"/>
        <v>0</v>
      </c>
      <c r="AF358">
        <f t="shared" si="201"/>
        <v>0</v>
      </c>
      <c r="AG358">
        <f t="shared" si="202"/>
        <v>0</v>
      </c>
      <c r="AH358">
        <f t="shared" si="203"/>
        <v>0</v>
      </c>
      <c r="AJ358">
        <f t="shared" si="204"/>
        <v>1239.01</v>
      </c>
      <c r="AK358">
        <f t="shared" si="205"/>
        <v>0</v>
      </c>
      <c r="AL358">
        <f t="shared" si="206"/>
        <v>0</v>
      </c>
      <c r="AM358">
        <f t="shared" si="207"/>
        <v>0</v>
      </c>
      <c r="AN358">
        <f t="shared" si="208"/>
        <v>0</v>
      </c>
      <c r="AO358">
        <f t="shared" si="209"/>
        <v>0</v>
      </c>
    </row>
    <row r="359" spans="1:41" x14ac:dyDescent="0.45">
      <c r="A359">
        <v>37.169104320000002</v>
      </c>
      <c r="B359">
        <v>106.8411931</v>
      </c>
      <c r="C359">
        <v>0</v>
      </c>
      <c r="D359">
        <v>0.18582699999999999</v>
      </c>
      <c r="E359">
        <f t="shared" si="175"/>
        <v>0</v>
      </c>
      <c r="F359">
        <f t="shared" si="176"/>
        <v>0.18582699999999999</v>
      </c>
      <c r="G359">
        <f t="shared" si="177"/>
        <v>0.18582699999999999</v>
      </c>
      <c r="H359">
        <f t="shared" si="178"/>
        <v>0.18582699999999999</v>
      </c>
      <c r="I359">
        <f t="shared" si="179"/>
        <v>0.18582699999999999</v>
      </c>
      <c r="J359">
        <f t="shared" si="180"/>
        <v>0.18582699999999999</v>
      </c>
      <c r="K359" s="1">
        <f t="shared" si="181"/>
        <v>0</v>
      </c>
      <c r="L359" s="1">
        <f t="shared" si="182"/>
        <v>0</v>
      </c>
      <c r="M359" s="1">
        <f t="shared" si="183"/>
        <v>0</v>
      </c>
      <c r="N359" s="1">
        <f t="shared" si="184"/>
        <v>0</v>
      </c>
      <c r="O359" s="1">
        <f t="shared" si="185"/>
        <v>0</v>
      </c>
      <c r="P359" s="1">
        <f t="shared" si="186"/>
        <v>1</v>
      </c>
      <c r="Q359" s="1">
        <f t="shared" si="187"/>
        <v>1</v>
      </c>
      <c r="R359" s="1">
        <f t="shared" si="188"/>
        <v>1</v>
      </c>
      <c r="S359" s="1">
        <f t="shared" si="189"/>
        <v>1</v>
      </c>
      <c r="T359" s="1">
        <f t="shared" si="190"/>
        <v>1</v>
      </c>
      <c r="U359" s="1">
        <f t="shared" si="191"/>
        <v>1</v>
      </c>
      <c r="V359">
        <f t="shared" si="192"/>
        <v>71.48</v>
      </c>
      <c r="W359">
        <f t="shared" si="193"/>
        <v>76.489999999999995</v>
      </c>
      <c r="X359">
        <f t="shared" si="194"/>
        <v>52.14</v>
      </c>
      <c r="Y359">
        <f t="shared" si="195"/>
        <v>38.1</v>
      </c>
      <c r="Z359">
        <f t="shared" si="196"/>
        <v>32.120000000000005</v>
      </c>
      <c r="AA359">
        <f t="shared" si="197"/>
        <v>30.03</v>
      </c>
      <c r="AC359">
        <f t="shared" si="198"/>
        <v>85.25</v>
      </c>
      <c r="AD359">
        <f t="shared" si="199"/>
        <v>76.489999999999995</v>
      </c>
      <c r="AE359">
        <f t="shared" si="200"/>
        <v>64.17</v>
      </c>
      <c r="AF359">
        <f t="shared" si="201"/>
        <v>49.84</v>
      </c>
      <c r="AG359">
        <f t="shared" si="202"/>
        <v>48.34</v>
      </c>
      <c r="AH359">
        <f t="shared" si="203"/>
        <v>41.36</v>
      </c>
      <c r="AJ359">
        <f t="shared" si="204"/>
        <v>99.009999999999991</v>
      </c>
      <c r="AK359">
        <f t="shared" si="205"/>
        <v>90.94</v>
      </c>
      <c r="AL359">
        <f t="shared" si="206"/>
        <v>78.7</v>
      </c>
      <c r="AM359">
        <f t="shared" si="207"/>
        <v>67.430000000000007</v>
      </c>
      <c r="AN359">
        <f t="shared" si="208"/>
        <v>62.56</v>
      </c>
      <c r="AO359">
        <f t="shared" si="209"/>
        <v>55.19</v>
      </c>
    </row>
    <row r="360" spans="1:41" x14ac:dyDescent="0.45">
      <c r="A360">
        <v>37.174279390000002</v>
      </c>
      <c r="B360">
        <v>109.2503574</v>
      </c>
      <c r="C360">
        <v>0.55589759000000005</v>
      </c>
      <c r="D360">
        <v>2.6454040999999999</v>
      </c>
      <c r="E360">
        <f t="shared" si="175"/>
        <v>0.55589759000000005</v>
      </c>
      <c r="F360">
        <f t="shared" si="176"/>
        <v>0</v>
      </c>
      <c r="G360">
        <f t="shared" si="177"/>
        <v>0</v>
      </c>
      <c r="H360">
        <f t="shared" si="178"/>
        <v>0</v>
      </c>
      <c r="I360">
        <f t="shared" si="179"/>
        <v>0</v>
      </c>
      <c r="J360">
        <f t="shared" si="180"/>
        <v>0</v>
      </c>
      <c r="K360" s="1">
        <f t="shared" si="181"/>
        <v>0</v>
      </c>
      <c r="L360" s="1">
        <f t="shared" si="182"/>
        <v>0</v>
      </c>
      <c r="M360" s="1">
        <f t="shared" si="183"/>
        <v>0</v>
      </c>
      <c r="N360" s="1">
        <f t="shared" si="184"/>
        <v>0</v>
      </c>
      <c r="O360" s="1">
        <f t="shared" si="185"/>
        <v>0</v>
      </c>
      <c r="P360" s="1">
        <f t="shared" si="186"/>
        <v>5.2534279167405851</v>
      </c>
      <c r="Q360" s="1" t="e">
        <f t="shared" si="187"/>
        <v>#DIV/0!</v>
      </c>
      <c r="R360" s="1" t="e">
        <f t="shared" si="188"/>
        <v>#DIV/0!</v>
      </c>
      <c r="S360" s="1" t="e">
        <f t="shared" si="189"/>
        <v>#DIV/0!</v>
      </c>
      <c r="T360" s="1" t="e">
        <f t="shared" si="190"/>
        <v>#DIV/0!</v>
      </c>
      <c r="U360" s="1" t="e">
        <f t="shared" si="191"/>
        <v>#DIV/0!</v>
      </c>
      <c r="V360">
        <f t="shared" si="192"/>
        <v>209.71640729406903</v>
      </c>
      <c r="W360">
        <f t="shared" si="193"/>
        <v>0</v>
      </c>
      <c r="X360">
        <f t="shared" si="194"/>
        <v>0</v>
      </c>
      <c r="Y360">
        <f t="shared" si="195"/>
        <v>0</v>
      </c>
      <c r="Z360">
        <f t="shared" si="196"/>
        <v>0</v>
      </c>
      <c r="AA360">
        <f t="shared" si="197"/>
        <v>0</v>
      </c>
      <c r="AC360">
        <f t="shared" si="198"/>
        <v>255.3871166696234</v>
      </c>
      <c r="AD360">
        <f t="shared" si="199"/>
        <v>0</v>
      </c>
      <c r="AE360">
        <f t="shared" si="200"/>
        <v>0</v>
      </c>
      <c r="AF360">
        <f t="shared" si="201"/>
        <v>0</v>
      </c>
      <c r="AG360">
        <f t="shared" si="202"/>
        <v>0</v>
      </c>
      <c r="AH360">
        <f t="shared" si="203"/>
        <v>0</v>
      </c>
      <c r="AJ360">
        <f t="shared" si="204"/>
        <v>301.04782604517777</v>
      </c>
      <c r="AK360">
        <f t="shared" si="205"/>
        <v>0</v>
      </c>
      <c r="AL360">
        <f t="shared" si="206"/>
        <v>0</v>
      </c>
      <c r="AM360">
        <f t="shared" si="207"/>
        <v>0</v>
      </c>
      <c r="AN360">
        <f t="shared" si="208"/>
        <v>0</v>
      </c>
      <c r="AO360">
        <f t="shared" si="209"/>
        <v>0</v>
      </c>
    </row>
    <row r="361" spans="1:41" x14ac:dyDescent="0.45">
      <c r="A361">
        <v>37.179985860000002</v>
      </c>
      <c r="B361">
        <v>118.4024471</v>
      </c>
      <c r="C361">
        <v>152.459259</v>
      </c>
      <c r="D361">
        <v>6.7695441199999999</v>
      </c>
      <c r="E361">
        <f t="shared" si="175"/>
        <v>6.7695441199999999</v>
      </c>
      <c r="F361">
        <f t="shared" si="176"/>
        <v>0</v>
      </c>
      <c r="G361">
        <f t="shared" si="177"/>
        <v>0</v>
      </c>
      <c r="H361">
        <f t="shared" si="178"/>
        <v>0</v>
      </c>
      <c r="I361">
        <f t="shared" si="179"/>
        <v>0</v>
      </c>
      <c r="J361">
        <f t="shared" si="180"/>
        <v>0</v>
      </c>
      <c r="K361" s="1">
        <f t="shared" si="181"/>
        <v>0</v>
      </c>
      <c r="L361" s="1">
        <f t="shared" si="182"/>
        <v>0</v>
      </c>
      <c r="M361" s="1">
        <f t="shared" si="183"/>
        <v>0</v>
      </c>
      <c r="N361" s="1">
        <f t="shared" si="184"/>
        <v>0</v>
      </c>
      <c r="O361" s="1">
        <f t="shared" si="185"/>
        <v>0</v>
      </c>
      <c r="P361" s="1">
        <f t="shared" si="186"/>
        <v>25.000000000000004</v>
      </c>
      <c r="Q361" s="1" t="e">
        <f t="shared" si="187"/>
        <v>#DIV/0!</v>
      </c>
      <c r="R361" s="1" t="e">
        <f t="shared" si="188"/>
        <v>#DIV/0!</v>
      </c>
      <c r="S361" s="1" t="e">
        <f t="shared" si="189"/>
        <v>#DIV/0!</v>
      </c>
      <c r="T361" s="1" t="e">
        <f t="shared" si="190"/>
        <v>#DIV/0!</v>
      </c>
      <c r="U361" s="1" t="e">
        <f t="shared" si="191"/>
        <v>#DIV/0!</v>
      </c>
      <c r="V361">
        <f t="shared" si="192"/>
        <v>851.48000000000013</v>
      </c>
      <c r="W361">
        <f t="shared" si="193"/>
        <v>0</v>
      </c>
      <c r="X361">
        <f t="shared" si="194"/>
        <v>0</v>
      </c>
      <c r="Y361">
        <f t="shared" si="195"/>
        <v>0</v>
      </c>
      <c r="Z361">
        <f t="shared" si="196"/>
        <v>0</v>
      </c>
      <c r="AA361">
        <f t="shared" si="197"/>
        <v>0</v>
      </c>
      <c r="AC361">
        <f t="shared" si="198"/>
        <v>1045.25</v>
      </c>
      <c r="AD361">
        <f t="shared" si="199"/>
        <v>0</v>
      </c>
      <c r="AE361">
        <f t="shared" si="200"/>
        <v>0</v>
      </c>
      <c r="AF361">
        <f t="shared" si="201"/>
        <v>0</v>
      </c>
      <c r="AG361">
        <f t="shared" si="202"/>
        <v>0</v>
      </c>
      <c r="AH361">
        <f t="shared" si="203"/>
        <v>0</v>
      </c>
      <c r="AJ361">
        <f t="shared" si="204"/>
        <v>1239.0100000000002</v>
      </c>
      <c r="AK361">
        <f t="shared" si="205"/>
        <v>0</v>
      </c>
      <c r="AL361">
        <f t="shared" si="206"/>
        <v>0</v>
      </c>
      <c r="AM361">
        <f t="shared" si="207"/>
        <v>0</v>
      </c>
      <c r="AN361">
        <f t="shared" si="208"/>
        <v>0</v>
      </c>
      <c r="AO361">
        <f t="shared" si="209"/>
        <v>0</v>
      </c>
    </row>
    <row r="362" spans="1:41" x14ac:dyDescent="0.45">
      <c r="A362">
        <v>37.180220650000003</v>
      </c>
      <c r="B362">
        <v>109.02108699999999</v>
      </c>
      <c r="C362">
        <v>2.8402893499999999</v>
      </c>
      <c r="D362">
        <v>4.7013421099999997</v>
      </c>
      <c r="E362">
        <f t="shared" si="175"/>
        <v>2.8402893499999999</v>
      </c>
      <c r="F362">
        <f t="shared" si="176"/>
        <v>0</v>
      </c>
      <c r="G362">
        <f t="shared" si="177"/>
        <v>0</v>
      </c>
      <c r="H362">
        <f t="shared" si="178"/>
        <v>0</v>
      </c>
      <c r="I362">
        <f t="shared" si="179"/>
        <v>0</v>
      </c>
      <c r="J362">
        <f t="shared" si="180"/>
        <v>0</v>
      </c>
      <c r="K362" s="1">
        <f t="shared" si="181"/>
        <v>0</v>
      </c>
      <c r="L362" s="1">
        <f t="shared" si="182"/>
        <v>0</v>
      </c>
      <c r="M362" s="1">
        <f t="shared" si="183"/>
        <v>0</v>
      </c>
      <c r="N362" s="1">
        <f t="shared" si="184"/>
        <v>0</v>
      </c>
      <c r="O362" s="1">
        <f t="shared" si="185"/>
        <v>0</v>
      </c>
      <c r="P362" s="1">
        <f t="shared" si="186"/>
        <v>15.103609158534519</v>
      </c>
      <c r="Q362" s="1" t="e">
        <f t="shared" si="187"/>
        <v>#DIV/0!</v>
      </c>
      <c r="R362" s="1" t="e">
        <f t="shared" si="188"/>
        <v>#DIV/0!</v>
      </c>
      <c r="S362" s="1" t="e">
        <f t="shared" si="189"/>
        <v>#DIV/0!</v>
      </c>
      <c r="T362" s="1" t="e">
        <f t="shared" si="190"/>
        <v>#DIV/0!</v>
      </c>
      <c r="U362" s="1" t="e">
        <f t="shared" si="191"/>
        <v>#DIV/0!</v>
      </c>
      <c r="V362">
        <f t="shared" si="192"/>
        <v>529.84729765237182</v>
      </c>
      <c r="W362">
        <f t="shared" si="193"/>
        <v>0</v>
      </c>
      <c r="X362">
        <f t="shared" si="194"/>
        <v>0</v>
      </c>
      <c r="Y362">
        <f t="shared" si="195"/>
        <v>0</v>
      </c>
      <c r="Z362">
        <f t="shared" si="196"/>
        <v>0</v>
      </c>
      <c r="AA362">
        <f t="shared" si="197"/>
        <v>0</v>
      </c>
      <c r="AC362">
        <f t="shared" si="198"/>
        <v>649.39436634138076</v>
      </c>
      <c r="AD362">
        <f t="shared" si="199"/>
        <v>0</v>
      </c>
      <c r="AE362">
        <f t="shared" si="200"/>
        <v>0</v>
      </c>
      <c r="AF362">
        <f t="shared" si="201"/>
        <v>0</v>
      </c>
      <c r="AG362">
        <f t="shared" si="202"/>
        <v>0</v>
      </c>
      <c r="AH362">
        <f t="shared" si="203"/>
        <v>0</v>
      </c>
      <c r="AJ362">
        <f t="shared" si="204"/>
        <v>768.93143503038971</v>
      </c>
      <c r="AK362">
        <f t="shared" si="205"/>
        <v>0</v>
      </c>
      <c r="AL362">
        <f t="shared" si="206"/>
        <v>0</v>
      </c>
      <c r="AM362">
        <f t="shared" si="207"/>
        <v>0</v>
      </c>
      <c r="AN362">
        <f t="shared" si="208"/>
        <v>0</v>
      </c>
      <c r="AO362">
        <f t="shared" si="209"/>
        <v>0</v>
      </c>
    </row>
    <row r="363" spans="1:41" x14ac:dyDescent="0.45">
      <c r="A363">
        <v>37.191699100000001</v>
      </c>
      <c r="B363">
        <v>117.82623150000001</v>
      </c>
      <c r="C363">
        <v>18.32290459</v>
      </c>
      <c r="D363">
        <v>2.00331306</v>
      </c>
      <c r="E363">
        <f t="shared" si="175"/>
        <v>2.00331306</v>
      </c>
      <c r="F363">
        <f t="shared" si="176"/>
        <v>0</v>
      </c>
      <c r="G363">
        <f t="shared" si="177"/>
        <v>0</v>
      </c>
      <c r="H363">
        <f t="shared" si="178"/>
        <v>0</v>
      </c>
      <c r="I363">
        <f t="shared" si="179"/>
        <v>0</v>
      </c>
      <c r="J363">
        <f t="shared" si="180"/>
        <v>0</v>
      </c>
      <c r="K363" s="1">
        <f t="shared" si="181"/>
        <v>0</v>
      </c>
      <c r="L363" s="1">
        <f t="shared" si="182"/>
        <v>0</v>
      </c>
      <c r="M363" s="1">
        <f t="shared" si="183"/>
        <v>0</v>
      </c>
      <c r="N363" s="1">
        <f t="shared" si="184"/>
        <v>0</v>
      </c>
      <c r="O363" s="1">
        <f t="shared" si="185"/>
        <v>0</v>
      </c>
      <c r="P363" s="1">
        <f t="shared" si="186"/>
        <v>25</v>
      </c>
      <c r="Q363" s="1" t="e">
        <f t="shared" si="187"/>
        <v>#DIV/0!</v>
      </c>
      <c r="R363" s="1" t="e">
        <f t="shared" si="188"/>
        <v>#DIV/0!</v>
      </c>
      <c r="S363" s="1" t="e">
        <f t="shared" si="189"/>
        <v>#DIV/0!</v>
      </c>
      <c r="T363" s="1" t="e">
        <f t="shared" si="190"/>
        <v>#DIV/0!</v>
      </c>
      <c r="U363" s="1" t="e">
        <f t="shared" si="191"/>
        <v>#DIV/0!</v>
      </c>
      <c r="V363">
        <f t="shared" si="192"/>
        <v>851.48</v>
      </c>
      <c r="W363">
        <f t="shared" si="193"/>
        <v>0</v>
      </c>
      <c r="X363">
        <f t="shared" si="194"/>
        <v>0</v>
      </c>
      <c r="Y363">
        <f t="shared" si="195"/>
        <v>0</v>
      </c>
      <c r="Z363">
        <f t="shared" si="196"/>
        <v>0</v>
      </c>
      <c r="AA363">
        <f t="shared" si="197"/>
        <v>0</v>
      </c>
      <c r="AC363">
        <f t="shared" si="198"/>
        <v>1045.25</v>
      </c>
      <c r="AD363">
        <f t="shared" si="199"/>
        <v>0</v>
      </c>
      <c r="AE363">
        <f t="shared" si="200"/>
        <v>0</v>
      </c>
      <c r="AF363">
        <f t="shared" si="201"/>
        <v>0</v>
      </c>
      <c r="AG363">
        <f t="shared" si="202"/>
        <v>0</v>
      </c>
      <c r="AH363">
        <f t="shared" si="203"/>
        <v>0</v>
      </c>
      <c r="AJ363">
        <f t="shared" si="204"/>
        <v>1239.01</v>
      </c>
      <c r="AK363">
        <f t="shared" si="205"/>
        <v>0</v>
      </c>
      <c r="AL363">
        <f t="shared" si="206"/>
        <v>0</v>
      </c>
      <c r="AM363">
        <f t="shared" si="207"/>
        <v>0</v>
      </c>
      <c r="AN363">
        <f t="shared" si="208"/>
        <v>0</v>
      </c>
      <c r="AO363">
        <f t="shared" si="209"/>
        <v>0</v>
      </c>
    </row>
    <row r="364" spans="1:41" x14ac:dyDescent="0.45">
      <c r="A364">
        <v>37.196748720000002</v>
      </c>
      <c r="B364">
        <v>116.7874082</v>
      </c>
      <c r="C364">
        <v>0</v>
      </c>
      <c r="D364">
        <v>39.648090359999998</v>
      </c>
      <c r="E364">
        <f t="shared" si="175"/>
        <v>0</v>
      </c>
      <c r="F364">
        <f t="shared" si="176"/>
        <v>39.648090359999998</v>
      </c>
      <c r="G364">
        <f t="shared" si="177"/>
        <v>39.648090359999998</v>
      </c>
      <c r="H364">
        <f t="shared" si="178"/>
        <v>39.648090359999998</v>
      </c>
      <c r="I364">
        <f t="shared" si="179"/>
        <v>39.648090359999998</v>
      </c>
      <c r="J364">
        <f t="shared" si="180"/>
        <v>39.648090359999998</v>
      </c>
      <c r="K364" s="1">
        <f t="shared" si="181"/>
        <v>0</v>
      </c>
      <c r="L364" s="1">
        <f t="shared" si="182"/>
        <v>0</v>
      </c>
      <c r="M364" s="1">
        <f t="shared" si="183"/>
        <v>0</v>
      </c>
      <c r="N364" s="1">
        <f t="shared" si="184"/>
        <v>0</v>
      </c>
      <c r="O364" s="1">
        <f t="shared" si="185"/>
        <v>0</v>
      </c>
      <c r="P364" s="1">
        <f t="shared" si="186"/>
        <v>1</v>
      </c>
      <c r="Q364" s="1">
        <f t="shared" si="187"/>
        <v>1</v>
      </c>
      <c r="R364" s="1">
        <f t="shared" si="188"/>
        <v>1</v>
      </c>
      <c r="S364" s="1">
        <f t="shared" si="189"/>
        <v>1</v>
      </c>
      <c r="T364" s="1">
        <f t="shared" si="190"/>
        <v>1</v>
      </c>
      <c r="U364" s="1">
        <f t="shared" si="191"/>
        <v>1</v>
      </c>
      <c r="V364">
        <f t="shared" si="192"/>
        <v>71.48</v>
      </c>
      <c r="W364">
        <f t="shared" si="193"/>
        <v>76.489999999999995</v>
      </c>
      <c r="X364">
        <f t="shared" si="194"/>
        <v>52.14</v>
      </c>
      <c r="Y364">
        <f t="shared" si="195"/>
        <v>38.1</v>
      </c>
      <c r="Z364">
        <f t="shared" si="196"/>
        <v>32.120000000000005</v>
      </c>
      <c r="AA364">
        <f t="shared" si="197"/>
        <v>30.03</v>
      </c>
      <c r="AC364">
        <f t="shared" si="198"/>
        <v>85.25</v>
      </c>
      <c r="AD364">
        <f t="shared" si="199"/>
        <v>76.489999999999995</v>
      </c>
      <c r="AE364">
        <f t="shared" si="200"/>
        <v>64.17</v>
      </c>
      <c r="AF364">
        <f t="shared" si="201"/>
        <v>49.84</v>
      </c>
      <c r="AG364">
        <f t="shared" si="202"/>
        <v>48.34</v>
      </c>
      <c r="AH364">
        <f t="shared" si="203"/>
        <v>41.36</v>
      </c>
      <c r="AJ364">
        <f t="shared" si="204"/>
        <v>99.009999999999991</v>
      </c>
      <c r="AK364">
        <f t="shared" si="205"/>
        <v>90.94</v>
      </c>
      <c r="AL364">
        <f t="shared" si="206"/>
        <v>78.7</v>
      </c>
      <c r="AM364">
        <f t="shared" si="207"/>
        <v>67.430000000000007</v>
      </c>
      <c r="AN364">
        <f t="shared" si="208"/>
        <v>62.56</v>
      </c>
      <c r="AO364">
        <f t="shared" si="209"/>
        <v>55.19</v>
      </c>
    </row>
    <row r="365" spans="1:41" x14ac:dyDescent="0.45">
      <c r="A365">
        <v>37.20062471</v>
      </c>
      <c r="B365">
        <v>108.0463408</v>
      </c>
      <c r="C365">
        <v>1.38540113</v>
      </c>
      <c r="D365">
        <v>3.69812202</v>
      </c>
      <c r="E365">
        <f t="shared" si="175"/>
        <v>1.38540113</v>
      </c>
      <c r="F365">
        <f t="shared" si="176"/>
        <v>0</v>
      </c>
      <c r="G365">
        <f t="shared" si="177"/>
        <v>0</v>
      </c>
      <c r="H365">
        <f t="shared" si="178"/>
        <v>0</v>
      </c>
      <c r="I365">
        <f t="shared" si="179"/>
        <v>0</v>
      </c>
      <c r="J365">
        <f t="shared" si="180"/>
        <v>0</v>
      </c>
      <c r="K365" s="1">
        <f t="shared" si="181"/>
        <v>0</v>
      </c>
      <c r="L365" s="1">
        <f t="shared" si="182"/>
        <v>0</v>
      </c>
      <c r="M365" s="1">
        <f t="shared" si="183"/>
        <v>0</v>
      </c>
      <c r="N365" s="1">
        <f t="shared" si="184"/>
        <v>0</v>
      </c>
      <c r="O365" s="1">
        <f t="shared" si="185"/>
        <v>0</v>
      </c>
      <c r="P365" s="1">
        <f t="shared" si="186"/>
        <v>9.3655720559485474</v>
      </c>
      <c r="Q365" s="1" t="e">
        <f t="shared" si="187"/>
        <v>#DIV/0!</v>
      </c>
      <c r="R365" s="1" t="e">
        <f t="shared" si="188"/>
        <v>#DIV/0!</v>
      </c>
      <c r="S365" s="1" t="e">
        <f t="shared" si="189"/>
        <v>#DIV/0!</v>
      </c>
      <c r="T365" s="1" t="e">
        <f t="shared" si="190"/>
        <v>#DIV/0!</v>
      </c>
      <c r="U365" s="1" t="e">
        <f t="shared" si="191"/>
        <v>#DIV/0!</v>
      </c>
      <c r="V365">
        <f t="shared" si="192"/>
        <v>343.36109181832779</v>
      </c>
      <c r="W365">
        <f t="shared" si="193"/>
        <v>0</v>
      </c>
      <c r="X365">
        <f t="shared" si="194"/>
        <v>0</v>
      </c>
      <c r="Y365">
        <f t="shared" si="195"/>
        <v>0</v>
      </c>
      <c r="Z365">
        <f t="shared" si="196"/>
        <v>0</v>
      </c>
      <c r="AA365">
        <f t="shared" si="197"/>
        <v>0</v>
      </c>
      <c r="AC365">
        <f t="shared" si="198"/>
        <v>419.87288223794189</v>
      </c>
      <c r="AD365">
        <f t="shared" si="199"/>
        <v>0</v>
      </c>
      <c r="AE365">
        <f t="shared" si="200"/>
        <v>0</v>
      </c>
      <c r="AF365">
        <f t="shared" si="201"/>
        <v>0</v>
      </c>
      <c r="AG365">
        <f t="shared" si="202"/>
        <v>0</v>
      </c>
      <c r="AH365">
        <f t="shared" si="203"/>
        <v>0</v>
      </c>
      <c r="AJ365">
        <f t="shared" si="204"/>
        <v>496.374672657556</v>
      </c>
      <c r="AK365">
        <f t="shared" si="205"/>
        <v>0</v>
      </c>
      <c r="AL365">
        <f t="shared" si="206"/>
        <v>0</v>
      </c>
      <c r="AM365">
        <f t="shared" si="207"/>
        <v>0</v>
      </c>
      <c r="AN365">
        <f t="shared" si="208"/>
        <v>0</v>
      </c>
      <c r="AO365">
        <f t="shared" si="209"/>
        <v>0</v>
      </c>
    </row>
    <row r="366" spans="1:41" x14ac:dyDescent="0.45">
      <c r="A366">
        <v>37.210301219999998</v>
      </c>
      <c r="B366">
        <v>107.3580233</v>
      </c>
      <c r="C366">
        <v>1.38540113</v>
      </c>
      <c r="D366">
        <v>221.55906680000001</v>
      </c>
      <c r="E366">
        <f t="shared" si="175"/>
        <v>1.38540113</v>
      </c>
      <c r="F366">
        <f t="shared" si="176"/>
        <v>214.63206115</v>
      </c>
      <c r="G366">
        <f t="shared" si="177"/>
        <v>207.70505550000001</v>
      </c>
      <c r="H366">
        <f t="shared" si="178"/>
        <v>200.77804985</v>
      </c>
      <c r="I366">
        <f t="shared" si="179"/>
        <v>193.85104420000002</v>
      </c>
      <c r="J366">
        <f t="shared" si="180"/>
        <v>186.92403855000001</v>
      </c>
      <c r="K366" s="1">
        <f t="shared" si="181"/>
        <v>1.38540113</v>
      </c>
      <c r="L366" s="1">
        <f t="shared" si="182"/>
        <v>1.38540113</v>
      </c>
      <c r="M366" s="1">
        <f t="shared" si="183"/>
        <v>1.38540113</v>
      </c>
      <c r="N366" s="1">
        <f t="shared" si="184"/>
        <v>1.38540113</v>
      </c>
      <c r="O366" s="1">
        <f t="shared" si="185"/>
        <v>1.38540113</v>
      </c>
      <c r="P366" s="1">
        <f t="shared" si="186"/>
        <v>1</v>
      </c>
      <c r="Q366" s="1">
        <f t="shared" si="187"/>
        <v>1</v>
      </c>
      <c r="R366" s="1">
        <f t="shared" si="188"/>
        <v>1</v>
      </c>
      <c r="S366" s="1">
        <f t="shared" si="189"/>
        <v>1</v>
      </c>
      <c r="T366" s="1">
        <f t="shared" si="190"/>
        <v>1</v>
      </c>
      <c r="U366" s="1">
        <f t="shared" si="191"/>
        <v>1</v>
      </c>
      <c r="V366">
        <f t="shared" si="192"/>
        <v>71.48</v>
      </c>
      <c r="W366">
        <f t="shared" si="193"/>
        <v>76.489999999999995</v>
      </c>
      <c r="X366">
        <f t="shared" si="194"/>
        <v>52.14</v>
      </c>
      <c r="Y366">
        <f t="shared" si="195"/>
        <v>38.1</v>
      </c>
      <c r="Z366">
        <f t="shared" si="196"/>
        <v>32.120000000000005</v>
      </c>
      <c r="AA366">
        <f t="shared" si="197"/>
        <v>30.03</v>
      </c>
      <c r="AC366">
        <f t="shared" si="198"/>
        <v>85.25</v>
      </c>
      <c r="AD366">
        <f t="shared" si="199"/>
        <v>76.489999999999995</v>
      </c>
      <c r="AE366">
        <f t="shared" si="200"/>
        <v>64.17</v>
      </c>
      <c r="AF366">
        <f t="shared" si="201"/>
        <v>49.84</v>
      </c>
      <c r="AG366">
        <f t="shared" si="202"/>
        <v>48.34</v>
      </c>
      <c r="AH366">
        <f t="shared" si="203"/>
        <v>41.36</v>
      </c>
      <c r="AJ366">
        <f t="shared" si="204"/>
        <v>99.009999999999991</v>
      </c>
      <c r="AK366">
        <f t="shared" si="205"/>
        <v>90.94</v>
      </c>
      <c r="AL366">
        <f t="shared" si="206"/>
        <v>78.7</v>
      </c>
      <c r="AM366">
        <f t="shared" si="207"/>
        <v>67.430000000000007</v>
      </c>
      <c r="AN366">
        <f t="shared" si="208"/>
        <v>62.56</v>
      </c>
      <c r="AO366">
        <f t="shared" si="209"/>
        <v>55.19</v>
      </c>
    </row>
    <row r="367" spans="1:41" x14ac:dyDescent="0.45">
      <c r="A367">
        <v>37.211250849999999</v>
      </c>
      <c r="B367">
        <v>117.1358896</v>
      </c>
      <c r="C367">
        <v>0</v>
      </c>
      <c r="D367">
        <v>2.75858903</v>
      </c>
      <c r="E367">
        <f t="shared" si="175"/>
        <v>0</v>
      </c>
      <c r="F367">
        <f t="shared" si="176"/>
        <v>2.75858903</v>
      </c>
      <c r="G367">
        <f t="shared" si="177"/>
        <v>2.75858903</v>
      </c>
      <c r="H367">
        <f t="shared" si="178"/>
        <v>2.75858903</v>
      </c>
      <c r="I367">
        <f t="shared" si="179"/>
        <v>2.75858903</v>
      </c>
      <c r="J367">
        <f t="shared" si="180"/>
        <v>2.75858903</v>
      </c>
      <c r="K367" s="1">
        <f t="shared" si="181"/>
        <v>0</v>
      </c>
      <c r="L367" s="1">
        <f t="shared" si="182"/>
        <v>0</v>
      </c>
      <c r="M367" s="1">
        <f t="shared" si="183"/>
        <v>0</v>
      </c>
      <c r="N367" s="1">
        <f t="shared" si="184"/>
        <v>0</v>
      </c>
      <c r="O367" s="1">
        <f t="shared" si="185"/>
        <v>0</v>
      </c>
      <c r="P367" s="1">
        <f t="shared" si="186"/>
        <v>1</v>
      </c>
      <c r="Q367" s="1">
        <f t="shared" si="187"/>
        <v>1</v>
      </c>
      <c r="R367" s="1">
        <f t="shared" si="188"/>
        <v>1</v>
      </c>
      <c r="S367" s="1">
        <f t="shared" si="189"/>
        <v>1</v>
      </c>
      <c r="T367" s="1">
        <f t="shared" si="190"/>
        <v>1</v>
      </c>
      <c r="U367" s="1">
        <f t="shared" si="191"/>
        <v>1</v>
      </c>
      <c r="V367">
        <f t="shared" si="192"/>
        <v>71.48</v>
      </c>
      <c r="W367">
        <f t="shared" si="193"/>
        <v>76.489999999999995</v>
      </c>
      <c r="X367">
        <f t="shared" si="194"/>
        <v>52.14</v>
      </c>
      <c r="Y367">
        <f t="shared" si="195"/>
        <v>38.1</v>
      </c>
      <c r="Z367">
        <f t="shared" si="196"/>
        <v>32.120000000000005</v>
      </c>
      <c r="AA367">
        <f t="shared" si="197"/>
        <v>30.03</v>
      </c>
      <c r="AC367">
        <f t="shared" si="198"/>
        <v>85.25</v>
      </c>
      <c r="AD367">
        <f t="shared" si="199"/>
        <v>76.489999999999995</v>
      </c>
      <c r="AE367">
        <f t="shared" si="200"/>
        <v>64.17</v>
      </c>
      <c r="AF367">
        <f t="shared" si="201"/>
        <v>49.84</v>
      </c>
      <c r="AG367">
        <f t="shared" si="202"/>
        <v>48.34</v>
      </c>
      <c r="AH367">
        <f t="shared" si="203"/>
        <v>41.36</v>
      </c>
      <c r="AJ367">
        <f t="shared" si="204"/>
        <v>99.009999999999991</v>
      </c>
      <c r="AK367">
        <f t="shared" si="205"/>
        <v>90.94</v>
      </c>
      <c r="AL367">
        <f t="shared" si="206"/>
        <v>78.7</v>
      </c>
      <c r="AM367">
        <f t="shared" si="207"/>
        <v>67.430000000000007</v>
      </c>
      <c r="AN367">
        <f t="shared" si="208"/>
        <v>62.56</v>
      </c>
      <c r="AO367">
        <f t="shared" si="209"/>
        <v>55.19</v>
      </c>
    </row>
    <row r="368" spans="1:41" x14ac:dyDescent="0.45">
      <c r="A368">
        <v>37.216501450000003</v>
      </c>
      <c r="B368">
        <v>117.0788917</v>
      </c>
      <c r="C368">
        <v>0</v>
      </c>
      <c r="D368">
        <v>0.31732199</v>
      </c>
      <c r="E368">
        <f t="shared" si="175"/>
        <v>0</v>
      </c>
      <c r="F368">
        <f t="shared" si="176"/>
        <v>0.31732199</v>
      </c>
      <c r="G368">
        <f t="shared" si="177"/>
        <v>0.31732199</v>
      </c>
      <c r="H368">
        <f t="shared" si="178"/>
        <v>0.31732199</v>
      </c>
      <c r="I368">
        <f t="shared" si="179"/>
        <v>0.31732199</v>
      </c>
      <c r="J368">
        <f t="shared" si="180"/>
        <v>0.31732199</v>
      </c>
      <c r="K368" s="1">
        <f t="shared" si="181"/>
        <v>0</v>
      </c>
      <c r="L368" s="1">
        <f t="shared" si="182"/>
        <v>0</v>
      </c>
      <c r="M368" s="1">
        <f t="shared" si="183"/>
        <v>0</v>
      </c>
      <c r="N368" s="1">
        <f t="shared" si="184"/>
        <v>0</v>
      </c>
      <c r="O368" s="1">
        <f t="shared" si="185"/>
        <v>0</v>
      </c>
      <c r="P368" s="1">
        <f t="shared" si="186"/>
        <v>1</v>
      </c>
      <c r="Q368" s="1">
        <f t="shared" si="187"/>
        <v>1</v>
      </c>
      <c r="R368" s="1">
        <f t="shared" si="188"/>
        <v>1</v>
      </c>
      <c r="S368" s="1">
        <f t="shared" si="189"/>
        <v>1</v>
      </c>
      <c r="T368" s="1">
        <f t="shared" si="190"/>
        <v>1</v>
      </c>
      <c r="U368" s="1">
        <f t="shared" si="191"/>
        <v>1</v>
      </c>
      <c r="V368">
        <f t="shared" si="192"/>
        <v>71.48</v>
      </c>
      <c r="W368">
        <f t="shared" si="193"/>
        <v>76.489999999999995</v>
      </c>
      <c r="X368">
        <f t="shared" si="194"/>
        <v>52.14</v>
      </c>
      <c r="Y368">
        <f t="shared" si="195"/>
        <v>38.1</v>
      </c>
      <c r="Z368">
        <f t="shared" si="196"/>
        <v>32.120000000000005</v>
      </c>
      <c r="AA368">
        <f t="shared" si="197"/>
        <v>30.03</v>
      </c>
      <c r="AC368">
        <f t="shared" si="198"/>
        <v>85.25</v>
      </c>
      <c r="AD368">
        <f t="shared" si="199"/>
        <v>76.489999999999995</v>
      </c>
      <c r="AE368">
        <f t="shared" si="200"/>
        <v>64.17</v>
      </c>
      <c r="AF368">
        <f t="shared" si="201"/>
        <v>49.84</v>
      </c>
      <c r="AG368">
        <f t="shared" si="202"/>
        <v>48.34</v>
      </c>
      <c r="AH368">
        <f t="shared" si="203"/>
        <v>41.36</v>
      </c>
      <c r="AJ368">
        <f t="shared" si="204"/>
        <v>99.009999999999991</v>
      </c>
      <c r="AK368">
        <f t="shared" si="205"/>
        <v>90.94</v>
      </c>
      <c r="AL368">
        <f t="shared" si="206"/>
        <v>78.7</v>
      </c>
      <c r="AM368">
        <f t="shared" si="207"/>
        <v>67.430000000000007</v>
      </c>
      <c r="AN368">
        <f t="shared" si="208"/>
        <v>62.56</v>
      </c>
      <c r="AO368">
        <f t="shared" si="209"/>
        <v>55.19</v>
      </c>
    </row>
    <row r="369" spans="1:41" x14ac:dyDescent="0.45">
      <c r="A369">
        <v>37.221725220000003</v>
      </c>
      <c r="B369">
        <v>117.0218861</v>
      </c>
      <c r="C369">
        <v>0</v>
      </c>
      <c r="D369">
        <v>8.3825988799999998</v>
      </c>
      <c r="E369">
        <f t="shared" si="175"/>
        <v>0</v>
      </c>
      <c r="F369">
        <f t="shared" si="176"/>
        <v>8.3825988799999998</v>
      </c>
      <c r="G369">
        <f t="shared" si="177"/>
        <v>8.3825988799999998</v>
      </c>
      <c r="H369">
        <f t="shared" si="178"/>
        <v>8.3825988799999998</v>
      </c>
      <c r="I369">
        <f t="shared" si="179"/>
        <v>8.3825988799999998</v>
      </c>
      <c r="J369">
        <f t="shared" si="180"/>
        <v>8.3825988799999998</v>
      </c>
      <c r="K369" s="1">
        <f t="shared" si="181"/>
        <v>0</v>
      </c>
      <c r="L369" s="1">
        <f t="shared" si="182"/>
        <v>0</v>
      </c>
      <c r="M369" s="1">
        <f t="shared" si="183"/>
        <v>0</v>
      </c>
      <c r="N369" s="1">
        <f t="shared" si="184"/>
        <v>0</v>
      </c>
      <c r="O369" s="1">
        <f t="shared" si="185"/>
        <v>0</v>
      </c>
      <c r="P369" s="1">
        <f t="shared" si="186"/>
        <v>1</v>
      </c>
      <c r="Q369" s="1">
        <f t="shared" si="187"/>
        <v>1</v>
      </c>
      <c r="R369" s="1">
        <f t="shared" si="188"/>
        <v>1</v>
      </c>
      <c r="S369" s="1">
        <f t="shared" si="189"/>
        <v>1</v>
      </c>
      <c r="T369" s="1">
        <f t="shared" si="190"/>
        <v>1</v>
      </c>
      <c r="U369" s="1">
        <f t="shared" si="191"/>
        <v>1</v>
      </c>
      <c r="V369">
        <f t="shared" si="192"/>
        <v>71.48</v>
      </c>
      <c r="W369">
        <f t="shared" si="193"/>
        <v>76.489999999999995</v>
      </c>
      <c r="X369">
        <f t="shared" si="194"/>
        <v>52.14</v>
      </c>
      <c r="Y369">
        <f t="shared" si="195"/>
        <v>38.1</v>
      </c>
      <c r="Z369">
        <f t="shared" si="196"/>
        <v>32.120000000000005</v>
      </c>
      <c r="AA369">
        <f t="shared" si="197"/>
        <v>30.03</v>
      </c>
      <c r="AC369">
        <f t="shared" si="198"/>
        <v>85.25</v>
      </c>
      <c r="AD369">
        <f t="shared" si="199"/>
        <v>76.489999999999995</v>
      </c>
      <c r="AE369">
        <f t="shared" si="200"/>
        <v>64.17</v>
      </c>
      <c r="AF369">
        <f t="shared" si="201"/>
        <v>49.84</v>
      </c>
      <c r="AG369">
        <f t="shared" si="202"/>
        <v>48.34</v>
      </c>
      <c r="AH369">
        <f t="shared" si="203"/>
        <v>41.36</v>
      </c>
      <c r="AJ369">
        <f t="shared" si="204"/>
        <v>99.009999999999991</v>
      </c>
      <c r="AK369">
        <f t="shared" si="205"/>
        <v>90.94</v>
      </c>
      <c r="AL369">
        <f t="shared" si="206"/>
        <v>78.7</v>
      </c>
      <c r="AM369">
        <f t="shared" si="207"/>
        <v>67.430000000000007</v>
      </c>
      <c r="AN369">
        <f t="shared" si="208"/>
        <v>62.56</v>
      </c>
      <c r="AO369">
        <f t="shared" si="209"/>
        <v>55.19</v>
      </c>
    </row>
    <row r="370" spans="1:41" x14ac:dyDescent="0.45">
      <c r="A370">
        <v>37.226007299999999</v>
      </c>
      <c r="B370">
        <v>117.9471336</v>
      </c>
      <c r="C370">
        <v>150.00115969999999</v>
      </c>
      <c r="D370">
        <v>14.436474799999999</v>
      </c>
      <c r="E370">
        <f t="shared" si="175"/>
        <v>14.436474799999999</v>
      </c>
      <c r="F370">
        <f t="shared" si="176"/>
        <v>0</v>
      </c>
      <c r="G370">
        <f t="shared" si="177"/>
        <v>0</v>
      </c>
      <c r="H370">
        <f t="shared" si="178"/>
        <v>0</v>
      </c>
      <c r="I370">
        <f t="shared" si="179"/>
        <v>0</v>
      </c>
      <c r="J370">
        <f t="shared" si="180"/>
        <v>0</v>
      </c>
      <c r="K370" s="1">
        <f t="shared" si="181"/>
        <v>0</v>
      </c>
      <c r="L370" s="1">
        <f t="shared" si="182"/>
        <v>0</v>
      </c>
      <c r="M370" s="1">
        <f t="shared" si="183"/>
        <v>0</v>
      </c>
      <c r="N370" s="1">
        <f t="shared" si="184"/>
        <v>0</v>
      </c>
      <c r="O370" s="1">
        <f t="shared" si="185"/>
        <v>0</v>
      </c>
      <c r="P370" s="1">
        <f t="shared" si="186"/>
        <v>25</v>
      </c>
      <c r="Q370" s="1" t="e">
        <f t="shared" si="187"/>
        <v>#DIV/0!</v>
      </c>
      <c r="R370" s="1" t="e">
        <f t="shared" si="188"/>
        <v>#DIV/0!</v>
      </c>
      <c r="S370" s="1" t="e">
        <f t="shared" si="189"/>
        <v>#DIV/0!</v>
      </c>
      <c r="T370" s="1" t="e">
        <f t="shared" si="190"/>
        <v>#DIV/0!</v>
      </c>
      <c r="U370" s="1" t="e">
        <f t="shared" si="191"/>
        <v>#DIV/0!</v>
      </c>
      <c r="V370">
        <f t="shared" si="192"/>
        <v>851.48</v>
      </c>
      <c r="W370">
        <f t="shared" si="193"/>
        <v>0</v>
      </c>
      <c r="X370">
        <f t="shared" si="194"/>
        <v>0</v>
      </c>
      <c r="Y370">
        <f t="shared" si="195"/>
        <v>0</v>
      </c>
      <c r="Z370">
        <f t="shared" si="196"/>
        <v>0</v>
      </c>
      <c r="AA370">
        <f t="shared" si="197"/>
        <v>0</v>
      </c>
      <c r="AC370">
        <f t="shared" si="198"/>
        <v>1045.25</v>
      </c>
      <c r="AD370">
        <f t="shared" si="199"/>
        <v>0</v>
      </c>
      <c r="AE370">
        <f t="shared" si="200"/>
        <v>0</v>
      </c>
      <c r="AF370">
        <f t="shared" si="201"/>
        <v>0</v>
      </c>
      <c r="AG370">
        <f t="shared" si="202"/>
        <v>0</v>
      </c>
      <c r="AH370">
        <f t="shared" si="203"/>
        <v>0</v>
      </c>
      <c r="AJ370">
        <f t="shared" si="204"/>
        <v>1239.01</v>
      </c>
      <c r="AK370">
        <f t="shared" si="205"/>
        <v>0</v>
      </c>
      <c r="AL370">
        <f t="shared" si="206"/>
        <v>0</v>
      </c>
      <c r="AM370">
        <f t="shared" si="207"/>
        <v>0</v>
      </c>
      <c r="AN370">
        <f t="shared" si="208"/>
        <v>0</v>
      </c>
      <c r="AO370">
        <f t="shared" si="209"/>
        <v>0</v>
      </c>
    </row>
    <row r="371" spans="1:41" x14ac:dyDescent="0.45">
      <c r="A371">
        <v>37.241342080000003</v>
      </c>
      <c r="B371">
        <v>118.7017319</v>
      </c>
      <c r="C371">
        <v>0</v>
      </c>
      <c r="D371">
        <v>11.66265488</v>
      </c>
      <c r="E371">
        <f t="shared" si="175"/>
        <v>0</v>
      </c>
      <c r="F371">
        <f t="shared" si="176"/>
        <v>11.66265488</v>
      </c>
      <c r="G371">
        <f t="shared" si="177"/>
        <v>11.66265488</v>
      </c>
      <c r="H371">
        <f t="shared" si="178"/>
        <v>11.66265488</v>
      </c>
      <c r="I371">
        <f t="shared" si="179"/>
        <v>11.66265488</v>
      </c>
      <c r="J371">
        <f t="shared" si="180"/>
        <v>11.66265488</v>
      </c>
      <c r="K371" s="1">
        <f t="shared" si="181"/>
        <v>0</v>
      </c>
      <c r="L371" s="1">
        <f t="shared" si="182"/>
        <v>0</v>
      </c>
      <c r="M371" s="1">
        <f t="shared" si="183"/>
        <v>0</v>
      </c>
      <c r="N371" s="1">
        <f t="shared" si="184"/>
        <v>0</v>
      </c>
      <c r="O371" s="1">
        <f t="shared" si="185"/>
        <v>0</v>
      </c>
      <c r="P371" s="1">
        <f t="shared" si="186"/>
        <v>1</v>
      </c>
      <c r="Q371" s="1">
        <f t="shared" si="187"/>
        <v>1</v>
      </c>
      <c r="R371" s="1">
        <f t="shared" si="188"/>
        <v>1</v>
      </c>
      <c r="S371" s="1">
        <f t="shared" si="189"/>
        <v>1</v>
      </c>
      <c r="T371" s="1">
        <f t="shared" si="190"/>
        <v>1</v>
      </c>
      <c r="U371" s="1">
        <f t="shared" si="191"/>
        <v>1</v>
      </c>
      <c r="V371">
        <f t="shared" si="192"/>
        <v>71.48</v>
      </c>
      <c r="W371">
        <f t="shared" si="193"/>
        <v>76.489999999999995</v>
      </c>
      <c r="X371">
        <f t="shared" si="194"/>
        <v>52.14</v>
      </c>
      <c r="Y371">
        <f t="shared" si="195"/>
        <v>38.1</v>
      </c>
      <c r="Z371">
        <f t="shared" si="196"/>
        <v>32.120000000000005</v>
      </c>
      <c r="AA371">
        <f t="shared" si="197"/>
        <v>30.03</v>
      </c>
      <c r="AC371">
        <f t="shared" si="198"/>
        <v>85.25</v>
      </c>
      <c r="AD371">
        <f t="shared" si="199"/>
        <v>76.489999999999995</v>
      </c>
      <c r="AE371">
        <f t="shared" si="200"/>
        <v>64.17</v>
      </c>
      <c r="AF371">
        <f t="shared" si="201"/>
        <v>49.84</v>
      </c>
      <c r="AG371">
        <f t="shared" si="202"/>
        <v>48.34</v>
      </c>
      <c r="AH371">
        <f t="shared" si="203"/>
        <v>41.36</v>
      </c>
      <c r="AJ371">
        <f t="shared" si="204"/>
        <v>99.009999999999991</v>
      </c>
      <c r="AK371">
        <f t="shared" si="205"/>
        <v>90.94</v>
      </c>
      <c r="AL371">
        <f t="shared" si="206"/>
        <v>78.7</v>
      </c>
      <c r="AM371">
        <f t="shared" si="207"/>
        <v>67.430000000000007</v>
      </c>
      <c r="AN371">
        <f t="shared" si="208"/>
        <v>62.56</v>
      </c>
      <c r="AO371">
        <f t="shared" si="209"/>
        <v>55.19</v>
      </c>
    </row>
    <row r="372" spans="1:41" x14ac:dyDescent="0.45">
      <c r="A372">
        <v>37.242966490000001</v>
      </c>
      <c r="B372">
        <v>118.2389969</v>
      </c>
      <c r="C372">
        <v>21.771209720000002</v>
      </c>
      <c r="D372">
        <v>7.0440378199999998</v>
      </c>
      <c r="E372">
        <f t="shared" si="175"/>
        <v>7.0440378199999998</v>
      </c>
      <c r="F372">
        <f t="shared" si="176"/>
        <v>0</v>
      </c>
      <c r="G372">
        <f t="shared" si="177"/>
        <v>0</v>
      </c>
      <c r="H372">
        <f t="shared" si="178"/>
        <v>0</v>
      </c>
      <c r="I372">
        <f t="shared" si="179"/>
        <v>0</v>
      </c>
      <c r="J372">
        <f t="shared" si="180"/>
        <v>0</v>
      </c>
      <c r="K372" s="1">
        <f t="shared" si="181"/>
        <v>0</v>
      </c>
      <c r="L372" s="1">
        <f t="shared" si="182"/>
        <v>0</v>
      </c>
      <c r="M372" s="1">
        <f t="shared" si="183"/>
        <v>0</v>
      </c>
      <c r="N372" s="1">
        <f t="shared" si="184"/>
        <v>0</v>
      </c>
      <c r="O372" s="1">
        <f t="shared" si="185"/>
        <v>0</v>
      </c>
      <c r="P372" s="1">
        <f t="shared" si="186"/>
        <v>25</v>
      </c>
      <c r="Q372" s="1" t="e">
        <f t="shared" si="187"/>
        <v>#DIV/0!</v>
      </c>
      <c r="R372" s="1" t="e">
        <f t="shared" si="188"/>
        <v>#DIV/0!</v>
      </c>
      <c r="S372" s="1" t="e">
        <f t="shared" si="189"/>
        <v>#DIV/0!</v>
      </c>
      <c r="T372" s="1" t="e">
        <f t="shared" si="190"/>
        <v>#DIV/0!</v>
      </c>
      <c r="U372" s="1" t="e">
        <f t="shared" si="191"/>
        <v>#DIV/0!</v>
      </c>
      <c r="V372">
        <f t="shared" si="192"/>
        <v>851.48</v>
      </c>
      <c r="W372">
        <f t="shared" si="193"/>
        <v>0</v>
      </c>
      <c r="X372">
        <f t="shared" si="194"/>
        <v>0</v>
      </c>
      <c r="Y372">
        <f t="shared" si="195"/>
        <v>0</v>
      </c>
      <c r="Z372">
        <f t="shared" si="196"/>
        <v>0</v>
      </c>
      <c r="AA372">
        <f t="shared" si="197"/>
        <v>0</v>
      </c>
      <c r="AC372">
        <f t="shared" si="198"/>
        <v>1045.25</v>
      </c>
      <c r="AD372">
        <f t="shared" si="199"/>
        <v>0</v>
      </c>
      <c r="AE372">
        <f t="shared" si="200"/>
        <v>0</v>
      </c>
      <c r="AF372">
        <f t="shared" si="201"/>
        <v>0</v>
      </c>
      <c r="AG372">
        <f t="shared" si="202"/>
        <v>0</v>
      </c>
      <c r="AH372">
        <f t="shared" si="203"/>
        <v>0</v>
      </c>
      <c r="AJ372">
        <f t="shared" si="204"/>
        <v>1239.01</v>
      </c>
      <c r="AK372">
        <f t="shared" si="205"/>
        <v>0</v>
      </c>
      <c r="AL372">
        <f t="shared" si="206"/>
        <v>0</v>
      </c>
      <c r="AM372">
        <f t="shared" si="207"/>
        <v>0</v>
      </c>
      <c r="AN372">
        <f t="shared" si="208"/>
        <v>0</v>
      </c>
      <c r="AO372">
        <f t="shared" si="209"/>
        <v>0</v>
      </c>
    </row>
    <row r="373" spans="1:41" x14ac:dyDescent="0.45">
      <c r="A373">
        <v>37.261256289999999</v>
      </c>
      <c r="B373">
        <v>109.4263425</v>
      </c>
      <c r="C373">
        <v>3.0400650000000001E-2</v>
      </c>
      <c r="D373">
        <v>5.7981557800000001</v>
      </c>
      <c r="E373">
        <f t="shared" si="175"/>
        <v>3.0400650000000001E-2</v>
      </c>
      <c r="F373">
        <f t="shared" si="176"/>
        <v>5.6461525300000002</v>
      </c>
      <c r="G373">
        <f t="shared" si="177"/>
        <v>5.4941492800000002</v>
      </c>
      <c r="H373">
        <f t="shared" si="178"/>
        <v>5.3421460300000003</v>
      </c>
      <c r="I373">
        <f t="shared" si="179"/>
        <v>5.1901427800000004</v>
      </c>
      <c r="J373">
        <f t="shared" si="180"/>
        <v>5.0381395300000005</v>
      </c>
      <c r="K373" s="1">
        <f t="shared" si="181"/>
        <v>3.0400650000000001E-2</v>
      </c>
      <c r="L373" s="1">
        <f t="shared" si="182"/>
        <v>3.0400650000000001E-2</v>
      </c>
      <c r="M373" s="1">
        <f t="shared" si="183"/>
        <v>3.0400650000000001E-2</v>
      </c>
      <c r="N373" s="1">
        <f t="shared" si="184"/>
        <v>3.0400650000000001E-2</v>
      </c>
      <c r="O373" s="1">
        <f t="shared" si="185"/>
        <v>3.0400650000000001E-2</v>
      </c>
      <c r="P373" s="1">
        <f t="shared" si="186"/>
        <v>1</v>
      </c>
      <c r="Q373" s="1">
        <f t="shared" si="187"/>
        <v>1</v>
      </c>
      <c r="R373" s="1">
        <f t="shared" si="188"/>
        <v>1</v>
      </c>
      <c r="S373" s="1">
        <f t="shared" si="189"/>
        <v>1</v>
      </c>
      <c r="T373" s="1">
        <f t="shared" si="190"/>
        <v>1</v>
      </c>
      <c r="U373" s="1">
        <f t="shared" si="191"/>
        <v>1</v>
      </c>
      <c r="V373">
        <f t="shared" si="192"/>
        <v>71.48</v>
      </c>
      <c r="W373">
        <f t="shared" si="193"/>
        <v>76.489999999999995</v>
      </c>
      <c r="X373">
        <f t="shared" si="194"/>
        <v>52.14</v>
      </c>
      <c r="Y373">
        <f t="shared" si="195"/>
        <v>38.1</v>
      </c>
      <c r="Z373">
        <f t="shared" si="196"/>
        <v>32.120000000000005</v>
      </c>
      <c r="AA373">
        <f t="shared" si="197"/>
        <v>30.03</v>
      </c>
      <c r="AC373">
        <f t="shared" si="198"/>
        <v>85.25</v>
      </c>
      <c r="AD373">
        <f t="shared" si="199"/>
        <v>76.489999999999995</v>
      </c>
      <c r="AE373">
        <f t="shared" si="200"/>
        <v>64.17</v>
      </c>
      <c r="AF373">
        <f t="shared" si="201"/>
        <v>49.84</v>
      </c>
      <c r="AG373">
        <f t="shared" si="202"/>
        <v>48.34</v>
      </c>
      <c r="AH373">
        <f t="shared" si="203"/>
        <v>41.36</v>
      </c>
      <c r="AJ373">
        <f t="shared" si="204"/>
        <v>99.009999999999991</v>
      </c>
      <c r="AK373">
        <f t="shared" si="205"/>
        <v>90.94</v>
      </c>
      <c r="AL373">
        <f t="shared" si="206"/>
        <v>78.7</v>
      </c>
      <c r="AM373">
        <f t="shared" si="207"/>
        <v>67.430000000000007</v>
      </c>
      <c r="AN373">
        <f t="shared" si="208"/>
        <v>62.56</v>
      </c>
      <c r="AO373">
        <f t="shared" si="209"/>
        <v>55.19</v>
      </c>
    </row>
    <row r="374" spans="1:41" x14ac:dyDescent="0.45">
      <c r="A374">
        <v>37.261950579999997</v>
      </c>
      <c r="B374">
        <v>106.6699655</v>
      </c>
      <c r="C374">
        <v>0</v>
      </c>
      <c r="D374">
        <v>9.3978999999999993E-2</v>
      </c>
      <c r="E374">
        <f t="shared" si="175"/>
        <v>0</v>
      </c>
      <c r="F374">
        <f t="shared" si="176"/>
        <v>9.3978999999999993E-2</v>
      </c>
      <c r="G374">
        <f t="shared" si="177"/>
        <v>9.3978999999999993E-2</v>
      </c>
      <c r="H374">
        <f t="shared" si="178"/>
        <v>9.3978999999999993E-2</v>
      </c>
      <c r="I374">
        <f t="shared" si="179"/>
        <v>9.3978999999999993E-2</v>
      </c>
      <c r="J374">
        <f t="shared" si="180"/>
        <v>9.3978999999999993E-2</v>
      </c>
      <c r="K374" s="1">
        <f t="shared" si="181"/>
        <v>0</v>
      </c>
      <c r="L374" s="1">
        <f t="shared" si="182"/>
        <v>0</v>
      </c>
      <c r="M374" s="1">
        <f t="shared" si="183"/>
        <v>0</v>
      </c>
      <c r="N374" s="1">
        <f t="shared" si="184"/>
        <v>0</v>
      </c>
      <c r="O374" s="1">
        <f t="shared" si="185"/>
        <v>0</v>
      </c>
      <c r="P374" s="1">
        <f t="shared" si="186"/>
        <v>1</v>
      </c>
      <c r="Q374" s="1">
        <f t="shared" si="187"/>
        <v>1</v>
      </c>
      <c r="R374" s="1">
        <f t="shared" si="188"/>
        <v>1</v>
      </c>
      <c r="S374" s="1">
        <f t="shared" si="189"/>
        <v>1</v>
      </c>
      <c r="T374" s="1">
        <f t="shared" si="190"/>
        <v>1</v>
      </c>
      <c r="U374" s="1">
        <f t="shared" si="191"/>
        <v>1</v>
      </c>
      <c r="V374">
        <f t="shared" si="192"/>
        <v>71.48</v>
      </c>
      <c r="W374">
        <f t="shared" si="193"/>
        <v>76.489999999999995</v>
      </c>
      <c r="X374">
        <f t="shared" si="194"/>
        <v>52.14</v>
      </c>
      <c r="Y374">
        <f t="shared" si="195"/>
        <v>38.1</v>
      </c>
      <c r="Z374">
        <f t="shared" si="196"/>
        <v>32.120000000000005</v>
      </c>
      <c r="AA374">
        <f t="shared" si="197"/>
        <v>30.03</v>
      </c>
      <c r="AC374">
        <f t="shared" si="198"/>
        <v>85.25</v>
      </c>
      <c r="AD374">
        <f t="shared" si="199"/>
        <v>76.489999999999995</v>
      </c>
      <c r="AE374">
        <f t="shared" si="200"/>
        <v>64.17</v>
      </c>
      <c r="AF374">
        <f t="shared" si="201"/>
        <v>49.84</v>
      </c>
      <c r="AG374">
        <f t="shared" si="202"/>
        <v>48.34</v>
      </c>
      <c r="AH374">
        <f t="shared" si="203"/>
        <v>41.36</v>
      </c>
      <c r="AJ374">
        <f t="shared" si="204"/>
        <v>99.009999999999991</v>
      </c>
      <c r="AK374">
        <f t="shared" si="205"/>
        <v>90.94</v>
      </c>
      <c r="AL374">
        <f t="shared" si="206"/>
        <v>78.7</v>
      </c>
      <c r="AM374">
        <f t="shared" si="207"/>
        <v>67.430000000000007</v>
      </c>
      <c r="AN374">
        <f t="shared" si="208"/>
        <v>62.56</v>
      </c>
      <c r="AO374">
        <f t="shared" si="209"/>
        <v>55.19</v>
      </c>
    </row>
    <row r="375" spans="1:41" x14ac:dyDescent="0.45">
      <c r="A375">
        <v>37.265128650000001</v>
      </c>
      <c r="B375">
        <v>118.47405240000001</v>
      </c>
      <c r="C375">
        <v>34.005298609999997</v>
      </c>
      <c r="D375">
        <v>8.0388326600000006</v>
      </c>
      <c r="E375">
        <f t="shared" si="175"/>
        <v>8.0388326600000006</v>
      </c>
      <c r="F375">
        <f t="shared" si="176"/>
        <v>0</v>
      </c>
      <c r="G375">
        <f t="shared" si="177"/>
        <v>0</v>
      </c>
      <c r="H375">
        <f t="shared" si="178"/>
        <v>0</v>
      </c>
      <c r="I375">
        <f t="shared" si="179"/>
        <v>0</v>
      </c>
      <c r="J375">
        <f t="shared" si="180"/>
        <v>0</v>
      </c>
      <c r="K375" s="1">
        <f t="shared" si="181"/>
        <v>0</v>
      </c>
      <c r="L375" s="1">
        <f t="shared" si="182"/>
        <v>0</v>
      </c>
      <c r="M375" s="1">
        <f t="shared" si="183"/>
        <v>0</v>
      </c>
      <c r="N375" s="1">
        <f t="shared" si="184"/>
        <v>0</v>
      </c>
      <c r="O375" s="1">
        <f t="shared" si="185"/>
        <v>0</v>
      </c>
      <c r="P375" s="1">
        <f t="shared" si="186"/>
        <v>25</v>
      </c>
      <c r="Q375" s="1" t="e">
        <f t="shared" si="187"/>
        <v>#DIV/0!</v>
      </c>
      <c r="R375" s="1" t="e">
        <f t="shared" si="188"/>
        <v>#DIV/0!</v>
      </c>
      <c r="S375" s="1" t="e">
        <f t="shared" si="189"/>
        <v>#DIV/0!</v>
      </c>
      <c r="T375" s="1" t="e">
        <f t="shared" si="190"/>
        <v>#DIV/0!</v>
      </c>
      <c r="U375" s="1" t="e">
        <f t="shared" si="191"/>
        <v>#DIV/0!</v>
      </c>
      <c r="V375">
        <f t="shared" si="192"/>
        <v>851.48</v>
      </c>
      <c r="W375">
        <f t="shared" si="193"/>
        <v>0</v>
      </c>
      <c r="X375">
        <f t="shared" si="194"/>
        <v>0</v>
      </c>
      <c r="Y375">
        <f t="shared" si="195"/>
        <v>0</v>
      </c>
      <c r="Z375">
        <f t="shared" si="196"/>
        <v>0</v>
      </c>
      <c r="AA375">
        <f t="shared" si="197"/>
        <v>0</v>
      </c>
      <c r="AC375">
        <f t="shared" si="198"/>
        <v>1045.25</v>
      </c>
      <c r="AD375">
        <f t="shared" si="199"/>
        <v>0</v>
      </c>
      <c r="AE375">
        <f t="shared" si="200"/>
        <v>0</v>
      </c>
      <c r="AF375">
        <f t="shared" si="201"/>
        <v>0</v>
      </c>
      <c r="AG375">
        <f t="shared" si="202"/>
        <v>0</v>
      </c>
      <c r="AH375">
        <f t="shared" si="203"/>
        <v>0</v>
      </c>
      <c r="AJ375">
        <f t="shared" si="204"/>
        <v>1239.01</v>
      </c>
      <c r="AK375">
        <f t="shared" si="205"/>
        <v>0</v>
      </c>
      <c r="AL375">
        <f t="shared" si="206"/>
        <v>0</v>
      </c>
      <c r="AM375">
        <f t="shared" si="207"/>
        <v>0</v>
      </c>
      <c r="AN375">
        <f t="shared" si="208"/>
        <v>0</v>
      </c>
      <c r="AO375">
        <f t="shared" si="209"/>
        <v>0</v>
      </c>
    </row>
    <row r="376" spans="1:41" x14ac:dyDescent="0.45">
      <c r="A376">
        <v>37.270504410000001</v>
      </c>
      <c r="B376">
        <v>109.0820569</v>
      </c>
      <c r="C376">
        <v>2.8402893499999999</v>
      </c>
      <c r="D376">
        <v>3.1137549899999999</v>
      </c>
      <c r="E376">
        <f t="shared" si="175"/>
        <v>2.8402893499999999</v>
      </c>
      <c r="F376">
        <f t="shared" si="176"/>
        <v>0</v>
      </c>
      <c r="G376">
        <f t="shared" si="177"/>
        <v>0</v>
      </c>
      <c r="H376">
        <f t="shared" si="178"/>
        <v>0</v>
      </c>
      <c r="I376">
        <f t="shared" si="179"/>
        <v>0</v>
      </c>
      <c r="J376">
        <f t="shared" si="180"/>
        <v>0</v>
      </c>
      <c r="K376" s="1">
        <f t="shared" si="181"/>
        <v>0</v>
      </c>
      <c r="L376" s="1">
        <f t="shared" si="182"/>
        <v>0</v>
      </c>
      <c r="M376" s="1">
        <f t="shared" si="183"/>
        <v>0</v>
      </c>
      <c r="N376" s="1">
        <f t="shared" si="184"/>
        <v>0</v>
      </c>
      <c r="O376" s="1">
        <f t="shared" si="185"/>
        <v>0</v>
      </c>
      <c r="P376" s="1">
        <f t="shared" si="186"/>
        <v>22.804374132853656</v>
      </c>
      <c r="Q376" s="1" t="e">
        <f t="shared" si="187"/>
        <v>#DIV/0!</v>
      </c>
      <c r="R376" s="1" t="e">
        <f t="shared" si="188"/>
        <v>#DIV/0!</v>
      </c>
      <c r="S376" s="1" t="e">
        <f t="shared" si="189"/>
        <v>#DIV/0!</v>
      </c>
      <c r="T376" s="1" t="e">
        <f t="shared" si="190"/>
        <v>#DIV/0!</v>
      </c>
      <c r="U376" s="1" t="e">
        <f t="shared" si="191"/>
        <v>#DIV/0!</v>
      </c>
      <c r="V376">
        <f t="shared" si="192"/>
        <v>780.12215931774381</v>
      </c>
      <c r="W376">
        <f t="shared" si="193"/>
        <v>0</v>
      </c>
      <c r="X376">
        <f t="shared" si="194"/>
        <v>0</v>
      </c>
      <c r="Y376">
        <f t="shared" si="195"/>
        <v>0</v>
      </c>
      <c r="Z376">
        <f t="shared" si="196"/>
        <v>0</v>
      </c>
      <c r="AA376">
        <f t="shared" si="197"/>
        <v>0</v>
      </c>
      <c r="AC376">
        <f t="shared" si="198"/>
        <v>957.42496531414622</v>
      </c>
      <c r="AD376">
        <f t="shared" si="199"/>
        <v>0</v>
      </c>
      <c r="AE376">
        <f t="shared" si="200"/>
        <v>0</v>
      </c>
      <c r="AF376">
        <f t="shared" si="201"/>
        <v>0</v>
      </c>
      <c r="AG376">
        <f t="shared" si="202"/>
        <v>0</v>
      </c>
      <c r="AH376">
        <f t="shared" si="203"/>
        <v>0</v>
      </c>
      <c r="AJ376">
        <f t="shared" si="204"/>
        <v>1134.7177713105486</v>
      </c>
      <c r="AK376">
        <f t="shared" si="205"/>
        <v>0</v>
      </c>
      <c r="AL376">
        <f t="shared" si="206"/>
        <v>0</v>
      </c>
      <c r="AM376">
        <f t="shared" si="207"/>
        <v>0</v>
      </c>
      <c r="AN376">
        <f t="shared" si="208"/>
        <v>0</v>
      </c>
      <c r="AO376">
        <f t="shared" si="209"/>
        <v>0</v>
      </c>
    </row>
    <row r="377" spans="1:41" x14ac:dyDescent="0.45">
      <c r="A377">
        <v>37.277180739999999</v>
      </c>
      <c r="B377">
        <v>117.89721280000001</v>
      </c>
      <c r="C377">
        <v>18.32290459</v>
      </c>
      <c r="D377">
        <v>0.37897598999999998</v>
      </c>
      <c r="E377">
        <f t="shared" si="175"/>
        <v>0.37897598999999998</v>
      </c>
      <c r="F377">
        <f t="shared" si="176"/>
        <v>0</v>
      </c>
      <c r="G377">
        <f t="shared" si="177"/>
        <v>0</v>
      </c>
      <c r="H377">
        <f t="shared" si="178"/>
        <v>0</v>
      </c>
      <c r="I377">
        <f t="shared" si="179"/>
        <v>0</v>
      </c>
      <c r="J377">
        <f t="shared" si="180"/>
        <v>0</v>
      </c>
      <c r="K377" s="1">
        <f t="shared" si="181"/>
        <v>0</v>
      </c>
      <c r="L377" s="1">
        <f t="shared" si="182"/>
        <v>0</v>
      </c>
      <c r="M377" s="1">
        <f t="shared" si="183"/>
        <v>0</v>
      </c>
      <c r="N377" s="1">
        <f t="shared" si="184"/>
        <v>0</v>
      </c>
      <c r="O377" s="1">
        <f t="shared" si="185"/>
        <v>0</v>
      </c>
      <c r="P377" s="1">
        <f t="shared" si="186"/>
        <v>25</v>
      </c>
      <c r="Q377" s="1" t="e">
        <f t="shared" si="187"/>
        <v>#DIV/0!</v>
      </c>
      <c r="R377" s="1" t="e">
        <f t="shared" si="188"/>
        <v>#DIV/0!</v>
      </c>
      <c r="S377" s="1" t="e">
        <f t="shared" si="189"/>
        <v>#DIV/0!</v>
      </c>
      <c r="T377" s="1" t="e">
        <f t="shared" si="190"/>
        <v>#DIV/0!</v>
      </c>
      <c r="U377" s="1" t="e">
        <f t="shared" si="191"/>
        <v>#DIV/0!</v>
      </c>
      <c r="V377">
        <f t="shared" si="192"/>
        <v>851.48</v>
      </c>
      <c r="W377">
        <f t="shared" si="193"/>
        <v>0</v>
      </c>
      <c r="X377">
        <f t="shared" si="194"/>
        <v>0</v>
      </c>
      <c r="Y377">
        <f t="shared" si="195"/>
        <v>0</v>
      </c>
      <c r="Z377">
        <f t="shared" si="196"/>
        <v>0</v>
      </c>
      <c r="AA377">
        <f t="shared" si="197"/>
        <v>0</v>
      </c>
      <c r="AC377">
        <f t="shared" si="198"/>
        <v>1045.25</v>
      </c>
      <c r="AD377">
        <f t="shared" si="199"/>
        <v>0</v>
      </c>
      <c r="AE377">
        <f t="shared" si="200"/>
        <v>0</v>
      </c>
      <c r="AF377">
        <f t="shared" si="201"/>
        <v>0</v>
      </c>
      <c r="AG377">
        <f t="shared" si="202"/>
        <v>0</v>
      </c>
      <c r="AH377">
        <f t="shared" si="203"/>
        <v>0</v>
      </c>
      <c r="AJ377">
        <f t="shared" si="204"/>
        <v>1239.01</v>
      </c>
      <c r="AK377">
        <f t="shared" si="205"/>
        <v>0</v>
      </c>
      <c r="AL377">
        <f t="shared" si="206"/>
        <v>0</v>
      </c>
      <c r="AM377">
        <f t="shared" si="207"/>
        <v>0</v>
      </c>
      <c r="AN377">
        <f t="shared" si="208"/>
        <v>0</v>
      </c>
      <c r="AO377">
        <f t="shared" si="209"/>
        <v>0</v>
      </c>
    </row>
    <row r="378" spans="1:41" x14ac:dyDescent="0.45">
      <c r="A378">
        <v>37.288486949999999</v>
      </c>
      <c r="B378">
        <v>118.2462343</v>
      </c>
      <c r="C378">
        <v>21.771209720000002</v>
      </c>
      <c r="D378">
        <v>15.44776821</v>
      </c>
      <c r="E378">
        <f t="shared" si="175"/>
        <v>15.44776821</v>
      </c>
      <c r="F378">
        <f t="shared" si="176"/>
        <v>0</v>
      </c>
      <c r="G378">
        <f t="shared" si="177"/>
        <v>0</v>
      </c>
      <c r="H378">
        <f t="shared" si="178"/>
        <v>0</v>
      </c>
      <c r="I378">
        <f t="shared" si="179"/>
        <v>0</v>
      </c>
      <c r="J378">
        <f t="shared" si="180"/>
        <v>0</v>
      </c>
      <c r="K378" s="1">
        <f t="shared" si="181"/>
        <v>0</v>
      </c>
      <c r="L378" s="1">
        <f t="shared" si="182"/>
        <v>0</v>
      </c>
      <c r="M378" s="1">
        <f t="shared" si="183"/>
        <v>0</v>
      </c>
      <c r="N378" s="1">
        <f t="shared" si="184"/>
        <v>0</v>
      </c>
      <c r="O378" s="1">
        <f t="shared" si="185"/>
        <v>0</v>
      </c>
      <c r="P378" s="1">
        <f t="shared" si="186"/>
        <v>25</v>
      </c>
      <c r="Q378" s="1" t="e">
        <f t="shared" si="187"/>
        <v>#DIV/0!</v>
      </c>
      <c r="R378" s="1" t="e">
        <f t="shared" si="188"/>
        <v>#DIV/0!</v>
      </c>
      <c r="S378" s="1" t="e">
        <f t="shared" si="189"/>
        <v>#DIV/0!</v>
      </c>
      <c r="T378" s="1" t="e">
        <f t="shared" si="190"/>
        <v>#DIV/0!</v>
      </c>
      <c r="U378" s="1" t="e">
        <f t="shared" si="191"/>
        <v>#DIV/0!</v>
      </c>
      <c r="V378">
        <f t="shared" si="192"/>
        <v>851.48</v>
      </c>
      <c r="W378">
        <f t="shared" si="193"/>
        <v>0</v>
      </c>
      <c r="X378">
        <f t="shared" si="194"/>
        <v>0</v>
      </c>
      <c r="Y378">
        <f t="shared" si="195"/>
        <v>0</v>
      </c>
      <c r="Z378">
        <f t="shared" si="196"/>
        <v>0</v>
      </c>
      <c r="AA378">
        <f t="shared" si="197"/>
        <v>0</v>
      </c>
      <c r="AC378">
        <f t="shared" si="198"/>
        <v>1045.25</v>
      </c>
      <c r="AD378">
        <f t="shared" si="199"/>
        <v>0</v>
      </c>
      <c r="AE378">
        <f t="shared" si="200"/>
        <v>0</v>
      </c>
      <c r="AF378">
        <f t="shared" si="201"/>
        <v>0</v>
      </c>
      <c r="AG378">
        <f t="shared" si="202"/>
        <v>0</v>
      </c>
      <c r="AH378">
        <f t="shared" si="203"/>
        <v>0</v>
      </c>
      <c r="AJ378">
        <f t="shared" si="204"/>
        <v>1239.01</v>
      </c>
      <c r="AK378">
        <f t="shared" si="205"/>
        <v>0</v>
      </c>
      <c r="AL378">
        <f t="shared" si="206"/>
        <v>0</v>
      </c>
      <c r="AM378">
        <f t="shared" si="207"/>
        <v>0</v>
      </c>
      <c r="AN378">
        <f t="shared" si="208"/>
        <v>0</v>
      </c>
      <c r="AO378">
        <f t="shared" si="209"/>
        <v>0</v>
      </c>
    </row>
    <row r="379" spans="1:41" x14ac:dyDescent="0.45">
      <c r="A379">
        <v>37.305724400000003</v>
      </c>
      <c r="B379">
        <v>118.0752811</v>
      </c>
      <c r="C379">
        <v>150.00115969999999</v>
      </c>
      <c r="D379">
        <v>3.0393459799999998</v>
      </c>
      <c r="E379">
        <f t="shared" si="175"/>
        <v>3.0393459799999998</v>
      </c>
      <c r="F379">
        <f t="shared" si="176"/>
        <v>0</v>
      </c>
      <c r="G379">
        <f t="shared" si="177"/>
        <v>0</v>
      </c>
      <c r="H379">
        <f t="shared" si="178"/>
        <v>0</v>
      </c>
      <c r="I379">
        <f t="shared" si="179"/>
        <v>0</v>
      </c>
      <c r="J379">
        <f t="shared" si="180"/>
        <v>0</v>
      </c>
      <c r="K379" s="1">
        <f t="shared" si="181"/>
        <v>0</v>
      </c>
      <c r="L379" s="1">
        <f t="shared" si="182"/>
        <v>0</v>
      </c>
      <c r="M379" s="1">
        <f t="shared" si="183"/>
        <v>0</v>
      </c>
      <c r="N379" s="1">
        <f t="shared" si="184"/>
        <v>0</v>
      </c>
      <c r="O379" s="1">
        <f t="shared" si="185"/>
        <v>0</v>
      </c>
      <c r="P379" s="1">
        <f t="shared" si="186"/>
        <v>25</v>
      </c>
      <c r="Q379" s="1" t="e">
        <f t="shared" si="187"/>
        <v>#DIV/0!</v>
      </c>
      <c r="R379" s="1" t="e">
        <f t="shared" si="188"/>
        <v>#DIV/0!</v>
      </c>
      <c r="S379" s="1" t="e">
        <f t="shared" si="189"/>
        <v>#DIV/0!</v>
      </c>
      <c r="T379" s="1" t="e">
        <f t="shared" si="190"/>
        <v>#DIV/0!</v>
      </c>
      <c r="U379" s="1" t="e">
        <f t="shared" si="191"/>
        <v>#DIV/0!</v>
      </c>
      <c r="V379">
        <f t="shared" si="192"/>
        <v>851.48</v>
      </c>
      <c r="W379">
        <f t="shared" si="193"/>
        <v>0</v>
      </c>
      <c r="X379">
        <f t="shared" si="194"/>
        <v>0</v>
      </c>
      <c r="Y379">
        <f t="shared" si="195"/>
        <v>0</v>
      </c>
      <c r="Z379">
        <f t="shared" si="196"/>
        <v>0</v>
      </c>
      <c r="AA379">
        <f t="shared" si="197"/>
        <v>0</v>
      </c>
      <c r="AC379">
        <f t="shared" si="198"/>
        <v>1045.25</v>
      </c>
      <c r="AD379">
        <f t="shared" si="199"/>
        <v>0</v>
      </c>
      <c r="AE379">
        <f t="shared" si="200"/>
        <v>0</v>
      </c>
      <c r="AF379">
        <f t="shared" si="201"/>
        <v>0</v>
      </c>
      <c r="AG379">
        <f t="shared" si="202"/>
        <v>0</v>
      </c>
      <c r="AH379">
        <f t="shared" si="203"/>
        <v>0</v>
      </c>
      <c r="AJ379">
        <f t="shared" si="204"/>
        <v>1239.01</v>
      </c>
      <c r="AK379">
        <f t="shared" si="205"/>
        <v>0</v>
      </c>
      <c r="AL379">
        <f t="shared" si="206"/>
        <v>0</v>
      </c>
      <c r="AM379">
        <f t="shared" si="207"/>
        <v>0</v>
      </c>
      <c r="AN379">
        <f t="shared" si="208"/>
        <v>0</v>
      </c>
      <c r="AO379">
        <f t="shared" si="209"/>
        <v>0</v>
      </c>
    </row>
    <row r="380" spans="1:41" x14ac:dyDescent="0.45">
      <c r="A380">
        <v>37.32025788</v>
      </c>
      <c r="B380">
        <v>118.8306778</v>
      </c>
      <c r="C380">
        <v>34.005298609999997</v>
      </c>
      <c r="D380">
        <v>0.37020901000000001</v>
      </c>
      <c r="E380">
        <f t="shared" si="175"/>
        <v>0.37020901000000001</v>
      </c>
      <c r="F380">
        <f t="shared" si="176"/>
        <v>0</v>
      </c>
      <c r="G380">
        <f t="shared" si="177"/>
        <v>0</v>
      </c>
      <c r="H380">
        <f t="shared" si="178"/>
        <v>0</v>
      </c>
      <c r="I380">
        <f t="shared" si="179"/>
        <v>0</v>
      </c>
      <c r="J380">
        <f t="shared" si="180"/>
        <v>0</v>
      </c>
      <c r="K380" s="1">
        <f t="shared" si="181"/>
        <v>0</v>
      </c>
      <c r="L380" s="1">
        <f t="shared" si="182"/>
        <v>0</v>
      </c>
      <c r="M380" s="1">
        <f t="shared" si="183"/>
        <v>0</v>
      </c>
      <c r="N380" s="1">
        <f t="shared" si="184"/>
        <v>0</v>
      </c>
      <c r="O380" s="1">
        <f t="shared" si="185"/>
        <v>0</v>
      </c>
      <c r="P380" s="1">
        <f t="shared" si="186"/>
        <v>25</v>
      </c>
      <c r="Q380" s="1" t="e">
        <f t="shared" si="187"/>
        <v>#DIV/0!</v>
      </c>
      <c r="R380" s="1" t="e">
        <f t="shared" si="188"/>
        <v>#DIV/0!</v>
      </c>
      <c r="S380" s="1" t="e">
        <f t="shared" si="189"/>
        <v>#DIV/0!</v>
      </c>
      <c r="T380" s="1" t="e">
        <f t="shared" si="190"/>
        <v>#DIV/0!</v>
      </c>
      <c r="U380" s="1" t="e">
        <f t="shared" si="191"/>
        <v>#DIV/0!</v>
      </c>
      <c r="V380">
        <f t="shared" si="192"/>
        <v>851.48</v>
      </c>
      <c r="W380">
        <f t="shared" si="193"/>
        <v>0</v>
      </c>
      <c r="X380">
        <f t="shared" si="194"/>
        <v>0</v>
      </c>
      <c r="Y380">
        <f t="shared" si="195"/>
        <v>0</v>
      </c>
      <c r="Z380">
        <f t="shared" si="196"/>
        <v>0</v>
      </c>
      <c r="AA380">
        <f t="shared" si="197"/>
        <v>0</v>
      </c>
      <c r="AC380">
        <f t="shared" si="198"/>
        <v>1045.25</v>
      </c>
      <c r="AD380">
        <f t="shared" si="199"/>
        <v>0</v>
      </c>
      <c r="AE380">
        <f t="shared" si="200"/>
        <v>0</v>
      </c>
      <c r="AF380">
        <f t="shared" si="201"/>
        <v>0</v>
      </c>
      <c r="AG380">
        <f t="shared" si="202"/>
        <v>0</v>
      </c>
      <c r="AH380">
        <f t="shared" si="203"/>
        <v>0</v>
      </c>
      <c r="AJ380">
        <f t="shared" si="204"/>
        <v>1239.01</v>
      </c>
      <c r="AK380">
        <f t="shared" si="205"/>
        <v>0</v>
      </c>
      <c r="AL380">
        <f t="shared" si="206"/>
        <v>0</v>
      </c>
      <c r="AM380">
        <f t="shared" si="207"/>
        <v>0</v>
      </c>
      <c r="AN380">
        <f t="shared" si="208"/>
        <v>0</v>
      </c>
      <c r="AO380">
        <f t="shared" si="209"/>
        <v>0</v>
      </c>
    </row>
    <row r="381" spans="1:41" x14ac:dyDescent="0.45">
      <c r="A381">
        <v>37.320626730000001</v>
      </c>
      <c r="B381">
        <v>108.9116101</v>
      </c>
      <c r="C381">
        <v>2.8402893499999999</v>
      </c>
      <c r="D381">
        <v>3.2481150599999999</v>
      </c>
      <c r="E381">
        <f t="shared" si="175"/>
        <v>2.8402893499999999</v>
      </c>
      <c r="F381">
        <f t="shared" si="176"/>
        <v>0</v>
      </c>
      <c r="G381">
        <f t="shared" si="177"/>
        <v>0</v>
      </c>
      <c r="H381">
        <f t="shared" si="178"/>
        <v>0</v>
      </c>
      <c r="I381">
        <f t="shared" si="179"/>
        <v>0</v>
      </c>
      <c r="J381">
        <f t="shared" si="180"/>
        <v>0</v>
      </c>
      <c r="K381" s="1">
        <f t="shared" si="181"/>
        <v>0</v>
      </c>
      <c r="L381" s="1">
        <f t="shared" si="182"/>
        <v>0</v>
      </c>
      <c r="M381" s="1">
        <f t="shared" si="183"/>
        <v>0</v>
      </c>
      <c r="N381" s="1">
        <f t="shared" si="184"/>
        <v>0</v>
      </c>
      <c r="O381" s="1">
        <f t="shared" si="185"/>
        <v>0</v>
      </c>
      <c r="P381" s="1">
        <f t="shared" si="186"/>
        <v>21.861058625798805</v>
      </c>
      <c r="Q381" s="1" t="e">
        <f t="shared" si="187"/>
        <v>#DIV/0!</v>
      </c>
      <c r="R381" s="1" t="e">
        <f t="shared" si="188"/>
        <v>#DIV/0!</v>
      </c>
      <c r="S381" s="1" t="e">
        <f t="shared" si="189"/>
        <v>#DIV/0!</v>
      </c>
      <c r="T381" s="1" t="e">
        <f t="shared" si="190"/>
        <v>#DIV/0!</v>
      </c>
      <c r="U381" s="1" t="e">
        <f t="shared" si="191"/>
        <v>#DIV/0!</v>
      </c>
      <c r="V381">
        <f t="shared" si="192"/>
        <v>749.46440533846112</v>
      </c>
      <c r="W381">
        <f t="shared" si="193"/>
        <v>0</v>
      </c>
      <c r="X381">
        <f t="shared" si="194"/>
        <v>0</v>
      </c>
      <c r="Y381">
        <f t="shared" si="195"/>
        <v>0</v>
      </c>
      <c r="Z381">
        <f t="shared" si="196"/>
        <v>0</v>
      </c>
      <c r="AA381">
        <f t="shared" si="197"/>
        <v>0</v>
      </c>
      <c r="AC381">
        <f t="shared" si="198"/>
        <v>919.69234503195219</v>
      </c>
      <c r="AD381">
        <f t="shared" si="199"/>
        <v>0</v>
      </c>
      <c r="AE381">
        <f t="shared" si="200"/>
        <v>0</v>
      </c>
      <c r="AF381">
        <f t="shared" si="201"/>
        <v>0</v>
      </c>
      <c r="AG381">
        <f t="shared" si="202"/>
        <v>0</v>
      </c>
      <c r="AH381">
        <f t="shared" si="203"/>
        <v>0</v>
      </c>
      <c r="AJ381">
        <f t="shared" si="204"/>
        <v>1089.9102847254433</v>
      </c>
      <c r="AK381">
        <f t="shared" si="205"/>
        <v>0</v>
      </c>
      <c r="AL381">
        <f t="shared" si="206"/>
        <v>0</v>
      </c>
      <c r="AM381">
        <f t="shared" si="207"/>
        <v>0</v>
      </c>
      <c r="AN381">
        <f t="shared" si="208"/>
        <v>0</v>
      </c>
      <c r="AO381">
        <f t="shared" si="209"/>
        <v>0</v>
      </c>
    </row>
    <row r="382" spans="1:41" x14ac:dyDescent="0.45">
      <c r="A382">
        <v>37.328203289999998</v>
      </c>
      <c r="B382">
        <v>118.31048060000001</v>
      </c>
      <c r="C382">
        <v>34.005298609999997</v>
      </c>
      <c r="D382">
        <v>16.85540962</v>
      </c>
      <c r="E382">
        <f t="shared" si="175"/>
        <v>16.85540962</v>
      </c>
      <c r="F382">
        <f t="shared" si="176"/>
        <v>0</v>
      </c>
      <c r="G382">
        <f t="shared" si="177"/>
        <v>0</v>
      </c>
      <c r="H382">
        <f t="shared" si="178"/>
        <v>0</v>
      </c>
      <c r="I382">
        <f t="shared" si="179"/>
        <v>0</v>
      </c>
      <c r="J382">
        <f t="shared" si="180"/>
        <v>0</v>
      </c>
      <c r="K382" s="1">
        <f t="shared" si="181"/>
        <v>0</v>
      </c>
      <c r="L382" s="1">
        <f t="shared" si="182"/>
        <v>0</v>
      </c>
      <c r="M382" s="1">
        <f t="shared" si="183"/>
        <v>0</v>
      </c>
      <c r="N382" s="1">
        <f t="shared" si="184"/>
        <v>0</v>
      </c>
      <c r="O382" s="1">
        <f t="shared" si="185"/>
        <v>0</v>
      </c>
      <c r="P382" s="1">
        <f t="shared" si="186"/>
        <v>25</v>
      </c>
      <c r="Q382" s="1" t="e">
        <f t="shared" si="187"/>
        <v>#DIV/0!</v>
      </c>
      <c r="R382" s="1" t="e">
        <f t="shared" si="188"/>
        <v>#DIV/0!</v>
      </c>
      <c r="S382" s="1" t="e">
        <f t="shared" si="189"/>
        <v>#DIV/0!</v>
      </c>
      <c r="T382" s="1" t="e">
        <f t="shared" si="190"/>
        <v>#DIV/0!</v>
      </c>
      <c r="U382" s="1" t="e">
        <f t="shared" si="191"/>
        <v>#DIV/0!</v>
      </c>
      <c r="V382">
        <f t="shared" si="192"/>
        <v>851.48</v>
      </c>
      <c r="W382">
        <f t="shared" si="193"/>
        <v>0</v>
      </c>
      <c r="X382">
        <f t="shared" si="194"/>
        <v>0</v>
      </c>
      <c r="Y382">
        <f t="shared" si="195"/>
        <v>0</v>
      </c>
      <c r="Z382">
        <f t="shared" si="196"/>
        <v>0</v>
      </c>
      <c r="AA382">
        <f t="shared" si="197"/>
        <v>0</v>
      </c>
      <c r="AC382">
        <f t="shared" si="198"/>
        <v>1045.25</v>
      </c>
      <c r="AD382">
        <f t="shared" si="199"/>
        <v>0</v>
      </c>
      <c r="AE382">
        <f t="shared" si="200"/>
        <v>0</v>
      </c>
      <c r="AF382">
        <f t="shared" si="201"/>
        <v>0</v>
      </c>
      <c r="AG382">
        <f t="shared" si="202"/>
        <v>0</v>
      </c>
      <c r="AH382">
        <f t="shared" si="203"/>
        <v>0</v>
      </c>
      <c r="AJ382">
        <f t="shared" si="204"/>
        <v>1239.01</v>
      </c>
      <c r="AK382">
        <f t="shared" si="205"/>
        <v>0</v>
      </c>
      <c r="AL382">
        <f t="shared" si="206"/>
        <v>0</v>
      </c>
      <c r="AM382">
        <f t="shared" si="207"/>
        <v>0</v>
      </c>
      <c r="AN382">
        <f t="shared" si="208"/>
        <v>0</v>
      </c>
      <c r="AO382">
        <f t="shared" si="209"/>
        <v>0</v>
      </c>
    </row>
    <row r="383" spans="1:41" x14ac:dyDescent="0.45">
      <c r="A383">
        <v>37.350225600000002</v>
      </c>
      <c r="B383">
        <v>118.5458155</v>
      </c>
      <c r="C383">
        <v>34.005298609999997</v>
      </c>
      <c r="D383">
        <v>3.84434509</v>
      </c>
      <c r="E383">
        <f t="shared" si="175"/>
        <v>3.84434509</v>
      </c>
      <c r="F383">
        <f t="shared" si="176"/>
        <v>0</v>
      </c>
      <c r="G383">
        <f t="shared" si="177"/>
        <v>0</v>
      </c>
      <c r="H383">
        <f t="shared" si="178"/>
        <v>0</v>
      </c>
      <c r="I383">
        <f t="shared" si="179"/>
        <v>0</v>
      </c>
      <c r="J383">
        <f t="shared" si="180"/>
        <v>0</v>
      </c>
      <c r="K383" s="1">
        <f t="shared" si="181"/>
        <v>0</v>
      </c>
      <c r="L383" s="1">
        <f t="shared" si="182"/>
        <v>0</v>
      </c>
      <c r="M383" s="1">
        <f t="shared" si="183"/>
        <v>0</v>
      </c>
      <c r="N383" s="1">
        <f t="shared" si="184"/>
        <v>0</v>
      </c>
      <c r="O383" s="1">
        <f t="shared" si="185"/>
        <v>0</v>
      </c>
      <c r="P383" s="1">
        <f t="shared" si="186"/>
        <v>25</v>
      </c>
      <c r="Q383" s="1" t="e">
        <f t="shared" si="187"/>
        <v>#DIV/0!</v>
      </c>
      <c r="R383" s="1" t="e">
        <f t="shared" si="188"/>
        <v>#DIV/0!</v>
      </c>
      <c r="S383" s="1" t="e">
        <f t="shared" si="189"/>
        <v>#DIV/0!</v>
      </c>
      <c r="T383" s="1" t="e">
        <f t="shared" si="190"/>
        <v>#DIV/0!</v>
      </c>
      <c r="U383" s="1" t="e">
        <f t="shared" si="191"/>
        <v>#DIV/0!</v>
      </c>
      <c r="V383">
        <f t="shared" si="192"/>
        <v>851.48</v>
      </c>
      <c r="W383">
        <f t="shared" si="193"/>
        <v>0</v>
      </c>
      <c r="X383">
        <f t="shared" si="194"/>
        <v>0</v>
      </c>
      <c r="Y383">
        <f t="shared" si="195"/>
        <v>0</v>
      </c>
      <c r="Z383">
        <f t="shared" si="196"/>
        <v>0</v>
      </c>
      <c r="AA383">
        <f t="shared" si="197"/>
        <v>0</v>
      </c>
      <c r="AC383">
        <f t="shared" si="198"/>
        <v>1045.25</v>
      </c>
      <c r="AD383">
        <f t="shared" si="199"/>
        <v>0</v>
      </c>
      <c r="AE383">
        <f t="shared" si="200"/>
        <v>0</v>
      </c>
      <c r="AF383">
        <f t="shared" si="201"/>
        <v>0</v>
      </c>
      <c r="AG383">
        <f t="shared" si="202"/>
        <v>0</v>
      </c>
      <c r="AH383">
        <f t="shared" si="203"/>
        <v>0</v>
      </c>
      <c r="AJ383">
        <f t="shared" si="204"/>
        <v>1239.01</v>
      </c>
      <c r="AK383">
        <f t="shared" si="205"/>
        <v>0</v>
      </c>
      <c r="AL383">
        <f t="shared" si="206"/>
        <v>0</v>
      </c>
      <c r="AM383">
        <f t="shared" si="207"/>
        <v>0</v>
      </c>
      <c r="AN383">
        <f t="shared" si="208"/>
        <v>0</v>
      </c>
      <c r="AO383">
        <f t="shared" si="209"/>
        <v>0</v>
      </c>
    </row>
    <row r="384" spans="1:41" x14ac:dyDescent="0.45">
      <c r="A384">
        <v>37.362617229999998</v>
      </c>
      <c r="B384">
        <v>117.968351</v>
      </c>
      <c r="C384">
        <v>150.00115969999999</v>
      </c>
      <c r="D384">
        <v>6.3215909000000003</v>
      </c>
      <c r="E384">
        <f t="shared" si="175"/>
        <v>6.3215909000000003</v>
      </c>
      <c r="F384">
        <f t="shared" si="176"/>
        <v>0</v>
      </c>
      <c r="G384">
        <f t="shared" si="177"/>
        <v>0</v>
      </c>
      <c r="H384">
        <f t="shared" si="178"/>
        <v>0</v>
      </c>
      <c r="I384">
        <f t="shared" si="179"/>
        <v>0</v>
      </c>
      <c r="J384">
        <f t="shared" si="180"/>
        <v>0</v>
      </c>
      <c r="K384" s="1">
        <f t="shared" si="181"/>
        <v>0</v>
      </c>
      <c r="L384" s="1">
        <f t="shared" si="182"/>
        <v>0</v>
      </c>
      <c r="M384" s="1">
        <f t="shared" si="183"/>
        <v>0</v>
      </c>
      <c r="N384" s="1">
        <f t="shared" si="184"/>
        <v>0</v>
      </c>
      <c r="O384" s="1">
        <f t="shared" si="185"/>
        <v>0</v>
      </c>
      <c r="P384" s="1">
        <f t="shared" si="186"/>
        <v>25</v>
      </c>
      <c r="Q384" s="1" t="e">
        <f t="shared" si="187"/>
        <v>#DIV/0!</v>
      </c>
      <c r="R384" s="1" t="e">
        <f t="shared" si="188"/>
        <v>#DIV/0!</v>
      </c>
      <c r="S384" s="1" t="e">
        <f t="shared" si="189"/>
        <v>#DIV/0!</v>
      </c>
      <c r="T384" s="1" t="e">
        <f t="shared" si="190"/>
        <v>#DIV/0!</v>
      </c>
      <c r="U384" s="1" t="e">
        <f t="shared" si="191"/>
        <v>#DIV/0!</v>
      </c>
      <c r="V384">
        <f t="shared" si="192"/>
        <v>851.48</v>
      </c>
      <c r="W384">
        <f t="shared" si="193"/>
        <v>0</v>
      </c>
      <c r="X384">
        <f t="shared" si="194"/>
        <v>0</v>
      </c>
      <c r="Y384">
        <f t="shared" si="195"/>
        <v>0</v>
      </c>
      <c r="Z384">
        <f t="shared" si="196"/>
        <v>0</v>
      </c>
      <c r="AA384">
        <f t="shared" si="197"/>
        <v>0</v>
      </c>
      <c r="AC384">
        <f t="shared" si="198"/>
        <v>1045.25</v>
      </c>
      <c r="AD384">
        <f t="shared" si="199"/>
        <v>0</v>
      </c>
      <c r="AE384">
        <f t="shared" si="200"/>
        <v>0</v>
      </c>
      <c r="AF384">
        <f t="shared" si="201"/>
        <v>0</v>
      </c>
      <c r="AG384">
        <f t="shared" si="202"/>
        <v>0</v>
      </c>
      <c r="AH384">
        <f t="shared" si="203"/>
        <v>0</v>
      </c>
      <c r="AJ384">
        <f t="shared" si="204"/>
        <v>1239.01</v>
      </c>
      <c r="AK384">
        <f t="shared" si="205"/>
        <v>0</v>
      </c>
      <c r="AL384">
        <f t="shared" si="206"/>
        <v>0</v>
      </c>
      <c r="AM384">
        <f t="shared" si="207"/>
        <v>0</v>
      </c>
      <c r="AN384">
        <f t="shared" si="208"/>
        <v>0</v>
      </c>
      <c r="AO384">
        <f t="shared" si="209"/>
        <v>0</v>
      </c>
    </row>
    <row r="385" spans="1:41" x14ac:dyDescent="0.45">
      <c r="A385">
        <v>37.365740430000002</v>
      </c>
      <c r="B385">
        <v>118.8382707</v>
      </c>
      <c r="C385">
        <v>34.005298609999997</v>
      </c>
      <c r="D385">
        <v>0.21855300999999999</v>
      </c>
      <c r="E385">
        <f t="shared" si="175"/>
        <v>0.21855300999999999</v>
      </c>
      <c r="F385">
        <f t="shared" si="176"/>
        <v>0</v>
      </c>
      <c r="G385">
        <f t="shared" si="177"/>
        <v>0</v>
      </c>
      <c r="H385">
        <f t="shared" si="178"/>
        <v>0</v>
      </c>
      <c r="I385">
        <f t="shared" si="179"/>
        <v>0</v>
      </c>
      <c r="J385">
        <f t="shared" si="180"/>
        <v>0</v>
      </c>
      <c r="K385" s="1">
        <f t="shared" si="181"/>
        <v>0</v>
      </c>
      <c r="L385" s="1">
        <f t="shared" si="182"/>
        <v>0</v>
      </c>
      <c r="M385" s="1">
        <f t="shared" si="183"/>
        <v>0</v>
      </c>
      <c r="N385" s="1">
        <f t="shared" si="184"/>
        <v>0</v>
      </c>
      <c r="O385" s="1">
        <f t="shared" si="185"/>
        <v>0</v>
      </c>
      <c r="P385" s="1">
        <f t="shared" si="186"/>
        <v>25.000000000000004</v>
      </c>
      <c r="Q385" s="1" t="e">
        <f t="shared" si="187"/>
        <v>#DIV/0!</v>
      </c>
      <c r="R385" s="1" t="e">
        <f t="shared" si="188"/>
        <v>#DIV/0!</v>
      </c>
      <c r="S385" s="1" t="e">
        <f t="shared" si="189"/>
        <v>#DIV/0!</v>
      </c>
      <c r="T385" s="1" t="e">
        <f t="shared" si="190"/>
        <v>#DIV/0!</v>
      </c>
      <c r="U385" s="1" t="e">
        <f t="shared" si="191"/>
        <v>#DIV/0!</v>
      </c>
      <c r="V385">
        <f t="shared" si="192"/>
        <v>851.48000000000013</v>
      </c>
      <c r="W385">
        <f t="shared" si="193"/>
        <v>0</v>
      </c>
      <c r="X385">
        <f t="shared" si="194"/>
        <v>0</v>
      </c>
      <c r="Y385">
        <f t="shared" si="195"/>
        <v>0</v>
      </c>
      <c r="Z385">
        <f t="shared" si="196"/>
        <v>0</v>
      </c>
      <c r="AA385">
        <f t="shared" si="197"/>
        <v>0</v>
      </c>
      <c r="AC385">
        <f t="shared" si="198"/>
        <v>1045.25</v>
      </c>
      <c r="AD385">
        <f t="shared" si="199"/>
        <v>0</v>
      </c>
      <c r="AE385">
        <f t="shared" si="200"/>
        <v>0</v>
      </c>
      <c r="AF385">
        <f t="shared" si="201"/>
        <v>0</v>
      </c>
      <c r="AG385">
        <f t="shared" si="202"/>
        <v>0</v>
      </c>
      <c r="AH385">
        <f t="shared" si="203"/>
        <v>0</v>
      </c>
      <c r="AJ385">
        <f t="shared" si="204"/>
        <v>1239.0100000000002</v>
      </c>
      <c r="AK385">
        <f t="shared" si="205"/>
        <v>0</v>
      </c>
      <c r="AL385">
        <f t="shared" si="206"/>
        <v>0</v>
      </c>
      <c r="AM385">
        <f t="shared" si="207"/>
        <v>0</v>
      </c>
      <c r="AN385">
        <f t="shared" si="208"/>
        <v>0</v>
      </c>
      <c r="AO385">
        <f t="shared" si="209"/>
        <v>0</v>
      </c>
    </row>
    <row r="386" spans="1:41" x14ac:dyDescent="0.45">
      <c r="A386">
        <v>37.369196100000003</v>
      </c>
      <c r="B386">
        <v>108.7984099</v>
      </c>
      <c r="C386">
        <v>2.8402893499999999</v>
      </c>
      <c r="D386">
        <v>1.18485296</v>
      </c>
      <c r="E386">
        <f t="shared" si="175"/>
        <v>1.18485296</v>
      </c>
      <c r="F386">
        <f t="shared" si="176"/>
        <v>0</v>
      </c>
      <c r="G386">
        <f t="shared" si="177"/>
        <v>0</v>
      </c>
      <c r="H386">
        <f t="shared" si="178"/>
        <v>0</v>
      </c>
      <c r="I386">
        <f t="shared" si="179"/>
        <v>0</v>
      </c>
      <c r="J386">
        <f t="shared" si="180"/>
        <v>0</v>
      </c>
      <c r="K386" s="1">
        <f t="shared" si="181"/>
        <v>0</v>
      </c>
      <c r="L386" s="1">
        <f t="shared" si="182"/>
        <v>0</v>
      </c>
      <c r="M386" s="1">
        <f t="shared" si="183"/>
        <v>0</v>
      </c>
      <c r="N386" s="1">
        <f t="shared" si="184"/>
        <v>0</v>
      </c>
      <c r="O386" s="1">
        <f t="shared" si="185"/>
        <v>0</v>
      </c>
      <c r="P386" s="1">
        <f t="shared" si="186"/>
        <v>25</v>
      </c>
      <c r="Q386" s="1" t="e">
        <f t="shared" si="187"/>
        <v>#DIV/0!</v>
      </c>
      <c r="R386" s="1" t="e">
        <f t="shared" si="188"/>
        <v>#DIV/0!</v>
      </c>
      <c r="S386" s="1" t="e">
        <f t="shared" si="189"/>
        <v>#DIV/0!</v>
      </c>
      <c r="T386" s="1" t="e">
        <f t="shared" si="190"/>
        <v>#DIV/0!</v>
      </c>
      <c r="U386" s="1" t="e">
        <f t="shared" si="191"/>
        <v>#DIV/0!</v>
      </c>
      <c r="V386">
        <f t="shared" si="192"/>
        <v>851.48</v>
      </c>
      <c r="W386">
        <f t="shared" si="193"/>
        <v>0</v>
      </c>
      <c r="X386">
        <f t="shared" si="194"/>
        <v>0</v>
      </c>
      <c r="Y386">
        <f t="shared" si="195"/>
        <v>0</v>
      </c>
      <c r="Z386">
        <f t="shared" si="196"/>
        <v>0</v>
      </c>
      <c r="AA386">
        <f t="shared" si="197"/>
        <v>0</v>
      </c>
      <c r="AC386">
        <f t="shared" si="198"/>
        <v>1045.25</v>
      </c>
      <c r="AD386">
        <f t="shared" si="199"/>
        <v>0</v>
      </c>
      <c r="AE386">
        <f t="shared" si="200"/>
        <v>0</v>
      </c>
      <c r="AF386">
        <f t="shared" si="201"/>
        <v>0</v>
      </c>
      <c r="AG386">
        <f t="shared" si="202"/>
        <v>0</v>
      </c>
      <c r="AH386">
        <f t="shared" si="203"/>
        <v>0</v>
      </c>
      <c r="AJ386">
        <f t="shared" si="204"/>
        <v>1239.01</v>
      </c>
      <c r="AK386">
        <f t="shared" si="205"/>
        <v>0</v>
      </c>
      <c r="AL386">
        <f t="shared" si="206"/>
        <v>0</v>
      </c>
      <c r="AM386">
        <f t="shared" si="207"/>
        <v>0</v>
      </c>
      <c r="AN386">
        <f t="shared" si="208"/>
        <v>0</v>
      </c>
      <c r="AO386">
        <f t="shared" si="209"/>
        <v>0</v>
      </c>
    </row>
    <row r="387" spans="1:41" x14ac:dyDescent="0.45">
      <c r="A387">
        <v>37.379462019999998</v>
      </c>
      <c r="B387">
        <v>117.79717309999999</v>
      </c>
      <c r="C387">
        <v>9.6543779399999998</v>
      </c>
      <c r="D387">
        <v>2.6311309299999999</v>
      </c>
      <c r="E387">
        <f t="shared" ref="E387:E450" si="210">MIN(C387,D387)</f>
        <v>2.6311309299999999</v>
      </c>
      <c r="F387">
        <f t="shared" ref="F387:F450" si="211">MAX(0,(D387-(C387*(2030-2025))))</f>
        <v>0</v>
      </c>
      <c r="G387">
        <f t="shared" ref="G387:G450" si="212">MAX(0,(D387-(C387*(2035-2025))))</f>
        <v>0</v>
      </c>
      <c r="H387">
        <f t="shared" ref="H387:H450" si="213">MAX(0,(D387-(C387*(2040-2025))))</f>
        <v>0</v>
      </c>
      <c r="I387">
        <f t="shared" ref="I387:I450" si="214">MAX(0,(D387-(C387*(2045-2025))))</f>
        <v>0</v>
      </c>
      <c r="J387">
        <f t="shared" ref="J387:J450" si="215">MAX(0,(D387-(C387*(2050-2025))))</f>
        <v>0</v>
      </c>
      <c r="K387" s="1">
        <f t="shared" ref="K387:K450" si="216">MIN(E387,F387)</f>
        <v>0</v>
      </c>
      <c r="L387" s="1">
        <f t="shared" ref="L387:L450" si="217">MIN(E387,G387)</f>
        <v>0</v>
      </c>
      <c r="M387" s="1">
        <f t="shared" ref="M387:M450" si="218">MIN(E387,H387)</f>
        <v>0</v>
      </c>
      <c r="N387" s="1">
        <f t="shared" ref="N387:N450" si="219">MIN(E387,I387)</f>
        <v>0</v>
      </c>
      <c r="O387" s="1">
        <f t="shared" ref="O387:O450" si="220">MIN(E387,J387)</f>
        <v>0</v>
      </c>
      <c r="P387" s="1">
        <f t="shared" ref="P387:P450" si="221">MAX(1,((25*E387)/D387))</f>
        <v>25</v>
      </c>
      <c r="Q387" s="1" t="e">
        <f t="shared" ref="Q387:Q450" si="222">MAX(1, ((25*K387)/F387))</f>
        <v>#DIV/0!</v>
      </c>
      <c r="R387" s="1" t="e">
        <f t="shared" ref="R387:R450" si="223">MAX(1, ((25*L387)/G387))</f>
        <v>#DIV/0!</v>
      </c>
      <c r="S387" s="1" t="e">
        <f t="shared" ref="S387:S450" si="224">MAX(1, ((25*M387)/H387))</f>
        <v>#DIV/0!</v>
      </c>
      <c r="T387" s="1" t="e">
        <f t="shared" ref="T387:T450" si="225">MAX(1, ((25*N387)/I387))</f>
        <v>#DIV/0!</v>
      </c>
      <c r="U387" s="1" t="e">
        <f t="shared" ref="U387:U450" si="226">MAX(1, ((25*O387)/J387))</f>
        <v>#DIV/0!</v>
      </c>
      <c r="V387">
        <f t="shared" ref="V387:V450" si="227">(32.02+6.96+(0.13*250*P387))</f>
        <v>851.48</v>
      </c>
      <c r="W387">
        <f t="shared" ref="W387:W450" si="228">IF(F387&gt;0,(32.72+6.27+(0.15*250*Q387)),F387)</f>
        <v>0</v>
      </c>
      <c r="X387">
        <f t="shared" ref="X387:X450" si="229">IF(G387&gt;0,(22.27+4.87+(0.1*250*S387)),G387)</f>
        <v>0</v>
      </c>
      <c r="Y387">
        <f t="shared" ref="Y387:Y450" si="230">IF(H387&gt;0,(13.92+4.18+(0.08*250*S387)),H387)</f>
        <v>0</v>
      </c>
      <c r="Z387">
        <f t="shared" ref="Z387:Z450" si="231">IF(I387&gt;0,(11.14+3.48+(0.07*250*T387)),I387)</f>
        <v>0</v>
      </c>
      <c r="AA387">
        <f t="shared" ref="AA387:AA450" si="232">IF(J387&gt;0,(9.75+2.78+(0.07*250*U387)),J387)</f>
        <v>0</v>
      </c>
      <c r="AC387">
        <f t="shared" ref="AC387:AC450" si="233">IF(D387&gt;0,(37.59+7.66+(0.16*250*P387)),D387)</f>
        <v>1045.25</v>
      </c>
      <c r="AD387">
        <f t="shared" ref="AD387:AD450" si="234">IF(F387&gt;0,(32.72+6.27+(0.15*250*Q387)),F387)</f>
        <v>0</v>
      </c>
      <c r="AE387">
        <f t="shared" ref="AE387:AE450" si="235">IF(G387&gt;0,(26.45+5.22+(0.13*250*R387)),G387)</f>
        <v>0</v>
      </c>
      <c r="AF387">
        <f t="shared" ref="AF387:AF450" si="236">IF(H387&gt;0,(15.31+4.53+(0.12*250*S387)),H387)</f>
        <v>0</v>
      </c>
      <c r="AG387">
        <f t="shared" ref="AG387:AG450" si="237">IF(I387&gt;0,(16.01+3.83+(0.11*250+T387)),I387)</f>
        <v>0</v>
      </c>
      <c r="AH387">
        <f t="shared" ref="AH387:AH450" si="238">IF(J387,(13.23+3.13+(0.1*250*U387)),J387)</f>
        <v>0</v>
      </c>
      <c r="AJ387">
        <f t="shared" ref="AJ387:AJ450" si="239">(43.16+8.35+(0.19*250*P387))</f>
        <v>1239.01</v>
      </c>
      <c r="AK387">
        <f t="shared" ref="AK387:AK450" si="240">IF(F387&gt;0,(38.98+6.96+(0.18*250*Q387)),F387)</f>
        <v>0</v>
      </c>
      <c r="AL387">
        <f t="shared" ref="AL387:AL450" si="241">IF(G387&gt;0,(30.63+5.57+(0.17*250*R387)),G387)</f>
        <v>0</v>
      </c>
      <c r="AM387">
        <f t="shared" ref="AM387:AM450" si="242">IF(H387&gt;0,(25.06+4.87+(0.15*250*S387)),H387)</f>
        <v>0</v>
      </c>
      <c r="AN387">
        <f t="shared" ref="AN387:AN450" si="243">IF(I387&gt;0,(20.88+4.18+(0.15*250*T387)),I387)</f>
        <v>0</v>
      </c>
      <c r="AO387">
        <f t="shared" ref="AO387:AO450" si="244">IF(J387,(16.71+3.48+(0.14*250*U387)),J387)</f>
        <v>0</v>
      </c>
    </row>
    <row r="388" spans="1:41" x14ac:dyDescent="0.45">
      <c r="A388">
        <v>37.386016009999999</v>
      </c>
      <c r="B388">
        <v>107.9362203</v>
      </c>
      <c r="C388">
        <v>1.38540113</v>
      </c>
      <c r="D388">
        <v>11.823537829999999</v>
      </c>
      <c r="E388">
        <f t="shared" si="210"/>
        <v>1.38540113</v>
      </c>
      <c r="F388">
        <f t="shared" si="211"/>
        <v>4.8965321799999995</v>
      </c>
      <c r="G388">
        <f t="shared" si="212"/>
        <v>0</v>
      </c>
      <c r="H388">
        <f t="shared" si="213"/>
        <v>0</v>
      </c>
      <c r="I388">
        <f t="shared" si="214"/>
        <v>0</v>
      </c>
      <c r="J388">
        <f t="shared" si="215"/>
        <v>0</v>
      </c>
      <c r="K388" s="1">
        <f t="shared" si="216"/>
        <v>1.38540113</v>
      </c>
      <c r="L388" s="1">
        <f t="shared" si="217"/>
        <v>0</v>
      </c>
      <c r="M388" s="1">
        <f t="shared" si="218"/>
        <v>0</v>
      </c>
      <c r="N388" s="1">
        <f t="shared" si="219"/>
        <v>0</v>
      </c>
      <c r="O388" s="1">
        <f t="shared" si="220"/>
        <v>0</v>
      </c>
      <c r="P388" s="1">
        <f t="shared" si="221"/>
        <v>2.9293286618595782</v>
      </c>
      <c r="Q388" s="1">
        <f t="shared" si="222"/>
        <v>7.0733790725337382</v>
      </c>
      <c r="R388" s="1" t="e">
        <f t="shared" si="223"/>
        <v>#DIV/0!</v>
      </c>
      <c r="S388" s="1" t="e">
        <f t="shared" si="224"/>
        <v>#DIV/0!</v>
      </c>
      <c r="T388" s="1" t="e">
        <f t="shared" si="225"/>
        <v>#DIV/0!</v>
      </c>
      <c r="U388" s="1" t="e">
        <f t="shared" si="226"/>
        <v>#DIV/0!</v>
      </c>
      <c r="V388">
        <f t="shared" si="227"/>
        <v>134.1831815104363</v>
      </c>
      <c r="W388">
        <f t="shared" si="228"/>
        <v>304.24171522001518</v>
      </c>
      <c r="X388">
        <f t="shared" si="229"/>
        <v>0</v>
      </c>
      <c r="Y388">
        <f t="shared" si="230"/>
        <v>0</v>
      </c>
      <c r="Z388">
        <f t="shared" si="231"/>
        <v>0</v>
      </c>
      <c r="AA388">
        <f t="shared" si="232"/>
        <v>0</v>
      </c>
      <c r="AC388">
        <f t="shared" si="233"/>
        <v>162.42314647438315</v>
      </c>
      <c r="AD388">
        <f t="shared" si="234"/>
        <v>304.24171522001518</v>
      </c>
      <c r="AE388">
        <f t="shared" si="235"/>
        <v>0</v>
      </c>
      <c r="AF388">
        <f t="shared" si="236"/>
        <v>0</v>
      </c>
      <c r="AG388">
        <f t="shared" si="237"/>
        <v>0</v>
      </c>
      <c r="AH388">
        <f t="shared" si="238"/>
        <v>0</v>
      </c>
      <c r="AJ388">
        <f t="shared" si="239"/>
        <v>190.65311143832994</v>
      </c>
      <c r="AK388">
        <f t="shared" si="240"/>
        <v>364.24205826401823</v>
      </c>
      <c r="AL388">
        <f t="shared" si="241"/>
        <v>0</v>
      </c>
      <c r="AM388">
        <f t="shared" si="242"/>
        <v>0</v>
      </c>
      <c r="AN388">
        <f t="shared" si="243"/>
        <v>0</v>
      </c>
      <c r="AO388">
        <f t="shared" si="244"/>
        <v>0</v>
      </c>
    </row>
    <row r="389" spans="1:41" x14ac:dyDescent="0.45">
      <c r="A389">
        <v>37.3957251</v>
      </c>
      <c r="B389">
        <v>118.5532436</v>
      </c>
      <c r="C389">
        <v>34.005298609999997</v>
      </c>
      <c r="D389">
        <v>12.07094288</v>
      </c>
      <c r="E389">
        <f t="shared" si="210"/>
        <v>12.07094288</v>
      </c>
      <c r="F389">
        <f t="shared" si="211"/>
        <v>0</v>
      </c>
      <c r="G389">
        <f t="shared" si="212"/>
        <v>0</v>
      </c>
      <c r="H389">
        <f t="shared" si="213"/>
        <v>0</v>
      </c>
      <c r="I389">
        <f t="shared" si="214"/>
        <v>0</v>
      </c>
      <c r="J389">
        <f t="shared" si="215"/>
        <v>0</v>
      </c>
      <c r="K389" s="1">
        <f t="shared" si="216"/>
        <v>0</v>
      </c>
      <c r="L389" s="1">
        <f t="shared" si="217"/>
        <v>0</v>
      </c>
      <c r="M389" s="1">
        <f t="shared" si="218"/>
        <v>0</v>
      </c>
      <c r="N389" s="1">
        <f t="shared" si="219"/>
        <v>0</v>
      </c>
      <c r="O389" s="1">
        <f t="shared" si="220"/>
        <v>0</v>
      </c>
      <c r="P389" s="1">
        <f t="shared" si="221"/>
        <v>25</v>
      </c>
      <c r="Q389" s="1" t="e">
        <f t="shared" si="222"/>
        <v>#DIV/0!</v>
      </c>
      <c r="R389" s="1" t="e">
        <f t="shared" si="223"/>
        <v>#DIV/0!</v>
      </c>
      <c r="S389" s="1" t="e">
        <f t="shared" si="224"/>
        <v>#DIV/0!</v>
      </c>
      <c r="T389" s="1" t="e">
        <f t="shared" si="225"/>
        <v>#DIV/0!</v>
      </c>
      <c r="U389" s="1" t="e">
        <f t="shared" si="226"/>
        <v>#DIV/0!</v>
      </c>
      <c r="V389">
        <f t="shared" si="227"/>
        <v>851.48</v>
      </c>
      <c r="W389">
        <f t="shared" si="228"/>
        <v>0</v>
      </c>
      <c r="X389">
        <f t="shared" si="229"/>
        <v>0</v>
      </c>
      <c r="Y389">
        <f t="shared" si="230"/>
        <v>0</v>
      </c>
      <c r="Z389">
        <f t="shared" si="231"/>
        <v>0</v>
      </c>
      <c r="AA389">
        <f t="shared" si="232"/>
        <v>0</v>
      </c>
      <c r="AC389">
        <f t="shared" si="233"/>
        <v>1045.25</v>
      </c>
      <c r="AD389">
        <f t="shared" si="234"/>
        <v>0</v>
      </c>
      <c r="AE389">
        <f t="shared" si="235"/>
        <v>0</v>
      </c>
      <c r="AF389">
        <f t="shared" si="236"/>
        <v>0</v>
      </c>
      <c r="AG389">
        <f t="shared" si="237"/>
        <v>0</v>
      </c>
      <c r="AH389">
        <f t="shared" si="238"/>
        <v>0</v>
      </c>
      <c r="AJ389">
        <f t="shared" si="239"/>
        <v>1239.01</v>
      </c>
      <c r="AK389">
        <f t="shared" si="240"/>
        <v>0</v>
      </c>
      <c r="AL389">
        <f t="shared" si="241"/>
        <v>0</v>
      </c>
      <c r="AM389">
        <f t="shared" si="242"/>
        <v>0</v>
      </c>
      <c r="AN389">
        <f t="shared" si="243"/>
        <v>0</v>
      </c>
      <c r="AO389">
        <f t="shared" si="244"/>
        <v>0</v>
      </c>
    </row>
    <row r="390" spans="1:41" x14ac:dyDescent="0.45">
      <c r="A390">
        <v>37.397672239999999</v>
      </c>
      <c r="B390">
        <v>106.95870840000001</v>
      </c>
      <c r="C390">
        <v>2.6882860700000002</v>
      </c>
      <c r="D390">
        <v>0.42500000999999998</v>
      </c>
      <c r="E390">
        <f t="shared" si="210"/>
        <v>0.42500000999999998</v>
      </c>
      <c r="F390">
        <f t="shared" si="211"/>
        <v>0</v>
      </c>
      <c r="G390">
        <f t="shared" si="212"/>
        <v>0</v>
      </c>
      <c r="H390">
        <f t="shared" si="213"/>
        <v>0</v>
      </c>
      <c r="I390">
        <f t="shared" si="214"/>
        <v>0</v>
      </c>
      <c r="J390">
        <f t="shared" si="215"/>
        <v>0</v>
      </c>
      <c r="K390" s="1">
        <f t="shared" si="216"/>
        <v>0</v>
      </c>
      <c r="L390" s="1">
        <f t="shared" si="217"/>
        <v>0</v>
      </c>
      <c r="M390" s="1">
        <f t="shared" si="218"/>
        <v>0</v>
      </c>
      <c r="N390" s="1">
        <f t="shared" si="219"/>
        <v>0</v>
      </c>
      <c r="O390" s="1">
        <f t="shared" si="220"/>
        <v>0</v>
      </c>
      <c r="P390" s="1">
        <f t="shared" si="221"/>
        <v>25</v>
      </c>
      <c r="Q390" s="1" t="e">
        <f t="shared" si="222"/>
        <v>#DIV/0!</v>
      </c>
      <c r="R390" s="1" t="e">
        <f t="shared" si="223"/>
        <v>#DIV/0!</v>
      </c>
      <c r="S390" s="1" t="e">
        <f t="shared" si="224"/>
        <v>#DIV/0!</v>
      </c>
      <c r="T390" s="1" t="e">
        <f t="shared" si="225"/>
        <v>#DIV/0!</v>
      </c>
      <c r="U390" s="1" t="e">
        <f t="shared" si="226"/>
        <v>#DIV/0!</v>
      </c>
      <c r="V390">
        <f t="shared" si="227"/>
        <v>851.48</v>
      </c>
      <c r="W390">
        <f t="shared" si="228"/>
        <v>0</v>
      </c>
      <c r="X390">
        <f t="shared" si="229"/>
        <v>0</v>
      </c>
      <c r="Y390">
        <f t="shared" si="230"/>
        <v>0</v>
      </c>
      <c r="Z390">
        <f t="shared" si="231"/>
        <v>0</v>
      </c>
      <c r="AA390">
        <f t="shared" si="232"/>
        <v>0</v>
      </c>
      <c r="AC390">
        <f t="shared" si="233"/>
        <v>1045.25</v>
      </c>
      <c r="AD390">
        <f t="shared" si="234"/>
        <v>0</v>
      </c>
      <c r="AE390">
        <f t="shared" si="235"/>
        <v>0</v>
      </c>
      <c r="AF390">
        <f t="shared" si="236"/>
        <v>0</v>
      </c>
      <c r="AG390">
        <f t="shared" si="237"/>
        <v>0</v>
      </c>
      <c r="AH390">
        <f t="shared" si="238"/>
        <v>0</v>
      </c>
      <c r="AJ390">
        <f t="shared" si="239"/>
        <v>1239.01</v>
      </c>
      <c r="AK390">
        <f t="shared" si="240"/>
        <v>0</v>
      </c>
      <c r="AL390">
        <f t="shared" si="241"/>
        <v>0</v>
      </c>
      <c r="AM390">
        <f t="shared" si="242"/>
        <v>0</v>
      </c>
      <c r="AN390">
        <f t="shared" si="243"/>
        <v>0</v>
      </c>
      <c r="AO390">
        <f t="shared" si="244"/>
        <v>0</v>
      </c>
    </row>
    <row r="391" spans="1:41" x14ac:dyDescent="0.45">
      <c r="A391">
        <v>37.413795960000002</v>
      </c>
      <c r="B391">
        <v>117.9183561</v>
      </c>
      <c r="C391">
        <v>9.6543779399999998</v>
      </c>
      <c r="D391">
        <v>6.9414272300000004</v>
      </c>
      <c r="E391">
        <f t="shared" si="210"/>
        <v>6.9414272300000004</v>
      </c>
      <c r="F391">
        <f t="shared" si="211"/>
        <v>0</v>
      </c>
      <c r="G391">
        <f t="shared" si="212"/>
        <v>0</v>
      </c>
      <c r="H391">
        <f t="shared" si="213"/>
        <v>0</v>
      </c>
      <c r="I391">
        <f t="shared" si="214"/>
        <v>0</v>
      </c>
      <c r="J391">
        <f t="shared" si="215"/>
        <v>0</v>
      </c>
      <c r="K391" s="1">
        <f t="shared" si="216"/>
        <v>0</v>
      </c>
      <c r="L391" s="1">
        <f t="shared" si="217"/>
        <v>0</v>
      </c>
      <c r="M391" s="1">
        <f t="shared" si="218"/>
        <v>0</v>
      </c>
      <c r="N391" s="1">
        <f t="shared" si="219"/>
        <v>0</v>
      </c>
      <c r="O391" s="1">
        <f t="shared" si="220"/>
        <v>0</v>
      </c>
      <c r="P391" s="1">
        <f t="shared" si="221"/>
        <v>25</v>
      </c>
      <c r="Q391" s="1" t="e">
        <f t="shared" si="222"/>
        <v>#DIV/0!</v>
      </c>
      <c r="R391" s="1" t="e">
        <f t="shared" si="223"/>
        <v>#DIV/0!</v>
      </c>
      <c r="S391" s="1" t="e">
        <f t="shared" si="224"/>
        <v>#DIV/0!</v>
      </c>
      <c r="T391" s="1" t="e">
        <f t="shared" si="225"/>
        <v>#DIV/0!</v>
      </c>
      <c r="U391" s="1" t="e">
        <f t="shared" si="226"/>
        <v>#DIV/0!</v>
      </c>
      <c r="V391">
        <f t="shared" si="227"/>
        <v>851.48</v>
      </c>
      <c r="W391">
        <f t="shared" si="228"/>
        <v>0</v>
      </c>
      <c r="X391">
        <f t="shared" si="229"/>
        <v>0</v>
      </c>
      <c r="Y391">
        <f t="shared" si="230"/>
        <v>0</v>
      </c>
      <c r="Z391">
        <f t="shared" si="231"/>
        <v>0</v>
      </c>
      <c r="AA391">
        <f t="shared" si="232"/>
        <v>0</v>
      </c>
      <c r="AC391">
        <f t="shared" si="233"/>
        <v>1045.25</v>
      </c>
      <c r="AD391">
        <f t="shared" si="234"/>
        <v>0</v>
      </c>
      <c r="AE391">
        <f t="shared" si="235"/>
        <v>0</v>
      </c>
      <c r="AF391">
        <f t="shared" si="236"/>
        <v>0</v>
      </c>
      <c r="AG391">
        <f t="shared" si="237"/>
        <v>0</v>
      </c>
      <c r="AH391">
        <f t="shared" si="238"/>
        <v>0</v>
      </c>
      <c r="AJ391">
        <f t="shared" si="239"/>
        <v>1239.01</v>
      </c>
      <c r="AK391">
        <f t="shared" si="240"/>
        <v>0</v>
      </c>
      <c r="AL391">
        <f t="shared" si="241"/>
        <v>0</v>
      </c>
      <c r="AM391">
        <f t="shared" si="242"/>
        <v>0</v>
      </c>
      <c r="AN391">
        <f t="shared" si="243"/>
        <v>0</v>
      </c>
      <c r="AO391">
        <f t="shared" si="244"/>
        <v>0</v>
      </c>
    </row>
    <row r="392" spans="1:41" x14ac:dyDescent="0.45">
      <c r="A392">
        <v>37.423302530000001</v>
      </c>
      <c r="B392">
        <v>118.7318223</v>
      </c>
      <c r="C392">
        <v>40.0941124</v>
      </c>
      <c r="D392">
        <v>6.9784479099999999</v>
      </c>
      <c r="E392">
        <f t="shared" si="210"/>
        <v>6.9784479099999999</v>
      </c>
      <c r="F392">
        <f t="shared" si="211"/>
        <v>0</v>
      </c>
      <c r="G392">
        <f t="shared" si="212"/>
        <v>0</v>
      </c>
      <c r="H392">
        <f t="shared" si="213"/>
        <v>0</v>
      </c>
      <c r="I392">
        <f t="shared" si="214"/>
        <v>0</v>
      </c>
      <c r="J392">
        <f t="shared" si="215"/>
        <v>0</v>
      </c>
      <c r="K392" s="1">
        <f t="shared" si="216"/>
        <v>0</v>
      </c>
      <c r="L392" s="1">
        <f t="shared" si="217"/>
        <v>0</v>
      </c>
      <c r="M392" s="1">
        <f t="shared" si="218"/>
        <v>0</v>
      </c>
      <c r="N392" s="1">
        <f t="shared" si="219"/>
        <v>0</v>
      </c>
      <c r="O392" s="1">
        <f t="shared" si="220"/>
        <v>0</v>
      </c>
      <c r="P392" s="1">
        <f t="shared" si="221"/>
        <v>25</v>
      </c>
      <c r="Q392" s="1" t="e">
        <f t="shared" si="222"/>
        <v>#DIV/0!</v>
      </c>
      <c r="R392" s="1" t="e">
        <f t="shared" si="223"/>
        <v>#DIV/0!</v>
      </c>
      <c r="S392" s="1" t="e">
        <f t="shared" si="224"/>
        <v>#DIV/0!</v>
      </c>
      <c r="T392" s="1" t="e">
        <f t="shared" si="225"/>
        <v>#DIV/0!</v>
      </c>
      <c r="U392" s="1" t="e">
        <f t="shared" si="226"/>
        <v>#DIV/0!</v>
      </c>
      <c r="V392">
        <f t="shared" si="227"/>
        <v>851.48</v>
      </c>
      <c r="W392">
        <f t="shared" si="228"/>
        <v>0</v>
      </c>
      <c r="X392">
        <f t="shared" si="229"/>
        <v>0</v>
      </c>
      <c r="Y392">
        <f t="shared" si="230"/>
        <v>0</v>
      </c>
      <c r="Z392">
        <f t="shared" si="231"/>
        <v>0</v>
      </c>
      <c r="AA392">
        <f t="shared" si="232"/>
        <v>0</v>
      </c>
      <c r="AC392">
        <f t="shared" si="233"/>
        <v>1045.25</v>
      </c>
      <c r="AD392">
        <f t="shared" si="234"/>
        <v>0</v>
      </c>
      <c r="AE392">
        <f t="shared" si="235"/>
        <v>0</v>
      </c>
      <c r="AF392">
        <f t="shared" si="236"/>
        <v>0</v>
      </c>
      <c r="AG392">
        <f t="shared" si="237"/>
        <v>0</v>
      </c>
      <c r="AH392">
        <f t="shared" si="238"/>
        <v>0</v>
      </c>
      <c r="AJ392">
        <f t="shared" si="239"/>
        <v>1239.01</v>
      </c>
      <c r="AK392">
        <f t="shared" si="240"/>
        <v>0</v>
      </c>
      <c r="AL392">
        <f t="shared" si="241"/>
        <v>0</v>
      </c>
      <c r="AM392">
        <f t="shared" si="242"/>
        <v>0</v>
      </c>
      <c r="AN392">
        <f t="shared" si="243"/>
        <v>0</v>
      </c>
      <c r="AO392">
        <f t="shared" si="244"/>
        <v>0</v>
      </c>
    </row>
    <row r="393" spans="1:41" x14ac:dyDescent="0.45">
      <c r="A393">
        <v>37.438368089999997</v>
      </c>
      <c r="B393">
        <v>119.02459020000001</v>
      </c>
      <c r="C393">
        <v>39.583812709999997</v>
      </c>
      <c r="D393">
        <v>4.8972258599999998</v>
      </c>
      <c r="E393">
        <f t="shared" si="210"/>
        <v>4.8972258599999998</v>
      </c>
      <c r="F393">
        <f t="shared" si="211"/>
        <v>0</v>
      </c>
      <c r="G393">
        <f t="shared" si="212"/>
        <v>0</v>
      </c>
      <c r="H393">
        <f t="shared" si="213"/>
        <v>0</v>
      </c>
      <c r="I393">
        <f t="shared" si="214"/>
        <v>0</v>
      </c>
      <c r="J393">
        <f t="shared" si="215"/>
        <v>0</v>
      </c>
      <c r="K393" s="1">
        <f t="shared" si="216"/>
        <v>0</v>
      </c>
      <c r="L393" s="1">
        <f t="shared" si="217"/>
        <v>0</v>
      </c>
      <c r="M393" s="1">
        <f t="shared" si="218"/>
        <v>0</v>
      </c>
      <c r="N393" s="1">
        <f t="shared" si="219"/>
        <v>0</v>
      </c>
      <c r="O393" s="1">
        <f t="shared" si="220"/>
        <v>0</v>
      </c>
      <c r="P393" s="1">
        <f t="shared" si="221"/>
        <v>25</v>
      </c>
      <c r="Q393" s="1" t="e">
        <f t="shared" si="222"/>
        <v>#DIV/0!</v>
      </c>
      <c r="R393" s="1" t="e">
        <f t="shared" si="223"/>
        <v>#DIV/0!</v>
      </c>
      <c r="S393" s="1" t="e">
        <f t="shared" si="224"/>
        <v>#DIV/0!</v>
      </c>
      <c r="T393" s="1" t="e">
        <f t="shared" si="225"/>
        <v>#DIV/0!</v>
      </c>
      <c r="U393" s="1" t="e">
        <f t="shared" si="226"/>
        <v>#DIV/0!</v>
      </c>
      <c r="V393">
        <f t="shared" si="227"/>
        <v>851.48</v>
      </c>
      <c r="W393">
        <f t="shared" si="228"/>
        <v>0</v>
      </c>
      <c r="X393">
        <f t="shared" si="229"/>
        <v>0</v>
      </c>
      <c r="Y393">
        <f t="shared" si="230"/>
        <v>0</v>
      </c>
      <c r="Z393">
        <f t="shared" si="231"/>
        <v>0</v>
      </c>
      <c r="AA393">
        <f t="shared" si="232"/>
        <v>0</v>
      </c>
      <c r="AC393">
        <f t="shared" si="233"/>
        <v>1045.25</v>
      </c>
      <c r="AD393">
        <f t="shared" si="234"/>
        <v>0</v>
      </c>
      <c r="AE393">
        <f t="shared" si="235"/>
        <v>0</v>
      </c>
      <c r="AF393">
        <f t="shared" si="236"/>
        <v>0</v>
      </c>
      <c r="AG393">
        <f t="shared" si="237"/>
        <v>0</v>
      </c>
      <c r="AH393">
        <f t="shared" si="238"/>
        <v>0</v>
      </c>
      <c r="AJ393">
        <f t="shared" si="239"/>
        <v>1239.01</v>
      </c>
      <c r="AK393">
        <f t="shared" si="240"/>
        <v>0</v>
      </c>
      <c r="AL393">
        <f t="shared" si="241"/>
        <v>0</v>
      </c>
      <c r="AM393">
        <f t="shared" si="242"/>
        <v>0</v>
      </c>
      <c r="AN393">
        <f t="shared" si="243"/>
        <v>0</v>
      </c>
      <c r="AO393">
        <f t="shared" si="244"/>
        <v>0</v>
      </c>
    </row>
    <row r="394" spans="1:41" x14ac:dyDescent="0.45">
      <c r="A394">
        <v>37.443993720000002</v>
      </c>
      <c r="B394">
        <v>106.9017351</v>
      </c>
      <c r="C394">
        <v>2.6882860700000002</v>
      </c>
      <c r="D394">
        <v>0.88060302000000001</v>
      </c>
      <c r="E394">
        <f t="shared" si="210"/>
        <v>0.88060302000000001</v>
      </c>
      <c r="F394">
        <f t="shared" si="211"/>
        <v>0</v>
      </c>
      <c r="G394">
        <f t="shared" si="212"/>
        <v>0</v>
      </c>
      <c r="H394">
        <f t="shared" si="213"/>
        <v>0</v>
      </c>
      <c r="I394">
        <f t="shared" si="214"/>
        <v>0</v>
      </c>
      <c r="J394">
        <f t="shared" si="215"/>
        <v>0</v>
      </c>
      <c r="K394" s="1">
        <f t="shared" si="216"/>
        <v>0</v>
      </c>
      <c r="L394" s="1">
        <f t="shared" si="217"/>
        <v>0</v>
      </c>
      <c r="M394" s="1">
        <f t="shared" si="218"/>
        <v>0</v>
      </c>
      <c r="N394" s="1">
        <f t="shared" si="219"/>
        <v>0</v>
      </c>
      <c r="O394" s="1">
        <f t="shared" si="220"/>
        <v>0</v>
      </c>
      <c r="P394" s="1">
        <f t="shared" si="221"/>
        <v>25</v>
      </c>
      <c r="Q394" s="1" t="e">
        <f t="shared" si="222"/>
        <v>#DIV/0!</v>
      </c>
      <c r="R394" s="1" t="e">
        <f t="shared" si="223"/>
        <v>#DIV/0!</v>
      </c>
      <c r="S394" s="1" t="e">
        <f t="shared" si="224"/>
        <v>#DIV/0!</v>
      </c>
      <c r="T394" s="1" t="e">
        <f t="shared" si="225"/>
        <v>#DIV/0!</v>
      </c>
      <c r="U394" s="1" t="e">
        <f t="shared" si="226"/>
        <v>#DIV/0!</v>
      </c>
      <c r="V394">
        <f t="shared" si="227"/>
        <v>851.48</v>
      </c>
      <c r="W394">
        <f t="shared" si="228"/>
        <v>0</v>
      </c>
      <c r="X394">
        <f t="shared" si="229"/>
        <v>0</v>
      </c>
      <c r="Y394">
        <f t="shared" si="230"/>
        <v>0</v>
      </c>
      <c r="Z394">
        <f t="shared" si="231"/>
        <v>0</v>
      </c>
      <c r="AA394">
        <f t="shared" si="232"/>
        <v>0</v>
      </c>
      <c r="AC394">
        <f t="shared" si="233"/>
        <v>1045.25</v>
      </c>
      <c r="AD394">
        <f t="shared" si="234"/>
        <v>0</v>
      </c>
      <c r="AE394">
        <f t="shared" si="235"/>
        <v>0</v>
      </c>
      <c r="AF394">
        <f t="shared" si="236"/>
        <v>0</v>
      </c>
      <c r="AG394">
        <f t="shared" si="237"/>
        <v>0</v>
      </c>
      <c r="AH394">
        <f t="shared" si="238"/>
        <v>0</v>
      </c>
      <c r="AJ394">
        <f t="shared" si="239"/>
        <v>1239.01</v>
      </c>
      <c r="AK394">
        <f t="shared" si="240"/>
        <v>0</v>
      </c>
      <c r="AL394">
        <f t="shared" si="241"/>
        <v>0</v>
      </c>
      <c r="AM394">
        <f t="shared" si="242"/>
        <v>0</v>
      </c>
      <c r="AN394">
        <f t="shared" si="243"/>
        <v>0</v>
      </c>
      <c r="AO394">
        <f t="shared" si="244"/>
        <v>0</v>
      </c>
    </row>
    <row r="395" spans="1:41" x14ac:dyDescent="0.45">
      <c r="A395">
        <v>37.444505839999998</v>
      </c>
      <c r="B395">
        <v>118.96756360000001</v>
      </c>
      <c r="C395">
        <v>15.59544373</v>
      </c>
      <c r="D395">
        <v>4.9094691299999997</v>
      </c>
      <c r="E395">
        <f t="shared" si="210"/>
        <v>4.9094691299999997</v>
      </c>
      <c r="F395">
        <f t="shared" si="211"/>
        <v>0</v>
      </c>
      <c r="G395">
        <f t="shared" si="212"/>
        <v>0</v>
      </c>
      <c r="H395">
        <f t="shared" si="213"/>
        <v>0</v>
      </c>
      <c r="I395">
        <f t="shared" si="214"/>
        <v>0</v>
      </c>
      <c r="J395">
        <f t="shared" si="215"/>
        <v>0</v>
      </c>
      <c r="K395" s="1">
        <f t="shared" si="216"/>
        <v>0</v>
      </c>
      <c r="L395" s="1">
        <f t="shared" si="217"/>
        <v>0</v>
      </c>
      <c r="M395" s="1">
        <f t="shared" si="218"/>
        <v>0</v>
      </c>
      <c r="N395" s="1">
        <f t="shared" si="219"/>
        <v>0</v>
      </c>
      <c r="O395" s="1">
        <f t="shared" si="220"/>
        <v>0</v>
      </c>
      <c r="P395" s="1">
        <f t="shared" si="221"/>
        <v>25</v>
      </c>
      <c r="Q395" s="1" t="e">
        <f t="shared" si="222"/>
        <v>#DIV/0!</v>
      </c>
      <c r="R395" s="1" t="e">
        <f t="shared" si="223"/>
        <v>#DIV/0!</v>
      </c>
      <c r="S395" s="1" t="e">
        <f t="shared" si="224"/>
        <v>#DIV/0!</v>
      </c>
      <c r="T395" s="1" t="e">
        <f t="shared" si="225"/>
        <v>#DIV/0!</v>
      </c>
      <c r="U395" s="1" t="e">
        <f t="shared" si="226"/>
        <v>#DIV/0!</v>
      </c>
      <c r="V395">
        <f t="shared" si="227"/>
        <v>851.48</v>
      </c>
      <c r="W395">
        <f t="shared" si="228"/>
        <v>0</v>
      </c>
      <c r="X395">
        <f t="shared" si="229"/>
        <v>0</v>
      </c>
      <c r="Y395">
        <f t="shared" si="230"/>
        <v>0</v>
      </c>
      <c r="Z395">
        <f t="shared" si="231"/>
        <v>0</v>
      </c>
      <c r="AA395">
        <f t="shared" si="232"/>
        <v>0</v>
      </c>
      <c r="AC395">
        <f t="shared" si="233"/>
        <v>1045.25</v>
      </c>
      <c r="AD395">
        <f t="shared" si="234"/>
        <v>0</v>
      </c>
      <c r="AE395">
        <f t="shared" si="235"/>
        <v>0</v>
      </c>
      <c r="AF395">
        <f t="shared" si="236"/>
        <v>0</v>
      </c>
      <c r="AG395">
        <f t="shared" si="237"/>
        <v>0</v>
      </c>
      <c r="AH395">
        <f t="shared" si="238"/>
        <v>0</v>
      </c>
      <c r="AJ395">
        <f t="shared" si="239"/>
        <v>1239.01</v>
      </c>
      <c r="AK395">
        <f t="shared" si="240"/>
        <v>0</v>
      </c>
      <c r="AL395">
        <f t="shared" si="241"/>
        <v>0</v>
      </c>
      <c r="AM395">
        <f t="shared" si="242"/>
        <v>0</v>
      </c>
      <c r="AN395">
        <f t="shared" si="243"/>
        <v>0</v>
      </c>
      <c r="AO395">
        <f t="shared" si="244"/>
        <v>0</v>
      </c>
    </row>
    <row r="396" spans="1:41" x14ac:dyDescent="0.45">
      <c r="A396">
        <v>37.447877990000002</v>
      </c>
      <c r="B396">
        <v>109.3194585</v>
      </c>
      <c r="C396">
        <v>3.4743599999999999E-2</v>
      </c>
      <c r="D396">
        <v>1.86935103</v>
      </c>
      <c r="E396">
        <f t="shared" si="210"/>
        <v>3.4743599999999999E-2</v>
      </c>
      <c r="F396">
        <f t="shared" si="211"/>
        <v>1.69563303</v>
      </c>
      <c r="G396">
        <f t="shared" si="212"/>
        <v>1.5219150300000002</v>
      </c>
      <c r="H396">
        <f t="shared" si="213"/>
        <v>1.3481970300000001</v>
      </c>
      <c r="I396">
        <f t="shared" si="214"/>
        <v>1.1744790300000001</v>
      </c>
      <c r="J396">
        <f t="shared" si="215"/>
        <v>1.0007610300000001</v>
      </c>
      <c r="K396" s="1">
        <f t="shared" si="216"/>
        <v>3.4743599999999999E-2</v>
      </c>
      <c r="L396" s="1">
        <f t="shared" si="217"/>
        <v>3.4743599999999999E-2</v>
      </c>
      <c r="M396" s="1">
        <f t="shared" si="218"/>
        <v>3.4743599999999999E-2</v>
      </c>
      <c r="N396" s="1">
        <f t="shared" si="219"/>
        <v>3.4743599999999999E-2</v>
      </c>
      <c r="O396" s="1">
        <f t="shared" si="220"/>
        <v>3.4743599999999999E-2</v>
      </c>
      <c r="P396" s="1">
        <f t="shared" si="221"/>
        <v>1</v>
      </c>
      <c r="Q396" s="1">
        <f t="shared" si="222"/>
        <v>1</v>
      </c>
      <c r="R396" s="1">
        <f t="shared" si="223"/>
        <v>1</v>
      </c>
      <c r="S396" s="1">
        <f t="shared" si="224"/>
        <v>1</v>
      </c>
      <c r="T396" s="1">
        <f t="shared" si="225"/>
        <v>1</v>
      </c>
      <c r="U396" s="1">
        <f t="shared" si="226"/>
        <v>1</v>
      </c>
      <c r="V396">
        <f t="shared" si="227"/>
        <v>71.48</v>
      </c>
      <c r="W396">
        <f t="shared" si="228"/>
        <v>76.489999999999995</v>
      </c>
      <c r="X396">
        <f t="shared" si="229"/>
        <v>52.14</v>
      </c>
      <c r="Y396">
        <f t="shared" si="230"/>
        <v>38.1</v>
      </c>
      <c r="Z396">
        <f t="shared" si="231"/>
        <v>32.120000000000005</v>
      </c>
      <c r="AA396">
        <f t="shared" si="232"/>
        <v>30.03</v>
      </c>
      <c r="AC396">
        <f t="shared" si="233"/>
        <v>85.25</v>
      </c>
      <c r="AD396">
        <f t="shared" si="234"/>
        <v>76.489999999999995</v>
      </c>
      <c r="AE396">
        <f t="shared" si="235"/>
        <v>64.17</v>
      </c>
      <c r="AF396">
        <f t="shared" si="236"/>
        <v>49.84</v>
      </c>
      <c r="AG396">
        <f t="shared" si="237"/>
        <v>48.34</v>
      </c>
      <c r="AH396">
        <f t="shared" si="238"/>
        <v>41.36</v>
      </c>
      <c r="AJ396">
        <f t="shared" si="239"/>
        <v>99.009999999999991</v>
      </c>
      <c r="AK396">
        <f t="shared" si="240"/>
        <v>90.94</v>
      </c>
      <c r="AL396">
        <f t="shared" si="241"/>
        <v>78.7</v>
      </c>
      <c r="AM396">
        <f t="shared" si="242"/>
        <v>67.430000000000007</v>
      </c>
      <c r="AN396">
        <f t="shared" si="243"/>
        <v>62.56</v>
      </c>
      <c r="AO396">
        <f t="shared" si="244"/>
        <v>55.19</v>
      </c>
    </row>
    <row r="397" spans="1:41" x14ac:dyDescent="0.45">
      <c r="A397">
        <v>37.44800824</v>
      </c>
      <c r="B397">
        <v>118.0396466</v>
      </c>
      <c r="C397">
        <v>150.00115969999999</v>
      </c>
      <c r="D397">
        <v>11.192254070000001</v>
      </c>
      <c r="E397">
        <f t="shared" si="210"/>
        <v>11.192254070000001</v>
      </c>
      <c r="F397">
        <f t="shared" si="211"/>
        <v>0</v>
      </c>
      <c r="G397">
        <f t="shared" si="212"/>
        <v>0</v>
      </c>
      <c r="H397">
        <f t="shared" si="213"/>
        <v>0</v>
      </c>
      <c r="I397">
        <f t="shared" si="214"/>
        <v>0</v>
      </c>
      <c r="J397">
        <f t="shared" si="215"/>
        <v>0</v>
      </c>
      <c r="K397" s="1">
        <f t="shared" si="216"/>
        <v>0</v>
      </c>
      <c r="L397" s="1">
        <f t="shared" si="217"/>
        <v>0</v>
      </c>
      <c r="M397" s="1">
        <f t="shared" si="218"/>
        <v>0</v>
      </c>
      <c r="N397" s="1">
        <f t="shared" si="219"/>
        <v>0</v>
      </c>
      <c r="O397" s="1">
        <f t="shared" si="220"/>
        <v>0</v>
      </c>
      <c r="P397" s="1">
        <f t="shared" si="221"/>
        <v>25</v>
      </c>
      <c r="Q397" s="1" t="e">
        <f t="shared" si="222"/>
        <v>#DIV/0!</v>
      </c>
      <c r="R397" s="1" t="e">
        <f t="shared" si="223"/>
        <v>#DIV/0!</v>
      </c>
      <c r="S397" s="1" t="e">
        <f t="shared" si="224"/>
        <v>#DIV/0!</v>
      </c>
      <c r="T397" s="1" t="e">
        <f t="shared" si="225"/>
        <v>#DIV/0!</v>
      </c>
      <c r="U397" s="1" t="e">
        <f t="shared" si="226"/>
        <v>#DIV/0!</v>
      </c>
      <c r="V397">
        <f t="shared" si="227"/>
        <v>851.48</v>
      </c>
      <c r="W397">
        <f t="shared" si="228"/>
        <v>0</v>
      </c>
      <c r="X397">
        <f t="shared" si="229"/>
        <v>0</v>
      </c>
      <c r="Y397">
        <f t="shared" si="230"/>
        <v>0</v>
      </c>
      <c r="Z397">
        <f t="shared" si="231"/>
        <v>0</v>
      </c>
      <c r="AA397">
        <f t="shared" si="232"/>
        <v>0</v>
      </c>
      <c r="AC397">
        <f t="shared" si="233"/>
        <v>1045.25</v>
      </c>
      <c r="AD397">
        <f t="shared" si="234"/>
        <v>0</v>
      </c>
      <c r="AE397">
        <f t="shared" si="235"/>
        <v>0</v>
      </c>
      <c r="AF397">
        <f t="shared" si="236"/>
        <v>0</v>
      </c>
      <c r="AG397">
        <f t="shared" si="237"/>
        <v>0</v>
      </c>
      <c r="AH397">
        <f t="shared" si="238"/>
        <v>0</v>
      </c>
      <c r="AJ397">
        <f t="shared" si="239"/>
        <v>1239.01</v>
      </c>
      <c r="AK397">
        <f t="shared" si="240"/>
        <v>0</v>
      </c>
      <c r="AL397">
        <f t="shared" si="241"/>
        <v>0</v>
      </c>
      <c r="AM397">
        <f t="shared" si="242"/>
        <v>0</v>
      </c>
      <c r="AN397">
        <f t="shared" si="243"/>
        <v>0</v>
      </c>
      <c r="AO397">
        <f t="shared" si="244"/>
        <v>0</v>
      </c>
    </row>
    <row r="398" spans="1:41" x14ac:dyDescent="0.45">
      <c r="A398">
        <v>37.458902260000002</v>
      </c>
      <c r="B398">
        <v>118.3894598</v>
      </c>
      <c r="C398">
        <v>65.630661009999997</v>
      </c>
      <c r="D398">
        <v>3.79358912</v>
      </c>
      <c r="E398">
        <f t="shared" si="210"/>
        <v>3.79358912</v>
      </c>
      <c r="F398">
        <f t="shared" si="211"/>
        <v>0</v>
      </c>
      <c r="G398">
        <f t="shared" si="212"/>
        <v>0</v>
      </c>
      <c r="H398">
        <f t="shared" si="213"/>
        <v>0</v>
      </c>
      <c r="I398">
        <f t="shared" si="214"/>
        <v>0</v>
      </c>
      <c r="J398">
        <f t="shared" si="215"/>
        <v>0</v>
      </c>
      <c r="K398" s="1">
        <f t="shared" si="216"/>
        <v>0</v>
      </c>
      <c r="L398" s="1">
        <f t="shared" si="217"/>
        <v>0</v>
      </c>
      <c r="M398" s="1">
        <f t="shared" si="218"/>
        <v>0</v>
      </c>
      <c r="N398" s="1">
        <f t="shared" si="219"/>
        <v>0</v>
      </c>
      <c r="O398" s="1">
        <f t="shared" si="220"/>
        <v>0</v>
      </c>
      <c r="P398" s="1">
        <f t="shared" si="221"/>
        <v>25.000000000000004</v>
      </c>
      <c r="Q398" s="1" t="e">
        <f t="shared" si="222"/>
        <v>#DIV/0!</v>
      </c>
      <c r="R398" s="1" t="e">
        <f t="shared" si="223"/>
        <v>#DIV/0!</v>
      </c>
      <c r="S398" s="1" t="e">
        <f t="shared" si="224"/>
        <v>#DIV/0!</v>
      </c>
      <c r="T398" s="1" t="e">
        <f t="shared" si="225"/>
        <v>#DIV/0!</v>
      </c>
      <c r="U398" s="1" t="e">
        <f t="shared" si="226"/>
        <v>#DIV/0!</v>
      </c>
      <c r="V398">
        <f t="shared" si="227"/>
        <v>851.48000000000013</v>
      </c>
      <c r="W398">
        <f t="shared" si="228"/>
        <v>0</v>
      </c>
      <c r="X398">
        <f t="shared" si="229"/>
        <v>0</v>
      </c>
      <c r="Y398">
        <f t="shared" si="230"/>
        <v>0</v>
      </c>
      <c r="Z398">
        <f t="shared" si="231"/>
        <v>0</v>
      </c>
      <c r="AA398">
        <f t="shared" si="232"/>
        <v>0</v>
      </c>
      <c r="AC398">
        <f t="shared" si="233"/>
        <v>1045.25</v>
      </c>
      <c r="AD398">
        <f t="shared" si="234"/>
        <v>0</v>
      </c>
      <c r="AE398">
        <f t="shared" si="235"/>
        <v>0</v>
      </c>
      <c r="AF398">
        <f t="shared" si="236"/>
        <v>0</v>
      </c>
      <c r="AG398">
        <f t="shared" si="237"/>
        <v>0</v>
      </c>
      <c r="AH398">
        <f t="shared" si="238"/>
        <v>0</v>
      </c>
      <c r="AJ398">
        <f t="shared" si="239"/>
        <v>1239.0100000000002</v>
      </c>
      <c r="AK398">
        <f t="shared" si="240"/>
        <v>0</v>
      </c>
      <c r="AL398">
        <f t="shared" si="241"/>
        <v>0</v>
      </c>
      <c r="AM398">
        <f t="shared" si="242"/>
        <v>0</v>
      </c>
      <c r="AN398">
        <f t="shared" si="243"/>
        <v>0</v>
      </c>
      <c r="AO398">
        <f t="shared" si="244"/>
        <v>0</v>
      </c>
    </row>
    <row r="399" spans="1:41" x14ac:dyDescent="0.45">
      <c r="A399">
        <v>37.477601559999997</v>
      </c>
      <c r="B399">
        <v>77.295424130000001</v>
      </c>
      <c r="C399">
        <v>0</v>
      </c>
      <c r="D399">
        <v>1.9848309799999999</v>
      </c>
      <c r="E399">
        <f t="shared" si="210"/>
        <v>0</v>
      </c>
      <c r="F399">
        <f t="shared" si="211"/>
        <v>1.9848309799999999</v>
      </c>
      <c r="G399">
        <f t="shared" si="212"/>
        <v>1.9848309799999999</v>
      </c>
      <c r="H399">
        <f t="shared" si="213"/>
        <v>1.9848309799999999</v>
      </c>
      <c r="I399">
        <f t="shared" si="214"/>
        <v>1.9848309799999999</v>
      </c>
      <c r="J399">
        <f t="shared" si="215"/>
        <v>1.9848309799999999</v>
      </c>
      <c r="K399" s="1">
        <f t="shared" si="216"/>
        <v>0</v>
      </c>
      <c r="L399" s="1">
        <f t="shared" si="217"/>
        <v>0</v>
      </c>
      <c r="M399" s="1">
        <f t="shared" si="218"/>
        <v>0</v>
      </c>
      <c r="N399" s="1">
        <f t="shared" si="219"/>
        <v>0</v>
      </c>
      <c r="O399" s="1">
        <f t="shared" si="220"/>
        <v>0</v>
      </c>
      <c r="P399" s="1">
        <f t="shared" si="221"/>
        <v>1</v>
      </c>
      <c r="Q399" s="1">
        <f t="shared" si="222"/>
        <v>1</v>
      </c>
      <c r="R399" s="1">
        <f t="shared" si="223"/>
        <v>1</v>
      </c>
      <c r="S399" s="1">
        <f t="shared" si="224"/>
        <v>1</v>
      </c>
      <c r="T399" s="1">
        <f t="shared" si="225"/>
        <v>1</v>
      </c>
      <c r="U399" s="1">
        <f t="shared" si="226"/>
        <v>1</v>
      </c>
      <c r="V399">
        <f t="shared" si="227"/>
        <v>71.48</v>
      </c>
      <c r="W399">
        <f t="shared" si="228"/>
        <v>76.489999999999995</v>
      </c>
      <c r="X399">
        <f t="shared" si="229"/>
        <v>52.14</v>
      </c>
      <c r="Y399">
        <f t="shared" si="230"/>
        <v>38.1</v>
      </c>
      <c r="Z399">
        <f t="shared" si="231"/>
        <v>32.120000000000005</v>
      </c>
      <c r="AA399">
        <f t="shared" si="232"/>
        <v>30.03</v>
      </c>
      <c r="AC399">
        <f t="shared" si="233"/>
        <v>85.25</v>
      </c>
      <c r="AD399">
        <f t="shared" si="234"/>
        <v>76.489999999999995</v>
      </c>
      <c r="AE399">
        <f t="shared" si="235"/>
        <v>64.17</v>
      </c>
      <c r="AF399">
        <f t="shared" si="236"/>
        <v>49.84</v>
      </c>
      <c r="AG399">
        <f t="shared" si="237"/>
        <v>48.34</v>
      </c>
      <c r="AH399">
        <f t="shared" si="238"/>
        <v>41.36</v>
      </c>
      <c r="AJ399">
        <f t="shared" si="239"/>
        <v>99.009999999999991</v>
      </c>
      <c r="AK399">
        <f t="shared" si="240"/>
        <v>90.94</v>
      </c>
      <c r="AL399">
        <f t="shared" si="241"/>
        <v>78.7</v>
      </c>
      <c r="AM399">
        <f t="shared" si="242"/>
        <v>67.430000000000007</v>
      </c>
      <c r="AN399">
        <f t="shared" si="243"/>
        <v>62.56</v>
      </c>
      <c r="AO399">
        <f t="shared" si="244"/>
        <v>55.19</v>
      </c>
    </row>
    <row r="400" spans="1:41" x14ac:dyDescent="0.45">
      <c r="A400">
        <v>37.481217700000002</v>
      </c>
      <c r="B400">
        <v>107.70827389999999</v>
      </c>
      <c r="C400">
        <v>1.38540113</v>
      </c>
      <c r="D400">
        <v>3.0344989299999998</v>
      </c>
      <c r="E400">
        <f t="shared" si="210"/>
        <v>1.38540113</v>
      </c>
      <c r="F400">
        <f t="shared" si="211"/>
        <v>0</v>
      </c>
      <c r="G400">
        <f t="shared" si="212"/>
        <v>0</v>
      </c>
      <c r="H400">
        <f t="shared" si="213"/>
        <v>0</v>
      </c>
      <c r="I400">
        <f t="shared" si="214"/>
        <v>0</v>
      </c>
      <c r="J400">
        <f t="shared" si="215"/>
        <v>0</v>
      </c>
      <c r="K400" s="1">
        <f t="shared" si="216"/>
        <v>0</v>
      </c>
      <c r="L400" s="1">
        <f t="shared" si="217"/>
        <v>0</v>
      </c>
      <c r="M400" s="1">
        <f t="shared" si="218"/>
        <v>0</v>
      </c>
      <c r="N400" s="1">
        <f t="shared" si="219"/>
        <v>0</v>
      </c>
      <c r="O400" s="1">
        <f t="shared" si="220"/>
        <v>0</v>
      </c>
      <c r="P400" s="1">
        <f t="shared" si="221"/>
        <v>11.413755301604276</v>
      </c>
      <c r="Q400" s="1" t="e">
        <f t="shared" si="222"/>
        <v>#DIV/0!</v>
      </c>
      <c r="R400" s="1" t="e">
        <f t="shared" si="223"/>
        <v>#DIV/0!</v>
      </c>
      <c r="S400" s="1" t="e">
        <f t="shared" si="224"/>
        <v>#DIV/0!</v>
      </c>
      <c r="T400" s="1" t="e">
        <f t="shared" si="225"/>
        <v>#DIV/0!</v>
      </c>
      <c r="U400" s="1" t="e">
        <f t="shared" si="226"/>
        <v>#DIV/0!</v>
      </c>
      <c r="V400">
        <f t="shared" si="227"/>
        <v>409.92704730213899</v>
      </c>
      <c r="W400">
        <f t="shared" si="228"/>
        <v>0</v>
      </c>
      <c r="X400">
        <f t="shared" si="229"/>
        <v>0</v>
      </c>
      <c r="Y400">
        <f t="shared" si="230"/>
        <v>0</v>
      </c>
      <c r="Z400">
        <f t="shared" si="231"/>
        <v>0</v>
      </c>
      <c r="AA400">
        <f t="shared" si="232"/>
        <v>0</v>
      </c>
      <c r="AC400">
        <f t="shared" si="233"/>
        <v>501.80021206417103</v>
      </c>
      <c r="AD400">
        <f t="shared" si="234"/>
        <v>0</v>
      </c>
      <c r="AE400">
        <f t="shared" si="235"/>
        <v>0</v>
      </c>
      <c r="AF400">
        <f t="shared" si="236"/>
        <v>0</v>
      </c>
      <c r="AG400">
        <f t="shared" si="237"/>
        <v>0</v>
      </c>
      <c r="AH400">
        <f t="shared" si="238"/>
        <v>0</v>
      </c>
      <c r="AJ400">
        <f t="shared" si="239"/>
        <v>593.66337682620315</v>
      </c>
      <c r="AK400">
        <f t="shared" si="240"/>
        <v>0</v>
      </c>
      <c r="AL400">
        <f t="shared" si="241"/>
        <v>0</v>
      </c>
      <c r="AM400">
        <f t="shared" si="242"/>
        <v>0</v>
      </c>
      <c r="AN400">
        <f t="shared" si="243"/>
        <v>0</v>
      </c>
      <c r="AO400">
        <f t="shared" si="244"/>
        <v>0</v>
      </c>
    </row>
    <row r="401" spans="1:41" x14ac:dyDescent="0.45">
      <c r="A401">
        <v>37.482098710000002</v>
      </c>
      <c r="B401">
        <v>118.1610445</v>
      </c>
      <c r="C401">
        <v>65.630661009999997</v>
      </c>
      <c r="D401">
        <v>6.6123471299999999</v>
      </c>
      <c r="E401">
        <f t="shared" si="210"/>
        <v>6.6123471299999999</v>
      </c>
      <c r="F401">
        <f t="shared" si="211"/>
        <v>0</v>
      </c>
      <c r="G401">
        <f t="shared" si="212"/>
        <v>0</v>
      </c>
      <c r="H401">
        <f t="shared" si="213"/>
        <v>0</v>
      </c>
      <c r="I401">
        <f t="shared" si="214"/>
        <v>0</v>
      </c>
      <c r="J401">
        <f t="shared" si="215"/>
        <v>0</v>
      </c>
      <c r="K401" s="1">
        <f t="shared" si="216"/>
        <v>0</v>
      </c>
      <c r="L401" s="1">
        <f t="shared" si="217"/>
        <v>0</v>
      </c>
      <c r="M401" s="1">
        <f t="shared" si="218"/>
        <v>0</v>
      </c>
      <c r="N401" s="1">
        <f t="shared" si="219"/>
        <v>0</v>
      </c>
      <c r="O401" s="1">
        <f t="shared" si="220"/>
        <v>0</v>
      </c>
      <c r="P401" s="1">
        <f t="shared" si="221"/>
        <v>25</v>
      </c>
      <c r="Q401" s="1" t="e">
        <f t="shared" si="222"/>
        <v>#DIV/0!</v>
      </c>
      <c r="R401" s="1" t="e">
        <f t="shared" si="223"/>
        <v>#DIV/0!</v>
      </c>
      <c r="S401" s="1" t="e">
        <f t="shared" si="224"/>
        <v>#DIV/0!</v>
      </c>
      <c r="T401" s="1" t="e">
        <f t="shared" si="225"/>
        <v>#DIV/0!</v>
      </c>
      <c r="U401" s="1" t="e">
        <f t="shared" si="226"/>
        <v>#DIV/0!</v>
      </c>
      <c r="V401">
        <f t="shared" si="227"/>
        <v>851.48</v>
      </c>
      <c r="W401">
        <f t="shared" si="228"/>
        <v>0</v>
      </c>
      <c r="X401">
        <f t="shared" si="229"/>
        <v>0</v>
      </c>
      <c r="Y401">
        <f t="shared" si="230"/>
        <v>0</v>
      </c>
      <c r="Z401">
        <f t="shared" si="231"/>
        <v>0</v>
      </c>
      <c r="AA401">
        <f t="shared" si="232"/>
        <v>0</v>
      </c>
      <c r="AC401">
        <f t="shared" si="233"/>
        <v>1045.25</v>
      </c>
      <c r="AD401">
        <f t="shared" si="234"/>
        <v>0</v>
      </c>
      <c r="AE401">
        <f t="shared" si="235"/>
        <v>0</v>
      </c>
      <c r="AF401">
        <f t="shared" si="236"/>
        <v>0</v>
      </c>
      <c r="AG401">
        <f t="shared" si="237"/>
        <v>0</v>
      </c>
      <c r="AH401">
        <f t="shared" si="238"/>
        <v>0</v>
      </c>
      <c r="AJ401">
        <f t="shared" si="239"/>
        <v>1239.01</v>
      </c>
      <c r="AK401">
        <f t="shared" si="240"/>
        <v>0</v>
      </c>
      <c r="AL401">
        <f t="shared" si="241"/>
        <v>0</v>
      </c>
      <c r="AM401">
        <f t="shared" si="242"/>
        <v>0</v>
      </c>
      <c r="AN401">
        <f t="shared" si="243"/>
        <v>0</v>
      </c>
      <c r="AO401">
        <f t="shared" si="244"/>
        <v>0</v>
      </c>
    </row>
    <row r="402" spans="1:41" x14ac:dyDescent="0.45">
      <c r="A402">
        <v>37.484922619999999</v>
      </c>
      <c r="B402">
        <v>107.42043719999999</v>
      </c>
      <c r="C402">
        <v>1.38540113</v>
      </c>
      <c r="D402">
        <v>9.0967999999999993E-2</v>
      </c>
      <c r="E402">
        <f t="shared" si="210"/>
        <v>9.0967999999999993E-2</v>
      </c>
      <c r="F402">
        <f t="shared" si="211"/>
        <v>0</v>
      </c>
      <c r="G402">
        <f t="shared" si="212"/>
        <v>0</v>
      </c>
      <c r="H402">
        <f t="shared" si="213"/>
        <v>0</v>
      </c>
      <c r="I402">
        <f t="shared" si="214"/>
        <v>0</v>
      </c>
      <c r="J402">
        <f t="shared" si="215"/>
        <v>0</v>
      </c>
      <c r="K402" s="1">
        <f t="shared" si="216"/>
        <v>0</v>
      </c>
      <c r="L402" s="1">
        <f t="shared" si="217"/>
        <v>0</v>
      </c>
      <c r="M402" s="1">
        <f t="shared" si="218"/>
        <v>0</v>
      </c>
      <c r="N402" s="1">
        <f t="shared" si="219"/>
        <v>0</v>
      </c>
      <c r="O402" s="1">
        <f t="shared" si="220"/>
        <v>0</v>
      </c>
      <c r="P402" s="1">
        <f t="shared" si="221"/>
        <v>25.000000000000004</v>
      </c>
      <c r="Q402" s="1" t="e">
        <f t="shared" si="222"/>
        <v>#DIV/0!</v>
      </c>
      <c r="R402" s="1" t="e">
        <f t="shared" si="223"/>
        <v>#DIV/0!</v>
      </c>
      <c r="S402" s="1" t="e">
        <f t="shared" si="224"/>
        <v>#DIV/0!</v>
      </c>
      <c r="T402" s="1" t="e">
        <f t="shared" si="225"/>
        <v>#DIV/0!</v>
      </c>
      <c r="U402" s="1" t="e">
        <f t="shared" si="226"/>
        <v>#DIV/0!</v>
      </c>
      <c r="V402">
        <f t="shared" si="227"/>
        <v>851.48000000000013</v>
      </c>
      <c r="W402">
        <f t="shared" si="228"/>
        <v>0</v>
      </c>
      <c r="X402">
        <f t="shared" si="229"/>
        <v>0</v>
      </c>
      <c r="Y402">
        <f t="shared" si="230"/>
        <v>0</v>
      </c>
      <c r="Z402">
        <f t="shared" si="231"/>
        <v>0</v>
      </c>
      <c r="AA402">
        <f t="shared" si="232"/>
        <v>0</v>
      </c>
      <c r="AC402">
        <f t="shared" si="233"/>
        <v>1045.25</v>
      </c>
      <c r="AD402">
        <f t="shared" si="234"/>
        <v>0</v>
      </c>
      <c r="AE402">
        <f t="shared" si="235"/>
        <v>0</v>
      </c>
      <c r="AF402">
        <f t="shared" si="236"/>
        <v>0</v>
      </c>
      <c r="AG402">
        <f t="shared" si="237"/>
        <v>0</v>
      </c>
      <c r="AH402">
        <f t="shared" si="238"/>
        <v>0</v>
      </c>
      <c r="AJ402">
        <f t="shared" si="239"/>
        <v>1239.0100000000002</v>
      </c>
      <c r="AK402">
        <f t="shared" si="240"/>
        <v>0</v>
      </c>
      <c r="AL402">
        <f t="shared" si="241"/>
        <v>0</v>
      </c>
      <c r="AM402">
        <f t="shared" si="242"/>
        <v>0</v>
      </c>
      <c r="AN402">
        <f t="shared" si="243"/>
        <v>0</v>
      </c>
      <c r="AO402">
        <f t="shared" si="244"/>
        <v>0</v>
      </c>
    </row>
    <row r="403" spans="1:41" x14ac:dyDescent="0.45">
      <c r="A403">
        <v>37.486719520000001</v>
      </c>
      <c r="B403">
        <v>118.5681261</v>
      </c>
      <c r="C403">
        <v>40.0941124</v>
      </c>
      <c r="D403">
        <v>39.29350281</v>
      </c>
      <c r="E403">
        <f t="shared" si="210"/>
        <v>39.29350281</v>
      </c>
      <c r="F403">
        <f t="shared" si="211"/>
        <v>0</v>
      </c>
      <c r="G403">
        <f t="shared" si="212"/>
        <v>0</v>
      </c>
      <c r="H403">
        <f t="shared" si="213"/>
        <v>0</v>
      </c>
      <c r="I403">
        <f t="shared" si="214"/>
        <v>0</v>
      </c>
      <c r="J403">
        <f t="shared" si="215"/>
        <v>0</v>
      </c>
      <c r="K403" s="1">
        <f t="shared" si="216"/>
        <v>0</v>
      </c>
      <c r="L403" s="1">
        <f t="shared" si="217"/>
        <v>0</v>
      </c>
      <c r="M403" s="1">
        <f t="shared" si="218"/>
        <v>0</v>
      </c>
      <c r="N403" s="1">
        <f t="shared" si="219"/>
        <v>0</v>
      </c>
      <c r="O403" s="1">
        <f t="shared" si="220"/>
        <v>0</v>
      </c>
      <c r="P403" s="1">
        <f t="shared" si="221"/>
        <v>25</v>
      </c>
      <c r="Q403" s="1" t="e">
        <f t="shared" si="222"/>
        <v>#DIV/0!</v>
      </c>
      <c r="R403" s="1" t="e">
        <f t="shared" si="223"/>
        <v>#DIV/0!</v>
      </c>
      <c r="S403" s="1" t="e">
        <f t="shared" si="224"/>
        <v>#DIV/0!</v>
      </c>
      <c r="T403" s="1" t="e">
        <f t="shared" si="225"/>
        <v>#DIV/0!</v>
      </c>
      <c r="U403" s="1" t="e">
        <f t="shared" si="226"/>
        <v>#DIV/0!</v>
      </c>
      <c r="V403">
        <f t="shared" si="227"/>
        <v>851.48</v>
      </c>
      <c r="W403">
        <f t="shared" si="228"/>
        <v>0</v>
      </c>
      <c r="X403">
        <f t="shared" si="229"/>
        <v>0</v>
      </c>
      <c r="Y403">
        <f t="shared" si="230"/>
        <v>0</v>
      </c>
      <c r="Z403">
        <f t="shared" si="231"/>
        <v>0</v>
      </c>
      <c r="AA403">
        <f t="shared" si="232"/>
        <v>0</v>
      </c>
      <c r="AC403">
        <f t="shared" si="233"/>
        <v>1045.25</v>
      </c>
      <c r="AD403">
        <f t="shared" si="234"/>
        <v>0</v>
      </c>
      <c r="AE403">
        <f t="shared" si="235"/>
        <v>0</v>
      </c>
      <c r="AF403">
        <f t="shared" si="236"/>
        <v>0</v>
      </c>
      <c r="AG403">
        <f t="shared" si="237"/>
        <v>0</v>
      </c>
      <c r="AH403">
        <f t="shared" si="238"/>
        <v>0</v>
      </c>
      <c r="AJ403">
        <f t="shared" si="239"/>
        <v>1239.01</v>
      </c>
      <c r="AK403">
        <f t="shared" si="240"/>
        <v>0</v>
      </c>
      <c r="AL403">
        <f t="shared" si="241"/>
        <v>0</v>
      </c>
      <c r="AM403">
        <f t="shared" si="242"/>
        <v>0</v>
      </c>
      <c r="AN403">
        <f t="shared" si="243"/>
        <v>0</v>
      </c>
      <c r="AO403">
        <f t="shared" si="244"/>
        <v>0</v>
      </c>
    </row>
    <row r="404" spans="1:41" x14ac:dyDescent="0.45">
      <c r="A404">
        <v>37.504454729999999</v>
      </c>
      <c r="B404">
        <v>119.2683157</v>
      </c>
      <c r="C404">
        <v>15.0779438</v>
      </c>
      <c r="D404">
        <v>1.74586105</v>
      </c>
      <c r="E404">
        <f t="shared" si="210"/>
        <v>1.74586105</v>
      </c>
      <c r="F404">
        <f t="shared" si="211"/>
        <v>0</v>
      </c>
      <c r="G404">
        <f t="shared" si="212"/>
        <v>0</v>
      </c>
      <c r="H404">
        <f t="shared" si="213"/>
        <v>0</v>
      </c>
      <c r="I404">
        <f t="shared" si="214"/>
        <v>0</v>
      </c>
      <c r="J404">
        <f t="shared" si="215"/>
        <v>0</v>
      </c>
      <c r="K404" s="1">
        <f t="shared" si="216"/>
        <v>0</v>
      </c>
      <c r="L404" s="1">
        <f t="shared" si="217"/>
        <v>0</v>
      </c>
      <c r="M404" s="1">
        <f t="shared" si="218"/>
        <v>0</v>
      </c>
      <c r="N404" s="1">
        <f t="shared" si="219"/>
        <v>0</v>
      </c>
      <c r="O404" s="1">
        <f t="shared" si="220"/>
        <v>0</v>
      </c>
      <c r="P404" s="1">
        <f t="shared" si="221"/>
        <v>25</v>
      </c>
      <c r="Q404" s="1" t="e">
        <f t="shared" si="222"/>
        <v>#DIV/0!</v>
      </c>
      <c r="R404" s="1" t="e">
        <f t="shared" si="223"/>
        <v>#DIV/0!</v>
      </c>
      <c r="S404" s="1" t="e">
        <f t="shared" si="224"/>
        <v>#DIV/0!</v>
      </c>
      <c r="T404" s="1" t="e">
        <f t="shared" si="225"/>
        <v>#DIV/0!</v>
      </c>
      <c r="U404" s="1" t="e">
        <f t="shared" si="226"/>
        <v>#DIV/0!</v>
      </c>
      <c r="V404">
        <f t="shared" si="227"/>
        <v>851.48</v>
      </c>
      <c r="W404">
        <f t="shared" si="228"/>
        <v>0</v>
      </c>
      <c r="X404">
        <f t="shared" si="229"/>
        <v>0</v>
      </c>
      <c r="Y404">
        <f t="shared" si="230"/>
        <v>0</v>
      </c>
      <c r="Z404">
        <f t="shared" si="231"/>
        <v>0</v>
      </c>
      <c r="AA404">
        <f t="shared" si="232"/>
        <v>0</v>
      </c>
      <c r="AC404">
        <f t="shared" si="233"/>
        <v>1045.25</v>
      </c>
      <c r="AD404">
        <f t="shared" si="234"/>
        <v>0</v>
      </c>
      <c r="AE404">
        <f t="shared" si="235"/>
        <v>0</v>
      </c>
      <c r="AF404">
        <f t="shared" si="236"/>
        <v>0</v>
      </c>
      <c r="AG404">
        <f t="shared" si="237"/>
        <v>0</v>
      </c>
      <c r="AH404">
        <f t="shared" si="238"/>
        <v>0</v>
      </c>
      <c r="AJ404">
        <f t="shared" si="239"/>
        <v>1239.01</v>
      </c>
      <c r="AK404">
        <f t="shared" si="240"/>
        <v>0</v>
      </c>
      <c r="AL404">
        <f t="shared" si="241"/>
        <v>0</v>
      </c>
      <c r="AM404">
        <f t="shared" si="242"/>
        <v>0</v>
      </c>
      <c r="AN404">
        <f t="shared" si="243"/>
        <v>0</v>
      </c>
      <c r="AO404">
        <f t="shared" si="244"/>
        <v>0</v>
      </c>
    </row>
    <row r="405" spans="1:41" x14ac:dyDescent="0.45">
      <c r="A405">
        <v>37.508239619999998</v>
      </c>
      <c r="B405">
        <v>118.8040163</v>
      </c>
      <c r="C405">
        <v>40.0941124</v>
      </c>
      <c r="D405">
        <v>5.8404440900000001</v>
      </c>
      <c r="E405">
        <f t="shared" si="210"/>
        <v>5.8404440900000001</v>
      </c>
      <c r="F405">
        <f t="shared" si="211"/>
        <v>0</v>
      </c>
      <c r="G405">
        <f t="shared" si="212"/>
        <v>0</v>
      </c>
      <c r="H405">
        <f t="shared" si="213"/>
        <v>0</v>
      </c>
      <c r="I405">
        <f t="shared" si="214"/>
        <v>0</v>
      </c>
      <c r="J405">
        <f t="shared" si="215"/>
        <v>0</v>
      </c>
      <c r="K405" s="1">
        <f t="shared" si="216"/>
        <v>0</v>
      </c>
      <c r="L405" s="1">
        <f t="shared" si="217"/>
        <v>0</v>
      </c>
      <c r="M405" s="1">
        <f t="shared" si="218"/>
        <v>0</v>
      </c>
      <c r="N405" s="1">
        <f t="shared" si="219"/>
        <v>0</v>
      </c>
      <c r="O405" s="1">
        <f t="shared" si="220"/>
        <v>0</v>
      </c>
      <c r="P405" s="1">
        <f t="shared" si="221"/>
        <v>25</v>
      </c>
      <c r="Q405" s="1" t="e">
        <f t="shared" si="222"/>
        <v>#DIV/0!</v>
      </c>
      <c r="R405" s="1" t="e">
        <f t="shared" si="223"/>
        <v>#DIV/0!</v>
      </c>
      <c r="S405" s="1" t="e">
        <f t="shared" si="224"/>
        <v>#DIV/0!</v>
      </c>
      <c r="T405" s="1" t="e">
        <f t="shared" si="225"/>
        <v>#DIV/0!</v>
      </c>
      <c r="U405" s="1" t="e">
        <f t="shared" si="226"/>
        <v>#DIV/0!</v>
      </c>
      <c r="V405">
        <f t="shared" si="227"/>
        <v>851.48</v>
      </c>
      <c r="W405">
        <f t="shared" si="228"/>
        <v>0</v>
      </c>
      <c r="X405">
        <f t="shared" si="229"/>
        <v>0</v>
      </c>
      <c r="Y405">
        <f t="shared" si="230"/>
        <v>0</v>
      </c>
      <c r="Z405">
        <f t="shared" si="231"/>
        <v>0</v>
      </c>
      <c r="AA405">
        <f t="shared" si="232"/>
        <v>0</v>
      </c>
      <c r="AC405">
        <f t="shared" si="233"/>
        <v>1045.25</v>
      </c>
      <c r="AD405">
        <f t="shared" si="234"/>
        <v>0</v>
      </c>
      <c r="AE405">
        <f t="shared" si="235"/>
        <v>0</v>
      </c>
      <c r="AF405">
        <f t="shared" si="236"/>
        <v>0</v>
      </c>
      <c r="AG405">
        <f t="shared" si="237"/>
        <v>0</v>
      </c>
      <c r="AH405">
        <f t="shared" si="238"/>
        <v>0</v>
      </c>
      <c r="AJ405">
        <f t="shared" si="239"/>
        <v>1239.01</v>
      </c>
      <c r="AK405">
        <f t="shared" si="240"/>
        <v>0</v>
      </c>
      <c r="AL405">
        <f t="shared" si="241"/>
        <v>0</v>
      </c>
      <c r="AM405">
        <f t="shared" si="242"/>
        <v>0</v>
      </c>
      <c r="AN405">
        <f t="shared" si="243"/>
        <v>0</v>
      </c>
      <c r="AO405">
        <f t="shared" si="244"/>
        <v>0</v>
      </c>
    </row>
    <row r="406" spans="1:41" x14ac:dyDescent="0.45">
      <c r="A406">
        <v>37.51427357</v>
      </c>
      <c r="B406">
        <v>118.7469207</v>
      </c>
      <c r="C406">
        <v>40.0941124</v>
      </c>
      <c r="D406">
        <v>23.542100909999998</v>
      </c>
      <c r="E406">
        <f t="shared" si="210"/>
        <v>23.542100909999998</v>
      </c>
      <c r="F406">
        <f t="shared" si="211"/>
        <v>0</v>
      </c>
      <c r="G406">
        <f t="shared" si="212"/>
        <v>0</v>
      </c>
      <c r="H406">
        <f t="shared" si="213"/>
        <v>0</v>
      </c>
      <c r="I406">
        <f t="shared" si="214"/>
        <v>0</v>
      </c>
      <c r="J406">
        <f t="shared" si="215"/>
        <v>0</v>
      </c>
      <c r="K406" s="1">
        <f t="shared" si="216"/>
        <v>0</v>
      </c>
      <c r="L406" s="1">
        <f t="shared" si="217"/>
        <v>0</v>
      </c>
      <c r="M406" s="1">
        <f t="shared" si="218"/>
        <v>0</v>
      </c>
      <c r="N406" s="1">
        <f t="shared" si="219"/>
        <v>0</v>
      </c>
      <c r="O406" s="1">
        <f t="shared" si="220"/>
        <v>0</v>
      </c>
      <c r="P406" s="1">
        <f t="shared" si="221"/>
        <v>25</v>
      </c>
      <c r="Q406" s="1" t="e">
        <f t="shared" si="222"/>
        <v>#DIV/0!</v>
      </c>
      <c r="R406" s="1" t="e">
        <f t="shared" si="223"/>
        <v>#DIV/0!</v>
      </c>
      <c r="S406" s="1" t="e">
        <f t="shared" si="224"/>
        <v>#DIV/0!</v>
      </c>
      <c r="T406" s="1" t="e">
        <f t="shared" si="225"/>
        <v>#DIV/0!</v>
      </c>
      <c r="U406" s="1" t="e">
        <f t="shared" si="226"/>
        <v>#DIV/0!</v>
      </c>
      <c r="V406">
        <f t="shared" si="227"/>
        <v>851.48</v>
      </c>
      <c r="W406">
        <f t="shared" si="228"/>
        <v>0</v>
      </c>
      <c r="X406">
        <f t="shared" si="229"/>
        <v>0</v>
      </c>
      <c r="Y406">
        <f t="shared" si="230"/>
        <v>0</v>
      </c>
      <c r="Z406">
        <f t="shared" si="231"/>
        <v>0</v>
      </c>
      <c r="AA406">
        <f t="shared" si="232"/>
        <v>0</v>
      </c>
      <c r="AC406">
        <f t="shared" si="233"/>
        <v>1045.25</v>
      </c>
      <c r="AD406">
        <f t="shared" si="234"/>
        <v>0</v>
      </c>
      <c r="AE406">
        <f t="shared" si="235"/>
        <v>0</v>
      </c>
      <c r="AF406">
        <f t="shared" si="236"/>
        <v>0</v>
      </c>
      <c r="AG406">
        <f t="shared" si="237"/>
        <v>0</v>
      </c>
      <c r="AH406">
        <f t="shared" si="238"/>
        <v>0</v>
      </c>
      <c r="AJ406">
        <f t="shared" si="239"/>
        <v>1239.01</v>
      </c>
      <c r="AK406">
        <f t="shared" si="240"/>
        <v>0</v>
      </c>
      <c r="AL406">
        <f t="shared" si="241"/>
        <v>0</v>
      </c>
      <c r="AM406">
        <f t="shared" si="242"/>
        <v>0</v>
      </c>
      <c r="AN406">
        <f t="shared" si="243"/>
        <v>0</v>
      </c>
      <c r="AO406">
        <f t="shared" si="244"/>
        <v>0</v>
      </c>
    </row>
    <row r="407" spans="1:41" x14ac:dyDescent="0.45">
      <c r="A407">
        <v>37.516067190000001</v>
      </c>
      <c r="B407">
        <v>118.28254939999999</v>
      </c>
      <c r="C407">
        <v>65.630661009999997</v>
      </c>
      <c r="D407">
        <v>8.6780061699999997</v>
      </c>
      <c r="E407">
        <f t="shared" si="210"/>
        <v>8.6780061699999997</v>
      </c>
      <c r="F407">
        <f t="shared" si="211"/>
        <v>0</v>
      </c>
      <c r="G407">
        <f t="shared" si="212"/>
        <v>0</v>
      </c>
      <c r="H407">
        <f t="shared" si="213"/>
        <v>0</v>
      </c>
      <c r="I407">
        <f t="shared" si="214"/>
        <v>0</v>
      </c>
      <c r="J407">
        <f t="shared" si="215"/>
        <v>0</v>
      </c>
      <c r="K407" s="1">
        <f t="shared" si="216"/>
        <v>0</v>
      </c>
      <c r="L407" s="1">
        <f t="shared" si="217"/>
        <v>0</v>
      </c>
      <c r="M407" s="1">
        <f t="shared" si="218"/>
        <v>0</v>
      </c>
      <c r="N407" s="1">
        <f t="shared" si="219"/>
        <v>0</v>
      </c>
      <c r="O407" s="1">
        <f t="shared" si="220"/>
        <v>0</v>
      </c>
      <c r="P407" s="1">
        <f t="shared" si="221"/>
        <v>25</v>
      </c>
      <c r="Q407" s="1" t="e">
        <f t="shared" si="222"/>
        <v>#DIV/0!</v>
      </c>
      <c r="R407" s="1" t="e">
        <f t="shared" si="223"/>
        <v>#DIV/0!</v>
      </c>
      <c r="S407" s="1" t="e">
        <f t="shared" si="224"/>
        <v>#DIV/0!</v>
      </c>
      <c r="T407" s="1" t="e">
        <f t="shared" si="225"/>
        <v>#DIV/0!</v>
      </c>
      <c r="U407" s="1" t="e">
        <f t="shared" si="226"/>
        <v>#DIV/0!</v>
      </c>
      <c r="V407">
        <f t="shared" si="227"/>
        <v>851.48</v>
      </c>
      <c r="W407">
        <f t="shared" si="228"/>
        <v>0</v>
      </c>
      <c r="X407">
        <f t="shared" si="229"/>
        <v>0</v>
      </c>
      <c r="Y407">
        <f t="shared" si="230"/>
        <v>0</v>
      </c>
      <c r="Z407">
        <f t="shared" si="231"/>
        <v>0</v>
      </c>
      <c r="AA407">
        <f t="shared" si="232"/>
        <v>0</v>
      </c>
      <c r="AC407">
        <f t="shared" si="233"/>
        <v>1045.25</v>
      </c>
      <c r="AD407">
        <f t="shared" si="234"/>
        <v>0</v>
      </c>
      <c r="AE407">
        <f t="shared" si="235"/>
        <v>0</v>
      </c>
      <c r="AF407">
        <f t="shared" si="236"/>
        <v>0</v>
      </c>
      <c r="AG407">
        <f t="shared" si="237"/>
        <v>0</v>
      </c>
      <c r="AH407">
        <f t="shared" si="238"/>
        <v>0</v>
      </c>
      <c r="AJ407">
        <f t="shared" si="239"/>
        <v>1239.01</v>
      </c>
      <c r="AK407">
        <f t="shared" si="240"/>
        <v>0</v>
      </c>
      <c r="AL407">
        <f t="shared" si="241"/>
        <v>0</v>
      </c>
      <c r="AM407">
        <f t="shared" si="242"/>
        <v>0</v>
      </c>
      <c r="AN407">
        <f t="shared" si="243"/>
        <v>0</v>
      </c>
      <c r="AO407">
        <f t="shared" si="244"/>
        <v>0</v>
      </c>
    </row>
    <row r="408" spans="1:41" x14ac:dyDescent="0.45">
      <c r="A408">
        <v>37.529397529999997</v>
      </c>
      <c r="B408">
        <v>107.5364884</v>
      </c>
      <c r="C408">
        <v>2.6882860700000002</v>
      </c>
      <c r="D408">
        <v>7.5719881100000004</v>
      </c>
      <c r="E408">
        <f t="shared" si="210"/>
        <v>2.6882860700000002</v>
      </c>
      <c r="F408">
        <f t="shared" si="211"/>
        <v>0</v>
      </c>
      <c r="G408">
        <f t="shared" si="212"/>
        <v>0</v>
      </c>
      <c r="H408">
        <f t="shared" si="213"/>
        <v>0</v>
      </c>
      <c r="I408">
        <f t="shared" si="214"/>
        <v>0</v>
      </c>
      <c r="J408">
        <f t="shared" si="215"/>
        <v>0</v>
      </c>
      <c r="K408" s="1">
        <f t="shared" si="216"/>
        <v>0</v>
      </c>
      <c r="L408" s="1">
        <f t="shared" si="217"/>
        <v>0</v>
      </c>
      <c r="M408" s="1">
        <f t="shared" si="218"/>
        <v>0</v>
      </c>
      <c r="N408" s="1">
        <f t="shared" si="219"/>
        <v>0</v>
      </c>
      <c r="O408" s="1">
        <f t="shared" si="220"/>
        <v>0</v>
      </c>
      <c r="P408" s="1">
        <f t="shared" si="221"/>
        <v>8.8757603384562103</v>
      </c>
      <c r="Q408" s="1" t="e">
        <f t="shared" si="222"/>
        <v>#DIV/0!</v>
      </c>
      <c r="R408" s="1" t="e">
        <f t="shared" si="223"/>
        <v>#DIV/0!</v>
      </c>
      <c r="S408" s="1" t="e">
        <f t="shared" si="224"/>
        <v>#DIV/0!</v>
      </c>
      <c r="T408" s="1" t="e">
        <f t="shared" si="225"/>
        <v>#DIV/0!</v>
      </c>
      <c r="U408" s="1" t="e">
        <f t="shared" si="226"/>
        <v>#DIV/0!</v>
      </c>
      <c r="V408">
        <f t="shared" si="227"/>
        <v>327.44221099982684</v>
      </c>
      <c r="W408">
        <f t="shared" si="228"/>
        <v>0</v>
      </c>
      <c r="X408">
        <f t="shared" si="229"/>
        <v>0</v>
      </c>
      <c r="Y408">
        <f t="shared" si="230"/>
        <v>0</v>
      </c>
      <c r="Z408">
        <f t="shared" si="231"/>
        <v>0</v>
      </c>
      <c r="AA408">
        <f t="shared" si="232"/>
        <v>0</v>
      </c>
      <c r="AC408">
        <f t="shared" si="233"/>
        <v>400.28041353824841</v>
      </c>
      <c r="AD408">
        <f t="shared" si="234"/>
        <v>0</v>
      </c>
      <c r="AE408">
        <f t="shared" si="235"/>
        <v>0</v>
      </c>
      <c r="AF408">
        <f t="shared" si="236"/>
        <v>0</v>
      </c>
      <c r="AG408">
        <f t="shared" si="237"/>
        <v>0</v>
      </c>
      <c r="AH408">
        <f t="shared" si="238"/>
        <v>0</v>
      </c>
      <c r="AJ408">
        <f t="shared" si="239"/>
        <v>473.10861607666999</v>
      </c>
      <c r="AK408">
        <f t="shared" si="240"/>
        <v>0</v>
      </c>
      <c r="AL408">
        <f t="shared" si="241"/>
        <v>0</v>
      </c>
      <c r="AM408">
        <f t="shared" si="242"/>
        <v>0</v>
      </c>
      <c r="AN408">
        <f t="shared" si="243"/>
        <v>0</v>
      </c>
      <c r="AO408">
        <f t="shared" si="244"/>
        <v>0</v>
      </c>
    </row>
    <row r="409" spans="1:41" x14ac:dyDescent="0.45">
      <c r="A409">
        <v>37.533823439999999</v>
      </c>
      <c r="B409">
        <v>107.1332489</v>
      </c>
      <c r="C409">
        <v>2.6882860700000002</v>
      </c>
      <c r="D409">
        <v>2.2268109300000001</v>
      </c>
      <c r="E409">
        <f t="shared" si="210"/>
        <v>2.2268109300000001</v>
      </c>
      <c r="F409">
        <f t="shared" si="211"/>
        <v>0</v>
      </c>
      <c r="G409">
        <f t="shared" si="212"/>
        <v>0</v>
      </c>
      <c r="H409">
        <f t="shared" si="213"/>
        <v>0</v>
      </c>
      <c r="I409">
        <f t="shared" si="214"/>
        <v>0</v>
      </c>
      <c r="J409">
        <f t="shared" si="215"/>
        <v>0</v>
      </c>
      <c r="K409" s="1">
        <f t="shared" si="216"/>
        <v>0</v>
      </c>
      <c r="L409" s="1">
        <f t="shared" si="217"/>
        <v>0</v>
      </c>
      <c r="M409" s="1">
        <f t="shared" si="218"/>
        <v>0</v>
      </c>
      <c r="N409" s="1">
        <f t="shared" si="219"/>
        <v>0</v>
      </c>
      <c r="O409" s="1">
        <f t="shared" si="220"/>
        <v>0</v>
      </c>
      <c r="P409" s="1">
        <f t="shared" si="221"/>
        <v>25</v>
      </c>
      <c r="Q409" s="1" t="e">
        <f t="shared" si="222"/>
        <v>#DIV/0!</v>
      </c>
      <c r="R409" s="1" t="e">
        <f t="shared" si="223"/>
        <v>#DIV/0!</v>
      </c>
      <c r="S409" s="1" t="e">
        <f t="shared" si="224"/>
        <v>#DIV/0!</v>
      </c>
      <c r="T409" s="1" t="e">
        <f t="shared" si="225"/>
        <v>#DIV/0!</v>
      </c>
      <c r="U409" s="1" t="e">
        <f t="shared" si="226"/>
        <v>#DIV/0!</v>
      </c>
      <c r="V409">
        <f t="shared" si="227"/>
        <v>851.48</v>
      </c>
      <c r="W409">
        <f t="shared" si="228"/>
        <v>0</v>
      </c>
      <c r="X409">
        <f t="shared" si="229"/>
        <v>0</v>
      </c>
      <c r="Y409">
        <f t="shared" si="230"/>
        <v>0</v>
      </c>
      <c r="Z409">
        <f t="shared" si="231"/>
        <v>0</v>
      </c>
      <c r="AA409">
        <f t="shared" si="232"/>
        <v>0</v>
      </c>
      <c r="AC409">
        <f t="shared" si="233"/>
        <v>1045.25</v>
      </c>
      <c r="AD409">
        <f t="shared" si="234"/>
        <v>0</v>
      </c>
      <c r="AE409">
        <f t="shared" si="235"/>
        <v>0</v>
      </c>
      <c r="AF409">
        <f t="shared" si="236"/>
        <v>0</v>
      </c>
      <c r="AG409">
        <f t="shared" si="237"/>
        <v>0</v>
      </c>
      <c r="AH409">
        <f t="shared" si="238"/>
        <v>0</v>
      </c>
      <c r="AJ409">
        <f t="shared" si="239"/>
        <v>1239.01</v>
      </c>
      <c r="AK409">
        <f t="shared" si="240"/>
        <v>0</v>
      </c>
      <c r="AL409">
        <f t="shared" si="241"/>
        <v>0</v>
      </c>
      <c r="AM409">
        <f t="shared" si="242"/>
        <v>0</v>
      </c>
      <c r="AN409">
        <f t="shared" si="243"/>
        <v>0</v>
      </c>
      <c r="AO409">
        <f t="shared" si="244"/>
        <v>0</v>
      </c>
    </row>
    <row r="410" spans="1:41" x14ac:dyDescent="0.45">
      <c r="A410">
        <v>37.537998850000001</v>
      </c>
      <c r="B410">
        <v>109.3809888</v>
      </c>
      <c r="C410">
        <v>3.4743599999999999E-2</v>
      </c>
      <c r="D410">
        <v>0.51882397999999996</v>
      </c>
      <c r="E410">
        <f t="shared" si="210"/>
        <v>3.4743599999999999E-2</v>
      </c>
      <c r="F410">
        <f t="shared" si="211"/>
        <v>0.34510597999999998</v>
      </c>
      <c r="G410">
        <f t="shared" si="212"/>
        <v>0.17138798</v>
      </c>
      <c r="H410">
        <f t="shared" si="213"/>
        <v>0</v>
      </c>
      <c r="I410">
        <f t="shared" si="214"/>
        <v>0</v>
      </c>
      <c r="J410">
        <f t="shared" si="215"/>
        <v>0</v>
      </c>
      <c r="K410" s="1">
        <f t="shared" si="216"/>
        <v>3.4743599999999999E-2</v>
      </c>
      <c r="L410" s="1">
        <f t="shared" si="217"/>
        <v>3.4743599999999999E-2</v>
      </c>
      <c r="M410" s="1">
        <f t="shared" si="218"/>
        <v>0</v>
      </c>
      <c r="N410" s="1">
        <f t="shared" si="219"/>
        <v>0</v>
      </c>
      <c r="O410" s="1">
        <f t="shared" si="220"/>
        <v>0</v>
      </c>
      <c r="P410" s="1">
        <f t="shared" si="221"/>
        <v>1.6741516072560871</v>
      </c>
      <c r="Q410" s="1">
        <f t="shared" si="222"/>
        <v>2.5168790178599632</v>
      </c>
      <c r="R410" s="1">
        <f t="shared" si="223"/>
        <v>5.0679750120165954</v>
      </c>
      <c r="S410" s="1" t="e">
        <f t="shared" si="224"/>
        <v>#DIV/0!</v>
      </c>
      <c r="T410" s="1" t="e">
        <f t="shared" si="225"/>
        <v>#DIV/0!</v>
      </c>
      <c r="U410" s="1" t="e">
        <f t="shared" si="226"/>
        <v>#DIV/0!</v>
      </c>
      <c r="V410">
        <f t="shared" si="227"/>
        <v>93.389927235822839</v>
      </c>
      <c r="W410">
        <f t="shared" si="228"/>
        <v>133.37296316974863</v>
      </c>
      <c r="X410" t="e">
        <f t="shared" si="229"/>
        <v>#DIV/0!</v>
      </c>
      <c r="Y410">
        <f t="shared" si="230"/>
        <v>0</v>
      </c>
      <c r="Z410">
        <f t="shared" si="231"/>
        <v>0</v>
      </c>
      <c r="AA410">
        <f t="shared" si="232"/>
        <v>0</v>
      </c>
      <c r="AC410">
        <f t="shared" si="233"/>
        <v>112.21606429024348</v>
      </c>
      <c r="AD410">
        <f t="shared" si="234"/>
        <v>133.37296316974863</v>
      </c>
      <c r="AE410">
        <f t="shared" si="235"/>
        <v>196.37918789053933</v>
      </c>
      <c r="AF410">
        <f t="shared" si="236"/>
        <v>0</v>
      </c>
      <c r="AG410">
        <f t="shared" si="237"/>
        <v>0</v>
      </c>
      <c r="AH410">
        <f t="shared" si="238"/>
        <v>0</v>
      </c>
      <c r="AJ410">
        <f t="shared" si="239"/>
        <v>131.03220134466414</v>
      </c>
      <c r="AK410">
        <f t="shared" si="240"/>
        <v>159.19955580369833</v>
      </c>
      <c r="AL410">
        <f t="shared" si="241"/>
        <v>251.58893801070531</v>
      </c>
      <c r="AM410">
        <f t="shared" si="242"/>
        <v>0</v>
      </c>
      <c r="AN410">
        <f t="shared" si="243"/>
        <v>0</v>
      </c>
      <c r="AO410">
        <f t="shared" si="244"/>
        <v>0</v>
      </c>
    </row>
    <row r="411" spans="1:41" x14ac:dyDescent="0.45">
      <c r="A411">
        <v>37.538140949999999</v>
      </c>
      <c r="B411">
        <v>118.5184495</v>
      </c>
      <c r="C411">
        <v>40.0941124</v>
      </c>
      <c r="D411">
        <v>61.105094909999998</v>
      </c>
      <c r="E411">
        <f t="shared" si="210"/>
        <v>40.0941124</v>
      </c>
      <c r="F411">
        <f t="shared" si="211"/>
        <v>0</v>
      </c>
      <c r="G411">
        <f t="shared" si="212"/>
        <v>0</v>
      </c>
      <c r="H411">
        <f t="shared" si="213"/>
        <v>0</v>
      </c>
      <c r="I411">
        <f t="shared" si="214"/>
        <v>0</v>
      </c>
      <c r="J411">
        <f t="shared" si="215"/>
        <v>0</v>
      </c>
      <c r="K411" s="1">
        <f t="shared" si="216"/>
        <v>0</v>
      </c>
      <c r="L411" s="1">
        <f t="shared" si="217"/>
        <v>0</v>
      </c>
      <c r="M411" s="1">
        <f t="shared" si="218"/>
        <v>0</v>
      </c>
      <c r="N411" s="1">
        <f t="shared" si="219"/>
        <v>0</v>
      </c>
      <c r="O411" s="1">
        <f t="shared" si="220"/>
        <v>0</v>
      </c>
      <c r="P411" s="1">
        <f t="shared" si="221"/>
        <v>16.403751789868547</v>
      </c>
      <c r="Q411" s="1" t="e">
        <f t="shared" si="222"/>
        <v>#DIV/0!</v>
      </c>
      <c r="R411" s="1" t="e">
        <f t="shared" si="223"/>
        <v>#DIV/0!</v>
      </c>
      <c r="S411" s="1" t="e">
        <f t="shared" si="224"/>
        <v>#DIV/0!</v>
      </c>
      <c r="T411" s="1" t="e">
        <f t="shared" si="225"/>
        <v>#DIV/0!</v>
      </c>
      <c r="U411" s="1" t="e">
        <f t="shared" si="226"/>
        <v>#DIV/0!</v>
      </c>
      <c r="V411">
        <f t="shared" si="227"/>
        <v>572.10193317072776</v>
      </c>
      <c r="W411">
        <f t="shared" si="228"/>
        <v>0</v>
      </c>
      <c r="X411">
        <f t="shared" si="229"/>
        <v>0</v>
      </c>
      <c r="Y411">
        <f t="shared" si="230"/>
        <v>0</v>
      </c>
      <c r="Z411">
        <f t="shared" si="231"/>
        <v>0</v>
      </c>
      <c r="AA411">
        <f t="shared" si="232"/>
        <v>0</v>
      </c>
      <c r="AC411">
        <f t="shared" si="233"/>
        <v>701.40007159474192</v>
      </c>
      <c r="AD411">
        <f t="shared" si="234"/>
        <v>0</v>
      </c>
      <c r="AE411">
        <f t="shared" si="235"/>
        <v>0</v>
      </c>
      <c r="AF411">
        <f t="shared" si="236"/>
        <v>0</v>
      </c>
      <c r="AG411">
        <f t="shared" si="237"/>
        <v>0</v>
      </c>
      <c r="AH411">
        <f t="shared" si="238"/>
        <v>0</v>
      </c>
      <c r="AJ411">
        <f t="shared" si="239"/>
        <v>830.68821001875597</v>
      </c>
      <c r="AK411">
        <f t="shared" si="240"/>
        <v>0</v>
      </c>
      <c r="AL411">
        <f t="shared" si="241"/>
        <v>0</v>
      </c>
      <c r="AM411">
        <f t="shared" si="242"/>
        <v>0</v>
      </c>
      <c r="AN411">
        <f t="shared" si="243"/>
        <v>0</v>
      </c>
      <c r="AO411">
        <f t="shared" si="244"/>
        <v>0</v>
      </c>
    </row>
    <row r="412" spans="1:41" x14ac:dyDescent="0.45">
      <c r="A412">
        <v>37.555759510000001</v>
      </c>
      <c r="B412">
        <v>118.347004</v>
      </c>
      <c r="C412">
        <v>65.630661009999997</v>
      </c>
      <c r="D412">
        <v>2.6242559000000001</v>
      </c>
      <c r="E412">
        <f t="shared" si="210"/>
        <v>2.6242559000000001</v>
      </c>
      <c r="F412">
        <f t="shared" si="211"/>
        <v>0</v>
      </c>
      <c r="G412">
        <f t="shared" si="212"/>
        <v>0</v>
      </c>
      <c r="H412">
        <f t="shared" si="213"/>
        <v>0</v>
      </c>
      <c r="I412">
        <f t="shared" si="214"/>
        <v>0</v>
      </c>
      <c r="J412">
        <f t="shared" si="215"/>
        <v>0</v>
      </c>
      <c r="K412" s="1">
        <f t="shared" si="216"/>
        <v>0</v>
      </c>
      <c r="L412" s="1">
        <f t="shared" si="217"/>
        <v>0</v>
      </c>
      <c r="M412" s="1">
        <f t="shared" si="218"/>
        <v>0</v>
      </c>
      <c r="N412" s="1">
        <f t="shared" si="219"/>
        <v>0</v>
      </c>
      <c r="O412" s="1">
        <f t="shared" si="220"/>
        <v>0</v>
      </c>
      <c r="P412" s="1">
        <f t="shared" si="221"/>
        <v>25</v>
      </c>
      <c r="Q412" s="1" t="e">
        <f t="shared" si="222"/>
        <v>#DIV/0!</v>
      </c>
      <c r="R412" s="1" t="e">
        <f t="shared" si="223"/>
        <v>#DIV/0!</v>
      </c>
      <c r="S412" s="1" t="e">
        <f t="shared" si="224"/>
        <v>#DIV/0!</v>
      </c>
      <c r="T412" s="1" t="e">
        <f t="shared" si="225"/>
        <v>#DIV/0!</v>
      </c>
      <c r="U412" s="1" t="e">
        <f t="shared" si="226"/>
        <v>#DIV/0!</v>
      </c>
      <c r="V412">
        <f t="shared" si="227"/>
        <v>851.48</v>
      </c>
      <c r="W412">
        <f t="shared" si="228"/>
        <v>0</v>
      </c>
      <c r="X412">
        <f t="shared" si="229"/>
        <v>0</v>
      </c>
      <c r="Y412">
        <f t="shared" si="230"/>
        <v>0</v>
      </c>
      <c r="Z412">
        <f t="shared" si="231"/>
        <v>0</v>
      </c>
      <c r="AA412">
        <f t="shared" si="232"/>
        <v>0</v>
      </c>
      <c r="AC412">
        <f t="shared" si="233"/>
        <v>1045.25</v>
      </c>
      <c r="AD412">
        <f t="shared" si="234"/>
        <v>0</v>
      </c>
      <c r="AE412">
        <f t="shared" si="235"/>
        <v>0</v>
      </c>
      <c r="AF412">
        <f t="shared" si="236"/>
        <v>0</v>
      </c>
      <c r="AG412">
        <f t="shared" si="237"/>
        <v>0</v>
      </c>
      <c r="AH412">
        <f t="shared" si="238"/>
        <v>0</v>
      </c>
      <c r="AJ412">
        <f t="shared" si="239"/>
        <v>1239.01</v>
      </c>
      <c r="AK412">
        <f t="shared" si="240"/>
        <v>0</v>
      </c>
      <c r="AL412">
        <f t="shared" si="241"/>
        <v>0</v>
      </c>
      <c r="AM412">
        <f t="shared" si="242"/>
        <v>0</v>
      </c>
      <c r="AN412">
        <f t="shared" si="243"/>
        <v>0</v>
      </c>
      <c r="AO412">
        <f t="shared" si="244"/>
        <v>0</v>
      </c>
    </row>
    <row r="413" spans="1:41" x14ac:dyDescent="0.45">
      <c r="A413">
        <v>37.57313619</v>
      </c>
      <c r="B413">
        <v>118.17548069999999</v>
      </c>
      <c r="C413">
        <v>65.630661009999997</v>
      </c>
      <c r="D413">
        <v>0.24909800000000001</v>
      </c>
      <c r="E413">
        <f t="shared" si="210"/>
        <v>0.24909800000000001</v>
      </c>
      <c r="F413">
        <f t="shared" si="211"/>
        <v>0</v>
      </c>
      <c r="G413">
        <f t="shared" si="212"/>
        <v>0</v>
      </c>
      <c r="H413">
        <f t="shared" si="213"/>
        <v>0</v>
      </c>
      <c r="I413">
        <f t="shared" si="214"/>
        <v>0</v>
      </c>
      <c r="J413">
        <f t="shared" si="215"/>
        <v>0</v>
      </c>
      <c r="K413" s="1">
        <f t="shared" si="216"/>
        <v>0</v>
      </c>
      <c r="L413" s="1">
        <f t="shared" si="217"/>
        <v>0</v>
      </c>
      <c r="M413" s="1">
        <f t="shared" si="218"/>
        <v>0</v>
      </c>
      <c r="N413" s="1">
        <f t="shared" si="219"/>
        <v>0</v>
      </c>
      <c r="O413" s="1">
        <f t="shared" si="220"/>
        <v>0</v>
      </c>
      <c r="P413" s="1">
        <f t="shared" si="221"/>
        <v>25</v>
      </c>
      <c r="Q413" s="1" t="e">
        <f t="shared" si="222"/>
        <v>#DIV/0!</v>
      </c>
      <c r="R413" s="1" t="e">
        <f t="shared" si="223"/>
        <v>#DIV/0!</v>
      </c>
      <c r="S413" s="1" t="e">
        <f t="shared" si="224"/>
        <v>#DIV/0!</v>
      </c>
      <c r="T413" s="1" t="e">
        <f t="shared" si="225"/>
        <v>#DIV/0!</v>
      </c>
      <c r="U413" s="1" t="e">
        <f t="shared" si="226"/>
        <v>#DIV/0!</v>
      </c>
      <c r="V413">
        <f t="shared" si="227"/>
        <v>851.48</v>
      </c>
      <c r="W413">
        <f t="shared" si="228"/>
        <v>0</v>
      </c>
      <c r="X413">
        <f t="shared" si="229"/>
        <v>0</v>
      </c>
      <c r="Y413">
        <f t="shared" si="230"/>
        <v>0</v>
      </c>
      <c r="Z413">
        <f t="shared" si="231"/>
        <v>0</v>
      </c>
      <c r="AA413">
        <f t="shared" si="232"/>
        <v>0</v>
      </c>
      <c r="AC413">
        <f t="shared" si="233"/>
        <v>1045.25</v>
      </c>
      <c r="AD413">
        <f t="shared" si="234"/>
        <v>0</v>
      </c>
      <c r="AE413">
        <f t="shared" si="235"/>
        <v>0</v>
      </c>
      <c r="AF413">
        <f t="shared" si="236"/>
        <v>0</v>
      </c>
      <c r="AG413">
        <f t="shared" si="237"/>
        <v>0</v>
      </c>
      <c r="AH413">
        <f t="shared" si="238"/>
        <v>0</v>
      </c>
      <c r="AJ413">
        <f t="shared" si="239"/>
        <v>1239.01</v>
      </c>
      <c r="AK413">
        <f t="shared" si="240"/>
        <v>0</v>
      </c>
      <c r="AL413">
        <f t="shared" si="241"/>
        <v>0</v>
      </c>
      <c r="AM413">
        <f t="shared" si="242"/>
        <v>0</v>
      </c>
      <c r="AN413">
        <f t="shared" si="243"/>
        <v>0</v>
      </c>
      <c r="AO413">
        <f t="shared" si="244"/>
        <v>0</v>
      </c>
    </row>
    <row r="414" spans="1:41" x14ac:dyDescent="0.45">
      <c r="A414">
        <v>37.583637539999998</v>
      </c>
      <c r="B414">
        <v>118.5258796</v>
      </c>
      <c r="C414">
        <v>40.0941124</v>
      </c>
      <c r="D414">
        <v>0.10477599999999999</v>
      </c>
      <c r="E414">
        <f t="shared" si="210"/>
        <v>0.10477599999999999</v>
      </c>
      <c r="F414">
        <f t="shared" si="211"/>
        <v>0</v>
      </c>
      <c r="G414">
        <f t="shared" si="212"/>
        <v>0</v>
      </c>
      <c r="H414">
        <f t="shared" si="213"/>
        <v>0</v>
      </c>
      <c r="I414">
        <f t="shared" si="214"/>
        <v>0</v>
      </c>
      <c r="J414">
        <f t="shared" si="215"/>
        <v>0</v>
      </c>
      <c r="K414" s="1">
        <f t="shared" si="216"/>
        <v>0</v>
      </c>
      <c r="L414" s="1">
        <f t="shared" si="217"/>
        <v>0</v>
      </c>
      <c r="M414" s="1">
        <f t="shared" si="218"/>
        <v>0</v>
      </c>
      <c r="N414" s="1">
        <f t="shared" si="219"/>
        <v>0</v>
      </c>
      <c r="O414" s="1">
        <f t="shared" si="220"/>
        <v>0</v>
      </c>
      <c r="P414" s="1">
        <f t="shared" si="221"/>
        <v>25</v>
      </c>
      <c r="Q414" s="1" t="e">
        <f t="shared" si="222"/>
        <v>#DIV/0!</v>
      </c>
      <c r="R414" s="1" t="e">
        <f t="shared" si="223"/>
        <v>#DIV/0!</v>
      </c>
      <c r="S414" s="1" t="e">
        <f t="shared" si="224"/>
        <v>#DIV/0!</v>
      </c>
      <c r="T414" s="1" t="e">
        <f t="shared" si="225"/>
        <v>#DIV/0!</v>
      </c>
      <c r="U414" s="1" t="e">
        <f t="shared" si="226"/>
        <v>#DIV/0!</v>
      </c>
      <c r="V414">
        <f t="shared" si="227"/>
        <v>851.48</v>
      </c>
      <c r="W414">
        <f t="shared" si="228"/>
        <v>0</v>
      </c>
      <c r="X414">
        <f t="shared" si="229"/>
        <v>0</v>
      </c>
      <c r="Y414">
        <f t="shared" si="230"/>
        <v>0</v>
      </c>
      <c r="Z414">
        <f t="shared" si="231"/>
        <v>0</v>
      </c>
      <c r="AA414">
        <f t="shared" si="232"/>
        <v>0</v>
      </c>
      <c r="AC414">
        <f t="shared" si="233"/>
        <v>1045.25</v>
      </c>
      <c r="AD414">
        <f t="shared" si="234"/>
        <v>0</v>
      </c>
      <c r="AE414">
        <f t="shared" si="235"/>
        <v>0</v>
      </c>
      <c r="AF414">
        <f t="shared" si="236"/>
        <v>0</v>
      </c>
      <c r="AG414">
        <f t="shared" si="237"/>
        <v>0</v>
      </c>
      <c r="AH414">
        <f t="shared" si="238"/>
        <v>0</v>
      </c>
      <c r="AJ414">
        <f t="shared" si="239"/>
        <v>1239.01</v>
      </c>
      <c r="AK414">
        <f t="shared" si="240"/>
        <v>0</v>
      </c>
      <c r="AL414">
        <f t="shared" si="241"/>
        <v>0</v>
      </c>
      <c r="AM414">
        <f t="shared" si="242"/>
        <v>0</v>
      </c>
      <c r="AN414">
        <f t="shared" si="243"/>
        <v>0</v>
      </c>
      <c r="AO414">
        <f t="shared" si="244"/>
        <v>0</v>
      </c>
    </row>
    <row r="415" spans="1:41" x14ac:dyDescent="0.45">
      <c r="A415">
        <v>37.589540589999999</v>
      </c>
      <c r="B415">
        <v>118.4687067</v>
      </c>
      <c r="C415">
        <v>40.0941124</v>
      </c>
      <c r="D415">
        <v>0.21717800000000001</v>
      </c>
      <c r="E415">
        <f t="shared" si="210"/>
        <v>0.21717800000000001</v>
      </c>
      <c r="F415">
        <f t="shared" si="211"/>
        <v>0</v>
      </c>
      <c r="G415">
        <f t="shared" si="212"/>
        <v>0</v>
      </c>
      <c r="H415">
        <f t="shared" si="213"/>
        <v>0</v>
      </c>
      <c r="I415">
        <f t="shared" si="214"/>
        <v>0</v>
      </c>
      <c r="J415">
        <f t="shared" si="215"/>
        <v>0</v>
      </c>
      <c r="K415" s="1">
        <f t="shared" si="216"/>
        <v>0</v>
      </c>
      <c r="L415" s="1">
        <f t="shared" si="217"/>
        <v>0</v>
      </c>
      <c r="M415" s="1">
        <f t="shared" si="218"/>
        <v>0</v>
      </c>
      <c r="N415" s="1">
        <f t="shared" si="219"/>
        <v>0</v>
      </c>
      <c r="O415" s="1">
        <f t="shared" si="220"/>
        <v>0</v>
      </c>
      <c r="P415" s="1">
        <f t="shared" si="221"/>
        <v>25</v>
      </c>
      <c r="Q415" s="1" t="e">
        <f t="shared" si="222"/>
        <v>#DIV/0!</v>
      </c>
      <c r="R415" s="1" t="e">
        <f t="shared" si="223"/>
        <v>#DIV/0!</v>
      </c>
      <c r="S415" s="1" t="e">
        <f t="shared" si="224"/>
        <v>#DIV/0!</v>
      </c>
      <c r="T415" s="1" t="e">
        <f t="shared" si="225"/>
        <v>#DIV/0!</v>
      </c>
      <c r="U415" s="1" t="e">
        <f t="shared" si="226"/>
        <v>#DIV/0!</v>
      </c>
      <c r="V415">
        <f t="shared" si="227"/>
        <v>851.48</v>
      </c>
      <c r="W415">
        <f t="shared" si="228"/>
        <v>0</v>
      </c>
      <c r="X415">
        <f t="shared" si="229"/>
        <v>0</v>
      </c>
      <c r="Y415">
        <f t="shared" si="230"/>
        <v>0</v>
      </c>
      <c r="Z415">
        <f t="shared" si="231"/>
        <v>0</v>
      </c>
      <c r="AA415">
        <f t="shared" si="232"/>
        <v>0</v>
      </c>
      <c r="AC415">
        <f t="shared" si="233"/>
        <v>1045.25</v>
      </c>
      <c r="AD415">
        <f t="shared" si="234"/>
        <v>0</v>
      </c>
      <c r="AE415">
        <f t="shared" si="235"/>
        <v>0</v>
      </c>
      <c r="AF415">
        <f t="shared" si="236"/>
        <v>0</v>
      </c>
      <c r="AG415">
        <f t="shared" si="237"/>
        <v>0</v>
      </c>
      <c r="AH415">
        <f t="shared" si="238"/>
        <v>0</v>
      </c>
      <c r="AJ415">
        <f t="shared" si="239"/>
        <v>1239.01</v>
      </c>
      <c r="AK415">
        <f t="shared" si="240"/>
        <v>0</v>
      </c>
      <c r="AL415">
        <f t="shared" si="241"/>
        <v>0</v>
      </c>
      <c r="AM415">
        <f t="shared" si="242"/>
        <v>0</v>
      </c>
      <c r="AN415">
        <f t="shared" si="243"/>
        <v>0</v>
      </c>
      <c r="AO415">
        <f t="shared" si="244"/>
        <v>0</v>
      </c>
    </row>
    <row r="416" spans="1:41" x14ac:dyDescent="0.45">
      <c r="A416">
        <v>37.594665220000003</v>
      </c>
      <c r="B416">
        <v>117.4818068</v>
      </c>
      <c r="C416">
        <v>0</v>
      </c>
      <c r="D416">
        <v>0.45891800999999999</v>
      </c>
      <c r="E416">
        <f t="shared" si="210"/>
        <v>0</v>
      </c>
      <c r="F416">
        <f t="shared" si="211"/>
        <v>0.45891800999999999</v>
      </c>
      <c r="G416">
        <f t="shared" si="212"/>
        <v>0.45891800999999999</v>
      </c>
      <c r="H416">
        <f t="shared" si="213"/>
        <v>0.45891800999999999</v>
      </c>
      <c r="I416">
        <f t="shared" si="214"/>
        <v>0.45891800999999999</v>
      </c>
      <c r="J416">
        <f t="shared" si="215"/>
        <v>0.45891800999999999</v>
      </c>
      <c r="K416" s="1">
        <f t="shared" si="216"/>
        <v>0</v>
      </c>
      <c r="L416" s="1">
        <f t="shared" si="217"/>
        <v>0</v>
      </c>
      <c r="M416" s="1">
        <f t="shared" si="218"/>
        <v>0</v>
      </c>
      <c r="N416" s="1">
        <f t="shared" si="219"/>
        <v>0</v>
      </c>
      <c r="O416" s="1">
        <f t="shared" si="220"/>
        <v>0</v>
      </c>
      <c r="P416" s="1">
        <f t="shared" si="221"/>
        <v>1</v>
      </c>
      <c r="Q416" s="1">
        <f t="shared" si="222"/>
        <v>1</v>
      </c>
      <c r="R416" s="1">
        <f t="shared" si="223"/>
        <v>1</v>
      </c>
      <c r="S416" s="1">
        <f t="shared" si="224"/>
        <v>1</v>
      </c>
      <c r="T416" s="1">
        <f t="shared" si="225"/>
        <v>1</v>
      </c>
      <c r="U416" s="1">
        <f t="shared" si="226"/>
        <v>1</v>
      </c>
      <c r="V416">
        <f t="shared" si="227"/>
        <v>71.48</v>
      </c>
      <c r="W416">
        <f t="shared" si="228"/>
        <v>76.489999999999995</v>
      </c>
      <c r="X416">
        <f t="shared" si="229"/>
        <v>52.14</v>
      </c>
      <c r="Y416">
        <f t="shared" si="230"/>
        <v>38.1</v>
      </c>
      <c r="Z416">
        <f t="shared" si="231"/>
        <v>32.120000000000005</v>
      </c>
      <c r="AA416">
        <f t="shared" si="232"/>
        <v>30.03</v>
      </c>
      <c r="AC416">
        <f t="shared" si="233"/>
        <v>85.25</v>
      </c>
      <c r="AD416">
        <f t="shared" si="234"/>
        <v>76.489999999999995</v>
      </c>
      <c r="AE416">
        <f t="shared" si="235"/>
        <v>64.17</v>
      </c>
      <c r="AF416">
        <f t="shared" si="236"/>
        <v>49.84</v>
      </c>
      <c r="AG416">
        <f t="shared" si="237"/>
        <v>48.34</v>
      </c>
      <c r="AH416">
        <f t="shared" si="238"/>
        <v>41.36</v>
      </c>
      <c r="AJ416">
        <f t="shared" si="239"/>
        <v>99.009999999999991</v>
      </c>
      <c r="AK416">
        <f t="shared" si="240"/>
        <v>90.94</v>
      </c>
      <c r="AL416">
        <f t="shared" si="241"/>
        <v>78.7</v>
      </c>
      <c r="AM416">
        <f t="shared" si="242"/>
        <v>67.430000000000007</v>
      </c>
      <c r="AN416">
        <f t="shared" si="243"/>
        <v>62.56</v>
      </c>
      <c r="AO416">
        <f t="shared" si="244"/>
        <v>55.19</v>
      </c>
    </row>
    <row r="417" spans="1:41" x14ac:dyDescent="0.45">
      <c r="A417">
        <v>37.595513529999998</v>
      </c>
      <c r="B417">
        <v>114.6991276</v>
      </c>
      <c r="C417">
        <v>5.4292302100000001</v>
      </c>
      <c r="D417">
        <v>0.74794799000000001</v>
      </c>
      <c r="E417">
        <f t="shared" si="210"/>
        <v>0.74794799000000001</v>
      </c>
      <c r="F417">
        <f t="shared" si="211"/>
        <v>0</v>
      </c>
      <c r="G417">
        <f t="shared" si="212"/>
        <v>0</v>
      </c>
      <c r="H417">
        <f t="shared" si="213"/>
        <v>0</v>
      </c>
      <c r="I417">
        <f t="shared" si="214"/>
        <v>0</v>
      </c>
      <c r="J417">
        <f t="shared" si="215"/>
        <v>0</v>
      </c>
      <c r="K417" s="1">
        <f t="shared" si="216"/>
        <v>0</v>
      </c>
      <c r="L417" s="1">
        <f t="shared" si="217"/>
        <v>0</v>
      </c>
      <c r="M417" s="1">
        <f t="shared" si="218"/>
        <v>0</v>
      </c>
      <c r="N417" s="1">
        <f t="shared" si="219"/>
        <v>0</v>
      </c>
      <c r="O417" s="1">
        <f t="shared" si="220"/>
        <v>0</v>
      </c>
      <c r="P417" s="1">
        <f t="shared" si="221"/>
        <v>25</v>
      </c>
      <c r="Q417" s="1" t="e">
        <f t="shared" si="222"/>
        <v>#DIV/0!</v>
      </c>
      <c r="R417" s="1" t="e">
        <f t="shared" si="223"/>
        <v>#DIV/0!</v>
      </c>
      <c r="S417" s="1" t="e">
        <f t="shared" si="224"/>
        <v>#DIV/0!</v>
      </c>
      <c r="T417" s="1" t="e">
        <f t="shared" si="225"/>
        <v>#DIV/0!</v>
      </c>
      <c r="U417" s="1" t="e">
        <f t="shared" si="226"/>
        <v>#DIV/0!</v>
      </c>
      <c r="V417">
        <f t="shared" si="227"/>
        <v>851.48</v>
      </c>
      <c r="W417">
        <f t="shared" si="228"/>
        <v>0</v>
      </c>
      <c r="X417">
        <f t="shared" si="229"/>
        <v>0</v>
      </c>
      <c r="Y417">
        <f t="shared" si="230"/>
        <v>0</v>
      </c>
      <c r="Z417">
        <f t="shared" si="231"/>
        <v>0</v>
      </c>
      <c r="AA417">
        <f t="shared" si="232"/>
        <v>0</v>
      </c>
      <c r="AC417">
        <f t="shared" si="233"/>
        <v>1045.25</v>
      </c>
      <c r="AD417">
        <f t="shared" si="234"/>
        <v>0</v>
      </c>
      <c r="AE417">
        <f t="shared" si="235"/>
        <v>0</v>
      </c>
      <c r="AF417">
        <f t="shared" si="236"/>
        <v>0</v>
      </c>
      <c r="AG417">
        <f t="shared" si="237"/>
        <v>0</v>
      </c>
      <c r="AH417">
        <f t="shared" si="238"/>
        <v>0</v>
      </c>
      <c r="AJ417">
        <f t="shared" si="239"/>
        <v>1239.01</v>
      </c>
      <c r="AK417">
        <f t="shared" si="240"/>
        <v>0</v>
      </c>
      <c r="AL417">
        <f t="shared" si="241"/>
        <v>0</v>
      </c>
      <c r="AM417">
        <f t="shared" si="242"/>
        <v>0</v>
      </c>
      <c r="AN417">
        <f t="shared" si="243"/>
        <v>0</v>
      </c>
      <c r="AO417">
        <f t="shared" si="244"/>
        <v>0</v>
      </c>
    </row>
    <row r="418" spans="1:41" x14ac:dyDescent="0.45">
      <c r="A418">
        <v>37.625024029999999</v>
      </c>
      <c r="B418">
        <v>107.1922756</v>
      </c>
      <c r="C418">
        <v>2.6882860700000002</v>
      </c>
      <c r="D418">
        <v>1.63150799</v>
      </c>
      <c r="E418">
        <f t="shared" si="210"/>
        <v>1.63150799</v>
      </c>
      <c r="F418">
        <f t="shared" si="211"/>
        <v>0</v>
      </c>
      <c r="G418">
        <f t="shared" si="212"/>
        <v>0</v>
      </c>
      <c r="H418">
        <f t="shared" si="213"/>
        <v>0</v>
      </c>
      <c r="I418">
        <f t="shared" si="214"/>
        <v>0</v>
      </c>
      <c r="J418">
        <f t="shared" si="215"/>
        <v>0</v>
      </c>
      <c r="K418" s="1">
        <f t="shared" si="216"/>
        <v>0</v>
      </c>
      <c r="L418" s="1">
        <f t="shared" si="217"/>
        <v>0</v>
      </c>
      <c r="M418" s="1">
        <f t="shared" si="218"/>
        <v>0</v>
      </c>
      <c r="N418" s="1">
        <f t="shared" si="219"/>
        <v>0</v>
      </c>
      <c r="O418" s="1">
        <f t="shared" si="220"/>
        <v>0</v>
      </c>
      <c r="P418" s="1">
        <f t="shared" si="221"/>
        <v>25</v>
      </c>
      <c r="Q418" s="1" t="e">
        <f t="shared" si="222"/>
        <v>#DIV/0!</v>
      </c>
      <c r="R418" s="1" t="e">
        <f t="shared" si="223"/>
        <v>#DIV/0!</v>
      </c>
      <c r="S418" s="1" t="e">
        <f t="shared" si="224"/>
        <v>#DIV/0!</v>
      </c>
      <c r="T418" s="1" t="e">
        <f t="shared" si="225"/>
        <v>#DIV/0!</v>
      </c>
      <c r="U418" s="1" t="e">
        <f t="shared" si="226"/>
        <v>#DIV/0!</v>
      </c>
      <c r="V418">
        <f t="shared" si="227"/>
        <v>851.48</v>
      </c>
      <c r="W418">
        <f t="shared" si="228"/>
        <v>0</v>
      </c>
      <c r="X418">
        <f t="shared" si="229"/>
        <v>0</v>
      </c>
      <c r="Y418">
        <f t="shared" si="230"/>
        <v>0</v>
      </c>
      <c r="Z418">
        <f t="shared" si="231"/>
        <v>0</v>
      </c>
      <c r="AA418">
        <f t="shared" si="232"/>
        <v>0</v>
      </c>
      <c r="AC418">
        <f t="shared" si="233"/>
        <v>1045.25</v>
      </c>
      <c r="AD418">
        <f t="shared" si="234"/>
        <v>0</v>
      </c>
      <c r="AE418">
        <f t="shared" si="235"/>
        <v>0</v>
      </c>
      <c r="AF418">
        <f t="shared" si="236"/>
        <v>0</v>
      </c>
      <c r="AG418">
        <f t="shared" si="237"/>
        <v>0</v>
      </c>
      <c r="AH418">
        <f t="shared" si="238"/>
        <v>0</v>
      </c>
      <c r="AJ418">
        <f t="shared" si="239"/>
        <v>1239.01</v>
      </c>
      <c r="AK418">
        <f t="shared" si="240"/>
        <v>0</v>
      </c>
      <c r="AL418">
        <f t="shared" si="241"/>
        <v>0</v>
      </c>
      <c r="AM418">
        <f t="shared" si="242"/>
        <v>0</v>
      </c>
      <c r="AN418">
        <f t="shared" si="243"/>
        <v>0</v>
      </c>
      <c r="AO418">
        <f t="shared" si="244"/>
        <v>0</v>
      </c>
    </row>
    <row r="419" spans="1:41" x14ac:dyDescent="0.45">
      <c r="A419">
        <v>37.626595219999999</v>
      </c>
      <c r="B419">
        <v>107.0192423</v>
      </c>
      <c r="C419">
        <v>2.6882860700000002</v>
      </c>
      <c r="D419">
        <v>0.14516699</v>
      </c>
      <c r="E419">
        <f t="shared" si="210"/>
        <v>0.14516699</v>
      </c>
      <c r="F419">
        <f t="shared" si="211"/>
        <v>0</v>
      </c>
      <c r="G419">
        <f t="shared" si="212"/>
        <v>0</v>
      </c>
      <c r="H419">
        <f t="shared" si="213"/>
        <v>0</v>
      </c>
      <c r="I419">
        <f t="shared" si="214"/>
        <v>0</v>
      </c>
      <c r="J419">
        <f t="shared" si="215"/>
        <v>0</v>
      </c>
      <c r="K419" s="1">
        <f t="shared" si="216"/>
        <v>0</v>
      </c>
      <c r="L419" s="1">
        <f t="shared" si="217"/>
        <v>0</v>
      </c>
      <c r="M419" s="1">
        <f t="shared" si="218"/>
        <v>0</v>
      </c>
      <c r="N419" s="1">
        <f t="shared" si="219"/>
        <v>0</v>
      </c>
      <c r="O419" s="1">
        <f t="shared" si="220"/>
        <v>0</v>
      </c>
      <c r="P419" s="1">
        <f t="shared" si="221"/>
        <v>25</v>
      </c>
      <c r="Q419" s="1" t="e">
        <f t="shared" si="222"/>
        <v>#DIV/0!</v>
      </c>
      <c r="R419" s="1" t="e">
        <f t="shared" si="223"/>
        <v>#DIV/0!</v>
      </c>
      <c r="S419" s="1" t="e">
        <f t="shared" si="224"/>
        <v>#DIV/0!</v>
      </c>
      <c r="T419" s="1" t="e">
        <f t="shared" si="225"/>
        <v>#DIV/0!</v>
      </c>
      <c r="U419" s="1" t="e">
        <f t="shared" si="226"/>
        <v>#DIV/0!</v>
      </c>
      <c r="V419">
        <f t="shared" si="227"/>
        <v>851.48</v>
      </c>
      <c r="W419">
        <f t="shared" si="228"/>
        <v>0</v>
      </c>
      <c r="X419">
        <f t="shared" si="229"/>
        <v>0</v>
      </c>
      <c r="Y419">
        <f t="shared" si="230"/>
        <v>0</v>
      </c>
      <c r="Z419">
        <f t="shared" si="231"/>
        <v>0</v>
      </c>
      <c r="AA419">
        <f t="shared" si="232"/>
        <v>0</v>
      </c>
      <c r="AC419">
        <f t="shared" si="233"/>
        <v>1045.25</v>
      </c>
      <c r="AD419">
        <f t="shared" si="234"/>
        <v>0</v>
      </c>
      <c r="AE419">
        <f t="shared" si="235"/>
        <v>0</v>
      </c>
      <c r="AF419">
        <f t="shared" si="236"/>
        <v>0</v>
      </c>
      <c r="AG419">
        <f t="shared" si="237"/>
        <v>0</v>
      </c>
      <c r="AH419">
        <f t="shared" si="238"/>
        <v>0</v>
      </c>
      <c r="AJ419">
        <f t="shared" si="239"/>
        <v>1239.01</v>
      </c>
      <c r="AK419">
        <f t="shared" si="240"/>
        <v>0</v>
      </c>
      <c r="AL419">
        <f t="shared" si="241"/>
        <v>0</v>
      </c>
      <c r="AM419">
        <f t="shared" si="242"/>
        <v>0</v>
      </c>
      <c r="AN419">
        <f t="shared" si="243"/>
        <v>0</v>
      </c>
      <c r="AO419">
        <f t="shared" si="244"/>
        <v>0</v>
      </c>
    </row>
    <row r="420" spans="1:41" x14ac:dyDescent="0.45">
      <c r="A420">
        <v>37.64436559</v>
      </c>
      <c r="B420">
        <v>108.80840980000001</v>
      </c>
      <c r="C420">
        <v>2.8402893499999999</v>
      </c>
      <c r="D420">
        <v>0.21495900000000001</v>
      </c>
      <c r="E420">
        <f t="shared" si="210"/>
        <v>0.21495900000000001</v>
      </c>
      <c r="F420">
        <f t="shared" si="211"/>
        <v>0</v>
      </c>
      <c r="G420">
        <f t="shared" si="212"/>
        <v>0</v>
      </c>
      <c r="H420">
        <f t="shared" si="213"/>
        <v>0</v>
      </c>
      <c r="I420">
        <f t="shared" si="214"/>
        <v>0</v>
      </c>
      <c r="J420">
        <f t="shared" si="215"/>
        <v>0</v>
      </c>
      <c r="K420" s="1">
        <f t="shared" si="216"/>
        <v>0</v>
      </c>
      <c r="L420" s="1">
        <f t="shared" si="217"/>
        <v>0</v>
      </c>
      <c r="M420" s="1">
        <f t="shared" si="218"/>
        <v>0</v>
      </c>
      <c r="N420" s="1">
        <f t="shared" si="219"/>
        <v>0</v>
      </c>
      <c r="O420" s="1">
        <f t="shared" si="220"/>
        <v>0</v>
      </c>
      <c r="P420" s="1">
        <f t="shared" si="221"/>
        <v>25</v>
      </c>
      <c r="Q420" s="1" t="e">
        <f t="shared" si="222"/>
        <v>#DIV/0!</v>
      </c>
      <c r="R420" s="1" t="e">
        <f t="shared" si="223"/>
        <v>#DIV/0!</v>
      </c>
      <c r="S420" s="1" t="e">
        <f t="shared" si="224"/>
        <v>#DIV/0!</v>
      </c>
      <c r="T420" s="1" t="e">
        <f t="shared" si="225"/>
        <v>#DIV/0!</v>
      </c>
      <c r="U420" s="1" t="e">
        <f t="shared" si="226"/>
        <v>#DIV/0!</v>
      </c>
      <c r="V420">
        <f t="shared" si="227"/>
        <v>851.48</v>
      </c>
      <c r="W420">
        <f t="shared" si="228"/>
        <v>0</v>
      </c>
      <c r="X420">
        <f t="shared" si="229"/>
        <v>0</v>
      </c>
      <c r="Y420">
        <f t="shared" si="230"/>
        <v>0</v>
      </c>
      <c r="Z420">
        <f t="shared" si="231"/>
        <v>0</v>
      </c>
      <c r="AA420">
        <f t="shared" si="232"/>
        <v>0</v>
      </c>
      <c r="AC420">
        <f t="shared" si="233"/>
        <v>1045.25</v>
      </c>
      <c r="AD420">
        <f t="shared" si="234"/>
        <v>0</v>
      </c>
      <c r="AE420">
        <f t="shared" si="235"/>
        <v>0</v>
      </c>
      <c r="AF420">
        <f t="shared" si="236"/>
        <v>0</v>
      </c>
      <c r="AG420">
        <f t="shared" si="237"/>
        <v>0</v>
      </c>
      <c r="AH420">
        <f t="shared" si="238"/>
        <v>0</v>
      </c>
      <c r="AJ420">
        <f t="shared" si="239"/>
        <v>1239.01</v>
      </c>
      <c r="AK420">
        <f t="shared" si="240"/>
        <v>0</v>
      </c>
      <c r="AL420">
        <f t="shared" si="241"/>
        <v>0</v>
      </c>
      <c r="AM420">
        <f t="shared" si="242"/>
        <v>0</v>
      </c>
      <c r="AN420">
        <f t="shared" si="243"/>
        <v>0</v>
      </c>
      <c r="AO420">
        <f t="shared" si="244"/>
        <v>0</v>
      </c>
    </row>
    <row r="421" spans="1:41" x14ac:dyDescent="0.45">
      <c r="A421">
        <v>37.660913139999998</v>
      </c>
      <c r="B421">
        <v>119.5285063</v>
      </c>
      <c r="C421">
        <v>7.2894048700000003</v>
      </c>
      <c r="D421">
        <v>11.71413898</v>
      </c>
      <c r="E421">
        <f t="shared" si="210"/>
        <v>7.2894048700000003</v>
      </c>
      <c r="F421">
        <f t="shared" si="211"/>
        <v>0</v>
      </c>
      <c r="G421">
        <f t="shared" si="212"/>
        <v>0</v>
      </c>
      <c r="H421">
        <f t="shared" si="213"/>
        <v>0</v>
      </c>
      <c r="I421">
        <f t="shared" si="214"/>
        <v>0</v>
      </c>
      <c r="J421">
        <f t="shared" si="215"/>
        <v>0</v>
      </c>
      <c r="K421" s="1">
        <f t="shared" si="216"/>
        <v>0</v>
      </c>
      <c r="L421" s="1">
        <f t="shared" si="217"/>
        <v>0</v>
      </c>
      <c r="M421" s="1">
        <f t="shared" si="218"/>
        <v>0</v>
      </c>
      <c r="N421" s="1">
        <f t="shared" si="219"/>
        <v>0</v>
      </c>
      <c r="O421" s="1">
        <f t="shared" si="220"/>
        <v>0</v>
      </c>
      <c r="P421" s="1">
        <f t="shared" si="221"/>
        <v>15.556851601397</v>
      </c>
      <c r="Q421" s="1" t="e">
        <f t="shared" si="222"/>
        <v>#DIV/0!</v>
      </c>
      <c r="R421" s="1" t="e">
        <f t="shared" si="223"/>
        <v>#DIV/0!</v>
      </c>
      <c r="S421" s="1" t="e">
        <f t="shared" si="224"/>
        <v>#DIV/0!</v>
      </c>
      <c r="T421" s="1" t="e">
        <f t="shared" si="225"/>
        <v>#DIV/0!</v>
      </c>
      <c r="U421" s="1" t="e">
        <f t="shared" si="226"/>
        <v>#DIV/0!</v>
      </c>
      <c r="V421">
        <f t="shared" si="227"/>
        <v>544.57767704540254</v>
      </c>
      <c r="W421">
        <f t="shared" si="228"/>
        <v>0</v>
      </c>
      <c r="X421">
        <f t="shared" si="229"/>
        <v>0</v>
      </c>
      <c r="Y421">
        <f t="shared" si="230"/>
        <v>0</v>
      </c>
      <c r="Z421">
        <f t="shared" si="231"/>
        <v>0</v>
      </c>
      <c r="AA421">
        <f t="shared" si="232"/>
        <v>0</v>
      </c>
      <c r="AC421">
        <f t="shared" si="233"/>
        <v>667.52406405587999</v>
      </c>
      <c r="AD421">
        <f t="shared" si="234"/>
        <v>0</v>
      </c>
      <c r="AE421">
        <f t="shared" si="235"/>
        <v>0</v>
      </c>
      <c r="AF421">
        <f t="shared" si="236"/>
        <v>0</v>
      </c>
      <c r="AG421">
        <f t="shared" si="237"/>
        <v>0</v>
      </c>
      <c r="AH421">
        <f t="shared" si="238"/>
        <v>0</v>
      </c>
      <c r="AJ421">
        <f t="shared" si="239"/>
        <v>790.46045106635745</v>
      </c>
      <c r="AK421">
        <f t="shared" si="240"/>
        <v>0</v>
      </c>
      <c r="AL421">
        <f t="shared" si="241"/>
        <v>0</v>
      </c>
      <c r="AM421">
        <f t="shared" si="242"/>
        <v>0</v>
      </c>
      <c r="AN421">
        <f t="shared" si="243"/>
        <v>0</v>
      </c>
      <c r="AO421">
        <f t="shared" si="244"/>
        <v>0</v>
      </c>
    </row>
    <row r="422" spans="1:41" x14ac:dyDescent="0.45">
      <c r="A422">
        <v>37.673633100000004</v>
      </c>
      <c r="B422">
        <v>119.41419569999999</v>
      </c>
      <c r="C422">
        <v>15.833525659999999</v>
      </c>
      <c r="D422">
        <v>9.3414583199999992</v>
      </c>
      <c r="E422">
        <f t="shared" si="210"/>
        <v>9.3414583199999992</v>
      </c>
      <c r="F422">
        <f t="shared" si="211"/>
        <v>0</v>
      </c>
      <c r="G422">
        <f t="shared" si="212"/>
        <v>0</v>
      </c>
      <c r="H422">
        <f t="shared" si="213"/>
        <v>0</v>
      </c>
      <c r="I422">
        <f t="shared" si="214"/>
        <v>0</v>
      </c>
      <c r="J422">
        <f t="shared" si="215"/>
        <v>0</v>
      </c>
      <c r="K422" s="1">
        <f t="shared" si="216"/>
        <v>0</v>
      </c>
      <c r="L422" s="1">
        <f t="shared" si="217"/>
        <v>0</v>
      </c>
      <c r="M422" s="1">
        <f t="shared" si="218"/>
        <v>0</v>
      </c>
      <c r="N422" s="1">
        <f t="shared" si="219"/>
        <v>0</v>
      </c>
      <c r="O422" s="1">
        <f t="shared" si="220"/>
        <v>0</v>
      </c>
      <c r="P422" s="1">
        <f t="shared" si="221"/>
        <v>25</v>
      </c>
      <c r="Q422" s="1" t="e">
        <f t="shared" si="222"/>
        <v>#DIV/0!</v>
      </c>
      <c r="R422" s="1" t="e">
        <f t="shared" si="223"/>
        <v>#DIV/0!</v>
      </c>
      <c r="S422" s="1" t="e">
        <f t="shared" si="224"/>
        <v>#DIV/0!</v>
      </c>
      <c r="T422" s="1" t="e">
        <f t="shared" si="225"/>
        <v>#DIV/0!</v>
      </c>
      <c r="U422" s="1" t="e">
        <f t="shared" si="226"/>
        <v>#DIV/0!</v>
      </c>
      <c r="V422">
        <f t="shared" si="227"/>
        <v>851.48</v>
      </c>
      <c r="W422">
        <f t="shared" si="228"/>
        <v>0</v>
      </c>
      <c r="X422">
        <f t="shared" si="229"/>
        <v>0</v>
      </c>
      <c r="Y422">
        <f t="shared" si="230"/>
        <v>0</v>
      </c>
      <c r="Z422">
        <f t="shared" si="231"/>
        <v>0</v>
      </c>
      <c r="AA422">
        <f t="shared" si="232"/>
        <v>0</v>
      </c>
      <c r="AC422">
        <f t="shared" si="233"/>
        <v>1045.25</v>
      </c>
      <c r="AD422">
        <f t="shared" si="234"/>
        <v>0</v>
      </c>
      <c r="AE422">
        <f t="shared" si="235"/>
        <v>0</v>
      </c>
      <c r="AF422">
        <f t="shared" si="236"/>
        <v>0</v>
      </c>
      <c r="AG422">
        <f t="shared" si="237"/>
        <v>0</v>
      </c>
      <c r="AH422">
        <f t="shared" si="238"/>
        <v>0</v>
      </c>
      <c r="AJ422">
        <f t="shared" si="239"/>
        <v>1239.01</v>
      </c>
      <c r="AK422">
        <f t="shared" si="240"/>
        <v>0</v>
      </c>
      <c r="AL422">
        <f t="shared" si="241"/>
        <v>0</v>
      </c>
      <c r="AM422">
        <f t="shared" si="242"/>
        <v>0</v>
      </c>
      <c r="AN422">
        <f t="shared" si="243"/>
        <v>0</v>
      </c>
      <c r="AO422">
        <f t="shared" si="244"/>
        <v>0</v>
      </c>
    </row>
    <row r="423" spans="1:41" x14ac:dyDescent="0.45">
      <c r="A423">
        <v>37.694392280000002</v>
      </c>
      <c r="B423">
        <v>115.2321666</v>
      </c>
      <c r="C423">
        <v>8.8866233799999996</v>
      </c>
      <c r="D423">
        <v>2.8249459300000002</v>
      </c>
      <c r="E423">
        <f t="shared" si="210"/>
        <v>2.8249459300000002</v>
      </c>
      <c r="F423">
        <f t="shared" si="211"/>
        <v>0</v>
      </c>
      <c r="G423">
        <f t="shared" si="212"/>
        <v>0</v>
      </c>
      <c r="H423">
        <f t="shared" si="213"/>
        <v>0</v>
      </c>
      <c r="I423">
        <f t="shared" si="214"/>
        <v>0</v>
      </c>
      <c r="J423">
        <f t="shared" si="215"/>
        <v>0</v>
      </c>
      <c r="K423" s="1">
        <f t="shared" si="216"/>
        <v>0</v>
      </c>
      <c r="L423" s="1">
        <f t="shared" si="217"/>
        <v>0</v>
      </c>
      <c r="M423" s="1">
        <f t="shared" si="218"/>
        <v>0</v>
      </c>
      <c r="N423" s="1">
        <f t="shared" si="219"/>
        <v>0</v>
      </c>
      <c r="O423" s="1">
        <f t="shared" si="220"/>
        <v>0</v>
      </c>
      <c r="P423" s="1">
        <f t="shared" si="221"/>
        <v>25</v>
      </c>
      <c r="Q423" s="1" t="e">
        <f t="shared" si="222"/>
        <v>#DIV/0!</v>
      </c>
      <c r="R423" s="1" t="e">
        <f t="shared" si="223"/>
        <v>#DIV/0!</v>
      </c>
      <c r="S423" s="1" t="e">
        <f t="shared" si="224"/>
        <v>#DIV/0!</v>
      </c>
      <c r="T423" s="1" t="e">
        <f t="shared" si="225"/>
        <v>#DIV/0!</v>
      </c>
      <c r="U423" s="1" t="e">
        <f t="shared" si="226"/>
        <v>#DIV/0!</v>
      </c>
      <c r="V423">
        <f t="shared" si="227"/>
        <v>851.48</v>
      </c>
      <c r="W423">
        <f t="shared" si="228"/>
        <v>0</v>
      </c>
      <c r="X423">
        <f t="shared" si="229"/>
        <v>0</v>
      </c>
      <c r="Y423">
        <f t="shared" si="230"/>
        <v>0</v>
      </c>
      <c r="Z423">
        <f t="shared" si="231"/>
        <v>0</v>
      </c>
      <c r="AA423">
        <f t="shared" si="232"/>
        <v>0</v>
      </c>
      <c r="AC423">
        <f t="shared" si="233"/>
        <v>1045.25</v>
      </c>
      <c r="AD423">
        <f t="shared" si="234"/>
        <v>0</v>
      </c>
      <c r="AE423">
        <f t="shared" si="235"/>
        <v>0</v>
      </c>
      <c r="AF423">
        <f t="shared" si="236"/>
        <v>0</v>
      </c>
      <c r="AG423">
        <f t="shared" si="237"/>
        <v>0</v>
      </c>
      <c r="AH423">
        <f t="shared" si="238"/>
        <v>0</v>
      </c>
      <c r="AJ423">
        <f t="shared" si="239"/>
        <v>1239.01</v>
      </c>
      <c r="AK423">
        <f t="shared" si="240"/>
        <v>0</v>
      </c>
      <c r="AL423">
        <f t="shared" si="241"/>
        <v>0</v>
      </c>
      <c r="AM423">
        <f t="shared" si="242"/>
        <v>0</v>
      </c>
      <c r="AN423">
        <f t="shared" si="243"/>
        <v>0</v>
      </c>
      <c r="AO423">
        <f t="shared" si="244"/>
        <v>0</v>
      </c>
    </row>
    <row r="424" spans="1:41" x14ac:dyDescent="0.45">
      <c r="A424">
        <v>37.699938469999999</v>
      </c>
      <c r="B424">
        <v>119.5937191</v>
      </c>
      <c r="C424">
        <v>12.76437569</v>
      </c>
      <c r="D424">
        <v>5.8913621899999997</v>
      </c>
      <c r="E424">
        <f t="shared" si="210"/>
        <v>5.8913621899999997</v>
      </c>
      <c r="F424">
        <f t="shared" si="211"/>
        <v>0</v>
      </c>
      <c r="G424">
        <f t="shared" si="212"/>
        <v>0</v>
      </c>
      <c r="H424">
        <f t="shared" si="213"/>
        <v>0</v>
      </c>
      <c r="I424">
        <f t="shared" si="214"/>
        <v>0</v>
      </c>
      <c r="J424">
        <f t="shared" si="215"/>
        <v>0</v>
      </c>
      <c r="K424" s="1">
        <f t="shared" si="216"/>
        <v>0</v>
      </c>
      <c r="L424" s="1">
        <f t="shared" si="217"/>
        <v>0</v>
      </c>
      <c r="M424" s="1">
        <f t="shared" si="218"/>
        <v>0</v>
      </c>
      <c r="N424" s="1">
        <f t="shared" si="219"/>
        <v>0</v>
      </c>
      <c r="O424" s="1">
        <f t="shared" si="220"/>
        <v>0</v>
      </c>
      <c r="P424" s="1">
        <f t="shared" si="221"/>
        <v>25</v>
      </c>
      <c r="Q424" s="1" t="e">
        <f t="shared" si="222"/>
        <v>#DIV/0!</v>
      </c>
      <c r="R424" s="1" t="e">
        <f t="shared" si="223"/>
        <v>#DIV/0!</v>
      </c>
      <c r="S424" s="1" t="e">
        <f t="shared" si="224"/>
        <v>#DIV/0!</v>
      </c>
      <c r="T424" s="1" t="e">
        <f t="shared" si="225"/>
        <v>#DIV/0!</v>
      </c>
      <c r="U424" s="1" t="e">
        <f t="shared" si="226"/>
        <v>#DIV/0!</v>
      </c>
      <c r="V424">
        <f t="shared" si="227"/>
        <v>851.48</v>
      </c>
      <c r="W424">
        <f t="shared" si="228"/>
        <v>0</v>
      </c>
      <c r="X424">
        <f t="shared" si="229"/>
        <v>0</v>
      </c>
      <c r="Y424">
        <f t="shared" si="230"/>
        <v>0</v>
      </c>
      <c r="Z424">
        <f t="shared" si="231"/>
        <v>0</v>
      </c>
      <c r="AA424">
        <f t="shared" si="232"/>
        <v>0</v>
      </c>
      <c r="AC424">
        <f t="shared" si="233"/>
        <v>1045.25</v>
      </c>
      <c r="AD424">
        <f t="shared" si="234"/>
        <v>0</v>
      </c>
      <c r="AE424">
        <f t="shared" si="235"/>
        <v>0</v>
      </c>
      <c r="AF424">
        <f t="shared" si="236"/>
        <v>0</v>
      </c>
      <c r="AG424">
        <f t="shared" si="237"/>
        <v>0</v>
      </c>
      <c r="AH424">
        <f t="shared" si="238"/>
        <v>0</v>
      </c>
      <c r="AJ424">
        <f t="shared" si="239"/>
        <v>1239.01</v>
      </c>
      <c r="AK424">
        <f t="shared" si="240"/>
        <v>0</v>
      </c>
      <c r="AL424">
        <f t="shared" si="241"/>
        <v>0</v>
      </c>
      <c r="AM424">
        <f t="shared" si="242"/>
        <v>0</v>
      </c>
      <c r="AN424">
        <f t="shared" si="243"/>
        <v>0</v>
      </c>
      <c r="AO424">
        <f t="shared" si="244"/>
        <v>0</v>
      </c>
    </row>
    <row r="425" spans="1:41" x14ac:dyDescent="0.45">
      <c r="A425">
        <v>37.703905159999998</v>
      </c>
      <c r="B425">
        <v>118.2544819</v>
      </c>
      <c r="C425">
        <v>76.896270749999999</v>
      </c>
      <c r="D425">
        <v>5.7906041100000003</v>
      </c>
      <c r="E425">
        <f t="shared" si="210"/>
        <v>5.7906041100000003</v>
      </c>
      <c r="F425">
        <f t="shared" si="211"/>
        <v>0</v>
      </c>
      <c r="G425">
        <f t="shared" si="212"/>
        <v>0</v>
      </c>
      <c r="H425">
        <f t="shared" si="213"/>
        <v>0</v>
      </c>
      <c r="I425">
        <f t="shared" si="214"/>
        <v>0</v>
      </c>
      <c r="J425">
        <f t="shared" si="215"/>
        <v>0</v>
      </c>
      <c r="K425" s="1">
        <f t="shared" si="216"/>
        <v>0</v>
      </c>
      <c r="L425" s="1">
        <f t="shared" si="217"/>
        <v>0</v>
      </c>
      <c r="M425" s="1">
        <f t="shared" si="218"/>
        <v>0</v>
      </c>
      <c r="N425" s="1">
        <f t="shared" si="219"/>
        <v>0</v>
      </c>
      <c r="O425" s="1">
        <f t="shared" si="220"/>
        <v>0</v>
      </c>
      <c r="P425" s="1">
        <f t="shared" si="221"/>
        <v>25</v>
      </c>
      <c r="Q425" s="1" t="e">
        <f t="shared" si="222"/>
        <v>#DIV/0!</v>
      </c>
      <c r="R425" s="1" t="e">
        <f t="shared" si="223"/>
        <v>#DIV/0!</v>
      </c>
      <c r="S425" s="1" t="e">
        <f t="shared" si="224"/>
        <v>#DIV/0!</v>
      </c>
      <c r="T425" s="1" t="e">
        <f t="shared" si="225"/>
        <v>#DIV/0!</v>
      </c>
      <c r="U425" s="1" t="e">
        <f t="shared" si="226"/>
        <v>#DIV/0!</v>
      </c>
      <c r="V425">
        <f t="shared" si="227"/>
        <v>851.48</v>
      </c>
      <c r="W425">
        <f t="shared" si="228"/>
        <v>0</v>
      </c>
      <c r="X425">
        <f t="shared" si="229"/>
        <v>0</v>
      </c>
      <c r="Y425">
        <f t="shared" si="230"/>
        <v>0</v>
      </c>
      <c r="Z425">
        <f t="shared" si="231"/>
        <v>0</v>
      </c>
      <c r="AA425">
        <f t="shared" si="232"/>
        <v>0</v>
      </c>
      <c r="AC425">
        <f t="shared" si="233"/>
        <v>1045.25</v>
      </c>
      <c r="AD425">
        <f t="shared" si="234"/>
        <v>0</v>
      </c>
      <c r="AE425">
        <f t="shared" si="235"/>
        <v>0</v>
      </c>
      <c r="AF425">
        <f t="shared" si="236"/>
        <v>0</v>
      </c>
      <c r="AG425">
        <f t="shared" si="237"/>
        <v>0</v>
      </c>
      <c r="AH425">
        <f t="shared" si="238"/>
        <v>0</v>
      </c>
      <c r="AJ425">
        <f t="shared" si="239"/>
        <v>1239.01</v>
      </c>
      <c r="AK425">
        <f t="shared" si="240"/>
        <v>0</v>
      </c>
      <c r="AL425">
        <f t="shared" si="241"/>
        <v>0</v>
      </c>
      <c r="AM425">
        <f t="shared" si="242"/>
        <v>0</v>
      </c>
      <c r="AN425">
        <f t="shared" si="243"/>
        <v>0</v>
      </c>
      <c r="AO425">
        <f t="shared" si="244"/>
        <v>0</v>
      </c>
    </row>
    <row r="426" spans="1:41" x14ac:dyDescent="0.45">
      <c r="A426">
        <v>37.715584700000001</v>
      </c>
      <c r="B426">
        <v>107.3091862</v>
      </c>
      <c r="C426">
        <v>2.6882860700000002</v>
      </c>
      <c r="D426">
        <v>1.1967999999999999E-2</v>
      </c>
      <c r="E426">
        <f t="shared" si="210"/>
        <v>1.1967999999999999E-2</v>
      </c>
      <c r="F426">
        <f t="shared" si="211"/>
        <v>0</v>
      </c>
      <c r="G426">
        <f t="shared" si="212"/>
        <v>0</v>
      </c>
      <c r="H426">
        <f t="shared" si="213"/>
        <v>0</v>
      </c>
      <c r="I426">
        <f t="shared" si="214"/>
        <v>0</v>
      </c>
      <c r="J426">
        <f t="shared" si="215"/>
        <v>0</v>
      </c>
      <c r="K426" s="1">
        <f t="shared" si="216"/>
        <v>0</v>
      </c>
      <c r="L426" s="1">
        <f t="shared" si="217"/>
        <v>0</v>
      </c>
      <c r="M426" s="1">
        <f t="shared" si="218"/>
        <v>0</v>
      </c>
      <c r="N426" s="1">
        <f t="shared" si="219"/>
        <v>0</v>
      </c>
      <c r="O426" s="1">
        <f t="shared" si="220"/>
        <v>0</v>
      </c>
      <c r="P426" s="1">
        <f t="shared" si="221"/>
        <v>25</v>
      </c>
      <c r="Q426" s="1" t="e">
        <f t="shared" si="222"/>
        <v>#DIV/0!</v>
      </c>
      <c r="R426" s="1" t="e">
        <f t="shared" si="223"/>
        <v>#DIV/0!</v>
      </c>
      <c r="S426" s="1" t="e">
        <f t="shared" si="224"/>
        <v>#DIV/0!</v>
      </c>
      <c r="T426" s="1" t="e">
        <f t="shared" si="225"/>
        <v>#DIV/0!</v>
      </c>
      <c r="U426" s="1" t="e">
        <f t="shared" si="226"/>
        <v>#DIV/0!</v>
      </c>
      <c r="V426">
        <f t="shared" si="227"/>
        <v>851.48</v>
      </c>
      <c r="W426">
        <f t="shared" si="228"/>
        <v>0</v>
      </c>
      <c r="X426">
        <f t="shared" si="229"/>
        <v>0</v>
      </c>
      <c r="Y426">
        <f t="shared" si="230"/>
        <v>0</v>
      </c>
      <c r="Z426">
        <f t="shared" si="231"/>
        <v>0</v>
      </c>
      <c r="AA426">
        <f t="shared" si="232"/>
        <v>0</v>
      </c>
      <c r="AC426">
        <f t="shared" si="233"/>
        <v>1045.25</v>
      </c>
      <c r="AD426">
        <f t="shared" si="234"/>
        <v>0</v>
      </c>
      <c r="AE426">
        <f t="shared" si="235"/>
        <v>0</v>
      </c>
      <c r="AF426">
        <f t="shared" si="236"/>
        <v>0</v>
      </c>
      <c r="AG426">
        <f t="shared" si="237"/>
        <v>0</v>
      </c>
      <c r="AH426">
        <f t="shared" si="238"/>
        <v>0</v>
      </c>
      <c r="AJ426">
        <f t="shared" si="239"/>
        <v>1239.01</v>
      </c>
      <c r="AK426">
        <f t="shared" si="240"/>
        <v>0</v>
      </c>
      <c r="AL426">
        <f t="shared" si="241"/>
        <v>0</v>
      </c>
      <c r="AM426">
        <f t="shared" si="242"/>
        <v>0</v>
      </c>
      <c r="AN426">
        <f t="shared" si="243"/>
        <v>0</v>
      </c>
      <c r="AO426">
        <f t="shared" si="244"/>
        <v>0</v>
      </c>
    </row>
    <row r="427" spans="1:41" x14ac:dyDescent="0.45">
      <c r="A427">
        <v>37.726030379999997</v>
      </c>
      <c r="B427">
        <v>118.4909499</v>
      </c>
      <c r="C427">
        <v>65.630661009999997</v>
      </c>
      <c r="D427">
        <v>3.4091000600000001</v>
      </c>
      <c r="E427">
        <f t="shared" si="210"/>
        <v>3.4091000600000001</v>
      </c>
      <c r="F427">
        <f t="shared" si="211"/>
        <v>0</v>
      </c>
      <c r="G427">
        <f t="shared" si="212"/>
        <v>0</v>
      </c>
      <c r="H427">
        <f t="shared" si="213"/>
        <v>0</v>
      </c>
      <c r="I427">
        <f t="shared" si="214"/>
        <v>0</v>
      </c>
      <c r="J427">
        <f t="shared" si="215"/>
        <v>0</v>
      </c>
      <c r="K427" s="1">
        <f t="shared" si="216"/>
        <v>0</v>
      </c>
      <c r="L427" s="1">
        <f t="shared" si="217"/>
        <v>0</v>
      </c>
      <c r="M427" s="1">
        <f t="shared" si="218"/>
        <v>0</v>
      </c>
      <c r="N427" s="1">
        <f t="shared" si="219"/>
        <v>0</v>
      </c>
      <c r="O427" s="1">
        <f t="shared" si="220"/>
        <v>0</v>
      </c>
      <c r="P427" s="1">
        <f t="shared" si="221"/>
        <v>25</v>
      </c>
      <c r="Q427" s="1" t="e">
        <f t="shared" si="222"/>
        <v>#DIV/0!</v>
      </c>
      <c r="R427" s="1" t="e">
        <f t="shared" si="223"/>
        <v>#DIV/0!</v>
      </c>
      <c r="S427" s="1" t="e">
        <f t="shared" si="224"/>
        <v>#DIV/0!</v>
      </c>
      <c r="T427" s="1" t="e">
        <f t="shared" si="225"/>
        <v>#DIV/0!</v>
      </c>
      <c r="U427" s="1" t="e">
        <f t="shared" si="226"/>
        <v>#DIV/0!</v>
      </c>
      <c r="V427">
        <f t="shared" si="227"/>
        <v>851.48</v>
      </c>
      <c r="W427">
        <f t="shared" si="228"/>
        <v>0</v>
      </c>
      <c r="X427">
        <f t="shared" si="229"/>
        <v>0</v>
      </c>
      <c r="Y427">
        <f t="shared" si="230"/>
        <v>0</v>
      </c>
      <c r="Z427">
        <f t="shared" si="231"/>
        <v>0</v>
      </c>
      <c r="AA427">
        <f t="shared" si="232"/>
        <v>0</v>
      </c>
      <c r="AC427">
        <f t="shared" si="233"/>
        <v>1045.25</v>
      </c>
      <c r="AD427">
        <f t="shared" si="234"/>
        <v>0</v>
      </c>
      <c r="AE427">
        <f t="shared" si="235"/>
        <v>0</v>
      </c>
      <c r="AF427">
        <f t="shared" si="236"/>
        <v>0</v>
      </c>
      <c r="AG427">
        <f t="shared" si="237"/>
        <v>0</v>
      </c>
      <c r="AH427">
        <f t="shared" si="238"/>
        <v>0</v>
      </c>
      <c r="AJ427">
        <f t="shared" si="239"/>
        <v>1239.01</v>
      </c>
      <c r="AK427">
        <f t="shared" si="240"/>
        <v>0</v>
      </c>
      <c r="AL427">
        <f t="shared" si="241"/>
        <v>0</v>
      </c>
      <c r="AM427">
        <f t="shared" si="242"/>
        <v>0</v>
      </c>
      <c r="AN427">
        <f t="shared" si="243"/>
        <v>0</v>
      </c>
      <c r="AO427">
        <f t="shared" si="244"/>
        <v>0</v>
      </c>
    </row>
    <row r="428" spans="1:41" x14ac:dyDescent="0.45">
      <c r="A428">
        <v>37.728452490000002</v>
      </c>
      <c r="B428">
        <v>114.7721944</v>
      </c>
      <c r="C428">
        <v>5.4292302100000001</v>
      </c>
      <c r="D428">
        <v>1.15940702</v>
      </c>
      <c r="E428">
        <f t="shared" si="210"/>
        <v>1.15940702</v>
      </c>
      <c r="F428">
        <f t="shared" si="211"/>
        <v>0</v>
      </c>
      <c r="G428">
        <f t="shared" si="212"/>
        <v>0</v>
      </c>
      <c r="H428">
        <f t="shared" si="213"/>
        <v>0</v>
      </c>
      <c r="I428">
        <f t="shared" si="214"/>
        <v>0</v>
      </c>
      <c r="J428">
        <f t="shared" si="215"/>
        <v>0</v>
      </c>
      <c r="K428" s="1">
        <f t="shared" si="216"/>
        <v>0</v>
      </c>
      <c r="L428" s="1">
        <f t="shared" si="217"/>
        <v>0</v>
      </c>
      <c r="M428" s="1">
        <f t="shared" si="218"/>
        <v>0</v>
      </c>
      <c r="N428" s="1">
        <f t="shared" si="219"/>
        <v>0</v>
      </c>
      <c r="O428" s="1">
        <f t="shared" si="220"/>
        <v>0</v>
      </c>
      <c r="P428" s="1">
        <f t="shared" si="221"/>
        <v>25</v>
      </c>
      <c r="Q428" s="1" t="e">
        <f t="shared" si="222"/>
        <v>#DIV/0!</v>
      </c>
      <c r="R428" s="1" t="e">
        <f t="shared" si="223"/>
        <v>#DIV/0!</v>
      </c>
      <c r="S428" s="1" t="e">
        <f t="shared" si="224"/>
        <v>#DIV/0!</v>
      </c>
      <c r="T428" s="1" t="e">
        <f t="shared" si="225"/>
        <v>#DIV/0!</v>
      </c>
      <c r="U428" s="1" t="e">
        <f t="shared" si="226"/>
        <v>#DIV/0!</v>
      </c>
      <c r="V428">
        <f t="shared" si="227"/>
        <v>851.48</v>
      </c>
      <c r="W428">
        <f t="shared" si="228"/>
        <v>0</v>
      </c>
      <c r="X428">
        <f t="shared" si="229"/>
        <v>0</v>
      </c>
      <c r="Y428">
        <f t="shared" si="230"/>
        <v>0</v>
      </c>
      <c r="Z428">
        <f t="shared" si="231"/>
        <v>0</v>
      </c>
      <c r="AA428">
        <f t="shared" si="232"/>
        <v>0</v>
      </c>
      <c r="AC428">
        <f t="shared" si="233"/>
        <v>1045.25</v>
      </c>
      <c r="AD428">
        <f t="shared" si="234"/>
        <v>0</v>
      </c>
      <c r="AE428">
        <f t="shared" si="235"/>
        <v>0</v>
      </c>
      <c r="AF428">
        <f t="shared" si="236"/>
        <v>0</v>
      </c>
      <c r="AG428">
        <f t="shared" si="237"/>
        <v>0</v>
      </c>
      <c r="AH428">
        <f t="shared" si="238"/>
        <v>0</v>
      </c>
      <c r="AJ428">
        <f t="shared" si="239"/>
        <v>1239.01</v>
      </c>
      <c r="AK428">
        <f t="shared" si="240"/>
        <v>0</v>
      </c>
      <c r="AL428">
        <f t="shared" si="241"/>
        <v>0</v>
      </c>
      <c r="AM428">
        <f t="shared" si="242"/>
        <v>0</v>
      </c>
      <c r="AN428">
        <f t="shared" si="243"/>
        <v>0</v>
      </c>
      <c r="AO428">
        <f t="shared" si="244"/>
        <v>0</v>
      </c>
    </row>
    <row r="429" spans="1:41" x14ac:dyDescent="0.45">
      <c r="A429">
        <v>37.75176965</v>
      </c>
      <c r="B429">
        <v>119.54459300000001</v>
      </c>
      <c r="C429">
        <v>18.107927320000002</v>
      </c>
      <c r="D429">
        <v>48.972255709999999</v>
      </c>
      <c r="E429">
        <f t="shared" si="210"/>
        <v>18.107927320000002</v>
      </c>
      <c r="F429">
        <f t="shared" si="211"/>
        <v>0</v>
      </c>
      <c r="G429">
        <f t="shared" si="212"/>
        <v>0</v>
      </c>
      <c r="H429">
        <f t="shared" si="213"/>
        <v>0</v>
      </c>
      <c r="I429">
        <f t="shared" si="214"/>
        <v>0</v>
      </c>
      <c r="J429">
        <f t="shared" si="215"/>
        <v>0</v>
      </c>
      <c r="K429" s="1">
        <f t="shared" si="216"/>
        <v>0</v>
      </c>
      <c r="L429" s="1">
        <f t="shared" si="217"/>
        <v>0</v>
      </c>
      <c r="M429" s="1">
        <f t="shared" si="218"/>
        <v>0</v>
      </c>
      <c r="N429" s="1">
        <f t="shared" si="219"/>
        <v>0</v>
      </c>
      <c r="O429" s="1">
        <f t="shared" si="220"/>
        <v>0</v>
      </c>
      <c r="P429" s="1">
        <f t="shared" si="221"/>
        <v>9.2439724582169962</v>
      </c>
      <c r="Q429" s="1" t="e">
        <f t="shared" si="222"/>
        <v>#DIV/0!</v>
      </c>
      <c r="R429" s="1" t="e">
        <f t="shared" si="223"/>
        <v>#DIV/0!</v>
      </c>
      <c r="S429" s="1" t="e">
        <f t="shared" si="224"/>
        <v>#DIV/0!</v>
      </c>
      <c r="T429" s="1" t="e">
        <f t="shared" si="225"/>
        <v>#DIV/0!</v>
      </c>
      <c r="U429" s="1" t="e">
        <f t="shared" si="226"/>
        <v>#DIV/0!</v>
      </c>
      <c r="V429">
        <f t="shared" si="227"/>
        <v>339.40910489205237</v>
      </c>
      <c r="W429">
        <f t="shared" si="228"/>
        <v>0</v>
      </c>
      <c r="X429">
        <f t="shared" si="229"/>
        <v>0</v>
      </c>
      <c r="Y429">
        <f t="shared" si="230"/>
        <v>0</v>
      </c>
      <c r="Z429">
        <f t="shared" si="231"/>
        <v>0</v>
      </c>
      <c r="AA429">
        <f t="shared" si="232"/>
        <v>0</v>
      </c>
      <c r="AC429">
        <f t="shared" si="233"/>
        <v>415.00889832867983</v>
      </c>
      <c r="AD429">
        <f t="shared" si="234"/>
        <v>0</v>
      </c>
      <c r="AE429">
        <f t="shared" si="235"/>
        <v>0</v>
      </c>
      <c r="AF429">
        <f t="shared" si="236"/>
        <v>0</v>
      </c>
      <c r="AG429">
        <f t="shared" si="237"/>
        <v>0</v>
      </c>
      <c r="AH429">
        <f t="shared" si="238"/>
        <v>0</v>
      </c>
      <c r="AJ429">
        <f t="shared" si="239"/>
        <v>490.59869176530731</v>
      </c>
      <c r="AK429">
        <f t="shared" si="240"/>
        <v>0</v>
      </c>
      <c r="AL429">
        <f t="shared" si="241"/>
        <v>0</v>
      </c>
      <c r="AM429">
        <f t="shared" si="242"/>
        <v>0</v>
      </c>
      <c r="AN429">
        <f t="shared" si="243"/>
        <v>0</v>
      </c>
      <c r="AO429">
        <f t="shared" si="244"/>
        <v>0</v>
      </c>
    </row>
    <row r="430" spans="1:41" x14ac:dyDescent="0.45">
      <c r="A430">
        <v>37.758150219999997</v>
      </c>
      <c r="B430">
        <v>119.48737629999999</v>
      </c>
      <c r="C430">
        <v>15.833525659999999</v>
      </c>
      <c r="D430">
        <v>2.4486000000000001E-2</v>
      </c>
      <c r="E430">
        <f t="shared" si="210"/>
        <v>2.4486000000000001E-2</v>
      </c>
      <c r="F430">
        <f t="shared" si="211"/>
        <v>0</v>
      </c>
      <c r="G430">
        <f t="shared" si="212"/>
        <v>0</v>
      </c>
      <c r="H430">
        <f t="shared" si="213"/>
        <v>0</v>
      </c>
      <c r="I430">
        <f t="shared" si="214"/>
        <v>0</v>
      </c>
      <c r="J430">
        <f t="shared" si="215"/>
        <v>0</v>
      </c>
      <c r="K430" s="1">
        <f t="shared" si="216"/>
        <v>0</v>
      </c>
      <c r="L430" s="1">
        <f t="shared" si="217"/>
        <v>0</v>
      </c>
      <c r="M430" s="1">
        <f t="shared" si="218"/>
        <v>0</v>
      </c>
      <c r="N430" s="1">
        <f t="shared" si="219"/>
        <v>0</v>
      </c>
      <c r="O430" s="1">
        <f t="shared" si="220"/>
        <v>0</v>
      </c>
      <c r="P430" s="1">
        <f t="shared" si="221"/>
        <v>24.999999999999996</v>
      </c>
      <c r="Q430" s="1" t="e">
        <f t="shared" si="222"/>
        <v>#DIV/0!</v>
      </c>
      <c r="R430" s="1" t="e">
        <f t="shared" si="223"/>
        <v>#DIV/0!</v>
      </c>
      <c r="S430" s="1" t="e">
        <f t="shared" si="224"/>
        <v>#DIV/0!</v>
      </c>
      <c r="T430" s="1" t="e">
        <f t="shared" si="225"/>
        <v>#DIV/0!</v>
      </c>
      <c r="U430" s="1" t="e">
        <f t="shared" si="226"/>
        <v>#DIV/0!</v>
      </c>
      <c r="V430">
        <f t="shared" si="227"/>
        <v>851.4799999999999</v>
      </c>
      <c r="W430">
        <f t="shared" si="228"/>
        <v>0</v>
      </c>
      <c r="X430">
        <f t="shared" si="229"/>
        <v>0</v>
      </c>
      <c r="Y430">
        <f t="shared" si="230"/>
        <v>0</v>
      </c>
      <c r="Z430">
        <f t="shared" si="231"/>
        <v>0</v>
      </c>
      <c r="AA430">
        <f t="shared" si="232"/>
        <v>0</v>
      </c>
      <c r="AC430">
        <f t="shared" si="233"/>
        <v>1045.25</v>
      </c>
      <c r="AD430">
        <f t="shared" si="234"/>
        <v>0</v>
      </c>
      <c r="AE430">
        <f t="shared" si="235"/>
        <v>0</v>
      </c>
      <c r="AF430">
        <f t="shared" si="236"/>
        <v>0</v>
      </c>
      <c r="AG430">
        <f t="shared" si="237"/>
        <v>0</v>
      </c>
      <c r="AH430">
        <f t="shared" si="238"/>
        <v>0</v>
      </c>
      <c r="AJ430">
        <f t="shared" si="239"/>
        <v>1239.0099999999998</v>
      </c>
      <c r="AK430">
        <f t="shared" si="240"/>
        <v>0</v>
      </c>
      <c r="AL430">
        <f t="shared" si="241"/>
        <v>0</v>
      </c>
      <c r="AM430">
        <f t="shared" si="242"/>
        <v>0</v>
      </c>
      <c r="AN430">
        <f t="shared" si="243"/>
        <v>0</v>
      </c>
      <c r="AO430">
        <f t="shared" si="244"/>
        <v>0</v>
      </c>
    </row>
    <row r="431" spans="1:41" x14ac:dyDescent="0.45">
      <c r="A431">
        <v>37.759663879999998</v>
      </c>
      <c r="B431">
        <v>118.61298499999999</v>
      </c>
      <c r="C431">
        <v>65.630661009999997</v>
      </c>
      <c r="D431">
        <v>1.05774105</v>
      </c>
      <c r="E431">
        <f t="shared" si="210"/>
        <v>1.05774105</v>
      </c>
      <c r="F431">
        <f t="shared" si="211"/>
        <v>0</v>
      </c>
      <c r="G431">
        <f t="shared" si="212"/>
        <v>0</v>
      </c>
      <c r="H431">
        <f t="shared" si="213"/>
        <v>0</v>
      </c>
      <c r="I431">
        <f t="shared" si="214"/>
        <v>0</v>
      </c>
      <c r="J431">
        <f t="shared" si="215"/>
        <v>0</v>
      </c>
      <c r="K431" s="1">
        <f t="shared" si="216"/>
        <v>0</v>
      </c>
      <c r="L431" s="1">
        <f t="shared" si="217"/>
        <v>0</v>
      </c>
      <c r="M431" s="1">
        <f t="shared" si="218"/>
        <v>0</v>
      </c>
      <c r="N431" s="1">
        <f t="shared" si="219"/>
        <v>0</v>
      </c>
      <c r="O431" s="1">
        <f t="shared" si="220"/>
        <v>0</v>
      </c>
      <c r="P431" s="1">
        <f t="shared" si="221"/>
        <v>25</v>
      </c>
      <c r="Q431" s="1" t="e">
        <f t="shared" si="222"/>
        <v>#DIV/0!</v>
      </c>
      <c r="R431" s="1" t="e">
        <f t="shared" si="223"/>
        <v>#DIV/0!</v>
      </c>
      <c r="S431" s="1" t="e">
        <f t="shared" si="224"/>
        <v>#DIV/0!</v>
      </c>
      <c r="T431" s="1" t="e">
        <f t="shared" si="225"/>
        <v>#DIV/0!</v>
      </c>
      <c r="U431" s="1" t="e">
        <f t="shared" si="226"/>
        <v>#DIV/0!</v>
      </c>
      <c r="V431">
        <f t="shared" si="227"/>
        <v>851.48</v>
      </c>
      <c r="W431">
        <f t="shared" si="228"/>
        <v>0</v>
      </c>
      <c r="X431">
        <f t="shared" si="229"/>
        <v>0</v>
      </c>
      <c r="Y431">
        <f t="shared" si="230"/>
        <v>0</v>
      </c>
      <c r="Z431">
        <f t="shared" si="231"/>
        <v>0</v>
      </c>
      <c r="AA431">
        <f t="shared" si="232"/>
        <v>0</v>
      </c>
      <c r="AC431">
        <f t="shared" si="233"/>
        <v>1045.25</v>
      </c>
      <c r="AD431">
        <f t="shared" si="234"/>
        <v>0</v>
      </c>
      <c r="AE431">
        <f t="shared" si="235"/>
        <v>0</v>
      </c>
      <c r="AF431">
        <f t="shared" si="236"/>
        <v>0</v>
      </c>
      <c r="AG431">
        <f t="shared" si="237"/>
        <v>0</v>
      </c>
      <c r="AH431">
        <f t="shared" si="238"/>
        <v>0</v>
      </c>
      <c r="AJ431">
        <f t="shared" si="239"/>
        <v>1239.01</v>
      </c>
      <c r="AK431">
        <f t="shared" si="240"/>
        <v>0</v>
      </c>
      <c r="AL431">
        <f t="shared" si="241"/>
        <v>0</v>
      </c>
      <c r="AM431">
        <f t="shared" si="242"/>
        <v>0</v>
      </c>
      <c r="AN431">
        <f t="shared" si="243"/>
        <v>0</v>
      </c>
      <c r="AO431">
        <f t="shared" si="244"/>
        <v>0</v>
      </c>
    </row>
    <row r="432" spans="1:41" x14ac:dyDescent="0.45">
      <c r="A432">
        <v>37.78109267</v>
      </c>
      <c r="B432">
        <v>118.84972500000001</v>
      </c>
      <c r="C432">
        <v>43.008232120000002</v>
      </c>
      <c r="D432">
        <v>7.0134511000000002</v>
      </c>
      <c r="E432">
        <f t="shared" si="210"/>
        <v>7.0134511000000002</v>
      </c>
      <c r="F432">
        <f t="shared" si="211"/>
        <v>0</v>
      </c>
      <c r="G432">
        <f t="shared" si="212"/>
        <v>0</v>
      </c>
      <c r="H432">
        <f t="shared" si="213"/>
        <v>0</v>
      </c>
      <c r="I432">
        <f t="shared" si="214"/>
        <v>0</v>
      </c>
      <c r="J432">
        <f t="shared" si="215"/>
        <v>0</v>
      </c>
      <c r="K432" s="1">
        <f t="shared" si="216"/>
        <v>0</v>
      </c>
      <c r="L432" s="1">
        <f t="shared" si="217"/>
        <v>0</v>
      </c>
      <c r="M432" s="1">
        <f t="shared" si="218"/>
        <v>0</v>
      </c>
      <c r="N432" s="1">
        <f t="shared" si="219"/>
        <v>0</v>
      </c>
      <c r="O432" s="1">
        <f t="shared" si="220"/>
        <v>0</v>
      </c>
      <c r="P432" s="1">
        <f t="shared" si="221"/>
        <v>25</v>
      </c>
      <c r="Q432" s="1" t="e">
        <f t="shared" si="222"/>
        <v>#DIV/0!</v>
      </c>
      <c r="R432" s="1" t="e">
        <f t="shared" si="223"/>
        <v>#DIV/0!</v>
      </c>
      <c r="S432" s="1" t="e">
        <f t="shared" si="224"/>
        <v>#DIV/0!</v>
      </c>
      <c r="T432" s="1" t="e">
        <f t="shared" si="225"/>
        <v>#DIV/0!</v>
      </c>
      <c r="U432" s="1" t="e">
        <f t="shared" si="226"/>
        <v>#DIV/0!</v>
      </c>
      <c r="V432">
        <f t="shared" si="227"/>
        <v>851.48</v>
      </c>
      <c r="W432">
        <f t="shared" si="228"/>
        <v>0</v>
      </c>
      <c r="X432">
        <f t="shared" si="229"/>
        <v>0</v>
      </c>
      <c r="Y432">
        <f t="shared" si="230"/>
        <v>0</v>
      </c>
      <c r="Z432">
        <f t="shared" si="231"/>
        <v>0</v>
      </c>
      <c r="AA432">
        <f t="shared" si="232"/>
        <v>0</v>
      </c>
      <c r="AC432">
        <f t="shared" si="233"/>
        <v>1045.25</v>
      </c>
      <c r="AD432">
        <f t="shared" si="234"/>
        <v>0</v>
      </c>
      <c r="AE432">
        <f t="shared" si="235"/>
        <v>0</v>
      </c>
      <c r="AF432">
        <f t="shared" si="236"/>
        <v>0</v>
      </c>
      <c r="AG432">
        <f t="shared" si="237"/>
        <v>0</v>
      </c>
      <c r="AH432">
        <f t="shared" si="238"/>
        <v>0</v>
      </c>
      <c r="AJ432">
        <f t="shared" si="239"/>
        <v>1239.01</v>
      </c>
      <c r="AK432">
        <f t="shared" si="240"/>
        <v>0</v>
      </c>
      <c r="AL432">
        <f t="shared" si="241"/>
        <v>0</v>
      </c>
      <c r="AM432">
        <f t="shared" si="242"/>
        <v>0</v>
      </c>
      <c r="AN432">
        <f t="shared" si="243"/>
        <v>0</v>
      </c>
      <c r="AO432">
        <f t="shared" si="244"/>
        <v>0</v>
      </c>
    </row>
    <row r="433" spans="1:41" x14ac:dyDescent="0.45">
      <c r="A433">
        <v>37.78434627</v>
      </c>
      <c r="B433">
        <v>119.6671219</v>
      </c>
      <c r="C433">
        <v>16.40350342</v>
      </c>
      <c r="D433">
        <v>17.87487411</v>
      </c>
      <c r="E433">
        <f t="shared" si="210"/>
        <v>16.40350342</v>
      </c>
      <c r="F433">
        <f t="shared" si="211"/>
        <v>0</v>
      </c>
      <c r="G433">
        <f t="shared" si="212"/>
        <v>0</v>
      </c>
      <c r="H433">
        <f t="shared" si="213"/>
        <v>0</v>
      </c>
      <c r="I433">
        <f t="shared" si="214"/>
        <v>0</v>
      </c>
      <c r="J433">
        <f t="shared" si="215"/>
        <v>0</v>
      </c>
      <c r="K433" s="1">
        <f t="shared" si="216"/>
        <v>0</v>
      </c>
      <c r="L433" s="1">
        <f t="shared" si="217"/>
        <v>0</v>
      </c>
      <c r="M433" s="1">
        <f t="shared" si="218"/>
        <v>0</v>
      </c>
      <c r="N433" s="1">
        <f t="shared" si="219"/>
        <v>0</v>
      </c>
      <c r="O433" s="1">
        <f t="shared" si="220"/>
        <v>0</v>
      </c>
      <c r="P433" s="1">
        <f t="shared" si="221"/>
        <v>22.942124401904387</v>
      </c>
      <c r="Q433" s="1" t="e">
        <f t="shared" si="222"/>
        <v>#DIV/0!</v>
      </c>
      <c r="R433" s="1" t="e">
        <f t="shared" si="223"/>
        <v>#DIV/0!</v>
      </c>
      <c r="S433" s="1" t="e">
        <f t="shared" si="224"/>
        <v>#DIV/0!</v>
      </c>
      <c r="T433" s="1" t="e">
        <f t="shared" si="225"/>
        <v>#DIV/0!</v>
      </c>
      <c r="U433" s="1" t="e">
        <f t="shared" si="226"/>
        <v>#DIV/0!</v>
      </c>
      <c r="V433">
        <f t="shared" si="227"/>
        <v>784.59904306189264</v>
      </c>
      <c r="W433">
        <f t="shared" si="228"/>
        <v>0</v>
      </c>
      <c r="X433">
        <f t="shared" si="229"/>
        <v>0</v>
      </c>
      <c r="Y433">
        <f t="shared" si="230"/>
        <v>0</v>
      </c>
      <c r="Z433">
        <f t="shared" si="231"/>
        <v>0</v>
      </c>
      <c r="AA433">
        <f t="shared" si="232"/>
        <v>0</v>
      </c>
      <c r="AC433">
        <f t="shared" si="233"/>
        <v>962.93497607617542</v>
      </c>
      <c r="AD433">
        <f t="shared" si="234"/>
        <v>0</v>
      </c>
      <c r="AE433">
        <f t="shared" si="235"/>
        <v>0</v>
      </c>
      <c r="AF433">
        <f t="shared" si="236"/>
        <v>0</v>
      </c>
      <c r="AG433">
        <f t="shared" si="237"/>
        <v>0</v>
      </c>
      <c r="AH433">
        <f t="shared" si="238"/>
        <v>0</v>
      </c>
      <c r="AJ433">
        <f t="shared" si="239"/>
        <v>1141.2609090904584</v>
      </c>
      <c r="AK433">
        <f t="shared" si="240"/>
        <v>0</v>
      </c>
      <c r="AL433">
        <f t="shared" si="241"/>
        <v>0</v>
      </c>
      <c r="AM433">
        <f t="shared" si="242"/>
        <v>0</v>
      </c>
      <c r="AN433">
        <f t="shared" si="243"/>
        <v>0</v>
      </c>
      <c r="AO433">
        <f t="shared" si="244"/>
        <v>0</v>
      </c>
    </row>
    <row r="434" spans="1:41" x14ac:dyDescent="0.45">
      <c r="A434">
        <v>37.79008185</v>
      </c>
      <c r="B434">
        <v>115.18562679999999</v>
      </c>
      <c r="C434">
        <v>5.4292302100000001</v>
      </c>
      <c r="D434">
        <v>2.6224670400000001</v>
      </c>
      <c r="E434">
        <f t="shared" si="210"/>
        <v>2.6224670400000001</v>
      </c>
      <c r="F434">
        <f t="shared" si="211"/>
        <v>0</v>
      </c>
      <c r="G434">
        <f t="shared" si="212"/>
        <v>0</v>
      </c>
      <c r="H434">
        <f t="shared" si="213"/>
        <v>0</v>
      </c>
      <c r="I434">
        <f t="shared" si="214"/>
        <v>0</v>
      </c>
      <c r="J434">
        <f t="shared" si="215"/>
        <v>0</v>
      </c>
      <c r="K434" s="1">
        <f t="shared" si="216"/>
        <v>0</v>
      </c>
      <c r="L434" s="1">
        <f t="shared" si="217"/>
        <v>0</v>
      </c>
      <c r="M434" s="1">
        <f t="shared" si="218"/>
        <v>0</v>
      </c>
      <c r="N434" s="1">
        <f t="shared" si="219"/>
        <v>0</v>
      </c>
      <c r="O434" s="1">
        <f t="shared" si="220"/>
        <v>0</v>
      </c>
      <c r="P434" s="1">
        <f t="shared" si="221"/>
        <v>25</v>
      </c>
      <c r="Q434" s="1" t="e">
        <f t="shared" si="222"/>
        <v>#DIV/0!</v>
      </c>
      <c r="R434" s="1" t="e">
        <f t="shared" si="223"/>
        <v>#DIV/0!</v>
      </c>
      <c r="S434" s="1" t="e">
        <f t="shared" si="224"/>
        <v>#DIV/0!</v>
      </c>
      <c r="T434" s="1" t="e">
        <f t="shared" si="225"/>
        <v>#DIV/0!</v>
      </c>
      <c r="U434" s="1" t="e">
        <f t="shared" si="226"/>
        <v>#DIV/0!</v>
      </c>
      <c r="V434">
        <f t="shared" si="227"/>
        <v>851.48</v>
      </c>
      <c r="W434">
        <f t="shared" si="228"/>
        <v>0</v>
      </c>
      <c r="X434">
        <f t="shared" si="229"/>
        <v>0</v>
      </c>
      <c r="Y434">
        <f t="shared" si="230"/>
        <v>0</v>
      </c>
      <c r="Z434">
        <f t="shared" si="231"/>
        <v>0</v>
      </c>
      <c r="AA434">
        <f t="shared" si="232"/>
        <v>0</v>
      </c>
      <c r="AC434">
        <f t="shared" si="233"/>
        <v>1045.25</v>
      </c>
      <c r="AD434">
        <f t="shared" si="234"/>
        <v>0</v>
      </c>
      <c r="AE434">
        <f t="shared" si="235"/>
        <v>0</v>
      </c>
      <c r="AF434">
        <f t="shared" si="236"/>
        <v>0</v>
      </c>
      <c r="AG434">
        <f t="shared" si="237"/>
        <v>0</v>
      </c>
      <c r="AH434">
        <f t="shared" si="238"/>
        <v>0</v>
      </c>
      <c r="AJ434">
        <f t="shared" si="239"/>
        <v>1239.01</v>
      </c>
      <c r="AK434">
        <f t="shared" si="240"/>
        <v>0</v>
      </c>
      <c r="AL434">
        <f t="shared" si="241"/>
        <v>0</v>
      </c>
      <c r="AM434">
        <f t="shared" si="242"/>
        <v>0</v>
      </c>
      <c r="AN434">
        <f t="shared" si="243"/>
        <v>0</v>
      </c>
      <c r="AO434">
        <f t="shared" si="244"/>
        <v>0</v>
      </c>
    </row>
    <row r="435" spans="1:41" x14ac:dyDescent="0.45">
      <c r="A435">
        <v>37.795323799999998</v>
      </c>
      <c r="B435">
        <v>91.240437200000002</v>
      </c>
      <c r="C435">
        <v>20.624670030000001</v>
      </c>
      <c r="D435">
        <v>25.24060059</v>
      </c>
      <c r="E435">
        <f t="shared" si="210"/>
        <v>20.624670030000001</v>
      </c>
      <c r="F435">
        <f t="shared" si="211"/>
        <v>0</v>
      </c>
      <c r="G435">
        <f t="shared" si="212"/>
        <v>0</v>
      </c>
      <c r="H435">
        <f t="shared" si="213"/>
        <v>0</v>
      </c>
      <c r="I435">
        <f t="shared" si="214"/>
        <v>0</v>
      </c>
      <c r="J435">
        <f t="shared" si="215"/>
        <v>0</v>
      </c>
      <c r="K435" s="1">
        <f t="shared" si="216"/>
        <v>0</v>
      </c>
      <c r="L435" s="1">
        <f t="shared" si="217"/>
        <v>0</v>
      </c>
      <c r="M435" s="1">
        <f t="shared" si="218"/>
        <v>0</v>
      </c>
      <c r="N435" s="1">
        <f t="shared" si="219"/>
        <v>0</v>
      </c>
      <c r="O435" s="1">
        <f t="shared" si="220"/>
        <v>0</v>
      </c>
      <c r="P435" s="1">
        <f t="shared" si="221"/>
        <v>20.428069804102869</v>
      </c>
      <c r="Q435" s="1" t="e">
        <f t="shared" si="222"/>
        <v>#DIV/0!</v>
      </c>
      <c r="R435" s="1" t="e">
        <f t="shared" si="223"/>
        <v>#DIV/0!</v>
      </c>
      <c r="S435" s="1" t="e">
        <f t="shared" si="224"/>
        <v>#DIV/0!</v>
      </c>
      <c r="T435" s="1" t="e">
        <f t="shared" si="225"/>
        <v>#DIV/0!</v>
      </c>
      <c r="U435" s="1" t="e">
        <f t="shared" si="226"/>
        <v>#DIV/0!</v>
      </c>
      <c r="V435">
        <f t="shared" si="227"/>
        <v>702.89226863334329</v>
      </c>
      <c r="W435">
        <f t="shared" si="228"/>
        <v>0</v>
      </c>
      <c r="X435">
        <f t="shared" si="229"/>
        <v>0</v>
      </c>
      <c r="Y435">
        <f t="shared" si="230"/>
        <v>0</v>
      </c>
      <c r="Z435">
        <f t="shared" si="231"/>
        <v>0</v>
      </c>
      <c r="AA435">
        <f t="shared" si="232"/>
        <v>0</v>
      </c>
      <c r="AC435">
        <f t="shared" si="233"/>
        <v>862.3727921641148</v>
      </c>
      <c r="AD435">
        <f t="shared" si="234"/>
        <v>0</v>
      </c>
      <c r="AE435">
        <f t="shared" si="235"/>
        <v>0</v>
      </c>
      <c r="AF435">
        <f t="shared" si="236"/>
        <v>0</v>
      </c>
      <c r="AG435">
        <f t="shared" si="237"/>
        <v>0</v>
      </c>
      <c r="AH435">
        <f t="shared" si="238"/>
        <v>0</v>
      </c>
      <c r="AJ435">
        <f t="shared" si="239"/>
        <v>1021.8433156948862</v>
      </c>
      <c r="AK435">
        <f t="shared" si="240"/>
        <v>0</v>
      </c>
      <c r="AL435">
        <f t="shared" si="241"/>
        <v>0</v>
      </c>
      <c r="AM435">
        <f t="shared" si="242"/>
        <v>0</v>
      </c>
      <c r="AN435">
        <f t="shared" si="243"/>
        <v>0</v>
      </c>
      <c r="AO435">
        <f t="shared" si="244"/>
        <v>0</v>
      </c>
    </row>
    <row r="436" spans="1:41" x14ac:dyDescent="0.45">
      <c r="A436">
        <v>37.805148619999997</v>
      </c>
      <c r="B436">
        <v>118.6204925</v>
      </c>
      <c r="C436">
        <v>43.008232120000002</v>
      </c>
      <c r="D436">
        <v>2.7329630900000002</v>
      </c>
      <c r="E436">
        <f t="shared" si="210"/>
        <v>2.7329630900000002</v>
      </c>
      <c r="F436">
        <f t="shared" si="211"/>
        <v>0</v>
      </c>
      <c r="G436">
        <f t="shared" si="212"/>
        <v>0</v>
      </c>
      <c r="H436">
        <f t="shared" si="213"/>
        <v>0</v>
      </c>
      <c r="I436">
        <f t="shared" si="214"/>
        <v>0</v>
      </c>
      <c r="J436">
        <f t="shared" si="215"/>
        <v>0</v>
      </c>
      <c r="K436" s="1">
        <f t="shared" si="216"/>
        <v>0</v>
      </c>
      <c r="L436" s="1">
        <f t="shared" si="217"/>
        <v>0</v>
      </c>
      <c r="M436" s="1">
        <f t="shared" si="218"/>
        <v>0</v>
      </c>
      <c r="N436" s="1">
        <f t="shared" si="219"/>
        <v>0</v>
      </c>
      <c r="O436" s="1">
        <f t="shared" si="220"/>
        <v>0</v>
      </c>
      <c r="P436" s="1">
        <f t="shared" si="221"/>
        <v>25</v>
      </c>
      <c r="Q436" s="1" t="e">
        <f t="shared" si="222"/>
        <v>#DIV/0!</v>
      </c>
      <c r="R436" s="1" t="e">
        <f t="shared" si="223"/>
        <v>#DIV/0!</v>
      </c>
      <c r="S436" s="1" t="e">
        <f t="shared" si="224"/>
        <v>#DIV/0!</v>
      </c>
      <c r="T436" s="1" t="e">
        <f t="shared" si="225"/>
        <v>#DIV/0!</v>
      </c>
      <c r="U436" s="1" t="e">
        <f t="shared" si="226"/>
        <v>#DIV/0!</v>
      </c>
      <c r="V436">
        <f t="shared" si="227"/>
        <v>851.48</v>
      </c>
      <c r="W436">
        <f t="shared" si="228"/>
        <v>0</v>
      </c>
      <c r="X436">
        <f t="shared" si="229"/>
        <v>0</v>
      </c>
      <c r="Y436">
        <f t="shared" si="230"/>
        <v>0</v>
      </c>
      <c r="Z436">
        <f t="shared" si="231"/>
        <v>0</v>
      </c>
      <c r="AA436">
        <f t="shared" si="232"/>
        <v>0</v>
      </c>
      <c r="AC436">
        <f t="shared" si="233"/>
        <v>1045.25</v>
      </c>
      <c r="AD436">
        <f t="shared" si="234"/>
        <v>0</v>
      </c>
      <c r="AE436">
        <f t="shared" si="235"/>
        <v>0</v>
      </c>
      <c r="AF436">
        <f t="shared" si="236"/>
        <v>0</v>
      </c>
      <c r="AG436">
        <f t="shared" si="237"/>
        <v>0</v>
      </c>
      <c r="AH436">
        <f t="shared" si="238"/>
        <v>0</v>
      </c>
      <c r="AJ436">
        <f t="shared" si="239"/>
        <v>1239.01</v>
      </c>
      <c r="AK436">
        <f t="shared" si="240"/>
        <v>0</v>
      </c>
      <c r="AL436">
        <f t="shared" si="241"/>
        <v>0</v>
      </c>
      <c r="AM436">
        <f t="shared" si="242"/>
        <v>0</v>
      </c>
      <c r="AN436">
        <f t="shared" si="243"/>
        <v>0</v>
      </c>
      <c r="AO436">
        <f t="shared" si="244"/>
        <v>0</v>
      </c>
    </row>
    <row r="437" spans="1:41" x14ac:dyDescent="0.45">
      <c r="A437">
        <v>37.806455849999999</v>
      </c>
      <c r="B437">
        <v>118.1543626</v>
      </c>
      <c r="C437">
        <v>76.896270749999999</v>
      </c>
      <c r="D437">
        <v>0.19832601</v>
      </c>
      <c r="E437">
        <f t="shared" si="210"/>
        <v>0.19832601</v>
      </c>
      <c r="F437">
        <f t="shared" si="211"/>
        <v>0</v>
      </c>
      <c r="G437">
        <f t="shared" si="212"/>
        <v>0</v>
      </c>
      <c r="H437">
        <f t="shared" si="213"/>
        <v>0</v>
      </c>
      <c r="I437">
        <f t="shared" si="214"/>
        <v>0</v>
      </c>
      <c r="J437">
        <f t="shared" si="215"/>
        <v>0</v>
      </c>
      <c r="K437" s="1">
        <f t="shared" si="216"/>
        <v>0</v>
      </c>
      <c r="L437" s="1">
        <f t="shared" si="217"/>
        <v>0</v>
      </c>
      <c r="M437" s="1">
        <f t="shared" si="218"/>
        <v>0</v>
      </c>
      <c r="N437" s="1">
        <f t="shared" si="219"/>
        <v>0</v>
      </c>
      <c r="O437" s="1">
        <f t="shared" si="220"/>
        <v>0</v>
      </c>
      <c r="P437" s="1">
        <f t="shared" si="221"/>
        <v>25</v>
      </c>
      <c r="Q437" s="1" t="e">
        <f t="shared" si="222"/>
        <v>#DIV/0!</v>
      </c>
      <c r="R437" s="1" t="e">
        <f t="shared" si="223"/>
        <v>#DIV/0!</v>
      </c>
      <c r="S437" s="1" t="e">
        <f t="shared" si="224"/>
        <v>#DIV/0!</v>
      </c>
      <c r="T437" s="1" t="e">
        <f t="shared" si="225"/>
        <v>#DIV/0!</v>
      </c>
      <c r="U437" s="1" t="e">
        <f t="shared" si="226"/>
        <v>#DIV/0!</v>
      </c>
      <c r="V437">
        <f t="shared" si="227"/>
        <v>851.48</v>
      </c>
      <c r="W437">
        <f t="shared" si="228"/>
        <v>0</v>
      </c>
      <c r="X437">
        <f t="shared" si="229"/>
        <v>0</v>
      </c>
      <c r="Y437">
        <f t="shared" si="230"/>
        <v>0</v>
      </c>
      <c r="Z437">
        <f t="shared" si="231"/>
        <v>0</v>
      </c>
      <c r="AA437">
        <f t="shared" si="232"/>
        <v>0</v>
      </c>
      <c r="AC437">
        <f t="shared" si="233"/>
        <v>1045.25</v>
      </c>
      <c r="AD437">
        <f t="shared" si="234"/>
        <v>0</v>
      </c>
      <c r="AE437">
        <f t="shared" si="235"/>
        <v>0</v>
      </c>
      <c r="AF437">
        <f t="shared" si="236"/>
        <v>0</v>
      </c>
      <c r="AG437">
        <f t="shared" si="237"/>
        <v>0</v>
      </c>
      <c r="AH437">
        <f t="shared" si="238"/>
        <v>0</v>
      </c>
      <c r="AJ437">
        <f t="shared" si="239"/>
        <v>1239.01</v>
      </c>
      <c r="AK437">
        <f t="shared" si="240"/>
        <v>0</v>
      </c>
      <c r="AL437">
        <f t="shared" si="241"/>
        <v>0</v>
      </c>
      <c r="AM437">
        <f t="shared" si="242"/>
        <v>0</v>
      </c>
      <c r="AN437">
        <f t="shared" si="243"/>
        <v>0</v>
      </c>
      <c r="AO437">
        <f t="shared" si="244"/>
        <v>0</v>
      </c>
    </row>
    <row r="438" spans="1:41" x14ac:dyDescent="0.45">
      <c r="A438">
        <v>37.816267019999998</v>
      </c>
      <c r="B438">
        <v>119.3808725</v>
      </c>
      <c r="C438">
        <v>15.833525659999999</v>
      </c>
      <c r="D438">
        <v>11.114254000000001</v>
      </c>
      <c r="E438">
        <f t="shared" si="210"/>
        <v>11.114254000000001</v>
      </c>
      <c r="F438">
        <f t="shared" si="211"/>
        <v>0</v>
      </c>
      <c r="G438">
        <f t="shared" si="212"/>
        <v>0</v>
      </c>
      <c r="H438">
        <f t="shared" si="213"/>
        <v>0</v>
      </c>
      <c r="I438">
        <f t="shared" si="214"/>
        <v>0</v>
      </c>
      <c r="J438">
        <f t="shared" si="215"/>
        <v>0</v>
      </c>
      <c r="K438" s="1">
        <f t="shared" si="216"/>
        <v>0</v>
      </c>
      <c r="L438" s="1">
        <f t="shared" si="217"/>
        <v>0</v>
      </c>
      <c r="M438" s="1">
        <f t="shared" si="218"/>
        <v>0</v>
      </c>
      <c r="N438" s="1">
        <f t="shared" si="219"/>
        <v>0</v>
      </c>
      <c r="O438" s="1">
        <f t="shared" si="220"/>
        <v>0</v>
      </c>
      <c r="P438" s="1">
        <f t="shared" si="221"/>
        <v>25</v>
      </c>
      <c r="Q438" s="1" t="e">
        <f t="shared" si="222"/>
        <v>#DIV/0!</v>
      </c>
      <c r="R438" s="1" t="e">
        <f t="shared" si="223"/>
        <v>#DIV/0!</v>
      </c>
      <c r="S438" s="1" t="e">
        <f t="shared" si="224"/>
        <v>#DIV/0!</v>
      </c>
      <c r="T438" s="1" t="e">
        <f t="shared" si="225"/>
        <v>#DIV/0!</v>
      </c>
      <c r="U438" s="1" t="e">
        <f t="shared" si="226"/>
        <v>#DIV/0!</v>
      </c>
      <c r="V438">
        <f t="shared" si="227"/>
        <v>851.48</v>
      </c>
      <c r="W438">
        <f t="shared" si="228"/>
        <v>0</v>
      </c>
      <c r="X438">
        <f t="shared" si="229"/>
        <v>0</v>
      </c>
      <c r="Y438">
        <f t="shared" si="230"/>
        <v>0</v>
      </c>
      <c r="Z438">
        <f t="shared" si="231"/>
        <v>0</v>
      </c>
      <c r="AA438">
        <f t="shared" si="232"/>
        <v>0</v>
      </c>
      <c r="AC438">
        <f t="shared" si="233"/>
        <v>1045.25</v>
      </c>
      <c r="AD438">
        <f t="shared" si="234"/>
        <v>0</v>
      </c>
      <c r="AE438">
        <f t="shared" si="235"/>
        <v>0</v>
      </c>
      <c r="AF438">
        <f t="shared" si="236"/>
        <v>0</v>
      </c>
      <c r="AG438">
        <f t="shared" si="237"/>
        <v>0</v>
      </c>
      <c r="AH438">
        <f t="shared" si="238"/>
        <v>0</v>
      </c>
      <c r="AJ438">
        <f t="shared" si="239"/>
        <v>1239.01</v>
      </c>
      <c r="AK438">
        <f t="shared" si="240"/>
        <v>0</v>
      </c>
      <c r="AL438">
        <f t="shared" si="241"/>
        <v>0</v>
      </c>
      <c r="AM438">
        <f t="shared" si="242"/>
        <v>0</v>
      </c>
      <c r="AN438">
        <f t="shared" si="243"/>
        <v>0</v>
      </c>
      <c r="AO438">
        <f t="shared" si="244"/>
        <v>0</v>
      </c>
    </row>
    <row r="439" spans="1:41" x14ac:dyDescent="0.45">
      <c r="A439">
        <v>37.822570519999999</v>
      </c>
      <c r="B439">
        <v>119.3235942</v>
      </c>
      <c r="C439">
        <v>15.833525659999999</v>
      </c>
      <c r="D439">
        <v>26.00519371</v>
      </c>
      <c r="E439">
        <f t="shared" si="210"/>
        <v>15.833525659999999</v>
      </c>
      <c r="F439">
        <f t="shared" si="211"/>
        <v>0</v>
      </c>
      <c r="G439">
        <f t="shared" si="212"/>
        <v>0</v>
      </c>
      <c r="H439">
        <f t="shared" si="213"/>
        <v>0</v>
      </c>
      <c r="I439">
        <f t="shared" si="214"/>
        <v>0</v>
      </c>
      <c r="J439">
        <f t="shared" si="215"/>
        <v>0</v>
      </c>
      <c r="K439" s="1">
        <f t="shared" si="216"/>
        <v>0</v>
      </c>
      <c r="L439" s="1">
        <f t="shared" si="217"/>
        <v>0</v>
      </c>
      <c r="M439" s="1">
        <f t="shared" si="218"/>
        <v>0</v>
      </c>
      <c r="N439" s="1">
        <f t="shared" si="219"/>
        <v>0</v>
      </c>
      <c r="O439" s="1">
        <f t="shared" si="220"/>
        <v>0</v>
      </c>
      <c r="P439" s="1">
        <f t="shared" si="221"/>
        <v>15.221503285621941</v>
      </c>
      <c r="Q439" s="1" t="e">
        <f t="shared" si="222"/>
        <v>#DIV/0!</v>
      </c>
      <c r="R439" s="1" t="e">
        <f t="shared" si="223"/>
        <v>#DIV/0!</v>
      </c>
      <c r="S439" s="1" t="e">
        <f t="shared" si="224"/>
        <v>#DIV/0!</v>
      </c>
      <c r="T439" s="1" t="e">
        <f t="shared" si="225"/>
        <v>#DIV/0!</v>
      </c>
      <c r="U439" s="1" t="e">
        <f t="shared" si="226"/>
        <v>#DIV/0!</v>
      </c>
      <c r="V439">
        <f t="shared" si="227"/>
        <v>533.67885678271307</v>
      </c>
      <c r="W439">
        <f t="shared" si="228"/>
        <v>0</v>
      </c>
      <c r="X439">
        <f t="shared" si="229"/>
        <v>0</v>
      </c>
      <c r="Y439">
        <f t="shared" si="230"/>
        <v>0</v>
      </c>
      <c r="Z439">
        <f t="shared" si="231"/>
        <v>0</v>
      </c>
      <c r="AA439">
        <f t="shared" si="232"/>
        <v>0</v>
      </c>
      <c r="AC439">
        <f t="shared" si="233"/>
        <v>654.11013142487764</v>
      </c>
      <c r="AD439">
        <f t="shared" si="234"/>
        <v>0</v>
      </c>
      <c r="AE439">
        <f t="shared" si="235"/>
        <v>0</v>
      </c>
      <c r="AF439">
        <f t="shared" si="236"/>
        <v>0</v>
      </c>
      <c r="AG439">
        <f t="shared" si="237"/>
        <v>0</v>
      </c>
      <c r="AH439">
        <f t="shared" si="238"/>
        <v>0</v>
      </c>
      <c r="AJ439">
        <f t="shared" si="239"/>
        <v>774.53140606704221</v>
      </c>
      <c r="AK439">
        <f t="shared" si="240"/>
        <v>0</v>
      </c>
      <c r="AL439">
        <f t="shared" si="241"/>
        <v>0</v>
      </c>
      <c r="AM439">
        <f t="shared" si="242"/>
        <v>0</v>
      </c>
      <c r="AN439">
        <f t="shared" si="243"/>
        <v>0</v>
      </c>
      <c r="AO439">
        <f t="shared" si="244"/>
        <v>0</v>
      </c>
    </row>
    <row r="440" spans="1:41" x14ac:dyDescent="0.45">
      <c r="A440">
        <v>37.823557919999999</v>
      </c>
      <c r="B440">
        <v>117.9822367</v>
      </c>
      <c r="C440">
        <v>76.896270749999999</v>
      </c>
      <c r="D440">
        <v>3.0308749700000002</v>
      </c>
      <c r="E440">
        <f t="shared" si="210"/>
        <v>3.0308749700000002</v>
      </c>
      <c r="F440">
        <f t="shared" si="211"/>
        <v>0</v>
      </c>
      <c r="G440">
        <f t="shared" si="212"/>
        <v>0</v>
      </c>
      <c r="H440">
        <f t="shared" si="213"/>
        <v>0</v>
      </c>
      <c r="I440">
        <f t="shared" si="214"/>
        <v>0</v>
      </c>
      <c r="J440">
        <f t="shared" si="215"/>
        <v>0</v>
      </c>
      <c r="K440" s="1">
        <f t="shared" si="216"/>
        <v>0</v>
      </c>
      <c r="L440" s="1">
        <f t="shared" si="217"/>
        <v>0</v>
      </c>
      <c r="M440" s="1">
        <f t="shared" si="218"/>
        <v>0</v>
      </c>
      <c r="N440" s="1">
        <f t="shared" si="219"/>
        <v>0</v>
      </c>
      <c r="O440" s="1">
        <f t="shared" si="220"/>
        <v>0</v>
      </c>
      <c r="P440" s="1">
        <f t="shared" si="221"/>
        <v>25.000000000000004</v>
      </c>
      <c r="Q440" s="1" t="e">
        <f t="shared" si="222"/>
        <v>#DIV/0!</v>
      </c>
      <c r="R440" s="1" t="e">
        <f t="shared" si="223"/>
        <v>#DIV/0!</v>
      </c>
      <c r="S440" s="1" t="e">
        <f t="shared" si="224"/>
        <v>#DIV/0!</v>
      </c>
      <c r="T440" s="1" t="e">
        <f t="shared" si="225"/>
        <v>#DIV/0!</v>
      </c>
      <c r="U440" s="1" t="e">
        <f t="shared" si="226"/>
        <v>#DIV/0!</v>
      </c>
      <c r="V440">
        <f t="shared" si="227"/>
        <v>851.48000000000013</v>
      </c>
      <c r="W440">
        <f t="shared" si="228"/>
        <v>0</v>
      </c>
      <c r="X440">
        <f t="shared" si="229"/>
        <v>0</v>
      </c>
      <c r="Y440">
        <f t="shared" si="230"/>
        <v>0</v>
      </c>
      <c r="Z440">
        <f t="shared" si="231"/>
        <v>0</v>
      </c>
      <c r="AA440">
        <f t="shared" si="232"/>
        <v>0</v>
      </c>
      <c r="AC440">
        <f t="shared" si="233"/>
        <v>1045.25</v>
      </c>
      <c r="AD440">
        <f t="shared" si="234"/>
        <v>0</v>
      </c>
      <c r="AE440">
        <f t="shared" si="235"/>
        <v>0</v>
      </c>
      <c r="AF440">
        <f t="shared" si="236"/>
        <v>0</v>
      </c>
      <c r="AG440">
        <f t="shared" si="237"/>
        <v>0</v>
      </c>
      <c r="AH440">
        <f t="shared" si="238"/>
        <v>0</v>
      </c>
      <c r="AJ440">
        <f t="shared" si="239"/>
        <v>1239.0100000000002</v>
      </c>
      <c r="AK440">
        <f t="shared" si="240"/>
        <v>0</v>
      </c>
      <c r="AL440">
        <f t="shared" si="241"/>
        <v>0</v>
      </c>
      <c r="AM440">
        <f t="shared" si="242"/>
        <v>0</v>
      </c>
      <c r="AN440">
        <f t="shared" si="243"/>
        <v>0</v>
      </c>
      <c r="AO440">
        <f t="shared" si="244"/>
        <v>0</v>
      </c>
    </row>
    <row r="441" spans="1:41" x14ac:dyDescent="0.45">
      <c r="A441">
        <v>37.828773509999998</v>
      </c>
      <c r="B441">
        <v>118.3911176</v>
      </c>
      <c r="C441">
        <v>43.008232120000002</v>
      </c>
      <c r="D441">
        <v>1.58661199</v>
      </c>
      <c r="E441">
        <f t="shared" si="210"/>
        <v>1.58661199</v>
      </c>
      <c r="F441">
        <f t="shared" si="211"/>
        <v>0</v>
      </c>
      <c r="G441">
        <f t="shared" si="212"/>
        <v>0</v>
      </c>
      <c r="H441">
        <f t="shared" si="213"/>
        <v>0</v>
      </c>
      <c r="I441">
        <f t="shared" si="214"/>
        <v>0</v>
      </c>
      <c r="J441">
        <f t="shared" si="215"/>
        <v>0</v>
      </c>
      <c r="K441" s="1">
        <f t="shared" si="216"/>
        <v>0</v>
      </c>
      <c r="L441" s="1">
        <f t="shared" si="217"/>
        <v>0</v>
      </c>
      <c r="M441" s="1">
        <f t="shared" si="218"/>
        <v>0</v>
      </c>
      <c r="N441" s="1">
        <f t="shared" si="219"/>
        <v>0</v>
      </c>
      <c r="O441" s="1">
        <f t="shared" si="220"/>
        <v>0</v>
      </c>
      <c r="P441" s="1">
        <f t="shared" si="221"/>
        <v>25.000000000000004</v>
      </c>
      <c r="Q441" s="1" t="e">
        <f t="shared" si="222"/>
        <v>#DIV/0!</v>
      </c>
      <c r="R441" s="1" t="e">
        <f t="shared" si="223"/>
        <v>#DIV/0!</v>
      </c>
      <c r="S441" s="1" t="e">
        <f t="shared" si="224"/>
        <v>#DIV/0!</v>
      </c>
      <c r="T441" s="1" t="e">
        <f t="shared" si="225"/>
        <v>#DIV/0!</v>
      </c>
      <c r="U441" s="1" t="e">
        <f t="shared" si="226"/>
        <v>#DIV/0!</v>
      </c>
      <c r="V441">
        <f t="shared" si="227"/>
        <v>851.48000000000013</v>
      </c>
      <c r="W441">
        <f t="shared" si="228"/>
        <v>0</v>
      </c>
      <c r="X441">
        <f t="shared" si="229"/>
        <v>0</v>
      </c>
      <c r="Y441">
        <f t="shared" si="230"/>
        <v>0</v>
      </c>
      <c r="Z441">
        <f t="shared" si="231"/>
        <v>0</v>
      </c>
      <c r="AA441">
        <f t="shared" si="232"/>
        <v>0</v>
      </c>
      <c r="AC441">
        <f t="shared" si="233"/>
        <v>1045.25</v>
      </c>
      <c r="AD441">
        <f t="shared" si="234"/>
        <v>0</v>
      </c>
      <c r="AE441">
        <f t="shared" si="235"/>
        <v>0</v>
      </c>
      <c r="AF441">
        <f t="shared" si="236"/>
        <v>0</v>
      </c>
      <c r="AG441">
        <f t="shared" si="237"/>
        <v>0</v>
      </c>
      <c r="AH441">
        <f t="shared" si="238"/>
        <v>0</v>
      </c>
      <c r="AJ441">
        <f t="shared" si="239"/>
        <v>1239.0100000000002</v>
      </c>
      <c r="AK441">
        <f t="shared" si="240"/>
        <v>0</v>
      </c>
      <c r="AL441">
        <f t="shared" si="241"/>
        <v>0</v>
      </c>
      <c r="AM441">
        <f t="shared" si="242"/>
        <v>0</v>
      </c>
      <c r="AN441">
        <f t="shared" si="243"/>
        <v>0</v>
      </c>
      <c r="AO441">
        <f t="shared" si="244"/>
        <v>0</v>
      </c>
    </row>
    <row r="442" spans="1:41" x14ac:dyDescent="0.45">
      <c r="A442">
        <v>37.82884713</v>
      </c>
      <c r="B442">
        <v>119.2663065</v>
      </c>
      <c r="C442">
        <v>40.0941124</v>
      </c>
      <c r="D442">
        <v>2.51788306</v>
      </c>
      <c r="E442">
        <f t="shared" si="210"/>
        <v>2.51788306</v>
      </c>
      <c r="F442">
        <f t="shared" si="211"/>
        <v>0</v>
      </c>
      <c r="G442">
        <f t="shared" si="212"/>
        <v>0</v>
      </c>
      <c r="H442">
        <f t="shared" si="213"/>
        <v>0</v>
      </c>
      <c r="I442">
        <f t="shared" si="214"/>
        <v>0</v>
      </c>
      <c r="J442">
        <f t="shared" si="215"/>
        <v>0</v>
      </c>
      <c r="K442" s="1">
        <f t="shared" si="216"/>
        <v>0</v>
      </c>
      <c r="L442" s="1">
        <f t="shared" si="217"/>
        <v>0</v>
      </c>
      <c r="M442" s="1">
        <f t="shared" si="218"/>
        <v>0</v>
      </c>
      <c r="N442" s="1">
        <f t="shared" si="219"/>
        <v>0</v>
      </c>
      <c r="O442" s="1">
        <f t="shared" si="220"/>
        <v>0</v>
      </c>
      <c r="P442" s="1">
        <f t="shared" si="221"/>
        <v>25</v>
      </c>
      <c r="Q442" s="1" t="e">
        <f t="shared" si="222"/>
        <v>#DIV/0!</v>
      </c>
      <c r="R442" s="1" t="e">
        <f t="shared" si="223"/>
        <v>#DIV/0!</v>
      </c>
      <c r="S442" s="1" t="e">
        <f t="shared" si="224"/>
        <v>#DIV/0!</v>
      </c>
      <c r="T442" s="1" t="e">
        <f t="shared" si="225"/>
        <v>#DIV/0!</v>
      </c>
      <c r="U442" s="1" t="e">
        <f t="shared" si="226"/>
        <v>#DIV/0!</v>
      </c>
      <c r="V442">
        <f t="shared" si="227"/>
        <v>851.48</v>
      </c>
      <c r="W442">
        <f t="shared" si="228"/>
        <v>0</v>
      </c>
      <c r="X442">
        <f t="shared" si="229"/>
        <v>0</v>
      </c>
      <c r="Y442">
        <f t="shared" si="230"/>
        <v>0</v>
      </c>
      <c r="Z442">
        <f t="shared" si="231"/>
        <v>0</v>
      </c>
      <c r="AA442">
        <f t="shared" si="232"/>
        <v>0</v>
      </c>
      <c r="AC442">
        <f t="shared" si="233"/>
        <v>1045.25</v>
      </c>
      <c r="AD442">
        <f t="shared" si="234"/>
        <v>0</v>
      </c>
      <c r="AE442">
        <f t="shared" si="235"/>
        <v>0</v>
      </c>
      <c r="AF442">
        <f t="shared" si="236"/>
        <v>0</v>
      </c>
      <c r="AG442">
        <f t="shared" si="237"/>
        <v>0</v>
      </c>
      <c r="AH442">
        <f t="shared" si="238"/>
        <v>0</v>
      </c>
      <c r="AJ442">
        <f t="shared" si="239"/>
        <v>1239.01</v>
      </c>
      <c r="AK442">
        <f t="shared" si="240"/>
        <v>0</v>
      </c>
      <c r="AL442">
        <f t="shared" si="241"/>
        <v>0</v>
      </c>
      <c r="AM442">
        <f t="shared" si="242"/>
        <v>0</v>
      </c>
      <c r="AN442">
        <f t="shared" si="243"/>
        <v>0</v>
      </c>
      <c r="AO442">
        <f t="shared" si="244"/>
        <v>0</v>
      </c>
    </row>
    <row r="443" spans="1:41" x14ac:dyDescent="0.45">
      <c r="A443">
        <v>37.82920464</v>
      </c>
      <c r="B443">
        <v>117.92484450000001</v>
      </c>
      <c r="C443">
        <v>0</v>
      </c>
      <c r="D443">
        <v>1.46722496</v>
      </c>
      <c r="E443">
        <f t="shared" si="210"/>
        <v>0</v>
      </c>
      <c r="F443">
        <f t="shared" si="211"/>
        <v>1.46722496</v>
      </c>
      <c r="G443">
        <f t="shared" si="212"/>
        <v>1.46722496</v>
      </c>
      <c r="H443">
        <f t="shared" si="213"/>
        <v>1.46722496</v>
      </c>
      <c r="I443">
        <f t="shared" si="214"/>
        <v>1.46722496</v>
      </c>
      <c r="J443">
        <f t="shared" si="215"/>
        <v>1.46722496</v>
      </c>
      <c r="K443" s="1">
        <f t="shared" si="216"/>
        <v>0</v>
      </c>
      <c r="L443" s="1">
        <f t="shared" si="217"/>
        <v>0</v>
      </c>
      <c r="M443" s="1">
        <f t="shared" si="218"/>
        <v>0</v>
      </c>
      <c r="N443" s="1">
        <f t="shared" si="219"/>
        <v>0</v>
      </c>
      <c r="O443" s="1">
        <f t="shared" si="220"/>
        <v>0</v>
      </c>
      <c r="P443" s="1">
        <f t="shared" si="221"/>
        <v>1</v>
      </c>
      <c r="Q443" s="1">
        <f t="shared" si="222"/>
        <v>1</v>
      </c>
      <c r="R443" s="1">
        <f t="shared" si="223"/>
        <v>1</v>
      </c>
      <c r="S443" s="1">
        <f t="shared" si="224"/>
        <v>1</v>
      </c>
      <c r="T443" s="1">
        <f t="shared" si="225"/>
        <v>1</v>
      </c>
      <c r="U443" s="1">
        <f t="shared" si="226"/>
        <v>1</v>
      </c>
      <c r="V443">
        <f t="shared" si="227"/>
        <v>71.48</v>
      </c>
      <c r="W443">
        <f t="shared" si="228"/>
        <v>76.489999999999995</v>
      </c>
      <c r="X443">
        <f t="shared" si="229"/>
        <v>52.14</v>
      </c>
      <c r="Y443">
        <f t="shared" si="230"/>
        <v>38.1</v>
      </c>
      <c r="Z443">
        <f t="shared" si="231"/>
        <v>32.120000000000005</v>
      </c>
      <c r="AA443">
        <f t="shared" si="232"/>
        <v>30.03</v>
      </c>
      <c r="AC443">
        <f t="shared" si="233"/>
        <v>85.25</v>
      </c>
      <c r="AD443">
        <f t="shared" si="234"/>
        <v>76.489999999999995</v>
      </c>
      <c r="AE443">
        <f t="shared" si="235"/>
        <v>64.17</v>
      </c>
      <c r="AF443">
        <f t="shared" si="236"/>
        <v>49.84</v>
      </c>
      <c r="AG443">
        <f t="shared" si="237"/>
        <v>48.34</v>
      </c>
      <c r="AH443">
        <f t="shared" si="238"/>
        <v>41.36</v>
      </c>
      <c r="AJ443">
        <f t="shared" si="239"/>
        <v>99.009999999999991</v>
      </c>
      <c r="AK443">
        <f t="shared" si="240"/>
        <v>90.94</v>
      </c>
      <c r="AL443">
        <f t="shared" si="241"/>
        <v>78.7</v>
      </c>
      <c r="AM443">
        <f t="shared" si="242"/>
        <v>67.430000000000007</v>
      </c>
      <c r="AN443">
        <f t="shared" si="243"/>
        <v>62.56</v>
      </c>
      <c r="AO443">
        <f t="shared" si="244"/>
        <v>55.19</v>
      </c>
    </row>
    <row r="444" spans="1:41" x14ac:dyDescent="0.45">
      <c r="A444">
        <v>37.829762729999999</v>
      </c>
      <c r="B444">
        <v>119.6752554</v>
      </c>
      <c r="C444">
        <v>9.4243545500000003</v>
      </c>
      <c r="D444">
        <v>0.142739</v>
      </c>
      <c r="E444">
        <f t="shared" si="210"/>
        <v>0.142739</v>
      </c>
      <c r="F444">
        <f t="shared" si="211"/>
        <v>0</v>
      </c>
      <c r="G444">
        <f t="shared" si="212"/>
        <v>0</v>
      </c>
      <c r="H444">
        <f t="shared" si="213"/>
        <v>0</v>
      </c>
      <c r="I444">
        <f t="shared" si="214"/>
        <v>0</v>
      </c>
      <c r="J444">
        <f t="shared" si="215"/>
        <v>0</v>
      </c>
      <c r="K444" s="1">
        <f t="shared" si="216"/>
        <v>0</v>
      </c>
      <c r="L444" s="1">
        <f t="shared" si="217"/>
        <v>0</v>
      </c>
      <c r="M444" s="1">
        <f t="shared" si="218"/>
        <v>0</v>
      </c>
      <c r="N444" s="1">
        <f t="shared" si="219"/>
        <v>0</v>
      </c>
      <c r="O444" s="1">
        <f t="shared" si="220"/>
        <v>0</v>
      </c>
      <c r="P444" s="1">
        <f t="shared" si="221"/>
        <v>25</v>
      </c>
      <c r="Q444" s="1" t="e">
        <f t="shared" si="222"/>
        <v>#DIV/0!</v>
      </c>
      <c r="R444" s="1" t="e">
        <f t="shared" si="223"/>
        <v>#DIV/0!</v>
      </c>
      <c r="S444" s="1" t="e">
        <f t="shared" si="224"/>
        <v>#DIV/0!</v>
      </c>
      <c r="T444" s="1" t="e">
        <f t="shared" si="225"/>
        <v>#DIV/0!</v>
      </c>
      <c r="U444" s="1" t="e">
        <f t="shared" si="226"/>
        <v>#DIV/0!</v>
      </c>
      <c r="V444">
        <f t="shared" si="227"/>
        <v>851.48</v>
      </c>
      <c r="W444">
        <f t="shared" si="228"/>
        <v>0</v>
      </c>
      <c r="X444">
        <f t="shared" si="229"/>
        <v>0</v>
      </c>
      <c r="Y444">
        <f t="shared" si="230"/>
        <v>0</v>
      </c>
      <c r="Z444">
        <f t="shared" si="231"/>
        <v>0</v>
      </c>
      <c r="AA444">
        <f t="shared" si="232"/>
        <v>0</v>
      </c>
      <c r="AC444">
        <f t="shared" si="233"/>
        <v>1045.25</v>
      </c>
      <c r="AD444">
        <f t="shared" si="234"/>
        <v>0</v>
      </c>
      <c r="AE444">
        <f t="shared" si="235"/>
        <v>0</v>
      </c>
      <c r="AF444">
        <f t="shared" si="236"/>
        <v>0</v>
      </c>
      <c r="AG444">
        <f t="shared" si="237"/>
        <v>0</v>
      </c>
      <c r="AH444">
        <f t="shared" si="238"/>
        <v>0</v>
      </c>
      <c r="AJ444">
        <f t="shared" si="239"/>
        <v>1239.01</v>
      </c>
      <c r="AK444">
        <f t="shared" si="240"/>
        <v>0</v>
      </c>
      <c r="AL444">
        <f t="shared" si="241"/>
        <v>0</v>
      </c>
      <c r="AM444">
        <f t="shared" si="242"/>
        <v>0</v>
      </c>
      <c r="AN444">
        <f t="shared" si="243"/>
        <v>0</v>
      </c>
      <c r="AO444">
        <f t="shared" si="244"/>
        <v>0</v>
      </c>
    </row>
    <row r="445" spans="1:41" x14ac:dyDescent="0.45">
      <c r="A445">
        <v>37.836204250000002</v>
      </c>
      <c r="B445">
        <v>119.61799139999999</v>
      </c>
      <c r="C445">
        <v>55.417339320000004</v>
      </c>
      <c r="D445">
        <v>0.97944498000000002</v>
      </c>
      <c r="E445">
        <f t="shared" si="210"/>
        <v>0.97944498000000002</v>
      </c>
      <c r="F445">
        <f t="shared" si="211"/>
        <v>0</v>
      </c>
      <c r="G445">
        <f t="shared" si="212"/>
        <v>0</v>
      </c>
      <c r="H445">
        <f t="shared" si="213"/>
        <v>0</v>
      </c>
      <c r="I445">
        <f t="shared" si="214"/>
        <v>0</v>
      </c>
      <c r="J445">
        <f t="shared" si="215"/>
        <v>0</v>
      </c>
      <c r="K445" s="1">
        <f t="shared" si="216"/>
        <v>0</v>
      </c>
      <c r="L445" s="1">
        <f t="shared" si="217"/>
        <v>0</v>
      </c>
      <c r="M445" s="1">
        <f t="shared" si="218"/>
        <v>0</v>
      </c>
      <c r="N445" s="1">
        <f t="shared" si="219"/>
        <v>0</v>
      </c>
      <c r="O445" s="1">
        <f t="shared" si="220"/>
        <v>0</v>
      </c>
      <c r="P445" s="1">
        <f t="shared" si="221"/>
        <v>25</v>
      </c>
      <c r="Q445" s="1" t="e">
        <f t="shared" si="222"/>
        <v>#DIV/0!</v>
      </c>
      <c r="R445" s="1" t="e">
        <f t="shared" si="223"/>
        <v>#DIV/0!</v>
      </c>
      <c r="S445" s="1" t="e">
        <f t="shared" si="224"/>
        <v>#DIV/0!</v>
      </c>
      <c r="T445" s="1" t="e">
        <f t="shared" si="225"/>
        <v>#DIV/0!</v>
      </c>
      <c r="U445" s="1" t="e">
        <f t="shared" si="226"/>
        <v>#DIV/0!</v>
      </c>
      <c r="V445">
        <f t="shared" si="227"/>
        <v>851.48</v>
      </c>
      <c r="W445">
        <f t="shared" si="228"/>
        <v>0</v>
      </c>
      <c r="X445">
        <f t="shared" si="229"/>
        <v>0</v>
      </c>
      <c r="Y445">
        <f t="shared" si="230"/>
        <v>0</v>
      </c>
      <c r="Z445">
        <f t="shared" si="231"/>
        <v>0</v>
      </c>
      <c r="AA445">
        <f t="shared" si="232"/>
        <v>0</v>
      </c>
      <c r="AC445">
        <f t="shared" si="233"/>
        <v>1045.25</v>
      </c>
      <c r="AD445">
        <f t="shared" si="234"/>
        <v>0</v>
      </c>
      <c r="AE445">
        <f t="shared" si="235"/>
        <v>0</v>
      </c>
      <c r="AF445">
        <f t="shared" si="236"/>
        <v>0</v>
      </c>
      <c r="AG445">
        <f t="shared" si="237"/>
        <v>0</v>
      </c>
      <c r="AH445">
        <f t="shared" si="238"/>
        <v>0</v>
      </c>
      <c r="AJ445">
        <f t="shared" si="239"/>
        <v>1239.01</v>
      </c>
      <c r="AK445">
        <f t="shared" si="240"/>
        <v>0</v>
      </c>
      <c r="AL445">
        <f t="shared" si="241"/>
        <v>0</v>
      </c>
      <c r="AM445">
        <f t="shared" si="242"/>
        <v>0</v>
      </c>
      <c r="AN445">
        <f t="shared" si="243"/>
        <v>0</v>
      </c>
      <c r="AO445">
        <f t="shared" si="244"/>
        <v>0</v>
      </c>
    </row>
    <row r="446" spans="1:41" x14ac:dyDescent="0.45">
      <c r="A446">
        <v>37.842548440000002</v>
      </c>
      <c r="B446">
        <v>119.969739</v>
      </c>
      <c r="C446">
        <v>60.695182799999998</v>
      </c>
      <c r="D446">
        <v>7.3458380700000001</v>
      </c>
      <c r="E446">
        <f t="shared" si="210"/>
        <v>7.3458380700000001</v>
      </c>
      <c r="F446">
        <f t="shared" si="211"/>
        <v>0</v>
      </c>
      <c r="G446">
        <f t="shared" si="212"/>
        <v>0</v>
      </c>
      <c r="H446">
        <f t="shared" si="213"/>
        <v>0</v>
      </c>
      <c r="I446">
        <f t="shared" si="214"/>
        <v>0</v>
      </c>
      <c r="J446">
        <f t="shared" si="215"/>
        <v>0</v>
      </c>
      <c r="K446" s="1">
        <f t="shared" si="216"/>
        <v>0</v>
      </c>
      <c r="L446" s="1">
        <f t="shared" si="217"/>
        <v>0</v>
      </c>
      <c r="M446" s="1">
        <f t="shared" si="218"/>
        <v>0</v>
      </c>
      <c r="N446" s="1">
        <f t="shared" si="219"/>
        <v>0</v>
      </c>
      <c r="O446" s="1">
        <f t="shared" si="220"/>
        <v>0</v>
      </c>
      <c r="P446" s="1">
        <f t="shared" si="221"/>
        <v>25</v>
      </c>
      <c r="Q446" s="1" t="e">
        <f t="shared" si="222"/>
        <v>#DIV/0!</v>
      </c>
      <c r="R446" s="1" t="e">
        <f t="shared" si="223"/>
        <v>#DIV/0!</v>
      </c>
      <c r="S446" s="1" t="e">
        <f t="shared" si="224"/>
        <v>#DIV/0!</v>
      </c>
      <c r="T446" s="1" t="e">
        <f t="shared" si="225"/>
        <v>#DIV/0!</v>
      </c>
      <c r="U446" s="1" t="e">
        <f t="shared" si="226"/>
        <v>#DIV/0!</v>
      </c>
      <c r="V446">
        <f t="shared" si="227"/>
        <v>851.48</v>
      </c>
      <c r="W446">
        <f t="shared" si="228"/>
        <v>0</v>
      </c>
      <c r="X446">
        <f t="shared" si="229"/>
        <v>0</v>
      </c>
      <c r="Y446">
        <f t="shared" si="230"/>
        <v>0</v>
      </c>
      <c r="Z446">
        <f t="shared" si="231"/>
        <v>0</v>
      </c>
      <c r="AA446">
        <f t="shared" si="232"/>
        <v>0</v>
      </c>
      <c r="AC446">
        <f t="shared" si="233"/>
        <v>1045.25</v>
      </c>
      <c r="AD446">
        <f t="shared" si="234"/>
        <v>0</v>
      </c>
      <c r="AE446">
        <f t="shared" si="235"/>
        <v>0</v>
      </c>
      <c r="AF446">
        <f t="shared" si="236"/>
        <v>0</v>
      </c>
      <c r="AG446">
        <f t="shared" si="237"/>
        <v>0</v>
      </c>
      <c r="AH446">
        <f t="shared" si="238"/>
        <v>0</v>
      </c>
      <c r="AJ446">
        <f t="shared" si="239"/>
        <v>1239.01</v>
      </c>
      <c r="AK446">
        <f t="shared" si="240"/>
        <v>0</v>
      </c>
      <c r="AL446">
        <f t="shared" si="241"/>
        <v>0</v>
      </c>
      <c r="AM446">
        <f t="shared" si="242"/>
        <v>0</v>
      </c>
      <c r="AN446">
        <f t="shared" si="243"/>
        <v>0</v>
      </c>
      <c r="AO446">
        <f t="shared" si="244"/>
        <v>0</v>
      </c>
    </row>
    <row r="447" spans="1:41" x14ac:dyDescent="0.45">
      <c r="A447">
        <v>37.847515489999999</v>
      </c>
      <c r="B447">
        <v>119.0943877</v>
      </c>
      <c r="C447">
        <v>40.0941124</v>
      </c>
      <c r="D447">
        <v>2.2625091099999999</v>
      </c>
      <c r="E447">
        <f t="shared" si="210"/>
        <v>2.2625091099999999</v>
      </c>
      <c r="F447">
        <f t="shared" si="211"/>
        <v>0</v>
      </c>
      <c r="G447">
        <f t="shared" si="212"/>
        <v>0</v>
      </c>
      <c r="H447">
        <f t="shared" si="213"/>
        <v>0</v>
      </c>
      <c r="I447">
        <f t="shared" si="214"/>
        <v>0</v>
      </c>
      <c r="J447">
        <f t="shared" si="215"/>
        <v>0</v>
      </c>
      <c r="K447" s="1">
        <f t="shared" si="216"/>
        <v>0</v>
      </c>
      <c r="L447" s="1">
        <f t="shared" si="217"/>
        <v>0</v>
      </c>
      <c r="M447" s="1">
        <f t="shared" si="218"/>
        <v>0</v>
      </c>
      <c r="N447" s="1">
        <f t="shared" si="219"/>
        <v>0</v>
      </c>
      <c r="O447" s="1">
        <f t="shared" si="220"/>
        <v>0</v>
      </c>
      <c r="P447" s="1">
        <f t="shared" si="221"/>
        <v>25</v>
      </c>
      <c r="Q447" s="1" t="e">
        <f t="shared" si="222"/>
        <v>#DIV/0!</v>
      </c>
      <c r="R447" s="1" t="e">
        <f t="shared" si="223"/>
        <v>#DIV/0!</v>
      </c>
      <c r="S447" s="1" t="e">
        <f t="shared" si="224"/>
        <v>#DIV/0!</v>
      </c>
      <c r="T447" s="1" t="e">
        <f t="shared" si="225"/>
        <v>#DIV/0!</v>
      </c>
      <c r="U447" s="1" t="e">
        <f t="shared" si="226"/>
        <v>#DIV/0!</v>
      </c>
      <c r="V447">
        <f t="shared" si="227"/>
        <v>851.48</v>
      </c>
      <c r="W447">
        <f t="shared" si="228"/>
        <v>0</v>
      </c>
      <c r="X447">
        <f t="shared" si="229"/>
        <v>0</v>
      </c>
      <c r="Y447">
        <f t="shared" si="230"/>
        <v>0</v>
      </c>
      <c r="Z447">
        <f t="shared" si="231"/>
        <v>0</v>
      </c>
      <c r="AA447">
        <f t="shared" si="232"/>
        <v>0</v>
      </c>
      <c r="AC447">
        <f t="shared" si="233"/>
        <v>1045.25</v>
      </c>
      <c r="AD447">
        <f t="shared" si="234"/>
        <v>0</v>
      </c>
      <c r="AE447">
        <f t="shared" si="235"/>
        <v>0</v>
      </c>
      <c r="AF447">
        <f t="shared" si="236"/>
        <v>0</v>
      </c>
      <c r="AG447">
        <f t="shared" si="237"/>
        <v>0</v>
      </c>
      <c r="AH447">
        <f t="shared" si="238"/>
        <v>0</v>
      </c>
      <c r="AJ447">
        <f t="shared" si="239"/>
        <v>1239.01</v>
      </c>
      <c r="AK447">
        <f t="shared" si="240"/>
        <v>0</v>
      </c>
      <c r="AL447">
        <f t="shared" si="241"/>
        <v>0</v>
      </c>
      <c r="AM447">
        <f t="shared" si="242"/>
        <v>0</v>
      </c>
      <c r="AN447">
        <f t="shared" si="243"/>
        <v>0</v>
      </c>
      <c r="AO447">
        <f t="shared" si="244"/>
        <v>0</v>
      </c>
    </row>
    <row r="448" spans="1:41" x14ac:dyDescent="0.45">
      <c r="A448">
        <v>37.849006619999997</v>
      </c>
      <c r="B448">
        <v>119.5034347</v>
      </c>
      <c r="C448">
        <v>15.833525659999999</v>
      </c>
      <c r="D448">
        <v>3.028934</v>
      </c>
      <c r="E448">
        <f t="shared" si="210"/>
        <v>3.028934</v>
      </c>
      <c r="F448">
        <f t="shared" si="211"/>
        <v>0</v>
      </c>
      <c r="G448">
        <f t="shared" si="212"/>
        <v>0</v>
      </c>
      <c r="H448">
        <f t="shared" si="213"/>
        <v>0</v>
      </c>
      <c r="I448">
        <f t="shared" si="214"/>
        <v>0</v>
      </c>
      <c r="J448">
        <f t="shared" si="215"/>
        <v>0</v>
      </c>
      <c r="K448" s="1">
        <f t="shared" si="216"/>
        <v>0</v>
      </c>
      <c r="L448" s="1">
        <f t="shared" si="217"/>
        <v>0</v>
      </c>
      <c r="M448" s="1">
        <f t="shared" si="218"/>
        <v>0</v>
      </c>
      <c r="N448" s="1">
        <f t="shared" si="219"/>
        <v>0</v>
      </c>
      <c r="O448" s="1">
        <f t="shared" si="220"/>
        <v>0</v>
      </c>
      <c r="P448" s="1">
        <f t="shared" si="221"/>
        <v>25</v>
      </c>
      <c r="Q448" s="1" t="e">
        <f t="shared" si="222"/>
        <v>#DIV/0!</v>
      </c>
      <c r="R448" s="1" t="e">
        <f t="shared" si="223"/>
        <v>#DIV/0!</v>
      </c>
      <c r="S448" s="1" t="e">
        <f t="shared" si="224"/>
        <v>#DIV/0!</v>
      </c>
      <c r="T448" s="1" t="e">
        <f t="shared" si="225"/>
        <v>#DIV/0!</v>
      </c>
      <c r="U448" s="1" t="e">
        <f t="shared" si="226"/>
        <v>#DIV/0!</v>
      </c>
      <c r="V448">
        <f t="shared" si="227"/>
        <v>851.48</v>
      </c>
      <c r="W448">
        <f t="shared" si="228"/>
        <v>0</v>
      </c>
      <c r="X448">
        <f t="shared" si="229"/>
        <v>0</v>
      </c>
      <c r="Y448">
        <f t="shared" si="230"/>
        <v>0</v>
      </c>
      <c r="Z448">
        <f t="shared" si="231"/>
        <v>0</v>
      </c>
      <c r="AA448">
        <f t="shared" si="232"/>
        <v>0</v>
      </c>
      <c r="AC448">
        <f t="shared" si="233"/>
        <v>1045.25</v>
      </c>
      <c r="AD448">
        <f t="shared" si="234"/>
        <v>0</v>
      </c>
      <c r="AE448">
        <f t="shared" si="235"/>
        <v>0</v>
      </c>
      <c r="AF448">
        <f t="shared" si="236"/>
        <v>0</v>
      </c>
      <c r="AG448">
        <f t="shared" si="237"/>
        <v>0</v>
      </c>
      <c r="AH448">
        <f t="shared" si="238"/>
        <v>0</v>
      </c>
      <c r="AJ448">
        <f t="shared" si="239"/>
        <v>1239.01</v>
      </c>
      <c r="AK448">
        <f t="shared" si="240"/>
        <v>0</v>
      </c>
      <c r="AL448">
        <f t="shared" si="241"/>
        <v>0</v>
      </c>
      <c r="AM448">
        <f t="shared" si="242"/>
        <v>0</v>
      </c>
      <c r="AN448">
        <f t="shared" si="243"/>
        <v>0</v>
      </c>
      <c r="AO448">
        <f t="shared" si="244"/>
        <v>0</v>
      </c>
    </row>
    <row r="449" spans="1:41" x14ac:dyDescent="0.45">
      <c r="A449">
        <v>37.856581570000003</v>
      </c>
      <c r="B449">
        <v>118.570645</v>
      </c>
      <c r="C449">
        <v>43.008232120000002</v>
      </c>
      <c r="D449">
        <v>1.9290929999999999</v>
      </c>
      <c r="E449">
        <f t="shared" si="210"/>
        <v>1.9290929999999999</v>
      </c>
      <c r="F449">
        <f t="shared" si="211"/>
        <v>0</v>
      </c>
      <c r="G449">
        <f t="shared" si="212"/>
        <v>0</v>
      </c>
      <c r="H449">
        <f t="shared" si="213"/>
        <v>0</v>
      </c>
      <c r="I449">
        <f t="shared" si="214"/>
        <v>0</v>
      </c>
      <c r="J449">
        <f t="shared" si="215"/>
        <v>0</v>
      </c>
      <c r="K449" s="1">
        <f t="shared" si="216"/>
        <v>0</v>
      </c>
      <c r="L449" s="1">
        <f t="shared" si="217"/>
        <v>0</v>
      </c>
      <c r="M449" s="1">
        <f t="shared" si="218"/>
        <v>0</v>
      </c>
      <c r="N449" s="1">
        <f t="shared" si="219"/>
        <v>0</v>
      </c>
      <c r="O449" s="1">
        <f t="shared" si="220"/>
        <v>0</v>
      </c>
      <c r="P449" s="1">
        <f t="shared" si="221"/>
        <v>25</v>
      </c>
      <c r="Q449" s="1" t="e">
        <f t="shared" si="222"/>
        <v>#DIV/0!</v>
      </c>
      <c r="R449" s="1" t="e">
        <f t="shared" si="223"/>
        <v>#DIV/0!</v>
      </c>
      <c r="S449" s="1" t="e">
        <f t="shared" si="224"/>
        <v>#DIV/0!</v>
      </c>
      <c r="T449" s="1" t="e">
        <f t="shared" si="225"/>
        <v>#DIV/0!</v>
      </c>
      <c r="U449" s="1" t="e">
        <f t="shared" si="226"/>
        <v>#DIV/0!</v>
      </c>
      <c r="V449">
        <f t="shared" si="227"/>
        <v>851.48</v>
      </c>
      <c r="W449">
        <f t="shared" si="228"/>
        <v>0</v>
      </c>
      <c r="X449">
        <f t="shared" si="229"/>
        <v>0</v>
      </c>
      <c r="Y449">
        <f t="shared" si="230"/>
        <v>0</v>
      </c>
      <c r="Z449">
        <f t="shared" si="231"/>
        <v>0</v>
      </c>
      <c r="AA449">
        <f t="shared" si="232"/>
        <v>0</v>
      </c>
      <c r="AC449">
        <f t="shared" si="233"/>
        <v>1045.25</v>
      </c>
      <c r="AD449">
        <f t="shared" si="234"/>
        <v>0</v>
      </c>
      <c r="AE449">
        <f t="shared" si="235"/>
        <v>0</v>
      </c>
      <c r="AF449">
        <f t="shared" si="236"/>
        <v>0</v>
      </c>
      <c r="AG449">
        <f t="shared" si="237"/>
        <v>0</v>
      </c>
      <c r="AH449">
        <f t="shared" si="238"/>
        <v>0</v>
      </c>
      <c r="AJ449">
        <f t="shared" si="239"/>
        <v>1239.01</v>
      </c>
      <c r="AK449">
        <f t="shared" si="240"/>
        <v>0</v>
      </c>
      <c r="AL449">
        <f t="shared" si="241"/>
        <v>0</v>
      </c>
      <c r="AM449">
        <f t="shared" si="242"/>
        <v>0</v>
      </c>
      <c r="AN449">
        <f t="shared" si="243"/>
        <v>0</v>
      </c>
      <c r="AO449">
        <f t="shared" si="244"/>
        <v>0</v>
      </c>
    </row>
    <row r="450" spans="1:41" x14ac:dyDescent="0.45">
      <c r="A450">
        <v>37.857139789999998</v>
      </c>
      <c r="B450">
        <v>114.90312830000001</v>
      </c>
      <c r="C450">
        <v>5.4292302100000001</v>
      </c>
      <c r="D450">
        <v>0.13498599999999999</v>
      </c>
      <c r="E450">
        <f t="shared" si="210"/>
        <v>0.13498599999999999</v>
      </c>
      <c r="F450">
        <f t="shared" si="211"/>
        <v>0</v>
      </c>
      <c r="G450">
        <f t="shared" si="212"/>
        <v>0</v>
      </c>
      <c r="H450">
        <f t="shared" si="213"/>
        <v>0</v>
      </c>
      <c r="I450">
        <f t="shared" si="214"/>
        <v>0</v>
      </c>
      <c r="J450">
        <f t="shared" si="215"/>
        <v>0</v>
      </c>
      <c r="K450" s="1">
        <f t="shared" si="216"/>
        <v>0</v>
      </c>
      <c r="L450" s="1">
        <f t="shared" si="217"/>
        <v>0</v>
      </c>
      <c r="M450" s="1">
        <f t="shared" si="218"/>
        <v>0</v>
      </c>
      <c r="N450" s="1">
        <f t="shared" si="219"/>
        <v>0</v>
      </c>
      <c r="O450" s="1">
        <f t="shared" si="220"/>
        <v>0</v>
      </c>
      <c r="P450" s="1">
        <f t="shared" si="221"/>
        <v>25</v>
      </c>
      <c r="Q450" s="1" t="e">
        <f t="shared" si="222"/>
        <v>#DIV/0!</v>
      </c>
      <c r="R450" s="1" t="e">
        <f t="shared" si="223"/>
        <v>#DIV/0!</v>
      </c>
      <c r="S450" s="1" t="e">
        <f t="shared" si="224"/>
        <v>#DIV/0!</v>
      </c>
      <c r="T450" s="1" t="e">
        <f t="shared" si="225"/>
        <v>#DIV/0!</v>
      </c>
      <c r="U450" s="1" t="e">
        <f t="shared" si="226"/>
        <v>#DIV/0!</v>
      </c>
      <c r="V450">
        <f t="shared" si="227"/>
        <v>851.48</v>
      </c>
      <c r="W450">
        <f t="shared" si="228"/>
        <v>0</v>
      </c>
      <c r="X450">
        <f t="shared" si="229"/>
        <v>0</v>
      </c>
      <c r="Y450">
        <f t="shared" si="230"/>
        <v>0</v>
      </c>
      <c r="Z450">
        <f t="shared" si="231"/>
        <v>0</v>
      </c>
      <c r="AA450">
        <f t="shared" si="232"/>
        <v>0</v>
      </c>
      <c r="AC450">
        <f t="shared" si="233"/>
        <v>1045.25</v>
      </c>
      <c r="AD450">
        <f t="shared" si="234"/>
        <v>0</v>
      </c>
      <c r="AE450">
        <f t="shared" si="235"/>
        <v>0</v>
      </c>
      <c r="AF450">
        <f t="shared" si="236"/>
        <v>0</v>
      </c>
      <c r="AG450">
        <f t="shared" si="237"/>
        <v>0</v>
      </c>
      <c r="AH450">
        <f t="shared" si="238"/>
        <v>0</v>
      </c>
      <c r="AJ450">
        <f t="shared" si="239"/>
        <v>1239.01</v>
      </c>
      <c r="AK450">
        <f t="shared" si="240"/>
        <v>0</v>
      </c>
      <c r="AL450">
        <f t="shared" si="241"/>
        <v>0</v>
      </c>
      <c r="AM450">
        <f t="shared" si="242"/>
        <v>0</v>
      </c>
      <c r="AN450">
        <f t="shared" si="243"/>
        <v>0</v>
      </c>
      <c r="AO450">
        <f t="shared" si="244"/>
        <v>0</v>
      </c>
    </row>
    <row r="451" spans="1:41" x14ac:dyDescent="0.45">
      <c r="A451">
        <v>37.865941540000001</v>
      </c>
      <c r="B451">
        <v>118.92238570000001</v>
      </c>
      <c r="C451">
        <v>43.008232120000002</v>
      </c>
      <c r="D451">
        <v>1.5617549399999999</v>
      </c>
      <c r="E451">
        <f t="shared" ref="E451:E514" si="245">MIN(C451,D451)</f>
        <v>1.5617549399999999</v>
      </c>
      <c r="F451">
        <f t="shared" ref="F451:F514" si="246">MAX(0,(D451-(C451*(2030-2025))))</f>
        <v>0</v>
      </c>
      <c r="G451">
        <f t="shared" ref="G451:G514" si="247">MAX(0,(D451-(C451*(2035-2025))))</f>
        <v>0</v>
      </c>
      <c r="H451">
        <f t="shared" ref="H451:H514" si="248">MAX(0,(D451-(C451*(2040-2025))))</f>
        <v>0</v>
      </c>
      <c r="I451">
        <f t="shared" ref="I451:I514" si="249">MAX(0,(D451-(C451*(2045-2025))))</f>
        <v>0</v>
      </c>
      <c r="J451">
        <f t="shared" ref="J451:J514" si="250">MAX(0,(D451-(C451*(2050-2025))))</f>
        <v>0</v>
      </c>
      <c r="K451" s="1">
        <f t="shared" ref="K451:K514" si="251">MIN(E451,F451)</f>
        <v>0</v>
      </c>
      <c r="L451" s="1">
        <f t="shared" ref="L451:L514" si="252">MIN(E451,G451)</f>
        <v>0</v>
      </c>
      <c r="M451" s="1">
        <f t="shared" ref="M451:M514" si="253">MIN(E451,H451)</f>
        <v>0</v>
      </c>
      <c r="N451" s="1">
        <f t="shared" ref="N451:N514" si="254">MIN(E451,I451)</f>
        <v>0</v>
      </c>
      <c r="O451" s="1">
        <f t="shared" ref="O451:O514" si="255">MIN(E451,J451)</f>
        <v>0</v>
      </c>
      <c r="P451" s="1">
        <f t="shared" ref="P451:P514" si="256">MAX(1,((25*E451)/D451))</f>
        <v>25</v>
      </c>
      <c r="Q451" s="1" t="e">
        <f t="shared" ref="Q451:Q514" si="257">MAX(1, ((25*K451)/F451))</f>
        <v>#DIV/0!</v>
      </c>
      <c r="R451" s="1" t="e">
        <f t="shared" ref="R451:R514" si="258">MAX(1, ((25*L451)/G451))</f>
        <v>#DIV/0!</v>
      </c>
      <c r="S451" s="1" t="e">
        <f t="shared" ref="S451:S514" si="259">MAX(1, ((25*M451)/H451))</f>
        <v>#DIV/0!</v>
      </c>
      <c r="T451" s="1" t="e">
        <f t="shared" ref="T451:T514" si="260">MAX(1, ((25*N451)/I451))</f>
        <v>#DIV/0!</v>
      </c>
      <c r="U451" s="1" t="e">
        <f t="shared" ref="U451:U514" si="261">MAX(1, ((25*O451)/J451))</f>
        <v>#DIV/0!</v>
      </c>
      <c r="V451">
        <f t="shared" ref="V451:V514" si="262">(32.02+6.96+(0.13*250*P451))</f>
        <v>851.48</v>
      </c>
      <c r="W451">
        <f t="shared" ref="W451:W514" si="263">IF(F451&gt;0,(32.72+6.27+(0.15*250*Q451)),F451)</f>
        <v>0</v>
      </c>
      <c r="X451">
        <f t="shared" ref="X451:X514" si="264">IF(G451&gt;0,(22.27+4.87+(0.1*250*S451)),G451)</f>
        <v>0</v>
      </c>
      <c r="Y451">
        <f t="shared" ref="Y451:Y514" si="265">IF(H451&gt;0,(13.92+4.18+(0.08*250*S451)),H451)</f>
        <v>0</v>
      </c>
      <c r="Z451">
        <f t="shared" ref="Z451:Z514" si="266">IF(I451&gt;0,(11.14+3.48+(0.07*250*T451)),I451)</f>
        <v>0</v>
      </c>
      <c r="AA451">
        <f t="shared" ref="AA451:AA514" si="267">IF(J451&gt;0,(9.75+2.78+(0.07*250*U451)),J451)</f>
        <v>0</v>
      </c>
      <c r="AC451">
        <f t="shared" ref="AC451:AC514" si="268">IF(D451&gt;0,(37.59+7.66+(0.16*250*P451)),D451)</f>
        <v>1045.25</v>
      </c>
      <c r="AD451">
        <f t="shared" ref="AD451:AD514" si="269">IF(F451&gt;0,(32.72+6.27+(0.15*250*Q451)),F451)</f>
        <v>0</v>
      </c>
      <c r="AE451">
        <f t="shared" ref="AE451:AE514" si="270">IF(G451&gt;0,(26.45+5.22+(0.13*250*R451)),G451)</f>
        <v>0</v>
      </c>
      <c r="AF451">
        <f t="shared" ref="AF451:AF514" si="271">IF(H451&gt;0,(15.31+4.53+(0.12*250*S451)),H451)</f>
        <v>0</v>
      </c>
      <c r="AG451">
        <f t="shared" ref="AG451:AG514" si="272">IF(I451&gt;0,(16.01+3.83+(0.11*250+T451)),I451)</f>
        <v>0</v>
      </c>
      <c r="AH451">
        <f t="shared" ref="AH451:AH514" si="273">IF(J451,(13.23+3.13+(0.1*250*U451)),J451)</f>
        <v>0</v>
      </c>
      <c r="AJ451">
        <f t="shared" ref="AJ451:AJ514" si="274">(43.16+8.35+(0.19*250*P451))</f>
        <v>1239.01</v>
      </c>
      <c r="AK451">
        <f t="shared" ref="AK451:AK514" si="275">IF(F451&gt;0,(38.98+6.96+(0.18*250*Q451)),F451)</f>
        <v>0</v>
      </c>
      <c r="AL451">
        <f t="shared" ref="AL451:AL514" si="276">IF(G451&gt;0,(30.63+5.57+(0.17*250*R451)),G451)</f>
        <v>0</v>
      </c>
      <c r="AM451">
        <f t="shared" ref="AM451:AM514" si="277">IF(H451&gt;0,(25.06+4.87+(0.15*250*S451)),H451)</f>
        <v>0</v>
      </c>
      <c r="AN451">
        <f t="shared" ref="AN451:AN514" si="278">IF(I451&gt;0,(20.88+4.18+(0.15*250*T451)),I451)</f>
        <v>0</v>
      </c>
      <c r="AO451">
        <f t="shared" ref="AO451:AO514" si="279">IF(J451,(16.71+3.48+(0.14*250*U451)),J451)</f>
        <v>0</v>
      </c>
    </row>
    <row r="452" spans="1:41" x14ac:dyDescent="0.45">
      <c r="A452">
        <v>37.87705038</v>
      </c>
      <c r="B452">
        <v>115.2541966</v>
      </c>
      <c r="C452">
        <v>10.663947110000001</v>
      </c>
      <c r="D452">
        <v>0.21548999999999999</v>
      </c>
      <c r="E452">
        <f t="shared" si="245"/>
        <v>0.21548999999999999</v>
      </c>
      <c r="F452">
        <f t="shared" si="246"/>
        <v>0</v>
      </c>
      <c r="G452">
        <f t="shared" si="247"/>
        <v>0</v>
      </c>
      <c r="H452">
        <f t="shared" si="248"/>
        <v>0</v>
      </c>
      <c r="I452">
        <f t="shared" si="249"/>
        <v>0</v>
      </c>
      <c r="J452">
        <f t="shared" si="250"/>
        <v>0</v>
      </c>
      <c r="K452" s="1">
        <f t="shared" si="251"/>
        <v>0</v>
      </c>
      <c r="L452" s="1">
        <f t="shared" si="252"/>
        <v>0</v>
      </c>
      <c r="M452" s="1">
        <f t="shared" si="253"/>
        <v>0</v>
      </c>
      <c r="N452" s="1">
        <f t="shared" si="254"/>
        <v>0</v>
      </c>
      <c r="O452" s="1">
        <f t="shared" si="255"/>
        <v>0</v>
      </c>
      <c r="P452" s="1">
        <f t="shared" si="256"/>
        <v>25</v>
      </c>
      <c r="Q452" s="1" t="e">
        <f t="shared" si="257"/>
        <v>#DIV/0!</v>
      </c>
      <c r="R452" s="1" t="e">
        <f t="shared" si="258"/>
        <v>#DIV/0!</v>
      </c>
      <c r="S452" s="1" t="e">
        <f t="shared" si="259"/>
        <v>#DIV/0!</v>
      </c>
      <c r="T452" s="1" t="e">
        <f t="shared" si="260"/>
        <v>#DIV/0!</v>
      </c>
      <c r="U452" s="1" t="e">
        <f t="shared" si="261"/>
        <v>#DIV/0!</v>
      </c>
      <c r="V452">
        <f t="shared" si="262"/>
        <v>851.48</v>
      </c>
      <c r="W452">
        <f t="shared" si="263"/>
        <v>0</v>
      </c>
      <c r="X452">
        <f t="shared" si="264"/>
        <v>0</v>
      </c>
      <c r="Y452">
        <f t="shared" si="265"/>
        <v>0</v>
      </c>
      <c r="Z452">
        <f t="shared" si="266"/>
        <v>0</v>
      </c>
      <c r="AA452">
        <f t="shared" si="267"/>
        <v>0</v>
      </c>
      <c r="AC452">
        <f t="shared" si="268"/>
        <v>1045.25</v>
      </c>
      <c r="AD452">
        <f t="shared" si="269"/>
        <v>0</v>
      </c>
      <c r="AE452">
        <f t="shared" si="270"/>
        <v>0</v>
      </c>
      <c r="AF452">
        <f t="shared" si="271"/>
        <v>0</v>
      </c>
      <c r="AG452">
        <f t="shared" si="272"/>
        <v>0</v>
      </c>
      <c r="AH452">
        <f t="shared" si="273"/>
        <v>0</v>
      </c>
      <c r="AJ452">
        <f t="shared" si="274"/>
        <v>1239.01</v>
      </c>
      <c r="AK452">
        <f t="shared" si="275"/>
        <v>0</v>
      </c>
      <c r="AL452">
        <f t="shared" si="276"/>
        <v>0</v>
      </c>
      <c r="AM452">
        <f t="shared" si="277"/>
        <v>0</v>
      </c>
      <c r="AN452">
        <f t="shared" si="278"/>
        <v>0</v>
      </c>
      <c r="AO452">
        <f t="shared" si="279"/>
        <v>0</v>
      </c>
    </row>
    <row r="453" spans="1:41" x14ac:dyDescent="0.45">
      <c r="A453">
        <v>37.884125109999999</v>
      </c>
      <c r="B453">
        <v>118.7503018</v>
      </c>
      <c r="C453">
        <v>43.008232120000002</v>
      </c>
      <c r="D453">
        <v>66.016807560000004</v>
      </c>
      <c r="E453">
        <f t="shared" si="245"/>
        <v>43.008232120000002</v>
      </c>
      <c r="F453">
        <f t="shared" si="246"/>
        <v>0</v>
      </c>
      <c r="G453">
        <f t="shared" si="247"/>
        <v>0</v>
      </c>
      <c r="H453">
        <f t="shared" si="248"/>
        <v>0</v>
      </c>
      <c r="I453">
        <f t="shared" si="249"/>
        <v>0</v>
      </c>
      <c r="J453">
        <f t="shared" si="250"/>
        <v>0</v>
      </c>
      <c r="K453" s="1">
        <f t="shared" si="251"/>
        <v>0</v>
      </c>
      <c r="L453" s="1">
        <f t="shared" si="252"/>
        <v>0</v>
      </c>
      <c r="M453" s="1">
        <f t="shared" si="253"/>
        <v>0</v>
      </c>
      <c r="N453" s="1">
        <f t="shared" si="254"/>
        <v>0</v>
      </c>
      <c r="O453" s="1">
        <f t="shared" si="255"/>
        <v>0</v>
      </c>
      <c r="P453" s="1">
        <f t="shared" si="256"/>
        <v>16.286849406081764</v>
      </c>
      <c r="Q453" s="1" t="e">
        <f t="shared" si="257"/>
        <v>#DIV/0!</v>
      </c>
      <c r="R453" s="1" t="e">
        <f t="shared" si="258"/>
        <v>#DIV/0!</v>
      </c>
      <c r="S453" s="1" t="e">
        <f t="shared" si="259"/>
        <v>#DIV/0!</v>
      </c>
      <c r="T453" s="1" t="e">
        <f t="shared" si="260"/>
        <v>#DIV/0!</v>
      </c>
      <c r="U453" s="1" t="e">
        <f t="shared" si="261"/>
        <v>#DIV/0!</v>
      </c>
      <c r="V453">
        <f t="shared" si="262"/>
        <v>568.30260569765733</v>
      </c>
      <c r="W453">
        <f t="shared" si="263"/>
        <v>0</v>
      </c>
      <c r="X453">
        <f t="shared" si="264"/>
        <v>0</v>
      </c>
      <c r="Y453">
        <f t="shared" si="265"/>
        <v>0</v>
      </c>
      <c r="Z453">
        <f t="shared" si="266"/>
        <v>0</v>
      </c>
      <c r="AA453">
        <f t="shared" si="267"/>
        <v>0</v>
      </c>
      <c r="AC453">
        <f t="shared" si="268"/>
        <v>696.7239762432705</v>
      </c>
      <c r="AD453">
        <f t="shared" si="269"/>
        <v>0</v>
      </c>
      <c r="AE453">
        <f t="shared" si="270"/>
        <v>0</v>
      </c>
      <c r="AF453">
        <f t="shared" si="271"/>
        <v>0</v>
      </c>
      <c r="AG453">
        <f t="shared" si="272"/>
        <v>0</v>
      </c>
      <c r="AH453">
        <f t="shared" si="273"/>
        <v>0</v>
      </c>
      <c r="AJ453">
        <f t="shared" si="274"/>
        <v>825.13534678888379</v>
      </c>
      <c r="AK453">
        <f t="shared" si="275"/>
        <v>0</v>
      </c>
      <c r="AL453">
        <f t="shared" si="276"/>
        <v>0</v>
      </c>
      <c r="AM453">
        <f t="shared" si="277"/>
        <v>0</v>
      </c>
      <c r="AN453">
        <f t="shared" si="278"/>
        <v>0</v>
      </c>
      <c r="AO453">
        <f t="shared" si="279"/>
        <v>0</v>
      </c>
    </row>
    <row r="454" spans="1:41" x14ac:dyDescent="0.45">
      <c r="A454">
        <v>37.885947280000003</v>
      </c>
      <c r="B454">
        <v>117.8170741</v>
      </c>
      <c r="C454">
        <v>0</v>
      </c>
      <c r="D454">
        <v>2.24981594</v>
      </c>
      <c r="E454">
        <f t="shared" si="245"/>
        <v>0</v>
      </c>
      <c r="F454">
        <f t="shared" si="246"/>
        <v>2.24981594</v>
      </c>
      <c r="G454">
        <f t="shared" si="247"/>
        <v>2.24981594</v>
      </c>
      <c r="H454">
        <f t="shared" si="248"/>
        <v>2.24981594</v>
      </c>
      <c r="I454">
        <f t="shared" si="249"/>
        <v>2.24981594</v>
      </c>
      <c r="J454">
        <f t="shared" si="250"/>
        <v>2.24981594</v>
      </c>
      <c r="K454" s="1">
        <f t="shared" si="251"/>
        <v>0</v>
      </c>
      <c r="L454" s="1">
        <f t="shared" si="252"/>
        <v>0</v>
      </c>
      <c r="M454" s="1">
        <f t="shared" si="253"/>
        <v>0</v>
      </c>
      <c r="N454" s="1">
        <f t="shared" si="254"/>
        <v>0</v>
      </c>
      <c r="O454" s="1">
        <f t="shared" si="255"/>
        <v>0</v>
      </c>
      <c r="P454" s="1">
        <f t="shared" si="256"/>
        <v>1</v>
      </c>
      <c r="Q454" s="1">
        <f t="shared" si="257"/>
        <v>1</v>
      </c>
      <c r="R454" s="1">
        <f t="shared" si="258"/>
        <v>1</v>
      </c>
      <c r="S454" s="1">
        <f t="shared" si="259"/>
        <v>1</v>
      </c>
      <c r="T454" s="1">
        <f t="shared" si="260"/>
        <v>1</v>
      </c>
      <c r="U454" s="1">
        <f t="shared" si="261"/>
        <v>1</v>
      </c>
      <c r="V454">
        <f t="shared" si="262"/>
        <v>71.48</v>
      </c>
      <c r="W454">
        <f t="shared" si="263"/>
        <v>76.489999999999995</v>
      </c>
      <c r="X454">
        <f t="shared" si="264"/>
        <v>52.14</v>
      </c>
      <c r="Y454">
        <f t="shared" si="265"/>
        <v>38.1</v>
      </c>
      <c r="Z454">
        <f t="shared" si="266"/>
        <v>32.120000000000005</v>
      </c>
      <c r="AA454">
        <f t="shared" si="267"/>
        <v>30.03</v>
      </c>
      <c r="AC454">
        <f t="shared" si="268"/>
        <v>85.25</v>
      </c>
      <c r="AD454">
        <f t="shared" si="269"/>
        <v>76.489999999999995</v>
      </c>
      <c r="AE454">
        <f t="shared" si="270"/>
        <v>64.17</v>
      </c>
      <c r="AF454">
        <f t="shared" si="271"/>
        <v>49.84</v>
      </c>
      <c r="AG454">
        <f t="shared" si="272"/>
        <v>48.34</v>
      </c>
      <c r="AH454">
        <f t="shared" si="273"/>
        <v>41.36</v>
      </c>
      <c r="AJ454">
        <f t="shared" si="274"/>
        <v>99.009999999999991</v>
      </c>
      <c r="AK454">
        <f t="shared" si="275"/>
        <v>90.94</v>
      </c>
      <c r="AL454">
        <f t="shared" si="276"/>
        <v>78.7</v>
      </c>
      <c r="AM454">
        <f t="shared" si="277"/>
        <v>67.430000000000007</v>
      </c>
      <c r="AN454">
        <f t="shared" si="278"/>
        <v>62.56</v>
      </c>
      <c r="AO454">
        <f t="shared" si="279"/>
        <v>55.19</v>
      </c>
    </row>
    <row r="455" spans="1:41" x14ac:dyDescent="0.45">
      <c r="A455">
        <v>37.89296023</v>
      </c>
      <c r="B455">
        <v>91.280076750000006</v>
      </c>
      <c r="C455">
        <v>20.624670030000001</v>
      </c>
      <c r="D455">
        <v>4.7342062</v>
      </c>
      <c r="E455">
        <f t="shared" si="245"/>
        <v>4.7342062</v>
      </c>
      <c r="F455">
        <f t="shared" si="246"/>
        <v>0</v>
      </c>
      <c r="G455">
        <f t="shared" si="247"/>
        <v>0</v>
      </c>
      <c r="H455">
        <f t="shared" si="248"/>
        <v>0</v>
      </c>
      <c r="I455">
        <f t="shared" si="249"/>
        <v>0</v>
      </c>
      <c r="J455">
        <f t="shared" si="250"/>
        <v>0</v>
      </c>
      <c r="K455" s="1">
        <f t="shared" si="251"/>
        <v>0</v>
      </c>
      <c r="L455" s="1">
        <f t="shared" si="252"/>
        <v>0</v>
      </c>
      <c r="M455" s="1">
        <f t="shared" si="253"/>
        <v>0</v>
      </c>
      <c r="N455" s="1">
        <f t="shared" si="254"/>
        <v>0</v>
      </c>
      <c r="O455" s="1">
        <f t="shared" si="255"/>
        <v>0</v>
      </c>
      <c r="P455" s="1">
        <f t="shared" si="256"/>
        <v>25</v>
      </c>
      <c r="Q455" s="1" t="e">
        <f t="shared" si="257"/>
        <v>#DIV/0!</v>
      </c>
      <c r="R455" s="1" t="e">
        <f t="shared" si="258"/>
        <v>#DIV/0!</v>
      </c>
      <c r="S455" s="1" t="e">
        <f t="shared" si="259"/>
        <v>#DIV/0!</v>
      </c>
      <c r="T455" s="1" t="e">
        <f t="shared" si="260"/>
        <v>#DIV/0!</v>
      </c>
      <c r="U455" s="1" t="e">
        <f t="shared" si="261"/>
        <v>#DIV/0!</v>
      </c>
      <c r="V455">
        <f t="shared" si="262"/>
        <v>851.48</v>
      </c>
      <c r="W455">
        <f t="shared" si="263"/>
        <v>0</v>
      </c>
      <c r="X455">
        <f t="shared" si="264"/>
        <v>0</v>
      </c>
      <c r="Y455">
        <f t="shared" si="265"/>
        <v>0</v>
      </c>
      <c r="Z455">
        <f t="shared" si="266"/>
        <v>0</v>
      </c>
      <c r="AA455">
        <f t="shared" si="267"/>
        <v>0</v>
      </c>
      <c r="AC455">
        <f t="shared" si="268"/>
        <v>1045.25</v>
      </c>
      <c r="AD455">
        <f t="shared" si="269"/>
        <v>0</v>
      </c>
      <c r="AE455">
        <f t="shared" si="270"/>
        <v>0</v>
      </c>
      <c r="AF455">
        <f t="shared" si="271"/>
        <v>0</v>
      </c>
      <c r="AG455">
        <f t="shared" si="272"/>
        <v>0</v>
      </c>
      <c r="AH455">
        <f t="shared" si="273"/>
        <v>0</v>
      </c>
      <c r="AJ455">
        <f t="shared" si="274"/>
        <v>1239.01</v>
      </c>
      <c r="AK455">
        <f t="shared" si="275"/>
        <v>0</v>
      </c>
      <c r="AL455">
        <f t="shared" si="276"/>
        <v>0</v>
      </c>
      <c r="AM455">
        <f t="shared" si="277"/>
        <v>0</v>
      </c>
      <c r="AN455">
        <f t="shared" si="278"/>
        <v>0</v>
      </c>
      <c r="AO455">
        <f t="shared" si="279"/>
        <v>0</v>
      </c>
    </row>
    <row r="456" spans="1:41" x14ac:dyDescent="0.45">
      <c r="A456">
        <v>37.89296745</v>
      </c>
      <c r="B456">
        <v>119.10218879999999</v>
      </c>
      <c r="C456">
        <v>12.942860599999999</v>
      </c>
      <c r="D456">
        <v>181.1973419</v>
      </c>
      <c r="E456">
        <f t="shared" si="245"/>
        <v>12.942860599999999</v>
      </c>
      <c r="F456">
        <f t="shared" si="246"/>
        <v>116.4830389</v>
      </c>
      <c r="G456">
        <f t="shared" si="247"/>
        <v>51.768735899999996</v>
      </c>
      <c r="H456">
        <f t="shared" si="248"/>
        <v>0</v>
      </c>
      <c r="I456">
        <f t="shared" si="249"/>
        <v>0</v>
      </c>
      <c r="J456">
        <f t="shared" si="250"/>
        <v>0</v>
      </c>
      <c r="K456" s="1">
        <f t="shared" si="251"/>
        <v>12.942860599999999</v>
      </c>
      <c r="L456" s="1">
        <f t="shared" si="252"/>
        <v>12.942860599999999</v>
      </c>
      <c r="M456" s="1">
        <f t="shared" si="253"/>
        <v>0</v>
      </c>
      <c r="N456" s="1">
        <f t="shared" si="254"/>
        <v>0</v>
      </c>
      <c r="O456" s="1">
        <f t="shared" si="255"/>
        <v>0</v>
      </c>
      <c r="P456" s="1">
        <f t="shared" si="256"/>
        <v>1.785740958488089</v>
      </c>
      <c r="Q456" s="1">
        <f t="shared" si="257"/>
        <v>2.7778423198400946</v>
      </c>
      <c r="R456" s="1">
        <f t="shared" si="258"/>
        <v>6.2503267536806906</v>
      </c>
      <c r="S456" s="1" t="e">
        <f t="shared" si="259"/>
        <v>#DIV/0!</v>
      </c>
      <c r="T456" s="1" t="e">
        <f t="shared" si="260"/>
        <v>#DIV/0!</v>
      </c>
      <c r="U456" s="1" t="e">
        <f t="shared" si="261"/>
        <v>#DIV/0!</v>
      </c>
      <c r="V456">
        <f t="shared" si="262"/>
        <v>97.016581150862891</v>
      </c>
      <c r="W456">
        <f t="shared" si="263"/>
        <v>143.15908699400353</v>
      </c>
      <c r="X456" t="e">
        <f t="shared" si="264"/>
        <v>#DIV/0!</v>
      </c>
      <c r="Y456">
        <f t="shared" si="265"/>
        <v>0</v>
      </c>
      <c r="Z456">
        <f t="shared" si="266"/>
        <v>0</v>
      </c>
      <c r="AA456">
        <f t="shared" si="267"/>
        <v>0</v>
      </c>
      <c r="AC456">
        <f t="shared" si="268"/>
        <v>116.67963833952356</v>
      </c>
      <c r="AD456">
        <f t="shared" si="269"/>
        <v>143.15908699400353</v>
      </c>
      <c r="AE456">
        <f t="shared" si="270"/>
        <v>234.80561949462242</v>
      </c>
      <c r="AF456">
        <f t="shared" si="271"/>
        <v>0</v>
      </c>
      <c r="AG456">
        <f t="shared" si="272"/>
        <v>0</v>
      </c>
      <c r="AH456">
        <f t="shared" si="273"/>
        <v>0</v>
      </c>
      <c r="AJ456">
        <f t="shared" si="274"/>
        <v>136.33269552818422</v>
      </c>
      <c r="AK456">
        <f t="shared" si="275"/>
        <v>170.94290439280425</v>
      </c>
      <c r="AL456">
        <f t="shared" si="276"/>
        <v>301.83888703142935</v>
      </c>
      <c r="AM456">
        <f t="shared" si="277"/>
        <v>0</v>
      </c>
      <c r="AN456">
        <f t="shared" si="278"/>
        <v>0</v>
      </c>
      <c r="AO456">
        <f t="shared" si="279"/>
        <v>0</v>
      </c>
    </row>
    <row r="457" spans="1:41" x14ac:dyDescent="0.45">
      <c r="A457">
        <v>37.89452601</v>
      </c>
      <c r="B457">
        <v>119.9207759</v>
      </c>
      <c r="C457">
        <v>15.833525659999999</v>
      </c>
      <c r="D457">
        <v>5.5093789099999997</v>
      </c>
      <c r="E457">
        <f t="shared" si="245"/>
        <v>5.5093789099999997</v>
      </c>
      <c r="F457">
        <f t="shared" si="246"/>
        <v>0</v>
      </c>
      <c r="G457">
        <f t="shared" si="247"/>
        <v>0</v>
      </c>
      <c r="H457">
        <f t="shared" si="248"/>
        <v>0</v>
      </c>
      <c r="I457">
        <f t="shared" si="249"/>
        <v>0</v>
      </c>
      <c r="J457">
        <f t="shared" si="250"/>
        <v>0</v>
      </c>
      <c r="K457" s="1">
        <f t="shared" si="251"/>
        <v>0</v>
      </c>
      <c r="L457" s="1">
        <f t="shared" si="252"/>
        <v>0</v>
      </c>
      <c r="M457" s="1">
        <f t="shared" si="253"/>
        <v>0</v>
      </c>
      <c r="N457" s="1">
        <f t="shared" si="254"/>
        <v>0</v>
      </c>
      <c r="O457" s="1">
        <f t="shared" si="255"/>
        <v>0</v>
      </c>
      <c r="P457" s="1">
        <f t="shared" si="256"/>
        <v>24.999999999999996</v>
      </c>
      <c r="Q457" s="1" t="e">
        <f t="shared" si="257"/>
        <v>#DIV/0!</v>
      </c>
      <c r="R457" s="1" t="e">
        <f t="shared" si="258"/>
        <v>#DIV/0!</v>
      </c>
      <c r="S457" s="1" t="e">
        <f t="shared" si="259"/>
        <v>#DIV/0!</v>
      </c>
      <c r="T457" s="1" t="e">
        <f t="shared" si="260"/>
        <v>#DIV/0!</v>
      </c>
      <c r="U457" s="1" t="e">
        <f t="shared" si="261"/>
        <v>#DIV/0!</v>
      </c>
      <c r="V457">
        <f t="shared" si="262"/>
        <v>851.4799999999999</v>
      </c>
      <c r="W457">
        <f t="shared" si="263"/>
        <v>0</v>
      </c>
      <c r="X457">
        <f t="shared" si="264"/>
        <v>0</v>
      </c>
      <c r="Y457">
        <f t="shared" si="265"/>
        <v>0</v>
      </c>
      <c r="Z457">
        <f t="shared" si="266"/>
        <v>0</v>
      </c>
      <c r="AA457">
        <f t="shared" si="267"/>
        <v>0</v>
      </c>
      <c r="AC457">
        <f t="shared" si="268"/>
        <v>1045.25</v>
      </c>
      <c r="AD457">
        <f t="shared" si="269"/>
        <v>0</v>
      </c>
      <c r="AE457">
        <f t="shared" si="270"/>
        <v>0</v>
      </c>
      <c r="AF457">
        <f t="shared" si="271"/>
        <v>0</v>
      </c>
      <c r="AG457">
        <f t="shared" si="272"/>
        <v>0</v>
      </c>
      <c r="AH457">
        <f t="shared" si="273"/>
        <v>0</v>
      </c>
      <c r="AJ457">
        <f t="shared" si="274"/>
        <v>1239.0099999999998</v>
      </c>
      <c r="AK457">
        <f t="shared" si="275"/>
        <v>0</v>
      </c>
      <c r="AL457">
        <f t="shared" si="276"/>
        <v>0</v>
      </c>
      <c r="AM457">
        <f t="shared" si="277"/>
        <v>0</v>
      </c>
      <c r="AN457">
        <f t="shared" si="278"/>
        <v>0</v>
      </c>
      <c r="AO457">
        <f t="shared" si="279"/>
        <v>0</v>
      </c>
    </row>
    <row r="458" spans="1:41" x14ac:dyDescent="0.45">
      <c r="A458">
        <v>37.898590089999999</v>
      </c>
      <c r="B458">
        <v>114.96608380000001</v>
      </c>
      <c r="C458">
        <v>5.4292302100000001</v>
      </c>
      <c r="D458">
        <v>0.40658399000000001</v>
      </c>
      <c r="E458">
        <f t="shared" si="245"/>
        <v>0.40658399000000001</v>
      </c>
      <c r="F458">
        <f t="shared" si="246"/>
        <v>0</v>
      </c>
      <c r="G458">
        <f t="shared" si="247"/>
        <v>0</v>
      </c>
      <c r="H458">
        <f t="shared" si="248"/>
        <v>0</v>
      </c>
      <c r="I458">
        <f t="shared" si="249"/>
        <v>0</v>
      </c>
      <c r="J458">
        <f t="shared" si="250"/>
        <v>0</v>
      </c>
      <c r="K458" s="1">
        <f t="shared" si="251"/>
        <v>0</v>
      </c>
      <c r="L458" s="1">
        <f t="shared" si="252"/>
        <v>0</v>
      </c>
      <c r="M458" s="1">
        <f t="shared" si="253"/>
        <v>0</v>
      </c>
      <c r="N458" s="1">
        <f t="shared" si="254"/>
        <v>0</v>
      </c>
      <c r="O458" s="1">
        <f t="shared" si="255"/>
        <v>0</v>
      </c>
      <c r="P458" s="1">
        <f t="shared" si="256"/>
        <v>25</v>
      </c>
      <c r="Q458" s="1" t="e">
        <f t="shared" si="257"/>
        <v>#DIV/0!</v>
      </c>
      <c r="R458" s="1" t="e">
        <f t="shared" si="258"/>
        <v>#DIV/0!</v>
      </c>
      <c r="S458" s="1" t="e">
        <f t="shared" si="259"/>
        <v>#DIV/0!</v>
      </c>
      <c r="T458" s="1" t="e">
        <f t="shared" si="260"/>
        <v>#DIV/0!</v>
      </c>
      <c r="U458" s="1" t="e">
        <f t="shared" si="261"/>
        <v>#DIV/0!</v>
      </c>
      <c r="V458">
        <f t="shared" si="262"/>
        <v>851.48</v>
      </c>
      <c r="W458">
        <f t="shared" si="263"/>
        <v>0</v>
      </c>
      <c r="X458">
        <f t="shared" si="264"/>
        <v>0</v>
      </c>
      <c r="Y458">
        <f t="shared" si="265"/>
        <v>0</v>
      </c>
      <c r="Z458">
        <f t="shared" si="266"/>
        <v>0</v>
      </c>
      <c r="AA458">
        <f t="shared" si="267"/>
        <v>0</v>
      </c>
      <c r="AC458">
        <f t="shared" si="268"/>
        <v>1045.25</v>
      </c>
      <c r="AD458">
        <f t="shared" si="269"/>
        <v>0</v>
      </c>
      <c r="AE458">
        <f t="shared" si="270"/>
        <v>0</v>
      </c>
      <c r="AF458">
        <f t="shared" si="271"/>
        <v>0</v>
      </c>
      <c r="AG458">
        <f t="shared" si="272"/>
        <v>0</v>
      </c>
      <c r="AH458">
        <f t="shared" si="273"/>
        <v>0</v>
      </c>
      <c r="AJ458">
        <f t="shared" si="274"/>
        <v>1239.01</v>
      </c>
      <c r="AK458">
        <f t="shared" si="275"/>
        <v>0</v>
      </c>
      <c r="AL458">
        <f t="shared" si="276"/>
        <v>0</v>
      </c>
      <c r="AM458">
        <f t="shared" si="277"/>
        <v>0</v>
      </c>
      <c r="AN458">
        <f t="shared" si="278"/>
        <v>0</v>
      </c>
      <c r="AO458">
        <f t="shared" si="279"/>
        <v>0</v>
      </c>
    </row>
    <row r="459" spans="1:41" x14ac:dyDescent="0.45">
      <c r="A459">
        <v>37.899139869999999</v>
      </c>
      <c r="B459">
        <v>119.04483070000001</v>
      </c>
      <c r="C459">
        <v>40.0941124</v>
      </c>
      <c r="D459">
        <v>30.594505309999999</v>
      </c>
      <c r="E459">
        <f t="shared" si="245"/>
        <v>30.594505309999999</v>
      </c>
      <c r="F459">
        <f t="shared" si="246"/>
        <v>0</v>
      </c>
      <c r="G459">
        <f t="shared" si="247"/>
        <v>0</v>
      </c>
      <c r="H459">
        <f t="shared" si="248"/>
        <v>0</v>
      </c>
      <c r="I459">
        <f t="shared" si="249"/>
        <v>0</v>
      </c>
      <c r="J459">
        <f t="shared" si="250"/>
        <v>0</v>
      </c>
      <c r="K459" s="1">
        <f t="shared" si="251"/>
        <v>0</v>
      </c>
      <c r="L459" s="1">
        <f t="shared" si="252"/>
        <v>0</v>
      </c>
      <c r="M459" s="1">
        <f t="shared" si="253"/>
        <v>0</v>
      </c>
      <c r="N459" s="1">
        <f t="shared" si="254"/>
        <v>0</v>
      </c>
      <c r="O459" s="1">
        <f t="shared" si="255"/>
        <v>0</v>
      </c>
      <c r="P459" s="1">
        <f t="shared" si="256"/>
        <v>25</v>
      </c>
      <c r="Q459" s="1" t="e">
        <f t="shared" si="257"/>
        <v>#DIV/0!</v>
      </c>
      <c r="R459" s="1" t="e">
        <f t="shared" si="258"/>
        <v>#DIV/0!</v>
      </c>
      <c r="S459" s="1" t="e">
        <f t="shared" si="259"/>
        <v>#DIV/0!</v>
      </c>
      <c r="T459" s="1" t="e">
        <f t="shared" si="260"/>
        <v>#DIV/0!</v>
      </c>
      <c r="U459" s="1" t="e">
        <f t="shared" si="261"/>
        <v>#DIV/0!</v>
      </c>
      <c r="V459">
        <f t="shared" si="262"/>
        <v>851.48</v>
      </c>
      <c r="W459">
        <f t="shared" si="263"/>
        <v>0</v>
      </c>
      <c r="X459">
        <f t="shared" si="264"/>
        <v>0</v>
      </c>
      <c r="Y459">
        <f t="shared" si="265"/>
        <v>0</v>
      </c>
      <c r="Z459">
        <f t="shared" si="266"/>
        <v>0</v>
      </c>
      <c r="AA459">
        <f t="shared" si="267"/>
        <v>0</v>
      </c>
      <c r="AC459">
        <f t="shared" si="268"/>
        <v>1045.25</v>
      </c>
      <c r="AD459">
        <f t="shared" si="269"/>
        <v>0</v>
      </c>
      <c r="AE459">
        <f t="shared" si="270"/>
        <v>0</v>
      </c>
      <c r="AF459">
        <f t="shared" si="271"/>
        <v>0</v>
      </c>
      <c r="AG459">
        <f t="shared" si="272"/>
        <v>0</v>
      </c>
      <c r="AH459">
        <f t="shared" si="273"/>
        <v>0</v>
      </c>
      <c r="AJ459">
        <f t="shared" si="274"/>
        <v>1239.01</v>
      </c>
      <c r="AK459">
        <f t="shared" si="275"/>
        <v>0</v>
      </c>
      <c r="AL459">
        <f t="shared" si="276"/>
        <v>0</v>
      </c>
      <c r="AM459">
        <f t="shared" si="277"/>
        <v>0</v>
      </c>
      <c r="AN459">
        <f t="shared" si="278"/>
        <v>0</v>
      </c>
      <c r="AO459">
        <f t="shared" si="279"/>
        <v>0</v>
      </c>
    </row>
    <row r="460" spans="1:41" x14ac:dyDescent="0.45">
      <c r="A460">
        <v>37.902066040000001</v>
      </c>
      <c r="B460">
        <v>118.5781368</v>
      </c>
      <c r="C460">
        <v>43.008232120000002</v>
      </c>
      <c r="D460">
        <v>18.496994019999999</v>
      </c>
      <c r="E460">
        <f t="shared" si="245"/>
        <v>18.496994019999999</v>
      </c>
      <c r="F460">
        <f t="shared" si="246"/>
        <v>0</v>
      </c>
      <c r="G460">
        <f t="shared" si="247"/>
        <v>0</v>
      </c>
      <c r="H460">
        <f t="shared" si="248"/>
        <v>0</v>
      </c>
      <c r="I460">
        <f t="shared" si="249"/>
        <v>0</v>
      </c>
      <c r="J460">
        <f t="shared" si="250"/>
        <v>0</v>
      </c>
      <c r="K460" s="1">
        <f t="shared" si="251"/>
        <v>0</v>
      </c>
      <c r="L460" s="1">
        <f t="shared" si="252"/>
        <v>0</v>
      </c>
      <c r="M460" s="1">
        <f t="shared" si="253"/>
        <v>0</v>
      </c>
      <c r="N460" s="1">
        <f t="shared" si="254"/>
        <v>0</v>
      </c>
      <c r="O460" s="1">
        <f t="shared" si="255"/>
        <v>0</v>
      </c>
      <c r="P460" s="1">
        <f t="shared" si="256"/>
        <v>25</v>
      </c>
      <c r="Q460" s="1" t="e">
        <f t="shared" si="257"/>
        <v>#DIV/0!</v>
      </c>
      <c r="R460" s="1" t="e">
        <f t="shared" si="258"/>
        <v>#DIV/0!</v>
      </c>
      <c r="S460" s="1" t="e">
        <f t="shared" si="259"/>
        <v>#DIV/0!</v>
      </c>
      <c r="T460" s="1" t="e">
        <f t="shared" si="260"/>
        <v>#DIV/0!</v>
      </c>
      <c r="U460" s="1" t="e">
        <f t="shared" si="261"/>
        <v>#DIV/0!</v>
      </c>
      <c r="V460">
        <f t="shared" si="262"/>
        <v>851.48</v>
      </c>
      <c r="W460">
        <f t="shared" si="263"/>
        <v>0</v>
      </c>
      <c r="X460">
        <f t="shared" si="264"/>
        <v>0</v>
      </c>
      <c r="Y460">
        <f t="shared" si="265"/>
        <v>0</v>
      </c>
      <c r="Z460">
        <f t="shared" si="266"/>
        <v>0</v>
      </c>
      <c r="AA460">
        <f t="shared" si="267"/>
        <v>0</v>
      </c>
      <c r="AC460">
        <f t="shared" si="268"/>
        <v>1045.25</v>
      </c>
      <c r="AD460">
        <f t="shared" si="269"/>
        <v>0</v>
      </c>
      <c r="AE460">
        <f t="shared" si="270"/>
        <v>0</v>
      </c>
      <c r="AF460">
        <f t="shared" si="271"/>
        <v>0</v>
      </c>
      <c r="AG460">
        <f t="shared" si="272"/>
        <v>0</v>
      </c>
      <c r="AH460">
        <f t="shared" si="273"/>
        <v>0</v>
      </c>
      <c r="AJ460">
        <f t="shared" si="274"/>
        <v>1239.01</v>
      </c>
      <c r="AK460">
        <f t="shared" si="275"/>
        <v>0</v>
      </c>
      <c r="AL460">
        <f t="shared" si="276"/>
        <v>0</v>
      </c>
      <c r="AM460">
        <f t="shared" si="277"/>
        <v>0</v>
      </c>
      <c r="AN460">
        <f t="shared" si="278"/>
        <v>0</v>
      </c>
      <c r="AO460">
        <f t="shared" si="279"/>
        <v>0</v>
      </c>
    </row>
    <row r="461" spans="1:41" x14ac:dyDescent="0.45">
      <c r="A461">
        <v>37.908917459999998</v>
      </c>
      <c r="B461">
        <v>118.0539759</v>
      </c>
      <c r="C461">
        <v>76.896270749999999</v>
      </c>
      <c r="D461">
        <v>0.37020901000000001</v>
      </c>
      <c r="E461">
        <f t="shared" si="245"/>
        <v>0.37020901000000001</v>
      </c>
      <c r="F461">
        <f t="shared" si="246"/>
        <v>0</v>
      </c>
      <c r="G461">
        <f t="shared" si="247"/>
        <v>0</v>
      </c>
      <c r="H461">
        <f t="shared" si="248"/>
        <v>0</v>
      </c>
      <c r="I461">
        <f t="shared" si="249"/>
        <v>0</v>
      </c>
      <c r="J461">
        <f t="shared" si="250"/>
        <v>0</v>
      </c>
      <c r="K461" s="1">
        <f t="shared" si="251"/>
        <v>0</v>
      </c>
      <c r="L461" s="1">
        <f t="shared" si="252"/>
        <v>0</v>
      </c>
      <c r="M461" s="1">
        <f t="shared" si="253"/>
        <v>0</v>
      </c>
      <c r="N461" s="1">
        <f t="shared" si="254"/>
        <v>0</v>
      </c>
      <c r="O461" s="1">
        <f t="shared" si="255"/>
        <v>0</v>
      </c>
      <c r="P461" s="1">
        <f t="shared" si="256"/>
        <v>25</v>
      </c>
      <c r="Q461" s="1" t="e">
        <f t="shared" si="257"/>
        <v>#DIV/0!</v>
      </c>
      <c r="R461" s="1" t="e">
        <f t="shared" si="258"/>
        <v>#DIV/0!</v>
      </c>
      <c r="S461" s="1" t="e">
        <f t="shared" si="259"/>
        <v>#DIV/0!</v>
      </c>
      <c r="T461" s="1" t="e">
        <f t="shared" si="260"/>
        <v>#DIV/0!</v>
      </c>
      <c r="U461" s="1" t="e">
        <f t="shared" si="261"/>
        <v>#DIV/0!</v>
      </c>
      <c r="V461">
        <f t="shared" si="262"/>
        <v>851.48</v>
      </c>
      <c r="W461">
        <f t="shared" si="263"/>
        <v>0</v>
      </c>
      <c r="X461">
        <f t="shared" si="264"/>
        <v>0</v>
      </c>
      <c r="Y461">
        <f t="shared" si="265"/>
        <v>0</v>
      </c>
      <c r="Z461">
        <f t="shared" si="266"/>
        <v>0</v>
      </c>
      <c r="AA461">
        <f t="shared" si="267"/>
        <v>0</v>
      </c>
      <c r="AC461">
        <f t="shared" si="268"/>
        <v>1045.25</v>
      </c>
      <c r="AD461">
        <f t="shared" si="269"/>
        <v>0</v>
      </c>
      <c r="AE461">
        <f t="shared" si="270"/>
        <v>0</v>
      </c>
      <c r="AF461">
        <f t="shared" si="271"/>
        <v>0</v>
      </c>
      <c r="AG461">
        <f t="shared" si="272"/>
        <v>0</v>
      </c>
      <c r="AH461">
        <f t="shared" si="273"/>
        <v>0</v>
      </c>
      <c r="AJ461">
        <f t="shared" si="274"/>
        <v>1239.01</v>
      </c>
      <c r="AK461">
        <f t="shared" si="275"/>
        <v>0</v>
      </c>
      <c r="AL461">
        <f t="shared" si="276"/>
        <v>0</v>
      </c>
      <c r="AM461">
        <f t="shared" si="277"/>
        <v>0</v>
      </c>
      <c r="AN461">
        <f t="shared" si="278"/>
        <v>0</v>
      </c>
      <c r="AO461">
        <f t="shared" si="279"/>
        <v>0</v>
      </c>
    </row>
    <row r="462" spans="1:41" x14ac:dyDescent="0.45">
      <c r="A462">
        <v>37.914114329999997</v>
      </c>
      <c r="B462">
        <v>119.74887200000001</v>
      </c>
      <c r="C462">
        <v>15.833525659999999</v>
      </c>
      <c r="D462">
        <v>3.6729190300000001</v>
      </c>
      <c r="E462">
        <f t="shared" si="245"/>
        <v>3.6729190300000001</v>
      </c>
      <c r="F462">
        <f t="shared" si="246"/>
        <v>0</v>
      </c>
      <c r="G462">
        <f t="shared" si="247"/>
        <v>0</v>
      </c>
      <c r="H462">
        <f t="shared" si="248"/>
        <v>0</v>
      </c>
      <c r="I462">
        <f t="shared" si="249"/>
        <v>0</v>
      </c>
      <c r="J462">
        <f t="shared" si="250"/>
        <v>0</v>
      </c>
      <c r="K462" s="1">
        <f t="shared" si="251"/>
        <v>0</v>
      </c>
      <c r="L462" s="1">
        <f t="shared" si="252"/>
        <v>0</v>
      </c>
      <c r="M462" s="1">
        <f t="shared" si="253"/>
        <v>0</v>
      </c>
      <c r="N462" s="1">
        <f t="shared" si="254"/>
        <v>0</v>
      </c>
      <c r="O462" s="1">
        <f t="shared" si="255"/>
        <v>0</v>
      </c>
      <c r="P462" s="1">
        <f t="shared" si="256"/>
        <v>25</v>
      </c>
      <c r="Q462" s="1" t="e">
        <f t="shared" si="257"/>
        <v>#DIV/0!</v>
      </c>
      <c r="R462" s="1" t="e">
        <f t="shared" si="258"/>
        <v>#DIV/0!</v>
      </c>
      <c r="S462" s="1" t="e">
        <f t="shared" si="259"/>
        <v>#DIV/0!</v>
      </c>
      <c r="T462" s="1" t="e">
        <f t="shared" si="260"/>
        <v>#DIV/0!</v>
      </c>
      <c r="U462" s="1" t="e">
        <f t="shared" si="261"/>
        <v>#DIV/0!</v>
      </c>
      <c r="V462">
        <f t="shared" si="262"/>
        <v>851.48</v>
      </c>
      <c r="W462">
        <f t="shared" si="263"/>
        <v>0</v>
      </c>
      <c r="X462">
        <f t="shared" si="264"/>
        <v>0</v>
      </c>
      <c r="Y462">
        <f t="shared" si="265"/>
        <v>0</v>
      </c>
      <c r="Z462">
        <f t="shared" si="266"/>
        <v>0</v>
      </c>
      <c r="AA462">
        <f t="shared" si="267"/>
        <v>0</v>
      </c>
      <c r="AC462">
        <f t="shared" si="268"/>
        <v>1045.25</v>
      </c>
      <c r="AD462">
        <f t="shared" si="269"/>
        <v>0</v>
      </c>
      <c r="AE462">
        <f t="shared" si="270"/>
        <v>0</v>
      </c>
      <c r="AF462">
        <f t="shared" si="271"/>
        <v>0</v>
      </c>
      <c r="AG462">
        <f t="shared" si="272"/>
        <v>0</v>
      </c>
      <c r="AH462">
        <f t="shared" si="273"/>
        <v>0</v>
      </c>
      <c r="AJ462">
        <f t="shared" si="274"/>
        <v>1239.01</v>
      </c>
      <c r="AK462">
        <f t="shared" si="275"/>
        <v>0</v>
      </c>
      <c r="AL462">
        <f t="shared" si="276"/>
        <v>0</v>
      </c>
      <c r="AM462">
        <f t="shared" si="277"/>
        <v>0</v>
      </c>
      <c r="AN462">
        <f t="shared" si="278"/>
        <v>0</v>
      </c>
      <c r="AO462">
        <f t="shared" si="279"/>
        <v>0</v>
      </c>
    </row>
    <row r="463" spans="1:41" x14ac:dyDescent="0.45">
      <c r="A463">
        <v>37.91831895</v>
      </c>
      <c r="B463">
        <v>115.3173575</v>
      </c>
      <c r="C463">
        <v>10.663947110000001</v>
      </c>
      <c r="D463">
        <v>0.70071000000000006</v>
      </c>
      <c r="E463">
        <f t="shared" si="245"/>
        <v>0.70071000000000006</v>
      </c>
      <c r="F463">
        <f t="shared" si="246"/>
        <v>0</v>
      </c>
      <c r="G463">
        <f t="shared" si="247"/>
        <v>0</v>
      </c>
      <c r="H463">
        <f t="shared" si="248"/>
        <v>0</v>
      </c>
      <c r="I463">
        <f t="shared" si="249"/>
        <v>0</v>
      </c>
      <c r="J463">
        <f t="shared" si="250"/>
        <v>0</v>
      </c>
      <c r="K463" s="1">
        <f t="shared" si="251"/>
        <v>0</v>
      </c>
      <c r="L463" s="1">
        <f t="shared" si="252"/>
        <v>0</v>
      </c>
      <c r="M463" s="1">
        <f t="shared" si="253"/>
        <v>0</v>
      </c>
      <c r="N463" s="1">
        <f t="shared" si="254"/>
        <v>0</v>
      </c>
      <c r="O463" s="1">
        <f t="shared" si="255"/>
        <v>0</v>
      </c>
      <c r="P463" s="1">
        <f t="shared" si="256"/>
        <v>25.000000000000004</v>
      </c>
      <c r="Q463" s="1" t="e">
        <f t="shared" si="257"/>
        <v>#DIV/0!</v>
      </c>
      <c r="R463" s="1" t="e">
        <f t="shared" si="258"/>
        <v>#DIV/0!</v>
      </c>
      <c r="S463" s="1" t="e">
        <f t="shared" si="259"/>
        <v>#DIV/0!</v>
      </c>
      <c r="T463" s="1" t="e">
        <f t="shared" si="260"/>
        <v>#DIV/0!</v>
      </c>
      <c r="U463" s="1" t="e">
        <f t="shared" si="261"/>
        <v>#DIV/0!</v>
      </c>
      <c r="V463">
        <f t="shared" si="262"/>
        <v>851.48000000000013</v>
      </c>
      <c r="W463">
        <f t="shared" si="263"/>
        <v>0</v>
      </c>
      <c r="X463">
        <f t="shared" si="264"/>
        <v>0</v>
      </c>
      <c r="Y463">
        <f t="shared" si="265"/>
        <v>0</v>
      </c>
      <c r="Z463">
        <f t="shared" si="266"/>
        <v>0</v>
      </c>
      <c r="AA463">
        <f t="shared" si="267"/>
        <v>0</v>
      </c>
      <c r="AC463">
        <f t="shared" si="268"/>
        <v>1045.25</v>
      </c>
      <c r="AD463">
        <f t="shared" si="269"/>
        <v>0</v>
      </c>
      <c r="AE463">
        <f t="shared" si="270"/>
        <v>0</v>
      </c>
      <c r="AF463">
        <f t="shared" si="271"/>
        <v>0</v>
      </c>
      <c r="AG463">
        <f t="shared" si="272"/>
        <v>0</v>
      </c>
      <c r="AH463">
        <f t="shared" si="273"/>
        <v>0</v>
      </c>
      <c r="AJ463">
        <f t="shared" si="274"/>
        <v>1239.0100000000002</v>
      </c>
      <c r="AK463">
        <f t="shared" si="275"/>
        <v>0</v>
      </c>
      <c r="AL463">
        <f t="shared" si="276"/>
        <v>0</v>
      </c>
      <c r="AM463">
        <f t="shared" si="277"/>
        <v>0</v>
      </c>
      <c r="AN463">
        <f t="shared" si="278"/>
        <v>0</v>
      </c>
      <c r="AO463">
        <f t="shared" si="279"/>
        <v>0</v>
      </c>
    </row>
    <row r="464" spans="1:41" x14ac:dyDescent="0.45">
      <c r="A464">
        <v>37.919764170000001</v>
      </c>
      <c r="B464">
        <v>118.4058919</v>
      </c>
      <c r="C464">
        <v>43.008232120000002</v>
      </c>
      <c r="D464">
        <v>1.75690806</v>
      </c>
      <c r="E464">
        <f t="shared" si="245"/>
        <v>1.75690806</v>
      </c>
      <c r="F464">
        <f t="shared" si="246"/>
        <v>0</v>
      </c>
      <c r="G464">
        <f t="shared" si="247"/>
        <v>0</v>
      </c>
      <c r="H464">
        <f t="shared" si="248"/>
        <v>0</v>
      </c>
      <c r="I464">
        <f t="shared" si="249"/>
        <v>0</v>
      </c>
      <c r="J464">
        <f t="shared" si="250"/>
        <v>0</v>
      </c>
      <c r="K464" s="1">
        <f t="shared" si="251"/>
        <v>0</v>
      </c>
      <c r="L464" s="1">
        <f t="shared" si="252"/>
        <v>0</v>
      </c>
      <c r="M464" s="1">
        <f t="shared" si="253"/>
        <v>0</v>
      </c>
      <c r="N464" s="1">
        <f t="shared" si="254"/>
        <v>0</v>
      </c>
      <c r="O464" s="1">
        <f t="shared" si="255"/>
        <v>0</v>
      </c>
      <c r="P464" s="1">
        <f t="shared" si="256"/>
        <v>25</v>
      </c>
      <c r="Q464" s="1" t="e">
        <f t="shared" si="257"/>
        <v>#DIV/0!</v>
      </c>
      <c r="R464" s="1" t="e">
        <f t="shared" si="258"/>
        <v>#DIV/0!</v>
      </c>
      <c r="S464" s="1" t="e">
        <f t="shared" si="259"/>
        <v>#DIV/0!</v>
      </c>
      <c r="T464" s="1" t="e">
        <f t="shared" si="260"/>
        <v>#DIV/0!</v>
      </c>
      <c r="U464" s="1" t="e">
        <f t="shared" si="261"/>
        <v>#DIV/0!</v>
      </c>
      <c r="V464">
        <f t="shared" si="262"/>
        <v>851.48</v>
      </c>
      <c r="W464">
        <f t="shared" si="263"/>
        <v>0</v>
      </c>
      <c r="X464">
        <f t="shared" si="264"/>
        <v>0</v>
      </c>
      <c r="Y464">
        <f t="shared" si="265"/>
        <v>0</v>
      </c>
      <c r="Z464">
        <f t="shared" si="266"/>
        <v>0</v>
      </c>
      <c r="AA464">
        <f t="shared" si="267"/>
        <v>0</v>
      </c>
      <c r="AC464">
        <f t="shared" si="268"/>
        <v>1045.25</v>
      </c>
      <c r="AD464">
        <f t="shared" si="269"/>
        <v>0</v>
      </c>
      <c r="AE464">
        <f t="shared" si="270"/>
        <v>0</v>
      </c>
      <c r="AF464">
        <f t="shared" si="271"/>
        <v>0</v>
      </c>
      <c r="AG464">
        <f t="shared" si="272"/>
        <v>0</v>
      </c>
      <c r="AH464">
        <f t="shared" si="273"/>
        <v>0</v>
      </c>
      <c r="AJ464">
        <f t="shared" si="274"/>
        <v>1239.01</v>
      </c>
      <c r="AK464">
        <f t="shared" si="275"/>
        <v>0</v>
      </c>
      <c r="AL464">
        <f t="shared" si="276"/>
        <v>0</v>
      </c>
      <c r="AM464">
        <f t="shared" si="277"/>
        <v>0</v>
      </c>
      <c r="AN464">
        <f t="shared" si="278"/>
        <v>0</v>
      </c>
      <c r="AO464">
        <f t="shared" si="279"/>
        <v>0</v>
      </c>
    </row>
    <row r="465" spans="1:41" x14ac:dyDescent="0.45">
      <c r="A465">
        <v>37.920080759999998</v>
      </c>
      <c r="B465">
        <v>120.1009864</v>
      </c>
      <c r="C465">
        <v>15.833525659999999</v>
      </c>
      <c r="D465">
        <v>8.4060878799999994</v>
      </c>
      <c r="E465">
        <f t="shared" si="245"/>
        <v>8.4060878799999994</v>
      </c>
      <c r="F465">
        <f t="shared" si="246"/>
        <v>0</v>
      </c>
      <c r="G465">
        <f t="shared" si="247"/>
        <v>0</v>
      </c>
      <c r="H465">
        <f t="shared" si="248"/>
        <v>0</v>
      </c>
      <c r="I465">
        <f t="shared" si="249"/>
        <v>0</v>
      </c>
      <c r="J465">
        <f t="shared" si="250"/>
        <v>0</v>
      </c>
      <c r="K465" s="1">
        <f t="shared" si="251"/>
        <v>0</v>
      </c>
      <c r="L465" s="1">
        <f t="shared" si="252"/>
        <v>0</v>
      </c>
      <c r="M465" s="1">
        <f t="shared" si="253"/>
        <v>0</v>
      </c>
      <c r="N465" s="1">
        <f t="shared" si="254"/>
        <v>0</v>
      </c>
      <c r="O465" s="1">
        <f t="shared" si="255"/>
        <v>0</v>
      </c>
      <c r="P465" s="1">
        <f t="shared" si="256"/>
        <v>25</v>
      </c>
      <c r="Q465" s="1" t="e">
        <f t="shared" si="257"/>
        <v>#DIV/0!</v>
      </c>
      <c r="R465" s="1" t="e">
        <f t="shared" si="258"/>
        <v>#DIV/0!</v>
      </c>
      <c r="S465" s="1" t="e">
        <f t="shared" si="259"/>
        <v>#DIV/0!</v>
      </c>
      <c r="T465" s="1" t="e">
        <f t="shared" si="260"/>
        <v>#DIV/0!</v>
      </c>
      <c r="U465" s="1" t="e">
        <f t="shared" si="261"/>
        <v>#DIV/0!</v>
      </c>
      <c r="V465">
        <f t="shared" si="262"/>
        <v>851.48</v>
      </c>
      <c r="W465">
        <f t="shared" si="263"/>
        <v>0</v>
      </c>
      <c r="X465">
        <f t="shared" si="264"/>
        <v>0</v>
      </c>
      <c r="Y465">
        <f t="shared" si="265"/>
        <v>0</v>
      </c>
      <c r="Z465">
        <f t="shared" si="266"/>
        <v>0</v>
      </c>
      <c r="AA465">
        <f t="shared" si="267"/>
        <v>0</v>
      </c>
      <c r="AC465">
        <f t="shared" si="268"/>
        <v>1045.25</v>
      </c>
      <c r="AD465">
        <f t="shared" si="269"/>
        <v>0</v>
      </c>
      <c r="AE465">
        <f t="shared" si="270"/>
        <v>0</v>
      </c>
      <c r="AF465">
        <f t="shared" si="271"/>
        <v>0</v>
      </c>
      <c r="AG465">
        <f t="shared" si="272"/>
        <v>0</v>
      </c>
      <c r="AH465">
        <f t="shared" si="273"/>
        <v>0</v>
      </c>
      <c r="AJ465">
        <f t="shared" si="274"/>
        <v>1239.01</v>
      </c>
      <c r="AK465">
        <f t="shared" si="275"/>
        <v>0</v>
      </c>
      <c r="AL465">
        <f t="shared" si="276"/>
        <v>0</v>
      </c>
      <c r="AM465">
        <f t="shared" si="277"/>
        <v>0</v>
      </c>
      <c r="AN465">
        <f t="shared" si="278"/>
        <v>0</v>
      </c>
      <c r="AO465">
        <f t="shared" si="279"/>
        <v>0</v>
      </c>
    </row>
    <row r="466" spans="1:41" x14ac:dyDescent="0.45">
      <c r="A466">
        <v>37.93142795</v>
      </c>
      <c r="B466">
        <v>118.29101799999999</v>
      </c>
      <c r="C466">
        <v>43.008232120000002</v>
      </c>
      <c r="D466">
        <v>2.7094440500000001</v>
      </c>
      <c r="E466">
        <f t="shared" si="245"/>
        <v>2.7094440500000001</v>
      </c>
      <c r="F466">
        <f t="shared" si="246"/>
        <v>0</v>
      </c>
      <c r="G466">
        <f t="shared" si="247"/>
        <v>0</v>
      </c>
      <c r="H466">
        <f t="shared" si="248"/>
        <v>0</v>
      </c>
      <c r="I466">
        <f t="shared" si="249"/>
        <v>0</v>
      </c>
      <c r="J466">
        <f t="shared" si="250"/>
        <v>0</v>
      </c>
      <c r="K466" s="1">
        <f t="shared" si="251"/>
        <v>0</v>
      </c>
      <c r="L466" s="1">
        <f t="shared" si="252"/>
        <v>0</v>
      </c>
      <c r="M466" s="1">
        <f t="shared" si="253"/>
        <v>0</v>
      </c>
      <c r="N466" s="1">
        <f t="shared" si="254"/>
        <v>0</v>
      </c>
      <c r="O466" s="1">
        <f t="shared" si="255"/>
        <v>0</v>
      </c>
      <c r="P466" s="1">
        <f t="shared" si="256"/>
        <v>25</v>
      </c>
      <c r="Q466" s="1" t="e">
        <f t="shared" si="257"/>
        <v>#DIV/0!</v>
      </c>
      <c r="R466" s="1" t="e">
        <f t="shared" si="258"/>
        <v>#DIV/0!</v>
      </c>
      <c r="S466" s="1" t="e">
        <f t="shared" si="259"/>
        <v>#DIV/0!</v>
      </c>
      <c r="T466" s="1" t="e">
        <f t="shared" si="260"/>
        <v>#DIV/0!</v>
      </c>
      <c r="U466" s="1" t="e">
        <f t="shared" si="261"/>
        <v>#DIV/0!</v>
      </c>
      <c r="V466">
        <f t="shared" si="262"/>
        <v>851.48</v>
      </c>
      <c r="W466">
        <f t="shared" si="263"/>
        <v>0</v>
      </c>
      <c r="X466">
        <f t="shared" si="264"/>
        <v>0</v>
      </c>
      <c r="Y466">
        <f t="shared" si="265"/>
        <v>0</v>
      </c>
      <c r="Z466">
        <f t="shared" si="266"/>
        <v>0</v>
      </c>
      <c r="AA466">
        <f t="shared" si="267"/>
        <v>0</v>
      </c>
      <c r="AC466">
        <f t="shared" si="268"/>
        <v>1045.25</v>
      </c>
      <c r="AD466">
        <f t="shared" si="269"/>
        <v>0</v>
      </c>
      <c r="AE466">
        <f t="shared" si="270"/>
        <v>0</v>
      </c>
      <c r="AF466">
        <f t="shared" si="271"/>
        <v>0</v>
      </c>
      <c r="AG466">
        <f t="shared" si="272"/>
        <v>0</v>
      </c>
      <c r="AH466">
        <f t="shared" si="273"/>
        <v>0</v>
      </c>
      <c r="AJ466">
        <f t="shared" si="274"/>
        <v>1239.01</v>
      </c>
      <c r="AK466">
        <f t="shared" si="275"/>
        <v>0</v>
      </c>
      <c r="AL466">
        <f t="shared" si="276"/>
        <v>0</v>
      </c>
      <c r="AM466">
        <f t="shared" si="277"/>
        <v>0</v>
      </c>
      <c r="AN466">
        <f t="shared" si="278"/>
        <v>0</v>
      </c>
      <c r="AO466">
        <f t="shared" si="279"/>
        <v>0</v>
      </c>
    </row>
    <row r="467" spans="1:41" x14ac:dyDescent="0.45">
      <c r="A467">
        <v>37.933369489999997</v>
      </c>
      <c r="B467">
        <v>94.195383699999994</v>
      </c>
      <c r="C467">
        <v>20.624670030000001</v>
      </c>
      <c r="D467">
        <v>1.46234405</v>
      </c>
      <c r="E467">
        <f t="shared" si="245"/>
        <v>1.46234405</v>
      </c>
      <c r="F467">
        <f t="shared" si="246"/>
        <v>0</v>
      </c>
      <c r="G467">
        <f t="shared" si="247"/>
        <v>0</v>
      </c>
      <c r="H467">
        <f t="shared" si="248"/>
        <v>0</v>
      </c>
      <c r="I467">
        <f t="shared" si="249"/>
        <v>0</v>
      </c>
      <c r="J467">
        <f t="shared" si="250"/>
        <v>0</v>
      </c>
      <c r="K467" s="1">
        <f t="shared" si="251"/>
        <v>0</v>
      </c>
      <c r="L467" s="1">
        <f t="shared" si="252"/>
        <v>0</v>
      </c>
      <c r="M467" s="1">
        <f t="shared" si="253"/>
        <v>0</v>
      </c>
      <c r="N467" s="1">
        <f t="shared" si="254"/>
        <v>0</v>
      </c>
      <c r="O467" s="1">
        <f t="shared" si="255"/>
        <v>0</v>
      </c>
      <c r="P467" s="1">
        <f t="shared" si="256"/>
        <v>25</v>
      </c>
      <c r="Q467" s="1" t="e">
        <f t="shared" si="257"/>
        <v>#DIV/0!</v>
      </c>
      <c r="R467" s="1" t="e">
        <f t="shared" si="258"/>
        <v>#DIV/0!</v>
      </c>
      <c r="S467" s="1" t="e">
        <f t="shared" si="259"/>
        <v>#DIV/0!</v>
      </c>
      <c r="T467" s="1" t="e">
        <f t="shared" si="260"/>
        <v>#DIV/0!</v>
      </c>
      <c r="U467" s="1" t="e">
        <f t="shared" si="261"/>
        <v>#DIV/0!</v>
      </c>
      <c r="V467">
        <f t="shared" si="262"/>
        <v>851.48</v>
      </c>
      <c r="W467">
        <f t="shared" si="263"/>
        <v>0</v>
      </c>
      <c r="X467">
        <f t="shared" si="264"/>
        <v>0</v>
      </c>
      <c r="Y467">
        <f t="shared" si="265"/>
        <v>0</v>
      </c>
      <c r="Z467">
        <f t="shared" si="266"/>
        <v>0</v>
      </c>
      <c r="AA467">
        <f t="shared" si="267"/>
        <v>0</v>
      </c>
      <c r="AC467">
        <f t="shared" si="268"/>
        <v>1045.25</v>
      </c>
      <c r="AD467">
        <f t="shared" si="269"/>
        <v>0</v>
      </c>
      <c r="AE467">
        <f t="shared" si="270"/>
        <v>0</v>
      </c>
      <c r="AF467">
        <f t="shared" si="271"/>
        <v>0</v>
      </c>
      <c r="AG467">
        <f t="shared" si="272"/>
        <v>0</v>
      </c>
      <c r="AH467">
        <f t="shared" si="273"/>
        <v>0</v>
      </c>
      <c r="AJ467">
        <f t="shared" si="274"/>
        <v>1239.01</v>
      </c>
      <c r="AK467">
        <f t="shared" si="275"/>
        <v>0</v>
      </c>
      <c r="AL467">
        <f t="shared" si="276"/>
        <v>0</v>
      </c>
      <c r="AM467">
        <f t="shared" si="277"/>
        <v>0</v>
      </c>
      <c r="AN467">
        <f t="shared" si="278"/>
        <v>0</v>
      </c>
      <c r="AO467">
        <f t="shared" si="279"/>
        <v>0</v>
      </c>
    </row>
    <row r="468" spans="1:41" x14ac:dyDescent="0.45">
      <c r="A468">
        <v>37.933460580000002</v>
      </c>
      <c r="B468">
        <v>119.5768808</v>
      </c>
      <c r="C468">
        <v>15.833525659999999</v>
      </c>
      <c r="D468">
        <v>3.6729190300000001</v>
      </c>
      <c r="E468">
        <f t="shared" si="245"/>
        <v>3.6729190300000001</v>
      </c>
      <c r="F468">
        <f t="shared" si="246"/>
        <v>0</v>
      </c>
      <c r="G468">
        <f t="shared" si="247"/>
        <v>0</v>
      </c>
      <c r="H468">
        <f t="shared" si="248"/>
        <v>0</v>
      </c>
      <c r="I468">
        <f t="shared" si="249"/>
        <v>0</v>
      </c>
      <c r="J468">
        <f t="shared" si="250"/>
        <v>0</v>
      </c>
      <c r="K468" s="1">
        <f t="shared" si="251"/>
        <v>0</v>
      </c>
      <c r="L468" s="1">
        <f t="shared" si="252"/>
        <v>0</v>
      </c>
      <c r="M468" s="1">
        <f t="shared" si="253"/>
        <v>0</v>
      </c>
      <c r="N468" s="1">
        <f t="shared" si="254"/>
        <v>0</v>
      </c>
      <c r="O468" s="1">
        <f t="shared" si="255"/>
        <v>0</v>
      </c>
      <c r="P468" s="1">
        <f t="shared" si="256"/>
        <v>25</v>
      </c>
      <c r="Q468" s="1" t="e">
        <f t="shared" si="257"/>
        <v>#DIV/0!</v>
      </c>
      <c r="R468" s="1" t="e">
        <f t="shared" si="258"/>
        <v>#DIV/0!</v>
      </c>
      <c r="S468" s="1" t="e">
        <f t="shared" si="259"/>
        <v>#DIV/0!</v>
      </c>
      <c r="T468" s="1" t="e">
        <f t="shared" si="260"/>
        <v>#DIV/0!</v>
      </c>
      <c r="U468" s="1" t="e">
        <f t="shared" si="261"/>
        <v>#DIV/0!</v>
      </c>
      <c r="V468">
        <f t="shared" si="262"/>
        <v>851.48</v>
      </c>
      <c r="W468">
        <f t="shared" si="263"/>
        <v>0</v>
      </c>
      <c r="X468">
        <f t="shared" si="264"/>
        <v>0</v>
      </c>
      <c r="Y468">
        <f t="shared" si="265"/>
        <v>0</v>
      </c>
      <c r="Z468">
        <f t="shared" si="266"/>
        <v>0</v>
      </c>
      <c r="AA468">
        <f t="shared" si="267"/>
        <v>0</v>
      </c>
      <c r="AC468">
        <f t="shared" si="268"/>
        <v>1045.25</v>
      </c>
      <c r="AD468">
        <f t="shared" si="269"/>
        <v>0</v>
      </c>
      <c r="AE468">
        <f t="shared" si="270"/>
        <v>0</v>
      </c>
      <c r="AF468">
        <f t="shared" si="271"/>
        <v>0</v>
      </c>
      <c r="AG468">
        <f t="shared" si="272"/>
        <v>0</v>
      </c>
      <c r="AH468">
        <f t="shared" si="273"/>
        <v>0</v>
      </c>
      <c r="AJ468">
        <f t="shared" si="274"/>
        <v>1239.01</v>
      </c>
      <c r="AK468">
        <f t="shared" si="275"/>
        <v>0</v>
      </c>
      <c r="AL468">
        <f t="shared" si="276"/>
        <v>0</v>
      </c>
      <c r="AM468">
        <f t="shared" si="277"/>
        <v>0</v>
      </c>
      <c r="AN468">
        <f t="shared" si="278"/>
        <v>0</v>
      </c>
      <c r="AO468">
        <f t="shared" si="279"/>
        <v>0</v>
      </c>
    </row>
    <row r="469" spans="1:41" x14ac:dyDescent="0.45">
      <c r="A469">
        <v>37.936903450000003</v>
      </c>
      <c r="B469">
        <v>94.719799559999998</v>
      </c>
      <c r="C469">
        <v>20.624670030000001</v>
      </c>
      <c r="D469">
        <v>1.68988502</v>
      </c>
      <c r="E469">
        <f t="shared" si="245"/>
        <v>1.68988502</v>
      </c>
      <c r="F469">
        <f t="shared" si="246"/>
        <v>0</v>
      </c>
      <c r="G469">
        <f t="shared" si="247"/>
        <v>0</v>
      </c>
      <c r="H469">
        <f t="shared" si="248"/>
        <v>0</v>
      </c>
      <c r="I469">
        <f t="shared" si="249"/>
        <v>0</v>
      </c>
      <c r="J469">
        <f t="shared" si="250"/>
        <v>0</v>
      </c>
      <c r="K469" s="1">
        <f t="shared" si="251"/>
        <v>0</v>
      </c>
      <c r="L469" s="1">
        <f t="shared" si="252"/>
        <v>0</v>
      </c>
      <c r="M469" s="1">
        <f t="shared" si="253"/>
        <v>0</v>
      </c>
      <c r="N469" s="1">
        <f t="shared" si="254"/>
        <v>0</v>
      </c>
      <c r="O469" s="1">
        <f t="shared" si="255"/>
        <v>0</v>
      </c>
      <c r="P469" s="1">
        <f t="shared" si="256"/>
        <v>24.999999999999996</v>
      </c>
      <c r="Q469" s="1" t="e">
        <f t="shared" si="257"/>
        <v>#DIV/0!</v>
      </c>
      <c r="R469" s="1" t="e">
        <f t="shared" si="258"/>
        <v>#DIV/0!</v>
      </c>
      <c r="S469" s="1" t="e">
        <f t="shared" si="259"/>
        <v>#DIV/0!</v>
      </c>
      <c r="T469" s="1" t="e">
        <f t="shared" si="260"/>
        <v>#DIV/0!</v>
      </c>
      <c r="U469" s="1" t="e">
        <f t="shared" si="261"/>
        <v>#DIV/0!</v>
      </c>
      <c r="V469">
        <f t="shared" si="262"/>
        <v>851.4799999999999</v>
      </c>
      <c r="W469">
        <f t="shared" si="263"/>
        <v>0</v>
      </c>
      <c r="X469">
        <f t="shared" si="264"/>
        <v>0</v>
      </c>
      <c r="Y469">
        <f t="shared" si="265"/>
        <v>0</v>
      </c>
      <c r="Z469">
        <f t="shared" si="266"/>
        <v>0</v>
      </c>
      <c r="AA469">
        <f t="shared" si="267"/>
        <v>0</v>
      </c>
      <c r="AC469">
        <f t="shared" si="268"/>
        <v>1045.25</v>
      </c>
      <c r="AD469">
        <f t="shared" si="269"/>
        <v>0</v>
      </c>
      <c r="AE469">
        <f t="shared" si="270"/>
        <v>0</v>
      </c>
      <c r="AF469">
        <f t="shared" si="271"/>
        <v>0</v>
      </c>
      <c r="AG469">
        <f t="shared" si="272"/>
        <v>0</v>
      </c>
      <c r="AH469">
        <f t="shared" si="273"/>
        <v>0</v>
      </c>
      <c r="AJ469">
        <f t="shared" si="274"/>
        <v>1239.0099999999998</v>
      </c>
      <c r="AK469">
        <f t="shared" si="275"/>
        <v>0</v>
      </c>
      <c r="AL469">
        <f t="shared" si="276"/>
        <v>0</v>
      </c>
      <c r="AM469">
        <f t="shared" si="277"/>
        <v>0</v>
      </c>
      <c r="AN469">
        <f t="shared" si="278"/>
        <v>0</v>
      </c>
      <c r="AO469">
        <f t="shared" si="279"/>
        <v>0</v>
      </c>
    </row>
    <row r="470" spans="1:41" x14ac:dyDescent="0.45">
      <c r="A470">
        <v>37.9398555</v>
      </c>
      <c r="B470">
        <v>119.5195312</v>
      </c>
      <c r="C470">
        <v>15.833525659999999</v>
      </c>
      <c r="D470">
        <v>1.7140289500000001</v>
      </c>
      <c r="E470">
        <f t="shared" si="245"/>
        <v>1.7140289500000001</v>
      </c>
      <c r="F470">
        <f t="shared" si="246"/>
        <v>0</v>
      </c>
      <c r="G470">
        <f t="shared" si="247"/>
        <v>0</v>
      </c>
      <c r="H470">
        <f t="shared" si="248"/>
        <v>0</v>
      </c>
      <c r="I470">
        <f t="shared" si="249"/>
        <v>0</v>
      </c>
      <c r="J470">
        <f t="shared" si="250"/>
        <v>0</v>
      </c>
      <c r="K470" s="1">
        <f t="shared" si="251"/>
        <v>0</v>
      </c>
      <c r="L470" s="1">
        <f t="shared" si="252"/>
        <v>0</v>
      </c>
      <c r="M470" s="1">
        <f t="shared" si="253"/>
        <v>0</v>
      </c>
      <c r="N470" s="1">
        <f t="shared" si="254"/>
        <v>0</v>
      </c>
      <c r="O470" s="1">
        <f t="shared" si="255"/>
        <v>0</v>
      </c>
      <c r="P470" s="1">
        <f t="shared" si="256"/>
        <v>25</v>
      </c>
      <c r="Q470" s="1" t="e">
        <f t="shared" si="257"/>
        <v>#DIV/0!</v>
      </c>
      <c r="R470" s="1" t="e">
        <f t="shared" si="258"/>
        <v>#DIV/0!</v>
      </c>
      <c r="S470" s="1" t="e">
        <f t="shared" si="259"/>
        <v>#DIV/0!</v>
      </c>
      <c r="T470" s="1" t="e">
        <f t="shared" si="260"/>
        <v>#DIV/0!</v>
      </c>
      <c r="U470" s="1" t="e">
        <f t="shared" si="261"/>
        <v>#DIV/0!</v>
      </c>
      <c r="V470">
        <f t="shared" si="262"/>
        <v>851.48</v>
      </c>
      <c r="W470">
        <f t="shared" si="263"/>
        <v>0</v>
      </c>
      <c r="X470">
        <f t="shared" si="264"/>
        <v>0</v>
      </c>
      <c r="Y470">
        <f t="shared" si="265"/>
        <v>0</v>
      </c>
      <c r="Z470">
        <f t="shared" si="266"/>
        <v>0</v>
      </c>
      <c r="AA470">
        <f t="shared" si="267"/>
        <v>0</v>
      </c>
      <c r="AC470">
        <f t="shared" si="268"/>
        <v>1045.25</v>
      </c>
      <c r="AD470">
        <f t="shared" si="269"/>
        <v>0</v>
      </c>
      <c r="AE470">
        <f t="shared" si="270"/>
        <v>0</v>
      </c>
      <c r="AF470">
        <f t="shared" si="271"/>
        <v>0</v>
      </c>
      <c r="AG470">
        <f t="shared" si="272"/>
        <v>0</v>
      </c>
      <c r="AH470">
        <f t="shared" si="273"/>
        <v>0</v>
      </c>
      <c r="AJ470">
        <f t="shared" si="274"/>
        <v>1239.01</v>
      </c>
      <c r="AK470">
        <f t="shared" si="275"/>
        <v>0</v>
      </c>
      <c r="AL470">
        <f t="shared" si="276"/>
        <v>0</v>
      </c>
      <c r="AM470">
        <f t="shared" si="277"/>
        <v>0</v>
      </c>
      <c r="AN470">
        <f t="shared" si="278"/>
        <v>0</v>
      </c>
      <c r="AO470">
        <f t="shared" si="279"/>
        <v>0</v>
      </c>
    </row>
    <row r="471" spans="1:41" x14ac:dyDescent="0.45">
      <c r="A471">
        <v>37.946125729999999</v>
      </c>
      <c r="B471">
        <v>115.5535393</v>
      </c>
      <c r="C471">
        <v>10.858460429999999</v>
      </c>
      <c r="D471">
        <v>1.4398139700000001</v>
      </c>
      <c r="E471">
        <f t="shared" si="245"/>
        <v>1.4398139700000001</v>
      </c>
      <c r="F471">
        <f t="shared" si="246"/>
        <v>0</v>
      </c>
      <c r="G471">
        <f t="shared" si="247"/>
        <v>0</v>
      </c>
      <c r="H471">
        <f t="shared" si="248"/>
        <v>0</v>
      </c>
      <c r="I471">
        <f t="shared" si="249"/>
        <v>0</v>
      </c>
      <c r="J471">
        <f t="shared" si="250"/>
        <v>0</v>
      </c>
      <c r="K471" s="1">
        <f t="shared" si="251"/>
        <v>0</v>
      </c>
      <c r="L471" s="1">
        <f t="shared" si="252"/>
        <v>0</v>
      </c>
      <c r="M471" s="1">
        <f t="shared" si="253"/>
        <v>0</v>
      </c>
      <c r="N471" s="1">
        <f t="shared" si="254"/>
        <v>0</v>
      </c>
      <c r="O471" s="1">
        <f t="shared" si="255"/>
        <v>0</v>
      </c>
      <c r="P471" s="1">
        <f t="shared" si="256"/>
        <v>25</v>
      </c>
      <c r="Q471" s="1" t="e">
        <f t="shared" si="257"/>
        <v>#DIV/0!</v>
      </c>
      <c r="R471" s="1" t="e">
        <f t="shared" si="258"/>
        <v>#DIV/0!</v>
      </c>
      <c r="S471" s="1" t="e">
        <f t="shared" si="259"/>
        <v>#DIV/0!</v>
      </c>
      <c r="T471" s="1" t="e">
        <f t="shared" si="260"/>
        <v>#DIV/0!</v>
      </c>
      <c r="U471" s="1" t="e">
        <f t="shared" si="261"/>
        <v>#DIV/0!</v>
      </c>
      <c r="V471">
        <f t="shared" si="262"/>
        <v>851.48</v>
      </c>
      <c r="W471">
        <f t="shared" si="263"/>
        <v>0</v>
      </c>
      <c r="X471">
        <f t="shared" si="264"/>
        <v>0</v>
      </c>
      <c r="Y471">
        <f t="shared" si="265"/>
        <v>0</v>
      </c>
      <c r="Z471">
        <f t="shared" si="266"/>
        <v>0</v>
      </c>
      <c r="AA471">
        <f t="shared" si="267"/>
        <v>0</v>
      </c>
      <c r="AC471">
        <f t="shared" si="268"/>
        <v>1045.25</v>
      </c>
      <c r="AD471">
        <f t="shared" si="269"/>
        <v>0</v>
      </c>
      <c r="AE471">
        <f t="shared" si="270"/>
        <v>0</v>
      </c>
      <c r="AF471">
        <f t="shared" si="271"/>
        <v>0</v>
      </c>
      <c r="AG471">
        <f t="shared" si="272"/>
        <v>0</v>
      </c>
      <c r="AH471">
        <f t="shared" si="273"/>
        <v>0</v>
      </c>
      <c r="AJ471">
        <f t="shared" si="274"/>
        <v>1239.01</v>
      </c>
      <c r="AK471">
        <f t="shared" si="275"/>
        <v>0</v>
      </c>
      <c r="AL471">
        <f t="shared" si="276"/>
        <v>0</v>
      </c>
      <c r="AM471">
        <f t="shared" si="277"/>
        <v>0</v>
      </c>
      <c r="AN471">
        <f t="shared" si="278"/>
        <v>0</v>
      </c>
      <c r="AO471">
        <f t="shared" si="279"/>
        <v>0</v>
      </c>
    </row>
    <row r="472" spans="1:41" x14ac:dyDescent="0.45">
      <c r="A472">
        <v>37.946223490000001</v>
      </c>
      <c r="B472">
        <v>119.4621721</v>
      </c>
      <c r="C472">
        <v>15.20367336</v>
      </c>
      <c r="D472">
        <v>6.81693792</v>
      </c>
      <c r="E472">
        <f t="shared" si="245"/>
        <v>6.81693792</v>
      </c>
      <c r="F472">
        <f t="shared" si="246"/>
        <v>0</v>
      </c>
      <c r="G472">
        <f t="shared" si="247"/>
        <v>0</v>
      </c>
      <c r="H472">
        <f t="shared" si="248"/>
        <v>0</v>
      </c>
      <c r="I472">
        <f t="shared" si="249"/>
        <v>0</v>
      </c>
      <c r="J472">
        <f t="shared" si="250"/>
        <v>0</v>
      </c>
      <c r="K472" s="1">
        <f t="shared" si="251"/>
        <v>0</v>
      </c>
      <c r="L472" s="1">
        <f t="shared" si="252"/>
        <v>0</v>
      </c>
      <c r="M472" s="1">
        <f t="shared" si="253"/>
        <v>0</v>
      </c>
      <c r="N472" s="1">
        <f t="shared" si="254"/>
        <v>0</v>
      </c>
      <c r="O472" s="1">
        <f t="shared" si="255"/>
        <v>0</v>
      </c>
      <c r="P472" s="1">
        <f t="shared" si="256"/>
        <v>25</v>
      </c>
      <c r="Q472" s="1" t="e">
        <f t="shared" si="257"/>
        <v>#DIV/0!</v>
      </c>
      <c r="R472" s="1" t="e">
        <f t="shared" si="258"/>
        <v>#DIV/0!</v>
      </c>
      <c r="S472" s="1" t="e">
        <f t="shared" si="259"/>
        <v>#DIV/0!</v>
      </c>
      <c r="T472" s="1" t="e">
        <f t="shared" si="260"/>
        <v>#DIV/0!</v>
      </c>
      <c r="U472" s="1" t="e">
        <f t="shared" si="261"/>
        <v>#DIV/0!</v>
      </c>
      <c r="V472">
        <f t="shared" si="262"/>
        <v>851.48</v>
      </c>
      <c r="W472">
        <f t="shared" si="263"/>
        <v>0</v>
      </c>
      <c r="X472">
        <f t="shared" si="264"/>
        <v>0</v>
      </c>
      <c r="Y472">
        <f t="shared" si="265"/>
        <v>0</v>
      </c>
      <c r="Z472">
        <f t="shared" si="266"/>
        <v>0</v>
      </c>
      <c r="AA472">
        <f t="shared" si="267"/>
        <v>0</v>
      </c>
      <c r="AC472">
        <f t="shared" si="268"/>
        <v>1045.25</v>
      </c>
      <c r="AD472">
        <f t="shared" si="269"/>
        <v>0</v>
      </c>
      <c r="AE472">
        <f t="shared" si="270"/>
        <v>0</v>
      </c>
      <c r="AF472">
        <f t="shared" si="271"/>
        <v>0</v>
      </c>
      <c r="AG472">
        <f t="shared" si="272"/>
        <v>0</v>
      </c>
      <c r="AH472">
        <f t="shared" si="273"/>
        <v>0</v>
      </c>
      <c r="AJ472">
        <f t="shared" si="274"/>
        <v>1239.01</v>
      </c>
      <c r="AK472">
        <f t="shared" si="275"/>
        <v>0</v>
      </c>
      <c r="AL472">
        <f t="shared" si="276"/>
        <v>0</v>
      </c>
      <c r="AM472">
        <f t="shared" si="277"/>
        <v>0</v>
      </c>
      <c r="AN472">
        <f t="shared" si="278"/>
        <v>0</v>
      </c>
      <c r="AO472">
        <f t="shared" si="279"/>
        <v>0</v>
      </c>
    </row>
    <row r="473" spans="1:41" x14ac:dyDescent="0.45">
      <c r="A473">
        <v>37.950103810000002</v>
      </c>
      <c r="B473">
        <v>106.6759753</v>
      </c>
      <c r="C473">
        <v>0.30834942999999998</v>
      </c>
      <c r="D473">
        <v>0.15290599999999999</v>
      </c>
      <c r="E473">
        <f t="shared" si="245"/>
        <v>0.15290599999999999</v>
      </c>
      <c r="F473">
        <f t="shared" si="246"/>
        <v>0</v>
      </c>
      <c r="G473">
        <f t="shared" si="247"/>
        <v>0</v>
      </c>
      <c r="H473">
        <f t="shared" si="248"/>
        <v>0</v>
      </c>
      <c r="I473">
        <f t="shared" si="249"/>
        <v>0</v>
      </c>
      <c r="J473">
        <f t="shared" si="250"/>
        <v>0</v>
      </c>
      <c r="K473" s="1">
        <f t="shared" si="251"/>
        <v>0</v>
      </c>
      <c r="L473" s="1">
        <f t="shared" si="252"/>
        <v>0</v>
      </c>
      <c r="M473" s="1">
        <f t="shared" si="253"/>
        <v>0</v>
      </c>
      <c r="N473" s="1">
        <f t="shared" si="254"/>
        <v>0</v>
      </c>
      <c r="O473" s="1">
        <f t="shared" si="255"/>
        <v>0</v>
      </c>
      <c r="P473" s="1">
        <f t="shared" si="256"/>
        <v>25</v>
      </c>
      <c r="Q473" s="1" t="e">
        <f t="shared" si="257"/>
        <v>#DIV/0!</v>
      </c>
      <c r="R473" s="1" t="e">
        <f t="shared" si="258"/>
        <v>#DIV/0!</v>
      </c>
      <c r="S473" s="1" t="e">
        <f t="shared" si="259"/>
        <v>#DIV/0!</v>
      </c>
      <c r="T473" s="1" t="e">
        <f t="shared" si="260"/>
        <v>#DIV/0!</v>
      </c>
      <c r="U473" s="1" t="e">
        <f t="shared" si="261"/>
        <v>#DIV/0!</v>
      </c>
      <c r="V473">
        <f t="shared" si="262"/>
        <v>851.48</v>
      </c>
      <c r="W473">
        <f t="shared" si="263"/>
        <v>0</v>
      </c>
      <c r="X473">
        <f t="shared" si="264"/>
        <v>0</v>
      </c>
      <c r="Y473">
        <f t="shared" si="265"/>
        <v>0</v>
      </c>
      <c r="Z473">
        <f t="shared" si="266"/>
        <v>0</v>
      </c>
      <c r="AA473">
        <f t="shared" si="267"/>
        <v>0</v>
      </c>
      <c r="AC473">
        <f t="shared" si="268"/>
        <v>1045.25</v>
      </c>
      <c r="AD473">
        <f t="shared" si="269"/>
        <v>0</v>
      </c>
      <c r="AE473">
        <f t="shared" si="270"/>
        <v>0</v>
      </c>
      <c r="AF473">
        <f t="shared" si="271"/>
        <v>0</v>
      </c>
      <c r="AG473">
        <f t="shared" si="272"/>
        <v>0</v>
      </c>
      <c r="AH473">
        <f t="shared" si="273"/>
        <v>0</v>
      </c>
      <c r="AJ473">
        <f t="shared" si="274"/>
        <v>1239.01</v>
      </c>
      <c r="AK473">
        <f t="shared" si="275"/>
        <v>0</v>
      </c>
      <c r="AL473">
        <f t="shared" si="276"/>
        <v>0</v>
      </c>
      <c r="AM473">
        <f t="shared" si="277"/>
        <v>0</v>
      </c>
      <c r="AN473">
        <f t="shared" si="278"/>
        <v>0</v>
      </c>
      <c r="AO473">
        <f t="shared" si="279"/>
        <v>0</v>
      </c>
    </row>
    <row r="474" spans="1:41" x14ac:dyDescent="0.45">
      <c r="A474">
        <v>37.963975329999997</v>
      </c>
      <c r="B474">
        <v>115.32292200000001</v>
      </c>
      <c r="C474">
        <v>10.663947110000001</v>
      </c>
      <c r="D474">
        <v>0.89561599000000003</v>
      </c>
      <c r="E474">
        <f t="shared" si="245"/>
        <v>0.89561599000000003</v>
      </c>
      <c r="F474">
        <f t="shared" si="246"/>
        <v>0</v>
      </c>
      <c r="G474">
        <f t="shared" si="247"/>
        <v>0</v>
      </c>
      <c r="H474">
        <f t="shared" si="248"/>
        <v>0</v>
      </c>
      <c r="I474">
        <f t="shared" si="249"/>
        <v>0</v>
      </c>
      <c r="J474">
        <f t="shared" si="250"/>
        <v>0</v>
      </c>
      <c r="K474" s="1">
        <f t="shared" si="251"/>
        <v>0</v>
      </c>
      <c r="L474" s="1">
        <f t="shared" si="252"/>
        <v>0</v>
      </c>
      <c r="M474" s="1">
        <f t="shared" si="253"/>
        <v>0</v>
      </c>
      <c r="N474" s="1">
        <f t="shared" si="254"/>
        <v>0</v>
      </c>
      <c r="O474" s="1">
        <f t="shared" si="255"/>
        <v>0</v>
      </c>
      <c r="P474" s="1">
        <f t="shared" si="256"/>
        <v>25</v>
      </c>
      <c r="Q474" s="1" t="e">
        <f t="shared" si="257"/>
        <v>#DIV/0!</v>
      </c>
      <c r="R474" s="1" t="e">
        <f t="shared" si="258"/>
        <v>#DIV/0!</v>
      </c>
      <c r="S474" s="1" t="e">
        <f t="shared" si="259"/>
        <v>#DIV/0!</v>
      </c>
      <c r="T474" s="1" t="e">
        <f t="shared" si="260"/>
        <v>#DIV/0!</v>
      </c>
      <c r="U474" s="1" t="e">
        <f t="shared" si="261"/>
        <v>#DIV/0!</v>
      </c>
      <c r="V474">
        <f t="shared" si="262"/>
        <v>851.48</v>
      </c>
      <c r="W474">
        <f t="shared" si="263"/>
        <v>0</v>
      </c>
      <c r="X474">
        <f t="shared" si="264"/>
        <v>0</v>
      </c>
      <c r="Y474">
        <f t="shared" si="265"/>
        <v>0</v>
      </c>
      <c r="Z474">
        <f t="shared" si="266"/>
        <v>0</v>
      </c>
      <c r="AA474">
        <f t="shared" si="267"/>
        <v>0</v>
      </c>
      <c r="AC474">
        <f t="shared" si="268"/>
        <v>1045.25</v>
      </c>
      <c r="AD474">
        <f t="shared" si="269"/>
        <v>0</v>
      </c>
      <c r="AE474">
        <f t="shared" si="270"/>
        <v>0</v>
      </c>
      <c r="AF474">
        <f t="shared" si="271"/>
        <v>0</v>
      </c>
      <c r="AG474">
        <f t="shared" si="272"/>
        <v>0</v>
      </c>
      <c r="AH474">
        <f t="shared" si="273"/>
        <v>0</v>
      </c>
      <c r="AJ474">
        <f t="shared" si="274"/>
        <v>1239.01</v>
      </c>
      <c r="AK474">
        <f t="shared" si="275"/>
        <v>0</v>
      </c>
      <c r="AL474">
        <f t="shared" si="276"/>
        <v>0</v>
      </c>
      <c r="AM474">
        <f t="shared" si="277"/>
        <v>0</v>
      </c>
      <c r="AN474">
        <f t="shared" si="278"/>
        <v>0</v>
      </c>
      <c r="AO474">
        <f t="shared" si="279"/>
        <v>0</v>
      </c>
    </row>
    <row r="475" spans="1:41" x14ac:dyDescent="0.45">
      <c r="A475">
        <v>37.968369750000001</v>
      </c>
      <c r="B475">
        <v>115.26525100000001</v>
      </c>
      <c r="C475">
        <v>10.663947110000001</v>
      </c>
      <c r="D475">
        <v>0.105712</v>
      </c>
      <c r="E475">
        <f t="shared" si="245"/>
        <v>0.105712</v>
      </c>
      <c r="F475">
        <f t="shared" si="246"/>
        <v>0</v>
      </c>
      <c r="G475">
        <f t="shared" si="247"/>
        <v>0</v>
      </c>
      <c r="H475">
        <f t="shared" si="248"/>
        <v>0</v>
      </c>
      <c r="I475">
        <f t="shared" si="249"/>
        <v>0</v>
      </c>
      <c r="J475">
        <f t="shared" si="250"/>
        <v>0</v>
      </c>
      <c r="K475" s="1">
        <f t="shared" si="251"/>
        <v>0</v>
      </c>
      <c r="L475" s="1">
        <f t="shared" si="252"/>
        <v>0</v>
      </c>
      <c r="M475" s="1">
        <f t="shared" si="253"/>
        <v>0</v>
      </c>
      <c r="N475" s="1">
        <f t="shared" si="254"/>
        <v>0</v>
      </c>
      <c r="O475" s="1">
        <f t="shared" si="255"/>
        <v>0</v>
      </c>
      <c r="P475" s="1">
        <f t="shared" si="256"/>
        <v>24.999999999999996</v>
      </c>
      <c r="Q475" s="1" t="e">
        <f t="shared" si="257"/>
        <v>#DIV/0!</v>
      </c>
      <c r="R475" s="1" t="e">
        <f t="shared" si="258"/>
        <v>#DIV/0!</v>
      </c>
      <c r="S475" s="1" t="e">
        <f t="shared" si="259"/>
        <v>#DIV/0!</v>
      </c>
      <c r="T475" s="1" t="e">
        <f t="shared" si="260"/>
        <v>#DIV/0!</v>
      </c>
      <c r="U475" s="1" t="e">
        <f t="shared" si="261"/>
        <v>#DIV/0!</v>
      </c>
      <c r="V475">
        <f t="shared" si="262"/>
        <v>851.4799999999999</v>
      </c>
      <c r="W475">
        <f t="shared" si="263"/>
        <v>0</v>
      </c>
      <c r="X475">
        <f t="shared" si="264"/>
        <v>0</v>
      </c>
      <c r="Y475">
        <f t="shared" si="265"/>
        <v>0</v>
      </c>
      <c r="Z475">
        <f t="shared" si="266"/>
        <v>0</v>
      </c>
      <c r="AA475">
        <f t="shared" si="267"/>
        <v>0</v>
      </c>
      <c r="AC475">
        <f t="shared" si="268"/>
        <v>1045.25</v>
      </c>
      <c r="AD475">
        <f t="shared" si="269"/>
        <v>0</v>
      </c>
      <c r="AE475">
        <f t="shared" si="270"/>
        <v>0</v>
      </c>
      <c r="AF475">
        <f t="shared" si="271"/>
        <v>0</v>
      </c>
      <c r="AG475">
        <f t="shared" si="272"/>
        <v>0</v>
      </c>
      <c r="AH475">
        <f t="shared" si="273"/>
        <v>0</v>
      </c>
      <c r="AJ475">
        <f t="shared" si="274"/>
        <v>1239.0099999999998</v>
      </c>
      <c r="AK475">
        <f t="shared" si="275"/>
        <v>0</v>
      </c>
      <c r="AL475">
        <f t="shared" si="276"/>
        <v>0</v>
      </c>
      <c r="AM475">
        <f t="shared" si="277"/>
        <v>0</v>
      </c>
      <c r="AN475">
        <f t="shared" si="278"/>
        <v>0</v>
      </c>
      <c r="AO475">
        <f t="shared" si="279"/>
        <v>0</v>
      </c>
    </row>
    <row r="476" spans="1:41" x14ac:dyDescent="0.45">
      <c r="A476">
        <v>37.978878530000003</v>
      </c>
      <c r="B476">
        <v>119.5849767</v>
      </c>
      <c r="C476">
        <v>17.623571399999999</v>
      </c>
      <c r="D476">
        <v>0.320768</v>
      </c>
      <c r="E476">
        <f t="shared" si="245"/>
        <v>0.320768</v>
      </c>
      <c r="F476">
        <f t="shared" si="246"/>
        <v>0</v>
      </c>
      <c r="G476">
        <f t="shared" si="247"/>
        <v>0</v>
      </c>
      <c r="H476">
        <f t="shared" si="248"/>
        <v>0</v>
      </c>
      <c r="I476">
        <f t="shared" si="249"/>
        <v>0</v>
      </c>
      <c r="J476">
        <f t="shared" si="250"/>
        <v>0</v>
      </c>
      <c r="K476" s="1">
        <f t="shared" si="251"/>
        <v>0</v>
      </c>
      <c r="L476" s="1">
        <f t="shared" si="252"/>
        <v>0</v>
      </c>
      <c r="M476" s="1">
        <f t="shared" si="253"/>
        <v>0</v>
      </c>
      <c r="N476" s="1">
        <f t="shared" si="254"/>
        <v>0</v>
      </c>
      <c r="O476" s="1">
        <f t="shared" si="255"/>
        <v>0</v>
      </c>
      <c r="P476" s="1">
        <f t="shared" si="256"/>
        <v>25</v>
      </c>
      <c r="Q476" s="1" t="e">
        <f t="shared" si="257"/>
        <v>#DIV/0!</v>
      </c>
      <c r="R476" s="1" t="e">
        <f t="shared" si="258"/>
        <v>#DIV/0!</v>
      </c>
      <c r="S476" s="1" t="e">
        <f t="shared" si="259"/>
        <v>#DIV/0!</v>
      </c>
      <c r="T476" s="1" t="e">
        <f t="shared" si="260"/>
        <v>#DIV/0!</v>
      </c>
      <c r="U476" s="1" t="e">
        <f t="shared" si="261"/>
        <v>#DIV/0!</v>
      </c>
      <c r="V476">
        <f t="shared" si="262"/>
        <v>851.48</v>
      </c>
      <c r="W476">
        <f t="shared" si="263"/>
        <v>0</v>
      </c>
      <c r="X476">
        <f t="shared" si="264"/>
        <v>0</v>
      </c>
      <c r="Y476">
        <f t="shared" si="265"/>
        <v>0</v>
      </c>
      <c r="Z476">
        <f t="shared" si="266"/>
        <v>0</v>
      </c>
      <c r="AA476">
        <f t="shared" si="267"/>
        <v>0</v>
      </c>
      <c r="AC476">
        <f t="shared" si="268"/>
        <v>1045.25</v>
      </c>
      <c r="AD476">
        <f t="shared" si="269"/>
        <v>0</v>
      </c>
      <c r="AE476">
        <f t="shared" si="270"/>
        <v>0</v>
      </c>
      <c r="AF476">
        <f t="shared" si="271"/>
        <v>0</v>
      </c>
      <c r="AG476">
        <f t="shared" si="272"/>
        <v>0</v>
      </c>
      <c r="AH476">
        <f t="shared" si="273"/>
        <v>0</v>
      </c>
      <c r="AJ476">
        <f t="shared" si="274"/>
        <v>1239.01</v>
      </c>
      <c r="AK476">
        <f t="shared" si="275"/>
        <v>0</v>
      </c>
      <c r="AL476">
        <f t="shared" si="276"/>
        <v>0</v>
      </c>
      <c r="AM476">
        <f t="shared" si="277"/>
        <v>0</v>
      </c>
      <c r="AN476">
        <f t="shared" si="278"/>
        <v>0</v>
      </c>
      <c r="AO476">
        <f t="shared" si="279"/>
        <v>0</v>
      </c>
    </row>
    <row r="477" spans="1:41" x14ac:dyDescent="0.45">
      <c r="A477">
        <v>37.982677340000002</v>
      </c>
      <c r="B477">
        <v>115.6745825</v>
      </c>
      <c r="C477">
        <v>10.858460429999999</v>
      </c>
      <c r="D477">
        <v>1.2384550599999999</v>
      </c>
      <c r="E477">
        <f t="shared" si="245"/>
        <v>1.2384550599999999</v>
      </c>
      <c r="F477">
        <f t="shared" si="246"/>
        <v>0</v>
      </c>
      <c r="G477">
        <f t="shared" si="247"/>
        <v>0</v>
      </c>
      <c r="H477">
        <f t="shared" si="248"/>
        <v>0</v>
      </c>
      <c r="I477">
        <f t="shared" si="249"/>
        <v>0</v>
      </c>
      <c r="J477">
        <f t="shared" si="250"/>
        <v>0</v>
      </c>
      <c r="K477" s="1">
        <f t="shared" si="251"/>
        <v>0</v>
      </c>
      <c r="L477" s="1">
        <f t="shared" si="252"/>
        <v>0</v>
      </c>
      <c r="M477" s="1">
        <f t="shared" si="253"/>
        <v>0</v>
      </c>
      <c r="N477" s="1">
        <f t="shared" si="254"/>
        <v>0</v>
      </c>
      <c r="O477" s="1">
        <f t="shared" si="255"/>
        <v>0</v>
      </c>
      <c r="P477" s="1">
        <f t="shared" si="256"/>
        <v>25</v>
      </c>
      <c r="Q477" s="1" t="e">
        <f t="shared" si="257"/>
        <v>#DIV/0!</v>
      </c>
      <c r="R477" s="1" t="e">
        <f t="shared" si="258"/>
        <v>#DIV/0!</v>
      </c>
      <c r="S477" s="1" t="e">
        <f t="shared" si="259"/>
        <v>#DIV/0!</v>
      </c>
      <c r="T477" s="1" t="e">
        <f t="shared" si="260"/>
        <v>#DIV/0!</v>
      </c>
      <c r="U477" s="1" t="e">
        <f t="shared" si="261"/>
        <v>#DIV/0!</v>
      </c>
      <c r="V477">
        <f t="shared" si="262"/>
        <v>851.48</v>
      </c>
      <c r="W477">
        <f t="shared" si="263"/>
        <v>0</v>
      </c>
      <c r="X477">
        <f t="shared" si="264"/>
        <v>0</v>
      </c>
      <c r="Y477">
        <f t="shared" si="265"/>
        <v>0</v>
      </c>
      <c r="Z477">
        <f t="shared" si="266"/>
        <v>0</v>
      </c>
      <c r="AA477">
        <f t="shared" si="267"/>
        <v>0</v>
      </c>
      <c r="AC477">
        <f t="shared" si="268"/>
        <v>1045.25</v>
      </c>
      <c r="AD477">
        <f t="shared" si="269"/>
        <v>0</v>
      </c>
      <c r="AE477">
        <f t="shared" si="270"/>
        <v>0</v>
      </c>
      <c r="AF477">
        <f t="shared" si="271"/>
        <v>0</v>
      </c>
      <c r="AG477">
        <f t="shared" si="272"/>
        <v>0</v>
      </c>
      <c r="AH477">
        <f t="shared" si="273"/>
        <v>0</v>
      </c>
      <c r="AJ477">
        <f t="shared" si="274"/>
        <v>1239.01</v>
      </c>
      <c r="AK477">
        <f t="shared" si="275"/>
        <v>0</v>
      </c>
      <c r="AL477">
        <f t="shared" si="276"/>
        <v>0</v>
      </c>
      <c r="AM477">
        <f t="shared" si="277"/>
        <v>0</v>
      </c>
      <c r="AN477">
        <f t="shared" si="278"/>
        <v>0</v>
      </c>
      <c r="AO477">
        <f t="shared" si="279"/>
        <v>0</v>
      </c>
    </row>
    <row r="478" spans="1:41" x14ac:dyDescent="0.45">
      <c r="A478">
        <v>37.993029409999998</v>
      </c>
      <c r="B478">
        <v>118.5931472</v>
      </c>
      <c r="C478">
        <v>65.630661009999997</v>
      </c>
      <c r="D478">
        <v>0.21617500000000001</v>
      </c>
      <c r="E478">
        <f t="shared" si="245"/>
        <v>0.21617500000000001</v>
      </c>
      <c r="F478">
        <f t="shared" si="246"/>
        <v>0</v>
      </c>
      <c r="G478">
        <f t="shared" si="247"/>
        <v>0</v>
      </c>
      <c r="H478">
        <f t="shared" si="248"/>
        <v>0</v>
      </c>
      <c r="I478">
        <f t="shared" si="249"/>
        <v>0</v>
      </c>
      <c r="J478">
        <f t="shared" si="250"/>
        <v>0</v>
      </c>
      <c r="K478" s="1">
        <f t="shared" si="251"/>
        <v>0</v>
      </c>
      <c r="L478" s="1">
        <f t="shared" si="252"/>
        <v>0</v>
      </c>
      <c r="M478" s="1">
        <f t="shared" si="253"/>
        <v>0</v>
      </c>
      <c r="N478" s="1">
        <f t="shared" si="254"/>
        <v>0</v>
      </c>
      <c r="O478" s="1">
        <f t="shared" si="255"/>
        <v>0</v>
      </c>
      <c r="P478" s="1">
        <f t="shared" si="256"/>
        <v>25</v>
      </c>
      <c r="Q478" s="1" t="e">
        <f t="shared" si="257"/>
        <v>#DIV/0!</v>
      </c>
      <c r="R478" s="1" t="e">
        <f t="shared" si="258"/>
        <v>#DIV/0!</v>
      </c>
      <c r="S478" s="1" t="e">
        <f t="shared" si="259"/>
        <v>#DIV/0!</v>
      </c>
      <c r="T478" s="1" t="e">
        <f t="shared" si="260"/>
        <v>#DIV/0!</v>
      </c>
      <c r="U478" s="1" t="e">
        <f t="shared" si="261"/>
        <v>#DIV/0!</v>
      </c>
      <c r="V478">
        <f t="shared" si="262"/>
        <v>851.48</v>
      </c>
      <c r="W478">
        <f t="shared" si="263"/>
        <v>0</v>
      </c>
      <c r="X478">
        <f t="shared" si="264"/>
        <v>0</v>
      </c>
      <c r="Y478">
        <f t="shared" si="265"/>
        <v>0</v>
      </c>
      <c r="Z478">
        <f t="shared" si="266"/>
        <v>0</v>
      </c>
      <c r="AA478">
        <f t="shared" si="267"/>
        <v>0</v>
      </c>
      <c r="AC478">
        <f t="shared" si="268"/>
        <v>1045.25</v>
      </c>
      <c r="AD478">
        <f t="shared" si="269"/>
        <v>0</v>
      </c>
      <c r="AE478">
        <f t="shared" si="270"/>
        <v>0</v>
      </c>
      <c r="AF478">
        <f t="shared" si="271"/>
        <v>0</v>
      </c>
      <c r="AG478">
        <f t="shared" si="272"/>
        <v>0</v>
      </c>
      <c r="AH478">
        <f t="shared" si="273"/>
        <v>0</v>
      </c>
      <c r="AJ478">
        <f t="shared" si="274"/>
        <v>1239.01</v>
      </c>
      <c r="AK478">
        <f t="shared" si="275"/>
        <v>0</v>
      </c>
      <c r="AL478">
        <f t="shared" si="276"/>
        <v>0</v>
      </c>
      <c r="AM478">
        <f t="shared" si="277"/>
        <v>0</v>
      </c>
      <c r="AN478">
        <f t="shared" si="278"/>
        <v>0</v>
      </c>
      <c r="AO478">
        <f t="shared" si="279"/>
        <v>0</v>
      </c>
    </row>
    <row r="479" spans="1:41" x14ac:dyDescent="0.45">
      <c r="A479">
        <v>37.9984167</v>
      </c>
      <c r="B479">
        <v>119.8226506</v>
      </c>
      <c r="C479">
        <v>8.9278774300000006</v>
      </c>
      <c r="D479">
        <v>33.305839540000001</v>
      </c>
      <c r="E479">
        <f t="shared" si="245"/>
        <v>8.9278774300000006</v>
      </c>
      <c r="F479">
        <f t="shared" si="246"/>
        <v>0</v>
      </c>
      <c r="G479">
        <f t="shared" si="247"/>
        <v>0</v>
      </c>
      <c r="H479">
        <f t="shared" si="248"/>
        <v>0</v>
      </c>
      <c r="I479">
        <f t="shared" si="249"/>
        <v>0</v>
      </c>
      <c r="J479">
        <f t="shared" si="250"/>
        <v>0</v>
      </c>
      <c r="K479" s="1">
        <f t="shared" si="251"/>
        <v>0</v>
      </c>
      <c r="L479" s="1">
        <f t="shared" si="252"/>
        <v>0</v>
      </c>
      <c r="M479" s="1">
        <f t="shared" si="253"/>
        <v>0</v>
      </c>
      <c r="N479" s="1">
        <f t="shared" si="254"/>
        <v>0</v>
      </c>
      <c r="O479" s="1">
        <f t="shared" si="255"/>
        <v>0</v>
      </c>
      <c r="P479" s="1">
        <f t="shared" si="256"/>
        <v>6.7014355089876236</v>
      </c>
      <c r="Q479" s="1" t="e">
        <f t="shared" si="257"/>
        <v>#DIV/0!</v>
      </c>
      <c r="R479" s="1" t="e">
        <f t="shared" si="258"/>
        <v>#DIV/0!</v>
      </c>
      <c r="S479" s="1" t="e">
        <f t="shared" si="259"/>
        <v>#DIV/0!</v>
      </c>
      <c r="T479" s="1" t="e">
        <f t="shared" si="260"/>
        <v>#DIV/0!</v>
      </c>
      <c r="U479" s="1" t="e">
        <f t="shared" si="261"/>
        <v>#DIV/0!</v>
      </c>
      <c r="V479">
        <f t="shared" si="262"/>
        <v>256.77665404209779</v>
      </c>
      <c r="W479">
        <f t="shared" si="263"/>
        <v>0</v>
      </c>
      <c r="X479">
        <f t="shared" si="264"/>
        <v>0</v>
      </c>
      <c r="Y479">
        <f t="shared" si="265"/>
        <v>0</v>
      </c>
      <c r="Z479">
        <f t="shared" si="266"/>
        <v>0</v>
      </c>
      <c r="AA479">
        <f t="shared" si="267"/>
        <v>0</v>
      </c>
      <c r="AC479">
        <f t="shared" si="268"/>
        <v>313.30742035950493</v>
      </c>
      <c r="AD479">
        <f t="shared" si="269"/>
        <v>0</v>
      </c>
      <c r="AE479">
        <f t="shared" si="270"/>
        <v>0</v>
      </c>
      <c r="AF479">
        <f t="shared" si="271"/>
        <v>0</v>
      </c>
      <c r="AG479">
        <f t="shared" si="272"/>
        <v>0</v>
      </c>
      <c r="AH479">
        <f t="shared" si="273"/>
        <v>0</v>
      </c>
      <c r="AJ479">
        <f t="shared" si="274"/>
        <v>369.82818667691214</v>
      </c>
      <c r="AK479">
        <f t="shared" si="275"/>
        <v>0</v>
      </c>
      <c r="AL479">
        <f t="shared" si="276"/>
        <v>0</v>
      </c>
      <c r="AM479">
        <f t="shared" si="277"/>
        <v>0</v>
      </c>
      <c r="AN479">
        <f t="shared" si="278"/>
        <v>0</v>
      </c>
      <c r="AO479">
        <f t="shared" si="279"/>
        <v>0</v>
      </c>
    </row>
    <row r="480" spans="1:41" x14ac:dyDescent="0.45">
      <c r="A480">
        <v>38.002322829999997</v>
      </c>
      <c r="B480">
        <v>118.9455167</v>
      </c>
      <c r="C480">
        <v>43.008232120000002</v>
      </c>
      <c r="D480">
        <v>4.1563939999999997</v>
      </c>
      <c r="E480">
        <f t="shared" si="245"/>
        <v>4.1563939999999997</v>
      </c>
      <c r="F480">
        <f t="shared" si="246"/>
        <v>0</v>
      </c>
      <c r="G480">
        <f t="shared" si="247"/>
        <v>0</v>
      </c>
      <c r="H480">
        <f t="shared" si="248"/>
        <v>0</v>
      </c>
      <c r="I480">
        <f t="shared" si="249"/>
        <v>0</v>
      </c>
      <c r="J480">
        <f t="shared" si="250"/>
        <v>0</v>
      </c>
      <c r="K480" s="1">
        <f t="shared" si="251"/>
        <v>0</v>
      </c>
      <c r="L480" s="1">
        <f t="shared" si="252"/>
        <v>0</v>
      </c>
      <c r="M480" s="1">
        <f t="shared" si="253"/>
        <v>0</v>
      </c>
      <c r="N480" s="1">
        <f t="shared" si="254"/>
        <v>0</v>
      </c>
      <c r="O480" s="1">
        <f t="shared" si="255"/>
        <v>0</v>
      </c>
      <c r="P480" s="1">
        <f t="shared" si="256"/>
        <v>25</v>
      </c>
      <c r="Q480" s="1" t="e">
        <f t="shared" si="257"/>
        <v>#DIV/0!</v>
      </c>
      <c r="R480" s="1" t="e">
        <f t="shared" si="258"/>
        <v>#DIV/0!</v>
      </c>
      <c r="S480" s="1" t="e">
        <f t="shared" si="259"/>
        <v>#DIV/0!</v>
      </c>
      <c r="T480" s="1" t="e">
        <f t="shared" si="260"/>
        <v>#DIV/0!</v>
      </c>
      <c r="U480" s="1" t="e">
        <f t="shared" si="261"/>
        <v>#DIV/0!</v>
      </c>
      <c r="V480">
        <f t="shared" si="262"/>
        <v>851.48</v>
      </c>
      <c r="W480">
        <f t="shared" si="263"/>
        <v>0</v>
      </c>
      <c r="X480">
        <f t="shared" si="264"/>
        <v>0</v>
      </c>
      <c r="Y480">
        <f t="shared" si="265"/>
        <v>0</v>
      </c>
      <c r="Z480">
        <f t="shared" si="266"/>
        <v>0</v>
      </c>
      <c r="AA480">
        <f t="shared" si="267"/>
        <v>0</v>
      </c>
      <c r="AC480">
        <f t="shared" si="268"/>
        <v>1045.25</v>
      </c>
      <c r="AD480">
        <f t="shared" si="269"/>
        <v>0</v>
      </c>
      <c r="AE480">
        <f t="shared" si="270"/>
        <v>0</v>
      </c>
      <c r="AF480">
        <f t="shared" si="271"/>
        <v>0</v>
      </c>
      <c r="AG480">
        <f t="shared" si="272"/>
        <v>0</v>
      </c>
      <c r="AH480">
        <f t="shared" si="273"/>
        <v>0</v>
      </c>
      <c r="AJ480">
        <f t="shared" si="274"/>
        <v>1239.01</v>
      </c>
      <c r="AK480">
        <f t="shared" si="275"/>
        <v>0</v>
      </c>
      <c r="AL480">
        <f t="shared" si="276"/>
        <v>0</v>
      </c>
      <c r="AM480">
        <f t="shared" si="277"/>
        <v>0</v>
      </c>
      <c r="AN480">
        <f t="shared" si="278"/>
        <v>0</v>
      </c>
      <c r="AO480">
        <f t="shared" si="279"/>
        <v>0</v>
      </c>
    </row>
    <row r="481" spans="1:41" x14ac:dyDescent="0.45">
      <c r="A481">
        <v>38.008421239999997</v>
      </c>
      <c r="B481">
        <v>118.8880642</v>
      </c>
      <c r="C481">
        <v>43.008232120000002</v>
      </c>
      <c r="D481">
        <v>0.27772701</v>
      </c>
      <c r="E481">
        <f t="shared" si="245"/>
        <v>0.27772701</v>
      </c>
      <c r="F481">
        <f t="shared" si="246"/>
        <v>0</v>
      </c>
      <c r="G481">
        <f t="shared" si="247"/>
        <v>0</v>
      </c>
      <c r="H481">
        <f t="shared" si="248"/>
        <v>0</v>
      </c>
      <c r="I481">
        <f t="shared" si="249"/>
        <v>0</v>
      </c>
      <c r="J481">
        <f t="shared" si="250"/>
        <v>0</v>
      </c>
      <c r="K481" s="1">
        <f t="shared" si="251"/>
        <v>0</v>
      </c>
      <c r="L481" s="1">
        <f t="shared" si="252"/>
        <v>0</v>
      </c>
      <c r="M481" s="1">
        <f t="shared" si="253"/>
        <v>0</v>
      </c>
      <c r="N481" s="1">
        <f t="shared" si="254"/>
        <v>0</v>
      </c>
      <c r="O481" s="1">
        <f t="shared" si="255"/>
        <v>0</v>
      </c>
      <c r="P481" s="1">
        <f t="shared" si="256"/>
        <v>25</v>
      </c>
      <c r="Q481" s="1" t="e">
        <f t="shared" si="257"/>
        <v>#DIV/0!</v>
      </c>
      <c r="R481" s="1" t="e">
        <f t="shared" si="258"/>
        <v>#DIV/0!</v>
      </c>
      <c r="S481" s="1" t="e">
        <f t="shared" si="259"/>
        <v>#DIV/0!</v>
      </c>
      <c r="T481" s="1" t="e">
        <f t="shared" si="260"/>
        <v>#DIV/0!</v>
      </c>
      <c r="U481" s="1" t="e">
        <f t="shared" si="261"/>
        <v>#DIV/0!</v>
      </c>
      <c r="V481">
        <f t="shared" si="262"/>
        <v>851.48</v>
      </c>
      <c r="W481">
        <f t="shared" si="263"/>
        <v>0</v>
      </c>
      <c r="X481">
        <f t="shared" si="264"/>
        <v>0</v>
      </c>
      <c r="Y481">
        <f t="shared" si="265"/>
        <v>0</v>
      </c>
      <c r="Z481">
        <f t="shared" si="266"/>
        <v>0</v>
      </c>
      <c r="AA481">
        <f t="shared" si="267"/>
        <v>0</v>
      </c>
      <c r="AC481">
        <f t="shared" si="268"/>
        <v>1045.25</v>
      </c>
      <c r="AD481">
        <f t="shared" si="269"/>
        <v>0</v>
      </c>
      <c r="AE481">
        <f t="shared" si="270"/>
        <v>0</v>
      </c>
      <c r="AF481">
        <f t="shared" si="271"/>
        <v>0</v>
      </c>
      <c r="AG481">
        <f t="shared" si="272"/>
        <v>0</v>
      </c>
      <c r="AH481">
        <f t="shared" si="273"/>
        <v>0</v>
      </c>
      <c r="AJ481">
        <f t="shared" si="274"/>
        <v>1239.01</v>
      </c>
      <c r="AK481">
        <f t="shared" si="275"/>
        <v>0</v>
      </c>
      <c r="AL481">
        <f t="shared" si="276"/>
        <v>0</v>
      </c>
      <c r="AM481">
        <f t="shared" si="277"/>
        <v>0</v>
      </c>
      <c r="AN481">
        <f t="shared" si="278"/>
        <v>0</v>
      </c>
      <c r="AO481">
        <f t="shared" si="279"/>
        <v>0</v>
      </c>
    </row>
    <row r="482" spans="1:41" x14ac:dyDescent="0.45">
      <c r="A482">
        <v>38.011409469999997</v>
      </c>
      <c r="B482">
        <v>119.70788570000001</v>
      </c>
      <c r="C482">
        <v>15.833525659999999</v>
      </c>
      <c r="D482">
        <v>19.907222749999999</v>
      </c>
      <c r="E482">
        <f t="shared" si="245"/>
        <v>15.833525659999999</v>
      </c>
      <c r="F482">
        <f t="shared" si="246"/>
        <v>0</v>
      </c>
      <c r="G482">
        <f t="shared" si="247"/>
        <v>0</v>
      </c>
      <c r="H482">
        <f t="shared" si="248"/>
        <v>0</v>
      </c>
      <c r="I482">
        <f t="shared" si="249"/>
        <v>0</v>
      </c>
      <c r="J482">
        <f t="shared" si="250"/>
        <v>0</v>
      </c>
      <c r="K482" s="1">
        <f t="shared" si="251"/>
        <v>0</v>
      </c>
      <c r="L482" s="1">
        <f t="shared" si="252"/>
        <v>0</v>
      </c>
      <c r="M482" s="1">
        <f t="shared" si="253"/>
        <v>0</v>
      </c>
      <c r="N482" s="1">
        <f t="shared" si="254"/>
        <v>0</v>
      </c>
      <c r="O482" s="1">
        <f t="shared" si="255"/>
        <v>0</v>
      </c>
      <c r="P482" s="1">
        <f t="shared" si="256"/>
        <v>19.884146898391442</v>
      </c>
      <c r="Q482" s="1" t="e">
        <f t="shared" si="257"/>
        <v>#DIV/0!</v>
      </c>
      <c r="R482" s="1" t="e">
        <f t="shared" si="258"/>
        <v>#DIV/0!</v>
      </c>
      <c r="S482" s="1" t="e">
        <f t="shared" si="259"/>
        <v>#DIV/0!</v>
      </c>
      <c r="T482" s="1" t="e">
        <f t="shared" si="260"/>
        <v>#DIV/0!</v>
      </c>
      <c r="U482" s="1" t="e">
        <f t="shared" si="261"/>
        <v>#DIV/0!</v>
      </c>
      <c r="V482">
        <f t="shared" si="262"/>
        <v>685.21477419772191</v>
      </c>
      <c r="W482">
        <f t="shared" si="263"/>
        <v>0</v>
      </c>
      <c r="X482">
        <f t="shared" si="264"/>
        <v>0</v>
      </c>
      <c r="Y482">
        <f t="shared" si="265"/>
        <v>0</v>
      </c>
      <c r="Z482">
        <f t="shared" si="266"/>
        <v>0</v>
      </c>
      <c r="AA482">
        <f t="shared" si="267"/>
        <v>0</v>
      </c>
      <c r="AC482">
        <f t="shared" si="268"/>
        <v>840.61587593565764</v>
      </c>
      <c r="AD482">
        <f t="shared" si="269"/>
        <v>0</v>
      </c>
      <c r="AE482">
        <f t="shared" si="270"/>
        <v>0</v>
      </c>
      <c r="AF482">
        <f t="shared" si="271"/>
        <v>0</v>
      </c>
      <c r="AG482">
        <f t="shared" si="272"/>
        <v>0</v>
      </c>
      <c r="AH482">
        <f t="shared" si="273"/>
        <v>0</v>
      </c>
      <c r="AJ482">
        <f t="shared" si="274"/>
        <v>996.0069776735935</v>
      </c>
      <c r="AK482">
        <f t="shared" si="275"/>
        <v>0</v>
      </c>
      <c r="AL482">
        <f t="shared" si="276"/>
        <v>0</v>
      </c>
      <c r="AM482">
        <f t="shared" si="277"/>
        <v>0</v>
      </c>
      <c r="AN482">
        <f t="shared" si="278"/>
        <v>0</v>
      </c>
      <c r="AO482">
        <f t="shared" si="279"/>
        <v>0</v>
      </c>
    </row>
    <row r="483" spans="1:41" x14ac:dyDescent="0.45">
      <c r="A483">
        <v>38.014463939999999</v>
      </c>
      <c r="B483">
        <v>115.85341870000001</v>
      </c>
      <c r="C483">
        <v>10.858460429999999</v>
      </c>
      <c r="D483">
        <v>0.54546499000000004</v>
      </c>
      <c r="E483">
        <f t="shared" si="245"/>
        <v>0.54546499000000004</v>
      </c>
      <c r="F483">
        <f t="shared" si="246"/>
        <v>0</v>
      </c>
      <c r="G483">
        <f t="shared" si="247"/>
        <v>0</v>
      </c>
      <c r="H483">
        <f t="shared" si="248"/>
        <v>0</v>
      </c>
      <c r="I483">
        <f t="shared" si="249"/>
        <v>0</v>
      </c>
      <c r="J483">
        <f t="shared" si="250"/>
        <v>0</v>
      </c>
      <c r="K483" s="1">
        <f t="shared" si="251"/>
        <v>0</v>
      </c>
      <c r="L483" s="1">
        <f t="shared" si="252"/>
        <v>0</v>
      </c>
      <c r="M483" s="1">
        <f t="shared" si="253"/>
        <v>0</v>
      </c>
      <c r="N483" s="1">
        <f t="shared" si="254"/>
        <v>0</v>
      </c>
      <c r="O483" s="1">
        <f t="shared" si="255"/>
        <v>0</v>
      </c>
      <c r="P483" s="1">
        <f t="shared" si="256"/>
        <v>25</v>
      </c>
      <c r="Q483" s="1" t="e">
        <f t="shared" si="257"/>
        <v>#DIV/0!</v>
      </c>
      <c r="R483" s="1" t="e">
        <f t="shared" si="258"/>
        <v>#DIV/0!</v>
      </c>
      <c r="S483" s="1" t="e">
        <f t="shared" si="259"/>
        <v>#DIV/0!</v>
      </c>
      <c r="T483" s="1" t="e">
        <f t="shared" si="260"/>
        <v>#DIV/0!</v>
      </c>
      <c r="U483" s="1" t="e">
        <f t="shared" si="261"/>
        <v>#DIV/0!</v>
      </c>
      <c r="V483">
        <f t="shared" si="262"/>
        <v>851.48</v>
      </c>
      <c r="W483">
        <f t="shared" si="263"/>
        <v>0</v>
      </c>
      <c r="X483">
        <f t="shared" si="264"/>
        <v>0</v>
      </c>
      <c r="Y483">
        <f t="shared" si="265"/>
        <v>0</v>
      </c>
      <c r="Z483">
        <f t="shared" si="266"/>
        <v>0</v>
      </c>
      <c r="AA483">
        <f t="shared" si="267"/>
        <v>0</v>
      </c>
      <c r="AC483">
        <f t="shared" si="268"/>
        <v>1045.25</v>
      </c>
      <c r="AD483">
        <f t="shared" si="269"/>
        <v>0</v>
      </c>
      <c r="AE483">
        <f t="shared" si="270"/>
        <v>0</v>
      </c>
      <c r="AF483">
        <f t="shared" si="271"/>
        <v>0</v>
      </c>
      <c r="AG483">
        <f t="shared" si="272"/>
        <v>0</v>
      </c>
      <c r="AH483">
        <f t="shared" si="273"/>
        <v>0</v>
      </c>
      <c r="AJ483">
        <f t="shared" si="274"/>
        <v>1239.01</v>
      </c>
      <c r="AK483">
        <f t="shared" si="275"/>
        <v>0</v>
      </c>
      <c r="AL483">
        <f t="shared" si="276"/>
        <v>0</v>
      </c>
      <c r="AM483">
        <f t="shared" si="277"/>
        <v>0</v>
      </c>
      <c r="AN483">
        <f t="shared" si="278"/>
        <v>0</v>
      </c>
      <c r="AO483">
        <f t="shared" si="279"/>
        <v>0</v>
      </c>
    </row>
    <row r="484" spans="1:41" x14ac:dyDescent="0.45">
      <c r="A484">
        <v>38.016599399999997</v>
      </c>
      <c r="B484">
        <v>118.3632016</v>
      </c>
      <c r="C484">
        <v>43.008232120000002</v>
      </c>
      <c r="D484">
        <v>0.79859500999999999</v>
      </c>
      <c r="E484">
        <f t="shared" si="245"/>
        <v>0.79859500999999999</v>
      </c>
      <c r="F484">
        <f t="shared" si="246"/>
        <v>0</v>
      </c>
      <c r="G484">
        <f t="shared" si="247"/>
        <v>0</v>
      </c>
      <c r="H484">
        <f t="shared" si="248"/>
        <v>0</v>
      </c>
      <c r="I484">
        <f t="shared" si="249"/>
        <v>0</v>
      </c>
      <c r="J484">
        <f t="shared" si="250"/>
        <v>0</v>
      </c>
      <c r="K484" s="1">
        <f t="shared" si="251"/>
        <v>0</v>
      </c>
      <c r="L484" s="1">
        <f t="shared" si="252"/>
        <v>0</v>
      </c>
      <c r="M484" s="1">
        <f t="shared" si="253"/>
        <v>0</v>
      </c>
      <c r="N484" s="1">
        <f t="shared" si="254"/>
        <v>0</v>
      </c>
      <c r="O484" s="1">
        <f t="shared" si="255"/>
        <v>0</v>
      </c>
      <c r="P484" s="1">
        <f t="shared" si="256"/>
        <v>25</v>
      </c>
      <c r="Q484" s="1" t="e">
        <f t="shared" si="257"/>
        <v>#DIV/0!</v>
      </c>
      <c r="R484" s="1" t="e">
        <f t="shared" si="258"/>
        <v>#DIV/0!</v>
      </c>
      <c r="S484" s="1" t="e">
        <f t="shared" si="259"/>
        <v>#DIV/0!</v>
      </c>
      <c r="T484" s="1" t="e">
        <f t="shared" si="260"/>
        <v>#DIV/0!</v>
      </c>
      <c r="U484" s="1" t="e">
        <f t="shared" si="261"/>
        <v>#DIV/0!</v>
      </c>
      <c r="V484">
        <f t="shared" si="262"/>
        <v>851.48</v>
      </c>
      <c r="W484">
        <f t="shared" si="263"/>
        <v>0</v>
      </c>
      <c r="X484">
        <f t="shared" si="264"/>
        <v>0</v>
      </c>
      <c r="Y484">
        <f t="shared" si="265"/>
        <v>0</v>
      </c>
      <c r="Z484">
        <f t="shared" si="266"/>
        <v>0</v>
      </c>
      <c r="AA484">
        <f t="shared" si="267"/>
        <v>0</v>
      </c>
      <c r="AC484">
        <f t="shared" si="268"/>
        <v>1045.25</v>
      </c>
      <c r="AD484">
        <f t="shared" si="269"/>
        <v>0</v>
      </c>
      <c r="AE484">
        <f t="shared" si="270"/>
        <v>0</v>
      </c>
      <c r="AF484">
        <f t="shared" si="271"/>
        <v>0</v>
      </c>
      <c r="AG484">
        <f t="shared" si="272"/>
        <v>0</v>
      </c>
      <c r="AH484">
        <f t="shared" si="273"/>
        <v>0</v>
      </c>
      <c r="AJ484">
        <f t="shared" si="274"/>
        <v>1239.01</v>
      </c>
      <c r="AK484">
        <f t="shared" si="275"/>
        <v>0</v>
      </c>
      <c r="AL484">
        <f t="shared" si="276"/>
        <v>0</v>
      </c>
      <c r="AM484">
        <f t="shared" si="277"/>
        <v>0</v>
      </c>
      <c r="AN484">
        <f t="shared" si="278"/>
        <v>0</v>
      </c>
      <c r="AO484">
        <f t="shared" si="279"/>
        <v>0</v>
      </c>
    </row>
    <row r="485" spans="1:41" x14ac:dyDescent="0.45">
      <c r="A485">
        <v>38.020537060000002</v>
      </c>
      <c r="B485">
        <v>118.7731319</v>
      </c>
      <c r="C485">
        <v>43.008232120000002</v>
      </c>
      <c r="D485">
        <v>16.356826779999999</v>
      </c>
      <c r="E485">
        <f t="shared" si="245"/>
        <v>16.356826779999999</v>
      </c>
      <c r="F485">
        <f t="shared" si="246"/>
        <v>0</v>
      </c>
      <c r="G485">
        <f t="shared" si="247"/>
        <v>0</v>
      </c>
      <c r="H485">
        <f t="shared" si="248"/>
        <v>0</v>
      </c>
      <c r="I485">
        <f t="shared" si="249"/>
        <v>0</v>
      </c>
      <c r="J485">
        <f t="shared" si="250"/>
        <v>0</v>
      </c>
      <c r="K485" s="1">
        <f t="shared" si="251"/>
        <v>0</v>
      </c>
      <c r="L485" s="1">
        <f t="shared" si="252"/>
        <v>0</v>
      </c>
      <c r="M485" s="1">
        <f t="shared" si="253"/>
        <v>0</v>
      </c>
      <c r="N485" s="1">
        <f t="shared" si="254"/>
        <v>0</v>
      </c>
      <c r="O485" s="1">
        <f t="shared" si="255"/>
        <v>0</v>
      </c>
      <c r="P485" s="1">
        <f t="shared" si="256"/>
        <v>25</v>
      </c>
      <c r="Q485" s="1" t="e">
        <f t="shared" si="257"/>
        <v>#DIV/0!</v>
      </c>
      <c r="R485" s="1" t="e">
        <f t="shared" si="258"/>
        <v>#DIV/0!</v>
      </c>
      <c r="S485" s="1" t="e">
        <f t="shared" si="259"/>
        <v>#DIV/0!</v>
      </c>
      <c r="T485" s="1" t="e">
        <f t="shared" si="260"/>
        <v>#DIV/0!</v>
      </c>
      <c r="U485" s="1" t="e">
        <f t="shared" si="261"/>
        <v>#DIV/0!</v>
      </c>
      <c r="V485">
        <f t="shared" si="262"/>
        <v>851.48</v>
      </c>
      <c r="W485">
        <f t="shared" si="263"/>
        <v>0</v>
      </c>
      <c r="X485">
        <f t="shared" si="264"/>
        <v>0</v>
      </c>
      <c r="Y485">
        <f t="shared" si="265"/>
        <v>0</v>
      </c>
      <c r="Z485">
        <f t="shared" si="266"/>
        <v>0</v>
      </c>
      <c r="AA485">
        <f t="shared" si="267"/>
        <v>0</v>
      </c>
      <c r="AC485">
        <f t="shared" si="268"/>
        <v>1045.25</v>
      </c>
      <c r="AD485">
        <f t="shared" si="269"/>
        <v>0</v>
      </c>
      <c r="AE485">
        <f t="shared" si="270"/>
        <v>0</v>
      </c>
      <c r="AF485">
        <f t="shared" si="271"/>
        <v>0</v>
      </c>
      <c r="AG485">
        <f t="shared" si="272"/>
        <v>0</v>
      </c>
      <c r="AH485">
        <f t="shared" si="273"/>
        <v>0</v>
      </c>
      <c r="AJ485">
        <f t="shared" si="274"/>
        <v>1239.01</v>
      </c>
      <c r="AK485">
        <f t="shared" si="275"/>
        <v>0</v>
      </c>
      <c r="AL485">
        <f t="shared" si="276"/>
        <v>0</v>
      </c>
      <c r="AM485">
        <f t="shared" si="277"/>
        <v>0</v>
      </c>
      <c r="AN485">
        <f t="shared" si="278"/>
        <v>0</v>
      </c>
      <c r="AO485">
        <f t="shared" si="279"/>
        <v>0</v>
      </c>
    </row>
    <row r="486" spans="1:41" x14ac:dyDescent="0.45">
      <c r="A486">
        <v>38.022517460000003</v>
      </c>
      <c r="B486">
        <v>116.8457784</v>
      </c>
      <c r="C486">
        <v>19.537851329999999</v>
      </c>
      <c r="D486">
        <v>0.346827</v>
      </c>
      <c r="E486">
        <f t="shared" si="245"/>
        <v>0.346827</v>
      </c>
      <c r="F486">
        <f t="shared" si="246"/>
        <v>0</v>
      </c>
      <c r="G486">
        <f t="shared" si="247"/>
        <v>0</v>
      </c>
      <c r="H486">
        <f t="shared" si="248"/>
        <v>0</v>
      </c>
      <c r="I486">
        <f t="shared" si="249"/>
        <v>0</v>
      </c>
      <c r="J486">
        <f t="shared" si="250"/>
        <v>0</v>
      </c>
      <c r="K486" s="1">
        <f t="shared" si="251"/>
        <v>0</v>
      </c>
      <c r="L486" s="1">
        <f t="shared" si="252"/>
        <v>0</v>
      </c>
      <c r="M486" s="1">
        <f t="shared" si="253"/>
        <v>0</v>
      </c>
      <c r="N486" s="1">
        <f t="shared" si="254"/>
        <v>0</v>
      </c>
      <c r="O486" s="1">
        <f t="shared" si="255"/>
        <v>0</v>
      </c>
      <c r="P486" s="1">
        <f t="shared" si="256"/>
        <v>24.999999999999996</v>
      </c>
      <c r="Q486" s="1" t="e">
        <f t="shared" si="257"/>
        <v>#DIV/0!</v>
      </c>
      <c r="R486" s="1" t="e">
        <f t="shared" si="258"/>
        <v>#DIV/0!</v>
      </c>
      <c r="S486" s="1" t="e">
        <f t="shared" si="259"/>
        <v>#DIV/0!</v>
      </c>
      <c r="T486" s="1" t="e">
        <f t="shared" si="260"/>
        <v>#DIV/0!</v>
      </c>
      <c r="U486" s="1" t="e">
        <f t="shared" si="261"/>
        <v>#DIV/0!</v>
      </c>
      <c r="V486">
        <f t="shared" si="262"/>
        <v>851.4799999999999</v>
      </c>
      <c r="W486">
        <f t="shared" si="263"/>
        <v>0</v>
      </c>
      <c r="X486">
        <f t="shared" si="264"/>
        <v>0</v>
      </c>
      <c r="Y486">
        <f t="shared" si="265"/>
        <v>0</v>
      </c>
      <c r="Z486">
        <f t="shared" si="266"/>
        <v>0</v>
      </c>
      <c r="AA486">
        <f t="shared" si="267"/>
        <v>0</v>
      </c>
      <c r="AC486">
        <f t="shared" si="268"/>
        <v>1045.25</v>
      </c>
      <c r="AD486">
        <f t="shared" si="269"/>
        <v>0</v>
      </c>
      <c r="AE486">
        <f t="shared" si="270"/>
        <v>0</v>
      </c>
      <c r="AF486">
        <f t="shared" si="271"/>
        <v>0</v>
      </c>
      <c r="AG486">
        <f t="shared" si="272"/>
        <v>0</v>
      </c>
      <c r="AH486">
        <f t="shared" si="273"/>
        <v>0</v>
      </c>
      <c r="AJ486">
        <f t="shared" si="274"/>
        <v>1239.0099999999998</v>
      </c>
      <c r="AK486">
        <f t="shared" si="275"/>
        <v>0</v>
      </c>
      <c r="AL486">
        <f t="shared" si="276"/>
        <v>0</v>
      </c>
      <c r="AM486">
        <f t="shared" si="277"/>
        <v>0</v>
      </c>
      <c r="AN486">
        <f t="shared" si="278"/>
        <v>0</v>
      </c>
      <c r="AO486">
        <f t="shared" si="279"/>
        <v>0</v>
      </c>
    </row>
    <row r="487" spans="1:41" x14ac:dyDescent="0.45">
      <c r="A487">
        <v>38.024114089999998</v>
      </c>
      <c r="B487">
        <v>120.0030727</v>
      </c>
      <c r="C487">
        <v>27.985301969999998</v>
      </c>
      <c r="D487">
        <v>0.48972300000000002</v>
      </c>
      <c r="E487">
        <f t="shared" si="245"/>
        <v>0.48972300000000002</v>
      </c>
      <c r="F487">
        <f t="shared" si="246"/>
        <v>0</v>
      </c>
      <c r="G487">
        <f t="shared" si="247"/>
        <v>0</v>
      </c>
      <c r="H487">
        <f t="shared" si="248"/>
        <v>0</v>
      </c>
      <c r="I487">
        <f t="shared" si="249"/>
        <v>0</v>
      </c>
      <c r="J487">
        <f t="shared" si="250"/>
        <v>0</v>
      </c>
      <c r="K487" s="1">
        <f t="shared" si="251"/>
        <v>0</v>
      </c>
      <c r="L487" s="1">
        <f t="shared" si="252"/>
        <v>0</v>
      </c>
      <c r="M487" s="1">
        <f t="shared" si="253"/>
        <v>0</v>
      </c>
      <c r="N487" s="1">
        <f t="shared" si="254"/>
        <v>0</v>
      </c>
      <c r="O487" s="1">
        <f t="shared" si="255"/>
        <v>0</v>
      </c>
      <c r="P487" s="1">
        <f t="shared" si="256"/>
        <v>25</v>
      </c>
      <c r="Q487" s="1" t="e">
        <f t="shared" si="257"/>
        <v>#DIV/0!</v>
      </c>
      <c r="R487" s="1" t="e">
        <f t="shared" si="258"/>
        <v>#DIV/0!</v>
      </c>
      <c r="S487" s="1" t="e">
        <f t="shared" si="259"/>
        <v>#DIV/0!</v>
      </c>
      <c r="T487" s="1" t="e">
        <f t="shared" si="260"/>
        <v>#DIV/0!</v>
      </c>
      <c r="U487" s="1" t="e">
        <f t="shared" si="261"/>
        <v>#DIV/0!</v>
      </c>
      <c r="V487">
        <f t="shared" si="262"/>
        <v>851.48</v>
      </c>
      <c r="W487">
        <f t="shared" si="263"/>
        <v>0</v>
      </c>
      <c r="X487">
        <f t="shared" si="264"/>
        <v>0</v>
      </c>
      <c r="Y487">
        <f t="shared" si="265"/>
        <v>0</v>
      </c>
      <c r="Z487">
        <f t="shared" si="266"/>
        <v>0</v>
      </c>
      <c r="AA487">
        <f t="shared" si="267"/>
        <v>0</v>
      </c>
      <c r="AC487">
        <f t="shared" si="268"/>
        <v>1045.25</v>
      </c>
      <c r="AD487">
        <f t="shared" si="269"/>
        <v>0</v>
      </c>
      <c r="AE487">
        <f t="shared" si="270"/>
        <v>0</v>
      </c>
      <c r="AF487">
        <f t="shared" si="271"/>
        <v>0</v>
      </c>
      <c r="AG487">
        <f t="shared" si="272"/>
        <v>0</v>
      </c>
      <c r="AH487">
        <f t="shared" si="273"/>
        <v>0</v>
      </c>
      <c r="AJ487">
        <f t="shared" si="274"/>
        <v>1239.01</v>
      </c>
      <c r="AK487">
        <f t="shared" si="275"/>
        <v>0</v>
      </c>
      <c r="AL487">
        <f t="shared" si="276"/>
        <v>0</v>
      </c>
      <c r="AM487">
        <f t="shared" si="277"/>
        <v>0</v>
      </c>
      <c r="AN487">
        <f t="shared" si="278"/>
        <v>0</v>
      </c>
      <c r="AO487">
        <f t="shared" si="279"/>
        <v>0</v>
      </c>
    </row>
    <row r="488" spans="1:41" x14ac:dyDescent="0.45">
      <c r="A488">
        <v>38.030696599999999</v>
      </c>
      <c r="B488">
        <v>119.5356659</v>
      </c>
      <c r="C488">
        <v>17.948078160000001</v>
      </c>
      <c r="D488">
        <v>1.9368519799999999</v>
      </c>
      <c r="E488">
        <f t="shared" si="245"/>
        <v>1.9368519799999999</v>
      </c>
      <c r="F488">
        <f t="shared" si="246"/>
        <v>0</v>
      </c>
      <c r="G488">
        <f t="shared" si="247"/>
        <v>0</v>
      </c>
      <c r="H488">
        <f t="shared" si="248"/>
        <v>0</v>
      </c>
      <c r="I488">
        <f t="shared" si="249"/>
        <v>0</v>
      </c>
      <c r="J488">
        <f t="shared" si="250"/>
        <v>0</v>
      </c>
      <c r="K488" s="1">
        <f t="shared" si="251"/>
        <v>0</v>
      </c>
      <c r="L488" s="1">
        <f t="shared" si="252"/>
        <v>0</v>
      </c>
      <c r="M488" s="1">
        <f t="shared" si="253"/>
        <v>0</v>
      </c>
      <c r="N488" s="1">
        <f t="shared" si="254"/>
        <v>0</v>
      </c>
      <c r="O488" s="1">
        <f t="shared" si="255"/>
        <v>0</v>
      </c>
      <c r="P488" s="1">
        <f t="shared" si="256"/>
        <v>25</v>
      </c>
      <c r="Q488" s="1" t="e">
        <f t="shared" si="257"/>
        <v>#DIV/0!</v>
      </c>
      <c r="R488" s="1" t="e">
        <f t="shared" si="258"/>
        <v>#DIV/0!</v>
      </c>
      <c r="S488" s="1" t="e">
        <f t="shared" si="259"/>
        <v>#DIV/0!</v>
      </c>
      <c r="T488" s="1" t="e">
        <f t="shared" si="260"/>
        <v>#DIV/0!</v>
      </c>
      <c r="U488" s="1" t="e">
        <f t="shared" si="261"/>
        <v>#DIV/0!</v>
      </c>
      <c r="V488">
        <f t="shared" si="262"/>
        <v>851.48</v>
      </c>
      <c r="W488">
        <f t="shared" si="263"/>
        <v>0</v>
      </c>
      <c r="X488">
        <f t="shared" si="264"/>
        <v>0</v>
      </c>
      <c r="Y488">
        <f t="shared" si="265"/>
        <v>0</v>
      </c>
      <c r="Z488">
        <f t="shared" si="266"/>
        <v>0</v>
      </c>
      <c r="AA488">
        <f t="shared" si="267"/>
        <v>0</v>
      </c>
      <c r="AC488">
        <f t="shared" si="268"/>
        <v>1045.25</v>
      </c>
      <c r="AD488">
        <f t="shared" si="269"/>
        <v>0</v>
      </c>
      <c r="AE488">
        <f t="shared" si="270"/>
        <v>0</v>
      </c>
      <c r="AF488">
        <f t="shared" si="271"/>
        <v>0</v>
      </c>
      <c r="AG488">
        <f t="shared" si="272"/>
        <v>0</v>
      </c>
      <c r="AH488">
        <f t="shared" si="273"/>
        <v>0</v>
      </c>
      <c r="AJ488">
        <f t="shared" si="274"/>
        <v>1239.01</v>
      </c>
      <c r="AK488">
        <f t="shared" si="275"/>
        <v>0</v>
      </c>
      <c r="AL488">
        <f t="shared" si="276"/>
        <v>0</v>
      </c>
      <c r="AM488">
        <f t="shared" si="277"/>
        <v>0</v>
      </c>
      <c r="AN488">
        <f t="shared" si="278"/>
        <v>0</v>
      </c>
      <c r="AO488">
        <f t="shared" si="279"/>
        <v>0</v>
      </c>
    </row>
    <row r="489" spans="1:41" x14ac:dyDescent="0.45">
      <c r="A489">
        <v>38.033993070000001</v>
      </c>
      <c r="B489">
        <v>118.1906503</v>
      </c>
      <c r="C489">
        <v>76.896270749999999</v>
      </c>
      <c r="D489">
        <v>1.61000597</v>
      </c>
      <c r="E489">
        <f t="shared" si="245"/>
        <v>1.61000597</v>
      </c>
      <c r="F489">
        <f t="shared" si="246"/>
        <v>0</v>
      </c>
      <c r="G489">
        <f t="shared" si="247"/>
        <v>0</v>
      </c>
      <c r="H489">
        <f t="shared" si="248"/>
        <v>0</v>
      </c>
      <c r="I489">
        <f t="shared" si="249"/>
        <v>0</v>
      </c>
      <c r="J489">
        <f t="shared" si="250"/>
        <v>0</v>
      </c>
      <c r="K489" s="1">
        <f t="shared" si="251"/>
        <v>0</v>
      </c>
      <c r="L489" s="1">
        <f t="shared" si="252"/>
        <v>0</v>
      </c>
      <c r="M489" s="1">
        <f t="shared" si="253"/>
        <v>0</v>
      </c>
      <c r="N489" s="1">
        <f t="shared" si="254"/>
        <v>0</v>
      </c>
      <c r="O489" s="1">
        <f t="shared" si="255"/>
        <v>0</v>
      </c>
      <c r="P489" s="1">
        <f t="shared" si="256"/>
        <v>25</v>
      </c>
      <c r="Q489" s="1" t="e">
        <f t="shared" si="257"/>
        <v>#DIV/0!</v>
      </c>
      <c r="R489" s="1" t="e">
        <f t="shared" si="258"/>
        <v>#DIV/0!</v>
      </c>
      <c r="S489" s="1" t="e">
        <f t="shared" si="259"/>
        <v>#DIV/0!</v>
      </c>
      <c r="T489" s="1" t="e">
        <f t="shared" si="260"/>
        <v>#DIV/0!</v>
      </c>
      <c r="U489" s="1" t="e">
        <f t="shared" si="261"/>
        <v>#DIV/0!</v>
      </c>
      <c r="V489">
        <f t="shared" si="262"/>
        <v>851.48</v>
      </c>
      <c r="W489">
        <f t="shared" si="263"/>
        <v>0</v>
      </c>
      <c r="X489">
        <f t="shared" si="264"/>
        <v>0</v>
      </c>
      <c r="Y489">
        <f t="shared" si="265"/>
        <v>0</v>
      </c>
      <c r="Z489">
        <f t="shared" si="266"/>
        <v>0</v>
      </c>
      <c r="AA489">
        <f t="shared" si="267"/>
        <v>0</v>
      </c>
      <c r="AC489">
        <f t="shared" si="268"/>
        <v>1045.25</v>
      </c>
      <c r="AD489">
        <f t="shared" si="269"/>
        <v>0</v>
      </c>
      <c r="AE489">
        <f t="shared" si="270"/>
        <v>0</v>
      </c>
      <c r="AF489">
        <f t="shared" si="271"/>
        <v>0</v>
      </c>
      <c r="AG489">
        <f t="shared" si="272"/>
        <v>0</v>
      </c>
      <c r="AH489">
        <f t="shared" si="273"/>
        <v>0</v>
      </c>
      <c r="AJ489">
        <f t="shared" si="274"/>
        <v>1239.01</v>
      </c>
      <c r="AK489">
        <f t="shared" si="275"/>
        <v>0</v>
      </c>
      <c r="AL489">
        <f t="shared" si="276"/>
        <v>0</v>
      </c>
      <c r="AM489">
        <f t="shared" si="277"/>
        <v>0</v>
      </c>
      <c r="AN489">
        <f t="shared" si="278"/>
        <v>0</v>
      </c>
      <c r="AO489">
        <f t="shared" si="279"/>
        <v>0</v>
      </c>
    </row>
    <row r="490" spans="1:41" x14ac:dyDescent="0.45">
      <c r="A490">
        <v>38.039175290000003</v>
      </c>
      <c r="B490">
        <v>90.958337259999993</v>
      </c>
      <c r="C490">
        <v>20.624670030000001</v>
      </c>
      <c r="D490">
        <v>3.7280418900000001</v>
      </c>
      <c r="E490">
        <f t="shared" si="245"/>
        <v>3.7280418900000001</v>
      </c>
      <c r="F490">
        <f t="shared" si="246"/>
        <v>0</v>
      </c>
      <c r="G490">
        <f t="shared" si="247"/>
        <v>0</v>
      </c>
      <c r="H490">
        <f t="shared" si="248"/>
        <v>0</v>
      </c>
      <c r="I490">
        <f t="shared" si="249"/>
        <v>0</v>
      </c>
      <c r="J490">
        <f t="shared" si="250"/>
        <v>0</v>
      </c>
      <c r="K490" s="1">
        <f t="shared" si="251"/>
        <v>0</v>
      </c>
      <c r="L490" s="1">
        <f t="shared" si="252"/>
        <v>0</v>
      </c>
      <c r="M490" s="1">
        <f t="shared" si="253"/>
        <v>0</v>
      </c>
      <c r="N490" s="1">
        <f t="shared" si="254"/>
        <v>0</v>
      </c>
      <c r="O490" s="1">
        <f t="shared" si="255"/>
        <v>0</v>
      </c>
      <c r="P490" s="1">
        <f t="shared" si="256"/>
        <v>25</v>
      </c>
      <c r="Q490" s="1" t="e">
        <f t="shared" si="257"/>
        <v>#DIV/0!</v>
      </c>
      <c r="R490" s="1" t="e">
        <f t="shared" si="258"/>
        <v>#DIV/0!</v>
      </c>
      <c r="S490" s="1" t="e">
        <f t="shared" si="259"/>
        <v>#DIV/0!</v>
      </c>
      <c r="T490" s="1" t="e">
        <f t="shared" si="260"/>
        <v>#DIV/0!</v>
      </c>
      <c r="U490" s="1" t="e">
        <f t="shared" si="261"/>
        <v>#DIV/0!</v>
      </c>
      <c r="V490">
        <f t="shared" si="262"/>
        <v>851.48</v>
      </c>
      <c r="W490">
        <f t="shared" si="263"/>
        <v>0</v>
      </c>
      <c r="X490">
        <f t="shared" si="264"/>
        <v>0</v>
      </c>
      <c r="Y490">
        <f t="shared" si="265"/>
        <v>0</v>
      </c>
      <c r="Z490">
        <f t="shared" si="266"/>
        <v>0</v>
      </c>
      <c r="AA490">
        <f t="shared" si="267"/>
        <v>0</v>
      </c>
      <c r="AC490">
        <f t="shared" si="268"/>
        <v>1045.25</v>
      </c>
      <c r="AD490">
        <f t="shared" si="269"/>
        <v>0</v>
      </c>
      <c r="AE490">
        <f t="shared" si="270"/>
        <v>0</v>
      </c>
      <c r="AF490">
        <f t="shared" si="271"/>
        <v>0</v>
      </c>
      <c r="AG490">
        <f t="shared" si="272"/>
        <v>0</v>
      </c>
      <c r="AH490">
        <f t="shared" si="273"/>
        <v>0</v>
      </c>
      <c r="AJ490">
        <f t="shared" si="274"/>
        <v>1239.01</v>
      </c>
      <c r="AK490">
        <f t="shared" si="275"/>
        <v>0</v>
      </c>
      <c r="AL490">
        <f t="shared" si="276"/>
        <v>0</v>
      </c>
      <c r="AM490">
        <f t="shared" si="277"/>
        <v>0</v>
      </c>
      <c r="AN490">
        <f t="shared" si="278"/>
        <v>0</v>
      </c>
      <c r="AO490">
        <f t="shared" si="279"/>
        <v>0</v>
      </c>
    </row>
    <row r="491" spans="1:41" x14ac:dyDescent="0.45">
      <c r="A491">
        <v>38.044444599999999</v>
      </c>
      <c r="B491">
        <v>118.5431591</v>
      </c>
      <c r="C491">
        <v>65.630661009999997</v>
      </c>
      <c r="D491">
        <v>9.2032000000000003E-2</v>
      </c>
      <c r="E491">
        <f t="shared" si="245"/>
        <v>9.2032000000000003E-2</v>
      </c>
      <c r="F491">
        <f t="shared" si="246"/>
        <v>0</v>
      </c>
      <c r="G491">
        <f t="shared" si="247"/>
        <v>0</v>
      </c>
      <c r="H491">
        <f t="shared" si="248"/>
        <v>0</v>
      </c>
      <c r="I491">
        <f t="shared" si="249"/>
        <v>0</v>
      </c>
      <c r="J491">
        <f t="shared" si="250"/>
        <v>0</v>
      </c>
      <c r="K491" s="1">
        <f t="shared" si="251"/>
        <v>0</v>
      </c>
      <c r="L491" s="1">
        <f t="shared" si="252"/>
        <v>0</v>
      </c>
      <c r="M491" s="1">
        <f t="shared" si="253"/>
        <v>0</v>
      </c>
      <c r="N491" s="1">
        <f t="shared" si="254"/>
        <v>0</v>
      </c>
      <c r="O491" s="1">
        <f t="shared" si="255"/>
        <v>0</v>
      </c>
      <c r="P491" s="1">
        <f t="shared" si="256"/>
        <v>25</v>
      </c>
      <c r="Q491" s="1" t="e">
        <f t="shared" si="257"/>
        <v>#DIV/0!</v>
      </c>
      <c r="R491" s="1" t="e">
        <f t="shared" si="258"/>
        <v>#DIV/0!</v>
      </c>
      <c r="S491" s="1" t="e">
        <f t="shared" si="259"/>
        <v>#DIV/0!</v>
      </c>
      <c r="T491" s="1" t="e">
        <f t="shared" si="260"/>
        <v>#DIV/0!</v>
      </c>
      <c r="U491" s="1" t="e">
        <f t="shared" si="261"/>
        <v>#DIV/0!</v>
      </c>
      <c r="V491">
        <f t="shared" si="262"/>
        <v>851.48</v>
      </c>
      <c r="W491">
        <f t="shared" si="263"/>
        <v>0</v>
      </c>
      <c r="X491">
        <f t="shared" si="264"/>
        <v>0</v>
      </c>
      <c r="Y491">
        <f t="shared" si="265"/>
        <v>0</v>
      </c>
      <c r="Z491">
        <f t="shared" si="266"/>
        <v>0</v>
      </c>
      <c r="AA491">
        <f t="shared" si="267"/>
        <v>0</v>
      </c>
      <c r="AC491">
        <f t="shared" si="268"/>
        <v>1045.25</v>
      </c>
      <c r="AD491">
        <f t="shared" si="269"/>
        <v>0</v>
      </c>
      <c r="AE491">
        <f t="shared" si="270"/>
        <v>0</v>
      </c>
      <c r="AF491">
        <f t="shared" si="271"/>
        <v>0</v>
      </c>
      <c r="AG491">
        <f t="shared" si="272"/>
        <v>0</v>
      </c>
      <c r="AH491">
        <f t="shared" si="273"/>
        <v>0</v>
      </c>
      <c r="AJ491">
        <f t="shared" si="274"/>
        <v>1239.01</v>
      </c>
      <c r="AK491">
        <f t="shared" si="275"/>
        <v>0</v>
      </c>
      <c r="AL491">
        <f t="shared" si="276"/>
        <v>0</v>
      </c>
      <c r="AM491">
        <f t="shared" si="277"/>
        <v>0</v>
      </c>
      <c r="AN491">
        <f t="shared" si="278"/>
        <v>0</v>
      </c>
      <c r="AO491">
        <f t="shared" si="279"/>
        <v>0</v>
      </c>
    </row>
    <row r="492" spans="1:41" x14ac:dyDescent="0.45">
      <c r="A492">
        <v>38.046402530000002</v>
      </c>
      <c r="B492">
        <v>115.44952910000001</v>
      </c>
      <c r="C492">
        <v>10.663947110000001</v>
      </c>
      <c r="D492">
        <v>1.19535697</v>
      </c>
      <c r="E492">
        <f t="shared" si="245"/>
        <v>1.19535697</v>
      </c>
      <c r="F492">
        <f t="shared" si="246"/>
        <v>0</v>
      </c>
      <c r="G492">
        <f t="shared" si="247"/>
        <v>0</v>
      </c>
      <c r="H492">
        <f t="shared" si="248"/>
        <v>0</v>
      </c>
      <c r="I492">
        <f t="shared" si="249"/>
        <v>0</v>
      </c>
      <c r="J492">
        <f t="shared" si="250"/>
        <v>0</v>
      </c>
      <c r="K492" s="1">
        <f t="shared" si="251"/>
        <v>0</v>
      </c>
      <c r="L492" s="1">
        <f t="shared" si="252"/>
        <v>0</v>
      </c>
      <c r="M492" s="1">
        <f t="shared" si="253"/>
        <v>0</v>
      </c>
      <c r="N492" s="1">
        <f t="shared" si="254"/>
        <v>0</v>
      </c>
      <c r="O492" s="1">
        <f t="shared" si="255"/>
        <v>0</v>
      </c>
      <c r="P492" s="1">
        <f t="shared" si="256"/>
        <v>25</v>
      </c>
      <c r="Q492" s="1" t="e">
        <f t="shared" si="257"/>
        <v>#DIV/0!</v>
      </c>
      <c r="R492" s="1" t="e">
        <f t="shared" si="258"/>
        <v>#DIV/0!</v>
      </c>
      <c r="S492" s="1" t="e">
        <f t="shared" si="259"/>
        <v>#DIV/0!</v>
      </c>
      <c r="T492" s="1" t="e">
        <f t="shared" si="260"/>
        <v>#DIV/0!</v>
      </c>
      <c r="U492" s="1" t="e">
        <f t="shared" si="261"/>
        <v>#DIV/0!</v>
      </c>
      <c r="V492">
        <f t="shared" si="262"/>
        <v>851.48</v>
      </c>
      <c r="W492">
        <f t="shared" si="263"/>
        <v>0</v>
      </c>
      <c r="X492">
        <f t="shared" si="264"/>
        <v>0</v>
      </c>
      <c r="Y492">
        <f t="shared" si="265"/>
        <v>0</v>
      </c>
      <c r="Z492">
        <f t="shared" si="266"/>
        <v>0</v>
      </c>
      <c r="AA492">
        <f t="shared" si="267"/>
        <v>0</v>
      </c>
      <c r="AC492">
        <f t="shared" si="268"/>
        <v>1045.25</v>
      </c>
      <c r="AD492">
        <f t="shared" si="269"/>
        <v>0</v>
      </c>
      <c r="AE492">
        <f t="shared" si="270"/>
        <v>0</v>
      </c>
      <c r="AF492">
        <f t="shared" si="271"/>
        <v>0</v>
      </c>
      <c r="AG492">
        <f t="shared" si="272"/>
        <v>0</v>
      </c>
      <c r="AH492">
        <f t="shared" si="273"/>
        <v>0</v>
      </c>
      <c r="AJ492">
        <f t="shared" si="274"/>
        <v>1239.01</v>
      </c>
      <c r="AK492">
        <f t="shared" si="275"/>
        <v>0</v>
      </c>
      <c r="AL492">
        <f t="shared" si="276"/>
        <v>0</v>
      </c>
      <c r="AM492">
        <f t="shared" si="277"/>
        <v>0</v>
      </c>
      <c r="AN492">
        <f t="shared" si="278"/>
        <v>0</v>
      </c>
      <c r="AO492">
        <f t="shared" si="279"/>
        <v>0</v>
      </c>
    </row>
    <row r="493" spans="1:41" x14ac:dyDescent="0.45">
      <c r="A493">
        <v>38.053881250000003</v>
      </c>
      <c r="B493">
        <v>118.89575929999999</v>
      </c>
      <c r="C493">
        <v>43.008232120000002</v>
      </c>
      <c r="D493">
        <v>2.4491999099999999</v>
      </c>
      <c r="E493">
        <f t="shared" si="245"/>
        <v>2.4491999099999999</v>
      </c>
      <c r="F493">
        <f t="shared" si="246"/>
        <v>0</v>
      </c>
      <c r="G493">
        <f t="shared" si="247"/>
        <v>0</v>
      </c>
      <c r="H493">
        <f t="shared" si="248"/>
        <v>0</v>
      </c>
      <c r="I493">
        <f t="shared" si="249"/>
        <v>0</v>
      </c>
      <c r="J493">
        <f t="shared" si="250"/>
        <v>0</v>
      </c>
      <c r="K493" s="1">
        <f t="shared" si="251"/>
        <v>0</v>
      </c>
      <c r="L493" s="1">
        <f t="shared" si="252"/>
        <v>0</v>
      </c>
      <c r="M493" s="1">
        <f t="shared" si="253"/>
        <v>0</v>
      </c>
      <c r="N493" s="1">
        <f t="shared" si="254"/>
        <v>0</v>
      </c>
      <c r="O493" s="1">
        <f t="shared" si="255"/>
        <v>0</v>
      </c>
      <c r="P493" s="1">
        <f t="shared" si="256"/>
        <v>25</v>
      </c>
      <c r="Q493" s="1" t="e">
        <f t="shared" si="257"/>
        <v>#DIV/0!</v>
      </c>
      <c r="R493" s="1" t="e">
        <f t="shared" si="258"/>
        <v>#DIV/0!</v>
      </c>
      <c r="S493" s="1" t="e">
        <f t="shared" si="259"/>
        <v>#DIV/0!</v>
      </c>
      <c r="T493" s="1" t="e">
        <f t="shared" si="260"/>
        <v>#DIV/0!</v>
      </c>
      <c r="U493" s="1" t="e">
        <f t="shared" si="261"/>
        <v>#DIV/0!</v>
      </c>
      <c r="V493">
        <f t="shared" si="262"/>
        <v>851.48</v>
      </c>
      <c r="W493">
        <f t="shared" si="263"/>
        <v>0</v>
      </c>
      <c r="X493">
        <f t="shared" si="264"/>
        <v>0</v>
      </c>
      <c r="Y493">
        <f t="shared" si="265"/>
        <v>0</v>
      </c>
      <c r="Z493">
        <f t="shared" si="266"/>
        <v>0</v>
      </c>
      <c r="AA493">
        <f t="shared" si="267"/>
        <v>0</v>
      </c>
      <c r="AC493">
        <f t="shared" si="268"/>
        <v>1045.25</v>
      </c>
      <c r="AD493">
        <f t="shared" si="269"/>
        <v>0</v>
      </c>
      <c r="AE493">
        <f t="shared" si="270"/>
        <v>0</v>
      </c>
      <c r="AF493">
        <f t="shared" si="271"/>
        <v>0</v>
      </c>
      <c r="AG493">
        <f t="shared" si="272"/>
        <v>0</v>
      </c>
      <c r="AH493">
        <f t="shared" si="273"/>
        <v>0</v>
      </c>
      <c r="AJ493">
        <f t="shared" si="274"/>
        <v>1239.01</v>
      </c>
      <c r="AK493">
        <f t="shared" si="275"/>
        <v>0</v>
      </c>
      <c r="AL493">
        <f t="shared" si="276"/>
        <v>0</v>
      </c>
      <c r="AM493">
        <f t="shared" si="277"/>
        <v>0</v>
      </c>
      <c r="AN493">
        <f t="shared" si="278"/>
        <v>0</v>
      </c>
      <c r="AO493">
        <f t="shared" si="279"/>
        <v>0</v>
      </c>
    </row>
    <row r="494" spans="1:41" x14ac:dyDescent="0.45">
      <c r="A494">
        <v>38.06295377</v>
      </c>
      <c r="B494">
        <v>116.90990789999999</v>
      </c>
      <c r="C494">
        <v>19.537851329999999</v>
      </c>
      <c r="D494">
        <v>3.9906790299999999</v>
      </c>
      <c r="E494">
        <f t="shared" si="245"/>
        <v>3.9906790299999999</v>
      </c>
      <c r="F494">
        <f t="shared" si="246"/>
        <v>0</v>
      </c>
      <c r="G494">
        <f t="shared" si="247"/>
        <v>0</v>
      </c>
      <c r="H494">
        <f t="shared" si="248"/>
        <v>0</v>
      </c>
      <c r="I494">
        <f t="shared" si="249"/>
        <v>0</v>
      </c>
      <c r="J494">
        <f t="shared" si="250"/>
        <v>0</v>
      </c>
      <c r="K494" s="1">
        <f t="shared" si="251"/>
        <v>0</v>
      </c>
      <c r="L494" s="1">
        <f t="shared" si="252"/>
        <v>0</v>
      </c>
      <c r="M494" s="1">
        <f t="shared" si="253"/>
        <v>0</v>
      </c>
      <c r="N494" s="1">
        <f t="shared" si="254"/>
        <v>0</v>
      </c>
      <c r="O494" s="1">
        <f t="shared" si="255"/>
        <v>0</v>
      </c>
      <c r="P494" s="1">
        <f t="shared" si="256"/>
        <v>25</v>
      </c>
      <c r="Q494" s="1" t="e">
        <f t="shared" si="257"/>
        <v>#DIV/0!</v>
      </c>
      <c r="R494" s="1" t="e">
        <f t="shared" si="258"/>
        <v>#DIV/0!</v>
      </c>
      <c r="S494" s="1" t="e">
        <f t="shared" si="259"/>
        <v>#DIV/0!</v>
      </c>
      <c r="T494" s="1" t="e">
        <f t="shared" si="260"/>
        <v>#DIV/0!</v>
      </c>
      <c r="U494" s="1" t="e">
        <f t="shared" si="261"/>
        <v>#DIV/0!</v>
      </c>
      <c r="V494">
        <f t="shared" si="262"/>
        <v>851.48</v>
      </c>
      <c r="W494">
        <f t="shared" si="263"/>
        <v>0</v>
      </c>
      <c r="X494">
        <f t="shared" si="264"/>
        <v>0</v>
      </c>
      <c r="Y494">
        <f t="shared" si="265"/>
        <v>0</v>
      </c>
      <c r="Z494">
        <f t="shared" si="266"/>
        <v>0</v>
      </c>
      <c r="AA494">
        <f t="shared" si="267"/>
        <v>0</v>
      </c>
      <c r="AC494">
        <f t="shared" si="268"/>
        <v>1045.25</v>
      </c>
      <c r="AD494">
        <f t="shared" si="269"/>
        <v>0</v>
      </c>
      <c r="AE494">
        <f t="shared" si="270"/>
        <v>0</v>
      </c>
      <c r="AF494">
        <f t="shared" si="271"/>
        <v>0</v>
      </c>
      <c r="AG494">
        <f t="shared" si="272"/>
        <v>0</v>
      </c>
      <c r="AH494">
        <f t="shared" si="273"/>
        <v>0</v>
      </c>
      <c r="AJ494">
        <f t="shared" si="274"/>
        <v>1239.01</v>
      </c>
      <c r="AK494">
        <f t="shared" si="275"/>
        <v>0</v>
      </c>
      <c r="AL494">
        <f t="shared" si="276"/>
        <v>0</v>
      </c>
      <c r="AM494">
        <f t="shared" si="277"/>
        <v>0</v>
      </c>
      <c r="AN494">
        <f t="shared" si="278"/>
        <v>0</v>
      </c>
      <c r="AO494">
        <f t="shared" si="279"/>
        <v>0</v>
      </c>
    </row>
    <row r="495" spans="1:41" x14ac:dyDescent="0.45">
      <c r="A495">
        <v>38.063275830000002</v>
      </c>
      <c r="B495">
        <v>119.6586372</v>
      </c>
      <c r="C495">
        <v>34.305973049999999</v>
      </c>
      <c r="D495">
        <v>0.61215299000000001</v>
      </c>
      <c r="E495">
        <f t="shared" si="245"/>
        <v>0.61215299000000001</v>
      </c>
      <c r="F495">
        <f t="shared" si="246"/>
        <v>0</v>
      </c>
      <c r="G495">
        <f t="shared" si="247"/>
        <v>0</v>
      </c>
      <c r="H495">
        <f t="shared" si="248"/>
        <v>0</v>
      </c>
      <c r="I495">
        <f t="shared" si="249"/>
        <v>0</v>
      </c>
      <c r="J495">
        <f t="shared" si="250"/>
        <v>0</v>
      </c>
      <c r="K495" s="1">
        <f t="shared" si="251"/>
        <v>0</v>
      </c>
      <c r="L495" s="1">
        <f t="shared" si="252"/>
        <v>0</v>
      </c>
      <c r="M495" s="1">
        <f t="shared" si="253"/>
        <v>0</v>
      </c>
      <c r="N495" s="1">
        <f t="shared" si="254"/>
        <v>0</v>
      </c>
      <c r="O495" s="1">
        <f t="shared" si="255"/>
        <v>0</v>
      </c>
      <c r="P495" s="1">
        <f t="shared" si="256"/>
        <v>25</v>
      </c>
      <c r="Q495" s="1" t="e">
        <f t="shared" si="257"/>
        <v>#DIV/0!</v>
      </c>
      <c r="R495" s="1" t="e">
        <f t="shared" si="258"/>
        <v>#DIV/0!</v>
      </c>
      <c r="S495" s="1" t="e">
        <f t="shared" si="259"/>
        <v>#DIV/0!</v>
      </c>
      <c r="T495" s="1" t="e">
        <f t="shared" si="260"/>
        <v>#DIV/0!</v>
      </c>
      <c r="U495" s="1" t="e">
        <f t="shared" si="261"/>
        <v>#DIV/0!</v>
      </c>
      <c r="V495">
        <f t="shared" si="262"/>
        <v>851.48</v>
      </c>
      <c r="W495">
        <f t="shared" si="263"/>
        <v>0</v>
      </c>
      <c r="X495">
        <f t="shared" si="264"/>
        <v>0</v>
      </c>
      <c r="Y495">
        <f t="shared" si="265"/>
        <v>0</v>
      </c>
      <c r="Z495">
        <f t="shared" si="266"/>
        <v>0</v>
      </c>
      <c r="AA495">
        <f t="shared" si="267"/>
        <v>0</v>
      </c>
      <c r="AC495">
        <f t="shared" si="268"/>
        <v>1045.25</v>
      </c>
      <c r="AD495">
        <f t="shared" si="269"/>
        <v>0</v>
      </c>
      <c r="AE495">
        <f t="shared" si="270"/>
        <v>0</v>
      </c>
      <c r="AF495">
        <f t="shared" si="271"/>
        <v>0</v>
      </c>
      <c r="AG495">
        <f t="shared" si="272"/>
        <v>0</v>
      </c>
      <c r="AH495">
        <f t="shared" si="273"/>
        <v>0</v>
      </c>
      <c r="AJ495">
        <f t="shared" si="274"/>
        <v>1239.01</v>
      </c>
      <c r="AK495">
        <f t="shared" si="275"/>
        <v>0</v>
      </c>
      <c r="AL495">
        <f t="shared" si="276"/>
        <v>0</v>
      </c>
      <c r="AM495">
        <f t="shared" si="277"/>
        <v>0</v>
      </c>
      <c r="AN495">
        <f t="shared" si="278"/>
        <v>0</v>
      </c>
      <c r="AO495">
        <f t="shared" si="279"/>
        <v>0</v>
      </c>
    </row>
    <row r="496" spans="1:41" x14ac:dyDescent="0.45">
      <c r="A496">
        <v>38.069500490000003</v>
      </c>
      <c r="B496">
        <v>120.0114308</v>
      </c>
      <c r="C496">
        <v>52.500782010000002</v>
      </c>
      <c r="D496">
        <v>7.3458380700000001</v>
      </c>
      <c r="E496">
        <f t="shared" si="245"/>
        <v>7.3458380700000001</v>
      </c>
      <c r="F496">
        <f t="shared" si="246"/>
        <v>0</v>
      </c>
      <c r="G496">
        <f t="shared" si="247"/>
        <v>0</v>
      </c>
      <c r="H496">
        <f t="shared" si="248"/>
        <v>0</v>
      </c>
      <c r="I496">
        <f t="shared" si="249"/>
        <v>0</v>
      </c>
      <c r="J496">
        <f t="shared" si="250"/>
        <v>0</v>
      </c>
      <c r="K496" s="1">
        <f t="shared" si="251"/>
        <v>0</v>
      </c>
      <c r="L496" s="1">
        <f t="shared" si="252"/>
        <v>0</v>
      </c>
      <c r="M496" s="1">
        <f t="shared" si="253"/>
        <v>0</v>
      </c>
      <c r="N496" s="1">
        <f t="shared" si="254"/>
        <v>0</v>
      </c>
      <c r="O496" s="1">
        <f t="shared" si="255"/>
        <v>0</v>
      </c>
      <c r="P496" s="1">
        <f t="shared" si="256"/>
        <v>25</v>
      </c>
      <c r="Q496" s="1" t="e">
        <f t="shared" si="257"/>
        <v>#DIV/0!</v>
      </c>
      <c r="R496" s="1" t="e">
        <f t="shared" si="258"/>
        <v>#DIV/0!</v>
      </c>
      <c r="S496" s="1" t="e">
        <f t="shared" si="259"/>
        <v>#DIV/0!</v>
      </c>
      <c r="T496" s="1" t="e">
        <f t="shared" si="260"/>
        <v>#DIV/0!</v>
      </c>
      <c r="U496" s="1" t="e">
        <f t="shared" si="261"/>
        <v>#DIV/0!</v>
      </c>
      <c r="V496">
        <f t="shared" si="262"/>
        <v>851.48</v>
      </c>
      <c r="W496">
        <f t="shared" si="263"/>
        <v>0</v>
      </c>
      <c r="X496">
        <f t="shared" si="264"/>
        <v>0</v>
      </c>
      <c r="Y496">
        <f t="shared" si="265"/>
        <v>0</v>
      </c>
      <c r="Z496">
        <f t="shared" si="266"/>
        <v>0</v>
      </c>
      <c r="AA496">
        <f t="shared" si="267"/>
        <v>0</v>
      </c>
      <c r="AC496">
        <f t="shared" si="268"/>
        <v>1045.25</v>
      </c>
      <c r="AD496">
        <f t="shared" si="269"/>
        <v>0</v>
      </c>
      <c r="AE496">
        <f t="shared" si="270"/>
        <v>0</v>
      </c>
      <c r="AF496">
        <f t="shared" si="271"/>
        <v>0</v>
      </c>
      <c r="AG496">
        <f t="shared" si="272"/>
        <v>0</v>
      </c>
      <c r="AH496">
        <f t="shared" si="273"/>
        <v>0</v>
      </c>
      <c r="AJ496">
        <f t="shared" si="274"/>
        <v>1239.01</v>
      </c>
      <c r="AK496">
        <f t="shared" si="275"/>
        <v>0</v>
      </c>
      <c r="AL496">
        <f t="shared" si="276"/>
        <v>0</v>
      </c>
      <c r="AM496">
        <f t="shared" si="277"/>
        <v>0</v>
      </c>
      <c r="AN496">
        <f t="shared" si="278"/>
        <v>0</v>
      </c>
      <c r="AO496">
        <f t="shared" si="279"/>
        <v>0</v>
      </c>
    </row>
    <row r="497" spans="1:41" x14ac:dyDescent="0.45">
      <c r="A497">
        <v>38.071756049999998</v>
      </c>
      <c r="B497">
        <v>117.3199785</v>
      </c>
      <c r="C497">
        <v>13.02523422</v>
      </c>
      <c r="D497">
        <v>3.6507940300000001</v>
      </c>
      <c r="E497">
        <f t="shared" si="245"/>
        <v>3.6507940300000001</v>
      </c>
      <c r="F497">
        <f t="shared" si="246"/>
        <v>0</v>
      </c>
      <c r="G497">
        <f t="shared" si="247"/>
        <v>0</v>
      </c>
      <c r="H497">
        <f t="shared" si="248"/>
        <v>0</v>
      </c>
      <c r="I497">
        <f t="shared" si="249"/>
        <v>0</v>
      </c>
      <c r="J497">
        <f t="shared" si="250"/>
        <v>0</v>
      </c>
      <c r="K497" s="1">
        <f t="shared" si="251"/>
        <v>0</v>
      </c>
      <c r="L497" s="1">
        <f t="shared" si="252"/>
        <v>0</v>
      </c>
      <c r="M497" s="1">
        <f t="shared" si="253"/>
        <v>0</v>
      </c>
      <c r="N497" s="1">
        <f t="shared" si="254"/>
        <v>0</v>
      </c>
      <c r="O497" s="1">
        <f t="shared" si="255"/>
        <v>0</v>
      </c>
      <c r="P497" s="1">
        <f t="shared" si="256"/>
        <v>25</v>
      </c>
      <c r="Q497" s="1" t="e">
        <f t="shared" si="257"/>
        <v>#DIV/0!</v>
      </c>
      <c r="R497" s="1" t="e">
        <f t="shared" si="258"/>
        <v>#DIV/0!</v>
      </c>
      <c r="S497" s="1" t="e">
        <f t="shared" si="259"/>
        <v>#DIV/0!</v>
      </c>
      <c r="T497" s="1" t="e">
        <f t="shared" si="260"/>
        <v>#DIV/0!</v>
      </c>
      <c r="U497" s="1" t="e">
        <f t="shared" si="261"/>
        <v>#DIV/0!</v>
      </c>
      <c r="V497">
        <f t="shared" si="262"/>
        <v>851.48</v>
      </c>
      <c r="W497">
        <f t="shared" si="263"/>
        <v>0</v>
      </c>
      <c r="X497">
        <f t="shared" si="264"/>
        <v>0</v>
      </c>
      <c r="Y497">
        <f t="shared" si="265"/>
        <v>0</v>
      </c>
      <c r="Z497">
        <f t="shared" si="266"/>
        <v>0</v>
      </c>
      <c r="AA497">
        <f t="shared" si="267"/>
        <v>0</v>
      </c>
      <c r="AC497">
        <f t="shared" si="268"/>
        <v>1045.25</v>
      </c>
      <c r="AD497">
        <f t="shared" si="269"/>
        <v>0</v>
      </c>
      <c r="AE497">
        <f t="shared" si="270"/>
        <v>0</v>
      </c>
      <c r="AF497">
        <f t="shared" si="271"/>
        <v>0</v>
      </c>
      <c r="AG497">
        <f t="shared" si="272"/>
        <v>0</v>
      </c>
      <c r="AH497">
        <f t="shared" si="273"/>
        <v>0</v>
      </c>
      <c r="AJ497">
        <f t="shared" si="274"/>
        <v>1239.01</v>
      </c>
      <c r="AK497">
        <f t="shared" si="275"/>
        <v>0</v>
      </c>
      <c r="AL497">
        <f t="shared" si="276"/>
        <v>0</v>
      </c>
      <c r="AM497">
        <f t="shared" si="277"/>
        <v>0</v>
      </c>
      <c r="AN497">
        <f t="shared" si="278"/>
        <v>0</v>
      </c>
      <c r="AO497">
        <f t="shared" si="279"/>
        <v>0</v>
      </c>
    </row>
    <row r="498" spans="1:41" x14ac:dyDescent="0.45">
      <c r="A498">
        <v>38.072024659999997</v>
      </c>
      <c r="B498">
        <v>118.7232468</v>
      </c>
      <c r="C498">
        <v>43.008232120000002</v>
      </c>
      <c r="D498">
        <v>3.3380479799999998</v>
      </c>
      <c r="E498">
        <f t="shared" si="245"/>
        <v>3.3380479799999998</v>
      </c>
      <c r="F498">
        <f t="shared" si="246"/>
        <v>0</v>
      </c>
      <c r="G498">
        <f t="shared" si="247"/>
        <v>0</v>
      </c>
      <c r="H498">
        <f t="shared" si="248"/>
        <v>0</v>
      </c>
      <c r="I498">
        <f t="shared" si="249"/>
        <v>0</v>
      </c>
      <c r="J498">
        <f t="shared" si="250"/>
        <v>0</v>
      </c>
      <c r="K498" s="1">
        <f t="shared" si="251"/>
        <v>0</v>
      </c>
      <c r="L498" s="1">
        <f t="shared" si="252"/>
        <v>0</v>
      </c>
      <c r="M498" s="1">
        <f t="shared" si="253"/>
        <v>0</v>
      </c>
      <c r="N498" s="1">
        <f t="shared" si="254"/>
        <v>0</v>
      </c>
      <c r="O498" s="1">
        <f t="shared" si="255"/>
        <v>0</v>
      </c>
      <c r="P498" s="1">
        <f t="shared" si="256"/>
        <v>25.000000000000004</v>
      </c>
      <c r="Q498" s="1" t="e">
        <f t="shared" si="257"/>
        <v>#DIV/0!</v>
      </c>
      <c r="R498" s="1" t="e">
        <f t="shared" si="258"/>
        <v>#DIV/0!</v>
      </c>
      <c r="S498" s="1" t="e">
        <f t="shared" si="259"/>
        <v>#DIV/0!</v>
      </c>
      <c r="T498" s="1" t="e">
        <f t="shared" si="260"/>
        <v>#DIV/0!</v>
      </c>
      <c r="U498" s="1" t="e">
        <f t="shared" si="261"/>
        <v>#DIV/0!</v>
      </c>
      <c r="V498">
        <f t="shared" si="262"/>
        <v>851.48000000000013</v>
      </c>
      <c r="W498">
        <f t="shared" si="263"/>
        <v>0</v>
      </c>
      <c r="X498">
        <f t="shared" si="264"/>
        <v>0</v>
      </c>
      <c r="Y498">
        <f t="shared" si="265"/>
        <v>0</v>
      </c>
      <c r="Z498">
        <f t="shared" si="266"/>
        <v>0</v>
      </c>
      <c r="AA498">
        <f t="shared" si="267"/>
        <v>0</v>
      </c>
      <c r="AC498">
        <f t="shared" si="268"/>
        <v>1045.25</v>
      </c>
      <c r="AD498">
        <f t="shared" si="269"/>
        <v>0</v>
      </c>
      <c r="AE498">
        <f t="shared" si="270"/>
        <v>0</v>
      </c>
      <c r="AF498">
        <f t="shared" si="271"/>
        <v>0</v>
      </c>
      <c r="AG498">
        <f t="shared" si="272"/>
        <v>0</v>
      </c>
      <c r="AH498">
        <f t="shared" si="273"/>
        <v>0</v>
      </c>
      <c r="AJ498">
        <f t="shared" si="274"/>
        <v>1239.0100000000002</v>
      </c>
      <c r="AK498">
        <f t="shared" si="275"/>
        <v>0</v>
      </c>
      <c r="AL498">
        <f t="shared" si="276"/>
        <v>0</v>
      </c>
      <c r="AM498">
        <f t="shared" si="277"/>
        <v>0</v>
      </c>
      <c r="AN498">
        <f t="shared" si="278"/>
        <v>0</v>
      </c>
      <c r="AO498">
        <f t="shared" si="279"/>
        <v>0</v>
      </c>
    </row>
    <row r="499" spans="1:41" x14ac:dyDescent="0.45">
      <c r="A499">
        <v>38.073720819999998</v>
      </c>
      <c r="B499">
        <v>118.2554932</v>
      </c>
      <c r="C499">
        <v>43.008232120000002</v>
      </c>
      <c r="D499">
        <v>1.94147801</v>
      </c>
      <c r="E499">
        <f t="shared" si="245"/>
        <v>1.94147801</v>
      </c>
      <c r="F499">
        <f t="shared" si="246"/>
        <v>0</v>
      </c>
      <c r="G499">
        <f t="shared" si="247"/>
        <v>0</v>
      </c>
      <c r="H499">
        <f t="shared" si="248"/>
        <v>0</v>
      </c>
      <c r="I499">
        <f t="shared" si="249"/>
        <v>0</v>
      </c>
      <c r="J499">
        <f t="shared" si="250"/>
        <v>0</v>
      </c>
      <c r="K499" s="1">
        <f t="shared" si="251"/>
        <v>0</v>
      </c>
      <c r="L499" s="1">
        <f t="shared" si="252"/>
        <v>0</v>
      </c>
      <c r="M499" s="1">
        <f t="shared" si="253"/>
        <v>0</v>
      </c>
      <c r="N499" s="1">
        <f t="shared" si="254"/>
        <v>0</v>
      </c>
      <c r="O499" s="1">
        <f t="shared" si="255"/>
        <v>0</v>
      </c>
      <c r="P499" s="1">
        <f t="shared" si="256"/>
        <v>25</v>
      </c>
      <c r="Q499" s="1" t="e">
        <f t="shared" si="257"/>
        <v>#DIV/0!</v>
      </c>
      <c r="R499" s="1" t="e">
        <f t="shared" si="258"/>
        <v>#DIV/0!</v>
      </c>
      <c r="S499" s="1" t="e">
        <f t="shared" si="259"/>
        <v>#DIV/0!</v>
      </c>
      <c r="T499" s="1" t="e">
        <f t="shared" si="260"/>
        <v>#DIV/0!</v>
      </c>
      <c r="U499" s="1" t="e">
        <f t="shared" si="261"/>
        <v>#DIV/0!</v>
      </c>
      <c r="V499">
        <f t="shared" si="262"/>
        <v>851.48</v>
      </c>
      <c r="W499">
        <f t="shared" si="263"/>
        <v>0</v>
      </c>
      <c r="X499">
        <f t="shared" si="264"/>
        <v>0</v>
      </c>
      <c r="Y499">
        <f t="shared" si="265"/>
        <v>0</v>
      </c>
      <c r="Z499">
        <f t="shared" si="266"/>
        <v>0</v>
      </c>
      <c r="AA499">
        <f t="shared" si="267"/>
        <v>0</v>
      </c>
      <c r="AC499">
        <f t="shared" si="268"/>
        <v>1045.25</v>
      </c>
      <c r="AD499">
        <f t="shared" si="269"/>
        <v>0</v>
      </c>
      <c r="AE499">
        <f t="shared" si="270"/>
        <v>0</v>
      </c>
      <c r="AF499">
        <f t="shared" si="271"/>
        <v>0</v>
      </c>
      <c r="AG499">
        <f t="shared" si="272"/>
        <v>0</v>
      </c>
      <c r="AH499">
        <f t="shared" si="273"/>
        <v>0</v>
      </c>
      <c r="AJ499">
        <f t="shared" si="274"/>
        <v>1239.01</v>
      </c>
      <c r="AK499">
        <f t="shared" si="275"/>
        <v>0</v>
      </c>
      <c r="AL499">
        <f t="shared" si="276"/>
        <v>0</v>
      </c>
      <c r="AM499">
        <f t="shared" si="277"/>
        <v>0</v>
      </c>
      <c r="AN499">
        <f t="shared" si="278"/>
        <v>0</v>
      </c>
      <c r="AO499">
        <f t="shared" si="279"/>
        <v>0</v>
      </c>
    </row>
    <row r="500" spans="1:41" x14ac:dyDescent="0.45">
      <c r="A500">
        <v>38.076098469999998</v>
      </c>
      <c r="B500">
        <v>119.9540161</v>
      </c>
      <c r="C500">
        <v>15.833525659999999</v>
      </c>
      <c r="D500">
        <v>3.6729190300000001</v>
      </c>
      <c r="E500">
        <f t="shared" si="245"/>
        <v>3.6729190300000001</v>
      </c>
      <c r="F500">
        <f t="shared" si="246"/>
        <v>0</v>
      </c>
      <c r="G500">
        <f t="shared" si="247"/>
        <v>0</v>
      </c>
      <c r="H500">
        <f t="shared" si="248"/>
        <v>0</v>
      </c>
      <c r="I500">
        <f t="shared" si="249"/>
        <v>0</v>
      </c>
      <c r="J500">
        <f t="shared" si="250"/>
        <v>0</v>
      </c>
      <c r="K500" s="1">
        <f t="shared" si="251"/>
        <v>0</v>
      </c>
      <c r="L500" s="1">
        <f t="shared" si="252"/>
        <v>0</v>
      </c>
      <c r="M500" s="1">
        <f t="shared" si="253"/>
        <v>0</v>
      </c>
      <c r="N500" s="1">
        <f t="shared" si="254"/>
        <v>0</v>
      </c>
      <c r="O500" s="1">
        <f t="shared" si="255"/>
        <v>0</v>
      </c>
      <c r="P500" s="1">
        <f t="shared" si="256"/>
        <v>25</v>
      </c>
      <c r="Q500" s="1" t="e">
        <f t="shared" si="257"/>
        <v>#DIV/0!</v>
      </c>
      <c r="R500" s="1" t="e">
        <f t="shared" si="258"/>
        <v>#DIV/0!</v>
      </c>
      <c r="S500" s="1" t="e">
        <f t="shared" si="259"/>
        <v>#DIV/0!</v>
      </c>
      <c r="T500" s="1" t="e">
        <f t="shared" si="260"/>
        <v>#DIV/0!</v>
      </c>
      <c r="U500" s="1" t="e">
        <f t="shared" si="261"/>
        <v>#DIV/0!</v>
      </c>
      <c r="V500">
        <f t="shared" si="262"/>
        <v>851.48</v>
      </c>
      <c r="W500">
        <f t="shared" si="263"/>
        <v>0</v>
      </c>
      <c r="X500">
        <f t="shared" si="264"/>
        <v>0</v>
      </c>
      <c r="Y500">
        <f t="shared" si="265"/>
        <v>0</v>
      </c>
      <c r="Z500">
        <f t="shared" si="266"/>
        <v>0</v>
      </c>
      <c r="AA500">
        <f t="shared" si="267"/>
        <v>0</v>
      </c>
      <c r="AC500">
        <f t="shared" si="268"/>
        <v>1045.25</v>
      </c>
      <c r="AD500">
        <f t="shared" si="269"/>
        <v>0</v>
      </c>
      <c r="AE500">
        <f t="shared" si="270"/>
        <v>0</v>
      </c>
      <c r="AF500">
        <f t="shared" si="271"/>
        <v>0</v>
      </c>
      <c r="AG500">
        <f t="shared" si="272"/>
        <v>0</v>
      </c>
      <c r="AH500">
        <f t="shared" si="273"/>
        <v>0</v>
      </c>
      <c r="AJ500">
        <f t="shared" si="274"/>
        <v>1239.01</v>
      </c>
      <c r="AK500">
        <f t="shared" si="275"/>
        <v>0</v>
      </c>
      <c r="AL500">
        <f t="shared" si="276"/>
        <v>0</v>
      </c>
      <c r="AM500">
        <f t="shared" si="277"/>
        <v>0</v>
      </c>
      <c r="AN500">
        <f t="shared" si="278"/>
        <v>0</v>
      </c>
      <c r="AO500">
        <f t="shared" si="279"/>
        <v>0</v>
      </c>
    </row>
    <row r="501" spans="1:41" x14ac:dyDescent="0.45">
      <c r="A501">
        <v>38.076114169999997</v>
      </c>
      <c r="B501">
        <v>119.5437476</v>
      </c>
      <c r="C501">
        <v>79.345855709999995</v>
      </c>
      <c r="D501">
        <v>9.4296083500000005</v>
      </c>
      <c r="E501">
        <f t="shared" si="245"/>
        <v>9.4296083500000005</v>
      </c>
      <c r="F501">
        <f t="shared" si="246"/>
        <v>0</v>
      </c>
      <c r="G501">
        <f t="shared" si="247"/>
        <v>0</v>
      </c>
      <c r="H501">
        <f t="shared" si="248"/>
        <v>0</v>
      </c>
      <c r="I501">
        <f t="shared" si="249"/>
        <v>0</v>
      </c>
      <c r="J501">
        <f t="shared" si="250"/>
        <v>0</v>
      </c>
      <c r="K501" s="1">
        <f t="shared" si="251"/>
        <v>0</v>
      </c>
      <c r="L501" s="1">
        <f t="shared" si="252"/>
        <v>0</v>
      </c>
      <c r="M501" s="1">
        <f t="shared" si="253"/>
        <v>0</v>
      </c>
      <c r="N501" s="1">
        <f t="shared" si="254"/>
        <v>0</v>
      </c>
      <c r="O501" s="1">
        <f t="shared" si="255"/>
        <v>0</v>
      </c>
      <c r="P501" s="1">
        <f t="shared" si="256"/>
        <v>25</v>
      </c>
      <c r="Q501" s="1" t="e">
        <f t="shared" si="257"/>
        <v>#DIV/0!</v>
      </c>
      <c r="R501" s="1" t="e">
        <f t="shared" si="258"/>
        <v>#DIV/0!</v>
      </c>
      <c r="S501" s="1" t="e">
        <f t="shared" si="259"/>
        <v>#DIV/0!</v>
      </c>
      <c r="T501" s="1" t="e">
        <f t="shared" si="260"/>
        <v>#DIV/0!</v>
      </c>
      <c r="U501" s="1" t="e">
        <f t="shared" si="261"/>
        <v>#DIV/0!</v>
      </c>
      <c r="V501">
        <f t="shared" si="262"/>
        <v>851.48</v>
      </c>
      <c r="W501">
        <f t="shared" si="263"/>
        <v>0</v>
      </c>
      <c r="X501">
        <f t="shared" si="264"/>
        <v>0</v>
      </c>
      <c r="Y501">
        <f t="shared" si="265"/>
        <v>0</v>
      </c>
      <c r="Z501">
        <f t="shared" si="266"/>
        <v>0</v>
      </c>
      <c r="AA501">
        <f t="shared" si="267"/>
        <v>0</v>
      </c>
      <c r="AC501">
        <f t="shared" si="268"/>
        <v>1045.25</v>
      </c>
      <c r="AD501">
        <f t="shared" si="269"/>
        <v>0</v>
      </c>
      <c r="AE501">
        <f t="shared" si="270"/>
        <v>0</v>
      </c>
      <c r="AF501">
        <f t="shared" si="271"/>
        <v>0</v>
      </c>
      <c r="AG501">
        <f t="shared" si="272"/>
        <v>0</v>
      </c>
      <c r="AH501">
        <f t="shared" si="273"/>
        <v>0</v>
      </c>
      <c r="AJ501">
        <f t="shared" si="274"/>
        <v>1239.01</v>
      </c>
      <c r="AK501">
        <f t="shared" si="275"/>
        <v>0</v>
      </c>
      <c r="AL501">
        <f t="shared" si="276"/>
        <v>0</v>
      </c>
      <c r="AM501">
        <f t="shared" si="277"/>
        <v>0</v>
      </c>
      <c r="AN501">
        <f t="shared" si="278"/>
        <v>0</v>
      </c>
      <c r="AO501">
        <f t="shared" si="279"/>
        <v>0</v>
      </c>
    </row>
    <row r="502" spans="1:41" x14ac:dyDescent="0.45">
      <c r="A502">
        <v>38.077376360000002</v>
      </c>
      <c r="B502">
        <v>90.892039670000003</v>
      </c>
      <c r="C502">
        <v>20.624670030000001</v>
      </c>
      <c r="D502">
        <v>4.1073570300000002</v>
      </c>
      <c r="E502">
        <f t="shared" si="245"/>
        <v>4.1073570300000002</v>
      </c>
      <c r="F502">
        <f t="shared" si="246"/>
        <v>0</v>
      </c>
      <c r="G502">
        <f t="shared" si="247"/>
        <v>0</v>
      </c>
      <c r="H502">
        <f t="shared" si="248"/>
        <v>0</v>
      </c>
      <c r="I502">
        <f t="shared" si="249"/>
        <v>0</v>
      </c>
      <c r="J502">
        <f t="shared" si="250"/>
        <v>0</v>
      </c>
      <c r="K502" s="1">
        <f t="shared" si="251"/>
        <v>0</v>
      </c>
      <c r="L502" s="1">
        <f t="shared" si="252"/>
        <v>0</v>
      </c>
      <c r="M502" s="1">
        <f t="shared" si="253"/>
        <v>0</v>
      </c>
      <c r="N502" s="1">
        <f t="shared" si="254"/>
        <v>0</v>
      </c>
      <c r="O502" s="1">
        <f t="shared" si="255"/>
        <v>0</v>
      </c>
      <c r="P502" s="1">
        <f t="shared" si="256"/>
        <v>25</v>
      </c>
      <c r="Q502" s="1" t="e">
        <f t="shared" si="257"/>
        <v>#DIV/0!</v>
      </c>
      <c r="R502" s="1" t="e">
        <f t="shared" si="258"/>
        <v>#DIV/0!</v>
      </c>
      <c r="S502" s="1" t="e">
        <f t="shared" si="259"/>
        <v>#DIV/0!</v>
      </c>
      <c r="T502" s="1" t="e">
        <f t="shared" si="260"/>
        <v>#DIV/0!</v>
      </c>
      <c r="U502" s="1" t="e">
        <f t="shared" si="261"/>
        <v>#DIV/0!</v>
      </c>
      <c r="V502">
        <f t="shared" si="262"/>
        <v>851.48</v>
      </c>
      <c r="W502">
        <f t="shared" si="263"/>
        <v>0</v>
      </c>
      <c r="X502">
        <f t="shared" si="264"/>
        <v>0</v>
      </c>
      <c r="Y502">
        <f t="shared" si="265"/>
        <v>0</v>
      </c>
      <c r="Z502">
        <f t="shared" si="266"/>
        <v>0</v>
      </c>
      <c r="AA502">
        <f t="shared" si="267"/>
        <v>0</v>
      </c>
      <c r="AC502">
        <f t="shared" si="268"/>
        <v>1045.25</v>
      </c>
      <c r="AD502">
        <f t="shared" si="269"/>
        <v>0</v>
      </c>
      <c r="AE502">
        <f t="shared" si="270"/>
        <v>0</v>
      </c>
      <c r="AF502">
        <f t="shared" si="271"/>
        <v>0</v>
      </c>
      <c r="AG502">
        <f t="shared" si="272"/>
        <v>0</v>
      </c>
      <c r="AH502">
        <f t="shared" si="273"/>
        <v>0</v>
      </c>
      <c r="AJ502">
        <f t="shared" si="274"/>
        <v>1239.01</v>
      </c>
      <c r="AK502">
        <f t="shared" si="275"/>
        <v>0</v>
      </c>
      <c r="AL502">
        <f t="shared" si="276"/>
        <v>0</v>
      </c>
      <c r="AM502">
        <f t="shared" si="277"/>
        <v>0</v>
      </c>
      <c r="AN502">
        <f t="shared" si="278"/>
        <v>0</v>
      </c>
      <c r="AO502">
        <f t="shared" si="279"/>
        <v>0</v>
      </c>
    </row>
    <row r="503" spans="1:41" x14ac:dyDescent="0.45">
      <c r="A503">
        <v>38.0794949</v>
      </c>
      <c r="B503">
        <v>118.1979338</v>
      </c>
      <c r="C503">
        <v>76.896270749999999</v>
      </c>
      <c r="D503">
        <v>4.1423049000000001</v>
      </c>
      <c r="E503">
        <f t="shared" si="245"/>
        <v>4.1423049000000001</v>
      </c>
      <c r="F503">
        <f t="shared" si="246"/>
        <v>0</v>
      </c>
      <c r="G503">
        <f t="shared" si="247"/>
        <v>0</v>
      </c>
      <c r="H503">
        <f t="shared" si="248"/>
        <v>0</v>
      </c>
      <c r="I503">
        <f t="shared" si="249"/>
        <v>0</v>
      </c>
      <c r="J503">
        <f t="shared" si="250"/>
        <v>0</v>
      </c>
      <c r="K503" s="1">
        <f t="shared" si="251"/>
        <v>0</v>
      </c>
      <c r="L503" s="1">
        <f t="shared" si="252"/>
        <v>0</v>
      </c>
      <c r="M503" s="1">
        <f t="shared" si="253"/>
        <v>0</v>
      </c>
      <c r="N503" s="1">
        <f t="shared" si="254"/>
        <v>0</v>
      </c>
      <c r="O503" s="1">
        <f t="shared" si="255"/>
        <v>0</v>
      </c>
      <c r="P503" s="1">
        <f t="shared" si="256"/>
        <v>25</v>
      </c>
      <c r="Q503" s="1" t="e">
        <f t="shared" si="257"/>
        <v>#DIV/0!</v>
      </c>
      <c r="R503" s="1" t="e">
        <f t="shared" si="258"/>
        <v>#DIV/0!</v>
      </c>
      <c r="S503" s="1" t="e">
        <f t="shared" si="259"/>
        <v>#DIV/0!</v>
      </c>
      <c r="T503" s="1" t="e">
        <f t="shared" si="260"/>
        <v>#DIV/0!</v>
      </c>
      <c r="U503" s="1" t="e">
        <f t="shared" si="261"/>
        <v>#DIV/0!</v>
      </c>
      <c r="V503">
        <f t="shared" si="262"/>
        <v>851.48</v>
      </c>
      <c r="W503">
        <f t="shared" si="263"/>
        <v>0</v>
      </c>
      <c r="X503">
        <f t="shared" si="264"/>
        <v>0</v>
      </c>
      <c r="Y503">
        <f t="shared" si="265"/>
        <v>0</v>
      </c>
      <c r="Z503">
        <f t="shared" si="266"/>
        <v>0</v>
      </c>
      <c r="AA503">
        <f t="shared" si="267"/>
        <v>0</v>
      </c>
      <c r="AC503">
        <f t="shared" si="268"/>
        <v>1045.25</v>
      </c>
      <c r="AD503">
        <f t="shared" si="269"/>
        <v>0</v>
      </c>
      <c r="AE503">
        <f t="shared" si="270"/>
        <v>0</v>
      </c>
      <c r="AF503">
        <f t="shared" si="271"/>
        <v>0</v>
      </c>
      <c r="AG503">
        <f t="shared" si="272"/>
        <v>0</v>
      </c>
      <c r="AH503">
        <f t="shared" si="273"/>
        <v>0</v>
      </c>
      <c r="AJ503">
        <f t="shared" si="274"/>
        <v>1239.01</v>
      </c>
      <c r="AK503">
        <f t="shared" si="275"/>
        <v>0</v>
      </c>
      <c r="AL503">
        <f t="shared" si="276"/>
        <v>0</v>
      </c>
      <c r="AM503">
        <f t="shared" si="277"/>
        <v>0</v>
      </c>
      <c r="AN503">
        <f t="shared" si="278"/>
        <v>0</v>
      </c>
      <c r="AO503">
        <f t="shared" si="279"/>
        <v>0</v>
      </c>
    </row>
    <row r="504" spans="1:41" x14ac:dyDescent="0.45">
      <c r="A504">
        <v>38.084487709999998</v>
      </c>
      <c r="B504">
        <v>90.949362280000003</v>
      </c>
      <c r="C504">
        <v>20.624670030000001</v>
      </c>
      <c r="D504">
        <v>49.024765010000003</v>
      </c>
      <c r="E504">
        <f t="shared" si="245"/>
        <v>20.624670030000001</v>
      </c>
      <c r="F504">
        <f t="shared" si="246"/>
        <v>0</v>
      </c>
      <c r="G504">
        <f t="shared" si="247"/>
        <v>0</v>
      </c>
      <c r="H504">
        <f t="shared" si="248"/>
        <v>0</v>
      </c>
      <c r="I504">
        <f t="shared" si="249"/>
        <v>0</v>
      </c>
      <c r="J504">
        <f t="shared" si="250"/>
        <v>0</v>
      </c>
      <c r="K504" s="1">
        <f t="shared" si="251"/>
        <v>0</v>
      </c>
      <c r="L504" s="1">
        <f t="shared" si="252"/>
        <v>0</v>
      </c>
      <c r="M504" s="1">
        <f t="shared" si="253"/>
        <v>0</v>
      </c>
      <c r="N504" s="1">
        <f t="shared" si="254"/>
        <v>0</v>
      </c>
      <c r="O504" s="1">
        <f t="shared" si="255"/>
        <v>0</v>
      </c>
      <c r="P504" s="1">
        <f t="shared" si="256"/>
        <v>10.517475211657318</v>
      </c>
      <c r="Q504" s="1" t="e">
        <f t="shared" si="257"/>
        <v>#DIV/0!</v>
      </c>
      <c r="R504" s="1" t="e">
        <f t="shared" si="258"/>
        <v>#DIV/0!</v>
      </c>
      <c r="S504" s="1" t="e">
        <f t="shared" si="259"/>
        <v>#DIV/0!</v>
      </c>
      <c r="T504" s="1" t="e">
        <f t="shared" si="260"/>
        <v>#DIV/0!</v>
      </c>
      <c r="U504" s="1" t="e">
        <f t="shared" si="261"/>
        <v>#DIV/0!</v>
      </c>
      <c r="V504">
        <f t="shared" si="262"/>
        <v>380.79794437886289</v>
      </c>
      <c r="W504">
        <f t="shared" si="263"/>
        <v>0</v>
      </c>
      <c r="X504">
        <f t="shared" si="264"/>
        <v>0</v>
      </c>
      <c r="Y504">
        <f t="shared" si="265"/>
        <v>0</v>
      </c>
      <c r="Z504">
        <f t="shared" si="266"/>
        <v>0</v>
      </c>
      <c r="AA504">
        <f t="shared" si="267"/>
        <v>0</v>
      </c>
      <c r="AC504">
        <f t="shared" si="268"/>
        <v>465.94900846629275</v>
      </c>
      <c r="AD504">
        <f t="shared" si="269"/>
        <v>0</v>
      </c>
      <c r="AE504">
        <f t="shared" si="270"/>
        <v>0</v>
      </c>
      <c r="AF504">
        <f t="shared" si="271"/>
        <v>0</v>
      </c>
      <c r="AG504">
        <f t="shared" si="272"/>
        <v>0</v>
      </c>
      <c r="AH504">
        <f t="shared" si="273"/>
        <v>0</v>
      </c>
      <c r="AJ504">
        <f t="shared" si="274"/>
        <v>551.09007255372262</v>
      </c>
      <c r="AK504">
        <f t="shared" si="275"/>
        <v>0</v>
      </c>
      <c r="AL504">
        <f t="shared" si="276"/>
        <v>0</v>
      </c>
      <c r="AM504">
        <f t="shared" si="277"/>
        <v>0</v>
      </c>
      <c r="AN504">
        <f t="shared" si="278"/>
        <v>0</v>
      </c>
      <c r="AO504">
        <f t="shared" si="279"/>
        <v>0</v>
      </c>
    </row>
    <row r="505" spans="1:41" x14ac:dyDescent="0.45">
      <c r="A505">
        <v>38.089213610000002</v>
      </c>
      <c r="B505">
        <v>119.8391572</v>
      </c>
      <c r="C505">
        <v>16.461584089999999</v>
      </c>
      <c r="D505">
        <v>8.1832637800000008</v>
      </c>
      <c r="E505">
        <f t="shared" si="245"/>
        <v>8.1832637800000008</v>
      </c>
      <c r="F505">
        <f t="shared" si="246"/>
        <v>0</v>
      </c>
      <c r="G505">
        <f t="shared" si="247"/>
        <v>0</v>
      </c>
      <c r="H505">
        <f t="shared" si="248"/>
        <v>0</v>
      </c>
      <c r="I505">
        <f t="shared" si="249"/>
        <v>0</v>
      </c>
      <c r="J505">
        <f t="shared" si="250"/>
        <v>0</v>
      </c>
      <c r="K505" s="1">
        <f t="shared" si="251"/>
        <v>0</v>
      </c>
      <c r="L505" s="1">
        <f t="shared" si="252"/>
        <v>0</v>
      </c>
      <c r="M505" s="1">
        <f t="shared" si="253"/>
        <v>0</v>
      </c>
      <c r="N505" s="1">
        <f t="shared" si="254"/>
        <v>0</v>
      </c>
      <c r="O505" s="1">
        <f t="shared" si="255"/>
        <v>0</v>
      </c>
      <c r="P505" s="1">
        <f t="shared" si="256"/>
        <v>25</v>
      </c>
      <c r="Q505" s="1" t="e">
        <f t="shared" si="257"/>
        <v>#DIV/0!</v>
      </c>
      <c r="R505" s="1" t="e">
        <f t="shared" si="258"/>
        <v>#DIV/0!</v>
      </c>
      <c r="S505" s="1" t="e">
        <f t="shared" si="259"/>
        <v>#DIV/0!</v>
      </c>
      <c r="T505" s="1" t="e">
        <f t="shared" si="260"/>
        <v>#DIV/0!</v>
      </c>
      <c r="U505" s="1" t="e">
        <f t="shared" si="261"/>
        <v>#DIV/0!</v>
      </c>
      <c r="V505">
        <f t="shared" si="262"/>
        <v>851.48</v>
      </c>
      <c r="W505">
        <f t="shared" si="263"/>
        <v>0</v>
      </c>
      <c r="X505">
        <f t="shared" si="264"/>
        <v>0</v>
      </c>
      <c r="Y505">
        <f t="shared" si="265"/>
        <v>0</v>
      </c>
      <c r="Z505">
        <f t="shared" si="266"/>
        <v>0</v>
      </c>
      <c r="AA505">
        <f t="shared" si="267"/>
        <v>0</v>
      </c>
      <c r="AC505">
        <f t="shared" si="268"/>
        <v>1045.25</v>
      </c>
      <c r="AD505">
        <f t="shared" si="269"/>
        <v>0</v>
      </c>
      <c r="AE505">
        <f t="shared" si="270"/>
        <v>0</v>
      </c>
      <c r="AF505">
        <f t="shared" si="271"/>
        <v>0</v>
      </c>
      <c r="AG505">
        <f t="shared" si="272"/>
        <v>0</v>
      </c>
      <c r="AH505">
        <f t="shared" si="273"/>
        <v>0</v>
      </c>
      <c r="AJ505">
        <f t="shared" si="274"/>
        <v>1239.01</v>
      </c>
      <c r="AK505">
        <f t="shared" si="275"/>
        <v>0</v>
      </c>
      <c r="AL505">
        <f t="shared" si="276"/>
        <v>0</v>
      </c>
      <c r="AM505">
        <f t="shared" si="277"/>
        <v>0</v>
      </c>
      <c r="AN505">
        <f t="shared" si="278"/>
        <v>0</v>
      </c>
      <c r="AO505">
        <f t="shared" si="279"/>
        <v>0</v>
      </c>
    </row>
    <row r="506" spans="1:41" x14ac:dyDescent="0.45">
      <c r="A506">
        <v>38.101600650000002</v>
      </c>
      <c r="B506">
        <v>120.13466510000001</v>
      </c>
      <c r="C506">
        <v>39.583812709999997</v>
      </c>
      <c r="D506">
        <v>1.83645999</v>
      </c>
      <c r="E506">
        <f t="shared" si="245"/>
        <v>1.83645999</v>
      </c>
      <c r="F506">
        <f t="shared" si="246"/>
        <v>0</v>
      </c>
      <c r="G506">
        <f t="shared" si="247"/>
        <v>0</v>
      </c>
      <c r="H506">
        <f t="shared" si="248"/>
        <v>0</v>
      </c>
      <c r="I506">
        <f t="shared" si="249"/>
        <v>0</v>
      </c>
      <c r="J506">
        <f t="shared" si="250"/>
        <v>0</v>
      </c>
      <c r="K506" s="1">
        <f t="shared" si="251"/>
        <v>0</v>
      </c>
      <c r="L506" s="1">
        <f t="shared" si="252"/>
        <v>0</v>
      </c>
      <c r="M506" s="1">
        <f t="shared" si="253"/>
        <v>0</v>
      </c>
      <c r="N506" s="1">
        <f t="shared" si="254"/>
        <v>0</v>
      </c>
      <c r="O506" s="1">
        <f t="shared" si="255"/>
        <v>0</v>
      </c>
      <c r="P506" s="1">
        <f t="shared" si="256"/>
        <v>25.000000000000004</v>
      </c>
      <c r="Q506" s="1" t="e">
        <f t="shared" si="257"/>
        <v>#DIV/0!</v>
      </c>
      <c r="R506" s="1" t="e">
        <f t="shared" si="258"/>
        <v>#DIV/0!</v>
      </c>
      <c r="S506" s="1" t="e">
        <f t="shared" si="259"/>
        <v>#DIV/0!</v>
      </c>
      <c r="T506" s="1" t="e">
        <f t="shared" si="260"/>
        <v>#DIV/0!</v>
      </c>
      <c r="U506" s="1" t="e">
        <f t="shared" si="261"/>
        <v>#DIV/0!</v>
      </c>
      <c r="V506">
        <f t="shared" si="262"/>
        <v>851.48000000000013</v>
      </c>
      <c r="W506">
        <f t="shared" si="263"/>
        <v>0</v>
      </c>
      <c r="X506">
        <f t="shared" si="264"/>
        <v>0</v>
      </c>
      <c r="Y506">
        <f t="shared" si="265"/>
        <v>0</v>
      </c>
      <c r="Z506">
        <f t="shared" si="266"/>
        <v>0</v>
      </c>
      <c r="AA506">
        <f t="shared" si="267"/>
        <v>0</v>
      </c>
      <c r="AC506">
        <f t="shared" si="268"/>
        <v>1045.25</v>
      </c>
      <c r="AD506">
        <f t="shared" si="269"/>
        <v>0</v>
      </c>
      <c r="AE506">
        <f t="shared" si="270"/>
        <v>0</v>
      </c>
      <c r="AF506">
        <f t="shared" si="271"/>
        <v>0</v>
      </c>
      <c r="AG506">
        <f t="shared" si="272"/>
        <v>0</v>
      </c>
      <c r="AH506">
        <f t="shared" si="273"/>
        <v>0</v>
      </c>
      <c r="AJ506">
        <f t="shared" si="274"/>
        <v>1239.0100000000002</v>
      </c>
      <c r="AK506">
        <f t="shared" si="275"/>
        <v>0</v>
      </c>
      <c r="AL506">
        <f t="shared" si="276"/>
        <v>0</v>
      </c>
      <c r="AM506">
        <f t="shared" si="277"/>
        <v>0</v>
      </c>
      <c r="AN506">
        <f t="shared" si="278"/>
        <v>0</v>
      </c>
      <c r="AO506">
        <f t="shared" si="279"/>
        <v>0</v>
      </c>
    </row>
    <row r="507" spans="1:41" x14ac:dyDescent="0.45">
      <c r="A507">
        <v>38.103355290000003</v>
      </c>
      <c r="B507">
        <v>116.9741052</v>
      </c>
      <c r="C507">
        <v>19.537851329999999</v>
      </c>
      <c r="D507">
        <v>12.30202579</v>
      </c>
      <c r="E507">
        <f t="shared" si="245"/>
        <v>12.30202579</v>
      </c>
      <c r="F507">
        <f t="shared" si="246"/>
        <v>0</v>
      </c>
      <c r="G507">
        <f t="shared" si="247"/>
        <v>0</v>
      </c>
      <c r="H507">
        <f t="shared" si="248"/>
        <v>0</v>
      </c>
      <c r="I507">
        <f t="shared" si="249"/>
        <v>0</v>
      </c>
      <c r="J507">
        <f t="shared" si="250"/>
        <v>0</v>
      </c>
      <c r="K507" s="1">
        <f t="shared" si="251"/>
        <v>0</v>
      </c>
      <c r="L507" s="1">
        <f t="shared" si="252"/>
        <v>0</v>
      </c>
      <c r="M507" s="1">
        <f t="shared" si="253"/>
        <v>0</v>
      </c>
      <c r="N507" s="1">
        <f t="shared" si="254"/>
        <v>0</v>
      </c>
      <c r="O507" s="1">
        <f t="shared" si="255"/>
        <v>0</v>
      </c>
      <c r="P507" s="1">
        <f t="shared" si="256"/>
        <v>25</v>
      </c>
      <c r="Q507" s="1" t="e">
        <f t="shared" si="257"/>
        <v>#DIV/0!</v>
      </c>
      <c r="R507" s="1" t="e">
        <f t="shared" si="258"/>
        <v>#DIV/0!</v>
      </c>
      <c r="S507" s="1" t="e">
        <f t="shared" si="259"/>
        <v>#DIV/0!</v>
      </c>
      <c r="T507" s="1" t="e">
        <f t="shared" si="260"/>
        <v>#DIV/0!</v>
      </c>
      <c r="U507" s="1" t="e">
        <f t="shared" si="261"/>
        <v>#DIV/0!</v>
      </c>
      <c r="V507">
        <f t="shared" si="262"/>
        <v>851.48</v>
      </c>
      <c r="W507">
        <f t="shared" si="263"/>
        <v>0</v>
      </c>
      <c r="X507">
        <f t="shared" si="264"/>
        <v>0</v>
      </c>
      <c r="Y507">
        <f t="shared" si="265"/>
        <v>0</v>
      </c>
      <c r="Z507">
        <f t="shared" si="266"/>
        <v>0</v>
      </c>
      <c r="AA507">
        <f t="shared" si="267"/>
        <v>0</v>
      </c>
      <c r="AC507">
        <f t="shared" si="268"/>
        <v>1045.25</v>
      </c>
      <c r="AD507">
        <f t="shared" si="269"/>
        <v>0</v>
      </c>
      <c r="AE507">
        <f t="shared" si="270"/>
        <v>0</v>
      </c>
      <c r="AF507">
        <f t="shared" si="271"/>
        <v>0</v>
      </c>
      <c r="AG507">
        <f t="shared" si="272"/>
        <v>0</v>
      </c>
      <c r="AH507">
        <f t="shared" si="273"/>
        <v>0</v>
      </c>
      <c r="AJ507">
        <f t="shared" si="274"/>
        <v>1239.01</v>
      </c>
      <c r="AK507">
        <f t="shared" si="275"/>
        <v>0</v>
      </c>
      <c r="AL507">
        <f t="shared" si="276"/>
        <v>0</v>
      </c>
      <c r="AM507">
        <f t="shared" si="277"/>
        <v>0</v>
      </c>
      <c r="AN507">
        <f t="shared" si="278"/>
        <v>0</v>
      </c>
      <c r="AO507">
        <f t="shared" si="279"/>
        <v>0</v>
      </c>
    </row>
    <row r="508" spans="1:41" x14ac:dyDescent="0.45">
      <c r="A508">
        <v>38.108526840000003</v>
      </c>
      <c r="B508">
        <v>116.91643209999999</v>
      </c>
      <c r="C508">
        <v>19.537851329999999</v>
      </c>
      <c r="D508">
        <v>0.137877</v>
      </c>
      <c r="E508">
        <f t="shared" si="245"/>
        <v>0.137877</v>
      </c>
      <c r="F508">
        <f t="shared" si="246"/>
        <v>0</v>
      </c>
      <c r="G508">
        <f t="shared" si="247"/>
        <v>0</v>
      </c>
      <c r="H508">
        <f t="shared" si="248"/>
        <v>0</v>
      </c>
      <c r="I508">
        <f t="shared" si="249"/>
        <v>0</v>
      </c>
      <c r="J508">
        <f t="shared" si="250"/>
        <v>0</v>
      </c>
      <c r="K508" s="1">
        <f t="shared" si="251"/>
        <v>0</v>
      </c>
      <c r="L508" s="1">
        <f t="shared" si="252"/>
        <v>0</v>
      </c>
      <c r="M508" s="1">
        <f t="shared" si="253"/>
        <v>0</v>
      </c>
      <c r="N508" s="1">
        <f t="shared" si="254"/>
        <v>0</v>
      </c>
      <c r="O508" s="1">
        <f t="shared" si="255"/>
        <v>0</v>
      </c>
      <c r="P508" s="1">
        <f t="shared" si="256"/>
        <v>25</v>
      </c>
      <c r="Q508" s="1" t="e">
        <f t="shared" si="257"/>
        <v>#DIV/0!</v>
      </c>
      <c r="R508" s="1" t="e">
        <f t="shared" si="258"/>
        <v>#DIV/0!</v>
      </c>
      <c r="S508" s="1" t="e">
        <f t="shared" si="259"/>
        <v>#DIV/0!</v>
      </c>
      <c r="T508" s="1" t="e">
        <f t="shared" si="260"/>
        <v>#DIV/0!</v>
      </c>
      <c r="U508" s="1" t="e">
        <f t="shared" si="261"/>
        <v>#DIV/0!</v>
      </c>
      <c r="V508">
        <f t="shared" si="262"/>
        <v>851.48</v>
      </c>
      <c r="W508">
        <f t="shared" si="263"/>
        <v>0</v>
      </c>
      <c r="X508">
        <f t="shared" si="264"/>
        <v>0</v>
      </c>
      <c r="Y508">
        <f t="shared" si="265"/>
        <v>0</v>
      </c>
      <c r="Z508">
        <f t="shared" si="266"/>
        <v>0</v>
      </c>
      <c r="AA508">
        <f t="shared" si="267"/>
        <v>0</v>
      </c>
      <c r="AC508">
        <f t="shared" si="268"/>
        <v>1045.25</v>
      </c>
      <c r="AD508">
        <f t="shared" si="269"/>
        <v>0</v>
      </c>
      <c r="AE508">
        <f t="shared" si="270"/>
        <v>0</v>
      </c>
      <c r="AF508">
        <f t="shared" si="271"/>
        <v>0</v>
      </c>
      <c r="AG508">
        <f t="shared" si="272"/>
        <v>0</v>
      </c>
      <c r="AH508">
        <f t="shared" si="273"/>
        <v>0</v>
      </c>
      <c r="AJ508">
        <f t="shared" si="274"/>
        <v>1239.01</v>
      </c>
      <c r="AK508">
        <f t="shared" si="275"/>
        <v>0</v>
      </c>
      <c r="AL508">
        <f t="shared" si="276"/>
        <v>0</v>
      </c>
      <c r="AM508">
        <f t="shared" si="277"/>
        <v>0</v>
      </c>
      <c r="AN508">
        <f t="shared" si="278"/>
        <v>0</v>
      </c>
      <c r="AO508">
        <f t="shared" si="279"/>
        <v>0</v>
      </c>
    </row>
    <row r="509" spans="1:41" x14ac:dyDescent="0.45">
      <c r="A509">
        <v>38.111468709999997</v>
      </c>
      <c r="B509">
        <v>118.78839720000001</v>
      </c>
      <c r="C509">
        <v>43.008232120000002</v>
      </c>
      <c r="D509">
        <v>6.14735079</v>
      </c>
      <c r="E509">
        <f t="shared" si="245"/>
        <v>6.14735079</v>
      </c>
      <c r="F509">
        <f t="shared" si="246"/>
        <v>0</v>
      </c>
      <c r="G509">
        <f t="shared" si="247"/>
        <v>0</v>
      </c>
      <c r="H509">
        <f t="shared" si="248"/>
        <v>0</v>
      </c>
      <c r="I509">
        <f t="shared" si="249"/>
        <v>0</v>
      </c>
      <c r="J509">
        <f t="shared" si="250"/>
        <v>0</v>
      </c>
      <c r="K509" s="1">
        <f t="shared" si="251"/>
        <v>0</v>
      </c>
      <c r="L509" s="1">
        <f t="shared" si="252"/>
        <v>0</v>
      </c>
      <c r="M509" s="1">
        <f t="shared" si="253"/>
        <v>0</v>
      </c>
      <c r="N509" s="1">
        <f t="shared" si="254"/>
        <v>0</v>
      </c>
      <c r="O509" s="1">
        <f t="shared" si="255"/>
        <v>0</v>
      </c>
      <c r="P509" s="1">
        <f t="shared" si="256"/>
        <v>25.000000000000004</v>
      </c>
      <c r="Q509" s="1" t="e">
        <f t="shared" si="257"/>
        <v>#DIV/0!</v>
      </c>
      <c r="R509" s="1" t="e">
        <f t="shared" si="258"/>
        <v>#DIV/0!</v>
      </c>
      <c r="S509" s="1" t="e">
        <f t="shared" si="259"/>
        <v>#DIV/0!</v>
      </c>
      <c r="T509" s="1" t="e">
        <f t="shared" si="260"/>
        <v>#DIV/0!</v>
      </c>
      <c r="U509" s="1" t="e">
        <f t="shared" si="261"/>
        <v>#DIV/0!</v>
      </c>
      <c r="V509">
        <f t="shared" si="262"/>
        <v>851.48000000000013</v>
      </c>
      <c r="W509">
        <f t="shared" si="263"/>
        <v>0</v>
      </c>
      <c r="X509">
        <f t="shared" si="264"/>
        <v>0</v>
      </c>
      <c r="Y509">
        <f t="shared" si="265"/>
        <v>0</v>
      </c>
      <c r="Z509">
        <f t="shared" si="266"/>
        <v>0</v>
      </c>
      <c r="AA509">
        <f t="shared" si="267"/>
        <v>0</v>
      </c>
      <c r="AC509">
        <f t="shared" si="268"/>
        <v>1045.25</v>
      </c>
      <c r="AD509">
        <f t="shared" si="269"/>
        <v>0</v>
      </c>
      <c r="AE509">
        <f t="shared" si="270"/>
        <v>0</v>
      </c>
      <c r="AF509">
        <f t="shared" si="271"/>
        <v>0</v>
      </c>
      <c r="AG509">
        <f t="shared" si="272"/>
        <v>0</v>
      </c>
      <c r="AH509">
        <f t="shared" si="273"/>
        <v>0</v>
      </c>
      <c r="AJ509">
        <f t="shared" si="274"/>
        <v>1239.0100000000002</v>
      </c>
      <c r="AK509">
        <f t="shared" si="275"/>
        <v>0</v>
      </c>
      <c r="AL509">
        <f t="shared" si="276"/>
        <v>0</v>
      </c>
      <c r="AM509">
        <f t="shared" si="277"/>
        <v>0</v>
      </c>
      <c r="AN509">
        <f t="shared" si="278"/>
        <v>0</v>
      </c>
      <c r="AO509">
        <f t="shared" si="279"/>
        <v>0</v>
      </c>
    </row>
    <row r="510" spans="1:41" x14ac:dyDescent="0.45">
      <c r="A510">
        <v>38.115120419999997</v>
      </c>
      <c r="B510">
        <v>119.6093219</v>
      </c>
      <c r="C510">
        <v>32.78838348</v>
      </c>
      <c r="D510">
        <v>16.170639040000001</v>
      </c>
      <c r="E510">
        <f t="shared" si="245"/>
        <v>16.170639040000001</v>
      </c>
      <c r="F510">
        <f t="shared" si="246"/>
        <v>0</v>
      </c>
      <c r="G510">
        <f t="shared" si="247"/>
        <v>0</v>
      </c>
      <c r="H510">
        <f t="shared" si="248"/>
        <v>0</v>
      </c>
      <c r="I510">
        <f t="shared" si="249"/>
        <v>0</v>
      </c>
      <c r="J510">
        <f t="shared" si="250"/>
        <v>0</v>
      </c>
      <c r="K510" s="1">
        <f t="shared" si="251"/>
        <v>0</v>
      </c>
      <c r="L510" s="1">
        <f t="shared" si="252"/>
        <v>0</v>
      </c>
      <c r="M510" s="1">
        <f t="shared" si="253"/>
        <v>0</v>
      </c>
      <c r="N510" s="1">
        <f t="shared" si="254"/>
        <v>0</v>
      </c>
      <c r="O510" s="1">
        <f t="shared" si="255"/>
        <v>0</v>
      </c>
      <c r="P510" s="1">
        <f t="shared" si="256"/>
        <v>25</v>
      </c>
      <c r="Q510" s="1" t="e">
        <f t="shared" si="257"/>
        <v>#DIV/0!</v>
      </c>
      <c r="R510" s="1" t="e">
        <f t="shared" si="258"/>
        <v>#DIV/0!</v>
      </c>
      <c r="S510" s="1" t="e">
        <f t="shared" si="259"/>
        <v>#DIV/0!</v>
      </c>
      <c r="T510" s="1" t="e">
        <f t="shared" si="260"/>
        <v>#DIV/0!</v>
      </c>
      <c r="U510" s="1" t="e">
        <f t="shared" si="261"/>
        <v>#DIV/0!</v>
      </c>
      <c r="V510">
        <f t="shared" si="262"/>
        <v>851.48</v>
      </c>
      <c r="W510">
        <f t="shared" si="263"/>
        <v>0</v>
      </c>
      <c r="X510">
        <f t="shared" si="264"/>
        <v>0</v>
      </c>
      <c r="Y510">
        <f t="shared" si="265"/>
        <v>0</v>
      </c>
      <c r="Z510">
        <f t="shared" si="266"/>
        <v>0</v>
      </c>
      <c r="AA510">
        <f t="shared" si="267"/>
        <v>0</v>
      </c>
      <c r="AC510">
        <f t="shared" si="268"/>
        <v>1045.25</v>
      </c>
      <c r="AD510">
        <f t="shared" si="269"/>
        <v>0</v>
      </c>
      <c r="AE510">
        <f t="shared" si="270"/>
        <v>0</v>
      </c>
      <c r="AF510">
        <f t="shared" si="271"/>
        <v>0</v>
      </c>
      <c r="AG510">
        <f t="shared" si="272"/>
        <v>0</v>
      </c>
      <c r="AH510">
        <f t="shared" si="273"/>
        <v>0</v>
      </c>
      <c r="AJ510">
        <f t="shared" si="274"/>
        <v>1239.01</v>
      </c>
      <c r="AK510">
        <f t="shared" si="275"/>
        <v>0</v>
      </c>
      <c r="AL510">
        <f t="shared" si="276"/>
        <v>0</v>
      </c>
      <c r="AM510">
        <f t="shared" si="277"/>
        <v>0</v>
      </c>
      <c r="AN510">
        <f t="shared" si="278"/>
        <v>0</v>
      </c>
      <c r="AO510">
        <f t="shared" si="279"/>
        <v>0</v>
      </c>
    </row>
    <row r="511" spans="1:41" x14ac:dyDescent="0.45">
      <c r="A511">
        <v>38.121529700000004</v>
      </c>
      <c r="B511">
        <v>119.55183890000001</v>
      </c>
      <c r="C511">
        <v>27.15364838</v>
      </c>
      <c r="D511">
        <v>8.8150062600000005</v>
      </c>
      <c r="E511">
        <f t="shared" si="245"/>
        <v>8.8150062600000005</v>
      </c>
      <c r="F511">
        <f t="shared" si="246"/>
        <v>0</v>
      </c>
      <c r="G511">
        <f t="shared" si="247"/>
        <v>0</v>
      </c>
      <c r="H511">
        <f t="shared" si="248"/>
        <v>0</v>
      </c>
      <c r="I511">
        <f t="shared" si="249"/>
        <v>0</v>
      </c>
      <c r="J511">
        <f t="shared" si="250"/>
        <v>0</v>
      </c>
      <c r="K511" s="1">
        <f t="shared" si="251"/>
        <v>0</v>
      </c>
      <c r="L511" s="1">
        <f t="shared" si="252"/>
        <v>0</v>
      </c>
      <c r="M511" s="1">
        <f t="shared" si="253"/>
        <v>0</v>
      </c>
      <c r="N511" s="1">
        <f t="shared" si="254"/>
        <v>0</v>
      </c>
      <c r="O511" s="1">
        <f t="shared" si="255"/>
        <v>0</v>
      </c>
      <c r="P511" s="1">
        <f t="shared" si="256"/>
        <v>25</v>
      </c>
      <c r="Q511" s="1" t="e">
        <f t="shared" si="257"/>
        <v>#DIV/0!</v>
      </c>
      <c r="R511" s="1" t="e">
        <f t="shared" si="258"/>
        <v>#DIV/0!</v>
      </c>
      <c r="S511" s="1" t="e">
        <f t="shared" si="259"/>
        <v>#DIV/0!</v>
      </c>
      <c r="T511" s="1" t="e">
        <f t="shared" si="260"/>
        <v>#DIV/0!</v>
      </c>
      <c r="U511" s="1" t="e">
        <f t="shared" si="261"/>
        <v>#DIV/0!</v>
      </c>
      <c r="V511">
        <f t="shared" si="262"/>
        <v>851.48</v>
      </c>
      <c r="W511">
        <f t="shared" si="263"/>
        <v>0</v>
      </c>
      <c r="X511">
        <f t="shared" si="264"/>
        <v>0</v>
      </c>
      <c r="Y511">
        <f t="shared" si="265"/>
        <v>0</v>
      </c>
      <c r="Z511">
        <f t="shared" si="266"/>
        <v>0</v>
      </c>
      <c r="AA511">
        <f t="shared" si="267"/>
        <v>0</v>
      </c>
      <c r="AC511">
        <f t="shared" si="268"/>
        <v>1045.25</v>
      </c>
      <c r="AD511">
        <f t="shared" si="269"/>
        <v>0</v>
      </c>
      <c r="AE511">
        <f t="shared" si="270"/>
        <v>0</v>
      </c>
      <c r="AF511">
        <f t="shared" si="271"/>
        <v>0</v>
      </c>
      <c r="AG511">
        <f t="shared" si="272"/>
        <v>0</v>
      </c>
      <c r="AH511">
        <f t="shared" si="273"/>
        <v>0</v>
      </c>
      <c r="AJ511">
        <f t="shared" si="274"/>
        <v>1239.01</v>
      </c>
      <c r="AK511">
        <f t="shared" si="275"/>
        <v>0</v>
      </c>
      <c r="AL511">
        <f t="shared" si="276"/>
        <v>0</v>
      </c>
      <c r="AM511">
        <f t="shared" si="277"/>
        <v>0</v>
      </c>
      <c r="AN511">
        <f t="shared" si="278"/>
        <v>0</v>
      </c>
      <c r="AO511">
        <f t="shared" si="279"/>
        <v>0</v>
      </c>
    </row>
    <row r="512" spans="1:41" x14ac:dyDescent="0.45">
      <c r="A512">
        <v>38.127911990000001</v>
      </c>
      <c r="B512">
        <v>119.4943462</v>
      </c>
      <c r="C512">
        <v>32.602592469999998</v>
      </c>
      <c r="D512">
        <v>50.972774510000001</v>
      </c>
      <c r="E512">
        <f t="shared" si="245"/>
        <v>32.602592469999998</v>
      </c>
      <c r="F512">
        <f t="shared" si="246"/>
        <v>0</v>
      </c>
      <c r="G512">
        <f t="shared" si="247"/>
        <v>0</v>
      </c>
      <c r="H512">
        <f t="shared" si="248"/>
        <v>0</v>
      </c>
      <c r="I512">
        <f t="shared" si="249"/>
        <v>0</v>
      </c>
      <c r="J512">
        <f t="shared" si="250"/>
        <v>0</v>
      </c>
      <c r="K512" s="1">
        <f t="shared" si="251"/>
        <v>0</v>
      </c>
      <c r="L512" s="1">
        <f t="shared" si="252"/>
        <v>0</v>
      </c>
      <c r="M512" s="1">
        <f t="shared" si="253"/>
        <v>0</v>
      </c>
      <c r="N512" s="1">
        <f t="shared" si="254"/>
        <v>0</v>
      </c>
      <c r="O512" s="1">
        <f t="shared" si="255"/>
        <v>0</v>
      </c>
      <c r="P512" s="1">
        <f t="shared" si="256"/>
        <v>15.990199073627</v>
      </c>
      <c r="Q512" s="1" t="e">
        <f t="shared" si="257"/>
        <v>#DIV/0!</v>
      </c>
      <c r="R512" s="1" t="e">
        <f t="shared" si="258"/>
        <v>#DIV/0!</v>
      </c>
      <c r="S512" s="1" t="e">
        <f t="shared" si="259"/>
        <v>#DIV/0!</v>
      </c>
      <c r="T512" s="1" t="e">
        <f t="shared" si="260"/>
        <v>#DIV/0!</v>
      </c>
      <c r="U512" s="1" t="e">
        <f t="shared" si="261"/>
        <v>#DIV/0!</v>
      </c>
      <c r="V512">
        <f t="shared" si="262"/>
        <v>558.66146989287756</v>
      </c>
      <c r="W512">
        <f t="shared" si="263"/>
        <v>0</v>
      </c>
      <c r="X512">
        <f t="shared" si="264"/>
        <v>0</v>
      </c>
      <c r="Y512">
        <f t="shared" si="265"/>
        <v>0</v>
      </c>
      <c r="Z512">
        <f t="shared" si="266"/>
        <v>0</v>
      </c>
      <c r="AA512">
        <f t="shared" si="267"/>
        <v>0</v>
      </c>
      <c r="AC512">
        <f t="shared" si="268"/>
        <v>684.85796294507998</v>
      </c>
      <c r="AD512">
        <f t="shared" si="269"/>
        <v>0</v>
      </c>
      <c r="AE512">
        <f t="shared" si="270"/>
        <v>0</v>
      </c>
      <c r="AF512">
        <f t="shared" si="271"/>
        <v>0</v>
      </c>
      <c r="AG512">
        <f t="shared" si="272"/>
        <v>0</v>
      </c>
      <c r="AH512">
        <f t="shared" si="273"/>
        <v>0</v>
      </c>
      <c r="AJ512">
        <f t="shared" si="274"/>
        <v>811.04445599728251</v>
      </c>
      <c r="AK512">
        <f t="shared" si="275"/>
        <v>0</v>
      </c>
      <c r="AL512">
        <f t="shared" si="276"/>
        <v>0</v>
      </c>
      <c r="AM512">
        <f t="shared" si="277"/>
        <v>0</v>
      </c>
      <c r="AN512">
        <f t="shared" si="278"/>
        <v>0</v>
      </c>
      <c r="AO512">
        <f t="shared" si="279"/>
        <v>0</v>
      </c>
    </row>
    <row r="513" spans="1:41" x14ac:dyDescent="0.45">
      <c r="A513">
        <v>38.12806123</v>
      </c>
      <c r="B513">
        <v>119.90489289999999</v>
      </c>
      <c r="C513">
        <v>39.583812709999997</v>
      </c>
      <c r="D513">
        <v>0.48972300000000002</v>
      </c>
      <c r="E513">
        <f t="shared" si="245"/>
        <v>0.48972300000000002</v>
      </c>
      <c r="F513">
        <f t="shared" si="246"/>
        <v>0</v>
      </c>
      <c r="G513">
        <f t="shared" si="247"/>
        <v>0</v>
      </c>
      <c r="H513">
        <f t="shared" si="248"/>
        <v>0</v>
      </c>
      <c r="I513">
        <f t="shared" si="249"/>
        <v>0</v>
      </c>
      <c r="J513">
        <f t="shared" si="250"/>
        <v>0</v>
      </c>
      <c r="K513" s="1">
        <f t="shared" si="251"/>
        <v>0</v>
      </c>
      <c r="L513" s="1">
        <f t="shared" si="252"/>
        <v>0</v>
      </c>
      <c r="M513" s="1">
        <f t="shared" si="253"/>
        <v>0</v>
      </c>
      <c r="N513" s="1">
        <f t="shared" si="254"/>
        <v>0</v>
      </c>
      <c r="O513" s="1">
        <f t="shared" si="255"/>
        <v>0</v>
      </c>
      <c r="P513" s="1">
        <f t="shared" si="256"/>
        <v>25</v>
      </c>
      <c r="Q513" s="1" t="e">
        <f t="shared" si="257"/>
        <v>#DIV/0!</v>
      </c>
      <c r="R513" s="1" t="e">
        <f t="shared" si="258"/>
        <v>#DIV/0!</v>
      </c>
      <c r="S513" s="1" t="e">
        <f t="shared" si="259"/>
        <v>#DIV/0!</v>
      </c>
      <c r="T513" s="1" t="e">
        <f t="shared" si="260"/>
        <v>#DIV/0!</v>
      </c>
      <c r="U513" s="1" t="e">
        <f t="shared" si="261"/>
        <v>#DIV/0!</v>
      </c>
      <c r="V513">
        <f t="shared" si="262"/>
        <v>851.48</v>
      </c>
      <c r="W513">
        <f t="shared" si="263"/>
        <v>0</v>
      </c>
      <c r="X513">
        <f t="shared" si="264"/>
        <v>0</v>
      </c>
      <c r="Y513">
        <f t="shared" si="265"/>
        <v>0</v>
      </c>
      <c r="Z513">
        <f t="shared" si="266"/>
        <v>0</v>
      </c>
      <c r="AA513">
        <f t="shared" si="267"/>
        <v>0</v>
      </c>
      <c r="AC513">
        <f t="shared" si="268"/>
        <v>1045.25</v>
      </c>
      <c r="AD513">
        <f t="shared" si="269"/>
        <v>0</v>
      </c>
      <c r="AE513">
        <f t="shared" si="270"/>
        <v>0</v>
      </c>
      <c r="AF513">
        <f t="shared" si="271"/>
        <v>0</v>
      </c>
      <c r="AG513">
        <f t="shared" si="272"/>
        <v>0</v>
      </c>
      <c r="AH513">
        <f t="shared" si="273"/>
        <v>0</v>
      </c>
      <c r="AJ513">
        <f t="shared" si="274"/>
        <v>1239.01</v>
      </c>
      <c r="AK513">
        <f t="shared" si="275"/>
        <v>0</v>
      </c>
      <c r="AL513">
        <f t="shared" si="276"/>
        <v>0</v>
      </c>
      <c r="AM513">
        <f t="shared" si="277"/>
        <v>0</v>
      </c>
      <c r="AN513">
        <f t="shared" si="278"/>
        <v>0</v>
      </c>
      <c r="AO513">
        <f t="shared" si="279"/>
        <v>0</v>
      </c>
    </row>
    <row r="514" spans="1:41" x14ac:dyDescent="0.45">
      <c r="A514">
        <v>38.136886410000002</v>
      </c>
      <c r="B514">
        <v>90.997743049999997</v>
      </c>
      <c r="C514">
        <v>20.624670030000001</v>
      </c>
      <c r="D514">
        <v>19.500913619999999</v>
      </c>
      <c r="E514">
        <f t="shared" si="245"/>
        <v>19.500913619999999</v>
      </c>
      <c r="F514">
        <f t="shared" si="246"/>
        <v>0</v>
      </c>
      <c r="G514">
        <f t="shared" si="247"/>
        <v>0</v>
      </c>
      <c r="H514">
        <f t="shared" si="248"/>
        <v>0</v>
      </c>
      <c r="I514">
        <f t="shared" si="249"/>
        <v>0</v>
      </c>
      <c r="J514">
        <f t="shared" si="250"/>
        <v>0</v>
      </c>
      <c r="K514" s="1">
        <f t="shared" si="251"/>
        <v>0</v>
      </c>
      <c r="L514" s="1">
        <f t="shared" si="252"/>
        <v>0</v>
      </c>
      <c r="M514" s="1">
        <f t="shared" si="253"/>
        <v>0</v>
      </c>
      <c r="N514" s="1">
        <f t="shared" si="254"/>
        <v>0</v>
      </c>
      <c r="O514" s="1">
        <f t="shared" si="255"/>
        <v>0</v>
      </c>
      <c r="P514" s="1">
        <f t="shared" si="256"/>
        <v>25</v>
      </c>
      <c r="Q514" s="1" t="e">
        <f t="shared" si="257"/>
        <v>#DIV/0!</v>
      </c>
      <c r="R514" s="1" t="e">
        <f t="shared" si="258"/>
        <v>#DIV/0!</v>
      </c>
      <c r="S514" s="1" t="e">
        <f t="shared" si="259"/>
        <v>#DIV/0!</v>
      </c>
      <c r="T514" s="1" t="e">
        <f t="shared" si="260"/>
        <v>#DIV/0!</v>
      </c>
      <c r="U514" s="1" t="e">
        <f t="shared" si="261"/>
        <v>#DIV/0!</v>
      </c>
      <c r="V514">
        <f t="shared" si="262"/>
        <v>851.48</v>
      </c>
      <c r="W514">
        <f t="shared" si="263"/>
        <v>0</v>
      </c>
      <c r="X514">
        <f t="shared" si="264"/>
        <v>0</v>
      </c>
      <c r="Y514">
        <f t="shared" si="265"/>
        <v>0</v>
      </c>
      <c r="Z514">
        <f t="shared" si="266"/>
        <v>0</v>
      </c>
      <c r="AA514">
        <f t="shared" si="267"/>
        <v>0</v>
      </c>
      <c r="AC514">
        <f t="shared" si="268"/>
        <v>1045.25</v>
      </c>
      <c r="AD514">
        <f t="shared" si="269"/>
        <v>0</v>
      </c>
      <c r="AE514">
        <f t="shared" si="270"/>
        <v>0</v>
      </c>
      <c r="AF514">
        <f t="shared" si="271"/>
        <v>0</v>
      </c>
      <c r="AG514">
        <f t="shared" si="272"/>
        <v>0</v>
      </c>
      <c r="AH514">
        <f t="shared" si="273"/>
        <v>0</v>
      </c>
      <c r="AJ514">
        <f t="shared" si="274"/>
        <v>1239.01</v>
      </c>
      <c r="AK514">
        <f t="shared" si="275"/>
        <v>0</v>
      </c>
      <c r="AL514">
        <f t="shared" si="276"/>
        <v>0</v>
      </c>
      <c r="AM514">
        <f t="shared" si="277"/>
        <v>0</v>
      </c>
      <c r="AN514">
        <f t="shared" si="278"/>
        <v>0</v>
      </c>
      <c r="AO514">
        <f t="shared" si="279"/>
        <v>0</v>
      </c>
    </row>
    <row r="515" spans="1:41" x14ac:dyDescent="0.45">
      <c r="A515">
        <v>38.148923580000002</v>
      </c>
      <c r="B515">
        <v>116.980671</v>
      </c>
      <c r="C515">
        <v>19.537851329999999</v>
      </c>
      <c r="D515">
        <v>10.75517368</v>
      </c>
      <c r="E515">
        <f t="shared" ref="E515:E578" si="280">MIN(C515,D515)</f>
        <v>10.75517368</v>
      </c>
      <c r="F515">
        <f t="shared" ref="F515:F578" si="281">MAX(0,(D515-(C515*(2030-2025))))</f>
        <v>0</v>
      </c>
      <c r="G515">
        <f t="shared" ref="G515:G578" si="282">MAX(0,(D515-(C515*(2035-2025))))</f>
        <v>0</v>
      </c>
      <c r="H515">
        <f t="shared" ref="H515:H578" si="283">MAX(0,(D515-(C515*(2040-2025))))</f>
        <v>0</v>
      </c>
      <c r="I515">
        <f t="shared" ref="I515:I578" si="284">MAX(0,(D515-(C515*(2045-2025))))</f>
        <v>0</v>
      </c>
      <c r="J515">
        <f t="shared" ref="J515:J578" si="285">MAX(0,(D515-(C515*(2050-2025))))</f>
        <v>0</v>
      </c>
      <c r="K515" s="1">
        <f t="shared" ref="K515:K578" si="286">MIN(E515,F515)</f>
        <v>0</v>
      </c>
      <c r="L515" s="1">
        <f t="shared" ref="L515:L578" si="287">MIN(E515,G515)</f>
        <v>0</v>
      </c>
      <c r="M515" s="1">
        <f t="shared" ref="M515:M578" si="288">MIN(E515,H515)</f>
        <v>0</v>
      </c>
      <c r="N515" s="1">
        <f t="shared" ref="N515:N578" si="289">MIN(E515,I515)</f>
        <v>0</v>
      </c>
      <c r="O515" s="1">
        <f t="shared" ref="O515:O578" si="290">MIN(E515,J515)</f>
        <v>0</v>
      </c>
      <c r="P515" s="1">
        <f t="shared" ref="P515:P578" si="291">MAX(1,((25*E515)/D515))</f>
        <v>25</v>
      </c>
      <c r="Q515" s="1" t="e">
        <f t="shared" ref="Q515:Q578" si="292">MAX(1, ((25*K515)/F515))</f>
        <v>#DIV/0!</v>
      </c>
      <c r="R515" s="1" t="e">
        <f t="shared" ref="R515:R578" si="293">MAX(1, ((25*L515)/G515))</f>
        <v>#DIV/0!</v>
      </c>
      <c r="S515" s="1" t="e">
        <f t="shared" ref="S515:S578" si="294">MAX(1, ((25*M515)/H515))</f>
        <v>#DIV/0!</v>
      </c>
      <c r="T515" s="1" t="e">
        <f t="shared" ref="T515:T578" si="295">MAX(1, ((25*N515)/I515))</f>
        <v>#DIV/0!</v>
      </c>
      <c r="U515" s="1" t="e">
        <f t="shared" ref="U515:U578" si="296">MAX(1, ((25*O515)/J515))</f>
        <v>#DIV/0!</v>
      </c>
      <c r="V515">
        <f t="shared" ref="V515:V578" si="297">(32.02+6.96+(0.13*250*P515))</f>
        <v>851.48</v>
      </c>
      <c r="W515">
        <f t="shared" ref="W515:W578" si="298">IF(F515&gt;0,(32.72+6.27+(0.15*250*Q515)),F515)</f>
        <v>0</v>
      </c>
      <c r="X515">
        <f t="shared" ref="X515:X578" si="299">IF(G515&gt;0,(22.27+4.87+(0.1*250*S515)),G515)</f>
        <v>0</v>
      </c>
      <c r="Y515">
        <f t="shared" ref="Y515:Y578" si="300">IF(H515&gt;0,(13.92+4.18+(0.08*250*S515)),H515)</f>
        <v>0</v>
      </c>
      <c r="Z515">
        <f t="shared" ref="Z515:Z578" si="301">IF(I515&gt;0,(11.14+3.48+(0.07*250*T515)),I515)</f>
        <v>0</v>
      </c>
      <c r="AA515">
        <f t="shared" ref="AA515:AA578" si="302">IF(J515&gt;0,(9.75+2.78+(0.07*250*U515)),J515)</f>
        <v>0</v>
      </c>
      <c r="AC515">
        <f t="shared" ref="AC515:AC578" si="303">IF(D515&gt;0,(37.59+7.66+(0.16*250*P515)),D515)</f>
        <v>1045.25</v>
      </c>
      <c r="AD515">
        <f t="shared" ref="AD515:AD578" si="304">IF(F515&gt;0,(32.72+6.27+(0.15*250*Q515)),F515)</f>
        <v>0</v>
      </c>
      <c r="AE515">
        <f t="shared" ref="AE515:AE578" si="305">IF(G515&gt;0,(26.45+5.22+(0.13*250*R515)),G515)</f>
        <v>0</v>
      </c>
      <c r="AF515">
        <f t="shared" ref="AF515:AF578" si="306">IF(H515&gt;0,(15.31+4.53+(0.12*250*S515)),H515)</f>
        <v>0</v>
      </c>
      <c r="AG515">
        <f t="shared" ref="AG515:AG578" si="307">IF(I515&gt;0,(16.01+3.83+(0.11*250+T515)),I515)</f>
        <v>0</v>
      </c>
      <c r="AH515">
        <f t="shared" ref="AH515:AH578" si="308">IF(J515,(13.23+3.13+(0.1*250*U515)),J515)</f>
        <v>0</v>
      </c>
      <c r="AJ515">
        <f t="shared" ref="AJ515:AJ578" si="309">(43.16+8.35+(0.19*250*P515))</f>
        <v>1239.01</v>
      </c>
      <c r="AK515">
        <f t="shared" ref="AK515:AK578" si="310">IF(F515&gt;0,(38.98+6.96+(0.18*250*Q515)),F515)</f>
        <v>0</v>
      </c>
      <c r="AL515">
        <f t="shared" ref="AL515:AL578" si="311">IF(G515&gt;0,(30.63+5.57+(0.17*250*R515)),G515)</f>
        <v>0</v>
      </c>
      <c r="AM515">
        <f t="shared" ref="AM515:AM578" si="312">IF(H515&gt;0,(25.06+4.87+(0.15*250*S515)),H515)</f>
        <v>0</v>
      </c>
      <c r="AN515">
        <f t="shared" ref="AN515:AN578" si="313">IF(I515&gt;0,(20.88+4.18+(0.15*250*T515)),I515)</f>
        <v>0</v>
      </c>
      <c r="AO515">
        <f t="shared" ref="AO515:AO578" si="314">IF(J515,(16.71+3.48+(0.14*250*U515)),J515)</f>
        <v>0</v>
      </c>
    </row>
    <row r="516" spans="1:41" x14ac:dyDescent="0.45">
      <c r="A516">
        <v>38.154090449999998</v>
      </c>
      <c r="B516">
        <v>119.6749631</v>
      </c>
      <c r="C516">
        <v>50.139499659999998</v>
      </c>
      <c r="D516">
        <v>1.95888996</v>
      </c>
      <c r="E516">
        <f t="shared" si="280"/>
        <v>1.95888996</v>
      </c>
      <c r="F516">
        <f t="shared" si="281"/>
        <v>0</v>
      </c>
      <c r="G516">
        <f t="shared" si="282"/>
        <v>0</v>
      </c>
      <c r="H516">
        <f t="shared" si="283"/>
        <v>0</v>
      </c>
      <c r="I516">
        <f t="shared" si="284"/>
        <v>0</v>
      </c>
      <c r="J516">
        <f t="shared" si="285"/>
        <v>0</v>
      </c>
      <c r="K516" s="1">
        <f t="shared" si="286"/>
        <v>0</v>
      </c>
      <c r="L516" s="1">
        <f t="shared" si="287"/>
        <v>0</v>
      </c>
      <c r="M516" s="1">
        <f t="shared" si="288"/>
        <v>0</v>
      </c>
      <c r="N516" s="1">
        <f t="shared" si="289"/>
        <v>0</v>
      </c>
      <c r="O516" s="1">
        <f t="shared" si="290"/>
        <v>0</v>
      </c>
      <c r="P516" s="1">
        <f t="shared" si="291"/>
        <v>25</v>
      </c>
      <c r="Q516" s="1" t="e">
        <f t="shared" si="292"/>
        <v>#DIV/0!</v>
      </c>
      <c r="R516" s="1" t="e">
        <f t="shared" si="293"/>
        <v>#DIV/0!</v>
      </c>
      <c r="S516" s="1" t="e">
        <f t="shared" si="294"/>
        <v>#DIV/0!</v>
      </c>
      <c r="T516" s="1" t="e">
        <f t="shared" si="295"/>
        <v>#DIV/0!</v>
      </c>
      <c r="U516" s="1" t="e">
        <f t="shared" si="296"/>
        <v>#DIV/0!</v>
      </c>
      <c r="V516">
        <f t="shared" si="297"/>
        <v>851.48</v>
      </c>
      <c r="W516">
        <f t="shared" si="298"/>
        <v>0</v>
      </c>
      <c r="X516">
        <f t="shared" si="299"/>
        <v>0</v>
      </c>
      <c r="Y516">
        <f t="shared" si="300"/>
        <v>0</v>
      </c>
      <c r="Z516">
        <f t="shared" si="301"/>
        <v>0</v>
      </c>
      <c r="AA516">
        <f t="shared" si="302"/>
        <v>0</v>
      </c>
      <c r="AC516">
        <f t="shared" si="303"/>
        <v>1045.25</v>
      </c>
      <c r="AD516">
        <f t="shared" si="304"/>
        <v>0</v>
      </c>
      <c r="AE516">
        <f t="shared" si="305"/>
        <v>0</v>
      </c>
      <c r="AF516">
        <f t="shared" si="306"/>
        <v>0</v>
      </c>
      <c r="AG516">
        <f t="shared" si="307"/>
        <v>0</v>
      </c>
      <c r="AH516">
        <f t="shared" si="308"/>
        <v>0</v>
      </c>
      <c r="AJ516">
        <f t="shared" si="309"/>
        <v>1239.01</v>
      </c>
      <c r="AK516">
        <f t="shared" si="310"/>
        <v>0</v>
      </c>
      <c r="AL516">
        <f t="shared" si="311"/>
        <v>0</v>
      </c>
      <c r="AM516">
        <f t="shared" si="312"/>
        <v>0</v>
      </c>
      <c r="AN516">
        <f t="shared" si="313"/>
        <v>0</v>
      </c>
      <c r="AO516">
        <f t="shared" si="314"/>
        <v>0</v>
      </c>
    </row>
    <row r="517" spans="1:41" x14ac:dyDescent="0.45">
      <c r="A517">
        <v>38.164365400000001</v>
      </c>
      <c r="B517">
        <v>116.8075266</v>
      </c>
      <c r="C517">
        <v>19.537851329999999</v>
      </c>
      <c r="D517">
        <v>1.4556479499999999</v>
      </c>
      <c r="E517">
        <f t="shared" si="280"/>
        <v>1.4556479499999999</v>
      </c>
      <c r="F517">
        <f t="shared" si="281"/>
        <v>0</v>
      </c>
      <c r="G517">
        <f t="shared" si="282"/>
        <v>0</v>
      </c>
      <c r="H517">
        <f t="shared" si="283"/>
        <v>0</v>
      </c>
      <c r="I517">
        <f t="shared" si="284"/>
        <v>0</v>
      </c>
      <c r="J517">
        <f t="shared" si="285"/>
        <v>0</v>
      </c>
      <c r="K517" s="1">
        <f t="shared" si="286"/>
        <v>0</v>
      </c>
      <c r="L517" s="1">
        <f t="shared" si="287"/>
        <v>0</v>
      </c>
      <c r="M517" s="1">
        <f t="shared" si="288"/>
        <v>0</v>
      </c>
      <c r="N517" s="1">
        <f t="shared" si="289"/>
        <v>0</v>
      </c>
      <c r="O517" s="1">
        <f t="shared" si="290"/>
        <v>0</v>
      </c>
      <c r="P517" s="1">
        <f t="shared" si="291"/>
        <v>25.000000000000004</v>
      </c>
      <c r="Q517" s="1" t="e">
        <f t="shared" si="292"/>
        <v>#DIV/0!</v>
      </c>
      <c r="R517" s="1" t="e">
        <f t="shared" si="293"/>
        <v>#DIV/0!</v>
      </c>
      <c r="S517" s="1" t="e">
        <f t="shared" si="294"/>
        <v>#DIV/0!</v>
      </c>
      <c r="T517" s="1" t="e">
        <f t="shared" si="295"/>
        <v>#DIV/0!</v>
      </c>
      <c r="U517" s="1" t="e">
        <f t="shared" si="296"/>
        <v>#DIV/0!</v>
      </c>
      <c r="V517">
        <f t="shared" si="297"/>
        <v>851.48000000000013</v>
      </c>
      <c r="W517">
        <f t="shared" si="298"/>
        <v>0</v>
      </c>
      <c r="X517">
        <f t="shared" si="299"/>
        <v>0</v>
      </c>
      <c r="Y517">
        <f t="shared" si="300"/>
        <v>0</v>
      </c>
      <c r="Z517">
        <f t="shared" si="301"/>
        <v>0</v>
      </c>
      <c r="AA517">
        <f t="shared" si="302"/>
        <v>0</v>
      </c>
      <c r="AC517">
        <f t="shared" si="303"/>
        <v>1045.25</v>
      </c>
      <c r="AD517">
        <f t="shared" si="304"/>
        <v>0</v>
      </c>
      <c r="AE517">
        <f t="shared" si="305"/>
        <v>0</v>
      </c>
      <c r="AF517">
        <f t="shared" si="306"/>
        <v>0</v>
      </c>
      <c r="AG517">
        <f t="shared" si="307"/>
        <v>0</v>
      </c>
      <c r="AH517">
        <f t="shared" si="308"/>
        <v>0</v>
      </c>
      <c r="AJ517">
        <f t="shared" si="309"/>
        <v>1239.0100000000002</v>
      </c>
      <c r="AK517">
        <f t="shared" si="310"/>
        <v>0</v>
      </c>
      <c r="AL517">
        <f t="shared" si="311"/>
        <v>0</v>
      </c>
      <c r="AM517">
        <f t="shared" si="312"/>
        <v>0</v>
      </c>
      <c r="AN517">
        <f t="shared" si="313"/>
        <v>0</v>
      </c>
      <c r="AO517">
        <f t="shared" si="314"/>
        <v>0</v>
      </c>
    </row>
    <row r="518" spans="1:41" x14ac:dyDescent="0.45">
      <c r="A518">
        <v>38.166943170000003</v>
      </c>
      <c r="B518">
        <v>119.5599398</v>
      </c>
      <c r="C518">
        <v>11.70417213</v>
      </c>
      <c r="D518">
        <v>4.8972258599999998</v>
      </c>
      <c r="E518">
        <f t="shared" si="280"/>
        <v>4.8972258599999998</v>
      </c>
      <c r="F518">
        <f t="shared" si="281"/>
        <v>0</v>
      </c>
      <c r="G518">
        <f t="shared" si="282"/>
        <v>0</v>
      </c>
      <c r="H518">
        <f t="shared" si="283"/>
        <v>0</v>
      </c>
      <c r="I518">
        <f t="shared" si="284"/>
        <v>0</v>
      </c>
      <c r="J518">
        <f t="shared" si="285"/>
        <v>0</v>
      </c>
      <c r="K518" s="1">
        <f t="shared" si="286"/>
        <v>0</v>
      </c>
      <c r="L518" s="1">
        <f t="shared" si="287"/>
        <v>0</v>
      </c>
      <c r="M518" s="1">
        <f t="shared" si="288"/>
        <v>0</v>
      </c>
      <c r="N518" s="1">
        <f t="shared" si="289"/>
        <v>0</v>
      </c>
      <c r="O518" s="1">
        <f t="shared" si="290"/>
        <v>0</v>
      </c>
      <c r="P518" s="1">
        <f t="shared" si="291"/>
        <v>25</v>
      </c>
      <c r="Q518" s="1" t="e">
        <f t="shared" si="292"/>
        <v>#DIV/0!</v>
      </c>
      <c r="R518" s="1" t="e">
        <f t="shared" si="293"/>
        <v>#DIV/0!</v>
      </c>
      <c r="S518" s="1" t="e">
        <f t="shared" si="294"/>
        <v>#DIV/0!</v>
      </c>
      <c r="T518" s="1" t="e">
        <f t="shared" si="295"/>
        <v>#DIV/0!</v>
      </c>
      <c r="U518" s="1" t="e">
        <f t="shared" si="296"/>
        <v>#DIV/0!</v>
      </c>
      <c r="V518">
        <f t="shared" si="297"/>
        <v>851.48</v>
      </c>
      <c r="W518">
        <f t="shared" si="298"/>
        <v>0</v>
      </c>
      <c r="X518">
        <f t="shared" si="299"/>
        <v>0</v>
      </c>
      <c r="Y518">
        <f t="shared" si="300"/>
        <v>0</v>
      </c>
      <c r="Z518">
        <f t="shared" si="301"/>
        <v>0</v>
      </c>
      <c r="AA518">
        <f t="shared" si="302"/>
        <v>0</v>
      </c>
      <c r="AC518">
        <f t="shared" si="303"/>
        <v>1045.25</v>
      </c>
      <c r="AD518">
        <f t="shared" si="304"/>
        <v>0</v>
      </c>
      <c r="AE518">
        <f t="shared" si="305"/>
        <v>0</v>
      </c>
      <c r="AF518">
        <f t="shared" si="306"/>
        <v>0</v>
      </c>
      <c r="AG518">
        <f t="shared" si="307"/>
        <v>0</v>
      </c>
      <c r="AH518">
        <f t="shared" si="308"/>
        <v>0</v>
      </c>
      <c r="AJ518">
        <f t="shared" si="309"/>
        <v>1239.01</v>
      </c>
      <c r="AK518">
        <f t="shared" si="310"/>
        <v>0</v>
      </c>
      <c r="AL518">
        <f t="shared" si="311"/>
        <v>0</v>
      </c>
      <c r="AM518">
        <f t="shared" si="312"/>
        <v>0</v>
      </c>
      <c r="AN518">
        <f t="shared" si="313"/>
        <v>0</v>
      </c>
      <c r="AO518">
        <f t="shared" si="314"/>
        <v>0</v>
      </c>
    </row>
    <row r="519" spans="1:41" x14ac:dyDescent="0.45">
      <c r="A519">
        <v>38.175106030000002</v>
      </c>
      <c r="B519">
        <v>90.931380419999996</v>
      </c>
      <c r="C519">
        <v>20.624670030000001</v>
      </c>
      <c r="D519">
        <v>3.39750504</v>
      </c>
      <c r="E519">
        <f t="shared" si="280"/>
        <v>3.39750504</v>
      </c>
      <c r="F519">
        <f t="shared" si="281"/>
        <v>0</v>
      </c>
      <c r="G519">
        <f t="shared" si="282"/>
        <v>0</v>
      </c>
      <c r="H519">
        <f t="shared" si="283"/>
        <v>0</v>
      </c>
      <c r="I519">
        <f t="shared" si="284"/>
        <v>0</v>
      </c>
      <c r="J519">
        <f t="shared" si="285"/>
        <v>0</v>
      </c>
      <c r="K519" s="1">
        <f t="shared" si="286"/>
        <v>0</v>
      </c>
      <c r="L519" s="1">
        <f t="shared" si="287"/>
        <v>0</v>
      </c>
      <c r="M519" s="1">
        <f t="shared" si="288"/>
        <v>0</v>
      </c>
      <c r="N519" s="1">
        <f t="shared" si="289"/>
        <v>0</v>
      </c>
      <c r="O519" s="1">
        <f t="shared" si="290"/>
        <v>0</v>
      </c>
      <c r="P519" s="1">
        <f t="shared" si="291"/>
        <v>25</v>
      </c>
      <c r="Q519" s="1" t="e">
        <f t="shared" si="292"/>
        <v>#DIV/0!</v>
      </c>
      <c r="R519" s="1" t="e">
        <f t="shared" si="293"/>
        <v>#DIV/0!</v>
      </c>
      <c r="S519" s="1" t="e">
        <f t="shared" si="294"/>
        <v>#DIV/0!</v>
      </c>
      <c r="T519" s="1" t="e">
        <f t="shared" si="295"/>
        <v>#DIV/0!</v>
      </c>
      <c r="U519" s="1" t="e">
        <f t="shared" si="296"/>
        <v>#DIV/0!</v>
      </c>
      <c r="V519">
        <f t="shared" si="297"/>
        <v>851.48</v>
      </c>
      <c r="W519">
        <f t="shared" si="298"/>
        <v>0</v>
      </c>
      <c r="X519">
        <f t="shared" si="299"/>
        <v>0</v>
      </c>
      <c r="Y519">
        <f t="shared" si="300"/>
        <v>0</v>
      </c>
      <c r="Z519">
        <f t="shared" si="301"/>
        <v>0</v>
      </c>
      <c r="AA519">
        <f t="shared" si="302"/>
        <v>0</v>
      </c>
      <c r="AC519">
        <f t="shared" si="303"/>
        <v>1045.25</v>
      </c>
      <c r="AD519">
        <f t="shared" si="304"/>
        <v>0</v>
      </c>
      <c r="AE519">
        <f t="shared" si="305"/>
        <v>0</v>
      </c>
      <c r="AF519">
        <f t="shared" si="306"/>
        <v>0</v>
      </c>
      <c r="AG519">
        <f t="shared" si="307"/>
        <v>0</v>
      </c>
      <c r="AH519">
        <f t="shared" si="308"/>
        <v>0</v>
      </c>
      <c r="AJ519">
        <f t="shared" si="309"/>
        <v>1239.01</v>
      </c>
      <c r="AK519">
        <f t="shared" si="310"/>
        <v>0</v>
      </c>
      <c r="AL519">
        <f t="shared" si="311"/>
        <v>0</v>
      </c>
      <c r="AM519">
        <f t="shared" si="312"/>
        <v>0</v>
      </c>
      <c r="AN519">
        <f t="shared" si="313"/>
        <v>0</v>
      </c>
      <c r="AO519">
        <f t="shared" si="314"/>
        <v>0</v>
      </c>
    </row>
    <row r="520" spans="1:41" x14ac:dyDescent="0.45">
      <c r="A520">
        <v>38.180002279999997</v>
      </c>
      <c r="B520">
        <v>119.85570300000001</v>
      </c>
      <c r="C520">
        <v>26.389209749999999</v>
      </c>
      <c r="D520">
        <v>16.895427699999999</v>
      </c>
      <c r="E520">
        <f t="shared" si="280"/>
        <v>16.895427699999999</v>
      </c>
      <c r="F520">
        <f t="shared" si="281"/>
        <v>0</v>
      </c>
      <c r="G520">
        <f t="shared" si="282"/>
        <v>0</v>
      </c>
      <c r="H520">
        <f t="shared" si="283"/>
        <v>0</v>
      </c>
      <c r="I520">
        <f t="shared" si="284"/>
        <v>0</v>
      </c>
      <c r="J520">
        <f t="shared" si="285"/>
        <v>0</v>
      </c>
      <c r="K520" s="1">
        <f t="shared" si="286"/>
        <v>0</v>
      </c>
      <c r="L520" s="1">
        <f t="shared" si="287"/>
        <v>0</v>
      </c>
      <c r="M520" s="1">
        <f t="shared" si="288"/>
        <v>0</v>
      </c>
      <c r="N520" s="1">
        <f t="shared" si="289"/>
        <v>0</v>
      </c>
      <c r="O520" s="1">
        <f t="shared" si="290"/>
        <v>0</v>
      </c>
      <c r="P520" s="1">
        <f t="shared" si="291"/>
        <v>25</v>
      </c>
      <c r="Q520" s="1" t="e">
        <f t="shared" si="292"/>
        <v>#DIV/0!</v>
      </c>
      <c r="R520" s="1" t="e">
        <f t="shared" si="293"/>
        <v>#DIV/0!</v>
      </c>
      <c r="S520" s="1" t="e">
        <f t="shared" si="294"/>
        <v>#DIV/0!</v>
      </c>
      <c r="T520" s="1" t="e">
        <f t="shared" si="295"/>
        <v>#DIV/0!</v>
      </c>
      <c r="U520" s="1" t="e">
        <f t="shared" si="296"/>
        <v>#DIV/0!</v>
      </c>
      <c r="V520">
        <f t="shared" si="297"/>
        <v>851.48</v>
      </c>
      <c r="W520">
        <f t="shared" si="298"/>
        <v>0</v>
      </c>
      <c r="X520">
        <f t="shared" si="299"/>
        <v>0</v>
      </c>
      <c r="Y520">
        <f t="shared" si="300"/>
        <v>0</v>
      </c>
      <c r="Z520">
        <f t="shared" si="301"/>
        <v>0</v>
      </c>
      <c r="AA520">
        <f t="shared" si="302"/>
        <v>0</v>
      </c>
      <c r="AC520">
        <f t="shared" si="303"/>
        <v>1045.25</v>
      </c>
      <c r="AD520">
        <f t="shared" si="304"/>
        <v>0</v>
      </c>
      <c r="AE520">
        <f t="shared" si="305"/>
        <v>0</v>
      </c>
      <c r="AF520">
        <f t="shared" si="306"/>
        <v>0</v>
      </c>
      <c r="AG520">
        <f t="shared" si="307"/>
        <v>0</v>
      </c>
      <c r="AH520">
        <f t="shared" si="308"/>
        <v>0</v>
      </c>
      <c r="AJ520">
        <f t="shared" si="309"/>
        <v>1239.01</v>
      </c>
      <c r="AK520">
        <f t="shared" si="310"/>
        <v>0</v>
      </c>
      <c r="AL520">
        <f t="shared" si="311"/>
        <v>0</v>
      </c>
      <c r="AM520">
        <f t="shared" si="312"/>
        <v>0</v>
      </c>
      <c r="AN520">
        <f t="shared" si="313"/>
        <v>0</v>
      </c>
      <c r="AO520">
        <f t="shared" si="314"/>
        <v>0</v>
      </c>
    </row>
    <row r="521" spans="1:41" x14ac:dyDescent="0.45">
      <c r="A521">
        <v>38.186526720000003</v>
      </c>
      <c r="B521">
        <v>119.79819190000001</v>
      </c>
      <c r="C521">
        <v>24.469165799999999</v>
      </c>
      <c r="D521">
        <v>14.38315201</v>
      </c>
      <c r="E521">
        <f t="shared" si="280"/>
        <v>14.38315201</v>
      </c>
      <c r="F521">
        <f t="shared" si="281"/>
        <v>0</v>
      </c>
      <c r="G521">
        <f t="shared" si="282"/>
        <v>0</v>
      </c>
      <c r="H521">
        <f t="shared" si="283"/>
        <v>0</v>
      </c>
      <c r="I521">
        <f t="shared" si="284"/>
        <v>0</v>
      </c>
      <c r="J521">
        <f t="shared" si="285"/>
        <v>0</v>
      </c>
      <c r="K521" s="1">
        <f t="shared" si="286"/>
        <v>0</v>
      </c>
      <c r="L521" s="1">
        <f t="shared" si="287"/>
        <v>0</v>
      </c>
      <c r="M521" s="1">
        <f t="shared" si="288"/>
        <v>0</v>
      </c>
      <c r="N521" s="1">
        <f t="shared" si="289"/>
        <v>0</v>
      </c>
      <c r="O521" s="1">
        <f t="shared" si="290"/>
        <v>0</v>
      </c>
      <c r="P521" s="1">
        <f t="shared" si="291"/>
        <v>25</v>
      </c>
      <c r="Q521" s="1" t="e">
        <f t="shared" si="292"/>
        <v>#DIV/0!</v>
      </c>
      <c r="R521" s="1" t="e">
        <f t="shared" si="293"/>
        <v>#DIV/0!</v>
      </c>
      <c r="S521" s="1" t="e">
        <f t="shared" si="294"/>
        <v>#DIV/0!</v>
      </c>
      <c r="T521" s="1" t="e">
        <f t="shared" si="295"/>
        <v>#DIV/0!</v>
      </c>
      <c r="U521" s="1" t="e">
        <f t="shared" si="296"/>
        <v>#DIV/0!</v>
      </c>
      <c r="V521">
        <f t="shared" si="297"/>
        <v>851.48</v>
      </c>
      <c r="W521">
        <f t="shared" si="298"/>
        <v>0</v>
      </c>
      <c r="X521">
        <f t="shared" si="299"/>
        <v>0</v>
      </c>
      <c r="Y521">
        <f t="shared" si="300"/>
        <v>0</v>
      </c>
      <c r="Z521">
        <f t="shared" si="301"/>
        <v>0</v>
      </c>
      <c r="AA521">
        <f t="shared" si="302"/>
        <v>0</v>
      </c>
      <c r="AC521">
        <f t="shared" si="303"/>
        <v>1045.25</v>
      </c>
      <c r="AD521">
        <f t="shared" si="304"/>
        <v>0</v>
      </c>
      <c r="AE521">
        <f t="shared" si="305"/>
        <v>0</v>
      </c>
      <c r="AF521">
        <f t="shared" si="306"/>
        <v>0</v>
      </c>
      <c r="AG521">
        <f t="shared" si="307"/>
        <v>0</v>
      </c>
      <c r="AH521">
        <f t="shared" si="308"/>
        <v>0</v>
      </c>
      <c r="AJ521">
        <f t="shared" si="309"/>
        <v>1239.01</v>
      </c>
      <c r="AK521">
        <f t="shared" si="310"/>
        <v>0</v>
      </c>
      <c r="AL521">
        <f t="shared" si="311"/>
        <v>0</v>
      </c>
      <c r="AM521">
        <f t="shared" si="312"/>
        <v>0</v>
      </c>
      <c r="AN521">
        <f t="shared" si="313"/>
        <v>0</v>
      </c>
      <c r="AO521">
        <f t="shared" si="314"/>
        <v>0</v>
      </c>
    </row>
    <row r="522" spans="1:41" x14ac:dyDescent="0.45">
      <c r="A522">
        <v>38.193024170000001</v>
      </c>
      <c r="B522">
        <v>119.7406711</v>
      </c>
      <c r="C522">
        <v>26.389209749999999</v>
      </c>
      <c r="D522">
        <v>9.7945000000000004E-2</v>
      </c>
      <c r="E522">
        <f t="shared" si="280"/>
        <v>9.7945000000000004E-2</v>
      </c>
      <c r="F522">
        <f t="shared" si="281"/>
        <v>0</v>
      </c>
      <c r="G522">
        <f t="shared" si="282"/>
        <v>0</v>
      </c>
      <c r="H522">
        <f t="shared" si="283"/>
        <v>0</v>
      </c>
      <c r="I522">
        <f t="shared" si="284"/>
        <v>0</v>
      </c>
      <c r="J522">
        <f t="shared" si="285"/>
        <v>0</v>
      </c>
      <c r="K522" s="1">
        <f t="shared" si="286"/>
        <v>0</v>
      </c>
      <c r="L522" s="1">
        <f t="shared" si="287"/>
        <v>0</v>
      </c>
      <c r="M522" s="1">
        <f t="shared" si="288"/>
        <v>0</v>
      </c>
      <c r="N522" s="1">
        <f t="shared" si="289"/>
        <v>0</v>
      </c>
      <c r="O522" s="1">
        <f t="shared" si="290"/>
        <v>0</v>
      </c>
      <c r="P522" s="1">
        <f t="shared" si="291"/>
        <v>25</v>
      </c>
      <c r="Q522" s="1" t="e">
        <f t="shared" si="292"/>
        <v>#DIV/0!</v>
      </c>
      <c r="R522" s="1" t="e">
        <f t="shared" si="293"/>
        <v>#DIV/0!</v>
      </c>
      <c r="S522" s="1" t="e">
        <f t="shared" si="294"/>
        <v>#DIV/0!</v>
      </c>
      <c r="T522" s="1" t="e">
        <f t="shared" si="295"/>
        <v>#DIV/0!</v>
      </c>
      <c r="U522" s="1" t="e">
        <f t="shared" si="296"/>
        <v>#DIV/0!</v>
      </c>
      <c r="V522">
        <f t="shared" si="297"/>
        <v>851.48</v>
      </c>
      <c r="W522">
        <f t="shared" si="298"/>
        <v>0</v>
      </c>
      <c r="X522">
        <f t="shared" si="299"/>
        <v>0</v>
      </c>
      <c r="Y522">
        <f t="shared" si="300"/>
        <v>0</v>
      </c>
      <c r="Z522">
        <f t="shared" si="301"/>
        <v>0</v>
      </c>
      <c r="AA522">
        <f t="shared" si="302"/>
        <v>0</v>
      </c>
      <c r="AC522">
        <f t="shared" si="303"/>
        <v>1045.25</v>
      </c>
      <c r="AD522">
        <f t="shared" si="304"/>
        <v>0</v>
      </c>
      <c r="AE522">
        <f t="shared" si="305"/>
        <v>0</v>
      </c>
      <c r="AF522">
        <f t="shared" si="306"/>
        <v>0</v>
      </c>
      <c r="AG522">
        <f t="shared" si="307"/>
        <v>0</v>
      </c>
      <c r="AH522">
        <f t="shared" si="308"/>
        <v>0</v>
      </c>
      <c r="AJ522">
        <f t="shared" si="309"/>
        <v>1239.01</v>
      </c>
      <c r="AK522">
        <f t="shared" si="310"/>
        <v>0</v>
      </c>
      <c r="AL522">
        <f t="shared" si="311"/>
        <v>0</v>
      </c>
      <c r="AM522">
        <f t="shared" si="312"/>
        <v>0</v>
      </c>
      <c r="AN522">
        <f t="shared" si="313"/>
        <v>0</v>
      </c>
      <c r="AO522">
        <f t="shared" si="314"/>
        <v>0</v>
      </c>
    </row>
    <row r="523" spans="1:41" x14ac:dyDescent="0.45">
      <c r="A523">
        <v>38.194489949999998</v>
      </c>
      <c r="B523">
        <v>116.98724470000001</v>
      </c>
      <c r="C523">
        <v>19.537851329999999</v>
      </c>
      <c r="D523">
        <v>1.6951579999999999</v>
      </c>
      <c r="E523">
        <f t="shared" si="280"/>
        <v>1.6951579999999999</v>
      </c>
      <c r="F523">
        <f t="shared" si="281"/>
        <v>0</v>
      </c>
      <c r="G523">
        <f t="shared" si="282"/>
        <v>0</v>
      </c>
      <c r="H523">
        <f t="shared" si="283"/>
        <v>0</v>
      </c>
      <c r="I523">
        <f t="shared" si="284"/>
        <v>0</v>
      </c>
      <c r="J523">
        <f t="shared" si="285"/>
        <v>0</v>
      </c>
      <c r="K523" s="1">
        <f t="shared" si="286"/>
        <v>0</v>
      </c>
      <c r="L523" s="1">
        <f t="shared" si="287"/>
        <v>0</v>
      </c>
      <c r="M523" s="1">
        <f t="shared" si="288"/>
        <v>0</v>
      </c>
      <c r="N523" s="1">
        <f t="shared" si="289"/>
        <v>0</v>
      </c>
      <c r="O523" s="1">
        <f t="shared" si="290"/>
        <v>0</v>
      </c>
      <c r="P523" s="1">
        <f t="shared" si="291"/>
        <v>25</v>
      </c>
      <c r="Q523" s="1" t="e">
        <f t="shared" si="292"/>
        <v>#DIV/0!</v>
      </c>
      <c r="R523" s="1" t="e">
        <f t="shared" si="293"/>
        <v>#DIV/0!</v>
      </c>
      <c r="S523" s="1" t="e">
        <f t="shared" si="294"/>
        <v>#DIV/0!</v>
      </c>
      <c r="T523" s="1" t="e">
        <f t="shared" si="295"/>
        <v>#DIV/0!</v>
      </c>
      <c r="U523" s="1" t="e">
        <f t="shared" si="296"/>
        <v>#DIV/0!</v>
      </c>
      <c r="V523">
        <f t="shared" si="297"/>
        <v>851.48</v>
      </c>
      <c r="W523">
        <f t="shared" si="298"/>
        <v>0</v>
      </c>
      <c r="X523">
        <f t="shared" si="299"/>
        <v>0</v>
      </c>
      <c r="Y523">
        <f t="shared" si="300"/>
        <v>0</v>
      </c>
      <c r="Z523">
        <f t="shared" si="301"/>
        <v>0</v>
      </c>
      <c r="AA523">
        <f t="shared" si="302"/>
        <v>0</v>
      </c>
      <c r="AC523">
        <f t="shared" si="303"/>
        <v>1045.25</v>
      </c>
      <c r="AD523">
        <f t="shared" si="304"/>
        <v>0</v>
      </c>
      <c r="AE523">
        <f t="shared" si="305"/>
        <v>0</v>
      </c>
      <c r="AF523">
        <f t="shared" si="306"/>
        <v>0</v>
      </c>
      <c r="AG523">
        <f t="shared" si="307"/>
        <v>0</v>
      </c>
      <c r="AH523">
        <f t="shared" si="308"/>
        <v>0</v>
      </c>
      <c r="AJ523">
        <f t="shared" si="309"/>
        <v>1239.01</v>
      </c>
      <c r="AK523">
        <f t="shared" si="310"/>
        <v>0</v>
      </c>
      <c r="AL523">
        <f t="shared" si="311"/>
        <v>0</v>
      </c>
      <c r="AM523">
        <f t="shared" si="312"/>
        <v>0</v>
      </c>
      <c r="AN523">
        <f t="shared" si="313"/>
        <v>0</v>
      </c>
      <c r="AO523">
        <f t="shared" si="314"/>
        <v>0</v>
      </c>
    </row>
    <row r="524" spans="1:41" x14ac:dyDescent="0.45">
      <c r="A524">
        <v>38.199011159999998</v>
      </c>
      <c r="B524">
        <v>120.0940696</v>
      </c>
      <c r="C524">
        <v>15.833525659999999</v>
      </c>
      <c r="D524">
        <v>12.41936398</v>
      </c>
      <c r="E524">
        <f t="shared" si="280"/>
        <v>12.41936398</v>
      </c>
      <c r="F524">
        <f t="shared" si="281"/>
        <v>0</v>
      </c>
      <c r="G524">
        <f t="shared" si="282"/>
        <v>0</v>
      </c>
      <c r="H524">
        <f t="shared" si="283"/>
        <v>0</v>
      </c>
      <c r="I524">
        <f t="shared" si="284"/>
        <v>0</v>
      </c>
      <c r="J524">
        <f t="shared" si="285"/>
        <v>0</v>
      </c>
      <c r="K524" s="1">
        <f t="shared" si="286"/>
        <v>0</v>
      </c>
      <c r="L524" s="1">
        <f t="shared" si="287"/>
        <v>0</v>
      </c>
      <c r="M524" s="1">
        <f t="shared" si="288"/>
        <v>0</v>
      </c>
      <c r="N524" s="1">
        <f t="shared" si="289"/>
        <v>0</v>
      </c>
      <c r="O524" s="1">
        <f t="shared" si="290"/>
        <v>0</v>
      </c>
      <c r="P524" s="1">
        <f t="shared" si="291"/>
        <v>25</v>
      </c>
      <c r="Q524" s="1" t="e">
        <f t="shared" si="292"/>
        <v>#DIV/0!</v>
      </c>
      <c r="R524" s="1" t="e">
        <f t="shared" si="293"/>
        <v>#DIV/0!</v>
      </c>
      <c r="S524" s="1" t="e">
        <f t="shared" si="294"/>
        <v>#DIV/0!</v>
      </c>
      <c r="T524" s="1" t="e">
        <f t="shared" si="295"/>
        <v>#DIV/0!</v>
      </c>
      <c r="U524" s="1" t="e">
        <f t="shared" si="296"/>
        <v>#DIV/0!</v>
      </c>
      <c r="V524">
        <f t="shared" si="297"/>
        <v>851.48</v>
      </c>
      <c r="W524">
        <f t="shared" si="298"/>
        <v>0</v>
      </c>
      <c r="X524">
        <f t="shared" si="299"/>
        <v>0</v>
      </c>
      <c r="Y524">
        <f t="shared" si="300"/>
        <v>0</v>
      </c>
      <c r="Z524">
        <f t="shared" si="301"/>
        <v>0</v>
      </c>
      <c r="AA524">
        <f t="shared" si="302"/>
        <v>0</v>
      </c>
      <c r="AC524">
        <f t="shared" si="303"/>
        <v>1045.25</v>
      </c>
      <c r="AD524">
        <f t="shared" si="304"/>
        <v>0</v>
      </c>
      <c r="AE524">
        <f t="shared" si="305"/>
        <v>0</v>
      </c>
      <c r="AF524">
        <f t="shared" si="306"/>
        <v>0</v>
      </c>
      <c r="AG524">
        <f t="shared" si="307"/>
        <v>0</v>
      </c>
      <c r="AH524">
        <f t="shared" si="308"/>
        <v>0</v>
      </c>
      <c r="AJ524">
        <f t="shared" si="309"/>
        <v>1239.01</v>
      </c>
      <c r="AK524">
        <f t="shared" si="310"/>
        <v>0</v>
      </c>
      <c r="AL524">
        <f t="shared" si="311"/>
        <v>0</v>
      </c>
      <c r="AM524">
        <f t="shared" si="312"/>
        <v>0</v>
      </c>
      <c r="AN524">
        <f t="shared" si="313"/>
        <v>0</v>
      </c>
      <c r="AO524">
        <f t="shared" si="314"/>
        <v>0</v>
      </c>
    </row>
    <row r="525" spans="1:41" x14ac:dyDescent="0.45">
      <c r="A525">
        <v>38.201620650000002</v>
      </c>
      <c r="B525">
        <v>115.81921060000001</v>
      </c>
      <c r="C525">
        <v>10.858460429999999</v>
      </c>
      <c r="D525">
        <v>4.0056657800000002</v>
      </c>
      <c r="E525">
        <f t="shared" si="280"/>
        <v>4.0056657800000002</v>
      </c>
      <c r="F525">
        <f t="shared" si="281"/>
        <v>0</v>
      </c>
      <c r="G525">
        <f t="shared" si="282"/>
        <v>0</v>
      </c>
      <c r="H525">
        <f t="shared" si="283"/>
        <v>0</v>
      </c>
      <c r="I525">
        <f t="shared" si="284"/>
        <v>0</v>
      </c>
      <c r="J525">
        <f t="shared" si="285"/>
        <v>0</v>
      </c>
      <c r="K525" s="1">
        <f t="shared" si="286"/>
        <v>0</v>
      </c>
      <c r="L525" s="1">
        <f t="shared" si="287"/>
        <v>0</v>
      </c>
      <c r="M525" s="1">
        <f t="shared" si="288"/>
        <v>0</v>
      </c>
      <c r="N525" s="1">
        <f t="shared" si="289"/>
        <v>0</v>
      </c>
      <c r="O525" s="1">
        <f t="shared" si="290"/>
        <v>0</v>
      </c>
      <c r="P525" s="1">
        <f t="shared" si="291"/>
        <v>25</v>
      </c>
      <c r="Q525" s="1" t="e">
        <f t="shared" si="292"/>
        <v>#DIV/0!</v>
      </c>
      <c r="R525" s="1" t="e">
        <f t="shared" si="293"/>
        <v>#DIV/0!</v>
      </c>
      <c r="S525" s="1" t="e">
        <f t="shared" si="294"/>
        <v>#DIV/0!</v>
      </c>
      <c r="T525" s="1" t="e">
        <f t="shared" si="295"/>
        <v>#DIV/0!</v>
      </c>
      <c r="U525" s="1" t="e">
        <f t="shared" si="296"/>
        <v>#DIV/0!</v>
      </c>
      <c r="V525">
        <f t="shared" si="297"/>
        <v>851.48</v>
      </c>
      <c r="W525">
        <f t="shared" si="298"/>
        <v>0</v>
      </c>
      <c r="X525">
        <f t="shared" si="299"/>
        <v>0</v>
      </c>
      <c r="Y525">
        <f t="shared" si="300"/>
        <v>0</v>
      </c>
      <c r="Z525">
        <f t="shared" si="301"/>
        <v>0</v>
      </c>
      <c r="AA525">
        <f t="shared" si="302"/>
        <v>0</v>
      </c>
      <c r="AC525">
        <f t="shared" si="303"/>
        <v>1045.25</v>
      </c>
      <c r="AD525">
        <f t="shared" si="304"/>
        <v>0</v>
      </c>
      <c r="AE525">
        <f t="shared" si="305"/>
        <v>0</v>
      </c>
      <c r="AF525">
        <f t="shared" si="306"/>
        <v>0</v>
      </c>
      <c r="AG525">
        <f t="shared" si="307"/>
        <v>0</v>
      </c>
      <c r="AH525">
        <f t="shared" si="308"/>
        <v>0</v>
      </c>
      <c r="AJ525">
        <f t="shared" si="309"/>
        <v>1239.01</v>
      </c>
      <c r="AK525">
        <f t="shared" si="310"/>
        <v>0</v>
      </c>
      <c r="AL525">
        <f t="shared" si="311"/>
        <v>0</v>
      </c>
      <c r="AM525">
        <f t="shared" si="312"/>
        <v>0</v>
      </c>
      <c r="AN525">
        <f t="shared" si="313"/>
        <v>0</v>
      </c>
      <c r="AO525">
        <f t="shared" si="314"/>
        <v>0</v>
      </c>
    </row>
    <row r="526" spans="1:41" x14ac:dyDescent="0.45">
      <c r="A526">
        <v>38.202392359999997</v>
      </c>
      <c r="B526">
        <v>118.80369880000001</v>
      </c>
      <c r="C526">
        <v>10.430261610000001</v>
      </c>
      <c r="D526">
        <v>4.9958758400000001</v>
      </c>
      <c r="E526">
        <f t="shared" si="280"/>
        <v>4.9958758400000001</v>
      </c>
      <c r="F526">
        <f t="shared" si="281"/>
        <v>0</v>
      </c>
      <c r="G526">
        <f t="shared" si="282"/>
        <v>0</v>
      </c>
      <c r="H526">
        <f t="shared" si="283"/>
        <v>0</v>
      </c>
      <c r="I526">
        <f t="shared" si="284"/>
        <v>0</v>
      </c>
      <c r="J526">
        <f t="shared" si="285"/>
        <v>0</v>
      </c>
      <c r="K526" s="1">
        <f t="shared" si="286"/>
        <v>0</v>
      </c>
      <c r="L526" s="1">
        <f t="shared" si="287"/>
        <v>0</v>
      </c>
      <c r="M526" s="1">
        <f t="shared" si="288"/>
        <v>0</v>
      </c>
      <c r="N526" s="1">
        <f t="shared" si="289"/>
        <v>0</v>
      </c>
      <c r="O526" s="1">
        <f t="shared" si="290"/>
        <v>0</v>
      </c>
      <c r="P526" s="1">
        <f t="shared" si="291"/>
        <v>25</v>
      </c>
      <c r="Q526" s="1" t="e">
        <f t="shared" si="292"/>
        <v>#DIV/0!</v>
      </c>
      <c r="R526" s="1" t="e">
        <f t="shared" si="293"/>
        <v>#DIV/0!</v>
      </c>
      <c r="S526" s="1" t="e">
        <f t="shared" si="294"/>
        <v>#DIV/0!</v>
      </c>
      <c r="T526" s="1" t="e">
        <f t="shared" si="295"/>
        <v>#DIV/0!</v>
      </c>
      <c r="U526" s="1" t="e">
        <f t="shared" si="296"/>
        <v>#DIV/0!</v>
      </c>
      <c r="V526">
        <f t="shared" si="297"/>
        <v>851.48</v>
      </c>
      <c r="W526">
        <f t="shared" si="298"/>
        <v>0</v>
      </c>
      <c r="X526">
        <f t="shared" si="299"/>
        <v>0</v>
      </c>
      <c r="Y526">
        <f t="shared" si="300"/>
        <v>0</v>
      </c>
      <c r="Z526">
        <f t="shared" si="301"/>
        <v>0</v>
      </c>
      <c r="AA526">
        <f t="shared" si="302"/>
        <v>0</v>
      </c>
      <c r="AC526">
        <f t="shared" si="303"/>
        <v>1045.25</v>
      </c>
      <c r="AD526">
        <f t="shared" si="304"/>
        <v>0</v>
      </c>
      <c r="AE526">
        <f t="shared" si="305"/>
        <v>0</v>
      </c>
      <c r="AF526">
        <f t="shared" si="306"/>
        <v>0</v>
      </c>
      <c r="AG526">
        <f t="shared" si="307"/>
        <v>0</v>
      </c>
      <c r="AH526">
        <f t="shared" si="308"/>
        <v>0</v>
      </c>
      <c r="AJ526">
        <f t="shared" si="309"/>
        <v>1239.01</v>
      </c>
      <c r="AK526">
        <f t="shared" si="310"/>
        <v>0</v>
      </c>
      <c r="AL526">
        <f t="shared" si="311"/>
        <v>0</v>
      </c>
      <c r="AM526">
        <f t="shared" si="312"/>
        <v>0</v>
      </c>
      <c r="AN526">
        <f t="shared" si="313"/>
        <v>0</v>
      </c>
      <c r="AO526">
        <f t="shared" si="314"/>
        <v>0</v>
      </c>
    </row>
    <row r="527" spans="1:41" x14ac:dyDescent="0.45">
      <c r="A527">
        <v>38.21235454</v>
      </c>
      <c r="B527">
        <v>119.5680503</v>
      </c>
      <c r="C527">
        <v>20.99163055</v>
      </c>
      <c r="D527">
        <v>25.879388809999998</v>
      </c>
      <c r="E527">
        <f t="shared" si="280"/>
        <v>20.99163055</v>
      </c>
      <c r="F527">
        <f t="shared" si="281"/>
        <v>0</v>
      </c>
      <c r="G527">
        <f t="shared" si="282"/>
        <v>0</v>
      </c>
      <c r="H527">
        <f t="shared" si="283"/>
        <v>0</v>
      </c>
      <c r="I527">
        <f t="shared" si="284"/>
        <v>0</v>
      </c>
      <c r="J527">
        <f t="shared" si="285"/>
        <v>0</v>
      </c>
      <c r="K527" s="1">
        <f t="shared" si="286"/>
        <v>0</v>
      </c>
      <c r="L527" s="1">
        <f t="shared" si="287"/>
        <v>0</v>
      </c>
      <c r="M527" s="1">
        <f t="shared" si="288"/>
        <v>0</v>
      </c>
      <c r="N527" s="1">
        <f t="shared" si="289"/>
        <v>0</v>
      </c>
      <c r="O527" s="1">
        <f t="shared" si="290"/>
        <v>0</v>
      </c>
      <c r="P527" s="1">
        <f t="shared" si="291"/>
        <v>20.278329121405555</v>
      </c>
      <c r="Q527" s="1" t="e">
        <f t="shared" si="292"/>
        <v>#DIV/0!</v>
      </c>
      <c r="R527" s="1" t="e">
        <f t="shared" si="293"/>
        <v>#DIV/0!</v>
      </c>
      <c r="S527" s="1" t="e">
        <f t="shared" si="294"/>
        <v>#DIV/0!</v>
      </c>
      <c r="T527" s="1" t="e">
        <f t="shared" si="295"/>
        <v>#DIV/0!</v>
      </c>
      <c r="U527" s="1" t="e">
        <f t="shared" si="296"/>
        <v>#DIV/0!</v>
      </c>
      <c r="V527">
        <f t="shared" si="297"/>
        <v>698.02569644568052</v>
      </c>
      <c r="W527">
        <f t="shared" si="298"/>
        <v>0</v>
      </c>
      <c r="X527">
        <f t="shared" si="299"/>
        <v>0</v>
      </c>
      <c r="Y527">
        <f t="shared" si="300"/>
        <v>0</v>
      </c>
      <c r="Z527">
        <f t="shared" si="301"/>
        <v>0</v>
      </c>
      <c r="AA527">
        <f t="shared" si="302"/>
        <v>0</v>
      </c>
      <c r="AC527">
        <f t="shared" si="303"/>
        <v>856.38316485622227</v>
      </c>
      <c r="AD527">
        <f t="shared" si="304"/>
        <v>0</v>
      </c>
      <c r="AE527">
        <f t="shared" si="305"/>
        <v>0</v>
      </c>
      <c r="AF527">
        <f t="shared" si="306"/>
        <v>0</v>
      </c>
      <c r="AG527">
        <f t="shared" si="307"/>
        <v>0</v>
      </c>
      <c r="AH527">
        <f t="shared" si="308"/>
        <v>0</v>
      </c>
      <c r="AJ527">
        <f t="shared" si="309"/>
        <v>1014.7306332667639</v>
      </c>
      <c r="AK527">
        <f t="shared" si="310"/>
        <v>0</v>
      </c>
      <c r="AL527">
        <f t="shared" si="311"/>
        <v>0</v>
      </c>
      <c r="AM527">
        <f t="shared" si="312"/>
        <v>0</v>
      </c>
      <c r="AN527">
        <f t="shared" si="313"/>
        <v>0</v>
      </c>
      <c r="AO527">
        <f t="shared" si="314"/>
        <v>0</v>
      </c>
    </row>
    <row r="528" spans="1:41" x14ac:dyDescent="0.45">
      <c r="A528">
        <v>38.217273550000002</v>
      </c>
      <c r="B528">
        <v>119.0994645</v>
      </c>
      <c r="C528">
        <v>33.410434719999998</v>
      </c>
      <c r="D528">
        <v>40.262538910000004</v>
      </c>
      <c r="E528">
        <f t="shared" si="280"/>
        <v>33.410434719999998</v>
      </c>
      <c r="F528">
        <f t="shared" si="281"/>
        <v>0</v>
      </c>
      <c r="G528">
        <f t="shared" si="282"/>
        <v>0</v>
      </c>
      <c r="H528">
        <f t="shared" si="283"/>
        <v>0</v>
      </c>
      <c r="I528">
        <f t="shared" si="284"/>
        <v>0</v>
      </c>
      <c r="J528">
        <f t="shared" si="285"/>
        <v>0</v>
      </c>
      <c r="K528" s="1">
        <f t="shared" si="286"/>
        <v>0</v>
      </c>
      <c r="L528" s="1">
        <f t="shared" si="287"/>
        <v>0</v>
      </c>
      <c r="M528" s="1">
        <f t="shared" si="288"/>
        <v>0</v>
      </c>
      <c r="N528" s="1">
        <f t="shared" si="289"/>
        <v>0</v>
      </c>
      <c r="O528" s="1">
        <f t="shared" si="290"/>
        <v>0</v>
      </c>
      <c r="P528" s="1">
        <f t="shared" si="291"/>
        <v>20.745360094331911</v>
      </c>
      <c r="Q528" s="1" t="e">
        <f t="shared" si="292"/>
        <v>#DIV/0!</v>
      </c>
      <c r="R528" s="1" t="e">
        <f t="shared" si="293"/>
        <v>#DIV/0!</v>
      </c>
      <c r="S528" s="1" t="e">
        <f t="shared" si="294"/>
        <v>#DIV/0!</v>
      </c>
      <c r="T528" s="1" t="e">
        <f t="shared" si="295"/>
        <v>#DIV/0!</v>
      </c>
      <c r="U528" s="1" t="e">
        <f t="shared" si="296"/>
        <v>#DIV/0!</v>
      </c>
      <c r="V528">
        <f t="shared" si="297"/>
        <v>713.20420306578717</v>
      </c>
      <c r="W528">
        <f t="shared" si="298"/>
        <v>0</v>
      </c>
      <c r="X528">
        <f t="shared" si="299"/>
        <v>0</v>
      </c>
      <c r="Y528">
        <f t="shared" si="300"/>
        <v>0</v>
      </c>
      <c r="Z528">
        <f t="shared" si="301"/>
        <v>0</v>
      </c>
      <c r="AA528">
        <f t="shared" si="302"/>
        <v>0</v>
      </c>
      <c r="AC528">
        <f t="shared" si="303"/>
        <v>875.06440377327647</v>
      </c>
      <c r="AD528">
        <f t="shared" si="304"/>
        <v>0</v>
      </c>
      <c r="AE528">
        <f t="shared" si="305"/>
        <v>0</v>
      </c>
      <c r="AF528">
        <f t="shared" si="306"/>
        <v>0</v>
      </c>
      <c r="AG528">
        <f t="shared" si="307"/>
        <v>0</v>
      </c>
      <c r="AH528">
        <f t="shared" si="308"/>
        <v>0</v>
      </c>
      <c r="AJ528">
        <f t="shared" si="309"/>
        <v>1036.9146044807658</v>
      </c>
      <c r="AK528">
        <f t="shared" si="310"/>
        <v>0</v>
      </c>
      <c r="AL528">
        <f t="shared" si="311"/>
        <v>0</v>
      </c>
      <c r="AM528">
        <f t="shared" si="312"/>
        <v>0</v>
      </c>
      <c r="AN528">
        <f t="shared" si="313"/>
        <v>0</v>
      </c>
      <c r="AO528">
        <f t="shared" si="314"/>
        <v>0</v>
      </c>
    </row>
    <row r="529" spans="1:41" x14ac:dyDescent="0.45">
      <c r="A529">
        <v>38.218743979999999</v>
      </c>
      <c r="B529">
        <v>119.51049070000001</v>
      </c>
      <c r="C529">
        <v>307.9655151</v>
      </c>
      <c r="D529">
        <v>0.24486100999999999</v>
      </c>
      <c r="E529">
        <f t="shared" si="280"/>
        <v>0.24486100999999999</v>
      </c>
      <c r="F529">
        <f t="shared" si="281"/>
        <v>0</v>
      </c>
      <c r="G529">
        <f t="shared" si="282"/>
        <v>0</v>
      </c>
      <c r="H529">
        <f t="shared" si="283"/>
        <v>0</v>
      </c>
      <c r="I529">
        <f t="shared" si="284"/>
        <v>0</v>
      </c>
      <c r="J529">
        <f t="shared" si="285"/>
        <v>0</v>
      </c>
      <c r="K529" s="1">
        <f t="shared" si="286"/>
        <v>0</v>
      </c>
      <c r="L529" s="1">
        <f t="shared" si="287"/>
        <v>0</v>
      </c>
      <c r="M529" s="1">
        <f t="shared" si="288"/>
        <v>0</v>
      </c>
      <c r="N529" s="1">
        <f t="shared" si="289"/>
        <v>0</v>
      </c>
      <c r="O529" s="1">
        <f t="shared" si="290"/>
        <v>0</v>
      </c>
      <c r="P529" s="1">
        <f t="shared" si="291"/>
        <v>25</v>
      </c>
      <c r="Q529" s="1" t="e">
        <f t="shared" si="292"/>
        <v>#DIV/0!</v>
      </c>
      <c r="R529" s="1" t="e">
        <f t="shared" si="293"/>
        <v>#DIV/0!</v>
      </c>
      <c r="S529" s="1" t="e">
        <f t="shared" si="294"/>
        <v>#DIV/0!</v>
      </c>
      <c r="T529" s="1" t="e">
        <f t="shared" si="295"/>
        <v>#DIV/0!</v>
      </c>
      <c r="U529" s="1" t="e">
        <f t="shared" si="296"/>
        <v>#DIV/0!</v>
      </c>
      <c r="V529">
        <f t="shared" si="297"/>
        <v>851.48</v>
      </c>
      <c r="W529">
        <f t="shared" si="298"/>
        <v>0</v>
      </c>
      <c r="X529">
        <f t="shared" si="299"/>
        <v>0</v>
      </c>
      <c r="Y529">
        <f t="shared" si="300"/>
        <v>0</v>
      </c>
      <c r="Z529">
        <f t="shared" si="301"/>
        <v>0</v>
      </c>
      <c r="AA529">
        <f t="shared" si="302"/>
        <v>0</v>
      </c>
      <c r="AC529">
        <f t="shared" si="303"/>
        <v>1045.25</v>
      </c>
      <c r="AD529">
        <f t="shared" si="304"/>
        <v>0</v>
      </c>
      <c r="AE529">
        <f t="shared" si="305"/>
        <v>0</v>
      </c>
      <c r="AF529">
        <f t="shared" si="306"/>
        <v>0</v>
      </c>
      <c r="AG529">
        <f t="shared" si="307"/>
        <v>0</v>
      </c>
      <c r="AH529">
        <f t="shared" si="308"/>
        <v>0</v>
      </c>
      <c r="AJ529">
        <f t="shared" si="309"/>
        <v>1239.01</v>
      </c>
      <c r="AK529">
        <f t="shared" si="310"/>
        <v>0</v>
      </c>
      <c r="AL529">
        <f t="shared" si="311"/>
        <v>0</v>
      </c>
      <c r="AM529">
        <f t="shared" si="312"/>
        <v>0</v>
      </c>
      <c r="AN529">
        <f t="shared" si="313"/>
        <v>0</v>
      </c>
      <c r="AO529">
        <f t="shared" si="314"/>
        <v>0</v>
      </c>
    </row>
    <row r="530" spans="1:41" x14ac:dyDescent="0.45">
      <c r="A530">
        <v>38.220411890000001</v>
      </c>
      <c r="B530">
        <v>90.922373489999998</v>
      </c>
      <c r="C530">
        <v>20.624670030000001</v>
      </c>
      <c r="D530">
        <v>0.31869399999999998</v>
      </c>
      <c r="E530">
        <f t="shared" si="280"/>
        <v>0.31869399999999998</v>
      </c>
      <c r="F530">
        <f t="shared" si="281"/>
        <v>0</v>
      </c>
      <c r="G530">
        <f t="shared" si="282"/>
        <v>0</v>
      </c>
      <c r="H530">
        <f t="shared" si="283"/>
        <v>0</v>
      </c>
      <c r="I530">
        <f t="shared" si="284"/>
        <v>0</v>
      </c>
      <c r="J530">
        <f t="shared" si="285"/>
        <v>0</v>
      </c>
      <c r="K530" s="1">
        <f t="shared" si="286"/>
        <v>0</v>
      </c>
      <c r="L530" s="1">
        <f t="shared" si="287"/>
        <v>0</v>
      </c>
      <c r="M530" s="1">
        <f t="shared" si="288"/>
        <v>0</v>
      </c>
      <c r="N530" s="1">
        <f t="shared" si="289"/>
        <v>0</v>
      </c>
      <c r="O530" s="1">
        <f t="shared" si="290"/>
        <v>0</v>
      </c>
      <c r="P530" s="1">
        <f t="shared" si="291"/>
        <v>25</v>
      </c>
      <c r="Q530" s="1" t="e">
        <f t="shared" si="292"/>
        <v>#DIV/0!</v>
      </c>
      <c r="R530" s="1" t="e">
        <f t="shared" si="293"/>
        <v>#DIV/0!</v>
      </c>
      <c r="S530" s="1" t="e">
        <f t="shared" si="294"/>
        <v>#DIV/0!</v>
      </c>
      <c r="T530" s="1" t="e">
        <f t="shared" si="295"/>
        <v>#DIV/0!</v>
      </c>
      <c r="U530" s="1" t="e">
        <f t="shared" si="296"/>
        <v>#DIV/0!</v>
      </c>
      <c r="V530">
        <f t="shared" si="297"/>
        <v>851.48</v>
      </c>
      <c r="W530">
        <f t="shared" si="298"/>
        <v>0</v>
      </c>
      <c r="X530">
        <f t="shared" si="299"/>
        <v>0</v>
      </c>
      <c r="Y530">
        <f t="shared" si="300"/>
        <v>0</v>
      </c>
      <c r="Z530">
        <f t="shared" si="301"/>
        <v>0</v>
      </c>
      <c r="AA530">
        <f t="shared" si="302"/>
        <v>0</v>
      </c>
      <c r="AC530">
        <f t="shared" si="303"/>
        <v>1045.25</v>
      </c>
      <c r="AD530">
        <f t="shared" si="304"/>
        <v>0</v>
      </c>
      <c r="AE530">
        <f t="shared" si="305"/>
        <v>0</v>
      </c>
      <c r="AF530">
        <f t="shared" si="306"/>
        <v>0</v>
      </c>
      <c r="AG530">
        <f t="shared" si="307"/>
        <v>0</v>
      </c>
      <c r="AH530">
        <f t="shared" si="308"/>
        <v>0</v>
      </c>
      <c r="AJ530">
        <f t="shared" si="309"/>
        <v>1239.01</v>
      </c>
      <c r="AK530">
        <f t="shared" si="310"/>
        <v>0</v>
      </c>
      <c r="AL530">
        <f t="shared" si="311"/>
        <v>0</v>
      </c>
      <c r="AM530">
        <f t="shared" si="312"/>
        <v>0</v>
      </c>
      <c r="AN530">
        <f t="shared" si="313"/>
        <v>0</v>
      </c>
      <c r="AO530">
        <f t="shared" si="314"/>
        <v>0</v>
      </c>
    </row>
    <row r="531" spans="1:41" x14ac:dyDescent="0.45">
      <c r="A531">
        <v>38.225393439999998</v>
      </c>
      <c r="B531">
        <v>119.86399059999999</v>
      </c>
      <c r="C531">
        <v>50.139499659999998</v>
      </c>
      <c r="D531">
        <v>1.95888996</v>
      </c>
      <c r="E531">
        <f t="shared" si="280"/>
        <v>1.95888996</v>
      </c>
      <c r="F531">
        <f t="shared" si="281"/>
        <v>0</v>
      </c>
      <c r="G531">
        <f t="shared" si="282"/>
        <v>0</v>
      </c>
      <c r="H531">
        <f t="shared" si="283"/>
        <v>0</v>
      </c>
      <c r="I531">
        <f t="shared" si="284"/>
        <v>0</v>
      </c>
      <c r="J531">
        <f t="shared" si="285"/>
        <v>0</v>
      </c>
      <c r="K531" s="1">
        <f t="shared" si="286"/>
        <v>0</v>
      </c>
      <c r="L531" s="1">
        <f t="shared" si="287"/>
        <v>0</v>
      </c>
      <c r="M531" s="1">
        <f t="shared" si="288"/>
        <v>0</v>
      </c>
      <c r="N531" s="1">
        <f t="shared" si="289"/>
        <v>0</v>
      </c>
      <c r="O531" s="1">
        <f t="shared" si="290"/>
        <v>0</v>
      </c>
      <c r="P531" s="1">
        <f t="shared" si="291"/>
        <v>25</v>
      </c>
      <c r="Q531" s="1" t="e">
        <f t="shared" si="292"/>
        <v>#DIV/0!</v>
      </c>
      <c r="R531" s="1" t="e">
        <f t="shared" si="293"/>
        <v>#DIV/0!</v>
      </c>
      <c r="S531" s="1" t="e">
        <f t="shared" si="294"/>
        <v>#DIV/0!</v>
      </c>
      <c r="T531" s="1" t="e">
        <f t="shared" si="295"/>
        <v>#DIV/0!</v>
      </c>
      <c r="U531" s="1" t="e">
        <f t="shared" si="296"/>
        <v>#DIV/0!</v>
      </c>
      <c r="V531">
        <f t="shared" si="297"/>
        <v>851.48</v>
      </c>
      <c r="W531">
        <f t="shared" si="298"/>
        <v>0</v>
      </c>
      <c r="X531">
        <f t="shared" si="299"/>
        <v>0</v>
      </c>
      <c r="Y531">
        <f t="shared" si="300"/>
        <v>0</v>
      </c>
      <c r="Z531">
        <f t="shared" si="301"/>
        <v>0</v>
      </c>
      <c r="AA531">
        <f t="shared" si="302"/>
        <v>0</v>
      </c>
      <c r="AC531">
        <f t="shared" si="303"/>
        <v>1045.25</v>
      </c>
      <c r="AD531">
        <f t="shared" si="304"/>
        <v>0</v>
      </c>
      <c r="AE531">
        <f t="shared" si="305"/>
        <v>0</v>
      </c>
      <c r="AF531">
        <f t="shared" si="306"/>
        <v>0</v>
      </c>
      <c r="AG531">
        <f t="shared" si="307"/>
        <v>0</v>
      </c>
      <c r="AH531">
        <f t="shared" si="308"/>
        <v>0</v>
      </c>
      <c r="AJ531">
        <f t="shared" si="309"/>
        <v>1239.01</v>
      </c>
      <c r="AK531">
        <f t="shared" si="310"/>
        <v>0</v>
      </c>
      <c r="AL531">
        <f t="shared" si="311"/>
        <v>0</v>
      </c>
      <c r="AM531">
        <f t="shared" si="312"/>
        <v>0</v>
      </c>
      <c r="AN531">
        <f t="shared" si="313"/>
        <v>0</v>
      </c>
      <c r="AO531">
        <f t="shared" si="314"/>
        <v>0</v>
      </c>
    </row>
    <row r="532" spans="1:41" x14ac:dyDescent="0.45">
      <c r="A532">
        <v>38.237902239999997</v>
      </c>
      <c r="B532">
        <v>115.9407849</v>
      </c>
      <c r="C532">
        <v>10.858460429999999</v>
      </c>
      <c r="D532">
        <v>3.6063230000000002</v>
      </c>
      <c r="E532">
        <f t="shared" si="280"/>
        <v>3.6063230000000002</v>
      </c>
      <c r="F532">
        <f t="shared" si="281"/>
        <v>0</v>
      </c>
      <c r="G532">
        <f t="shared" si="282"/>
        <v>0</v>
      </c>
      <c r="H532">
        <f t="shared" si="283"/>
        <v>0</v>
      </c>
      <c r="I532">
        <f t="shared" si="284"/>
        <v>0</v>
      </c>
      <c r="J532">
        <f t="shared" si="285"/>
        <v>0</v>
      </c>
      <c r="K532" s="1">
        <f t="shared" si="286"/>
        <v>0</v>
      </c>
      <c r="L532" s="1">
        <f t="shared" si="287"/>
        <v>0</v>
      </c>
      <c r="M532" s="1">
        <f t="shared" si="288"/>
        <v>0</v>
      </c>
      <c r="N532" s="1">
        <f t="shared" si="289"/>
        <v>0</v>
      </c>
      <c r="O532" s="1">
        <f t="shared" si="290"/>
        <v>0</v>
      </c>
      <c r="P532" s="1">
        <f t="shared" si="291"/>
        <v>25.000000000000004</v>
      </c>
      <c r="Q532" s="1" t="e">
        <f t="shared" si="292"/>
        <v>#DIV/0!</v>
      </c>
      <c r="R532" s="1" t="e">
        <f t="shared" si="293"/>
        <v>#DIV/0!</v>
      </c>
      <c r="S532" s="1" t="e">
        <f t="shared" si="294"/>
        <v>#DIV/0!</v>
      </c>
      <c r="T532" s="1" t="e">
        <f t="shared" si="295"/>
        <v>#DIV/0!</v>
      </c>
      <c r="U532" s="1" t="e">
        <f t="shared" si="296"/>
        <v>#DIV/0!</v>
      </c>
      <c r="V532">
        <f t="shared" si="297"/>
        <v>851.48000000000013</v>
      </c>
      <c r="W532">
        <f t="shared" si="298"/>
        <v>0</v>
      </c>
      <c r="X532">
        <f t="shared" si="299"/>
        <v>0</v>
      </c>
      <c r="Y532">
        <f t="shared" si="300"/>
        <v>0</v>
      </c>
      <c r="Z532">
        <f t="shared" si="301"/>
        <v>0</v>
      </c>
      <c r="AA532">
        <f t="shared" si="302"/>
        <v>0</v>
      </c>
      <c r="AC532">
        <f t="shared" si="303"/>
        <v>1045.25</v>
      </c>
      <c r="AD532">
        <f t="shared" si="304"/>
        <v>0</v>
      </c>
      <c r="AE532">
        <f t="shared" si="305"/>
        <v>0</v>
      </c>
      <c r="AF532">
        <f t="shared" si="306"/>
        <v>0</v>
      </c>
      <c r="AG532">
        <f t="shared" si="307"/>
        <v>0</v>
      </c>
      <c r="AH532">
        <f t="shared" si="308"/>
        <v>0</v>
      </c>
      <c r="AJ532">
        <f t="shared" si="309"/>
        <v>1239.0100000000002</v>
      </c>
      <c r="AK532">
        <f t="shared" si="310"/>
        <v>0</v>
      </c>
      <c r="AL532">
        <f t="shared" si="311"/>
        <v>0</v>
      </c>
      <c r="AM532">
        <f t="shared" si="312"/>
        <v>0</v>
      </c>
      <c r="AN532">
        <f t="shared" si="313"/>
        <v>0</v>
      </c>
      <c r="AO532">
        <f t="shared" si="314"/>
        <v>0</v>
      </c>
    </row>
    <row r="533" spans="1:41" x14ac:dyDescent="0.45">
      <c r="A533">
        <v>38.238422620000001</v>
      </c>
      <c r="B533">
        <v>119.7488918</v>
      </c>
      <c r="C533">
        <v>50.139499659999998</v>
      </c>
      <c r="D533">
        <v>1.95888996</v>
      </c>
      <c r="E533">
        <f t="shared" si="280"/>
        <v>1.95888996</v>
      </c>
      <c r="F533">
        <f t="shared" si="281"/>
        <v>0</v>
      </c>
      <c r="G533">
        <f t="shared" si="282"/>
        <v>0</v>
      </c>
      <c r="H533">
        <f t="shared" si="283"/>
        <v>0</v>
      </c>
      <c r="I533">
        <f t="shared" si="284"/>
        <v>0</v>
      </c>
      <c r="J533">
        <f t="shared" si="285"/>
        <v>0</v>
      </c>
      <c r="K533" s="1">
        <f t="shared" si="286"/>
        <v>0</v>
      </c>
      <c r="L533" s="1">
        <f t="shared" si="287"/>
        <v>0</v>
      </c>
      <c r="M533" s="1">
        <f t="shared" si="288"/>
        <v>0</v>
      </c>
      <c r="N533" s="1">
        <f t="shared" si="289"/>
        <v>0</v>
      </c>
      <c r="O533" s="1">
        <f t="shared" si="290"/>
        <v>0</v>
      </c>
      <c r="P533" s="1">
        <f t="shared" si="291"/>
        <v>25</v>
      </c>
      <c r="Q533" s="1" t="e">
        <f t="shared" si="292"/>
        <v>#DIV/0!</v>
      </c>
      <c r="R533" s="1" t="e">
        <f t="shared" si="293"/>
        <v>#DIV/0!</v>
      </c>
      <c r="S533" s="1" t="e">
        <f t="shared" si="294"/>
        <v>#DIV/0!</v>
      </c>
      <c r="T533" s="1" t="e">
        <f t="shared" si="295"/>
        <v>#DIV/0!</v>
      </c>
      <c r="U533" s="1" t="e">
        <f t="shared" si="296"/>
        <v>#DIV/0!</v>
      </c>
      <c r="V533">
        <f t="shared" si="297"/>
        <v>851.48</v>
      </c>
      <c r="W533">
        <f t="shared" si="298"/>
        <v>0</v>
      </c>
      <c r="X533">
        <f t="shared" si="299"/>
        <v>0</v>
      </c>
      <c r="Y533">
        <f t="shared" si="300"/>
        <v>0</v>
      </c>
      <c r="Z533">
        <f t="shared" si="301"/>
        <v>0</v>
      </c>
      <c r="AA533">
        <f t="shared" si="302"/>
        <v>0</v>
      </c>
      <c r="AC533">
        <f t="shared" si="303"/>
        <v>1045.25</v>
      </c>
      <c r="AD533">
        <f t="shared" si="304"/>
        <v>0</v>
      </c>
      <c r="AE533">
        <f t="shared" si="305"/>
        <v>0</v>
      </c>
      <c r="AF533">
        <f t="shared" si="306"/>
        <v>0</v>
      </c>
      <c r="AG533">
        <f t="shared" si="307"/>
        <v>0</v>
      </c>
      <c r="AH533">
        <f t="shared" si="308"/>
        <v>0</v>
      </c>
      <c r="AJ533">
        <f t="shared" si="309"/>
        <v>1239.01</v>
      </c>
      <c r="AK533">
        <f t="shared" si="310"/>
        <v>0</v>
      </c>
      <c r="AL533">
        <f t="shared" si="311"/>
        <v>0</v>
      </c>
      <c r="AM533">
        <f t="shared" si="312"/>
        <v>0</v>
      </c>
      <c r="AN533">
        <f t="shared" si="313"/>
        <v>0</v>
      </c>
      <c r="AO533">
        <f t="shared" si="314"/>
        <v>0</v>
      </c>
    </row>
    <row r="534" spans="1:41" x14ac:dyDescent="0.45">
      <c r="A534">
        <v>38.241789730000001</v>
      </c>
      <c r="B534">
        <v>118.86900199999999</v>
      </c>
      <c r="C534">
        <v>22.77684975</v>
      </c>
      <c r="D534">
        <v>193.1955566</v>
      </c>
      <c r="E534">
        <f t="shared" si="280"/>
        <v>22.77684975</v>
      </c>
      <c r="F534">
        <f t="shared" si="281"/>
        <v>79.311307850000006</v>
      </c>
      <c r="G534">
        <f t="shared" si="282"/>
        <v>0</v>
      </c>
      <c r="H534">
        <f t="shared" si="283"/>
        <v>0</v>
      </c>
      <c r="I534">
        <f t="shared" si="284"/>
        <v>0</v>
      </c>
      <c r="J534">
        <f t="shared" si="285"/>
        <v>0</v>
      </c>
      <c r="K534" s="1">
        <f t="shared" si="286"/>
        <v>22.77684975</v>
      </c>
      <c r="L534" s="1">
        <f t="shared" si="287"/>
        <v>0</v>
      </c>
      <c r="M534" s="1">
        <f t="shared" si="288"/>
        <v>0</v>
      </c>
      <c r="N534" s="1">
        <f t="shared" si="289"/>
        <v>0</v>
      </c>
      <c r="O534" s="1">
        <f t="shared" si="290"/>
        <v>0</v>
      </c>
      <c r="P534" s="1">
        <f t="shared" si="291"/>
        <v>2.9473827129935142</v>
      </c>
      <c r="Q534" s="1">
        <f t="shared" si="292"/>
        <v>7.1795719826854425</v>
      </c>
      <c r="R534" s="1" t="e">
        <f t="shared" si="293"/>
        <v>#DIV/0!</v>
      </c>
      <c r="S534" s="1" t="e">
        <f t="shared" si="294"/>
        <v>#DIV/0!</v>
      </c>
      <c r="T534" s="1" t="e">
        <f t="shared" si="295"/>
        <v>#DIV/0!</v>
      </c>
      <c r="U534" s="1" t="e">
        <f t="shared" si="296"/>
        <v>#DIV/0!</v>
      </c>
      <c r="V534">
        <f t="shared" si="297"/>
        <v>134.76993817228922</v>
      </c>
      <c r="W534">
        <f t="shared" si="298"/>
        <v>308.22394935070412</v>
      </c>
      <c r="X534">
        <f t="shared" si="299"/>
        <v>0</v>
      </c>
      <c r="Y534">
        <f t="shared" si="300"/>
        <v>0</v>
      </c>
      <c r="Z534">
        <f t="shared" si="301"/>
        <v>0</v>
      </c>
      <c r="AA534">
        <f t="shared" si="302"/>
        <v>0</v>
      </c>
      <c r="AC534">
        <f t="shared" si="303"/>
        <v>163.14530851974058</v>
      </c>
      <c r="AD534">
        <f t="shared" si="304"/>
        <v>308.22394935070412</v>
      </c>
      <c r="AE534">
        <f t="shared" si="305"/>
        <v>0</v>
      </c>
      <c r="AF534">
        <f t="shared" si="306"/>
        <v>0</v>
      </c>
      <c r="AG534">
        <f t="shared" si="307"/>
        <v>0</v>
      </c>
      <c r="AH534">
        <f t="shared" si="308"/>
        <v>0</v>
      </c>
      <c r="AJ534">
        <f t="shared" si="309"/>
        <v>191.51067886719193</v>
      </c>
      <c r="AK534">
        <f t="shared" si="310"/>
        <v>369.02073922084492</v>
      </c>
      <c r="AL534">
        <f t="shared" si="311"/>
        <v>0</v>
      </c>
      <c r="AM534">
        <f t="shared" si="312"/>
        <v>0</v>
      </c>
      <c r="AN534">
        <f t="shared" si="313"/>
        <v>0</v>
      </c>
      <c r="AO534">
        <f t="shared" si="314"/>
        <v>0</v>
      </c>
    </row>
    <row r="535" spans="1:41" x14ac:dyDescent="0.45">
      <c r="A535">
        <v>38.244031450000001</v>
      </c>
      <c r="B535">
        <v>119.2801565</v>
      </c>
      <c r="C535">
        <v>33.501247409999998</v>
      </c>
      <c r="D535">
        <v>4.99517012</v>
      </c>
      <c r="E535">
        <f t="shared" si="280"/>
        <v>4.99517012</v>
      </c>
      <c r="F535">
        <f t="shared" si="281"/>
        <v>0</v>
      </c>
      <c r="G535">
        <f t="shared" si="282"/>
        <v>0</v>
      </c>
      <c r="H535">
        <f t="shared" si="283"/>
        <v>0</v>
      </c>
      <c r="I535">
        <f t="shared" si="284"/>
        <v>0</v>
      </c>
      <c r="J535">
        <f t="shared" si="285"/>
        <v>0</v>
      </c>
      <c r="K535" s="1">
        <f t="shared" si="286"/>
        <v>0</v>
      </c>
      <c r="L535" s="1">
        <f t="shared" si="287"/>
        <v>0</v>
      </c>
      <c r="M535" s="1">
        <f t="shared" si="288"/>
        <v>0</v>
      </c>
      <c r="N535" s="1">
        <f t="shared" si="289"/>
        <v>0</v>
      </c>
      <c r="O535" s="1">
        <f t="shared" si="290"/>
        <v>0</v>
      </c>
      <c r="P535" s="1">
        <f t="shared" si="291"/>
        <v>25</v>
      </c>
      <c r="Q535" s="1" t="e">
        <f t="shared" si="292"/>
        <v>#DIV/0!</v>
      </c>
      <c r="R535" s="1" t="e">
        <f t="shared" si="293"/>
        <v>#DIV/0!</v>
      </c>
      <c r="S535" s="1" t="e">
        <f t="shared" si="294"/>
        <v>#DIV/0!</v>
      </c>
      <c r="T535" s="1" t="e">
        <f t="shared" si="295"/>
        <v>#DIV/0!</v>
      </c>
      <c r="U535" s="1" t="e">
        <f t="shared" si="296"/>
        <v>#DIV/0!</v>
      </c>
      <c r="V535">
        <f t="shared" si="297"/>
        <v>851.48</v>
      </c>
      <c r="W535">
        <f t="shared" si="298"/>
        <v>0</v>
      </c>
      <c r="X535">
        <f t="shared" si="299"/>
        <v>0</v>
      </c>
      <c r="Y535">
        <f t="shared" si="300"/>
        <v>0</v>
      </c>
      <c r="Z535">
        <f t="shared" si="301"/>
        <v>0</v>
      </c>
      <c r="AA535">
        <f t="shared" si="302"/>
        <v>0</v>
      </c>
      <c r="AC535">
        <f t="shared" si="303"/>
        <v>1045.25</v>
      </c>
      <c r="AD535">
        <f t="shared" si="304"/>
        <v>0</v>
      </c>
      <c r="AE535">
        <f t="shared" si="305"/>
        <v>0</v>
      </c>
      <c r="AF535">
        <f t="shared" si="306"/>
        <v>0</v>
      </c>
      <c r="AG535">
        <f t="shared" si="307"/>
        <v>0</v>
      </c>
      <c r="AH535">
        <f t="shared" si="308"/>
        <v>0</v>
      </c>
      <c r="AJ535">
        <f t="shared" si="309"/>
        <v>1239.01</v>
      </c>
      <c r="AK535">
        <f t="shared" si="310"/>
        <v>0</v>
      </c>
      <c r="AL535">
        <f t="shared" si="311"/>
        <v>0</v>
      </c>
      <c r="AM535">
        <f t="shared" si="312"/>
        <v>0</v>
      </c>
      <c r="AN535">
        <f t="shared" si="313"/>
        <v>0</v>
      </c>
      <c r="AO535">
        <f t="shared" si="314"/>
        <v>0</v>
      </c>
    </row>
    <row r="536" spans="1:41" x14ac:dyDescent="0.45">
      <c r="A536">
        <v>38.24438542</v>
      </c>
      <c r="B536">
        <v>120.1025009</v>
      </c>
      <c r="C536">
        <v>10.8960743</v>
      </c>
      <c r="D536">
        <v>3.6729190300000001</v>
      </c>
      <c r="E536">
        <f t="shared" si="280"/>
        <v>3.6729190300000001</v>
      </c>
      <c r="F536">
        <f t="shared" si="281"/>
        <v>0</v>
      </c>
      <c r="G536">
        <f t="shared" si="282"/>
        <v>0</v>
      </c>
      <c r="H536">
        <f t="shared" si="283"/>
        <v>0</v>
      </c>
      <c r="I536">
        <f t="shared" si="284"/>
        <v>0</v>
      </c>
      <c r="J536">
        <f t="shared" si="285"/>
        <v>0</v>
      </c>
      <c r="K536" s="1">
        <f t="shared" si="286"/>
        <v>0</v>
      </c>
      <c r="L536" s="1">
        <f t="shared" si="287"/>
        <v>0</v>
      </c>
      <c r="M536" s="1">
        <f t="shared" si="288"/>
        <v>0</v>
      </c>
      <c r="N536" s="1">
        <f t="shared" si="289"/>
        <v>0</v>
      </c>
      <c r="O536" s="1">
        <f t="shared" si="290"/>
        <v>0</v>
      </c>
      <c r="P536" s="1">
        <f t="shared" si="291"/>
        <v>25</v>
      </c>
      <c r="Q536" s="1" t="e">
        <f t="shared" si="292"/>
        <v>#DIV/0!</v>
      </c>
      <c r="R536" s="1" t="e">
        <f t="shared" si="293"/>
        <v>#DIV/0!</v>
      </c>
      <c r="S536" s="1" t="e">
        <f t="shared" si="294"/>
        <v>#DIV/0!</v>
      </c>
      <c r="T536" s="1" t="e">
        <f t="shared" si="295"/>
        <v>#DIV/0!</v>
      </c>
      <c r="U536" s="1" t="e">
        <f t="shared" si="296"/>
        <v>#DIV/0!</v>
      </c>
      <c r="V536">
        <f t="shared" si="297"/>
        <v>851.48</v>
      </c>
      <c r="W536">
        <f t="shared" si="298"/>
        <v>0</v>
      </c>
      <c r="X536">
        <f t="shared" si="299"/>
        <v>0</v>
      </c>
      <c r="Y536">
        <f t="shared" si="300"/>
        <v>0</v>
      </c>
      <c r="Z536">
        <f t="shared" si="301"/>
        <v>0</v>
      </c>
      <c r="AA536">
        <f t="shared" si="302"/>
        <v>0</v>
      </c>
      <c r="AC536">
        <f t="shared" si="303"/>
        <v>1045.25</v>
      </c>
      <c r="AD536">
        <f t="shared" si="304"/>
        <v>0</v>
      </c>
      <c r="AE536">
        <f t="shared" si="305"/>
        <v>0</v>
      </c>
      <c r="AF536">
        <f t="shared" si="306"/>
        <v>0</v>
      </c>
      <c r="AG536">
        <f t="shared" si="307"/>
        <v>0</v>
      </c>
      <c r="AH536">
        <f t="shared" si="308"/>
        <v>0</v>
      </c>
      <c r="AJ536">
        <f t="shared" si="309"/>
        <v>1239.01</v>
      </c>
      <c r="AK536">
        <f t="shared" si="310"/>
        <v>0</v>
      </c>
      <c r="AL536">
        <f t="shared" si="311"/>
        <v>0</v>
      </c>
      <c r="AM536">
        <f t="shared" si="312"/>
        <v>0</v>
      </c>
      <c r="AN536">
        <f t="shared" si="313"/>
        <v>0</v>
      </c>
      <c r="AO536">
        <f t="shared" si="314"/>
        <v>0</v>
      </c>
    </row>
    <row r="537" spans="1:41" x14ac:dyDescent="0.45">
      <c r="A537">
        <v>38.244896699999998</v>
      </c>
      <c r="B537">
        <v>119.6913278</v>
      </c>
      <c r="C537">
        <v>17.18385696</v>
      </c>
      <c r="D537">
        <v>2.8547859199999999</v>
      </c>
      <c r="E537">
        <f t="shared" si="280"/>
        <v>2.8547859199999999</v>
      </c>
      <c r="F537">
        <f t="shared" si="281"/>
        <v>0</v>
      </c>
      <c r="G537">
        <f t="shared" si="282"/>
        <v>0</v>
      </c>
      <c r="H537">
        <f t="shared" si="283"/>
        <v>0</v>
      </c>
      <c r="I537">
        <f t="shared" si="284"/>
        <v>0</v>
      </c>
      <c r="J537">
        <f t="shared" si="285"/>
        <v>0</v>
      </c>
      <c r="K537" s="1">
        <f t="shared" si="286"/>
        <v>0</v>
      </c>
      <c r="L537" s="1">
        <f t="shared" si="287"/>
        <v>0</v>
      </c>
      <c r="M537" s="1">
        <f t="shared" si="288"/>
        <v>0</v>
      </c>
      <c r="N537" s="1">
        <f t="shared" si="289"/>
        <v>0</v>
      </c>
      <c r="O537" s="1">
        <f t="shared" si="290"/>
        <v>0</v>
      </c>
      <c r="P537" s="1">
        <f t="shared" si="291"/>
        <v>25</v>
      </c>
      <c r="Q537" s="1" t="e">
        <f t="shared" si="292"/>
        <v>#DIV/0!</v>
      </c>
      <c r="R537" s="1" t="e">
        <f t="shared" si="293"/>
        <v>#DIV/0!</v>
      </c>
      <c r="S537" s="1" t="e">
        <f t="shared" si="294"/>
        <v>#DIV/0!</v>
      </c>
      <c r="T537" s="1" t="e">
        <f t="shared" si="295"/>
        <v>#DIV/0!</v>
      </c>
      <c r="U537" s="1" t="e">
        <f t="shared" si="296"/>
        <v>#DIV/0!</v>
      </c>
      <c r="V537">
        <f t="shared" si="297"/>
        <v>851.48</v>
      </c>
      <c r="W537">
        <f t="shared" si="298"/>
        <v>0</v>
      </c>
      <c r="X537">
        <f t="shared" si="299"/>
        <v>0</v>
      </c>
      <c r="Y537">
        <f t="shared" si="300"/>
        <v>0</v>
      </c>
      <c r="Z537">
        <f t="shared" si="301"/>
        <v>0</v>
      </c>
      <c r="AA537">
        <f t="shared" si="302"/>
        <v>0</v>
      </c>
      <c r="AC537">
        <f t="shared" si="303"/>
        <v>1045.25</v>
      </c>
      <c r="AD537">
        <f t="shared" si="304"/>
        <v>0</v>
      </c>
      <c r="AE537">
        <f t="shared" si="305"/>
        <v>0</v>
      </c>
      <c r="AF537">
        <f t="shared" si="306"/>
        <v>0</v>
      </c>
      <c r="AG537">
        <f t="shared" si="307"/>
        <v>0</v>
      </c>
      <c r="AH537">
        <f t="shared" si="308"/>
        <v>0</v>
      </c>
      <c r="AJ537">
        <f t="shared" si="309"/>
        <v>1239.01</v>
      </c>
      <c r="AK537">
        <f t="shared" si="310"/>
        <v>0</v>
      </c>
      <c r="AL537">
        <f t="shared" si="311"/>
        <v>0</v>
      </c>
      <c r="AM537">
        <f t="shared" si="312"/>
        <v>0</v>
      </c>
      <c r="AN537">
        <f t="shared" si="313"/>
        <v>0</v>
      </c>
      <c r="AO537">
        <f t="shared" si="314"/>
        <v>0</v>
      </c>
    </row>
    <row r="538" spans="1:41" x14ac:dyDescent="0.45">
      <c r="A538">
        <v>38.250285720000001</v>
      </c>
      <c r="B538">
        <v>119.2225492</v>
      </c>
      <c r="C538">
        <v>32.803474430000001</v>
      </c>
      <c r="D538">
        <v>5.3869490600000001</v>
      </c>
      <c r="E538">
        <f t="shared" si="280"/>
        <v>5.3869490600000001</v>
      </c>
      <c r="F538">
        <f t="shared" si="281"/>
        <v>0</v>
      </c>
      <c r="G538">
        <f t="shared" si="282"/>
        <v>0</v>
      </c>
      <c r="H538">
        <f t="shared" si="283"/>
        <v>0</v>
      </c>
      <c r="I538">
        <f t="shared" si="284"/>
        <v>0</v>
      </c>
      <c r="J538">
        <f t="shared" si="285"/>
        <v>0</v>
      </c>
      <c r="K538" s="1">
        <f t="shared" si="286"/>
        <v>0</v>
      </c>
      <c r="L538" s="1">
        <f t="shared" si="287"/>
        <v>0</v>
      </c>
      <c r="M538" s="1">
        <f t="shared" si="288"/>
        <v>0</v>
      </c>
      <c r="N538" s="1">
        <f t="shared" si="289"/>
        <v>0</v>
      </c>
      <c r="O538" s="1">
        <f t="shared" si="290"/>
        <v>0</v>
      </c>
      <c r="P538" s="1">
        <f t="shared" si="291"/>
        <v>25.000000000000004</v>
      </c>
      <c r="Q538" s="1" t="e">
        <f t="shared" si="292"/>
        <v>#DIV/0!</v>
      </c>
      <c r="R538" s="1" t="e">
        <f t="shared" si="293"/>
        <v>#DIV/0!</v>
      </c>
      <c r="S538" s="1" t="e">
        <f t="shared" si="294"/>
        <v>#DIV/0!</v>
      </c>
      <c r="T538" s="1" t="e">
        <f t="shared" si="295"/>
        <v>#DIV/0!</v>
      </c>
      <c r="U538" s="1" t="e">
        <f t="shared" si="296"/>
        <v>#DIV/0!</v>
      </c>
      <c r="V538">
        <f t="shared" si="297"/>
        <v>851.48000000000013</v>
      </c>
      <c r="W538">
        <f t="shared" si="298"/>
        <v>0</v>
      </c>
      <c r="X538">
        <f t="shared" si="299"/>
        <v>0</v>
      </c>
      <c r="Y538">
        <f t="shared" si="300"/>
        <v>0</v>
      </c>
      <c r="Z538">
        <f t="shared" si="301"/>
        <v>0</v>
      </c>
      <c r="AA538">
        <f t="shared" si="302"/>
        <v>0</v>
      </c>
      <c r="AC538">
        <f t="shared" si="303"/>
        <v>1045.25</v>
      </c>
      <c r="AD538">
        <f t="shared" si="304"/>
        <v>0</v>
      </c>
      <c r="AE538">
        <f t="shared" si="305"/>
        <v>0</v>
      </c>
      <c r="AF538">
        <f t="shared" si="306"/>
        <v>0</v>
      </c>
      <c r="AG538">
        <f t="shared" si="307"/>
        <v>0</v>
      </c>
      <c r="AH538">
        <f t="shared" si="308"/>
        <v>0</v>
      </c>
      <c r="AJ538">
        <f t="shared" si="309"/>
        <v>1239.0100000000002</v>
      </c>
      <c r="AK538">
        <f t="shared" si="310"/>
        <v>0</v>
      </c>
      <c r="AL538">
        <f t="shared" si="311"/>
        <v>0</v>
      </c>
      <c r="AM538">
        <f t="shared" si="312"/>
        <v>0</v>
      </c>
      <c r="AN538">
        <f t="shared" si="313"/>
        <v>0</v>
      </c>
      <c r="AO538">
        <f t="shared" si="314"/>
        <v>0</v>
      </c>
    </row>
    <row r="539" spans="1:41" x14ac:dyDescent="0.45">
      <c r="A539">
        <v>38.251343759999997</v>
      </c>
      <c r="B539">
        <v>119.633754</v>
      </c>
      <c r="C539">
        <v>56.804500580000003</v>
      </c>
      <c r="D539">
        <v>2.9383349399999998</v>
      </c>
      <c r="E539">
        <f t="shared" si="280"/>
        <v>2.9383349399999998</v>
      </c>
      <c r="F539">
        <f t="shared" si="281"/>
        <v>0</v>
      </c>
      <c r="G539">
        <f t="shared" si="282"/>
        <v>0</v>
      </c>
      <c r="H539">
        <f t="shared" si="283"/>
        <v>0</v>
      </c>
      <c r="I539">
        <f t="shared" si="284"/>
        <v>0</v>
      </c>
      <c r="J539">
        <f t="shared" si="285"/>
        <v>0</v>
      </c>
      <c r="K539" s="1">
        <f t="shared" si="286"/>
        <v>0</v>
      </c>
      <c r="L539" s="1">
        <f t="shared" si="287"/>
        <v>0</v>
      </c>
      <c r="M539" s="1">
        <f t="shared" si="288"/>
        <v>0</v>
      </c>
      <c r="N539" s="1">
        <f t="shared" si="289"/>
        <v>0</v>
      </c>
      <c r="O539" s="1">
        <f t="shared" si="290"/>
        <v>0</v>
      </c>
      <c r="P539" s="1">
        <f t="shared" si="291"/>
        <v>25</v>
      </c>
      <c r="Q539" s="1" t="e">
        <f t="shared" si="292"/>
        <v>#DIV/0!</v>
      </c>
      <c r="R539" s="1" t="e">
        <f t="shared" si="293"/>
        <v>#DIV/0!</v>
      </c>
      <c r="S539" s="1" t="e">
        <f t="shared" si="294"/>
        <v>#DIV/0!</v>
      </c>
      <c r="T539" s="1" t="e">
        <f t="shared" si="295"/>
        <v>#DIV/0!</v>
      </c>
      <c r="U539" s="1" t="e">
        <f t="shared" si="296"/>
        <v>#DIV/0!</v>
      </c>
      <c r="V539">
        <f t="shared" si="297"/>
        <v>851.48</v>
      </c>
      <c r="W539">
        <f t="shared" si="298"/>
        <v>0</v>
      </c>
      <c r="X539">
        <f t="shared" si="299"/>
        <v>0</v>
      </c>
      <c r="Y539">
        <f t="shared" si="300"/>
        <v>0</v>
      </c>
      <c r="Z539">
        <f t="shared" si="301"/>
        <v>0</v>
      </c>
      <c r="AA539">
        <f t="shared" si="302"/>
        <v>0</v>
      </c>
      <c r="AC539">
        <f t="shared" si="303"/>
        <v>1045.25</v>
      </c>
      <c r="AD539">
        <f t="shared" si="304"/>
        <v>0</v>
      </c>
      <c r="AE539">
        <f t="shared" si="305"/>
        <v>0</v>
      </c>
      <c r="AF539">
        <f t="shared" si="306"/>
        <v>0</v>
      </c>
      <c r="AG539">
        <f t="shared" si="307"/>
        <v>0</v>
      </c>
      <c r="AH539">
        <f t="shared" si="308"/>
        <v>0</v>
      </c>
      <c r="AJ539">
        <f t="shared" si="309"/>
        <v>1239.01</v>
      </c>
      <c r="AK539">
        <f t="shared" si="310"/>
        <v>0</v>
      </c>
      <c r="AL539">
        <f t="shared" si="311"/>
        <v>0</v>
      </c>
      <c r="AM539">
        <f t="shared" si="312"/>
        <v>0</v>
      </c>
      <c r="AN539">
        <f t="shared" si="313"/>
        <v>0</v>
      </c>
      <c r="AO539">
        <f t="shared" si="314"/>
        <v>0</v>
      </c>
    </row>
    <row r="540" spans="1:41" x14ac:dyDescent="0.45">
      <c r="A540">
        <v>38.259892600000001</v>
      </c>
      <c r="B540">
        <v>118.69605869999999</v>
      </c>
      <c r="C540">
        <v>55.417339320000004</v>
      </c>
      <c r="D540">
        <v>0.97944498000000002</v>
      </c>
      <c r="E540">
        <f t="shared" si="280"/>
        <v>0.97944498000000002</v>
      </c>
      <c r="F540">
        <f t="shared" si="281"/>
        <v>0</v>
      </c>
      <c r="G540">
        <f t="shared" si="282"/>
        <v>0</v>
      </c>
      <c r="H540">
        <f t="shared" si="283"/>
        <v>0</v>
      </c>
      <c r="I540">
        <f t="shared" si="284"/>
        <v>0</v>
      </c>
      <c r="J540">
        <f t="shared" si="285"/>
        <v>0</v>
      </c>
      <c r="K540" s="1">
        <f t="shared" si="286"/>
        <v>0</v>
      </c>
      <c r="L540" s="1">
        <f t="shared" si="287"/>
        <v>0</v>
      </c>
      <c r="M540" s="1">
        <f t="shared" si="288"/>
        <v>0</v>
      </c>
      <c r="N540" s="1">
        <f t="shared" si="289"/>
        <v>0</v>
      </c>
      <c r="O540" s="1">
        <f t="shared" si="290"/>
        <v>0</v>
      </c>
      <c r="P540" s="1">
        <f t="shared" si="291"/>
        <v>25</v>
      </c>
      <c r="Q540" s="1" t="e">
        <f t="shared" si="292"/>
        <v>#DIV/0!</v>
      </c>
      <c r="R540" s="1" t="e">
        <f t="shared" si="293"/>
        <v>#DIV/0!</v>
      </c>
      <c r="S540" s="1" t="e">
        <f t="shared" si="294"/>
        <v>#DIV/0!</v>
      </c>
      <c r="T540" s="1" t="e">
        <f t="shared" si="295"/>
        <v>#DIV/0!</v>
      </c>
      <c r="U540" s="1" t="e">
        <f t="shared" si="296"/>
        <v>#DIV/0!</v>
      </c>
      <c r="V540">
        <f t="shared" si="297"/>
        <v>851.48</v>
      </c>
      <c r="W540">
        <f t="shared" si="298"/>
        <v>0</v>
      </c>
      <c r="X540">
        <f t="shared" si="299"/>
        <v>0</v>
      </c>
      <c r="Y540">
        <f t="shared" si="300"/>
        <v>0</v>
      </c>
      <c r="Z540">
        <f t="shared" si="301"/>
        <v>0</v>
      </c>
      <c r="AA540">
        <f t="shared" si="302"/>
        <v>0</v>
      </c>
      <c r="AC540">
        <f t="shared" si="303"/>
        <v>1045.25</v>
      </c>
      <c r="AD540">
        <f t="shared" si="304"/>
        <v>0</v>
      </c>
      <c r="AE540">
        <f t="shared" si="305"/>
        <v>0</v>
      </c>
      <c r="AF540">
        <f t="shared" si="306"/>
        <v>0</v>
      </c>
      <c r="AG540">
        <f t="shared" si="307"/>
        <v>0</v>
      </c>
      <c r="AH540">
        <f t="shared" si="308"/>
        <v>0</v>
      </c>
      <c r="AJ540">
        <f t="shared" si="309"/>
        <v>1239.01</v>
      </c>
      <c r="AK540">
        <f t="shared" si="310"/>
        <v>0</v>
      </c>
      <c r="AL540">
        <f t="shared" si="311"/>
        <v>0</v>
      </c>
      <c r="AM540">
        <f t="shared" si="312"/>
        <v>0</v>
      </c>
      <c r="AN540">
        <f t="shared" si="313"/>
        <v>0</v>
      </c>
      <c r="AO540">
        <f t="shared" si="314"/>
        <v>0</v>
      </c>
    </row>
    <row r="541" spans="1:41" x14ac:dyDescent="0.45">
      <c r="A541">
        <v>38.262713089999998</v>
      </c>
      <c r="B541">
        <v>119.10730650000001</v>
      </c>
      <c r="C541">
        <v>37.640228270000001</v>
      </c>
      <c r="D541">
        <v>13.75140953</v>
      </c>
      <c r="E541">
        <f t="shared" si="280"/>
        <v>13.75140953</v>
      </c>
      <c r="F541">
        <f t="shared" si="281"/>
        <v>0</v>
      </c>
      <c r="G541">
        <f t="shared" si="282"/>
        <v>0</v>
      </c>
      <c r="H541">
        <f t="shared" si="283"/>
        <v>0</v>
      </c>
      <c r="I541">
        <f t="shared" si="284"/>
        <v>0</v>
      </c>
      <c r="J541">
        <f t="shared" si="285"/>
        <v>0</v>
      </c>
      <c r="K541" s="1">
        <f t="shared" si="286"/>
        <v>0</v>
      </c>
      <c r="L541" s="1">
        <f t="shared" si="287"/>
        <v>0</v>
      </c>
      <c r="M541" s="1">
        <f t="shared" si="288"/>
        <v>0</v>
      </c>
      <c r="N541" s="1">
        <f t="shared" si="289"/>
        <v>0</v>
      </c>
      <c r="O541" s="1">
        <f t="shared" si="290"/>
        <v>0</v>
      </c>
      <c r="P541" s="1">
        <f t="shared" si="291"/>
        <v>25</v>
      </c>
      <c r="Q541" s="1" t="e">
        <f t="shared" si="292"/>
        <v>#DIV/0!</v>
      </c>
      <c r="R541" s="1" t="e">
        <f t="shared" si="293"/>
        <v>#DIV/0!</v>
      </c>
      <c r="S541" s="1" t="e">
        <f t="shared" si="294"/>
        <v>#DIV/0!</v>
      </c>
      <c r="T541" s="1" t="e">
        <f t="shared" si="295"/>
        <v>#DIV/0!</v>
      </c>
      <c r="U541" s="1" t="e">
        <f t="shared" si="296"/>
        <v>#DIV/0!</v>
      </c>
      <c r="V541">
        <f t="shared" si="297"/>
        <v>851.48</v>
      </c>
      <c r="W541">
        <f t="shared" si="298"/>
        <v>0</v>
      </c>
      <c r="X541">
        <f t="shared" si="299"/>
        <v>0</v>
      </c>
      <c r="Y541">
        <f t="shared" si="300"/>
        <v>0</v>
      </c>
      <c r="Z541">
        <f t="shared" si="301"/>
        <v>0</v>
      </c>
      <c r="AA541">
        <f t="shared" si="302"/>
        <v>0</v>
      </c>
      <c r="AC541">
        <f t="shared" si="303"/>
        <v>1045.25</v>
      </c>
      <c r="AD541">
        <f t="shared" si="304"/>
        <v>0</v>
      </c>
      <c r="AE541">
        <f t="shared" si="305"/>
        <v>0</v>
      </c>
      <c r="AF541">
        <f t="shared" si="306"/>
        <v>0</v>
      </c>
      <c r="AG541">
        <f t="shared" si="307"/>
        <v>0</v>
      </c>
      <c r="AH541">
        <f t="shared" si="308"/>
        <v>0</v>
      </c>
      <c r="AJ541">
        <f t="shared" si="309"/>
        <v>1239.01</v>
      </c>
      <c r="AK541">
        <f t="shared" si="310"/>
        <v>0</v>
      </c>
      <c r="AL541">
        <f t="shared" si="311"/>
        <v>0</v>
      </c>
      <c r="AM541">
        <f t="shared" si="312"/>
        <v>0</v>
      </c>
      <c r="AN541">
        <f t="shared" si="313"/>
        <v>0</v>
      </c>
      <c r="AO541">
        <f t="shared" si="314"/>
        <v>0</v>
      </c>
    </row>
    <row r="542" spans="1:41" x14ac:dyDescent="0.45">
      <c r="A542">
        <v>38.265715499999999</v>
      </c>
      <c r="B542">
        <v>90.913355879999997</v>
      </c>
      <c r="C542">
        <v>20.624670030000001</v>
      </c>
      <c r="D542">
        <v>11.57835674</v>
      </c>
      <c r="E542">
        <f t="shared" si="280"/>
        <v>11.57835674</v>
      </c>
      <c r="F542">
        <f t="shared" si="281"/>
        <v>0</v>
      </c>
      <c r="G542">
        <f t="shared" si="282"/>
        <v>0</v>
      </c>
      <c r="H542">
        <f t="shared" si="283"/>
        <v>0</v>
      </c>
      <c r="I542">
        <f t="shared" si="284"/>
        <v>0</v>
      </c>
      <c r="J542">
        <f t="shared" si="285"/>
        <v>0</v>
      </c>
      <c r="K542" s="1">
        <f t="shared" si="286"/>
        <v>0</v>
      </c>
      <c r="L542" s="1">
        <f t="shared" si="287"/>
        <v>0</v>
      </c>
      <c r="M542" s="1">
        <f t="shared" si="288"/>
        <v>0</v>
      </c>
      <c r="N542" s="1">
        <f t="shared" si="289"/>
        <v>0</v>
      </c>
      <c r="O542" s="1">
        <f t="shared" si="290"/>
        <v>0</v>
      </c>
      <c r="P542" s="1">
        <f t="shared" si="291"/>
        <v>24.999999999999996</v>
      </c>
      <c r="Q542" s="1" t="e">
        <f t="shared" si="292"/>
        <v>#DIV/0!</v>
      </c>
      <c r="R542" s="1" t="e">
        <f t="shared" si="293"/>
        <v>#DIV/0!</v>
      </c>
      <c r="S542" s="1" t="e">
        <f t="shared" si="294"/>
        <v>#DIV/0!</v>
      </c>
      <c r="T542" s="1" t="e">
        <f t="shared" si="295"/>
        <v>#DIV/0!</v>
      </c>
      <c r="U542" s="1" t="e">
        <f t="shared" si="296"/>
        <v>#DIV/0!</v>
      </c>
      <c r="V542">
        <f t="shared" si="297"/>
        <v>851.4799999999999</v>
      </c>
      <c r="W542">
        <f t="shared" si="298"/>
        <v>0</v>
      </c>
      <c r="X542">
        <f t="shared" si="299"/>
        <v>0</v>
      </c>
      <c r="Y542">
        <f t="shared" si="300"/>
        <v>0</v>
      </c>
      <c r="Z542">
        <f t="shared" si="301"/>
        <v>0</v>
      </c>
      <c r="AA542">
        <f t="shared" si="302"/>
        <v>0</v>
      </c>
      <c r="AC542">
        <f t="shared" si="303"/>
        <v>1045.25</v>
      </c>
      <c r="AD542">
        <f t="shared" si="304"/>
        <v>0</v>
      </c>
      <c r="AE542">
        <f t="shared" si="305"/>
        <v>0</v>
      </c>
      <c r="AF542">
        <f t="shared" si="306"/>
        <v>0</v>
      </c>
      <c r="AG542">
        <f t="shared" si="307"/>
        <v>0</v>
      </c>
      <c r="AH542">
        <f t="shared" si="308"/>
        <v>0</v>
      </c>
      <c r="AJ542">
        <f t="shared" si="309"/>
        <v>1239.0099999999998</v>
      </c>
      <c r="AK542">
        <f t="shared" si="310"/>
        <v>0</v>
      </c>
      <c r="AL542">
        <f t="shared" si="311"/>
        <v>0</v>
      </c>
      <c r="AM542">
        <f t="shared" si="312"/>
        <v>0</v>
      </c>
      <c r="AN542">
        <f t="shared" si="313"/>
        <v>0</v>
      </c>
      <c r="AO542">
        <f t="shared" si="314"/>
        <v>0</v>
      </c>
    </row>
    <row r="543" spans="1:41" x14ac:dyDescent="0.45">
      <c r="A543">
        <v>38.289458420000003</v>
      </c>
      <c r="B543">
        <v>119.2881088</v>
      </c>
      <c r="C543">
        <v>39.583812709999997</v>
      </c>
      <c r="D543">
        <v>6.1264290800000003</v>
      </c>
      <c r="E543">
        <f t="shared" si="280"/>
        <v>6.1264290800000003</v>
      </c>
      <c r="F543">
        <f t="shared" si="281"/>
        <v>0</v>
      </c>
      <c r="G543">
        <f t="shared" si="282"/>
        <v>0</v>
      </c>
      <c r="H543">
        <f t="shared" si="283"/>
        <v>0</v>
      </c>
      <c r="I543">
        <f t="shared" si="284"/>
        <v>0</v>
      </c>
      <c r="J543">
        <f t="shared" si="285"/>
        <v>0</v>
      </c>
      <c r="K543" s="1">
        <f t="shared" si="286"/>
        <v>0</v>
      </c>
      <c r="L543" s="1">
        <f t="shared" si="287"/>
        <v>0</v>
      </c>
      <c r="M543" s="1">
        <f t="shared" si="288"/>
        <v>0</v>
      </c>
      <c r="N543" s="1">
        <f t="shared" si="289"/>
        <v>0</v>
      </c>
      <c r="O543" s="1">
        <f t="shared" si="290"/>
        <v>0</v>
      </c>
      <c r="P543" s="1">
        <f t="shared" si="291"/>
        <v>25</v>
      </c>
      <c r="Q543" s="1" t="e">
        <f t="shared" si="292"/>
        <v>#DIV/0!</v>
      </c>
      <c r="R543" s="1" t="e">
        <f t="shared" si="293"/>
        <v>#DIV/0!</v>
      </c>
      <c r="S543" s="1" t="e">
        <f t="shared" si="294"/>
        <v>#DIV/0!</v>
      </c>
      <c r="T543" s="1" t="e">
        <f t="shared" si="295"/>
        <v>#DIV/0!</v>
      </c>
      <c r="U543" s="1" t="e">
        <f t="shared" si="296"/>
        <v>#DIV/0!</v>
      </c>
      <c r="V543">
        <f t="shared" si="297"/>
        <v>851.48</v>
      </c>
      <c r="W543">
        <f t="shared" si="298"/>
        <v>0</v>
      </c>
      <c r="X543">
        <f t="shared" si="299"/>
        <v>0</v>
      </c>
      <c r="Y543">
        <f t="shared" si="300"/>
        <v>0</v>
      </c>
      <c r="Z543">
        <f t="shared" si="301"/>
        <v>0</v>
      </c>
      <c r="AA543">
        <f t="shared" si="302"/>
        <v>0</v>
      </c>
      <c r="AC543">
        <f t="shared" si="303"/>
        <v>1045.25</v>
      </c>
      <c r="AD543">
        <f t="shared" si="304"/>
        <v>0</v>
      </c>
      <c r="AE543">
        <f t="shared" si="305"/>
        <v>0</v>
      </c>
      <c r="AF543">
        <f t="shared" si="306"/>
        <v>0</v>
      </c>
      <c r="AG543">
        <f t="shared" si="307"/>
        <v>0</v>
      </c>
      <c r="AH543">
        <f t="shared" si="308"/>
        <v>0</v>
      </c>
      <c r="AJ543">
        <f t="shared" si="309"/>
        <v>1239.01</v>
      </c>
      <c r="AK543">
        <f t="shared" si="310"/>
        <v>0</v>
      </c>
      <c r="AL543">
        <f t="shared" si="311"/>
        <v>0</v>
      </c>
      <c r="AM543">
        <f t="shared" si="312"/>
        <v>0</v>
      </c>
      <c r="AN543">
        <f t="shared" si="313"/>
        <v>0</v>
      </c>
      <c r="AO543">
        <f t="shared" si="314"/>
        <v>0</v>
      </c>
    </row>
    <row r="544" spans="1:41" x14ac:dyDescent="0.45">
      <c r="A544">
        <v>38.289542429999997</v>
      </c>
      <c r="B544">
        <v>90.731894319999995</v>
      </c>
      <c r="C544">
        <v>20.624670030000001</v>
      </c>
      <c r="D544">
        <v>3.6794528999999998</v>
      </c>
      <c r="E544">
        <f t="shared" si="280"/>
        <v>3.6794528999999998</v>
      </c>
      <c r="F544">
        <f t="shared" si="281"/>
        <v>0</v>
      </c>
      <c r="G544">
        <f t="shared" si="282"/>
        <v>0</v>
      </c>
      <c r="H544">
        <f t="shared" si="283"/>
        <v>0</v>
      </c>
      <c r="I544">
        <f t="shared" si="284"/>
        <v>0</v>
      </c>
      <c r="J544">
        <f t="shared" si="285"/>
        <v>0</v>
      </c>
      <c r="K544" s="1">
        <f t="shared" si="286"/>
        <v>0</v>
      </c>
      <c r="L544" s="1">
        <f t="shared" si="287"/>
        <v>0</v>
      </c>
      <c r="M544" s="1">
        <f t="shared" si="288"/>
        <v>0</v>
      </c>
      <c r="N544" s="1">
        <f t="shared" si="289"/>
        <v>0</v>
      </c>
      <c r="O544" s="1">
        <f t="shared" si="290"/>
        <v>0</v>
      </c>
      <c r="P544" s="1">
        <f t="shared" si="291"/>
        <v>25</v>
      </c>
      <c r="Q544" s="1" t="e">
        <f t="shared" si="292"/>
        <v>#DIV/0!</v>
      </c>
      <c r="R544" s="1" t="e">
        <f t="shared" si="293"/>
        <v>#DIV/0!</v>
      </c>
      <c r="S544" s="1" t="e">
        <f t="shared" si="294"/>
        <v>#DIV/0!</v>
      </c>
      <c r="T544" s="1" t="e">
        <f t="shared" si="295"/>
        <v>#DIV/0!</v>
      </c>
      <c r="U544" s="1" t="e">
        <f t="shared" si="296"/>
        <v>#DIV/0!</v>
      </c>
      <c r="V544">
        <f t="shared" si="297"/>
        <v>851.48</v>
      </c>
      <c r="W544">
        <f t="shared" si="298"/>
        <v>0</v>
      </c>
      <c r="X544">
        <f t="shared" si="299"/>
        <v>0</v>
      </c>
      <c r="Y544">
        <f t="shared" si="300"/>
        <v>0</v>
      </c>
      <c r="Z544">
        <f t="shared" si="301"/>
        <v>0</v>
      </c>
      <c r="AA544">
        <f t="shared" si="302"/>
        <v>0</v>
      </c>
      <c r="AC544">
        <f t="shared" si="303"/>
        <v>1045.25</v>
      </c>
      <c r="AD544">
        <f t="shared" si="304"/>
        <v>0</v>
      </c>
      <c r="AE544">
        <f t="shared" si="305"/>
        <v>0</v>
      </c>
      <c r="AF544">
        <f t="shared" si="306"/>
        <v>0</v>
      </c>
      <c r="AG544">
        <f t="shared" si="307"/>
        <v>0</v>
      </c>
      <c r="AH544">
        <f t="shared" si="308"/>
        <v>0</v>
      </c>
      <c r="AJ544">
        <f t="shared" si="309"/>
        <v>1239.01</v>
      </c>
      <c r="AK544">
        <f t="shared" si="310"/>
        <v>0</v>
      </c>
      <c r="AL544">
        <f t="shared" si="311"/>
        <v>0</v>
      </c>
      <c r="AM544">
        <f t="shared" si="312"/>
        <v>0</v>
      </c>
      <c r="AN544">
        <f t="shared" si="313"/>
        <v>0</v>
      </c>
      <c r="AO544">
        <f t="shared" si="314"/>
        <v>0</v>
      </c>
    </row>
    <row r="545" spans="1:41" x14ac:dyDescent="0.45">
      <c r="A545">
        <v>38.295955970000001</v>
      </c>
      <c r="B545">
        <v>116.8847896</v>
      </c>
      <c r="C545">
        <v>19.537851329999999</v>
      </c>
      <c r="D545">
        <v>12.39244747</v>
      </c>
      <c r="E545">
        <f t="shared" si="280"/>
        <v>12.39244747</v>
      </c>
      <c r="F545">
        <f t="shared" si="281"/>
        <v>0</v>
      </c>
      <c r="G545">
        <f t="shared" si="282"/>
        <v>0</v>
      </c>
      <c r="H545">
        <f t="shared" si="283"/>
        <v>0</v>
      </c>
      <c r="I545">
        <f t="shared" si="284"/>
        <v>0</v>
      </c>
      <c r="J545">
        <f t="shared" si="285"/>
        <v>0</v>
      </c>
      <c r="K545" s="1">
        <f t="shared" si="286"/>
        <v>0</v>
      </c>
      <c r="L545" s="1">
        <f t="shared" si="287"/>
        <v>0</v>
      </c>
      <c r="M545" s="1">
        <f t="shared" si="288"/>
        <v>0</v>
      </c>
      <c r="N545" s="1">
        <f t="shared" si="289"/>
        <v>0</v>
      </c>
      <c r="O545" s="1">
        <f t="shared" si="290"/>
        <v>0</v>
      </c>
      <c r="P545" s="1">
        <f t="shared" si="291"/>
        <v>25</v>
      </c>
      <c r="Q545" s="1" t="e">
        <f t="shared" si="292"/>
        <v>#DIV/0!</v>
      </c>
      <c r="R545" s="1" t="e">
        <f t="shared" si="293"/>
        <v>#DIV/0!</v>
      </c>
      <c r="S545" s="1" t="e">
        <f t="shared" si="294"/>
        <v>#DIV/0!</v>
      </c>
      <c r="T545" s="1" t="e">
        <f t="shared" si="295"/>
        <v>#DIV/0!</v>
      </c>
      <c r="U545" s="1" t="e">
        <f t="shared" si="296"/>
        <v>#DIV/0!</v>
      </c>
      <c r="V545">
        <f t="shared" si="297"/>
        <v>851.48</v>
      </c>
      <c r="W545">
        <f t="shared" si="298"/>
        <v>0</v>
      </c>
      <c r="X545">
        <f t="shared" si="299"/>
        <v>0</v>
      </c>
      <c r="Y545">
        <f t="shared" si="300"/>
        <v>0</v>
      </c>
      <c r="Z545">
        <f t="shared" si="301"/>
        <v>0</v>
      </c>
      <c r="AA545">
        <f t="shared" si="302"/>
        <v>0</v>
      </c>
      <c r="AC545">
        <f t="shared" si="303"/>
        <v>1045.25</v>
      </c>
      <c r="AD545">
        <f t="shared" si="304"/>
        <v>0</v>
      </c>
      <c r="AE545">
        <f t="shared" si="305"/>
        <v>0</v>
      </c>
      <c r="AF545">
        <f t="shared" si="306"/>
        <v>0</v>
      </c>
      <c r="AG545">
        <f t="shared" si="307"/>
        <v>0</v>
      </c>
      <c r="AH545">
        <f t="shared" si="308"/>
        <v>0</v>
      </c>
      <c r="AJ545">
        <f t="shared" si="309"/>
        <v>1239.01</v>
      </c>
      <c r="AK545">
        <f t="shared" si="310"/>
        <v>0</v>
      </c>
      <c r="AL545">
        <f t="shared" si="311"/>
        <v>0</v>
      </c>
      <c r="AM545">
        <f t="shared" si="312"/>
        <v>0</v>
      </c>
      <c r="AN545">
        <f t="shared" si="313"/>
        <v>0</v>
      </c>
      <c r="AO545">
        <f t="shared" si="314"/>
        <v>0</v>
      </c>
    </row>
    <row r="546" spans="1:41" x14ac:dyDescent="0.45">
      <c r="A546">
        <v>38.296747269999997</v>
      </c>
      <c r="B546">
        <v>119.6419174</v>
      </c>
      <c r="C546">
        <v>28.843961719999999</v>
      </c>
      <c r="D546">
        <v>4.794384</v>
      </c>
      <c r="E546">
        <f t="shared" si="280"/>
        <v>4.794384</v>
      </c>
      <c r="F546">
        <f t="shared" si="281"/>
        <v>0</v>
      </c>
      <c r="G546">
        <f t="shared" si="282"/>
        <v>0</v>
      </c>
      <c r="H546">
        <f t="shared" si="283"/>
        <v>0</v>
      </c>
      <c r="I546">
        <f t="shared" si="284"/>
        <v>0</v>
      </c>
      <c r="J546">
        <f t="shared" si="285"/>
        <v>0</v>
      </c>
      <c r="K546" s="1">
        <f t="shared" si="286"/>
        <v>0</v>
      </c>
      <c r="L546" s="1">
        <f t="shared" si="287"/>
        <v>0</v>
      </c>
      <c r="M546" s="1">
        <f t="shared" si="288"/>
        <v>0</v>
      </c>
      <c r="N546" s="1">
        <f t="shared" si="289"/>
        <v>0</v>
      </c>
      <c r="O546" s="1">
        <f t="shared" si="290"/>
        <v>0</v>
      </c>
      <c r="P546" s="1">
        <f t="shared" si="291"/>
        <v>25</v>
      </c>
      <c r="Q546" s="1" t="e">
        <f t="shared" si="292"/>
        <v>#DIV/0!</v>
      </c>
      <c r="R546" s="1" t="e">
        <f t="shared" si="293"/>
        <v>#DIV/0!</v>
      </c>
      <c r="S546" s="1" t="e">
        <f t="shared" si="294"/>
        <v>#DIV/0!</v>
      </c>
      <c r="T546" s="1" t="e">
        <f t="shared" si="295"/>
        <v>#DIV/0!</v>
      </c>
      <c r="U546" s="1" t="e">
        <f t="shared" si="296"/>
        <v>#DIV/0!</v>
      </c>
      <c r="V546">
        <f t="shared" si="297"/>
        <v>851.48</v>
      </c>
      <c r="W546">
        <f t="shared" si="298"/>
        <v>0</v>
      </c>
      <c r="X546">
        <f t="shared" si="299"/>
        <v>0</v>
      </c>
      <c r="Y546">
        <f t="shared" si="300"/>
        <v>0</v>
      </c>
      <c r="Z546">
        <f t="shared" si="301"/>
        <v>0</v>
      </c>
      <c r="AA546">
        <f t="shared" si="302"/>
        <v>0</v>
      </c>
      <c r="AC546">
        <f t="shared" si="303"/>
        <v>1045.25</v>
      </c>
      <c r="AD546">
        <f t="shared" si="304"/>
        <v>0</v>
      </c>
      <c r="AE546">
        <f t="shared" si="305"/>
        <v>0</v>
      </c>
      <c r="AF546">
        <f t="shared" si="306"/>
        <v>0</v>
      </c>
      <c r="AG546">
        <f t="shared" si="307"/>
        <v>0</v>
      </c>
      <c r="AH546">
        <f t="shared" si="308"/>
        <v>0</v>
      </c>
      <c r="AJ546">
        <f t="shared" si="309"/>
        <v>1239.01</v>
      </c>
      <c r="AK546">
        <f t="shared" si="310"/>
        <v>0</v>
      </c>
      <c r="AL546">
        <f t="shared" si="311"/>
        <v>0</v>
      </c>
      <c r="AM546">
        <f t="shared" si="312"/>
        <v>0</v>
      </c>
      <c r="AN546">
        <f t="shared" si="313"/>
        <v>0</v>
      </c>
      <c r="AO546">
        <f t="shared" si="314"/>
        <v>0</v>
      </c>
    </row>
    <row r="547" spans="1:41" x14ac:dyDescent="0.45">
      <c r="A547">
        <v>38.298480509999997</v>
      </c>
      <c r="B547">
        <v>90.435417950000001</v>
      </c>
      <c r="C547">
        <v>4.3951144199999996</v>
      </c>
      <c r="D547">
        <v>1.593472</v>
      </c>
      <c r="E547">
        <f t="shared" si="280"/>
        <v>1.593472</v>
      </c>
      <c r="F547">
        <f t="shared" si="281"/>
        <v>0</v>
      </c>
      <c r="G547">
        <f t="shared" si="282"/>
        <v>0</v>
      </c>
      <c r="H547">
        <f t="shared" si="283"/>
        <v>0</v>
      </c>
      <c r="I547">
        <f t="shared" si="284"/>
        <v>0</v>
      </c>
      <c r="J547">
        <f t="shared" si="285"/>
        <v>0</v>
      </c>
      <c r="K547" s="1">
        <f t="shared" si="286"/>
        <v>0</v>
      </c>
      <c r="L547" s="1">
        <f t="shared" si="287"/>
        <v>0</v>
      </c>
      <c r="M547" s="1">
        <f t="shared" si="288"/>
        <v>0</v>
      </c>
      <c r="N547" s="1">
        <f t="shared" si="289"/>
        <v>0</v>
      </c>
      <c r="O547" s="1">
        <f t="shared" si="290"/>
        <v>0</v>
      </c>
      <c r="P547" s="1">
        <f t="shared" si="291"/>
        <v>24.999999999999996</v>
      </c>
      <c r="Q547" s="1" t="e">
        <f t="shared" si="292"/>
        <v>#DIV/0!</v>
      </c>
      <c r="R547" s="1" t="e">
        <f t="shared" si="293"/>
        <v>#DIV/0!</v>
      </c>
      <c r="S547" s="1" t="e">
        <f t="shared" si="294"/>
        <v>#DIV/0!</v>
      </c>
      <c r="T547" s="1" t="e">
        <f t="shared" si="295"/>
        <v>#DIV/0!</v>
      </c>
      <c r="U547" s="1" t="e">
        <f t="shared" si="296"/>
        <v>#DIV/0!</v>
      </c>
      <c r="V547">
        <f t="shared" si="297"/>
        <v>851.4799999999999</v>
      </c>
      <c r="W547">
        <f t="shared" si="298"/>
        <v>0</v>
      </c>
      <c r="X547">
        <f t="shared" si="299"/>
        <v>0</v>
      </c>
      <c r="Y547">
        <f t="shared" si="300"/>
        <v>0</v>
      </c>
      <c r="Z547">
        <f t="shared" si="301"/>
        <v>0</v>
      </c>
      <c r="AA547">
        <f t="shared" si="302"/>
        <v>0</v>
      </c>
      <c r="AC547">
        <f t="shared" si="303"/>
        <v>1045.25</v>
      </c>
      <c r="AD547">
        <f t="shared" si="304"/>
        <v>0</v>
      </c>
      <c r="AE547">
        <f t="shared" si="305"/>
        <v>0</v>
      </c>
      <c r="AF547">
        <f t="shared" si="306"/>
        <v>0</v>
      </c>
      <c r="AG547">
        <f t="shared" si="307"/>
        <v>0</v>
      </c>
      <c r="AH547">
        <f t="shared" si="308"/>
        <v>0</v>
      </c>
      <c r="AJ547">
        <f t="shared" si="309"/>
        <v>1239.0099999999998</v>
      </c>
      <c r="AK547">
        <f t="shared" si="310"/>
        <v>0</v>
      </c>
      <c r="AL547">
        <f t="shared" si="311"/>
        <v>0</v>
      </c>
      <c r="AM547">
        <f t="shared" si="312"/>
        <v>0</v>
      </c>
      <c r="AN547">
        <f t="shared" si="313"/>
        <v>0</v>
      </c>
      <c r="AO547">
        <f t="shared" si="314"/>
        <v>0</v>
      </c>
    </row>
    <row r="548" spans="1:41" x14ac:dyDescent="0.45">
      <c r="A548">
        <v>38.303885620000003</v>
      </c>
      <c r="B548">
        <v>90.846839040000006</v>
      </c>
      <c r="C548">
        <v>20.624670030000001</v>
      </c>
      <c r="D548">
        <v>0.67244499999999996</v>
      </c>
      <c r="E548">
        <f t="shared" si="280"/>
        <v>0.67244499999999996</v>
      </c>
      <c r="F548">
        <f t="shared" si="281"/>
        <v>0</v>
      </c>
      <c r="G548">
        <f t="shared" si="282"/>
        <v>0</v>
      </c>
      <c r="H548">
        <f t="shared" si="283"/>
        <v>0</v>
      </c>
      <c r="I548">
        <f t="shared" si="284"/>
        <v>0</v>
      </c>
      <c r="J548">
        <f t="shared" si="285"/>
        <v>0</v>
      </c>
      <c r="K548" s="1">
        <f t="shared" si="286"/>
        <v>0</v>
      </c>
      <c r="L548" s="1">
        <f t="shared" si="287"/>
        <v>0</v>
      </c>
      <c r="M548" s="1">
        <f t="shared" si="288"/>
        <v>0</v>
      </c>
      <c r="N548" s="1">
        <f t="shared" si="289"/>
        <v>0</v>
      </c>
      <c r="O548" s="1">
        <f t="shared" si="290"/>
        <v>0</v>
      </c>
      <c r="P548" s="1">
        <f t="shared" si="291"/>
        <v>25.000000000000004</v>
      </c>
      <c r="Q548" s="1" t="e">
        <f t="shared" si="292"/>
        <v>#DIV/0!</v>
      </c>
      <c r="R548" s="1" t="e">
        <f t="shared" si="293"/>
        <v>#DIV/0!</v>
      </c>
      <c r="S548" s="1" t="e">
        <f t="shared" si="294"/>
        <v>#DIV/0!</v>
      </c>
      <c r="T548" s="1" t="e">
        <f t="shared" si="295"/>
        <v>#DIV/0!</v>
      </c>
      <c r="U548" s="1" t="e">
        <f t="shared" si="296"/>
        <v>#DIV/0!</v>
      </c>
      <c r="V548">
        <f t="shared" si="297"/>
        <v>851.48000000000013</v>
      </c>
      <c r="W548">
        <f t="shared" si="298"/>
        <v>0</v>
      </c>
      <c r="X548">
        <f t="shared" si="299"/>
        <v>0</v>
      </c>
      <c r="Y548">
        <f t="shared" si="300"/>
        <v>0</v>
      </c>
      <c r="Z548">
        <f t="shared" si="301"/>
        <v>0</v>
      </c>
      <c r="AA548">
        <f t="shared" si="302"/>
        <v>0</v>
      </c>
      <c r="AC548">
        <f t="shared" si="303"/>
        <v>1045.25</v>
      </c>
      <c r="AD548">
        <f t="shared" si="304"/>
        <v>0</v>
      </c>
      <c r="AE548">
        <f t="shared" si="305"/>
        <v>0</v>
      </c>
      <c r="AF548">
        <f t="shared" si="306"/>
        <v>0</v>
      </c>
      <c r="AG548">
        <f t="shared" si="307"/>
        <v>0</v>
      </c>
      <c r="AH548">
        <f t="shared" si="308"/>
        <v>0</v>
      </c>
      <c r="AJ548">
        <f t="shared" si="309"/>
        <v>1239.0100000000002</v>
      </c>
      <c r="AK548">
        <f t="shared" si="310"/>
        <v>0</v>
      </c>
      <c r="AL548">
        <f t="shared" si="311"/>
        <v>0</v>
      </c>
      <c r="AM548">
        <f t="shared" si="312"/>
        <v>0</v>
      </c>
      <c r="AN548">
        <f t="shared" si="313"/>
        <v>0</v>
      </c>
      <c r="AO548">
        <f t="shared" si="314"/>
        <v>0</v>
      </c>
    </row>
    <row r="549" spans="1:41" x14ac:dyDescent="0.45">
      <c r="A549">
        <v>38.308150509999997</v>
      </c>
      <c r="B549">
        <v>119.11515780000001</v>
      </c>
      <c r="C549">
        <v>38.970470429999999</v>
      </c>
      <c r="D549">
        <v>6.3663930899999999</v>
      </c>
      <c r="E549">
        <f t="shared" si="280"/>
        <v>6.3663930899999999</v>
      </c>
      <c r="F549">
        <f t="shared" si="281"/>
        <v>0</v>
      </c>
      <c r="G549">
        <f t="shared" si="282"/>
        <v>0</v>
      </c>
      <c r="H549">
        <f t="shared" si="283"/>
        <v>0</v>
      </c>
      <c r="I549">
        <f t="shared" si="284"/>
        <v>0</v>
      </c>
      <c r="J549">
        <f t="shared" si="285"/>
        <v>0</v>
      </c>
      <c r="K549" s="1">
        <f t="shared" si="286"/>
        <v>0</v>
      </c>
      <c r="L549" s="1">
        <f t="shared" si="287"/>
        <v>0</v>
      </c>
      <c r="M549" s="1">
        <f t="shared" si="288"/>
        <v>0</v>
      </c>
      <c r="N549" s="1">
        <f t="shared" si="289"/>
        <v>0</v>
      </c>
      <c r="O549" s="1">
        <f t="shared" si="290"/>
        <v>0</v>
      </c>
      <c r="P549" s="1">
        <f t="shared" si="291"/>
        <v>25</v>
      </c>
      <c r="Q549" s="1" t="e">
        <f t="shared" si="292"/>
        <v>#DIV/0!</v>
      </c>
      <c r="R549" s="1" t="e">
        <f t="shared" si="293"/>
        <v>#DIV/0!</v>
      </c>
      <c r="S549" s="1" t="e">
        <f t="shared" si="294"/>
        <v>#DIV/0!</v>
      </c>
      <c r="T549" s="1" t="e">
        <f t="shared" si="295"/>
        <v>#DIV/0!</v>
      </c>
      <c r="U549" s="1" t="e">
        <f t="shared" si="296"/>
        <v>#DIV/0!</v>
      </c>
      <c r="V549">
        <f t="shared" si="297"/>
        <v>851.48</v>
      </c>
      <c r="W549">
        <f t="shared" si="298"/>
        <v>0</v>
      </c>
      <c r="X549">
        <f t="shared" si="299"/>
        <v>0</v>
      </c>
      <c r="Y549">
        <f t="shared" si="300"/>
        <v>0</v>
      </c>
      <c r="Z549">
        <f t="shared" si="301"/>
        <v>0</v>
      </c>
      <c r="AA549">
        <f t="shared" si="302"/>
        <v>0</v>
      </c>
      <c r="AC549">
        <f t="shared" si="303"/>
        <v>1045.25</v>
      </c>
      <c r="AD549">
        <f t="shared" si="304"/>
        <v>0</v>
      </c>
      <c r="AE549">
        <f t="shared" si="305"/>
        <v>0</v>
      </c>
      <c r="AF549">
        <f t="shared" si="306"/>
        <v>0</v>
      </c>
      <c r="AG549">
        <f t="shared" si="307"/>
        <v>0</v>
      </c>
      <c r="AH549">
        <f t="shared" si="308"/>
        <v>0</v>
      </c>
      <c r="AJ549">
        <f t="shared" si="309"/>
        <v>1239.01</v>
      </c>
      <c r="AK549">
        <f t="shared" si="310"/>
        <v>0</v>
      </c>
      <c r="AL549">
        <f t="shared" si="311"/>
        <v>0</v>
      </c>
      <c r="AM549">
        <f t="shared" si="312"/>
        <v>0</v>
      </c>
      <c r="AN549">
        <f t="shared" si="313"/>
        <v>0</v>
      </c>
      <c r="AO549">
        <f t="shared" si="314"/>
        <v>0</v>
      </c>
    </row>
    <row r="550" spans="1:41" x14ac:dyDescent="0.45">
      <c r="A550">
        <v>38.308268609999999</v>
      </c>
      <c r="B550">
        <v>120.3497137</v>
      </c>
      <c r="C550">
        <v>8.1576242400000005</v>
      </c>
      <c r="D550">
        <v>12.132841109999999</v>
      </c>
      <c r="E550">
        <f t="shared" si="280"/>
        <v>8.1576242400000005</v>
      </c>
      <c r="F550">
        <f t="shared" si="281"/>
        <v>0</v>
      </c>
      <c r="G550">
        <f t="shared" si="282"/>
        <v>0</v>
      </c>
      <c r="H550">
        <f t="shared" si="283"/>
        <v>0</v>
      </c>
      <c r="I550">
        <f t="shared" si="284"/>
        <v>0</v>
      </c>
      <c r="J550">
        <f t="shared" si="285"/>
        <v>0</v>
      </c>
      <c r="K550" s="1">
        <f t="shared" si="286"/>
        <v>0</v>
      </c>
      <c r="L550" s="1">
        <f t="shared" si="287"/>
        <v>0</v>
      </c>
      <c r="M550" s="1">
        <f t="shared" si="288"/>
        <v>0</v>
      </c>
      <c r="N550" s="1">
        <f t="shared" si="289"/>
        <v>0</v>
      </c>
      <c r="O550" s="1">
        <f t="shared" si="290"/>
        <v>0</v>
      </c>
      <c r="P550" s="1">
        <f t="shared" si="291"/>
        <v>16.808973607336725</v>
      </c>
      <c r="Q550" s="1" t="e">
        <f t="shared" si="292"/>
        <v>#DIV/0!</v>
      </c>
      <c r="R550" s="1" t="e">
        <f t="shared" si="293"/>
        <v>#DIV/0!</v>
      </c>
      <c r="S550" s="1" t="e">
        <f t="shared" si="294"/>
        <v>#DIV/0!</v>
      </c>
      <c r="T550" s="1" t="e">
        <f t="shared" si="295"/>
        <v>#DIV/0!</v>
      </c>
      <c r="U550" s="1" t="e">
        <f t="shared" si="296"/>
        <v>#DIV/0!</v>
      </c>
      <c r="V550">
        <f t="shared" si="297"/>
        <v>585.27164223844352</v>
      </c>
      <c r="W550">
        <f t="shared" si="298"/>
        <v>0</v>
      </c>
      <c r="X550">
        <f t="shared" si="299"/>
        <v>0</v>
      </c>
      <c r="Y550">
        <f t="shared" si="300"/>
        <v>0</v>
      </c>
      <c r="Z550">
        <f t="shared" si="301"/>
        <v>0</v>
      </c>
      <c r="AA550">
        <f t="shared" si="302"/>
        <v>0</v>
      </c>
      <c r="AC550">
        <f t="shared" si="303"/>
        <v>717.60894429346899</v>
      </c>
      <c r="AD550">
        <f t="shared" si="304"/>
        <v>0</v>
      </c>
      <c r="AE550">
        <f t="shared" si="305"/>
        <v>0</v>
      </c>
      <c r="AF550">
        <f t="shared" si="306"/>
        <v>0</v>
      </c>
      <c r="AG550">
        <f t="shared" si="307"/>
        <v>0</v>
      </c>
      <c r="AH550">
        <f t="shared" si="308"/>
        <v>0</v>
      </c>
      <c r="AJ550">
        <f t="shared" si="309"/>
        <v>849.93624634849448</v>
      </c>
      <c r="AK550">
        <f t="shared" si="310"/>
        <v>0</v>
      </c>
      <c r="AL550">
        <f t="shared" si="311"/>
        <v>0</v>
      </c>
      <c r="AM550">
        <f t="shared" si="312"/>
        <v>0</v>
      </c>
      <c r="AN550">
        <f t="shared" si="313"/>
        <v>0</v>
      </c>
      <c r="AO550">
        <f t="shared" si="314"/>
        <v>0</v>
      </c>
    </row>
    <row r="551" spans="1:41" x14ac:dyDescent="0.45">
      <c r="A551">
        <v>38.311339459999999</v>
      </c>
      <c r="B551">
        <v>118.6459651</v>
      </c>
      <c r="C551">
        <v>14.54132557</v>
      </c>
      <c r="D551">
        <v>3.6729190300000001</v>
      </c>
      <c r="E551">
        <f t="shared" si="280"/>
        <v>3.6729190300000001</v>
      </c>
      <c r="F551">
        <f t="shared" si="281"/>
        <v>0</v>
      </c>
      <c r="G551">
        <f t="shared" si="282"/>
        <v>0</v>
      </c>
      <c r="H551">
        <f t="shared" si="283"/>
        <v>0</v>
      </c>
      <c r="I551">
        <f t="shared" si="284"/>
        <v>0</v>
      </c>
      <c r="J551">
        <f t="shared" si="285"/>
        <v>0</v>
      </c>
      <c r="K551" s="1">
        <f t="shared" si="286"/>
        <v>0</v>
      </c>
      <c r="L551" s="1">
        <f t="shared" si="287"/>
        <v>0</v>
      </c>
      <c r="M551" s="1">
        <f t="shared" si="288"/>
        <v>0</v>
      </c>
      <c r="N551" s="1">
        <f t="shared" si="289"/>
        <v>0</v>
      </c>
      <c r="O551" s="1">
        <f t="shared" si="290"/>
        <v>0</v>
      </c>
      <c r="P551" s="1">
        <f t="shared" si="291"/>
        <v>25</v>
      </c>
      <c r="Q551" s="1" t="e">
        <f t="shared" si="292"/>
        <v>#DIV/0!</v>
      </c>
      <c r="R551" s="1" t="e">
        <f t="shared" si="293"/>
        <v>#DIV/0!</v>
      </c>
      <c r="S551" s="1" t="e">
        <f t="shared" si="294"/>
        <v>#DIV/0!</v>
      </c>
      <c r="T551" s="1" t="e">
        <f t="shared" si="295"/>
        <v>#DIV/0!</v>
      </c>
      <c r="U551" s="1" t="e">
        <f t="shared" si="296"/>
        <v>#DIV/0!</v>
      </c>
      <c r="V551">
        <f t="shared" si="297"/>
        <v>851.48</v>
      </c>
      <c r="W551">
        <f t="shared" si="298"/>
        <v>0</v>
      </c>
      <c r="X551">
        <f t="shared" si="299"/>
        <v>0</v>
      </c>
      <c r="Y551">
        <f t="shared" si="300"/>
        <v>0</v>
      </c>
      <c r="Z551">
        <f t="shared" si="301"/>
        <v>0</v>
      </c>
      <c r="AA551">
        <f t="shared" si="302"/>
        <v>0</v>
      </c>
      <c r="AC551">
        <f t="shared" si="303"/>
        <v>1045.25</v>
      </c>
      <c r="AD551">
        <f t="shared" si="304"/>
        <v>0</v>
      </c>
      <c r="AE551">
        <f t="shared" si="305"/>
        <v>0</v>
      </c>
      <c r="AF551">
        <f t="shared" si="306"/>
        <v>0</v>
      </c>
      <c r="AG551">
        <f t="shared" si="307"/>
        <v>0</v>
      </c>
      <c r="AH551">
        <f t="shared" si="308"/>
        <v>0</v>
      </c>
      <c r="AJ551">
        <f t="shared" si="309"/>
        <v>1239.01</v>
      </c>
      <c r="AK551">
        <f t="shared" si="310"/>
        <v>0</v>
      </c>
      <c r="AL551">
        <f t="shared" si="311"/>
        <v>0</v>
      </c>
      <c r="AM551">
        <f t="shared" si="312"/>
        <v>0</v>
      </c>
      <c r="AN551">
        <f t="shared" si="313"/>
        <v>0</v>
      </c>
      <c r="AO551">
        <f t="shared" si="314"/>
        <v>0</v>
      </c>
    </row>
    <row r="552" spans="1:41" x14ac:dyDescent="0.45">
      <c r="A552">
        <v>38.327613509999999</v>
      </c>
      <c r="B552">
        <v>90.665266090000003</v>
      </c>
      <c r="C552">
        <v>20.624670030000001</v>
      </c>
      <c r="D552">
        <v>3.4899931</v>
      </c>
      <c r="E552">
        <f t="shared" si="280"/>
        <v>3.4899931</v>
      </c>
      <c r="F552">
        <f t="shared" si="281"/>
        <v>0</v>
      </c>
      <c r="G552">
        <f t="shared" si="282"/>
        <v>0</v>
      </c>
      <c r="H552">
        <f t="shared" si="283"/>
        <v>0</v>
      </c>
      <c r="I552">
        <f t="shared" si="284"/>
        <v>0</v>
      </c>
      <c r="J552">
        <f t="shared" si="285"/>
        <v>0</v>
      </c>
      <c r="K552" s="1">
        <f t="shared" si="286"/>
        <v>0</v>
      </c>
      <c r="L552" s="1">
        <f t="shared" si="287"/>
        <v>0</v>
      </c>
      <c r="M552" s="1">
        <f t="shared" si="288"/>
        <v>0</v>
      </c>
      <c r="N552" s="1">
        <f t="shared" si="289"/>
        <v>0</v>
      </c>
      <c r="O552" s="1">
        <f t="shared" si="290"/>
        <v>0</v>
      </c>
      <c r="P552" s="1">
        <f t="shared" si="291"/>
        <v>25</v>
      </c>
      <c r="Q552" s="1" t="e">
        <f t="shared" si="292"/>
        <v>#DIV/0!</v>
      </c>
      <c r="R552" s="1" t="e">
        <f t="shared" si="293"/>
        <v>#DIV/0!</v>
      </c>
      <c r="S552" s="1" t="e">
        <f t="shared" si="294"/>
        <v>#DIV/0!</v>
      </c>
      <c r="T552" s="1" t="e">
        <f t="shared" si="295"/>
        <v>#DIV/0!</v>
      </c>
      <c r="U552" s="1" t="e">
        <f t="shared" si="296"/>
        <v>#DIV/0!</v>
      </c>
      <c r="V552">
        <f t="shared" si="297"/>
        <v>851.48</v>
      </c>
      <c r="W552">
        <f t="shared" si="298"/>
        <v>0</v>
      </c>
      <c r="X552">
        <f t="shared" si="299"/>
        <v>0</v>
      </c>
      <c r="Y552">
        <f t="shared" si="300"/>
        <v>0</v>
      </c>
      <c r="Z552">
        <f t="shared" si="301"/>
        <v>0</v>
      </c>
      <c r="AA552">
        <f t="shared" si="302"/>
        <v>0</v>
      </c>
      <c r="AC552">
        <f t="shared" si="303"/>
        <v>1045.25</v>
      </c>
      <c r="AD552">
        <f t="shared" si="304"/>
        <v>0</v>
      </c>
      <c r="AE552">
        <f t="shared" si="305"/>
        <v>0</v>
      </c>
      <c r="AF552">
        <f t="shared" si="306"/>
        <v>0</v>
      </c>
      <c r="AG552">
        <f t="shared" si="307"/>
        <v>0</v>
      </c>
      <c r="AH552">
        <f t="shared" si="308"/>
        <v>0</v>
      </c>
      <c r="AJ552">
        <f t="shared" si="309"/>
        <v>1239.01</v>
      </c>
      <c r="AK552">
        <f t="shared" si="310"/>
        <v>0</v>
      </c>
      <c r="AL552">
        <f t="shared" si="311"/>
        <v>0</v>
      </c>
      <c r="AM552">
        <f t="shared" si="312"/>
        <v>0</v>
      </c>
      <c r="AN552">
        <f t="shared" si="313"/>
        <v>0</v>
      </c>
      <c r="AO552">
        <f t="shared" si="314"/>
        <v>0</v>
      </c>
    </row>
    <row r="553" spans="1:41" x14ac:dyDescent="0.45">
      <c r="A553">
        <v>38.328453179999997</v>
      </c>
      <c r="B553">
        <v>120.1769888</v>
      </c>
      <c r="C553">
        <v>12.584490779999999</v>
      </c>
      <c r="D553">
        <v>36.533302310000003</v>
      </c>
      <c r="E553">
        <f t="shared" si="280"/>
        <v>12.584490779999999</v>
      </c>
      <c r="F553">
        <f t="shared" si="281"/>
        <v>0</v>
      </c>
      <c r="G553">
        <f t="shared" si="282"/>
        <v>0</v>
      </c>
      <c r="H553">
        <f t="shared" si="283"/>
        <v>0</v>
      </c>
      <c r="I553">
        <f t="shared" si="284"/>
        <v>0</v>
      </c>
      <c r="J553">
        <f t="shared" si="285"/>
        <v>0</v>
      </c>
      <c r="K553" s="1">
        <f t="shared" si="286"/>
        <v>0</v>
      </c>
      <c r="L553" s="1">
        <f t="shared" si="287"/>
        <v>0</v>
      </c>
      <c r="M553" s="1">
        <f t="shared" si="288"/>
        <v>0</v>
      </c>
      <c r="N553" s="1">
        <f t="shared" si="289"/>
        <v>0</v>
      </c>
      <c r="O553" s="1">
        <f t="shared" si="290"/>
        <v>0</v>
      </c>
      <c r="P553" s="1">
        <f t="shared" si="291"/>
        <v>8.6116570254280944</v>
      </c>
      <c r="Q553" s="1" t="e">
        <f t="shared" si="292"/>
        <v>#DIV/0!</v>
      </c>
      <c r="R553" s="1" t="e">
        <f t="shared" si="293"/>
        <v>#DIV/0!</v>
      </c>
      <c r="S553" s="1" t="e">
        <f t="shared" si="294"/>
        <v>#DIV/0!</v>
      </c>
      <c r="T553" s="1" t="e">
        <f t="shared" si="295"/>
        <v>#DIV/0!</v>
      </c>
      <c r="U553" s="1" t="e">
        <f t="shared" si="296"/>
        <v>#DIV/0!</v>
      </c>
      <c r="V553">
        <f t="shared" si="297"/>
        <v>318.85885332641311</v>
      </c>
      <c r="W553">
        <f t="shared" si="298"/>
        <v>0</v>
      </c>
      <c r="X553">
        <f t="shared" si="299"/>
        <v>0</v>
      </c>
      <c r="Y553">
        <f t="shared" si="300"/>
        <v>0</v>
      </c>
      <c r="Z553">
        <f t="shared" si="301"/>
        <v>0</v>
      </c>
      <c r="AA553">
        <f t="shared" si="302"/>
        <v>0</v>
      </c>
      <c r="AC553">
        <f t="shared" si="303"/>
        <v>389.71628101712378</v>
      </c>
      <c r="AD553">
        <f t="shared" si="304"/>
        <v>0</v>
      </c>
      <c r="AE553">
        <f t="shared" si="305"/>
        <v>0</v>
      </c>
      <c r="AF553">
        <f t="shared" si="306"/>
        <v>0</v>
      </c>
      <c r="AG553">
        <f t="shared" si="307"/>
        <v>0</v>
      </c>
      <c r="AH553">
        <f t="shared" si="308"/>
        <v>0</v>
      </c>
      <c r="AJ553">
        <f t="shared" si="309"/>
        <v>460.56370870783445</v>
      </c>
      <c r="AK553">
        <f t="shared" si="310"/>
        <v>0</v>
      </c>
      <c r="AL553">
        <f t="shared" si="311"/>
        <v>0</v>
      </c>
      <c r="AM553">
        <f t="shared" si="312"/>
        <v>0</v>
      </c>
      <c r="AN553">
        <f t="shared" si="313"/>
        <v>0</v>
      </c>
      <c r="AO553">
        <f t="shared" si="314"/>
        <v>0</v>
      </c>
    </row>
    <row r="554" spans="1:41" x14ac:dyDescent="0.45">
      <c r="A554">
        <v>38.338485400000003</v>
      </c>
      <c r="B554">
        <v>115.83688650000001</v>
      </c>
      <c r="C554">
        <v>10.858460429999999</v>
      </c>
      <c r="D554">
        <v>6.5201897600000001</v>
      </c>
      <c r="E554">
        <f t="shared" si="280"/>
        <v>6.5201897600000001</v>
      </c>
      <c r="F554">
        <f t="shared" si="281"/>
        <v>0</v>
      </c>
      <c r="G554">
        <f t="shared" si="282"/>
        <v>0</v>
      </c>
      <c r="H554">
        <f t="shared" si="283"/>
        <v>0</v>
      </c>
      <c r="I554">
        <f t="shared" si="284"/>
        <v>0</v>
      </c>
      <c r="J554">
        <f t="shared" si="285"/>
        <v>0</v>
      </c>
      <c r="K554" s="1">
        <f t="shared" si="286"/>
        <v>0</v>
      </c>
      <c r="L554" s="1">
        <f t="shared" si="287"/>
        <v>0</v>
      </c>
      <c r="M554" s="1">
        <f t="shared" si="288"/>
        <v>0</v>
      </c>
      <c r="N554" s="1">
        <f t="shared" si="289"/>
        <v>0</v>
      </c>
      <c r="O554" s="1">
        <f t="shared" si="290"/>
        <v>0</v>
      </c>
      <c r="P554" s="1">
        <f t="shared" si="291"/>
        <v>24.999999999999996</v>
      </c>
      <c r="Q554" s="1" t="e">
        <f t="shared" si="292"/>
        <v>#DIV/0!</v>
      </c>
      <c r="R554" s="1" t="e">
        <f t="shared" si="293"/>
        <v>#DIV/0!</v>
      </c>
      <c r="S554" s="1" t="e">
        <f t="shared" si="294"/>
        <v>#DIV/0!</v>
      </c>
      <c r="T554" s="1" t="e">
        <f t="shared" si="295"/>
        <v>#DIV/0!</v>
      </c>
      <c r="U554" s="1" t="e">
        <f t="shared" si="296"/>
        <v>#DIV/0!</v>
      </c>
      <c r="V554">
        <f t="shared" si="297"/>
        <v>851.4799999999999</v>
      </c>
      <c r="W554">
        <f t="shared" si="298"/>
        <v>0</v>
      </c>
      <c r="X554">
        <f t="shared" si="299"/>
        <v>0</v>
      </c>
      <c r="Y554">
        <f t="shared" si="300"/>
        <v>0</v>
      </c>
      <c r="Z554">
        <f t="shared" si="301"/>
        <v>0</v>
      </c>
      <c r="AA554">
        <f t="shared" si="302"/>
        <v>0</v>
      </c>
      <c r="AC554">
        <f t="shared" si="303"/>
        <v>1045.25</v>
      </c>
      <c r="AD554">
        <f t="shared" si="304"/>
        <v>0</v>
      </c>
      <c r="AE554">
        <f t="shared" si="305"/>
        <v>0</v>
      </c>
      <c r="AF554">
        <f t="shared" si="306"/>
        <v>0</v>
      </c>
      <c r="AG554">
        <f t="shared" si="307"/>
        <v>0</v>
      </c>
      <c r="AH554">
        <f t="shared" si="308"/>
        <v>0</v>
      </c>
      <c r="AJ554">
        <f t="shared" si="309"/>
        <v>1239.0099999999998</v>
      </c>
      <c r="AK554">
        <f t="shared" si="310"/>
        <v>0</v>
      </c>
      <c r="AL554">
        <f t="shared" si="311"/>
        <v>0</v>
      </c>
      <c r="AM554">
        <f t="shared" si="312"/>
        <v>0</v>
      </c>
      <c r="AN554">
        <f t="shared" si="313"/>
        <v>0</v>
      </c>
      <c r="AO554">
        <f t="shared" si="314"/>
        <v>0</v>
      </c>
    </row>
    <row r="555" spans="1:41" x14ac:dyDescent="0.45">
      <c r="A555">
        <v>38.34502999</v>
      </c>
      <c r="B555">
        <v>117.360714</v>
      </c>
      <c r="C555">
        <v>26.05046844</v>
      </c>
      <c r="D555">
        <v>0.44112699999999999</v>
      </c>
      <c r="E555">
        <f t="shared" si="280"/>
        <v>0.44112699999999999</v>
      </c>
      <c r="F555">
        <f t="shared" si="281"/>
        <v>0</v>
      </c>
      <c r="G555">
        <f t="shared" si="282"/>
        <v>0</v>
      </c>
      <c r="H555">
        <f t="shared" si="283"/>
        <v>0</v>
      </c>
      <c r="I555">
        <f t="shared" si="284"/>
        <v>0</v>
      </c>
      <c r="J555">
        <f t="shared" si="285"/>
        <v>0</v>
      </c>
      <c r="K555" s="1">
        <f t="shared" si="286"/>
        <v>0</v>
      </c>
      <c r="L555" s="1">
        <f t="shared" si="287"/>
        <v>0</v>
      </c>
      <c r="M555" s="1">
        <f t="shared" si="288"/>
        <v>0</v>
      </c>
      <c r="N555" s="1">
        <f t="shared" si="289"/>
        <v>0</v>
      </c>
      <c r="O555" s="1">
        <f t="shared" si="290"/>
        <v>0</v>
      </c>
      <c r="P555" s="1">
        <f t="shared" si="291"/>
        <v>25</v>
      </c>
      <c r="Q555" s="1" t="e">
        <f t="shared" si="292"/>
        <v>#DIV/0!</v>
      </c>
      <c r="R555" s="1" t="e">
        <f t="shared" si="293"/>
        <v>#DIV/0!</v>
      </c>
      <c r="S555" s="1" t="e">
        <f t="shared" si="294"/>
        <v>#DIV/0!</v>
      </c>
      <c r="T555" s="1" t="e">
        <f t="shared" si="295"/>
        <v>#DIV/0!</v>
      </c>
      <c r="U555" s="1" t="e">
        <f t="shared" si="296"/>
        <v>#DIV/0!</v>
      </c>
      <c r="V555">
        <f t="shared" si="297"/>
        <v>851.48</v>
      </c>
      <c r="W555">
        <f t="shared" si="298"/>
        <v>0</v>
      </c>
      <c r="X555">
        <f t="shared" si="299"/>
        <v>0</v>
      </c>
      <c r="Y555">
        <f t="shared" si="300"/>
        <v>0</v>
      </c>
      <c r="Z555">
        <f t="shared" si="301"/>
        <v>0</v>
      </c>
      <c r="AA555">
        <f t="shared" si="302"/>
        <v>0</v>
      </c>
      <c r="AC555">
        <f t="shared" si="303"/>
        <v>1045.25</v>
      </c>
      <c r="AD555">
        <f t="shared" si="304"/>
        <v>0</v>
      </c>
      <c r="AE555">
        <f t="shared" si="305"/>
        <v>0</v>
      </c>
      <c r="AF555">
        <f t="shared" si="306"/>
        <v>0</v>
      </c>
      <c r="AG555">
        <f t="shared" si="307"/>
        <v>0</v>
      </c>
      <c r="AH555">
        <f t="shared" si="308"/>
        <v>0</v>
      </c>
      <c r="AJ555">
        <f t="shared" si="309"/>
        <v>1239.01</v>
      </c>
      <c r="AK555">
        <f t="shared" si="310"/>
        <v>0</v>
      </c>
      <c r="AL555">
        <f t="shared" si="311"/>
        <v>0</v>
      </c>
      <c r="AM555">
        <f t="shared" si="312"/>
        <v>0</v>
      </c>
      <c r="AN555">
        <f t="shared" si="313"/>
        <v>0</v>
      </c>
      <c r="AO555">
        <f t="shared" si="314"/>
        <v>0</v>
      </c>
    </row>
    <row r="556" spans="1:41" x14ac:dyDescent="0.45">
      <c r="A556">
        <v>38.349180680000003</v>
      </c>
      <c r="B556">
        <v>90.837766709999997</v>
      </c>
      <c r="C556">
        <v>20.624670030000001</v>
      </c>
      <c r="D556">
        <v>0.54273497999999998</v>
      </c>
      <c r="E556">
        <f t="shared" si="280"/>
        <v>0.54273497999999998</v>
      </c>
      <c r="F556">
        <f t="shared" si="281"/>
        <v>0</v>
      </c>
      <c r="G556">
        <f t="shared" si="282"/>
        <v>0</v>
      </c>
      <c r="H556">
        <f t="shared" si="283"/>
        <v>0</v>
      </c>
      <c r="I556">
        <f t="shared" si="284"/>
        <v>0</v>
      </c>
      <c r="J556">
        <f t="shared" si="285"/>
        <v>0</v>
      </c>
      <c r="K556" s="1">
        <f t="shared" si="286"/>
        <v>0</v>
      </c>
      <c r="L556" s="1">
        <f t="shared" si="287"/>
        <v>0</v>
      </c>
      <c r="M556" s="1">
        <f t="shared" si="288"/>
        <v>0</v>
      </c>
      <c r="N556" s="1">
        <f t="shared" si="289"/>
        <v>0</v>
      </c>
      <c r="O556" s="1">
        <f t="shared" si="290"/>
        <v>0</v>
      </c>
      <c r="P556" s="1">
        <f t="shared" si="291"/>
        <v>25</v>
      </c>
      <c r="Q556" s="1" t="e">
        <f t="shared" si="292"/>
        <v>#DIV/0!</v>
      </c>
      <c r="R556" s="1" t="e">
        <f t="shared" si="293"/>
        <v>#DIV/0!</v>
      </c>
      <c r="S556" s="1" t="e">
        <f t="shared" si="294"/>
        <v>#DIV/0!</v>
      </c>
      <c r="T556" s="1" t="e">
        <f t="shared" si="295"/>
        <v>#DIV/0!</v>
      </c>
      <c r="U556" s="1" t="e">
        <f t="shared" si="296"/>
        <v>#DIV/0!</v>
      </c>
      <c r="V556">
        <f t="shared" si="297"/>
        <v>851.48</v>
      </c>
      <c r="W556">
        <f t="shared" si="298"/>
        <v>0</v>
      </c>
      <c r="X556">
        <f t="shared" si="299"/>
        <v>0</v>
      </c>
      <c r="Y556">
        <f t="shared" si="300"/>
        <v>0</v>
      </c>
      <c r="Z556">
        <f t="shared" si="301"/>
        <v>0</v>
      </c>
      <c r="AA556">
        <f t="shared" si="302"/>
        <v>0</v>
      </c>
      <c r="AC556">
        <f t="shared" si="303"/>
        <v>1045.25</v>
      </c>
      <c r="AD556">
        <f t="shared" si="304"/>
        <v>0</v>
      </c>
      <c r="AE556">
        <f t="shared" si="305"/>
        <v>0</v>
      </c>
      <c r="AF556">
        <f t="shared" si="306"/>
        <v>0</v>
      </c>
      <c r="AG556">
        <f t="shared" si="307"/>
        <v>0</v>
      </c>
      <c r="AH556">
        <f t="shared" si="308"/>
        <v>0</v>
      </c>
      <c r="AJ556">
        <f t="shared" si="309"/>
        <v>1239.01</v>
      </c>
      <c r="AK556">
        <f t="shared" si="310"/>
        <v>0</v>
      </c>
      <c r="AL556">
        <f t="shared" si="311"/>
        <v>0</v>
      </c>
      <c r="AM556">
        <f t="shared" si="312"/>
        <v>0</v>
      </c>
      <c r="AN556">
        <f t="shared" si="313"/>
        <v>0</v>
      </c>
      <c r="AO556">
        <f t="shared" si="314"/>
        <v>0</v>
      </c>
    </row>
    <row r="557" spans="1:41" x14ac:dyDescent="0.45">
      <c r="A557">
        <v>38.353585780000003</v>
      </c>
      <c r="B557">
        <v>119.1230185</v>
      </c>
      <c r="C557">
        <v>27.435972209999999</v>
      </c>
      <c r="D557">
        <v>11.518275259999999</v>
      </c>
      <c r="E557">
        <f t="shared" si="280"/>
        <v>11.518275259999999</v>
      </c>
      <c r="F557">
        <f t="shared" si="281"/>
        <v>0</v>
      </c>
      <c r="G557">
        <f t="shared" si="282"/>
        <v>0</v>
      </c>
      <c r="H557">
        <f t="shared" si="283"/>
        <v>0</v>
      </c>
      <c r="I557">
        <f t="shared" si="284"/>
        <v>0</v>
      </c>
      <c r="J557">
        <f t="shared" si="285"/>
        <v>0</v>
      </c>
      <c r="K557" s="1">
        <f t="shared" si="286"/>
        <v>0</v>
      </c>
      <c r="L557" s="1">
        <f t="shared" si="287"/>
        <v>0</v>
      </c>
      <c r="M557" s="1">
        <f t="shared" si="288"/>
        <v>0</v>
      </c>
      <c r="N557" s="1">
        <f t="shared" si="289"/>
        <v>0</v>
      </c>
      <c r="O557" s="1">
        <f t="shared" si="290"/>
        <v>0</v>
      </c>
      <c r="P557" s="1">
        <f t="shared" si="291"/>
        <v>25.000000000000004</v>
      </c>
      <c r="Q557" s="1" t="e">
        <f t="shared" si="292"/>
        <v>#DIV/0!</v>
      </c>
      <c r="R557" s="1" t="e">
        <f t="shared" si="293"/>
        <v>#DIV/0!</v>
      </c>
      <c r="S557" s="1" t="e">
        <f t="shared" si="294"/>
        <v>#DIV/0!</v>
      </c>
      <c r="T557" s="1" t="e">
        <f t="shared" si="295"/>
        <v>#DIV/0!</v>
      </c>
      <c r="U557" s="1" t="e">
        <f t="shared" si="296"/>
        <v>#DIV/0!</v>
      </c>
      <c r="V557">
        <f t="shared" si="297"/>
        <v>851.48000000000013</v>
      </c>
      <c r="W557">
        <f t="shared" si="298"/>
        <v>0</v>
      </c>
      <c r="X557">
        <f t="shared" si="299"/>
        <v>0</v>
      </c>
      <c r="Y557">
        <f t="shared" si="300"/>
        <v>0</v>
      </c>
      <c r="Z557">
        <f t="shared" si="301"/>
        <v>0</v>
      </c>
      <c r="AA557">
        <f t="shared" si="302"/>
        <v>0</v>
      </c>
      <c r="AC557">
        <f t="shared" si="303"/>
        <v>1045.25</v>
      </c>
      <c r="AD557">
        <f t="shared" si="304"/>
        <v>0</v>
      </c>
      <c r="AE557">
        <f t="shared" si="305"/>
        <v>0</v>
      </c>
      <c r="AF557">
        <f t="shared" si="306"/>
        <v>0</v>
      </c>
      <c r="AG557">
        <f t="shared" si="307"/>
        <v>0</v>
      </c>
      <c r="AH557">
        <f t="shared" si="308"/>
        <v>0</v>
      </c>
      <c r="AJ557">
        <f t="shared" si="309"/>
        <v>1239.0100000000002</v>
      </c>
      <c r="AK557">
        <f t="shared" si="310"/>
        <v>0</v>
      </c>
      <c r="AL557">
        <f t="shared" si="311"/>
        <v>0</v>
      </c>
      <c r="AM557">
        <f t="shared" si="312"/>
        <v>0</v>
      </c>
      <c r="AN557">
        <f t="shared" si="313"/>
        <v>0</v>
      </c>
      <c r="AO557">
        <f t="shared" si="314"/>
        <v>0</v>
      </c>
    </row>
    <row r="558" spans="1:41" x14ac:dyDescent="0.45">
      <c r="A558">
        <v>38.366276089999999</v>
      </c>
      <c r="B558">
        <v>117.1293486</v>
      </c>
      <c r="C558">
        <v>26.05046844</v>
      </c>
      <c r="D558">
        <v>1.1346329500000001</v>
      </c>
      <c r="E558">
        <f t="shared" si="280"/>
        <v>1.1346329500000001</v>
      </c>
      <c r="F558">
        <f t="shared" si="281"/>
        <v>0</v>
      </c>
      <c r="G558">
        <f t="shared" si="282"/>
        <v>0</v>
      </c>
      <c r="H558">
        <f t="shared" si="283"/>
        <v>0</v>
      </c>
      <c r="I558">
        <f t="shared" si="284"/>
        <v>0</v>
      </c>
      <c r="J558">
        <f t="shared" si="285"/>
        <v>0</v>
      </c>
      <c r="K558" s="1">
        <f t="shared" si="286"/>
        <v>0</v>
      </c>
      <c r="L558" s="1">
        <f t="shared" si="287"/>
        <v>0</v>
      </c>
      <c r="M558" s="1">
        <f t="shared" si="288"/>
        <v>0</v>
      </c>
      <c r="N558" s="1">
        <f t="shared" si="289"/>
        <v>0</v>
      </c>
      <c r="O558" s="1">
        <f t="shared" si="290"/>
        <v>0</v>
      </c>
      <c r="P558" s="1">
        <f t="shared" si="291"/>
        <v>25</v>
      </c>
      <c r="Q558" s="1" t="e">
        <f t="shared" si="292"/>
        <v>#DIV/0!</v>
      </c>
      <c r="R558" s="1" t="e">
        <f t="shared" si="293"/>
        <v>#DIV/0!</v>
      </c>
      <c r="S558" s="1" t="e">
        <f t="shared" si="294"/>
        <v>#DIV/0!</v>
      </c>
      <c r="T558" s="1" t="e">
        <f t="shared" si="295"/>
        <v>#DIV/0!</v>
      </c>
      <c r="U558" s="1" t="e">
        <f t="shared" si="296"/>
        <v>#DIV/0!</v>
      </c>
      <c r="V558">
        <f t="shared" si="297"/>
        <v>851.48</v>
      </c>
      <c r="W558">
        <f t="shared" si="298"/>
        <v>0</v>
      </c>
      <c r="X558">
        <f t="shared" si="299"/>
        <v>0</v>
      </c>
      <c r="Y558">
        <f t="shared" si="300"/>
        <v>0</v>
      </c>
      <c r="Z558">
        <f t="shared" si="301"/>
        <v>0</v>
      </c>
      <c r="AA558">
        <f t="shared" si="302"/>
        <v>0</v>
      </c>
      <c r="AC558">
        <f t="shared" si="303"/>
        <v>1045.25</v>
      </c>
      <c r="AD558">
        <f t="shared" si="304"/>
        <v>0</v>
      </c>
      <c r="AE558">
        <f t="shared" si="305"/>
        <v>0</v>
      </c>
      <c r="AF558">
        <f t="shared" si="306"/>
        <v>0</v>
      </c>
      <c r="AG558">
        <f t="shared" si="307"/>
        <v>0</v>
      </c>
      <c r="AH558">
        <f t="shared" si="308"/>
        <v>0</v>
      </c>
      <c r="AJ558">
        <f t="shared" si="309"/>
        <v>1239.01</v>
      </c>
      <c r="AK558">
        <f t="shared" si="310"/>
        <v>0</v>
      </c>
      <c r="AL558">
        <f t="shared" si="311"/>
        <v>0</v>
      </c>
      <c r="AM558">
        <f t="shared" si="312"/>
        <v>0</v>
      </c>
      <c r="AN558">
        <f t="shared" si="313"/>
        <v>0</v>
      </c>
      <c r="AO558">
        <f t="shared" si="314"/>
        <v>0</v>
      </c>
    </row>
    <row r="559" spans="1:41" x14ac:dyDescent="0.45">
      <c r="A559">
        <v>38.370025660000003</v>
      </c>
      <c r="B559">
        <v>116.0166241</v>
      </c>
      <c r="C559">
        <v>10.858460429999999</v>
      </c>
      <c r="D559">
        <v>0.81524496999999996</v>
      </c>
      <c r="E559">
        <f t="shared" si="280"/>
        <v>0.81524496999999996</v>
      </c>
      <c r="F559">
        <f t="shared" si="281"/>
        <v>0</v>
      </c>
      <c r="G559">
        <f t="shared" si="282"/>
        <v>0</v>
      </c>
      <c r="H559">
        <f t="shared" si="283"/>
        <v>0</v>
      </c>
      <c r="I559">
        <f t="shared" si="284"/>
        <v>0</v>
      </c>
      <c r="J559">
        <f t="shared" si="285"/>
        <v>0</v>
      </c>
      <c r="K559" s="1">
        <f t="shared" si="286"/>
        <v>0</v>
      </c>
      <c r="L559" s="1">
        <f t="shared" si="287"/>
        <v>0</v>
      </c>
      <c r="M559" s="1">
        <f t="shared" si="288"/>
        <v>0</v>
      </c>
      <c r="N559" s="1">
        <f t="shared" si="289"/>
        <v>0</v>
      </c>
      <c r="O559" s="1">
        <f t="shared" si="290"/>
        <v>0</v>
      </c>
      <c r="P559" s="1">
        <f t="shared" si="291"/>
        <v>25</v>
      </c>
      <c r="Q559" s="1" t="e">
        <f t="shared" si="292"/>
        <v>#DIV/0!</v>
      </c>
      <c r="R559" s="1" t="e">
        <f t="shared" si="293"/>
        <v>#DIV/0!</v>
      </c>
      <c r="S559" s="1" t="e">
        <f t="shared" si="294"/>
        <v>#DIV/0!</v>
      </c>
      <c r="T559" s="1" t="e">
        <f t="shared" si="295"/>
        <v>#DIV/0!</v>
      </c>
      <c r="U559" s="1" t="e">
        <f t="shared" si="296"/>
        <v>#DIV/0!</v>
      </c>
      <c r="V559">
        <f t="shared" si="297"/>
        <v>851.48</v>
      </c>
      <c r="W559">
        <f t="shared" si="298"/>
        <v>0</v>
      </c>
      <c r="X559">
        <f t="shared" si="299"/>
        <v>0</v>
      </c>
      <c r="Y559">
        <f t="shared" si="300"/>
        <v>0</v>
      </c>
      <c r="Z559">
        <f t="shared" si="301"/>
        <v>0</v>
      </c>
      <c r="AA559">
        <f t="shared" si="302"/>
        <v>0</v>
      </c>
      <c r="AC559">
        <f t="shared" si="303"/>
        <v>1045.25</v>
      </c>
      <c r="AD559">
        <f t="shared" si="304"/>
        <v>0</v>
      </c>
      <c r="AE559">
        <f t="shared" si="305"/>
        <v>0</v>
      </c>
      <c r="AF559">
        <f t="shared" si="306"/>
        <v>0</v>
      </c>
      <c r="AG559">
        <f t="shared" si="307"/>
        <v>0</v>
      </c>
      <c r="AH559">
        <f t="shared" si="308"/>
        <v>0</v>
      </c>
      <c r="AJ559">
        <f t="shared" si="309"/>
        <v>1239.01</v>
      </c>
      <c r="AK559">
        <f t="shared" si="310"/>
        <v>0</v>
      </c>
      <c r="AL559">
        <f t="shared" si="311"/>
        <v>0</v>
      </c>
      <c r="AM559">
        <f t="shared" si="312"/>
        <v>0</v>
      </c>
      <c r="AN559">
        <f t="shared" si="313"/>
        <v>0</v>
      </c>
      <c r="AO559">
        <f t="shared" si="314"/>
        <v>0</v>
      </c>
    </row>
    <row r="560" spans="1:41" x14ac:dyDescent="0.45">
      <c r="A560">
        <v>38.373817080000002</v>
      </c>
      <c r="B560">
        <v>120.1854838</v>
      </c>
      <c r="C560">
        <v>19.948394780000001</v>
      </c>
      <c r="D560">
        <v>18.856767649999998</v>
      </c>
      <c r="E560">
        <f t="shared" si="280"/>
        <v>18.856767649999998</v>
      </c>
      <c r="F560">
        <f t="shared" si="281"/>
        <v>0</v>
      </c>
      <c r="G560">
        <f t="shared" si="282"/>
        <v>0</v>
      </c>
      <c r="H560">
        <f t="shared" si="283"/>
        <v>0</v>
      </c>
      <c r="I560">
        <f t="shared" si="284"/>
        <v>0</v>
      </c>
      <c r="J560">
        <f t="shared" si="285"/>
        <v>0</v>
      </c>
      <c r="K560" s="1">
        <f t="shared" si="286"/>
        <v>0</v>
      </c>
      <c r="L560" s="1">
        <f t="shared" si="287"/>
        <v>0</v>
      </c>
      <c r="M560" s="1">
        <f t="shared" si="288"/>
        <v>0</v>
      </c>
      <c r="N560" s="1">
        <f t="shared" si="289"/>
        <v>0</v>
      </c>
      <c r="O560" s="1">
        <f t="shared" si="290"/>
        <v>0</v>
      </c>
      <c r="P560" s="1">
        <f t="shared" si="291"/>
        <v>25</v>
      </c>
      <c r="Q560" s="1" t="e">
        <f t="shared" si="292"/>
        <v>#DIV/0!</v>
      </c>
      <c r="R560" s="1" t="e">
        <f t="shared" si="293"/>
        <v>#DIV/0!</v>
      </c>
      <c r="S560" s="1" t="e">
        <f t="shared" si="294"/>
        <v>#DIV/0!</v>
      </c>
      <c r="T560" s="1" t="e">
        <f t="shared" si="295"/>
        <v>#DIV/0!</v>
      </c>
      <c r="U560" s="1" t="e">
        <f t="shared" si="296"/>
        <v>#DIV/0!</v>
      </c>
      <c r="V560">
        <f t="shared" si="297"/>
        <v>851.48</v>
      </c>
      <c r="W560">
        <f t="shared" si="298"/>
        <v>0</v>
      </c>
      <c r="X560">
        <f t="shared" si="299"/>
        <v>0</v>
      </c>
      <c r="Y560">
        <f t="shared" si="300"/>
        <v>0</v>
      </c>
      <c r="Z560">
        <f t="shared" si="301"/>
        <v>0</v>
      </c>
      <c r="AA560">
        <f t="shared" si="302"/>
        <v>0</v>
      </c>
      <c r="AC560">
        <f t="shared" si="303"/>
        <v>1045.25</v>
      </c>
      <c r="AD560">
        <f t="shared" si="304"/>
        <v>0</v>
      </c>
      <c r="AE560">
        <f t="shared" si="305"/>
        <v>0</v>
      </c>
      <c r="AF560">
        <f t="shared" si="306"/>
        <v>0</v>
      </c>
      <c r="AG560">
        <f t="shared" si="307"/>
        <v>0</v>
      </c>
      <c r="AH560">
        <f t="shared" si="308"/>
        <v>0</v>
      </c>
      <c r="AJ560">
        <f t="shared" si="309"/>
        <v>1239.01</v>
      </c>
      <c r="AK560">
        <f t="shared" si="310"/>
        <v>0</v>
      </c>
      <c r="AL560">
        <f t="shared" si="311"/>
        <v>0</v>
      </c>
      <c r="AM560">
        <f t="shared" si="312"/>
        <v>0</v>
      </c>
      <c r="AN560">
        <f t="shared" si="313"/>
        <v>0</v>
      </c>
      <c r="AO560">
        <f t="shared" si="314"/>
        <v>0</v>
      </c>
    </row>
    <row r="561" spans="1:41" x14ac:dyDescent="0.45">
      <c r="A561">
        <v>38.373985089999998</v>
      </c>
      <c r="B561">
        <v>91.422202350000006</v>
      </c>
      <c r="C561">
        <v>20.624670030000001</v>
      </c>
      <c r="D561">
        <v>3.1869440099999999</v>
      </c>
      <c r="E561">
        <f t="shared" si="280"/>
        <v>3.1869440099999999</v>
      </c>
      <c r="F561">
        <f t="shared" si="281"/>
        <v>0</v>
      </c>
      <c r="G561">
        <f t="shared" si="282"/>
        <v>0</v>
      </c>
      <c r="H561">
        <f t="shared" si="283"/>
        <v>0</v>
      </c>
      <c r="I561">
        <f t="shared" si="284"/>
        <v>0</v>
      </c>
      <c r="J561">
        <f t="shared" si="285"/>
        <v>0</v>
      </c>
      <c r="K561" s="1">
        <f t="shared" si="286"/>
        <v>0</v>
      </c>
      <c r="L561" s="1">
        <f t="shared" si="287"/>
        <v>0</v>
      </c>
      <c r="M561" s="1">
        <f t="shared" si="288"/>
        <v>0</v>
      </c>
      <c r="N561" s="1">
        <f t="shared" si="289"/>
        <v>0</v>
      </c>
      <c r="O561" s="1">
        <f t="shared" si="290"/>
        <v>0</v>
      </c>
      <c r="P561" s="1">
        <f t="shared" si="291"/>
        <v>24.999999999999996</v>
      </c>
      <c r="Q561" s="1" t="e">
        <f t="shared" si="292"/>
        <v>#DIV/0!</v>
      </c>
      <c r="R561" s="1" t="e">
        <f t="shared" si="293"/>
        <v>#DIV/0!</v>
      </c>
      <c r="S561" s="1" t="e">
        <f t="shared" si="294"/>
        <v>#DIV/0!</v>
      </c>
      <c r="T561" s="1" t="e">
        <f t="shared" si="295"/>
        <v>#DIV/0!</v>
      </c>
      <c r="U561" s="1" t="e">
        <f t="shared" si="296"/>
        <v>#DIV/0!</v>
      </c>
      <c r="V561">
        <f t="shared" si="297"/>
        <v>851.4799999999999</v>
      </c>
      <c r="W561">
        <f t="shared" si="298"/>
        <v>0</v>
      </c>
      <c r="X561">
        <f t="shared" si="299"/>
        <v>0</v>
      </c>
      <c r="Y561">
        <f t="shared" si="300"/>
        <v>0</v>
      </c>
      <c r="Z561">
        <f t="shared" si="301"/>
        <v>0</v>
      </c>
      <c r="AA561">
        <f t="shared" si="302"/>
        <v>0</v>
      </c>
      <c r="AC561">
        <f t="shared" si="303"/>
        <v>1045.25</v>
      </c>
      <c r="AD561">
        <f t="shared" si="304"/>
        <v>0</v>
      </c>
      <c r="AE561">
        <f t="shared" si="305"/>
        <v>0</v>
      </c>
      <c r="AF561">
        <f t="shared" si="306"/>
        <v>0</v>
      </c>
      <c r="AG561">
        <f t="shared" si="307"/>
        <v>0</v>
      </c>
      <c r="AH561">
        <f t="shared" si="308"/>
        <v>0</v>
      </c>
      <c r="AJ561">
        <f t="shared" si="309"/>
        <v>1239.0099999999998</v>
      </c>
      <c r="AK561">
        <f t="shared" si="310"/>
        <v>0</v>
      </c>
      <c r="AL561">
        <f t="shared" si="311"/>
        <v>0</v>
      </c>
      <c r="AM561">
        <f t="shared" si="312"/>
        <v>0</v>
      </c>
      <c r="AN561">
        <f t="shared" si="313"/>
        <v>0</v>
      </c>
      <c r="AO561">
        <f t="shared" si="314"/>
        <v>0</v>
      </c>
    </row>
    <row r="562" spans="1:41" x14ac:dyDescent="0.45">
      <c r="A562">
        <v>38.374339229999997</v>
      </c>
      <c r="B562">
        <v>117.5410725</v>
      </c>
      <c r="C562">
        <v>26.05046844</v>
      </c>
      <c r="D562">
        <v>0.50635498999999995</v>
      </c>
      <c r="E562">
        <f t="shared" si="280"/>
        <v>0.50635498999999995</v>
      </c>
      <c r="F562">
        <f t="shared" si="281"/>
        <v>0</v>
      </c>
      <c r="G562">
        <f t="shared" si="282"/>
        <v>0</v>
      </c>
      <c r="H562">
        <f t="shared" si="283"/>
        <v>0</v>
      </c>
      <c r="I562">
        <f t="shared" si="284"/>
        <v>0</v>
      </c>
      <c r="J562">
        <f t="shared" si="285"/>
        <v>0</v>
      </c>
      <c r="K562" s="1">
        <f t="shared" si="286"/>
        <v>0</v>
      </c>
      <c r="L562" s="1">
        <f t="shared" si="287"/>
        <v>0</v>
      </c>
      <c r="M562" s="1">
        <f t="shared" si="288"/>
        <v>0</v>
      </c>
      <c r="N562" s="1">
        <f t="shared" si="289"/>
        <v>0</v>
      </c>
      <c r="O562" s="1">
        <f t="shared" si="290"/>
        <v>0</v>
      </c>
      <c r="P562" s="1">
        <f t="shared" si="291"/>
        <v>25</v>
      </c>
      <c r="Q562" s="1" t="e">
        <f t="shared" si="292"/>
        <v>#DIV/0!</v>
      </c>
      <c r="R562" s="1" t="e">
        <f t="shared" si="293"/>
        <v>#DIV/0!</v>
      </c>
      <c r="S562" s="1" t="e">
        <f t="shared" si="294"/>
        <v>#DIV/0!</v>
      </c>
      <c r="T562" s="1" t="e">
        <f t="shared" si="295"/>
        <v>#DIV/0!</v>
      </c>
      <c r="U562" s="1" t="e">
        <f t="shared" si="296"/>
        <v>#DIV/0!</v>
      </c>
      <c r="V562">
        <f t="shared" si="297"/>
        <v>851.48</v>
      </c>
      <c r="W562">
        <f t="shared" si="298"/>
        <v>0</v>
      </c>
      <c r="X562">
        <f t="shared" si="299"/>
        <v>0</v>
      </c>
      <c r="Y562">
        <f t="shared" si="300"/>
        <v>0</v>
      </c>
      <c r="Z562">
        <f t="shared" si="301"/>
        <v>0</v>
      </c>
      <c r="AA562">
        <f t="shared" si="302"/>
        <v>0</v>
      </c>
      <c r="AC562">
        <f t="shared" si="303"/>
        <v>1045.25</v>
      </c>
      <c r="AD562">
        <f t="shared" si="304"/>
        <v>0</v>
      </c>
      <c r="AE562">
        <f t="shared" si="305"/>
        <v>0</v>
      </c>
      <c r="AF562">
        <f t="shared" si="306"/>
        <v>0</v>
      </c>
      <c r="AG562">
        <f t="shared" si="307"/>
        <v>0</v>
      </c>
      <c r="AH562">
        <f t="shared" si="308"/>
        <v>0</v>
      </c>
      <c r="AJ562">
        <f t="shared" si="309"/>
        <v>1239.01</v>
      </c>
      <c r="AK562">
        <f t="shared" si="310"/>
        <v>0</v>
      </c>
      <c r="AL562">
        <f t="shared" si="311"/>
        <v>0</v>
      </c>
      <c r="AM562">
        <f t="shared" si="312"/>
        <v>0</v>
      </c>
      <c r="AN562">
        <f t="shared" si="313"/>
        <v>0</v>
      </c>
      <c r="AO562">
        <f t="shared" si="314"/>
        <v>0</v>
      </c>
    </row>
    <row r="563" spans="1:41" x14ac:dyDescent="0.45">
      <c r="A563">
        <v>38.379437920000001</v>
      </c>
      <c r="B563">
        <v>115.9007435</v>
      </c>
      <c r="C563">
        <v>10.858460429999999</v>
      </c>
      <c r="D563">
        <v>0.50213498000000001</v>
      </c>
      <c r="E563">
        <f t="shared" si="280"/>
        <v>0.50213498000000001</v>
      </c>
      <c r="F563">
        <f t="shared" si="281"/>
        <v>0</v>
      </c>
      <c r="G563">
        <f t="shared" si="282"/>
        <v>0</v>
      </c>
      <c r="H563">
        <f t="shared" si="283"/>
        <v>0</v>
      </c>
      <c r="I563">
        <f t="shared" si="284"/>
        <v>0</v>
      </c>
      <c r="J563">
        <f t="shared" si="285"/>
        <v>0</v>
      </c>
      <c r="K563" s="1">
        <f t="shared" si="286"/>
        <v>0</v>
      </c>
      <c r="L563" s="1">
        <f t="shared" si="287"/>
        <v>0</v>
      </c>
      <c r="M563" s="1">
        <f t="shared" si="288"/>
        <v>0</v>
      </c>
      <c r="N563" s="1">
        <f t="shared" si="289"/>
        <v>0</v>
      </c>
      <c r="O563" s="1">
        <f t="shared" si="290"/>
        <v>0</v>
      </c>
      <c r="P563" s="1">
        <f t="shared" si="291"/>
        <v>25</v>
      </c>
      <c r="Q563" s="1" t="e">
        <f t="shared" si="292"/>
        <v>#DIV/0!</v>
      </c>
      <c r="R563" s="1" t="e">
        <f t="shared" si="293"/>
        <v>#DIV/0!</v>
      </c>
      <c r="S563" s="1" t="e">
        <f t="shared" si="294"/>
        <v>#DIV/0!</v>
      </c>
      <c r="T563" s="1" t="e">
        <f t="shared" si="295"/>
        <v>#DIV/0!</v>
      </c>
      <c r="U563" s="1" t="e">
        <f t="shared" si="296"/>
        <v>#DIV/0!</v>
      </c>
      <c r="V563">
        <f t="shared" si="297"/>
        <v>851.48</v>
      </c>
      <c r="W563">
        <f t="shared" si="298"/>
        <v>0</v>
      </c>
      <c r="X563">
        <f t="shared" si="299"/>
        <v>0</v>
      </c>
      <c r="Y563">
        <f t="shared" si="300"/>
        <v>0</v>
      </c>
      <c r="Z563">
        <f t="shared" si="301"/>
        <v>0</v>
      </c>
      <c r="AA563">
        <f t="shared" si="302"/>
        <v>0</v>
      </c>
      <c r="AC563">
        <f t="shared" si="303"/>
        <v>1045.25</v>
      </c>
      <c r="AD563">
        <f t="shared" si="304"/>
        <v>0</v>
      </c>
      <c r="AE563">
        <f t="shared" si="305"/>
        <v>0</v>
      </c>
      <c r="AF563">
        <f t="shared" si="306"/>
        <v>0</v>
      </c>
      <c r="AG563">
        <f t="shared" si="307"/>
        <v>0</v>
      </c>
      <c r="AH563">
        <f t="shared" si="308"/>
        <v>0</v>
      </c>
      <c r="AJ563">
        <f t="shared" si="309"/>
        <v>1239.01</v>
      </c>
      <c r="AK563">
        <f t="shared" si="310"/>
        <v>0</v>
      </c>
      <c r="AL563">
        <f t="shared" si="311"/>
        <v>0</v>
      </c>
      <c r="AM563">
        <f t="shared" si="312"/>
        <v>0</v>
      </c>
      <c r="AN563">
        <f t="shared" si="313"/>
        <v>0</v>
      </c>
      <c r="AO563">
        <f t="shared" si="314"/>
        <v>0</v>
      </c>
    </row>
    <row r="564" spans="1:41" x14ac:dyDescent="0.45">
      <c r="A564">
        <v>38.380494990000003</v>
      </c>
      <c r="B564">
        <v>120.1278551</v>
      </c>
      <c r="C564">
        <v>15.595745089999999</v>
      </c>
      <c r="D564">
        <v>188.36354069999999</v>
      </c>
      <c r="E564">
        <f t="shared" si="280"/>
        <v>15.595745089999999</v>
      </c>
      <c r="F564">
        <f t="shared" si="281"/>
        <v>110.38481524999999</v>
      </c>
      <c r="G564">
        <f t="shared" si="282"/>
        <v>32.40608979999999</v>
      </c>
      <c r="H564">
        <f t="shared" si="283"/>
        <v>0</v>
      </c>
      <c r="I564">
        <f t="shared" si="284"/>
        <v>0</v>
      </c>
      <c r="J564">
        <f t="shared" si="285"/>
        <v>0</v>
      </c>
      <c r="K564" s="1">
        <f t="shared" si="286"/>
        <v>15.595745089999999</v>
      </c>
      <c r="L564" s="1">
        <f t="shared" si="287"/>
        <v>15.595745089999999</v>
      </c>
      <c r="M564" s="1">
        <f t="shared" si="288"/>
        <v>0</v>
      </c>
      <c r="N564" s="1">
        <f t="shared" si="289"/>
        <v>0</v>
      </c>
      <c r="O564" s="1">
        <f t="shared" si="290"/>
        <v>0</v>
      </c>
      <c r="P564" s="1">
        <f t="shared" si="291"/>
        <v>2.0698996514987469</v>
      </c>
      <c r="Q564" s="1">
        <f t="shared" si="292"/>
        <v>3.5321309943488814</v>
      </c>
      <c r="R564" s="1">
        <f t="shared" si="293"/>
        <v>12.031492526753418</v>
      </c>
      <c r="S564" s="1" t="e">
        <f t="shared" si="294"/>
        <v>#DIV/0!</v>
      </c>
      <c r="T564" s="1" t="e">
        <f t="shared" si="295"/>
        <v>#DIV/0!</v>
      </c>
      <c r="U564" s="1" t="e">
        <f t="shared" si="296"/>
        <v>#DIV/0!</v>
      </c>
      <c r="V564">
        <f t="shared" si="297"/>
        <v>106.25173867370928</v>
      </c>
      <c r="W564">
        <f t="shared" si="298"/>
        <v>171.44491228808306</v>
      </c>
      <c r="X564" t="e">
        <f t="shared" si="299"/>
        <v>#DIV/0!</v>
      </c>
      <c r="Y564">
        <f t="shared" si="300"/>
        <v>0</v>
      </c>
      <c r="Z564">
        <f t="shared" si="301"/>
        <v>0</v>
      </c>
      <c r="AA564">
        <f t="shared" si="302"/>
        <v>0</v>
      </c>
      <c r="AC564">
        <f t="shared" si="303"/>
        <v>128.04598605994988</v>
      </c>
      <c r="AD564">
        <f t="shared" si="304"/>
        <v>171.44491228808306</v>
      </c>
      <c r="AE564">
        <f t="shared" si="305"/>
        <v>422.69350711948607</v>
      </c>
      <c r="AF564">
        <f t="shared" si="306"/>
        <v>0</v>
      </c>
      <c r="AG564">
        <f t="shared" si="307"/>
        <v>0</v>
      </c>
      <c r="AH564">
        <f t="shared" si="308"/>
        <v>0</v>
      </c>
      <c r="AJ564">
        <f t="shared" si="309"/>
        <v>149.83023344619048</v>
      </c>
      <c r="AK564">
        <f t="shared" si="310"/>
        <v>204.88589474569966</v>
      </c>
      <c r="AL564">
        <f t="shared" si="311"/>
        <v>547.53843238702029</v>
      </c>
      <c r="AM564">
        <f t="shared" si="312"/>
        <v>0</v>
      </c>
      <c r="AN564">
        <f t="shared" si="313"/>
        <v>0</v>
      </c>
      <c r="AO564">
        <f t="shared" si="314"/>
        <v>0</v>
      </c>
    </row>
    <row r="565" spans="1:41" x14ac:dyDescent="0.45">
      <c r="A565">
        <v>38.384214669999999</v>
      </c>
      <c r="B565">
        <v>118.8344116</v>
      </c>
      <c r="C565">
        <v>19.470922470000001</v>
      </c>
      <c r="D565">
        <v>2.4486000000000001E-2</v>
      </c>
      <c r="E565">
        <f t="shared" si="280"/>
        <v>2.4486000000000001E-2</v>
      </c>
      <c r="F565">
        <f t="shared" si="281"/>
        <v>0</v>
      </c>
      <c r="G565">
        <f t="shared" si="282"/>
        <v>0</v>
      </c>
      <c r="H565">
        <f t="shared" si="283"/>
        <v>0</v>
      </c>
      <c r="I565">
        <f t="shared" si="284"/>
        <v>0</v>
      </c>
      <c r="J565">
        <f t="shared" si="285"/>
        <v>0</v>
      </c>
      <c r="K565" s="1">
        <f t="shared" si="286"/>
        <v>0</v>
      </c>
      <c r="L565" s="1">
        <f t="shared" si="287"/>
        <v>0</v>
      </c>
      <c r="M565" s="1">
        <f t="shared" si="288"/>
        <v>0</v>
      </c>
      <c r="N565" s="1">
        <f t="shared" si="289"/>
        <v>0</v>
      </c>
      <c r="O565" s="1">
        <f t="shared" si="290"/>
        <v>0</v>
      </c>
      <c r="P565" s="1">
        <f t="shared" si="291"/>
        <v>24.999999999999996</v>
      </c>
      <c r="Q565" s="1" t="e">
        <f t="shared" si="292"/>
        <v>#DIV/0!</v>
      </c>
      <c r="R565" s="1" t="e">
        <f t="shared" si="293"/>
        <v>#DIV/0!</v>
      </c>
      <c r="S565" s="1" t="e">
        <f t="shared" si="294"/>
        <v>#DIV/0!</v>
      </c>
      <c r="T565" s="1" t="e">
        <f t="shared" si="295"/>
        <v>#DIV/0!</v>
      </c>
      <c r="U565" s="1" t="e">
        <f t="shared" si="296"/>
        <v>#DIV/0!</v>
      </c>
      <c r="V565">
        <f t="shared" si="297"/>
        <v>851.4799999999999</v>
      </c>
      <c r="W565">
        <f t="shared" si="298"/>
        <v>0</v>
      </c>
      <c r="X565">
        <f t="shared" si="299"/>
        <v>0</v>
      </c>
      <c r="Y565">
        <f t="shared" si="300"/>
        <v>0</v>
      </c>
      <c r="Z565">
        <f t="shared" si="301"/>
        <v>0</v>
      </c>
      <c r="AA565">
        <f t="shared" si="302"/>
        <v>0</v>
      </c>
      <c r="AC565">
        <f t="shared" si="303"/>
        <v>1045.25</v>
      </c>
      <c r="AD565">
        <f t="shared" si="304"/>
        <v>0</v>
      </c>
      <c r="AE565">
        <f t="shared" si="305"/>
        <v>0</v>
      </c>
      <c r="AF565">
        <f t="shared" si="306"/>
        <v>0</v>
      </c>
      <c r="AG565">
        <f t="shared" si="307"/>
        <v>0</v>
      </c>
      <c r="AH565">
        <f t="shared" si="308"/>
        <v>0</v>
      </c>
      <c r="AJ565">
        <f t="shared" si="309"/>
        <v>1239.0099999999998</v>
      </c>
      <c r="AK565">
        <f t="shared" si="310"/>
        <v>0</v>
      </c>
      <c r="AL565">
        <f t="shared" si="311"/>
        <v>0</v>
      </c>
      <c r="AM565">
        <f t="shared" si="312"/>
        <v>0</v>
      </c>
      <c r="AN565">
        <f t="shared" si="313"/>
        <v>0</v>
      </c>
      <c r="AO565">
        <f t="shared" si="314"/>
        <v>0</v>
      </c>
    </row>
    <row r="566" spans="1:41" x14ac:dyDescent="0.45">
      <c r="A566">
        <v>38.398971600000003</v>
      </c>
      <c r="B566">
        <v>120.3669147</v>
      </c>
      <c r="C566">
        <v>55.417339320000004</v>
      </c>
      <c r="D566">
        <v>0.97944498000000002</v>
      </c>
      <c r="E566">
        <f t="shared" si="280"/>
        <v>0.97944498000000002</v>
      </c>
      <c r="F566">
        <f t="shared" si="281"/>
        <v>0</v>
      </c>
      <c r="G566">
        <f t="shared" si="282"/>
        <v>0</v>
      </c>
      <c r="H566">
        <f t="shared" si="283"/>
        <v>0</v>
      </c>
      <c r="I566">
        <f t="shared" si="284"/>
        <v>0</v>
      </c>
      <c r="J566">
        <f t="shared" si="285"/>
        <v>0</v>
      </c>
      <c r="K566" s="1">
        <f t="shared" si="286"/>
        <v>0</v>
      </c>
      <c r="L566" s="1">
        <f t="shared" si="287"/>
        <v>0</v>
      </c>
      <c r="M566" s="1">
        <f t="shared" si="288"/>
        <v>0</v>
      </c>
      <c r="N566" s="1">
        <f t="shared" si="289"/>
        <v>0</v>
      </c>
      <c r="O566" s="1">
        <f t="shared" si="290"/>
        <v>0</v>
      </c>
      <c r="P566" s="1">
        <f t="shared" si="291"/>
        <v>25</v>
      </c>
      <c r="Q566" s="1" t="e">
        <f t="shared" si="292"/>
        <v>#DIV/0!</v>
      </c>
      <c r="R566" s="1" t="e">
        <f t="shared" si="293"/>
        <v>#DIV/0!</v>
      </c>
      <c r="S566" s="1" t="e">
        <f t="shared" si="294"/>
        <v>#DIV/0!</v>
      </c>
      <c r="T566" s="1" t="e">
        <f t="shared" si="295"/>
        <v>#DIV/0!</v>
      </c>
      <c r="U566" s="1" t="e">
        <f t="shared" si="296"/>
        <v>#DIV/0!</v>
      </c>
      <c r="V566">
        <f t="shared" si="297"/>
        <v>851.48</v>
      </c>
      <c r="W566">
        <f t="shared" si="298"/>
        <v>0</v>
      </c>
      <c r="X566">
        <f t="shared" si="299"/>
        <v>0</v>
      </c>
      <c r="Y566">
        <f t="shared" si="300"/>
        <v>0</v>
      </c>
      <c r="Z566">
        <f t="shared" si="301"/>
        <v>0</v>
      </c>
      <c r="AA566">
        <f t="shared" si="302"/>
        <v>0</v>
      </c>
      <c r="AC566">
        <f t="shared" si="303"/>
        <v>1045.25</v>
      </c>
      <c r="AD566">
        <f t="shared" si="304"/>
        <v>0</v>
      </c>
      <c r="AE566">
        <f t="shared" si="305"/>
        <v>0</v>
      </c>
      <c r="AF566">
        <f t="shared" si="306"/>
        <v>0</v>
      </c>
      <c r="AG566">
        <f t="shared" si="307"/>
        <v>0</v>
      </c>
      <c r="AH566">
        <f t="shared" si="308"/>
        <v>0</v>
      </c>
      <c r="AJ566">
        <f t="shared" si="309"/>
        <v>1239.01</v>
      </c>
      <c r="AK566">
        <f t="shared" si="310"/>
        <v>0</v>
      </c>
      <c r="AL566">
        <f t="shared" si="311"/>
        <v>0</v>
      </c>
      <c r="AM566">
        <f t="shared" si="312"/>
        <v>0</v>
      </c>
      <c r="AN566">
        <f t="shared" si="313"/>
        <v>0</v>
      </c>
      <c r="AO566">
        <f t="shared" si="314"/>
        <v>0</v>
      </c>
    </row>
    <row r="567" spans="1:41" x14ac:dyDescent="0.45">
      <c r="A567">
        <v>38.415633460000002</v>
      </c>
      <c r="B567">
        <v>116.0226402</v>
      </c>
      <c r="C567">
        <v>78.320755000000005</v>
      </c>
      <c r="D567">
        <v>3.5621330699999998</v>
      </c>
      <c r="E567">
        <f t="shared" si="280"/>
        <v>3.5621330699999998</v>
      </c>
      <c r="F567">
        <f t="shared" si="281"/>
        <v>0</v>
      </c>
      <c r="G567">
        <f t="shared" si="282"/>
        <v>0</v>
      </c>
      <c r="H567">
        <f t="shared" si="283"/>
        <v>0</v>
      </c>
      <c r="I567">
        <f t="shared" si="284"/>
        <v>0</v>
      </c>
      <c r="J567">
        <f t="shared" si="285"/>
        <v>0</v>
      </c>
      <c r="K567" s="1">
        <f t="shared" si="286"/>
        <v>0</v>
      </c>
      <c r="L567" s="1">
        <f t="shared" si="287"/>
        <v>0</v>
      </c>
      <c r="M567" s="1">
        <f t="shared" si="288"/>
        <v>0</v>
      </c>
      <c r="N567" s="1">
        <f t="shared" si="289"/>
        <v>0</v>
      </c>
      <c r="O567" s="1">
        <f t="shared" si="290"/>
        <v>0</v>
      </c>
      <c r="P567" s="1">
        <f t="shared" si="291"/>
        <v>25</v>
      </c>
      <c r="Q567" s="1" t="e">
        <f t="shared" si="292"/>
        <v>#DIV/0!</v>
      </c>
      <c r="R567" s="1" t="e">
        <f t="shared" si="293"/>
        <v>#DIV/0!</v>
      </c>
      <c r="S567" s="1" t="e">
        <f t="shared" si="294"/>
        <v>#DIV/0!</v>
      </c>
      <c r="T567" s="1" t="e">
        <f t="shared" si="295"/>
        <v>#DIV/0!</v>
      </c>
      <c r="U567" s="1" t="e">
        <f t="shared" si="296"/>
        <v>#DIV/0!</v>
      </c>
      <c r="V567">
        <f t="shared" si="297"/>
        <v>851.48</v>
      </c>
      <c r="W567">
        <f t="shared" si="298"/>
        <v>0</v>
      </c>
      <c r="X567">
        <f t="shared" si="299"/>
        <v>0</v>
      </c>
      <c r="Y567">
        <f t="shared" si="300"/>
        <v>0</v>
      </c>
      <c r="Z567">
        <f t="shared" si="301"/>
        <v>0</v>
      </c>
      <c r="AA567">
        <f t="shared" si="302"/>
        <v>0</v>
      </c>
      <c r="AC567">
        <f t="shared" si="303"/>
        <v>1045.25</v>
      </c>
      <c r="AD567">
        <f t="shared" si="304"/>
        <v>0</v>
      </c>
      <c r="AE567">
        <f t="shared" si="305"/>
        <v>0</v>
      </c>
      <c r="AF567">
        <f t="shared" si="306"/>
        <v>0</v>
      </c>
      <c r="AG567">
        <f t="shared" si="307"/>
        <v>0</v>
      </c>
      <c r="AH567">
        <f t="shared" si="308"/>
        <v>0</v>
      </c>
      <c r="AJ567">
        <f t="shared" si="309"/>
        <v>1239.01</v>
      </c>
      <c r="AK567">
        <f t="shared" si="310"/>
        <v>0</v>
      </c>
      <c r="AL567">
        <f t="shared" si="311"/>
        <v>0</v>
      </c>
      <c r="AM567">
        <f t="shared" si="312"/>
        <v>0</v>
      </c>
      <c r="AN567">
        <f t="shared" si="313"/>
        <v>0</v>
      </c>
      <c r="AO567">
        <f t="shared" si="314"/>
        <v>0</v>
      </c>
    </row>
    <row r="568" spans="1:41" x14ac:dyDescent="0.45">
      <c r="A568">
        <v>38.420074110000002</v>
      </c>
      <c r="B568">
        <v>118.4877809</v>
      </c>
      <c r="C568">
        <v>81.806549070000003</v>
      </c>
      <c r="D568">
        <v>1.4691679499999999</v>
      </c>
      <c r="E568">
        <f t="shared" si="280"/>
        <v>1.4691679499999999</v>
      </c>
      <c r="F568">
        <f t="shared" si="281"/>
        <v>0</v>
      </c>
      <c r="G568">
        <f t="shared" si="282"/>
        <v>0</v>
      </c>
      <c r="H568">
        <f t="shared" si="283"/>
        <v>0</v>
      </c>
      <c r="I568">
        <f t="shared" si="284"/>
        <v>0</v>
      </c>
      <c r="J568">
        <f t="shared" si="285"/>
        <v>0</v>
      </c>
      <c r="K568" s="1">
        <f t="shared" si="286"/>
        <v>0</v>
      </c>
      <c r="L568" s="1">
        <f t="shared" si="287"/>
        <v>0</v>
      </c>
      <c r="M568" s="1">
        <f t="shared" si="288"/>
        <v>0</v>
      </c>
      <c r="N568" s="1">
        <f t="shared" si="289"/>
        <v>0</v>
      </c>
      <c r="O568" s="1">
        <f t="shared" si="290"/>
        <v>0</v>
      </c>
      <c r="P568" s="1">
        <f t="shared" si="291"/>
        <v>25</v>
      </c>
      <c r="Q568" s="1" t="e">
        <f t="shared" si="292"/>
        <v>#DIV/0!</v>
      </c>
      <c r="R568" s="1" t="e">
        <f t="shared" si="293"/>
        <v>#DIV/0!</v>
      </c>
      <c r="S568" s="1" t="e">
        <f t="shared" si="294"/>
        <v>#DIV/0!</v>
      </c>
      <c r="T568" s="1" t="e">
        <f t="shared" si="295"/>
        <v>#DIV/0!</v>
      </c>
      <c r="U568" s="1" t="e">
        <f t="shared" si="296"/>
        <v>#DIV/0!</v>
      </c>
      <c r="V568">
        <f t="shared" si="297"/>
        <v>851.48</v>
      </c>
      <c r="W568">
        <f t="shared" si="298"/>
        <v>0</v>
      </c>
      <c r="X568">
        <f t="shared" si="299"/>
        <v>0</v>
      </c>
      <c r="Y568">
        <f t="shared" si="300"/>
        <v>0</v>
      </c>
      <c r="Z568">
        <f t="shared" si="301"/>
        <v>0</v>
      </c>
      <c r="AA568">
        <f t="shared" si="302"/>
        <v>0</v>
      </c>
      <c r="AC568">
        <f t="shared" si="303"/>
        <v>1045.25</v>
      </c>
      <c r="AD568">
        <f t="shared" si="304"/>
        <v>0</v>
      </c>
      <c r="AE568">
        <f t="shared" si="305"/>
        <v>0</v>
      </c>
      <c r="AF568">
        <f t="shared" si="306"/>
        <v>0</v>
      </c>
      <c r="AG568">
        <f t="shared" si="307"/>
        <v>0</v>
      </c>
      <c r="AH568">
        <f t="shared" si="308"/>
        <v>0</v>
      </c>
      <c r="AJ568">
        <f t="shared" si="309"/>
        <v>1239.01</v>
      </c>
      <c r="AK568">
        <f t="shared" si="310"/>
        <v>0</v>
      </c>
      <c r="AL568">
        <f t="shared" si="311"/>
        <v>0</v>
      </c>
      <c r="AM568">
        <f t="shared" si="312"/>
        <v>0</v>
      </c>
      <c r="AN568">
        <f t="shared" si="313"/>
        <v>0</v>
      </c>
      <c r="AO568">
        <f t="shared" si="314"/>
        <v>0</v>
      </c>
    </row>
    <row r="569" spans="1:41" x14ac:dyDescent="0.45">
      <c r="A569">
        <v>38.425306740000003</v>
      </c>
      <c r="B569">
        <v>117.4901277</v>
      </c>
      <c r="C569">
        <v>26.05046844</v>
      </c>
      <c r="D569">
        <v>5.8061470999999996</v>
      </c>
      <c r="E569">
        <f t="shared" si="280"/>
        <v>5.8061470999999996</v>
      </c>
      <c r="F569">
        <f t="shared" si="281"/>
        <v>0</v>
      </c>
      <c r="G569">
        <f t="shared" si="282"/>
        <v>0</v>
      </c>
      <c r="H569">
        <f t="shared" si="283"/>
        <v>0</v>
      </c>
      <c r="I569">
        <f t="shared" si="284"/>
        <v>0</v>
      </c>
      <c r="J569">
        <f t="shared" si="285"/>
        <v>0</v>
      </c>
      <c r="K569" s="1">
        <f t="shared" si="286"/>
        <v>0</v>
      </c>
      <c r="L569" s="1">
        <f t="shared" si="287"/>
        <v>0</v>
      </c>
      <c r="M569" s="1">
        <f t="shared" si="288"/>
        <v>0</v>
      </c>
      <c r="N569" s="1">
        <f t="shared" si="289"/>
        <v>0</v>
      </c>
      <c r="O569" s="1">
        <f t="shared" si="290"/>
        <v>0</v>
      </c>
      <c r="P569" s="1">
        <f t="shared" si="291"/>
        <v>25</v>
      </c>
      <c r="Q569" s="1" t="e">
        <f t="shared" si="292"/>
        <v>#DIV/0!</v>
      </c>
      <c r="R569" s="1" t="e">
        <f t="shared" si="293"/>
        <v>#DIV/0!</v>
      </c>
      <c r="S569" s="1" t="e">
        <f t="shared" si="294"/>
        <v>#DIV/0!</v>
      </c>
      <c r="T569" s="1" t="e">
        <f t="shared" si="295"/>
        <v>#DIV/0!</v>
      </c>
      <c r="U569" s="1" t="e">
        <f t="shared" si="296"/>
        <v>#DIV/0!</v>
      </c>
      <c r="V569">
        <f t="shared" si="297"/>
        <v>851.48</v>
      </c>
      <c r="W569">
        <f t="shared" si="298"/>
        <v>0</v>
      </c>
      <c r="X569">
        <f t="shared" si="299"/>
        <v>0</v>
      </c>
      <c r="Y569">
        <f t="shared" si="300"/>
        <v>0</v>
      </c>
      <c r="Z569">
        <f t="shared" si="301"/>
        <v>0</v>
      </c>
      <c r="AA569">
        <f t="shared" si="302"/>
        <v>0</v>
      </c>
      <c r="AC569">
        <f t="shared" si="303"/>
        <v>1045.25</v>
      </c>
      <c r="AD569">
        <f t="shared" si="304"/>
        <v>0</v>
      </c>
      <c r="AE569">
        <f t="shared" si="305"/>
        <v>0</v>
      </c>
      <c r="AF569">
        <f t="shared" si="306"/>
        <v>0</v>
      </c>
      <c r="AG569">
        <f t="shared" si="307"/>
        <v>0</v>
      </c>
      <c r="AH569">
        <f t="shared" si="308"/>
        <v>0</v>
      </c>
      <c r="AJ569">
        <f t="shared" si="309"/>
        <v>1239.01</v>
      </c>
      <c r="AK569">
        <f t="shared" si="310"/>
        <v>0</v>
      </c>
      <c r="AL569">
        <f t="shared" si="311"/>
        <v>0</v>
      </c>
      <c r="AM569">
        <f t="shared" si="312"/>
        <v>0</v>
      </c>
      <c r="AN569">
        <f t="shared" si="313"/>
        <v>0</v>
      </c>
      <c r="AO569">
        <f t="shared" si="314"/>
        <v>0</v>
      </c>
    </row>
    <row r="570" spans="1:41" x14ac:dyDescent="0.45">
      <c r="A570">
        <v>38.425860329999999</v>
      </c>
      <c r="B570">
        <v>120.1363266</v>
      </c>
      <c r="C570">
        <v>26.389209749999999</v>
      </c>
      <c r="D570">
        <v>11.018757819999999</v>
      </c>
      <c r="E570">
        <f t="shared" si="280"/>
        <v>11.018757819999999</v>
      </c>
      <c r="F570">
        <f t="shared" si="281"/>
        <v>0</v>
      </c>
      <c r="G570">
        <f t="shared" si="282"/>
        <v>0</v>
      </c>
      <c r="H570">
        <f t="shared" si="283"/>
        <v>0</v>
      </c>
      <c r="I570">
        <f t="shared" si="284"/>
        <v>0</v>
      </c>
      <c r="J570">
        <f t="shared" si="285"/>
        <v>0</v>
      </c>
      <c r="K570" s="1">
        <f t="shared" si="286"/>
        <v>0</v>
      </c>
      <c r="L570" s="1">
        <f t="shared" si="287"/>
        <v>0</v>
      </c>
      <c r="M570" s="1">
        <f t="shared" si="288"/>
        <v>0</v>
      </c>
      <c r="N570" s="1">
        <f t="shared" si="289"/>
        <v>0</v>
      </c>
      <c r="O570" s="1">
        <f t="shared" si="290"/>
        <v>0</v>
      </c>
      <c r="P570" s="1">
        <f t="shared" si="291"/>
        <v>24.999999999999996</v>
      </c>
      <c r="Q570" s="1" t="e">
        <f t="shared" si="292"/>
        <v>#DIV/0!</v>
      </c>
      <c r="R570" s="1" t="e">
        <f t="shared" si="293"/>
        <v>#DIV/0!</v>
      </c>
      <c r="S570" s="1" t="e">
        <f t="shared" si="294"/>
        <v>#DIV/0!</v>
      </c>
      <c r="T570" s="1" t="e">
        <f t="shared" si="295"/>
        <v>#DIV/0!</v>
      </c>
      <c r="U570" s="1" t="e">
        <f t="shared" si="296"/>
        <v>#DIV/0!</v>
      </c>
      <c r="V570">
        <f t="shared" si="297"/>
        <v>851.4799999999999</v>
      </c>
      <c r="W570">
        <f t="shared" si="298"/>
        <v>0</v>
      </c>
      <c r="X570">
        <f t="shared" si="299"/>
        <v>0</v>
      </c>
      <c r="Y570">
        <f t="shared" si="300"/>
        <v>0</v>
      </c>
      <c r="Z570">
        <f t="shared" si="301"/>
        <v>0</v>
      </c>
      <c r="AA570">
        <f t="shared" si="302"/>
        <v>0</v>
      </c>
      <c r="AC570">
        <f t="shared" si="303"/>
        <v>1045.25</v>
      </c>
      <c r="AD570">
        <f t="shared" si="304"/>
        <v>0</v>
      </c>
      <c r="AE570">
        <f t="shared" si="305"/>
        <v>0</v>
      </c>
      <c r="AF570">
        <f t="shared" si="306"/>
        <v>0</v>
      </c>
      <c r="AG570">
        <f t="shared" si="307"/>
        <v>0</v>
      </c>
      <c r="AH570">
        <f t="shared" si="308"/>
        <v>0</v>
      </c>
      <c r="AJ570">
        <f t="shared" si="309"/>
        <v>1239.0099999999998</v>
      </c>
      <c r="AK570">
        <f t="shared" si="310"/>
        <v>0</v>
      </c>
      <c r="AL570">
        <f t="shared" si="311"/>
        <v>0</v>
      </c>
      <c r="AM570">
        <f t="shared" si="312"/>
        <v>0</v>
      </c>
      <c r="AN570">
        <f t="shared" si="313"/>
        <v>0</v>
      </c>
      <c r="AO570">
        <f t="shared" si="314"/>
        <v>0</v>
      </c>
    </row>
    <row r="571" spans="1:41" x14ac:dyDescent="0.45">
      <c r="A571">
        <v>38.425955649999999</v>
      </c>
      <c r="B571">
        <v>118.42997750000001</v>
      </c>
      <c r="C571">
        <v>13.2817173</v>
      </c>
      <c r="D571">
        <v>18.266651150000001</v>
      </c>
      <c r="E571">
        <f t="shared" si="280"/>
        <v>13.2817173</v>
      </c>
      <c r="F571">
        <f t="shared" si="281"/>
        <v>0</v>
      </c>
      <c r="G571">
        <f t="shared" si="282"/>
        <v>0</v>
      </c>
      <c r="H571">
        <f t="shared" si="283"/>
        <v>0</v>
      </c>
      <c r="I571">
        <f t="shared" si="284"/>
        <v>0</v>
      </c>
      <c r="J571">
        <f t="shared" si="285"/>
        <v>0</v>
      </c>
      <c r="K571" s="1">
        <f t="shared" si="286"/>
        <v>0</v>
      </c>
      <c r="L571" s="1">
        <f t="shared" si="287"/>
        <v>0</v>
      </c>
      <c r="M571" s="1">
        <f t="shared" si="288"/>
        <v>0</v>
      </c>
      <c r="N571" s="1">
        <f t="shared" si="289"/>
        <v>0</v>
      </c>
      <c r="O571" s="1">
        <f t="shared" si="290"/>
        <v>0</v>
      </c>
      <c r="P571" s="1">
        <f t="shared" si="291"/>
        <v>18.177548242059682</v>
      </c>
      <c r="Q571" s="1" t="e">
        <f t="shared" si="292"/>
        <v>#DIV/0!</v>
      </c>
      <c r="R571" s="1" t="e">
        <f t="shared" si="293"/>
        <v>#DIV/0!</v>
      </c>
      <c r="S571" s="1" t="e">
        <f t="shared" si="294"/>
        <v>#DIV/0!</v>
      </c>
      <c r="T571" s="1" t="e">
        <f t="shared" si="295"/>
        <v>#DIV/0!</v>
      </c>
      <c r="U571" s="1" t="e">
        <f t="shared" si="296"/>
        <v>#DIV/0!</v>
      </c>
      <c r="V571">
        <f t="shared" si="297"/>
        <v>629.75031786693967</v>
      </c>
      <c r="W571">
        <f t="shared" si="298"/>
        <v>0</v>
      </c>
      <c r="X571">
        <f t="shared" si="299"/>
        <v>0</v>
      </c>
      <c r="Y571">
        <f t="shared" si="300"/>
        <v>0</v>
      </c>
      <c r="Z571">
        <f t="shared" si="301"/>
        <v>0</v>
      </c>
      <c r="AA571">
        <f t="shared" si="302"/>
        <v>0</v>
      </c>
      <c r="AC571">
        <f t="shared" si="303"/>
        <v>772.35192968238732</v>
      </c>
      <c r="AD571">
        <f t="shared" si="304"/>
        <v>0</v>
      </c>
      <c r="AE571">
        <f t="shared" si="305"/>
        <v>0</v>
      </c>
      <c r="AF571">
        <f t="shared" si="306"/>
        <v>0</v>
      </c>
      <c r="AG571">
        <f t="shared" si="307"/>
        <v>0</v>
      </c>
      <c r="AH571">
        <f t="shared" si="308"/>
        <v>0</v>
      </c>
      <c r="AJ571">
        <f t="shared" si="309"/>
        <v>914.94354149783487</v>
      </c>
      <c r="AK571">
        <f t="shared" si="310"/>
        <v>0</v>
      </c>
      <c r="AL571">
        <f t="shared" si="311"/>
        <v>0</v>
      </c>
      <c r="AM571">
        <f t="shared" si="312"/>
        <v>0</v>
      </c>
      <c r="AN571">
        <f t="shared" si="313"/>
        <v>0</v>
      </c>
      <c r="AO571">
        <f t="shared" si="314"/>
        <v>0</v>
      </c>
    </row>
    <row r="572" spans="1:41" x14ac:dyDescent="0.45">
      <c r="A572">
        <v>38.443347279999998</v>
      </c>
      <c r="B572">
        <v>117.7864811</v>
      </c>
      <c r="C572">
        <v>52.10093689</v>
      </c>
      <c r="D572">
        <v>5.4336562199999996</v>
      </c>
      <c r="E572">
        <f t="shared" si="280"/>
        <v>5.4336562199999996</v>
      </c>
      <c r="F572">
        <f t="shared" si="281"/>
        <v>0</v>
      </c>
      <c r="G572">
        <f t="shared" si="282"/>
        <v>0</v>
      </c>
      <c r="H572">
        <f t="shared" si="283"/>
        <v>0</v>
      </c>
      <c r="I572">
        <f t="shared" si="284"/>
        <v>0</v>
      </c>
      <c r="J572">
        <f t="shared" si="285"/>
        <v>0</v>
      </c>
      <c r="K572" s="1">
        <f t="shared" si="286"/>
        <v>0</v>
      </c>
      <c r="L572" s="1">
        <f t="shared" si="287"/>
        <v>0</v>
      </c>
      <c r="M572" s="1">
        <f t="shared" si="288"/>
        <v>0</v>
      </c>
      <c r="N572" s="1">
        <f t="shared" si="289"/>
        <v>0</v>
      </c>
      <c r="O572" s="1">
        <f t="shared" si="290"/>
        <v>0</v>
      </c>
      <c r="P572" s="1">
        <f t="shared" si="291"/>
        <v>24.999999999999996</v>
      </c>
      <c r="Q572" s="1" t="e">
        <f t="shared" si="292"/>
        <v>#DIV/0!</v>
      </c>
      <c r="R572" s="1" t="e">
        <f t="shared" si="293"/>
        <v>#DIV/0!</v>
      </c>
      <c r="S572" s="1" t="e">
        <f t="shared" si="294"/>
        <v>#DIV/0!</v>
      </c>
      <c r="T572" s="1" t="e">
        <f t="shared" si="295"/>
        <v>#DIV/0!</v>
      </c>
      <c r="U572" s="1" t="e">
        <f t="shared" si="296"/>
        <v>#DIV/0!</v>
      </c>
      <c r="V572">
        <f t="shared" si="297"/>
        <v>851.4799999999999</v>
      </c>
      <c r="W572">
        <f t="shared" si="298"/>
        <v>0</v>
      </c>
      <c r="X572">
        <f t="shared" si="299"/>
        <v>0</v>
      </c>
      <c r="Y572">
        <f t="shared" si="300"/>
        <v>0</v>
      </c>
      <c r="Z572">
        <f t="shared" si="301"/>
        <v>0</v>
      </c>
      <c r="AA572">
        <f t="shared" si="302"/>
        <v>0</v>
      </c>
      <c r="AC572">
        <f t="shared" si="303"/>
        <v>1045.25</v>
      </c>
      <c r="AD572">
        <f t="shared" si="304"/>
        <v>0</v>
      </c>
      <c r="AE572">
        <f t="shared" si="305"/>
        <v>0</v>
      </c>
      <c r="AF572">
        <f t="shared" si="306"/>
        <v>0</v>
      </c>
      <c r="AG572">
        <f t="shared" si="307"/>
        <v>0</v>
      </c>
      <c r="AH572">
        <f t="shared" si="308"/>
        <v>0</v>
      </c>
      <c r="AJ572">
        <f t="shared" si="309"/>
        <v>1239.0099999999998</v>
      </c>
      <c r="AK572">
        <f t="shared" si="310"/>
        <v>0</v>
      </c>
      <c r="AL572">
        <f t="shared" si="311"/>
        <v>0</v>
      </c>
      <c r="AM572">
        <f t="shared" si="312"/>
        <v>0</v>
      </c>
      <c r="AN572">
        <f t="shared" si="313"/>
        <v>0</v>
      </c>
      <c r="AO572">
        <f t="shared" si="314"/>
        <v>0</v>
      </c>
    </row>
    <row r="573" spans="1:41" x14ac:dyDescent="0.45">
      <c r="A573">
        <v>38.444449740000003</v>
      </c>
      <c r="B573">
        <v>119.1387679</v>
      </c>
      <c r="C573">
        <v>91.852645870000003</v>
      </c>
      <c r="D573">
        <v>1.22430599</v>
      </c>
      <c r="E573">
        <f t="shared" si="280"/>
        <v>1.22430599</v>
      </c>
      <c r="F573">
        <f t="shared" si="281"/>
        <v>0</v>
      </c>
      <c r="G573">
        <f t="shared" si="282"/>
        <v>0</v>
      </c>
      <c r="H573">
        <f t="shared" si="283"/>
        <v>0</v>
      </c>
      <c r="I573">
        <f t="shared" si="284"/>
        <v>0</v>
      </c>
      <c r="J573">
        <f t="shared" si="285"/>
        <v>0</v>
      </c>
      <c r="K573" s="1">
        <f t="shared" si="286"/>
        <v>0</v>
      </c>
      <c r="L573" s="1">
        <f t="shared" si="287"/>
        <v>0</v>
      </c>
      <c r="M573" s="1">
        <f t="shared" si="288"/>
        <v>0</v>
      </c>
      <c r="N573" s="1">
        <f t="shared" si="289"/>
        <v>0</v>
      </c>
      <c r="O573" s="1">
        <f t="shared" si="290"/>
        <v>0</v>
      </c>
      <c r="P573" s="1">
        <f t="shared" si="291"/>
        <v>25</v>
      </c>
      <c r="Q573" s="1" t="e">
        <f t="shared" si="292"/>
        <v>#DIV/0!</v>
      </c>
      <c r="R573" s="1" t="e">
        <f t="shared" si="293"/>
        <v>#DIV/0!</v>
      </c>
      <c r="S573" s="1" t="e">
        <f t="shared" si="294"/>
        <v>#DIV/0!</v>
      </c>
      <c r="T573" s="1" t="e">
        <f t="shared" si="295"/>
        <v>#DIV/0!</v>
      </c>
      <c r="U573" s="1" t="e">
        <f t="shared" si="296"/>
        <v>#DIV/0!</v>
      </c>
      <c r="V573">
        <f t="shared" si="297"/>
        <v>851.48</v>
      </c>
      <c r="W573">
        <f t="shared" si="298"/>
        <v>0</v>
      </c>
      <c r="X573">
        <f t="shared" si="299"/>
        <v>0</v>
      </c>
      <c r="Y573">
        <f t="shared" si="300"/>
        <v>0</v>
      </c>
      <c r="Z573">
        <f t="shared" si="301"/>
        <v>0</v>
      </c>
      <c r="AA573">
        <f t="shared" si="302"/>
        <v>0</v>
      </c>
      <c r="AC573">
        <f t="shared" si="303"/>
        <v>1045.25</v>
      </c>
      <c r="AD573">
        <f t="shared" si="304"/>
        <v>0</v>
      </c>
      <c r="AE573">
        <f t="shared" si="305"/>
        <v>0</v>
      </c>
      <c r="AF573">
        <f t="shared" si="306"/>
        <v>0</v>
      </c>
      <c r="AG573">
        <f t="shared" si="307"/>
        <v>0</v>
      </c>
      <c r="AH573">
        <f t="shared" si="308"/>
        <v>0</v>
      </c>
      <c r="AJ573">
        <f t="shared" si="309"/>
        <v>1239.01</v>
      </c>
      <c r="AK573">
        <f t="shared" si="310"/>
        <v>0</v>
      </c>
      <c r="AL573">
        <f t="shared" si="311"/>
        <v>0</v>
      </c>
      <c r="AM573">
        <f t="shared" si="312"/>
        <v>0</v>
      </c>
      <c r="AN573">
        <f t="shared" si="313"/>
        <v>0</v>
      </c>
      <c r="AO573">
        <f t="shared" si="314"/>
        <v>0</v>
      </c>
    </row>
    <row r="574" spans="1:41" x14ac:dyDescent="0.45">
      <c r="A574">
        <v>38.446794599999997</v>
      </c>
      <c r="B574">
        <v>117.25855439999999</v>
      </c>
      <c r="C574">
        <v>26.05046844</v>
      </c>
      <c r="D574">
        <v>5.0618801099999997</v>
      </c>
      <c r="E574">
        <f t="shared" si="280"/>
        <v>5.0618801099999997</v>
      </c>
      <c r="F574">
        <f t="shared" si="281"/>
        <v>0</v>
      </c>
      <c r="G574">
        <f t="shared" si="282"/>
        <v>0</v>
      </c>
      <c r="H574">
        <f t="shared" si="283"/>
        <v>0</v>
      </c>
      <c r="I574">
        <f t="shared" si="284"/>
        <v>0</v>
      </c>
      <c r="J574">
        <f t="shared" si="285"/>
        <v>0</v>
      </c>
      <c r="K574" s="1">
        <f t="shared" si="286"/>
        <v>0</v>
      </c>
      <c r="L574" s="1">
        <f t="shared" si="287"/>
        <v>0</v>
      </c>
      <c r="M574" s="1">
        <f t="shared" si="288"/>
        <v>0</v>
      </c>
      <c r="N574" s="1">
        <f t="shared" si="289"/>
        <v>0</v>
      </c>
      <c r="O574" s="1">
        <f t="shared" si="290"/>
        <v>0</v>
      </c>
      <c r="P574" s="1">
        <f t="shared" si="291"/>
        <v>25</v>
      </c>
      <c r="Q574" s="1" t="e">
        <f t="shared" si="292"/>
        <v>#DIV/0!</v>
      </c>
      <c r="R574" s="1" t="e">
        <f t="shared" si="293"/>
        <v>#DIV/0!</v>
      </c>
      <c r="S574" s="1" t="e">
        <f t="shared" si="294"/>
        <v>#DIV/0!</v>
      </c>
      <c r="T574" s="1" t="e">
        <f t="shared" si="295"/>
        <v>#DIV/0!</v>
      </c>
      <c r="U574" s="1" t="e">
        <f t="shared" si="296"/>
        <v>#DIV/0!</v>
      </c>
      <c r="V574">
        <f t="shared" si="297"/>
        <v>851.48</v>
      </c>
      <c r="W574">
        <f t="shared" si="298"/>
        <v>0</v>
      </c>
      <c r="X574">
        <f t="shared" si="299"/>
        <v>0</v>
      </c>
      <c r="Y574">
        <f t="shared" si="300"/>
        <v>0</v>
      </c>
      <c r="Z574">
        <f t="shared" si="301"/>
        <v>0</v>
      </c>
      <c r="AA574">
        <f t="shared" si="302"/>
        <v>0</v>
      </c>
      <c r="AC574">
        <f t="shared" si="303"/>
        <v>1045.25</v>
      </c>
      <c r="AD574">
        <f t="shared" si="304"/>
        <v>0</v>
      </c>
      <c r="AE574">
        <f t="shared" si="305"/>
        <v>0</v>
      </c>
      <c r="AF574">
        <f t="shared" si="306"/>
        <v>0</v>
      </c>
      <c r="AG574">
        <f t="shared" si="307"/>
        <v>0</v>
      </c>
      <c r="AH574">
        <f t="shared" si="308"/>
        <v>0</v>
      </c>
      <c r="AJ574">
        <f t="shared" si="309"/>
        <v>1239.01</v>
      </c>
      <c r="AK574">
        <f t="shared" si="310"/>
        <v>0</v>
      </c>
      <c r="AL574">
        <f t="shared" si="311"/>
        <v>0</v>
      </c>
      <c r="AM574">
        <f t="shared" si="312"/>
        <v>0</v>
      </c>
      <c r="AN574">
        <f t="shared" si="313"/>
        <v>0</v>
      </c>
      <c r="AO574">
        <f t="shared" si="314"/>
        <v>0</v>
      </c>
    </row>
    <row r="575" spans="1:41" x14ac:dyDescent="0.45">
      <c r="A575">
        <v>38.448899300000001</v>
      </c>
      <c r="B575">
        <v>117.7286076</v>
      </c>
      <c r="C575">
        <v>25.940095899999999</v>
      </c>
      <c r="D575">
        <v>11.34442329</v>
      </c>
      <c r="E575">
        <f t="shared" si="280"/>
        <v>11.34442329</v>
      </c>
      <c r="F575">
        <f t="shared" si="281"/>
        <v>0</v>
      </c>
      <c r="G575">
        <f t="shared" si="282"/>
        <v>0</v>
      </c>
      <c r="H575">
        <f t="shared" si="283"/>
        <v>0</v>
      </c>
      <c r="I575">
        <f t="shared" si="284"/>
        <v>0</v>
      </c>
      <c r="J575">
        <f t="shared" si="285"/>
        <v>0</v>
      </c>
      <c r="K575" s="1">
        <f t="shared" si="286"/>
        <v>0</v>
      </c>
      <c r="L575" s="1">
        <f t="shared" si="287"/>
        <v>0</v>
      </c>
      <c r="M575" s="1">
        <f t="shared" si="288"/>
        <v>0</v>
      </c>
      <c r="N575" s="1">
        <f t="shared" si="289"/>
        <v>0</v>
      </c>
      <c r="O575" s="1">
        <f t="shared" si="290"/>
        <v>0</v>
      </c>
      <c r="P575" s="1">
        <f t="shared" si="291"/>
        <v>25</v>
      </c>
      <c r="Q575" s="1" t="e">
        <f t="shared" si="292"/>
        <v>#DIV/0!</v>
      </c>
      <c r="R575" s="1" t="e">
        <f t="shared" si="293"/>
        <v>#DIV/0!</v>
      </c>
      <c r="S575" s="1" t="e">
        <f t="shared" si="294"/>
        <v>#DIV/0!</v>
      </c>
      <c r="T575" s="1" t="e">
        <f t="shared" si="295"/>
        <v>#DIV/0!</v>
      </c>
      <c r="U575" s="1" t="e">
        <f t="shared" si="296"/>
        <v>#DIV/0!</v>
      </c>
      <c r="V575">
        <f t="shared" si="297"/>
        <v>851.48</v>
      </c>
      <c r="W575">
        <f t="shared" si="298"/>
        <v>0</v>
      </c>
      <c r="X575">
        <f t="shared" si="299"/>
        <v>0</v>
      </c>
      <c r="Y575">
        <f t="shared" si="300"/>
        <v>0</v>
      </c>
      <c r="Z575">
        <f t="shared" si="301"/>
        <v>0</v>
      </c>
      <c r="AA575">
        <f t="shared" si="302"/>
        <v>0</v>
      </c>
      <c r="AC575">
        <f t="shared" si="303"/>
        <v>1045.25</v>
      </c>
      <c r="AD575">
        <f t="shared" si="304"/>
        <v>0</v>
      </c>
      <c r="AE575">
        <f t="shared" si="305"/>
        <v>0</v>
      </c>
      <c r="AF575">
        <f t="shared" si="306"/>
        <v>0</v>
      </c>
      <c r="AG575">
        <f t="shared" si="307"/>
        <v>0</v>
      </c>
      <c r="AH575">
        <f t="shared" si="308"/>
        <v>0</v>
      </c>
      <c r="AJ575">
        <f t="shared" si="309"/>
        <v>1239.01</v>
      </c>
      <c r="AK575">
        <f t="shared" si="310"/>
        <v>0</v>
      </c>
      <c r="AL575">
        <f t="shared" si="311"/>
        <v>0</v>
      </c>
      <c r="AM575">
        <f t="shared" si="312"/>
        <v>0</v>
      </c>
      <c r="AN575">
        <f t="shared" si="313"/>
        <v>0</v>
      </c>
      <c r="AO575">
        <f t="shared" si="314"/>
        <v>0</v>
      </c>
    </row>
    <row r="576" spans="1:41" x14ac:dyDescent="0.45">
      <c r="A576">
        <v>38.451707110000001</v>
      </c>
      <c r="B576">
        <v>116.1446526</v>
      </c>
      <c r="C576">
        <v>78.320755000000005</v>
      </c>
      <c r="D576">
        <v>1.2574019400000001</v>
      </c>
      <c r="E576">
        <f t="shared" si="280"/>
        <v>1.2574019400000001</v>
      </c>
      <c r="F576">
        <f t="shared" si="281"/>
        <v>0</v>
      </c>
      <c r="G576">
        <f t="shared" si="282"/>
        <v>0</v>
      </c>
      <c r="H576">
        <f t="shared" si="283"/>
        <v>0</v>
      </c>
      <c r="I576">
        <f t="shared" si="284"/>
        <v>0</v>
      </c>
      <c r="J576">
        <f t="shared" si="285"/>
        <v>0</v>
      </c>
      <c r="K576" s="1">
        <f t="shared" si="286"/>
        <v>0</v>
      </c>
      <c r="L576" s="1">
        <f t="shared" si="287"/>
        <v>0</v>
      </c>
      <c r="M576" s="1">
        <f t="shared" si="288"/>
        <v>0</v>
      </c>
      <c r="N576" s="1">
        <f t="shared" si="289"/>
        <v>0</v>
      </c>
      <c r="O576" s="1">
        <f t="shared" si="290"/>
        <v>0</v>
      </c>
      <c r="P576" s="1">
        <f t="shared" si="291"/>
        <v>25</v>
      </c>
      <c r="Q576" s="1" t="e">
        <f t="shared" si="292"/>
        <v>#DIV/0!</v>
      </c>
      <c r="R576" s="1" t="e">
        <f t="shared" si="293"/>
        <v>#DIV/0!</v>
      </c>
      <c r="S576" s="1" t="e">
        <f t="shared" si="294"/>
        <v>#DIV/0!</v>
      </c>
      <c r="T576" s="1" t="e">
        <f t="shared" si="295"/>
        <v>#DIV/0!</v>
      </c>
      <c r="U576" s="1" t="e">
        <f t="shared" si="296"/>
        <v>#DIV/0!</v>
      </c>
      <c r="V576">
        <f t="shared" si="297"/>
        <v>851.48</v>
      </c>
      <c r="W576">
        <f t="shared" si="298"/>
        <v>0</v>
      </c>
      <c r="X576">
        <f t="shared" si="299"/>
        <v>0</v>
      </c>
      <c r="Y576">
        <f t="shared" si="300"/>
        <v>0</v>
      </c>
      <c r="Z576">
        <f t="shared" si="301"/>
        <v>0</v>
      </c>
      <c r="AA576">
        <f t="shared" si="302"/>
        <v>0</v>
      </c>
      <c r="AC576">
        <f t="shared" si="303"/>
        <v>1045.25</v>
      </c>
      <c r="AD576">
        <f t="shared" si="304"/>
        <v>0</v>
      </c>
      <c r="AE576">
        <f t="shared" si="305"/>
        <v>0</v>
      </c>
      <c r="AF576">
        <f t="shared" si="306"/>
        <v>0</v>
      </c>
      <c r="AG576">
        <f t="shared" si="307"/>
        <v>0</v>
      </c>
      <c r="AH576">
        <f t="shared" si="308"/>
        <v>0</v>
      </c>
      <c r="AJ576">
        <f t="shared" si="309"/>
        <v>1239.01</v>
      </c>
      <c r="AK576">
        <f t="shared" si="310"/>
        <v>0</v>
      </c>
      <c r="AL576">
        <f t="shared" si="311"/>
        <v>0</v>
      </c>
      <c r="AM576">
        <f t="shared" si="312"/>
        <v>0</v>
      </c>
      <c r="AN576">
        <f t="shared" si="313"/>
        <v>0</v>
      </c>
      <c r="AO576">
        <f t="shared" si="314"/>
        <v>0</v>
      </c>
    </row>
    <row r="577" spans="1:41" x14ac:dyDescent="0.45">
      <c r="A577">
        <v>38.452098460000002</v>
      </c>
      <c r="B577">
        <v>117.2006408</v>
      </c>
      <c r="C577">
        <v>26.05046844</v>
      </c>
      <c r="D577">
        <v>3.1972780200000002</v>
      </c>
      <c r="E577">
        <f t="shared" si="280"/>
        <v>3.1972780200000002</v>
      </c>
      <c r="F577">
        <f t="shared" si="281"/>
        <v>0</v>
      </c>
      <c r="G577">
        <f t="shared" si="282"/>
        <v>0</v>
      </c>
      <c r="H577">
        <f t="shared" si="283"/>
        <v>0</v>
      </c>
      <c r="I577">
        <f t="shared" si="284"/>
        <v>0</v>
      </c>
      <c r="J577">
        <f t="shared" si="285"/>
        <v>0</v>
      </c>
      <c r="K577" s="1">
        <f t="shared" si="286"/>
        <v>0</v>
      </c>
      <c r="L577" s="1">
        <f t="shared" si="287"/>
        <v>0</v>
      </c>
      <c r="M577" s="1">
        <f t="shared" si="288"/>
        <v>0</v>
      </c>
      <c r="N577" s="1">
        <f t="shared" si="289"/>
        <v>0</v>
      </c>
      <c r="O577" s="1">
        <f t="shared" si="290"/>
        <v>0</v>
      </c>
      <c r="P577" s="1">
        <f t="shared" si="291"/>
        <v>25</v>
      </c>
      <c r="Q577" s="1" t="e">
        <f t="shared" si="292"/>
        <v>#DIV/0!</v>
      </c>
      <c r="R577" s="1" t="e">
        <f t="shared" si="293"/>
        <v>#DIV/0!</v>
      </c>
      <c r="S577" s="1" t="e">
        <f t="shared" si="294"/>
        <v>#DIV/0!</v>
      </c>
      <c r="T577" s="1" t="e">
        <f t="shared" si="295"/>
        <v>#DIV/0!</v>
      </c>
      <c r="U577" s="1" t="e">
        <f t="shared" si="296"/>
        <v>#DIV/0!</v>
      </c>
      <c r="V577">
        <f t="shared" si="297"/>
        <v>851.48</v>
      </c>
      <c r="W577">
        <f t="shared" si="298"/>
        <v>0</v>
      </c>
      <c r="X577">
        <f t="shared" si="299"/>
        <v>0</v>
      </c>
      <c r="Y577">
        <f t="shared" si="300"/>
        <v>0</v>
      </c>
      <c r="Z577">
        <f t="shared" si="301"/>
        <v>0</v>
      </c>
      <c r="AA577">
        <f t="shared" si="302"/>
        <v>0</v>
      </c>
      <c r="AC577">
        <f t="shared" si="303"/>
        <v>1045.25</v>
      </c>
      <c r="AD577">
        <f t="shared" si="304"/>
        <v>0</v>
      </c>
      <c r="AE577">
        <f t="shared" si="305"/>
        <v>0</v>
      </c>
      <c r="AF577">
        <f t="shared" si="306"/>
        <v>0</v>
      </c>
      <c r="AG577">
        <f t="shared" si="307"/>
        <v>0</v>
      </c>
      <c r="AH577">
        <f t="shared" si="308"/>
        <v>0</v>
      </c>
      <c r="AJ577">
        <f t="shared" si="309"/>
        <v>1239.01</v>
      </c>
      <c r="AK577">
        <f t="shared" si="310"/>
        <v>0</v>
      </c>
      <c r="AL577">
        <f t="shared" si="311"/>
        <v>0</v>
      </c>
      <c r="AM577">
        <f t="shared" si="312"/>
        <v>0</v>
      </c>
      <c r="AN577">
        <f t="shared" si="313"/>
        <v>0</v>
      </c>
      <c r="AO577">
        <f t="shared" si="314"/>
        <v>0</v>
      </c>
    </row>
    <row r="578" spans="1:41" x14ac:dyDescent="0.45">
      <c r="A578">
        <v>38.454424099999997</v>
      </c>
      <c r="B578">
        <v>117.67072570000001</v>
      </c>
      <c r="C578">
        <v>39.798526760000001</v>
      </c>
      <c r="D578">
        <v>0.31832000999999999</v>
      </c>
      <c r="E578">
        <f t="shared" si="280"/>
        <v>0.31832000999999999</v>
      </c>
      <c r="F578">
        <f t="shared" si="281"/>
        <v>0</v>
      </c>
      <c r="G578">
        <f t="shared" si="282"/>
        <v>0</v>
      </c>
      <c r="H578">
        <f t="shared" si="283"/>
        <v>0</v>
      </c>
      <c r="I578">
        <f t="shared" si="284"/>
        <v>0</v>
      </c>
      <c r="J578">
        <f t="shared" si="285"/>
        <v>0</v>
      </c>
      <c r="K578" s="1">
        <f t="shared" si="286"/>
        <v>0</v>
      </c>
      <c r="L578" s="1">
        <f t="shared" si="287"/>
        <v>0</v>
      </c>
      <c r="M578" s="1">
        <f t="shared" si="288"/>
        <v>0</v>
      </c>
      <c r="N578" s="1">
        <f t="shared" si="289"/>
        <v>0</v>
      </c>
      <c r="O578" s="1">
        <f t="shared" si="290"/>
        <v>0</v>
      </c>
      <c r="P578" s="1">
        <f t="shared" si="291"/>
        <v>25</v>
      </c>
      <c r="Q578" s="1" t="e">
        <f t="shared" si="292"/>
        <v>#DIV/0!</v>
      </c>
      <c r="R578" s="1" t="e">
        <f t="shared" si="293"/>
        <v>#DIV/0!</v>
      </c>
      <c r="S578" s="1" t="e">
        <f t="shared" si="294"/>
        <v>#DIV/0!</v>
      </c>
      <c r="T578" s="1" t="e">
        <f t="shared" si="295"/>
        <v>#DIV/0!</v>
      </c>
      <c r="U578" s="1" t="e">
        <f t="shared" si="296"/>
        <v>#DIV/0!</v>
      </c>
      <c r="V578">
        <f t="shared" si="297"/>
        <v>851.48</v>
      </c>
      <c r="W578">
        <f t="shared" si="298"/>
        <v>0</v>
      </c>
      <c r="X578">
        <f t="shared" si="299"/>
        <v>0</v>
      </c>
      <c r="Y578">
        <f t="shared" si="300"/>
        <v>0</v>
      </c>
      <c r="Z578">
        <f t="shared" si="301"/>
        <v>0</v>
      </c>
      <c r="AA578">
        <f t="shared" si="302"/>
        <v>0</v>
      </c>
      <c r="AC578">
        <f t="shared" si="303"/>
        <v>1045.25</v>
      </c>
      <c r="AD578">
        <f t="shared" si="304"/>
        <v>0</v>
      </c>
      <c r="AE578">
        <f t="shared" si="305"/>
        <v>0</v>
      </c>
      <c r="AF578">
        <f t="shared" si="306"/>
        <v>0</v>
      </c>
      <c r="AG578">
        <f t="shared" si="307"/>
        <v>0</v>
      </c>
      <c r="AH578">
        <f t="shared" si="308"/>
        <v>0</v>
      </c>
      <c r="AJ578">
        <f t="shared" si="309"/>
        <v>1239.01</v>
      </c>
      <c r="AK578">
        <f t="shared" si="310"/>
        <v>0</v>
      </c>
      <c r="AL578">
        <f t="shared" si="311"/>
        <v>0</v>
      </c>
      <c r="AM578">
        <f t="shared" si="312"/>
        <v>0</v>
      </c>
      <c r="AN578">
        <f t="shared" si="313"/>
        <v>0</v>
      </c>
      <c r="AO578">
        <f t="shared" si="314"/>
        <v>0</v>
      </c>
    </row>
    <row r="579" spans="1:41" x14ac:dyDescent="0.45">
      <c r="A579">
        <v>38.456796410000003</v>
      </c>
      <c r="B579">
        <v>119.02321790000001</v>
      </c>
      <c r="C579">
        <v>44.10648346</v>
      </c>
      <c r="D579">
        <v>32.32168961</v>
      </c>
      <c r="E579">
        <f t="shared" ref="E579:E642" si="315">MIN(C579,D579)</f>
        <v>32.32168961</v>
      </c>
      <c r="F579">
        <f t="shared" ref="F579:F642" si="316">MAX(0,(D579-(C579*(2030-2025))))</f>
        <v>0</v>
      </c>
      <c r="G579">
        <f t="shared" ref="G579:G642" si="317">MAX(0,(D579-(C579*(2035-2025))))</f>
        <v>0</v>
      </c>
      <c r="H579">
        <f t="shared" ref="H579:H642" si="318">MAX(0,(D579-(C579*(2040-2025))))</f>
        <v>0</v>
      </c>
      <c r="I579">
        <f t="shared" ref="I579:I642" si="319">MAX(0,(D579-(C579*(2045-2025))))</f>
        <v>0</v>
      </c>
      <c r="J579">
        <f t="shared" ref="J579:J642" si="320">MAX(0,(D579-(C579*(2050-2025))))</f>
        <v>0</v>
      </c>
      <c r="K579" s="1">
        <f t="shared" ref="K579:K642" si="321">MIN(E579,F579)</f>
        <v>0</v>
      </c>
      <c r="L579" s="1">
        <f t="shared" ref="L579:L642" si="322">MIN(E579,G579)</f>
        <v>0</v>
      </c>
      <c r="M579" s="1">
        <f t="shared" ref="M579:M642" si="323">MIN(E579,H579)</f>
        <v>0</v>
      </c>
      <c r="N579" s="1">
        <f t="shared" ref="N579:N642" si="324">MIN(E579,I579)</f>
        <v>0</v>
      </c>
      <c r="O579" s="1">
        <f t="shared" ref="O579:O642" si="325">MIN(E579,J579)</f>
        <v>0</v>
      </c>
      <c r="P579" s="1">
        <f t="shared" ref="P579:P642" si="326">MAX(1,((25*E579)/D579))</f>
        <v>25</v>
      </c>
      <c r="Q579" s="1" t="e">
        <f t="shared" ref="Q579:Q642" si="327">MAX(1, ((25*K579)/F579))</f>
        <v>#DIV/0!</v>
      </c>
      <c r="R579" s="1" t="e">
        <f t="shared" ref="R579:R642" si="328">MAX(1, ((25*L579)/G579))</f>
        <v>#DIV/0!</v>
      </c>
      <c r="S579" s="1" t="e">
        <f t="shared" ref="S579:S642" si="329">MAX(1, ((25*M579)/H579))</f>
        <v>#DIV/0!</v>
      </c>
      <c r="T579" s="1" t="e">
        <f t="shared" ref="T579:T642" si="330">MAX(1, ((25*N579)/I579))</f>
        <v>#DIV/0!</v>
      </c>
      <c r="U579" s="1" t="e">
        <f t="shared" ref="U579:U642" si="331">MAX(1, ((25*O579)/J579))</f>
        <v>#DIV/0!</v>
      </c>
      <c r="V579">
        <f t="shared" ref="V579:V642" si="332">(32.02+6.96+(0.13*250*P579))</f>
        <v>851.48</v>
      </c>
      <c r="W579">
        <f t="shared" ref="W579:W642" si="333">IF(F579&gt;0,(32.72+6.27+(0.15*250*Q579)),F579)</f>
        <v>0</v>
      </c>
      <c r="X579">
        <f t="shared" ref="X579:X642" si="334">IF(G579&gt;0,(22.27+4.87+(0.1*250*S579)),G579)</f>
        <v>0</v>
      </c>
      <c r="Y579">
        <f t="shared" ref="Y579:Y642" si="335">IF(H579&gt;0,(13.92+4.18+(0.08*250*S579)),H579)</f>
        <v>0</v>
      </c>
      <c r="Z579">
        <f t="shared" ref="Z579:Z642" si="336">IF(I579&gt;0,(11.14+3.48+(0.07*250*T579)),I579)</f>
        <v>0</v>
      </c>
      <c r="AA579">
        <f t="shared" ref="AA579:AA642" si="337">IF(J579&gt;0,(9.75+2.78+(0.07*250*U579)),J579)</f>
        <v>0</v>
      </c>
      <c r="AC579">
        <f t="shared" ref="AC579:AC642" si="338">IF(D579&gt;0,(37.59+7.66+(0.16*250*P579)),D579)</f>
        <v>1045.25</v>
      </c>
      <c r="AD579">
        <f t="shared" ref="AD579:AD642" si="339">IF(F579&gt;0,(32.72+6.27+(0.15*250*Q579)),F579)</f>
        <v>0</v>
      </c>
      <c r="AE579">
        <f t="shared" ref="AE579:AE642" si="340">IF(G579&gt;0,(26.45+5.22+(0.13*250*R579)),G579)</f>
        <v>0</v>
      </c>
      <c r="AF579">
        <f t="shared" ref="AF579:AF642" si="341">IF(H579&gt;0,(15.31+4.53+(0.12*250*S579)),H579)</f>
        <v>0</v>
      </c>
      <c r="AG579">
        <f t="shared" ref="AG579:AG642" si="342">IF(I579&gt;0,(16.01+3.83+(0.11*250+T579)),I579)</f>
        <v>0</v>
      </c>
      <c r="AH579">
        <f t="shared" ref="AH579:AH642" si="343">IF(J579,(13.23+3.13+(0.1*250*U579)),J579)</f>
        <v>0</v>
      </c>
      <c r="AJ579">
        <f t="shared" ref="AJ579:AJ642" si="344">(43.16+8.35+(0.19*250*P579))</f>
        <v>1239.01</v>
      </c>
      <c r="AK579">
        <f t="shared" ref="AK579:AK642" si="345">IF(F579&gt;0,(38.98+6.96+(0.18*250*Q579)),F579)</f>
        <v>0</v>
      </c>
      <c r="AL579">
        <f t="shared" ref="AL579:AL642" si="346">IF(G579&gt;0,(30.63+5.57+(0.17*250*R579)),G579)</f>
        <v>0</v>
      </c>
      <c r="AM579">
        <f t="shared" ref="AM579:AM642" si="347">IF(H579&gt;0,(25.06+4.87+(0.15*250*S579)),H579)</f>
        <v>0</v>
      </c>
      <c r="AN579">
        <f t="shared" ref="AN579:AN642" si="348">IF(I579&gt;0,(20.88+4.18+(0.15*250*T579)),I579)</f>
        <v>0</v>
      </c>
      <c r="AO579">
        <f t="shared" ref="AO579:AO642" si="349">IF(J579,(16.71+3.48+(0.14*250*U579)),J579)</f>
        <v>0</v>
      </c>
    </row>
    <row r="580" spans="1:41" x14ac:dyDescent="0.45">
      <c r="A580">
        <v>38.46538194</v>
      </c>
      <c r="B580">
        <v>119.7901423</v>
      </c>
      <c r="C580">
        <v>63.334102629999997</v>
      </c>
      <c r="D580">
        <v>1.22430599</v>
      </c>
      <c r="E580">
        <f t="shared" si="315"/>
        <v>1.22430599</v>
      </c>
      <c r="F580">
        <f t="shared" si="316"/>
        <v>0</v>
      </c>
      <c r="G580">
        <f t="shared" si="317"/>
        <v>0</v>
      </c>
      <c r="H580">
        <f t="shared" si="318"/>
        <v>0</v>
      </c>
      <c r="I580">
        <f t="shared" si="319"/>
        <v>0</v>
      </c>
      <c r="J580">
        <f t="shared" si="320"/>
        <v>0</v>
      </c>
      <c r="K580" s="1">
        <f t="shared" si="321"/>
        <v>0</v>
      </c>
      <c r="L580" s="1">
        <f t="shared" si="322"/>
        <v>0</v>
      </c>
      <c r="M580" s="1">
        <f t="shared" si="323"/>
        <v>0</v>
      </c>
      <c r="N580" s="1">
        <f t="shared" si="324"/>
        <v>0</v>
      </c>
      <c r="O580" s="1">
        <f t="shared" si="325"/>
        <v>0</v>
      </c>
      <c r="P580" s="1">
        <f t="shared" si="326"/>
        <v>25</v>
      </c>
      <c r="Q580" s="1" t="e">
        <f t="shared" si="327"/>
        <v>#DIV/0!</v>
      </c>
      <c r="R580" s="1" t="e">
        <f t="shared" si="328"/>
        <v>#DIV/0!</v>
      </c>
      <c r="S580" s="1" t="e">
        <f t="shared" si="329"/>
        <v>#DIV/0!</v>
      </c>
      <c r="T580" s="1" t="e">
        <f t="shared" si="330"/>
        <v>#DIV/0!</v>
      </c>
      <c r="U580" s="1" t="e">
        <f t="shared" si="331"/>
        <v>#DIV/0!</v>
      </c>
      <c r="V580">
        <f t="shared" si="332"/>
        <v>851.48</v>
      </c>
      <c r="W580">
        <f t="shared" si="333"/>
        <v>0</v>
      </c>
      <c r="X580">
        <f t="shared" si="334"/>
        <v>0</v>
      </c>
      <c r="Y580">
        <f t="shared" si="335"/>
        <v>0</v>
      </c>
      <c r="Z580">
        <f t="shared" si="336"/>
        <v>0</v>
      </c>
      <c r="AA580">
        <f t="shared" si="337"/>
        <v>0</v>
      </c>
      <c r="AC580">
        <f t="shared" si="338"/>
        <v>1045.25</v>
      </c>
      <c r="AD580">
        <f t="shared" si="339"/>
        <v>0</v>
      </c>
      <c r="AE580">
        <f t="shared" si="340"/>
        <v>0</v>
      </c>
      <c r="AF580">
        <f t="shared" si="341"/>
        <v>0</v>
      </c>
      <c r="AG580">
        <f t="shared" si="342"/>
        <v>0</v>
      </c>
      <c r="AH580">
        <f t="shared" si="343"/>
        <v>0</v>
      </c>
      <c r="AJ580">
        <f t="shared" si="344"/>
        <v>1239.01</v>
      </c>
      <c r="AK580">
        <f t="shared" si="345"/>
        <v>0</v>
      </c>
      <c r="AL580">
        <f t="shared" si="346"/>
        <v>0</v>
      </c>
      <c r="AM580">
        <f t="shared" si="347"/>
        <v>0</v>
      </c>
      <c r="AN580">
        <f t="shared" si="348"/>
        <v>0</v>
      </c>
      <c r="AO580">
        <f t="shared" si="349"/>
        <v>0</v>
      </c>
    </row>
    <row r="581" spans="1:41" x14ac:dyDescent="0.45">
      <c r="A581">
        <v>38.465964319999998</v>
      </c>
      <c r="B581">
        <v>115.97065809999999</v>
      </c>
      <c r="C581">
        <v>78.320755000000005</v>
      </c>
      <c r="D581">
        <v>4.81695604</v>
      </c>
      <c r="E581">
        <f t="shared" si="315"/>
        <v>4.81695604</v>
      </c>
      <c r="F581">
        <f t="shared" si="316"/>
        <v>0</v>
      </c>
      <c r="G581">
        <f t="shared" si="317"/>
        <v>0</v>
      </c>
      <c r="H581">
        <f t="shared" si="318"/>
        <v>0</v>
      </c>
      <c r="I581">
        <f t="shared" si="319"/>
        <v>0</v>
      </c>
      <c r="J581">
        <f t="shared" si="320"/>
        <v>0</v>
      </c>
      <c r="K581" s="1">
        <f t="shared" si="321"/>
        <v>0</v>
      </c>
      <c r="L581" s="1">
        <f t="shared" si="322"/>
        <v>0</v>
      </c>
      <c r="M581" s="1">
        <f t="shared" si="323"/>
        <v>0</v>
      </c>
      <c r="N581" s="1">
        <f t="shared" si="324"/>
        <v>0</v>
      </c>
      <c r="O581" s="1">
        <f t="shared" si="325"/>
        <v>0</v>
      </c>
      <c r="P581" s="1">
        <f t="shared" si="326"/>
        <v>25</v>
      </c>
      <c r="Q581" s="1" t="e">
        <f t="shared" si="327"/>
        <v>#DIV/0!</v>
      </c>
      <c r="R581" s="1" t="e">
        <f t="shared" si="328"/>
        <v>#DIV/0!</v>
      </c>
      <c r="S581" s="1" t="e">
        <f t="shared" si="329"/>
        <v>#DIV/0!</v>
      </c>
      <c r="T581" s="1" t="e">
        <f t="shared" si="330"/>
        <v>#DIV/0!</v>
      </c>
      <c r="U581" s="1" t="e">
        <f t="shared" si="331"/>
        <v>#DIV/0!</v>
      </c>
      <c r="V581">
        <f t="shared" si="332"/>
        <v>851.48</v>
      </c>
      <c r="W581">
        <f t="shared" si="333"/>
        <v>0</v>
      </c>
      <c r="X581">
        <f t="shared" si="334"/>
        <v>0</v>
      </c>
      <c r="Y581">
        <f t="shared" si="335"/>
        <v>0</v>
      </c>
      <c r="Z581">
        <f t="shared" si="336"/>
        <v>0</v>
      </c>
      <c r="AA581">
        <f t="shared" si="337"/>
        <v>0</v>
      </c>
      <c r="AC581">
        <f t="shared" si="338"/>
        <v>1045.25</v>
      </c>
      <c r="AD581">
        <f t="shared" si="339"/>
        <v>0</v>
      </c>
      <c r="AE581">
        <f t="shared" si="340"/>
        <v>0</v>
      </c>
      <c r="AF581">
        <f t="shared" si="341"/>
        <v>0</v>
      </c>
      <c r="AG581">
        <f t="shared" si="342"/>
        <v>0</v>
      </c>
      <c r="AH581">
        <f t="shared" si="343"/>
        <v>0</v>
      </c>
      <c r="AJ581">
        <f t="shared" si="344"/>
        <v>1239.01</v>
      </c>
      <c r="AK581">
        <f t="shared" si="345"/>
        <v>0</v>
      </c>
      <c r="AL581">
        <f t="shared" si="346"/>
        <v>0</v>
      </c>
      <c r="AM581">
        <f t="shared" si="347"/>
        <v>0</v>
      </c>
      <c r="AN581">
        <f t="shared" si="348"/>
        <v>0</v>
      </c>
      <c r="AO581">
        <f t="shared" si="349"/>
        <v>0</v>
      </c>
    </row>
    <row r="582" spans="1:41" x14ac:dyDescent="0.45">
      <c r="A582">
        <v>38.47142917</v>
      </c>
      <c r="B582">
        <v>118.4374414</v>
      </c>
      <c r="C582">
        <v>38.009181980000001</v>
      </c>
      <c r="D582">
        <v>0.48972300000000002</v>
      </c>
      <c r="E582">
        <f t="shared" si="315"/>
        <v>0.48972300000000002</v>
      </c>
      <c r="F582">
        <f t="shared" si="316"/>
        <v>0</v>
      </c>
      <c r="G582">
        <f t="shared" si="317"/>
        <v>0</v>
      </c>
      <c r="H582">
        <f t="shared" si="318"/>
        <v>0</v>
      </c>
      <c r="I582">
        <f t="shared" si="319"/>
        <v>0</v>
      </c>
      <c r="J582">
        <f t="shared" si="320"/>
        <v>0</v>
      </c>
      <c r="K582" s="1">
        <f t="shared" si="321"/>
        <v>0</v>
      </c>
      <c r="L582" s="1">
        <f t="shared" si="322"/>
        <v>0</v>
      </c>
      <c r="M582" s="1">
        <f t="shared" si="323"/>
        <v>0</v>
      </c>
      <c r="N582" s="1">
        <f t="shared" si="324"/>
        <v>0</v>
      </c>
      <c r="O582" s="1">
        <f t="shared" si="325"/>
        <v>0</v>
      </c>
      <c r="P582" s="1">
        <f t="shared" si="326"/>
        <v>25</v>
      </c>
      <c r="Q582" s="1" t="e">
        <f t="shared" si="327"/>
        <v>#DIV/0!</v>
      </c>
      <c r="R582" s="1" t="e">
        <f t="shared" si="328"/>
        <v>#DIV/0!</v>
      </c>
      <c r="S582" s="1" t="e">
        <f t="shared" si="329"/>
        <v>#DIV/0!</v>
      </c>
      <c r="T582" s="1" t="e">
        <f t="shared" si="330"/>
        <v>#DIV/0!</v>
      </c>
      <c r="U582" s="1" t="e">
        <f t="shared" si="331"/>
        <v>#DIV/0!</v>
      </c>
      <c r="V582">
        <f t="shared" si="332"/>
        <v>851.48</v>
      </c>
      <c r="W582">
        <f t="shared" si="333"/>
        <v>0</v>
      </c>
      <c r="X582">
        <f t="shared" si="334"/>
        <v>0</v>
      </c>
      <c r="Y582">
        <f t="shared" si="335"/>
        <v>0</v>
      </c>
      <c r="Z582">
        <f t="shared" si="336"/>
        <v>0</v>
      </c>
      <c r="AA582">
        <f t="shared" si="337"/>
        <v>0</v>
      </c>
      <c r="AC582">
        <f t="shared" si="338"/>
        <v>1045.25</v>
      </c>
      <c r="AD582">
        <f t="shared" si="339"/>
        <v>0</v>
      </c>
      <c r="AE582">
        <f t="shared" si="340"/>
        <v>0</v>
      </c>
      <c r="AF582">
        <f t="shared" si="341"/>
        <v>0</v>
      </c>
      <c r="AG582">
        <f t="shared" si="342"/>
        <v>0</v>
      </c>
      <c r="AH582">
        <f t="shared" si="343"/>
        <v>0</v>
      </c>
      <c r="AJ582">
        <f t="shared" si="344"/>
        <v>1239.01</v>
      </c>
      <c r="AK582">
        <f t="shared" si="345"/>
        <v>0</v>
      </c>
      <c r="AL582">
        <f t="shared" si="346"/>
        <v>0</v>
      </c>
      <c r="AM582">
        <f t="shared" si="347"/>
        <v>0</v>
      </c>
      <c r="AN582">
        <f t="shared" si="348"/>
        <v>0</v>
      </c>
      <c r="AO582">
        <f t="shared" si="349"/>
        <v>0</v>
      </c>
    </row>
    <row r="583" spans="1:41" x14ac:dyDescent="0.45">
      <c r="A583">
        <v>38.477881670000002</v>
      </c>
      <c r="B583">
        <v>120.0871022</v>
      </c>
      <c r="C583">
        <v>26.389209749999999</v>
      </c>
      <c r="D583">
        <v>1.48875701</v>
      </c>
      <c r="E583">
        <f t="shared" si="315"/>
        <v>1.48875701</v>
      </c>
      <c r="F583">
        <f t="shared" si="316"/>
        <v>0</v>
      </c>
      <c r="G583">
        <f t="shared" si="317"/>
        <v>0</v>
      </c>
      <c r="H583">
        <f t="shared" si="318"/>
        <v>0</v>
      </c>
      <c r="I583">
        <f t="shared" si="319"/>
        <v>0</v>
      </c>
      <c r="J583">
        <f t="shared" si="320"/>
        <v>0</v>
      </c>
      <c r="K583" s="1">
        <f t="shared" si="321"/>
        <v>0</v>
      </c>
      <c r="L583" s="1">
        <f t="shared" si="322"/>
        <v>0</v>
      </c>
      <c r="M583" s="1">
        <f t="shared" si="323"/>
        <v>0</v>
      </c>
      <c r="N583" s="1">
        <f t="shared" si="324"/>
        <v>0</v>
      </c>
      <c r="O583" s="1">
        <f t="shared" si="325"/>
        <v>0</v>
      </c>
      <c r="P583" s="1">
        <f t="shared" si="326"/>
        <v>24.999999999999996</v>
      </c>
      <c r="Q583" s="1" t="e">
        <f t="shared" si="327"/>
        <v>#DIV/0!</v>
      </c>
      <c r="R583" s="1" t="e">
        <f t="shared" si="328"/>
        <v>#DIV/0!</v>
      </c>
      <c r="S583" s="1" t="e">
        <f t="shared" si="329"/>
        <v>#DIV/0!</v>
      </c>
      <c r="T583" s="1" t="e">
        <f t="shared" si="330"/>
        <v>#DIV/0!</v>
      </c>
      <c r="U583" s="1" t="e">
        <f t="shared" si="331"/>
        <v>#DIV/0!</v>
      </c>
      <c r="V583">
        <f t="shared" si="332"/>
        <v>851.4799999999999</v>
      </c>
      <c r="W583">
        <f t="shared" si="333"/>
        <v>0</v>
      </c>
      <c r="X583">
        <f t="shared" si="334"/>
        <v>0</v>
      </c>
      <c r="Y583">
        <f t="shared" si="335"/>
        <v>0</v>
      </c>
      <c r="Z583">
        <f t="shared" si="336"/>
        <v>0</v>
      </c>
      <c r="AA583">
        <f t="shared" si="337"/>
        <v>0</v>
      </c>
      <c r="AC583">
        <f t="shared" si="338"/>
        <v>1045.25</v>
      </c>
      <c r="AD583">
        <f t="shared" si="339"/>
        <v>0</v>
      </c>
      <c r="AE583">
        <f t="shared" si="340"/>
        <v>0</v>
      </c>
      <c r="AF583">
        <f t="shared" si="341"/>
        <v>0</v>
      </c>
      <c r="AG583">
        <f t="shared" si="342"/>
        <v>0</v>
      </c>
      <c r="AH583">
        <f t="shared" si="343"/>
        <v>0</v>
      </c>
      <c r="AJ583">
        <f t="shared" si="344"/>
        <v>1239.0099999999998</v>
      </c>
      <c r="AK583">
        <f t="shared" si="345"/>
        <v>0</v>
      </c>
      <c r="AL583">
        <f t="shared" si="346"/>
        <v>0</v>
      </c>
      <c r="AM583">
        <f t="shared" si="347"/>
        <v>0</v>
      </c>
      <c r="AN583">
        <f t="shared" si="348"/>
        <v>0</v>
      </c>
      <c r="AO583">
        <f t="shared" si="349"/>
        <v>0</v>
      </c>
    </row>
    <row r="584" spans="1:41" x14ac:dyDescent="0.45">
      <c r="A584">
        <v>38.48700092</v>
      </c>
      <c r="B584">
        <v>117.3232598</v>
      </c>
      <c r="C584">
        <v>52.10093689</v>
      </c>
      <c r="D584">
        <v>9.6765000000000004E-2</v>
      </c>
      <c r="E584">
        <f t="shared" si="315"/>
        <v>9.6765000000000004E-2</v>
      </c>
      <c r="F584">
        <f t="shared" si="316"/>
        <v>0</v>
      </c>
      <c r="G584">
        <f t="shared" si="317"/>
        <v>0</v>
      </c>
      <c r="H584">
        <f t="shared" si="318"/>
        <v>0</v>
      </c>
      <c r="I584">
        <f t="shared" si="319"/>
        <v>0</v>
      </c>
      <c r="J584">
        <f t="shared" si="320"/>
        <v>0</v>
      </c>
      <c r="K584" s="1">
        <f t="shared" si="321"/>
        <v>0</v>
      </c>
      <c r="L584" s="1">
        <f t="shared" si="322"/>
        <v>0</v>
      </c>
      <c r="M584" s="1">
        <f t="shared" si="323"/>
        <v>0</v>
      </c>
      <c r="N584" s="1">
        <f t="shared" si="324"/>
        <v>0</v>
      </c>
      <c r="O584" s="1">
        <f t="shared" si="325"/>
        <v>0</v>
      </c>
      <c r="P584" s="1">
        <f t="shared" si="326"/>
        <v>25</v>
      </c>
      <c r="Q584" s="1" t="e">
        <f t="shared" si="327"/>
        <v>#DIV/0!</v>
      </c>
      <c r="R584" s="1" t="e">
        <f t="shared" si="328"/>
        <v>#DIV/0!</v>
      </c>
      <c r="S584" s="1" t="e">
        <f t="shared" si="329"/>
        <v>#DIV/0!</v>
      </c>
      <c r="T584" s="1" t="e">
        <f t="shared" si="330"/>
        <v>#DIV/0!</v>
      </c>
      <c r="U584" s="1" t="e">
        <f t="shared" si="331"/>
        <v>#DIV/0!</v>
      </c>
      <c r="V584">
        <f t="shared" si="332"/>
        <v>851.48</v>
      </c>
      <c r="W584">
        <f t="shared" si="333"/>
        <v>0</v>
      </c>
      <c r="X584">
        <f t="shared" si="334"/>
        <v>0</v>
      </c>
      <c r="Y584">
        <f t="shared" si="335"/>
        <v>0</v>
      </c>
      <c r="Z584">
        <f t="shared" si="336"/>
        <v>0</v>
      </c>
      <c r="AA584">
        <f t="shared" si="337"/>
        <v>0</v>
      </c>
      <c r="AC584">
        <f t="shared" si="338"/>
        <v>1045.25</v>
      </c>
      <c r="AD584">
        <f t="shared" si="339"/>
        <v>0</v>
      </c>
      <c r="AE584">
        <f t="shared" si="340"/>
        <v>0</v>
      </c>
      <c r="AF584">
        <f t="shared" si="341"/>
        <v>0</v>
      </c>
      <c r="AG584">
        <f t="shared" si="342"/>
        <v>0</v>
      </c>
      <c r="AH584">
        <f t="shared" si="343"/>
        <v>0</v>
      </c>
      <c r="AJ584">
        <f t="shared" si="344"/>
        <v>1239.01</v>
      </c>
      <c r="AK584">
        <f t="shared" si="345"/>
        <v>0</v>
      </c>
      <c r="AL584">
        <f t="shared" si="346"/>
        <v>0</v>
      </c>
      <c r="AM584">
        <f t="shared" si="347"/>
        <v>0</v>
      </c>
      <c r="AN584">
        <f t="shared" si="348"/>
        <v>0</v>
      </c>
      <c r="AO584">
        <f t="shared" si="349"/>
        <v>0</v>
      </c>
    </row>
    <row r="585" spans="1:41" x14ac:dyDescent="0.45">
      <c r="A585">
        <v>38.488858139999998</v>
      </c>
      <c r="B585">
        <v>117.7935621</v>
      </c>
      <c r="C585">
        <v>47.062068940000003</v>
      </c>
      <c r="D585">
        <v>45.255260470000003</v>
      </c>
      <c r="E585">
        <f t="shared" si="315"/>
        <v>45.255260470000003</v>
      </c>
      <c r="F585">
        <f t="shared" si="316"/>
        <v>0</v>
      </c>
      <c r="G585">
        <f t="shared" si="317"/>
        <v>0</v>
      </c>
      <c r="H585">
        <f t="shared" si="318"/>
        <v>0</v>
      </c>
      <c r="I585">
        <f t="shared" si="319"/>
        <v>0</v>
      </c>
      <c r="J585">
        <f t="shared" si="320"/>
        <v>0</v>
      </c>
      <c r="K585" s="1">
        <f t="shared" si="321"/>
        <v>0</v>
      </c>
      <c r="L585" s="1">
        <f t="shared" si="322"/>
        <v>0</v>
      </c>
      <c r="M585" s="1">
        <f t="shared" si="323"/>
        <v>0</v>
      </c>
      <c r="N585" s="1">
        <f t="shared" si="324"/>
        <v>0</v>
      </c>
      <c r="O585" s="1">
        <f t="shared" si="325"/>
        <v>0</v>
      </c>
      <c r="P585" s="1">
        <f t="shared" si="326"/>
        <v>25</v>
      </c>
      <c r="Q585" s="1" t="e">
        <f t="shared" si="327"/>
        <v>#DIV/0!</v>
      </c>
      <c r="R585" s="1" t="e">
        <f t="shared" si="328"/>
        <v>#DIV/0!</v>
      </c>
      <c r="S585" s="1" t="e">
        <f t="shared" si="329"/>
        <v>#DIV/0!</v>
      </c>
      <c r="T585" s="1" t="e">
        <f t="shared" si="330"/>
        <v>#DIV/0!</v>
      </c>
      <c r="U585" s="1" t="e">
        <f t="shared" si="331"/>
        <v>#DIV/0!</v>
      </c>
      <c r="V585">
        <f t="shared" si="332"/>
        <v>851.48</v>
      </c>
      <c r="W585">
        <f t="shared" si="333"/>
        <v>0</v>
      </c>
      <c r="X585">
        <f t="shared" si="334"/>
        <v>0</v>
      </c>
      <c r="Y585">
        <f t="shared" si="335"/>
        <v>0</v>
      </c>
      <c r="Z585">
        <f t="shared" si="336"/>
        <v>0</v>
      </c>
      <c r="AA585">
        <f t="shared" si="337"/>
        <v>0</v>
      </c>
      <c r="AC585">
        <f t="shared" si="338"/>
        <v>1045.25</v>
      </c>
      <c r="AD585">
        <f t="shared" si="339"/>
        <v>0</v>
      </c>
      <c r="AE585">
        <f t="shared" si="340"/>
        <v>0</v>
      </c>
      <c r="AF585">
        <f t="shared" si="341"/>
        <v>0</v>
      </c>
      <c r="AG585">
        <f t="shared" si="342"/>
        <v>0</v>
      </c>
      <c r="AH585">
        <f t="shared" si="343"/>
        <v>0</v>
      </c>
      <c r="AJ585">
        <f t="shared" si="344"/>
        <v>1239.01</v>
      </c>
      <c r="AK585">
        <f t="shared" si="345"/>
        <v>0</v>
      </c>
      <c r="AL585">
        <f t="shared" si="346"/>
        <v>0</v>
      </c>
      <c r="AM585">
        <f t="shared" si="347"/>
        <v>0</v>
      </c>
      <c r="AN585">
        <f t="shared" si="348"/>
        <v>0</v>
      </c>
      <c r="AO585">
        <f t="shared" si="349"/>
        <v>0</v>
      </c>
    </row>
    <row r="586" spans="1:41" x14ac:dyDescent="0.45">
      <c r="A586">
        <v>38.497305490000002</v>
      </c>
      <c r="B586">
        <v>116.15075179999999</v>
      </c>
      <c r="C586">
        <v>78.320755000000005</v>
      </c>
      <c r="D586">
        <v>1.0177279699999999</v>
      </c>
      <c r="E586">
        <f t="shared" si="315"/>
        <v>1.0177279699999999</v>
      </c>
      <c r="F586">
        <f t="shared" si="316"/>
        <v>0</v>
      </c>
      <c r="G586">
        <f t="shared" si="317"/>
        <v>0</v>
      </c>
      <c r="H586">
        <f t="shared" si="318"/>
        <v>0</v>
      </c>
      <c r="I586">
        <f t="shared" si="319"/>
        <v>0</v>
      </c>
      <c r="J586">
        <f t="shared" si="320"/>
        <v>0</v>
      </c>
      <c r="K586" s="1">
        <f t="shared" si="321"/>
        <v>0</v>
      </c>
      <c r="L586" s="1">
        <f t="shared" si="322"/>
        <v>0</v>
      </c>
      <c r="M586" s="1">
        <f t="shared" si="323"/>
        <v>0</v>
      </c>
      <c r="N586" s="1">
        <f t="shared" si="324"/>
        <v>0</v>
      </c>
      <c r="O586" s="1">
        <f t="shared" si="325"/>
        <v>0</v>
      </c>
      <c r="P586" s="1">
        <f t="shared" si="326"/>
        <v>25</v>
      </c>
      <c r="Q586" s="1" t="e">
        <f t="shared" si="327"/>
        <v>#DIV/0!</v>
      </c>
      <c r="R586" s="1" t="e">
        <f t="shared" si="328"/>
        <v>#DIV/0!</v>
      </c>
      <c r="S586" s="1" t="e">
        <f t="shared" si="329"/>
        <v>#DIV/0!</v>
      </c>
      <c r="T586" s="1" t="e">
        <f t="shared" si="330"/>
        <v>#DIV/0!</v>
      </c>
      <c r="U586" s="1" t="e">
        <f t="shared" si="331"/>
        <v>#DIV/0!</v>
      </c>
      <c r="V586">
        <f t="shared" si="332"/>
        <v>851.48</v>
      </c>
      <c r="W586">
        <f t="shared" si="333"/>
        <v>0</v>
      </c>
      <c r="X586">
        <f t="shared" si="334"/>
        <v>0</v>
      </c>
      <c r="Y586">
        <f t="shared" si="335"/>
        <v>0</v>
      </c>
      <c r="Z586">
        <f t="shared" si="336"/>
        <v>0</v>
      </c>
      <c r="AA586">
        <f t="shared" si="337"/>
        <v>0</v>
      </c>
      <c r="AC586">
        <f t="shared" si="338"/>
        <v>1045.25</v>
      </c>
      <c r="AD586">
        <f t="shared" si="339"/>
        <v>0</v>
      </c>
      <c r="AE586">
        <f t="shared" si="340"/>
        <v>0</v>
      </c>
      <c r="AF586">
        <f t="shared" si="341"/>
        <v>0</v>
      </c>
      <c r="AG586">
        <f t="shared" si="342"/>
        <v>0</v>
      </c>
      <c r="AH586">
        <f t="shared" si="343"/>
        <v>0</v>
      </c>
      <c r="AJ586">
        <f t="shared" si="344"/>
        <v>1239.01</v>
      </c>
      <c r="AK586">
        <f t="shared" si="345"/>
        <v>0</v>
      </c>
      <c r="AL586">
        <f t="shared" si="346"/>
        <v>0</v>
      </c>
      <c r="AM586">
        <f t="shared" si="347"/>
        <v>0</v>
      </c>
      <c r="AN586">
        <f t="shared" si="348"/>
        <v>0</v>
      </c>
      <c r="AO586">
        <f t="shared" si="349"/>
        <v>0</v>
      </c>
    </row>
    <row r="587" spans="1:41" x14ac:dyDescent="0.45">
      <c r="A587">
        <v>38.502087889999999</v>
      </c>
      <c r="B587">
        <v>116.09272660000001</v>
      </c>
      <c r="C587">
        <v>78.320755000000005</v>
      </c>
      <c r="D587">
        <v>6.6664000000000001E-2</v>
      </c>
      <c r="E587">
        <f t="shared" si="315"/>
        <v>6.6664000000000001E-2</v>
      </c>
      <c r="F587">
        <f t="shared" si="316"/>
        <v>0</v>
      </c>
      <c r="G587">
        <f t="shared" si="317"/>
        <v>0</v>
      </c>
      <c r="H587">
        <f t="shared" si="318"/>
        <v>0</v>
      </c>
      <c r="I587">
        <f t="shared" si="319"/>
        <v>0</v>
      </c>
      <c r="J587">
        <f t="shared" si="320"/>
        <v>0</v>
      </c>
      <c r="K587" s="1">
        <f t="shared" si="321"/>
        <v>0</v>
      </c>
      <c r="L587" s="1">
        <f t="shared" si="322"/>
        <v>0</v>
      </c>
      <c r="M587" s="1">
        <f t="shared" si="323"/>
        <v>0</v>
      </c>
      <c r="N587" s="1">
        <f t="shared" si="324"/>
        <v>0</v>
      </c>
      <c r="O587" s="1">
        <f t="shared" si="325"/>
        <v>0</v>
      </c>
      <c r="P587" s="1">
        <f t="shared" si="326"/>
        <v>25</v>
      </c>
      <c r="Q587" s="1" t="e">
        <f t="shared" si="327"/>
        <v>#DIV/0!</v>
      </c>
      <c r="R587" s="1" t="e">
        <f t="shared" si="328"/>
        <v>#DIV/0!</v>
      </c>
      <c r="S587" s="1" t="e">
        <f t="shared" si="329"/>
        <v>#DIV/0!</v>
      </c>
      <c r="T587" s="1" t="e">
        <f t="shared" si="330"/>
        <v>#DIV/0!</v>
      </c>
      <c r="U587" s="1" t="e">
        <f t="shared" si="331"/>
        <v>#DIV/0!</v>
      </c>
      <c r="V587">
        <f t="shared" si="332"/>
        <v>851.48</v>
      </c>
      <c r="W587">
        <f t="shared" si="333"/>
        <v>0</v>
      </c>
      <c r="X587">
        <f t="shared" si="334"/>
        <v>0</v>
      </c>
      <c r="Y587">
        <f t="shared" si="335"/>
        <v>0</v>
      </c>
      <c r="Z587">
        <f t="shared" si="336"/>
        <v>0</v>
      </c>
      <c r="AA587">
        <f t="shared" si="337"/>
        <v>0</v>
      </c>
      <c r="AC587">
        <f t="shared" si="338"/>
        <v>1045.25</v>
      </c>
      <c r="AD587">
        <f t="shared" si="339"/>
        <v>0</v>
      </c>
      <c r="AE587">
        <f t="shared" si="340"/>
        <v>0</v>
      </c>
      <c r="AF587">
        <f t="shared" si="341"/>
        <v>0</v>
      </c>
      <c r="AG587">
        <f t="shared" si="342"/>
        <v>0</v>
      </c>
      <c r="AH587">
        <f t="shared" si="343"/>
        <v>0</v>
      </c>
      <c r="AJ587">
        <f t="shared" si="344"/>
        <v>1239.01</v>
      </c>
      <c r="AK587">
        <f t="shared" si="345"/>
        <v>0</v>
      </c>
      <c r="AL587">
        <f t="shared" si="346"/>
        <v>0</v>
      </c>
      <c r="AM587">
        <f t="shared" si="347"/>
        <v>0</v>
      </c>
      <c r="AN587">
        <f t="shared" si="348"/>
        <v>0</v>
      </c>
      <c r="AO587">
        <f t="shared" si="349"/>
        <v>0</v>
      </c>
    </row>
    <row r="588" spans="1:41" x14ac:dyDescent="0.45">
      <c r="A588">
        <v>38.502231930000001</v>
      </c>
      <c r="B588">
        <v>119.03103900000001</v>
      </c>
      <c r="C588">
        <v>15.833525659999999</v>
      </c>
      <c r="D588">
        <v>4.8972258599999998</v>
      </c>
      <c r="E588">
        <f t="shared" si="315"/>
        <v>4.8972258599999998</v>
      </c>
      <c r="F588">
        <f t="shared" si="316"/>
        <v>0</v>
      </c>
      <c r="G588">
        <f t="shared" si="317"/>
        <v>0</v>
      </c>
      <c r="H588">
        <f t="shared" si="318"/>
        <v>0</v>
      </c>
      <c r="I588">
        <f t="shared" si="319"/>
        <v>0</v>
      </c>
      <c r="J588">
        <f t="shared" si="320"/>
        <v>0</v>
      </c>
      <c r="K588" s="1">
        <f t="shared" si="321"/>
        <v>0</v>
      </c>
      <c r="L588" s="1">
        <f t="shared" si="322"/>
        <v>0</v>
      </c>
      <c r="M588" s="1">
        <f t="shared" si="323"/>
        <v>0</v>
      </c>
      <c r="N588" s="1">
        <f t="shared" si="324"/>
        <v>0</v>
      </c>
      <c r="O588" s="1">
        <f t="shared" si="325"/>
        <v>0</v>
      </c>
      <c r="P588" s="1">
        <f t="shared" si="326"/>
        <v>25</v>
      </c>
      <c r="Q588" s="1" t="e">
        <f t="shared" si="327"/>
        <v>#DIV/0!</v>
      </c>
      <c r="R588" s="1" t="e">
        <f t="shared" si="328"/>
        <v>#DIV/0!</v>
      </c>
      <c r="S588" s="1" t="e">
        <f t="shared" si="329"/>
        <v>#DIV/0!</v>
      </c>
      <c r="T588" s="1" t="e">
        <f t="shared" si="330"/>
        <v>#DIV/0!</v>
      </c>
      <c r="U588" s="1" t="e">
        <f t="shared" si="331"/>
        <v>#DIV/0!</v>
      </c>
      <c r="V588">
        <f t="shared" si="332"/>
        <v>851.48</v>
      </c>
      <c r="W588">
        <f t="shared" si="333"/>
        <v>0</v>
      </c>
      <c r="X588">
        <f t="shared" si="334"/>
        <v>0</v>
      </c>
      <c r="Y588">
        <f t="shared" si="335"/>
        <v>0</v>
      </c>
      <c r="Z588">
        <f t="shared" si="336"/>
        <v>0</v>
      </c>
      <c r="AA588">
        <f t="shared" si="337"/>
        <v>0</v>
      </c>
      <c r="AC588">
        <f t="shared" si="338"/>
        <v>1045.25</v>
      </c>
      <c r="AD588">
        <f t="shared" si="339"/>
        <v>0</v>
      </c>
      <c r="AE588">
        <f t="shared" si="340"/>
        <v>0</v>
      </c>
      <c r="AF588">
        <f t="shared" si="341"/>
        <v>0</v>
      </c>
      <c r="AG588">
        <f t="shared" si="342"/>
        <v>0</v>
      </c>
      <c r="AH588">
        <f t="shared" si="343"/>
        <v>0</v>
      </c>
      <c r="AJ588">
        <f t="shared" si="344"/>
        <v>1239.01</v>
      </c>
      <c r="AK588">
        <f t="shared" si="345"/>
        <v>0</v>
      </c>
      <c r="AL588">
        <f t="shared" si="346"/>
        <v>0</v>
      </c>
      <c r="AM588">
        <f t="shared" si="347"/>
        <v>0</v>
      </c>
      <c r="AN588">
        <f t="shared" si="348"/>
        <v>0</v>
      </c>
      <c r="AO588">
        <f t="shared" si="349"/>
        <v>0</v>
      </c>
    </row>
    <row r="589" spans="1:41" x14ac:dyDescent="0.45">
      <c r="A589">
        <v>38.510915199999999</v>
      </c>
      <c r="B589">
        <v>117.5618814</v>
      </c>
      <c r="C589">
        <v>52.10093689</v>
      </c>
      <c r="D589">
        <v>18.087516780000001</v>
      </c>
      <c r="E589">
        <f t="shared" si="315"/>
        <v>18.087516780000001</v>
      </c>
      <c r="F589">
        <f t="shared" si="316"/>
        <v>0</v>
      </c>
      <c r="G589">
        <f t="shared" si="317"/>
        <v>0</v>
      </c>
      <c r="H589">
        <f t="shared" si="318"/>
        <v>0</v>
      </c>
      <c r="I589">
        <f t="shared" si="319"/>
        <v>0</v>
      </c>
      <c r="J589">
        <f t="shared" si="320"/>
        <v>0</v>
      </c>
      <c r="K589" s="1">
        <f t="shared" si="321"/>
        <v>0</v>
      </c>
      <c r="L589" s="1">
        <f t="shared" si="322"/>
        <v>0</v>
      </c>
      <c r="M589" s="1">
        <f t="shared" si="323"/>
        <v>0</v>
      </c>
      <c r="N589" s="1">
        <f t="shared" si="324"/>
        <v>0</v>
      </c>
      <c r="O589" s="1">
        <f t="shared" si="325"/>
        <v>0</v>
      </c>
      <c r="P589" s="1">
        <f t="shared" si="326"/>
        <v>25</v>
      </c>
      <c r="Q589" s="1" t="e">
        <f t="shared" si="327"/>
        <v>#DIV/0!</v>
      </c>
      <c r="R589" s="1" t="e">
        <f t="shared" si="328"/>
        <v>#DIV/0!</v>
      </c>
      <c r="S589" s="1" t="e">
        <f t="shared" si="329"/>
        <v>#DIV/0!</v>
      </c>
      <c r="T589" s="1" t="e">
        <f t="shared" si="330"/>
        <v>#DIV/0!</v>
      </c>
      <c r="U589" s="1" t="e">
        <f t="shared" si="331"/>
        <v>#DIV/0!</v>
      </c>
      <c r="V589">
        <f t="shared" si="332"/>
        <v>851.48</v>
      </c>
      <c r="W589">
        <f t="shared" si="333"/>
        <v>0</v>
      </c>
      <c r="X589">
        <f t="shared" si="334"/>
        <v>0</v>
      </c>
      <c r="Y589">
        <f t="shared" si="335"/>
        <v>0</v>
      </c>
      <c r="Z589">
        <f t="shared" si="336"/>
        <v>0</v>
      </c>
      <c r="AA589">
        <f t="shared" si="337"/>
        <v>0</v>
      </c>
      <c r="AC589">
        <f t="shared" si="338"/>
        <v>1045.25</v>
      </c>
      <c r="AD589">
        <f t="shared" si="339"/>
        <v>0</v>
      </c>
      <c r="AE589">
        <f t="shared" si="340"/>
        <v>0</v>
      </c>
      <c r="AF589">
        <f t="shared" si="341"/>
        <v>0</v>
      </c>
      <c r="AG589">
        <f t="shared" si="342"/>
        <v>0</v>
      </c>
      <c r="AH589">
        <f t="shared" si="343"/>
        <v>0</v>
      </c>
      <c r="AJ589">
        <f t="shared" si="344"/>
        <v>1239.01</v>
      </c>
      <c r="AK589">
        <f t="shared" si="345"/>
        <v>0</v>
      </c>
      <c r="AL589">
        <f t="shared" si="346"/>
        <v>0</v>
      </c>
      <c r="AM589">
        <f t="shared" si="347"/>
        <v>0</v>
      </c>
      <c r="AN589">
        <f t="shared" si="348"/>
        <v>0</v>
      </c>
      <c r="AO589">
        <f t="shared" si="349"/>
        <v>0</v>
      </c>
    </row>
    <row r="590" spans="1:41" x14ac:dyDescent="0.45">
      <c r="A590">
        <v>38.520517310000002</v>
      </c>
      <c r="B590">
        <v>91.098702180000004</v>
      </c>
      <c r="C590">
        <v>20.624670030000001</v>
      </c>
      <c r="D590">
        <v>0.47804201000000002</v>
      </c>
      <c r="E590">
        <f t="shared" si="315"/>
        <v>0.47804201000000002</v>
      </c>
      <c r="F590">
        <f t="shared" si="316"/>
        <v>0</v>
      </c>
      <c r="G590">
        <f t="shared" si="317"/>
        <v>0</v>
      </c>
      <c r="H590">
        <f t="shared" si="318"/>
        <v>0</v>
      </c>
      <c r="I590">
        <f t="shared" si="319"/>
        <v>0</v>
      </c>
      <c r="J590">
        <f t="shared" si="320"/>
        <v>0</v>
      </c>
      <c r="K590" s="1">
        <f t="shared" si="321"/>
        <v>0</v>
      </c>
      <c r="L590" s="1">
        <f t="shared" si="322"/>
        <v>0</v>
      </c>
      <c r="M590" s="1">
        <f t="shared" si="323"/>
        <v>0</v>
      </c>
      <c r="N590" s="1">
        <f t="shared" si="324"/>
        <v>0</v>
      </c>
      <c r="O590" s="1">
        <f t="shared" si="325"/>
        <v>0</v>
      </c>
      <c r="P590" s="1">
        <f t="shared" si="326"/>
        <v>25</v>
      </c>
      <c r="Q590" s="1" t="e">
        <f t="shared" si="327"/>
        <v>#DIV/0!</v>
      </c>
      <c r="R590" s="1" t="e">
        <f t="shared" si="328"/>
        <v>#DIV/0!</v>
      </c>
      <c r="S590" s="1" t="e">
        <f t="shared" si="329"/>
        <v>#DIV/0!</v>
      </c>
      <c r="T590" s="1" t="e">
        <f t="shared" si="330"/>
        <v>#DIV/0!</v>
      </c>
      <c r="U590" s="1" t="e">
        <f t="shared" si="331"/>
        <v>#DIV/0!</v>
      </c>
      <c r="V590">
        <f t="shared" si="332"/>
        <v>851.48</v>
      </c>
      <c r="W590">
        <f t="shared" si="333"/>
        <v>0</v>
      </c>
      <c r="X590">
        <f t="shared" si="334"/>
        <v>0</v>
      </c>
      <c r="Y590">
        <f t="shared" si="335"/>
        <v>0</v>
      </c>
      <c r="Z590">
        <f t="shared" si="336"/>
        <v>0</v>
      </c>
      <c r="AA590">
        <f t="shared" si="337"/>
        <v>0</v>
      </c>
      <c r="AC590">
        <f t="shared" si="338"/>
        <v>1045.25</v>
      </c>
      <c r="AD590">
        <f t="shared" si="339"/>
        <v>0</v>
      </c>
      <c r="AE590">
        <f t="shared" si="340"/>
        <v>0</v>
      </c>
      <c r="AF590">
        <f t="shared" si="341"/>
        <v>0</v>
      </c>
      <c r="AG590">
        <f t="shared" si="342"/>
        <v>0</v>
      </c>
      <c r="AH590">
        <f t="shared" si="343"/>
        <v>0</v>
      </c>
      <c r="AJ590">
        <f t="shared" si="344"/>
        <v>1239.01</v>
      </c>
      <c r="AK590">
        <f t="shared" si="345"/>
        <v>0</v>
      </c>
      <c r="AL590">
        <f t="shared" si="346"/>
        <v>0</v>
      </c>
      <c r="AM590">
        <f t="shared" si="347"/>
        <v>0</v>
      </c>
      <c r="AN590">
        <f t="shared" si="348"/>
        <v>0</v>
      </c>
      <c r="AO590">
        <f t="shared" si="349"/>
        <v>0</v>
      </c>
    </row>
    <row r="591" spans="1:41" x14ac:dyDescent="0.45">
      <c r="A591">
        <v>38.527171840000001</v>
      </c>
      <c r="B591">
        <v>117.38803350000001</v>
      </c>
      <c r="C591">
        <v>52.10093689</v>
      </c>
      <c r="D591">
        <v>4.86169195</v>
      </c>
      <c r="E591">
        <f t="shared" si="315"/>
        <v>4.86169195</v>
      </c>
      <c r="F591">
        <f t="shared" si="316"/>
        <v>0</v>
      </c>
      <c r="G591">
        <f t="shared" si="317"/>
        <v>0</v>
      </c>
      <c r="H591">
        <f t="shared" si="318"/>
        <v>0</v>
      </c>
      <c r="I591">
        <f t="shared" si="319"/>
        <v>0</v>
      </c>
      <c r="J591">
        <f t="shared" si="320"/>
        <v>0</v>
      </c>
      <c r="K591" s="1">
        <f t="shared" si="321"/>
        <v>0</v>
      </c>
      <c r="L591" s="1">
        <f t="shared" si="322"/>
        <v>0</v>
      </c>
      <c r="M591" s="1">
        <f t="shared" si="323"/>
        <v>0</v>
      </c>
      <c r="N591" s="1">
        <f t="shared" si="324"/>
        <v>0</v>
      </c>
      <c r="O591" s="1">
        <f t="shared" si="325"/>
        <v>0</v>
      </c>
      <c r="P591" s="1">
        <f t="shared" si="326"/>
        <v>25</v>
      </c>
      <c r="Q591" s="1" t="e">
        <f t="shared" si="327"/>
        <v>#DIV/0!</v>
      </c>
      <c r="R591" s="1" t="e">
        <f t="shared" si="328"/>
        <v>#DIV/0!</v>
      </c>
      <c r="S591" s="1" t="e">
        <f t="shared" si="329"/>
        <v>#DIV/0!</v>
      </c>
      <c r="T591" s="1" t="e">
        <f t="shared" si="330"/>
        <v>#DIV/0!</v>
      </c>
      <c r="U591" s="1" t="e">
        <f t="shared" si="331"/>
        <v>#DIV/0!</v>
      </c>
      <c r="V591">
        <f t="shared" si="332"/>
        <v>851.48</v>
      </c>
      <c r="W591">
        <f t="shared" si="333"/>
        <v>0</v>
      </c>
      <c r="X591">
        <f t="shared" si="334"/>
        <v>0</v>
      </c>
      <c r="Y591">
        <f t="shared" si="335"/>
        <v>0</v>
      </c>
      <c r="Z591">
        <f t="shared" si="336"/>
        <v>0</v>
      </c>
      <c r="AA591">
        <f t="shared" si="337"/>
        <v>0</v>
      </c>
      <c r="AC591">
        <f t="shared" si="338"/>
        <v>1045.25</v>
      </c>
      <c r="AD591">
        <f t="shared" si="339"/>
        <v>0</v>
      </c>
      <c r="AE591">
        <f t="shared" si="340"/>
        <v>0</v>
      </c>
      <c r="AF591">
        <f t="shared" si="341"/>
        <v>0</v>
      </c>
      <c r="AG591">
        <f t="shared" si="342"/>
        <v>0</v>
      </c>
      <c r="AH591">
        <f t="shared" si="343"/>
        <v>0</v>
      </c>
      <c r="AJ591">
        <f t="shared" si="344"/>
        <v>1239.01</v>
      </c>
      <c r="AK591">
        <f t="shared" si="345"/>
        <v>0</v>
      </c>
      <c r="AL591">
        <f t="shared" si="346"/>
        <v>0</v>
      </c>
      <c r="AM591">
        <f t="shared" si="347"/>
        <v>0</v>
      </c>
      <c r="AN591">
        <f t="shared" si="348"/>
        <v>0</v>
      </c>
      <c r="AO591">
        <f t="shared" si="349"/>
        <v>0</v>
      </c>
    </row>
    <row r="592" spans="1:41" x14ac:dyDescent="0.45">
      <c r="A592">
        <v>38.528781330000001</v>
      </c>
      <c r="B592">
        <v>117.8585848</v>
      </c>
      <c r="C592">
        <v>36.340690610000003</v>
      </c>
      <c r="D592">
        <v>1.95888996</v>
      </c>
      <c r="E592">
        <f t="shared" si="315"/>
        <v>1.95888996</v>
      </c>
      <c r="F592">
        <f t="shared" si="316"/>
        <v>0</v>
      </c>
      <c r="G592">
        <f t="shared" si="317"/>
        <v>0</v>
      </c>
      <c r="H592">
        <f t="shared" si="318"/>
        <v>0</v>
      </c>
      <c r="I592">
        <f t="shared" si="319"/>
        <v>0</v>
      </c>
      <c r="J592">
        <f t="shared" si="320"/>
        <v>0</v>
      </c>
      <c r="K592" s="1">
        <f t="shared" si="321"/>
        <v>0</v>
      </c>
      <c r="L592" s="1">
        <f t="shared" si="322"/>
        <v>0</v>
      </c>
      <c r="M592" s="1">
        <f t="shared" si="323"/>
        <v>0</v>
      </c>
      <c r="N592" s="1">
        <f t="shared" si="324"/>
        <v>0</v>
      </c>
      <c r="O592" s="1">
        <f t="shared" si="325"/>
        <v>0</v>
      </c>
      <c r="P592" s="1">
        <f t="shared" si="326"/>
        <v>25</v>
      </c>
      <c r="Q592" s="1" t="e">
        <f t="shared" si="327"/>
        <v>#DIV/0!</v>
      </c>
      <c r="R592" s="1" t="e">
        <f t="shared" si="328"/>
        <v>#DIV/0!</v>
      </c>
      <c r="S592" s="1" t="e">
        <f t="shared" si="329"/>
        <v>#DIV/0!</v>
      </c>
      <c r="T592" s="1" t="e">
        <f t="shared" si="330"/>
        <v>#DIV/0!</v>
      </c>
      <c r="U592" s="1" t="e">
        <f t="shared" si="331"/>
        <v>#DIV/0!</v>
      </c>
      <c r="V592">
        <f t="shared" si="332"/>
        <v>851.48</v>
      </c>
      <c r="W592">
        <f t="shared" si="333"/>
        <v>0</v>
      </c>
      <c r="X592">
        <f t="shared" si="334"/>
        <v>0</v>
      </c>
      <c r="Y592">
        <f t="shared" si="335"/>
        <v>0</v>
      </c>
      <c r="Z592">
        <f t="shared" si="336"/>
        <v>0</v>
      </c>
      <c r="AA592">
        <f t="shared" si="337"/>
        <v>0</v>
      </c>
      <c r="AC592">
        <f t="shared" si="338"/>
        <v>1045.25</v>
      </c>
      <c r="AD592">
        <f t="shared" si="339"/>
        <v>0</v>
      </c>
      <c r="AE592">
        <f t="shared" si="340"/>
        <v>0</v>
      </c>
      <c r="AF592">
        <f t="shared" si="341"/>
        <v>0</v>
      </c>
      <c r="AG592">
        <f t="shared" si="342"/>
        <v>0</v>
      </c>
      <c r="AH592">
        <f t="shared" si="343"/>
        <v>0</v>
      </c>
      <c r="AJ592">
        <f t="shared" si="344"/>
        <v>1239.01</v>
      </c>
      <c r="AK592">
        <f t="shared" si="345"/>
        <v>0</v>
      </c>
      <c r="AL592">
        <f t="shared" si="346"/>
        <v>0</v>
      </c>
      <c r="AM592">
        <f t="shared" si="347"/>
        <v>0</v>
      </c>
      <c r="AN592">
        <f t="shared" si="348"/>
        <v>0</v>
      </c>
      <c r="AO592">
        <f t="shared" si="349"/>
        <v>0</v>
      </c>
    </row>
    <row r="593" spans="1:41" x14ac:dyDescent="0.45">
      <c r="A593">
        <v>38.534366810000002</v>
      </c>
      <c r="B593">
        <v>117.80065159999999</v>
      </c>
      <c r="C593">
        <v>35.565509800000001</v>
      </c>
      <c r="D593">
        <v>3.40357208</v>
      </c>
      <c r="E593">
        <f t="shared" si="315"/>
        <v>3.40357208</v>
      </c>
      <c r="F593">
        <f t="shared" si="316"/>
        <v>0</v>
      </c>
      <c r="G593">
        <f t="shared" si="317"/>
        <v>0</v>
      </c>
      <c r="H593">
        <f t="shared" si="318"/>
        <v>0</v>
      </c>
      <c r="I593">
        <f t="shared" si="319"/>
        <v>0</v>
      </c>
      <c r="J593">
        <f t="shared" si="320"/>
        <v>0</v>
      </c>
      <c r="K593" s="1">
        <f t="shared" si="321"/>
        <v>0</v>
      </c>
      <c r="L593" s="1">
        <f t="shared" si="322"/>
        <v>0</v>
      </c>
      <c r="M593" s="1">
        <f t="shared" si="323"/>
        <v>0</v>
      </c>
      <c r="N593" s="1">
        <f t="shared" si="324"/>
        <v>0</v>
      </c>
      <c r="O593" s="1">
        <f t="shared" si="325"/>
        <v>0</v>
      </c>
      <c r="P593" s="1">
        <f t="shared" si="326"/>
        <v>25</v>
      </c>
      <c r="Q593" s="1" t="e">
        <f t="shared" si="327"/>
        <v>#DIV/0!</v>
      </c>
      <c r="R593" s="1" t="e">
        <f t="shared" si="328"/>
        <v>#DIV/0!</v>
      </c>
      <c r="S593" s="1" t="e">
        <f t="shared" si="329"/>
        <v>#DIV/0!</v>
      </c>
      <c r="T593" s="1" t="e">
        <f t="shared" si="330"/>
        <v>#DIV/0!</v>
      </c>
      <c r="U593" s="1" t="e">
        <f t="shared" si="331"/>
        <v>#DIV/0!</v>
      </c>
      <c r="V593">
        <f t="shared" si="332"/>
        <v>851.48</v>
      </c>
      <c r="W593">
        <f t="shared" si="333"/>
        <v>0</v>
      </c>
      <c r="X593">
        <f t="shared" si="334"/>
        <v>0</v>
      </c>
      <c r="Y593">
        <f t="shared" si="335"/>
        <v>0</v>
      </c>
      <c r="Z593">
        <f t="shared" si="336"/>
        <v>0</v>
      </c>
      <c r="AA593">
        <f t="shared" si="337"/>
        <v>0</v>
      </c>
      <c r="AC593">
        <f t="shared" si="338"/>
        <v>1045.25</v>
      </c>
      <c r="AD593">
        <f t="shared" si="339"/>
        <v>0</v>
      </c>
      <c r="AE593">
        <f t="shared" si="340"/>
        <v>0</v>
      </c>
      <c r="AF593">
        <f t="shared" si="341"/>
        <v>0</v>
      </c>
      <c r="AG593">
        <f t="shared" si="342"/>
        <v>0</v>
      </c>
      <c r="AH593">
        <f t="shared" si="343"/>
        <v>0</v>
      </c>
      <c r="AJ593">
        <f t="shared" si="344"/>
        <v>1239.01</v>
      </c>
      <c r="AK593">
        <f t="shared" si="345"/>
        <v>0</v>
      </c>
      <c r="AL593">
        <f t="shared" si="346"/>
        <v>0</v>
      </c>
      <c r="AM593">
        <f t="shared" si="347"/>
        <v>0</v>
      </c>
      <c r="AN593">
        <f t="shared" si="348"/>
        <v>0</v>
      </c>
      <c r="AO593">
        <f t="shared" si="349"/>
        <v>0</v>
      </c>
    </row>
    <row r="594" spans="1:41" x14ac:dyDescent="0.45">
      <c r="A594">
        <v>38.541498539999999</v>
      </c>
      <c r="B594">
        <v>119.096717</v>
      </c>
      <c r="C594">
        <v>37.065147400000001</v>
      </c>
      <c r="D594">
        <v>2.7571380099999998</v>
      </c>
      <c r="E594">
        <f t="shared" si="315"/>
        <v>2.7571380099999998</v>
      </c>
      <c r="F594">
        <f t="shared" si="316"/>
        <v>0</v>
      </c>
      <c r="G594">
        <f t="shared" si="317"/>
        <v>0</v>
      </c>
      <c r="H594">
        <f t="shared" si="318"/>
        <v>0</v>
      </c>
      <c r="I594">
        <f t="shared" si="319"/>
        <v>0</v>
      </c>
      <c r="J594">
        <f t="shared" si="320"/>
        <v>0</v>
      </c>
      <c r="K594" s="1">
        <f t="shared" si="321"/>
        <v>0</v>
      </c>
      <c r="L594" s="1">
        <f t="shared" si="322"/>
        <v>0</v>
      </c>
      <c r="M594" s="1">
        <f t="shared" si="323"/>
        <v>0</v>
      </c>
      <c r="N594" s="1">
        <f t="shared" si="324"/>
        <v>0</v>
      </c>
      <c r="O594" s="1">
        <f t="shared" si="325"/>
        <v>0</v>
      </c>
      <c r="P594" s="1">
        <f t="shared" si="326"/>
        <v>25</v>
      </c>
      <c r="Q594" s="1" t="e">
        <f t="shared" si="327"/>
        <v>#DIV/0!</v>
      </c>
      <c r="R594" s="1" t="e">
        <f t="shared" si="328"/>
        <v>#DIV/0!</v>
      </c>
      <c r="S594" s="1" t="e">
        <f t="shared" si="329"/>
        <v>#DIV/0!</v>
      </c>
      <c r="T594" s="1" t="e">
        <f t="shared" si="330"/>
        <v>#DIV/0!</v>
      </c>
      <c r="U594" s="1" t="e">
        <f t="shared" si="331"/>
        <v>#DIV/0!</v>
      </c>
      <c r="V594">
        <f t="shared" si="332"/>
        <v>851.48</v>
      </c>
      <c r="W594">
        <f t="shared" si="333"/>
        <v>0</v>
      </c>
      <c r="X594">
        <f t="shared" si="334"/>
        <v>0</v>
      </c>
      <c r="Y594">
        <f t="shared" si="335"/>
        <v>0</v>
      </c>
      <c r="Z594">
        <f t="shared" si="336"/>
        <v>0</v>
      </c>
      <c r="AA594">
        <f t="shared" si="337"/>
        <v>0</v>
      </c>
      <c r="AC594">
        <f t="shared" si="338"/>
        <v>1045.25</v>
      </c>
      <c r="AD594">
        <f t="shared" si="339"/>
        <v>0</v>
      </c>
      <c r="AE594">
        <f t="shared" si="340"/>
        <v>0</v>
      </c>
      <c r="AF594">
        <f t="shared" si="341"/>
        <v>0</v>
      </c>
      <c r="AG594">
        <f t="shared" si="342"/>
        <v>0</v>
      </c>
      <c r="AH594">
        <f t="shared" si="343"/>
        <v>0</v>
      </c>
      <c r="AJ594">
        <f t="shared" si="344"/>
        <v>1239.01</v>
      </c>
      <c r="AK594">
        <f t="shared" si="345"/>
        <v>0</v>
      </c>
      <c r="AL594">
        <f t="shared" si="346"/>
        <v>0</v>
      </c>
      <c r="AM594">
        <f t="shared" si="347"/>
        <v>0</v>
      </c>
      <c r="AN594">
        <f t="shared" si="348"/>
        <v>0</v>
      </c>
      <c r="AO594">
        <f t="shared" si="349"/>
        <v>0</v>
      </c>
    </row>
    <row r="595" spans="1:41" x14ac:dyDescent="0.45">
      <c r="A595">
        <v>38.541782759999997</v>
      </c>
      <c r="B595">
        <v>120.3350607</v>
      </c>
      <c r="C595">
        <v>76.676757809999998</v>
      </c>
      <c r="D595">
        <v>7.3458380700000001</v>
      </c>
      <c r="E595">
        <f t="shared" si="315"/>
        <v>7.3458380700000001</v>
      </c>
      <c r="F595">
        <f t="shared" si="316"/>
        <v>0</v>
      </c>
      <c r="G595">
        <f t="shared" si="317"/>
        <v>0</v>
      </c>
      <c r="H595">
        <f t="shared" si="318"/>
        <v>0</v>
      </c>
      <c r="I595">
        <f t="shared" si="319"/>
        <v>0</v>
      </c>
      <c r="J595">
        <f t="shared" si="320"/>
        <v>0</v>
      </c>
      <c r="K595" s="1">
        <f t="shared" si="321"/>
        <v>0</v>
      </c>
      <c r="L595" s="1">
        <f t="shared" si="322"/>
        <v>0</v>
      </c>
      <c r="M595" s="1">
        <f t="shared" si="323"/>
        <v>0</v>
      </c>
      <c r="N595" s="1">
        <f t="shared" si="324"/>
        <v>0</v>
      </c>
      <c r="O595" s="1">
        <f t="shared" si="325"/>
        <v>0</v>
      </c>
      <c r="P595" s="1">
        <f t="shared" si="326"/>
        <v>25</v>
      </c>
      <c r="Q595" s="1" t="e">
        <f t="shared" si="327"/>
        <v>#DIV/0!</v>
      </c>
      <c r="R595" s="1" t="e">
        <f t="shared" si="328"/>
        <v>#DIV/0!</v>
      </c>
      <c r="S595" s="1" t="e">
        <f t="shared" si="329"/>
        <v>#DIV/0!</v>
      </c>
      <c r="T595" s="1" t="e">
        <f t="shared" si="330"/>
        <v>#DIV/0!</v>
      </c>
      <c r="U595" s="1" t="e">
        <f t="shared" si="331"/>
        <v>#DIV/0!</v>
      </c>
      <c r="V595">
        <f t="shared" si="332"/>
        <v>851.48</v>
      </c>
      <c r="W595">
        <f t="shared" si="333"/>
        <v>0</v>
      </c>
      <c r="X595">
        <f t="shared" si="334"/>
        <v>0</v>
      </c>
      <c r="Y595">
        <f t="shared" si="335"/>
        <v>0</v>
      </c>
      <c r="Z595">
        <f t="shared" si="336"/>
        <v>0</v>
      </c>
      <c r="AA595">
        <f t="shared" si="337"/>
        <v>0</v>
      </c>
      <c r="AC595">
        <f t="shared" si="338"/>
        <v>1045.25</v>
      </c>
      <c r="AD595">
        <f t="shared" si="339"/>
        <v>0</v>
      </c>
      <c r="AE595">
        <f t="shared" si="340"/>
        <v>0</v>
      </c>
      <c r="AF595">
        <f t="shared" si="341"/>
        <v>0</v>
      </c>
      <c r="AG595">
        <f t="shared" si="342"/>
        <v>0</v>
      </c>
      <c r="AH595">
        <f t="shared" si="343"/>
        <v>0</v>
      </c>
      <c r="AJ595">
        <f t="shared" si="344"/>
        <v>1239.01</v>
      </c>
      <c r="AK595">
        <f t="shared" si="345"/>
        <v>0</v>
      </c>
      <c r="AL595">
        <f t="shared" si="346"/>
        <v>0</v>
      </c>
      <c r="AM595">
        <f t="shared" si="347"/>
        <v>0</v>
      </c>
      <c r="AN595">
        <f t="shared" si="348"/>
        <v>0</v>
      </c>
      <c r="AO595">
        <f t="shared" si="349"/>
        <v>0</v>
      </c>
    </row>
    <row r="596" spans="1:41" x14ac:dyDescent="0.45">
      <c r="A596">
        <v>38.548465540000002</v>
      </c>
      <c r="B596">
        <v>117.1561217</v>
      </c>
      <c r="C596">
        <v>52.10093689</v>
      </c>
      <c r="D596">
        <v>4.2896999999999998E-2</v>
      </c>
      <c r="E596">
        <f t="shared" si="315"/>
        <v>4.2896999999999998E-2</v>
      </c>
      <c r="F596">
        <f t="shared" si="316"/>
        <v>0</v>
      </c>
      <c r="G596">
        <f t="shared" si="317"/>
        <v>0</v>
      </c>
      <c r="H596">
        <f t="shared" si="318"/>
        <v>0</v>
      </c>
      <c r="I596">
        <f t="shared" si="319"/>
        <v>0</v>
      </c>
      <c r="J596">
        <f t="shared" si="320"/>
        <v>0</v>
      </c>
      <c r="K596" s="1">
        <f t="shared" si="321"/>
        <v>0</v>
      </c>
      <c r="L596" s="1">
        <f t="shared" si="322"/>
        <v>0</v>
      </c>
      <c r="M596" s="1">
        <f t="shared" si="323"/>
        <v>0</v>
      </c>
      <c r="N596" s="1">
        <f t="shared" si="324"/>
        <v>0</v>
      </c>
      <c r="O596" s="1">
        <f t="shared" si="325"/>
        <v>0</v>
      </c>
      <c r="P596" s="1">
        <f t="shared" si="326"/>
        <v>25</v>
      </c>
      <c r="Q596" s="1" t="e">
        <f t="shared" si="327"/>
        <v>#DIV/0!</v>
      </c>
      <c r="R596" s="1" t="e">
        <f t="shared" si="328"/>
        <v>#DIV/0!</v>
      </c>
      <c r="S596" s="1" t="e">
        <f t="shared" si="329"/>
        <v>#DIV/0!</v>
      </c>
      <c r="T596" s="1" t="e">
        <f t="shared" si="330"/>
        <v>#DIV/0!</v>
      </c>
      <c r="U596" s="1" t="e">
        <f t="shared" si="331"/>
        <v>#DIV/0!</v>
      </c>
      <c r="V596">
        <f t="shared" si="332"/>
        <v>851.48</v>
      </c>
      <c r="W596">
        <f t="shared" si="333"/>
        <v>0</v>
      </c>
      <c r="X596">
        <f t="shared" si="334"/>
        <v>0</v>
      </c>
      <c r="Y596">
        <f t="shared" si="335"/>
        <v>0</v>
      </c>
      <c r="Z596">
        <f t="shared" si="336"/>
        <v>0</v>
      </c>
      <c r="AA596">
        <f t="shared" si="337"/>
        <v>0</v>
      </c>
      <c r="AC596">
        <f t="shared" si="338"/>
        <v>1045.25</v>
      </c>
      <c r="AD596">
        <f t="shared" si="339"/>
        <v>0</v>
      </c>
      <c r="AE596">
        <f t="shared" si="340"/>
        <v>0</v>
      </c>
      <c r="AF596">
        <f t="shared" si="341"/>
        <v>0</v>
      </c>
      <c r="AG596">
        <f t="shared" si="342"/>
        <v>0</v>
      </c>
      <c r="AH596">
        <f t="shared" si="343"/>
        <v>0</v>
      </c>
      <c r="AJ596">
        <f t="shared" si="344"/>
        <v>1239.01</v>
      </c>
      <c r="AK596">
        <f t="shared" si="345"/>
        <v>0</v>
      </c>
      <c r="AL596">
        <f t="shared" si="346"/>
        <v>0</v>
      </c>
      <c r="AM596">
        <f t="shared" si="347"/>
        <v>0</v>
      </c>
      <c r="AN596">
        <f t="shared" si="348"/>
        <v>0</v>
      </c>
      <c r="AO596">
        <f t="shared" si="349"/>
        <v>0</v>
      </c>
    </row>
    <row r="597" spans="1:41" x14ac:dyDescent="0.45">
      <c r="A597">
        <v>38.5564362</v>
      </c>
      <c r="B597">
        <v>117.56883430000001</v>
      </c>
      <c r="C597">
        <v>52.10093689</v>
      </c>
      <c r="D597">
        <v>0.29545099000000002</v>
      </c>
      <c r="E597">
        <f t="shared" si="315"/>
        <v>0.29545099000000002</v>
      </c>
      <c r="F597">
        <f t="shared" si="316"/>
        <v>0</v>
      </c>
      <c r="G597">
        <f t="shared" si="317"/>
        <v>0</v>
      </c>
      <c r="H597">
        <f t="shared" si="318"/>
        <v>0</v>
      </c>
      <c r="I597">
        <f t="shared" si="319"/>
        <v>0</v>
      </c>
      <c r="J597">
        <f t="shared" si="320"/>
        <v>0</v>
      </c>
      <c r="K597" s="1">
        <f t="shared" si="321"/>
        <v>0</v>
      </c>
      <c r="L597" s="1">
        <f t="shared" si="322"/>
        <v>0</v>
      </c>
      <c r="M597" s="1">
        <f t="shared" si="323"/>
        <v>0</v>
      </c>
      <c r="N597" s="1">
        <f t="shared" si="324"/>
        <v>0</v>
      </c>
      <c r="O597" s="1">
        <f t="shared" si="325"/>
        <v>0</v>
      </c>
      <c r="P597" s="1">
        <f t="shared" si="326"/>
        <v>25</v>
      </c>
      <c r="Q597" s="1" t="e">
        <f t="shared" si="327"/>
        <v>#DIV/0!</v>
      </c>
      <c r="R597" s="1" t="e">
        <f t="shared" si="328"/>
        <v>#DIV/0!</v>
      </c>
      <c r="S597" s="1" t="e">
        <f t="shared" si="329"/>
        <v>#DIV/0!</v>
      </c>
      <c r="T597" s="1" t="e">
        <f t="shared" si="330"/>
        <v>#DIV/0!</v>
      </c>
      <c r="U597" s="1" t="e">
        <f t="shared" si="331"/>
        <v>#DIV/0!</v>
      </c>
      <c r="V597">
        <f t="shared" si="332"/>
        <v>851.48</v>
      </c>
      <c r="W597">
        <f t="shared" si="333"/>
        <v>0</v>
      </c>
      <c r="X597">
        <f t="shared" si="334"/>
        <v>0</v>
      </c>
      <c r="Y597">
        <f t="shared" si="335"/>
        <v>0</v>
      </c>
      <c r="Z597">
        <f t="shared" si="336"/>
        <v>0</v>
      </c>
      <c r="AA597">
        <f t="shared" si="337"/>
        <v>0</v>
      </c>
      <c r="AC597">
        <f t="shared" si="338"/>
        <v>1045.25</v>
      </c>
      <c r="AD597">
        <f t="shared" si="339"/>
        <v>0</v>
      </c>
      <c r="AE597">
        <f t="shared" si="340"/>
        <v>0</v>
      </c>
      <c r="AF597">
        <f t="shared" si="341"/>
        <v>0</v>
      </c>
      <c r="AG597">
        <f t="shared" si="342"/>
        <v>0</v>
      </c>
      <c r="AH597">
        <f t="shared" si="343"/>
        <v>0</v>
      </c>
      <c r="AJ597">
        <f t="shared" si="344"/>
        <v>1239.01</v>
      </c>
      <c r="AK597">
        <f t="shared" si="345"/>
        <v>0</v>
      </c>
      <c r="AL597">
        <f t="shared" si="346"/>
        <v>0</v>
      </c>
      <c r="AM597">
        <f t="shared" si="347"/>
        <v>0</v>
      </c>
      <c r="AN597">
        <f t="shared" si="348"/>
        <v>0</v>
      </c>
      <c r="AO597">
        <f t="shared" si="349"/>
        <v>0</v>
      </c>
    </row>
    <row r="598" spans="1:41" x14ac:dyDescent="0.45">
      <c r="A598">
        <v>38.568233739999997</v>
      </c>
      <c r="B598">
        <v>118.3944817</v>
      </c>
      <c r="C598">
        <v>21.786016459999999</v>
      </c>
      <c r="D598">
        <v>3.0607659800000002</v>
      </c>
      <c r="E598">
        <f t="shared" si="315"/>
        <v>3.0607659800000002</v>
      </c>
      <c r="F598">
        <f t="shared" si="316"/>
        <v>0</v>
      </c>
      <c r="G598">
        <f t="shared" si="317"/>
        <v>0</v>
      </c>
      <c r="H598">
        <f t="shared" si="318"/>
        <v>0</v>
      </c>
      <c r="I598">
        <f t="shared" si="319"/>
        <v>0</v>
      </c>
      <c r="J598">
        <f t="shared" si="320"/>
        <v>0</v>
      </c>
      <c r="K598" s="1">
        <f t="shared" si="321"/>
        <v>0</v>
      </c>
      <c r="L598" s="1">
        <f t="shared" si="322"/>
        <v>0</v>
      </c>
      <c r="M598" s="1">
        <f t="shared" si="323"/>
        <v>0</v>
      </c>
      <c r="N598" s="1">
        <f t="shared" si="324"/>
        <v>0</v>
      </c>
      <c r="O598" s="1">
        <f t="shared" si="325"/>
        <v>0</v>
      </c>
      <c r="P598" s="1">
        <f t="shared" si="326"/>
        <v>25.000000000000004</v>
      </c>
      <c r="Q598" s="1" t="e">
        <f t="shared" si="327"/>
        <v>#DIV/0!</v>
      </c>
      <c r="R598" s="1" t="e">
        <f t="shared" si="328"/>
        <v>#DIV/0!</v>
      </c>
      <c r="S598" s="1" t="e">
        <f t="shared" si="329"/>
        <v>#DIV/0!</v>
      </c>
      <c r="T598" s="1" t="e">
        <f t="shared" si="330"/>
        <v>#DIV/0!</v>
      </c>
      <c r="U598" s="1" t="e">
        <f t="shared" si="331"/>
        <v>#DIV/0!</v>
      </c>
      <c r="V598">
        <f t="shared" si="332"/>
        <v>851.48000000000013</v>
      </c>
      <c r="W598">
        <f t="shared" si="333"/>
        <v>0</v>
      </c>
      <c r="X598">
        <f t="shared" si="334"/>
        <v>0</v>
      </c>
      <c r="Y598">
        <f t="shared" si="335"/>
        <v>0</v>
      </c>
      <c r="Z598">
        <f t="shared" si="336"/>
        <v>0</v>
      </c>
      <c r="AA598">
        <f t="shared" si="337"/>
        <v>0</v>
      </c>
      <c r="AC598">
        <f t="shared" si="338"/>
        <v>1045.25</v>
      </c>
      <c r="AD598">
        <f t="shared" si="339"/>
        <v>0</v>
      </c>
      <c r="AE598">
        <f t="shared" si="340"/>
        <v>0</v>
      </c>
      <c r="AF598">
        <f t="shared" si="341"/>
        <v>0</v>
      </c>
      <c r="AG598">
        <f t="shared" si="342"/>
        <v>0</v>
      </c>
      <c r="AH598">
        <f t="shared" si="343"/>
        <v>0</v>
      </c>
      <c r="AJ598">
        <f t="shared" si="344"/>
        <v>1239.0100000000002</v>
      </c>
      <c r="AK598">
        <f t="shared" si="345"/>
        <v>0</v>
      </c>
      <c r="AL598">
        <f t="shared" si="346"/>
        <v>0</v>
      </c>
      <c r="AM598">
        <f t="shared" si="347"/>
        <v>0</v>
      </c>
      <c r="AN598">
        <f t="shared" si="348"/>
        <v>0</v>
      </c>
      <c r="AO598">
        <f t="shared" si="349"/>
        <v>0</v>
      </c>
    </row>
    <row r="599" spans="1:41" x14ac:dyDescent="0.45">
      <c r="A599">
        <v>38.572701930000001</v>
      </c>
      <c r="B599">
        <v>117.3948838</v>
      </c>
      <c r="C599">
        <v>52.10093689</v>
      </c>
      <c r="D599">
        <v>0.33168501</v>
      </c>
      <c r="E599">
        <f t="shared" si="315"/>
        <v>0.33168501</v>
      </c>
      <c r="F599">
        <f t="shared" si="316"/>
        <v>0</v>
      </c>
      <c r="G599">
        <f t="shared" si="317"/>
        <v>0</v>
      </c>
      <c r="H599">
        <f t="shared" si="318"/>
        <v>0</v>
      </c>
      <c r="I599">
        <f t="shared" si="319"/>
        <v>0</v>
      </c>
      <c r="J599">
        <f t="shared" si="320"/>
        <v>0</v>
      </c>
      <c r="K599" s="1">
        <f t="shared" si="321"/>
        <v>0</v>
      </c>
      <c r="L599" s="1">
        <f t="shared" si="322"/>
        <v>0</v>
      </c>
      <c r="M599" s="1">
        <f t="shared" si="323"/>
        <v>0</v>
      </c>
      <c r="N599" s="1">
        <f t="shared" si="324"/>
        <v>0</v>
      </c>
      <c r="O599" s="1">
        <f t="shared" si="325"/>
        <v>0</v>
      </c>
      <c r="P599" s="1">
        <f t="shared" si="326"/>
        <v>25</v>
      </c>
      <c r="Q599" s="1" t="e">
        <f t="shared" si="327"/>
        <v>#DIV/0!</v>
      </c>
      <c r="R599" s="1" t="e">
        <f t="shared" si="328"/>
        <v>#DIV/0!</v>
      </c>
      <c r="S599" s="1" t="e">
        <f t="shared" si="329"/>
        <v>#DIV/0!</v>
      </c>
      <c r="T599" s="1" t="e">
        <f t="shared" si="330"/>
        <v>#DIV/0!</v>
      </c>
      <c r="U599" s="1" t="e">
        <f t="shared" si="331"/>
        <v>#DIV/0!</v>
      </c>
      <c r="V599">
        <f t="shared" si="332"/>
        <v>851.48</v>
      </c>
      <c r="W599">
        <f t="shared" si="333"/>
        <v>0</v>
      </c>
      <c r="X599">
        <f t="shared" si="334"/>
        <v>0</v>
      </c>
      <c r="Y599">
        <f t="shared" si="335"/>
        <v>0</v>
      </c>
      <c r="Z599">
        <f t="shared" si="336"/>
        <v>0</v>
      </c>
      <c r="AA599">
        <f t="shared" si="337"/>
        <v>0</v>
      </c>
      <c r="AC599">
        <f t="shared" si="338"/>
        <v>1045.25</v>
      </c>
      <c r="AD599">
        <f t="shared" si="339"/>
        <v>0</v>
      </c>
      <c r="AE599">
        <f t="shared" si="340"/>
        <v>0</v>
      </c>
      <c r="AF599">
        <f t="shared" si="341"/>
        <v>0</v>
      </c>
      <c r="AG599">
        <f t="shared" si="342"/>
        <v>0</v>
      </c>
      <c r="AH599">
        <f t="shared" si="343"/>
        <v>0</v>
      </c>
      <c r="AJ599">
        <f t="shared" si="344"/>
        <v>1239.01</v>
      </c>
      <c r="AK599">
        <f t="shared" si="345"/>
        <v>0</v>
      </c>
      <c r="AL599">
        <f t="shared" si="346"/>
        <v>0</v>
      </c>
      <c r="AM599">
        <f t="shared" si="347"/>
        <v>0</v>
      </c>
      <c r="AN599">
        <f t="shared" si="348"/>
        <v>0</v>
      </c>
      <c r="AO599">
        <f t="shared" si="349"/>
        <v>0</v>
      </c>
    </row>
    <row r="600" spans="1:41" x14ac:dyDescent="0.45">
      <c r="A600">
        <v>38.574284679999998</v>
      </c>
      <c r="B600">
        <v>117.8657169</v>
      </c>
      <c r="C600">
        <v>49.602558139999999</v>
      </c>
      <c r="D600">
        <v>0.85701400000000005</v>
      </c>
      <c r="E600">
        <f t="shared" si="315"/>
        <v>0.85701400000000005</v>
      </c>
      <c r="F600">
        <f t="shared" si="316"/>
        <v>0</v>
      </c>
      <c r="G600">
        <f t="shared" si="317"/>
        <v>0</v>
      </c>
      <c r="H600">
        <f t="shared" si="318"/>
        <v>0</v>
      </c>
      <c r="I600">
        <f t="shared" si="319"/>
        <v>0</v>
      </c>
      <c r="J600">
        <f t="shared" si="320"/>
        <v>0</v>
      </c>
      <c r="K600" s="1">
        <f t="shared" si="321"/>
        <v>0</v>
      </c>
      <c r="L600" s="1">
        <f t="shared" si="322"/>
        <v>0</v>
      </c>
      <c r="M600" s="1">
        <f t="shared" si="323"/>
        <v>0</v>
      </c>
      <c r="N600" s="1">
        <f t="shared" si="324"/>
        <v>0</v>
      </c>
      <c r="O600" s="1">
        <f t="shared" si="325"/>
        <v>0</v>
      </c>
      <c r="P600" s="1">
        <f t="shared" si="326"/>
        <v>25</v>
      </c>
      <c r="Q600" s="1" t="e">
        <f t="shared" si="327"/>
        <v>#DIV/0!</v>
      </c>
      <c r="R600" s="1" t="e">
        <f t="shared" si="328"/>
        <v>#DIV/0!</v>
      </c>
      <c r="S600" s="1" t="e">
        <f t="shared" si="329"/>
        <v>#DIV/0!</v>
      </c>
      <c r="T600" s="1" t="e">
        <f t="shared" si="330"/>
        <v>#DIV/0!</v>
      </c>
      <c r="U600" s="1" t="e">
        <f t="shared" si="331"/>
        <v>#DIV/0!</v>
      </c>
      <c r="V600">
        <f t="shared" si="332"/>
        <v>851.48</v>
      </c>
      <c r="W600">
        <f t="shared" si="333"/>
        <v>0</v>
      </c>
      <c r="X600">
        <f t="shared" si="334"/>
        <v>0</v>
      </c>
      <c r="Y600">
        <f t="shared" si="335"/>
        <v>0</v>
      </c>
      <c r="Z600">
        <f t="shared" si="336"/>
        <v>0</v>
      </c>
      <c r="AA600">
        <f t="shared" si="337"/>
        <v>0</v>
      </c>
      <c r="AC600">
        <f t="shared" si="338"/>
        <v>1045.25</v>
      </c>
      <c r="AD600">
        <f t="shared" si="339"/>
        <v>0</v>
      </c>
      <c r="AE600">
        <f t="shared" si="340"/>
        <v>0</v>
      </c>
      <c r="AF600">
        <f t="shared" si="341"/>
        <v>0</v>
      </c>
      <c r="AG600">
        <f t="shared" si="342"/>
        <v>0</v>
      </c>
      <c r="AH600">
        <f t="shared" si="343"/>
        <v>0</v>
      </c>
      <c r="AJ600">
        <f t="shared" si="344"/>
        <v>1239.01</v>
      </c>
      <c r="AK600">
        <f t="shared" si="345"/>
        <v>0</v>
      </c>
      <c r="AL600">
        <f t="shared" si="346"/>
        <v>0</v>
      </c>
      <c r="AM600">
        <f t="shared" si="347"/>
        <v>0</v>
      </c>
      <c r="AN600">
        <f t="shared" si="348"/>
        <v>0</v>
      </c>
      <c r="AO600">
        <f t="shared" si="349"/>
        <v>0</v>
      </c>
    </row>
    <row r="601" spans="1:41" x14ac:dyDescent="0.45">
      <c r="A601">
        <v>38.574504359999999</v>
      </c>
      <c r="B601">
        <v>119.2203252</v>
      </c>
      <c r="C601">
        <v>65.973022459999996</v>
      </c>
      <c r="D601">
        <v>2.9383349399999998</v>
      </c>
      <c r="E601">
        <f t="shared" si="315"/>
        <v>2.9383349399999998</v>
      </c>
      <c r="F601">
        <f t="shared" si="316"/>
        <v>0</v>
      </c>
      <c r="G601">
        <f t="shared" si="317"/>
        <v>0</v>
      </c>
      <c r="H601">
        <f t="shared" si="318"/>
        <v>0</v>
      </c>
      <c r="I601">
        <f t="shared" si="319"/>
        <v>0</v>
      </c>
      <c r="J601">
        <f t="shared" si="320"/>
        <v>0</v>
      </c>
      <c r="K601" s="1">
        <f t="shared" si="321"/>
        <v>0</v>
      </c>
      <c r="L601" s="1">
        <f t="shared" si="322"/>
        <v>0</v>
      </c>
      <c r="M601" s="1">
        <f t="shared" si="323"/>
        <v>0</v>
      </c>
      <c r="N601" s="1">
        <f t="shared" si="324"/>
        <v>0</v>
      </c>
      <c r="O601" s="1">
        <f t="shared" si="325"/>
        <v>0</v>
      </c>
      <c r="P601" s="1">
        <f t="shared" si="326"/>
        <v>25</v>
      </c>
      <c r="Q601" s="1" t="e">
        <f t="shared" si="327"/>
        <v>#DIV/0!</v>
      </c>
      <c r="R601" s="1" t="e">
        <f t="shared" si="328"/>
        <v>#DIV/0!</v>
      </c>
      <c r="S601" s="1" t="e">
        <f t="shared" si="329"/>
        <v>#DIV/0!</v>
      </c>
      <c r="T601" s="1" t="e">
        <f t="shared" si="330"/>
        <v>#DIV/0!</v>
      </c>
      <c r="U601" s="1" t="e">
        <f t="shared" si="331"/>
        <v>#DIV/0!</v>
      </c>
      <c r="V601">
        <f t="shared" si="332"/>
        <v>851.48</v>
      </c>
      <c r="W601">
        <f t="shared" si="333"/>
        <v>0</v>
      </c>
      <c r="X601">
        <f t="shared" si="334"/>
        <v>0</v>
      </c>
      <c r="Y601">
        <f t="shared" si="335"/>
        <v>0</v>
      </c>
      <c r="Z601">
        <f t="shared" si="336"/>
        <v>0</v>
      </c>
      <c r="AA601">
        <f t="shared" si="337"/>
        <v>0</v>
      </c>
      <c r="AC601">
        <f t="shared" si="338"/>
        <v>1045.25</v>
      </c>
      <c r="AD601">
        <f t="shared" si="339"/>
        <v>0</v>
      </c>
      <c r="AE601">
        <f t="shared" si="340"/>
        <v>0</v>
      </c>
      <c r="AF601">
        <f t="shared" si="341"/>
        <v>0</v>
      </c>
      <c r="AG601">
        <f t="shared" si="342"/>
        <v>0</v>
      </c>
      <c r="AH601">
        <f t="shared" si="343"/>
        <v>0</v>
      </c>
      <c r="AJ601">
        <f t="shared" si="344"/>
        <v>1239.01</v>
      </c>
      <c r="AK601">
        <f t="shared" si="345"/>
        <v>0</v>
      </c>
      <c r="AL601">
        <f t="shared" si="346"/>
        <v>0</v>
      </c>
      <c r="AM601">
        <f t="shared" si="347"/>
        <v>0</v>
      </c>
      <c r="AN601">
        <f t="shared" si="348"/>
        <v>0</v>
      </c>
      <c r="AO601">
        <f t="shared" si="349"/>
        <v>0</v>
      </c>
    </row>
    <row r="602" spans="1:41" x14ac:dyDescent="0.45">
      <c r="A602">
        <v>38.57806927</v>
      </c>
      <c r="B602">
        <v>117.3368838</v>
      </c>
      <c r="C602">
        <v>52.10093689</v>
      </c>
      <c r="D602">
        <v>3.6748080299999999</v>
      </c>
      <c r="E602">
        <f t="shared" si="315"/>
        <v>3.6748080299999999</v>
      </c>
      <c r="F602">
        <f t="shared" si="316"/>
        <v>0</v>
      </c>
      <c r="G602">
        <f t="shared" si="317"/>
        <v>0</v>
      </c>
      <c r="H602">
        <f t="shared" si="318"/>
        <v>0</v>
      </c>
      <c r="I602">
        <f t="shared" si="319"/>
        <v>0</v>
      </c>
      <c r="J602">
        <f t="shared" si="320"/>
        <v>0</v>
      </c>
      <c r="K602" s="1">
        <f t="shared" si="321"/>
        <v>0</v>
      </c>
      <c r="L602" s="1">
        <f t="shared" si="322"/>
        <v>0</v>
      </c>
      <c r="M602" s="1">
        <f t="shared" si="323"/>
        <v>0</v>
      </c>
      <c r="N602" s="1">
        <f t="shared" si="324"/>
        <v>0</v>
      </c>
      <c r="O602" s="1">
        <f t="shared" si="325"/>
        <v>0</v>
      </c>
      <c r="P602" s="1">
        <f t="shared" si="326"/>
        <v>25</v>
      </c>
      <c r="Q602" s="1" t="e">
        <f t="shared" si="327"/>
        <v>#DIV/0!</v>
      </c>
      <c r="R602" s="1" t="e">
        <f t="shared" si="328"/>
        <v>#DIV/0!</v>
      </c>
      <c r="S602" s="1" t="e">
        <f t="shared" si="329"/>
        <v>#DIV/0!</v>
      </c>
      <c r="T602" s="1" t="e">
        <f t="shared" si="330"/>
        <v>#DIV/0!</v>
      </c>
      <c r="U602" s="1" t="e">
        <f t="shared" si="331"/>
        <v>#DIV/0!</v>
      </c>
      <c r="V602">
        <f t="shared" si="332"/>
        <v>851.48</v>
      </c>
      <c r="W602">
        <f t="shared" si="333"/>
        <v>0</v>
      </c>
      <c r="X602">
        <f t="shared" si="334"/>
        <v>0</v>
      </c>
      <c r="Y602">
        <f t="shared" si="335"/>
        <v>0</v>
      </c>
      <c r="Z602">
        <f t="shared" si="336"/>
        <v>0</v>
      </c>
      <c r="AA602">
        <f t="shared" si="337"/>
        <v>0</v>
      </c>
      <c r="AC602">
        <f t="shared" si="338"/>
        <v>1045.25</v>
      </c>
      <c r="AD602">
        <f t="shared" si="339"/>
        <v>0</v>
      </c>
      <c r="AE602">
        <f t="shared" si="340"/>
        <v>0</v>
      </c>
      <c r="AF602">
        <f t="shared" si="341"/>
        <v>0</v>
      </c>
      <c r="AG602">
        <f t="shared" si="342"/>
        <v>0</v>
      </c>
      <c r="AH602">
        <f t="shared" si="343"/>
        <v>0</v>
      </c>
      <c r="AJ602">
        <f t="shared" si="344"/>
        <v>1239.01</v>
      </c>
      <c r="AK602">
        <f t="shared" si="345"/>
        <v>0</v>
      </c>
      <c r="AL602">
        <f t="shared" si="346"/>
        <v>0</v>
      </c>
      <c r="AM602">
        <f t="shared" si="347"/>
        <v>0</v>
      </c>
      <c r="AN602">
        <f t="shared" si="348"/>
        <v>0</v>
      </c>
      <c r="AO602">
        <f t="shared" si="349"/>
        <v>0</v>
      </c>
    </row>
    <row r="603" spans="1:41" x14ac:dyDescent="0.45">
      <c r="A603">
        <v>38.579873280000001</v>
      </c>
      <c r="B603">
        <v>117.80774959999999</v>
      </c>
      <c r="C603">
        <v>73.788139340000001</v>
      </c>
      <c r="D603">
        <v>1.22430599</v>
      </c>
      <c r="E603">
        <f t="shared" si="315"/>
        <v>1.22430599</v>
      </c>
      <c r="F603">
        <f t="shared" si="316"/>
        <v>0</v>
      </c>
      <c r="G603">
        <f t="shared" si="317"/>
        <v>0</v>
      </c>
      <c r="H603">
        <f t="shared" si="318"/>
        <v>0</v>
      </c>
      <c r="I603">
        <f t="shared" si="319"/>
        <v>0</v>
      </c>
      <c r="J603">
        <f t="shared" si="320"/>
        <v>0</v>
      </c>
      <c r="K603" s="1">
        <f t="shared" si="321"/>
        <v>0</v>
      </c>
      <c r="L603" s="1">
        <f t="shared" si="322"/>
        <v>0</v>
      </c>
      <c r="M603" s="1">
        <f t="shared" si="323"/>
        <v>0</v>
      </c>
      <c r="N603" s="1">
        <f t="shared" si="324"/>
        <v>0</v>
      </c>
      <c r="O603" s="1">
        <f t="shared" si="325"/>
        <v>0</v>
      </c>
      <c r="P603" s="1">
        <f t="shared" si="326"/>
        <v>25</v>
      </c>
      <c r="Q603" s="1" t="e">
        <f t="shared" si="327"/>
        <v>#DIV/0!</v>
      </c>
      <c r="R603" s="1" t="e">
        <f t="shared" si="328"/>
        <v>#DIV/0!</v>
      </c>
      <c r="S603" s="1" t="e">
        <f t="shared" si="329"/>
        <v>#DIV/0!</v>
      </c>
      <c r="T603" s="1" t="e">
        <f t="shared" si="330"/>
        <v>#DIV/0!</v>
      </c>
      <c r="U603" s="1" t="e">
        <f t="shared" si="331"/>
        <v>#DIV/0!</v>
      </c>
      <c r="V603">
        <f t="shared" si="332"/>
        <v>851.48</v>
      </c>
      <c r="W603">
        <f t="shared" si="333"/>
        <v>0</v>
      </c>
      <c r="X603">
        <f t="shared" si="334"/>
        <v>0</v>
      </c>
      <c r="Y603">
        <f t="shared" si="335"/>
        <v>0</v>
      </c>
      <c r="Z603">
        <f t="shared" si="336"/>
        <v>0</v>
      </c>
      <c r="AA603">
        <f t="shared" si="337"/>
        <v>0</v>
      </c>
      <c r="AC603">
        <f t="shared" si="338"/>
        <v>1045.25</v>
      </c>
      <c r="AD603">
        <f t="shared" si="339"/>
        <v>0</v>
      </c>
      <c r="AE603">
        <f t="shared" si="340"/>
        <v>0</v>
      </c>
      <c r="AF603">
        <f t="shared" si="341"/>
        <v>0</v>
      </c>
      <c r="AG603">
        <f t="shared" si="342"/>
        <v>0</v>
      </c>
      <c r="AH603">
        <f t="shared" si="343"/>
        <v>0</v>
      </c>
      <c r="AJ603">
        <f t="shared" si="344"/>
        <v>1239.01</v>
      </c>
      <c r="AK603">
        <f t="shared" si="345"/>
        <v>0</v>
      </c>
      <c r="AL603">
        <f t="shared" si="346"/>
        <v>0</v>
      </c>
      <c r="AM603">
        <f t="shared" si="347"/>
        <v>0</v>
      </c>
      <c r="AN603">
        <f t="shared" si="348"/>
        <v>0</v>
      </c>
      <c r="AO603">
        <f t="shared" si="349"/>
        <v>0</v>
      </c>
    </row>
    <row r="604" spans="1:41" x14ac:dyDescent="0.45">
      <c r="A604">
        <v>38.58498239</v>
      </c>
      <c r="B604">
        <v>115.63406259999999</v>
      </c>
      <c r="C604">
        <v>8.1438445999999995</v>
      </c>
      <c r="D604">
        <v>4.6234607700000003</v>
      </c>
      <c r="E604">
        <f t="shared" si="315"/>
        <v>4.6234607700000003</v>
      </c>
      <c r="F604">
        <f t="shared" si="316"/>
        <v>0</v>
      </c>
      <c r="G604">
        <f t="shared" si="317"/>
        <v>0</v>
      </c>
      <c r="H604">
        <f t="shared" si="318"/>
        <v>0</v>
      </c>
      <c r="I604">
        <f t="shared" si="319"/>
        <v>0</v>
      </c>
      <c r="J604">
        <f t="shared" si="320"/>
        <v>0</v>
      </c>
      <c r="K604" s="1">
        <f t="shared" si="321"/>
        <v>0</v>
      </c>
      <c r="L604" s="1">
        <f t="shared" si="322"/>
        <v>0</v>
      </c>
      <c r="M604" s="1">
        <f t="shared" si="323"/>
        <v>0</v>
      </c>
      <c r="N604" s="1">
        <f t="shared" si="324"/>
        <v>0</v>
      </c>
      <c r="O604" s="1">
        <f t="shared" si="325"/>
        <v>0</v>
      </c>
      <c r="P604" s="1">
        <f t="shared" si="326"/>
        <v>25</v>
      </c>
      <c r="Q604" s="1" t="e">
        <f t="shared" si="327"/>
        <v>#DIV/0!</v>
      </c>
      <c r="R604" s="1" t="e">
        <f t="shared" si="328"/>
        <v>#DIV/0!</v>
      </c>
      <c r="S604" s="1" t="e">
        <f t="shared" si="329"/>
        <v>#DIV/0!</v>
      </c>
      <c r="T604" s="1" t="e">
        <f t="shared" si="330"/>
        <v>#DIV/0!</v>
      </c>
      <c r="U604" s="1" t="e">
        <f t="shared" si="331"/>
        <v>#DIV/0!</v>
      </c>
      <c r="V604">
        <f t="shared" si="332"/>
        <v>851.48</v>
      </c>
      <c r="W604">
        <f t="shared" si="333"/>
        <v>0</v>
      </c>
      <c r="X604">
        <f t="shared" si="334"/>
        <v>0</v>
      </c>
      <c r="Y604">
        <f t="shared" si="335"/>
        <v>0</v>
      </c>
      <c r="Z604">
        <f t="shared" si="336"/>
        <v>0</v>
      </c>
      <c r="AA604">
        <f t="shared" si="337"/>
        <v>0</v>
      </c>
      <c r="AC604">
        <f t="shared" si="338"/>
        <v>1045.25</v>
      </c>
      <c r="AD604">
        <f t="shared" si="339"/>
        <v>0</v>
      </c>
      <c r="AE604">
        <f t="shared" si="340"/>
        <v>0</v>
      </c>
      <c r="AF604">
        <f t="shared" si="341"/>
        <v>0</v>
      </c>
      <c r="AG604">
        <f t="shared" si="342"/>
        <v>0</v>
      </c>
      <c r="AH604">
        <f t="shared" si="343"/>
        <v>0</v>
      </c>
      <c r="AJ604">
        <f t="shared" si="344"/>
        <v>1239.01</v>
      </c>
      <c r="AK604">
        <f t="shared" si="345"/>
        <v>0</v>
      </c>
      <c r="AL604">
        <f t="shared" si="346"/>
        <v>0</v>
      </c>
      <c r="AM604">
        <f t="shared" si="347"/>
        <v>0</v>
      </c>
      <c r="AN604">
        <f t="shared" si="348"/>
        <v>0</v>
      </c>
      <c r="AO604">
        <f t="shared" si="349"/>
        <v>0</v>
      </c>
    </row>
    <row r="605" spans="1:41" x14ac:dyDescent="0.45">
      <c r="A605">
        <v>38.596475480000002</v>
      </c>
      <c r="B605">
        <v>117.6337967</v>
      </c>
      <c r="C605">
        <v>31.14632988</v>
      </c>
      <c r="D605">
        <v>0.73458396999999998</v>
      </c>
      <c r="E605">
        <f t="shared" si="315"/>
        <v>0.73458396999999998</v>
      </c>
      <c r="F605">
        <f t="shared" si="316"/>
        <v>0</v>
      </c>
      <c r="G605">
        <f t="shared" si="317"/>
        <v>0</v>
      </c>
      <c r="H605">
        <f t="shared" si="318"/>
        <v>0</v>
      </c>
      <c r="I605">
        <f t="shared" si="319"/>
        <v>0</v>
      </c>
      <c r="J605">
        <f t="shared" si="320"/>
        <v>0</v>
      </c>
      <c r="K605" s="1">
        <f t="shared" si="321"/>
        <v>0</v>
      </c>
      <c r="L605" s="1">
        <f t="shared" si="322"/>
        <v>0</v>
      </c>
      <c r="M605" s="1">
        <f t="shared" si="323"/>
        <v>0</v>
      </c>
      <c r="N605" s="1">
        <f t="shared" si="324"/>
        <v>0</v>
      </c>
      <c r="O605" s="1">
        <f t="shared" si="325"/>
        <v>0</v>
      </c>
      <c r="P605" s="1">
        <f t="shared" si="326"/>
        <v>24.999999999999996</v>
      </c>
      <c r="Q605" s="1" t="e">
        <f t="shared" si="327"/>
        <v>#DIV/0!</v>
      </c>
      <c r="R605" s="1" t="e">
        <f t="shared" si="328"/>
        <v>#DIV/0!</v>
      </c>
      <c r="S605" s="1" t="e">
        <f t="shared" si="329"/>
        <v>#DIV/0!</v>
      </c>
      <c r="T605" s="1" t="e">
        <f t="shared" si="330"/>
        <v>#DIV/0!</v>
      </c>
      <c r="U605" s="1" t="e">
        <f t="shared" si="331"/>
        <v>#DIV/0!</v>
      </c>
      <c r="V605">
        <f t="shared" si="332"/>
        <v>851.4799999999999</v>
      </c>
      <c r="W605">
        <f t="shared" si="333"/>
        <v>0</v>
      </c>
      <c r="X605">
        <f t="shared" si="334"/>
        <v>0</v>
      </c>
      <c r="Y605">
        <f t="shared" si="335"/>
        <v>0</v>
      </c>
      <c r="Z605">
        <f t="shared" si="336"/>
        <v>0</v>
      </c>
      <c r="AA605">
        <f t="shared" si="337"/>
        <v>0</v>
      </c>
      <c r="AC605">
        <f t="shared" si="338"/>
        <v>1045.25</v>
      </c>
      <c r="AD605">
        <f t="shared" si="339"/>
        <v>0</v>
      </c>
      <c r="AE605">
        <f t="shared" si="340"/>
        <v>0</v>
      </c>
      <c r="AF605">
        <f t="shared" si="341"/>
        <v>0</v>
      </c>
      <c r="AG605">
        <f t="shared" si="342"/>
        <v>0</v>
      </c>
      <c r="AH605">
        <f t="shared" si="343"/>
        <v>0</v>
      </c>
      <c r="AJ605">
        <f t="shared" si="344"/>
        <v>1239.0099999999998</v>
      </c>
      <c r="AK605">
        <f t="shared" si="345"/>
        <v>0</v>
      </c>
      <c r="AL605">
        <f t="shared" si="346"/>
        <v>0</v>
      </c>
      <c r="AM605">
        <f t="shared" si="347"/>
        <v>0</v>
      </c>
      <c r="AN605">
        <f t="shared" si="348"/>
        <v>0</v>
      </c>
      <c r="AO605">
        <f t="shared" si="349"/>
        <v>0</v>
      </c>
    </row>
    <row r="606" spans="1:41" x14ac:dyDescent="0.45">
      <c r="A606">
        <v>38.598044100000003</v>
      </c>
      <c r="B606">
        <v>116.0467768</v>
      </c>
      <c r="C606">
        <v>78.320755000000005</v>
      </c>
      <c r="D606">
        <v>1.75725603</v>
      </c>
      <c r="E606">
        <f t="shared" si="315"/>
        <v>1.75725603</v>
      </c>
      <c r="F606">
        <f t="shared" si="316"/>
        <v>0</v>
      </c>
      <c r="G606">
        <f t="shared" si="317"/>
        <v>0</v>
      </c>
      <c r="H606">
        <f t="shared" si="318"/>
        <v>0</v>
      </c>
      <c r="I606">
        <f t="shared" si="319"/>
        <v>0</v>
      </c>
      <c r="J606">
        <f t="shared" si="320"/>
        <v>0</v>
      </c>
      <c r="K606" s="1">
        <f t="shared" si="321"/>
        <v>0</v>
      </c>
      <c r="L606" s="1">
        <f t="shared" si="322"/>
        <v>0</v>
      </c>
      <c r="M606" s="1">
        <f t="shared" si="323"/>
        <v>0</v>
      </c>
      <c r="N606" s="1">
        <f t="shared" si="324"/>
        <v>0</v>
      </c>
      <c r="O606" s="1">
        <f t="shared" si="325"/>
        <v>0</v>
      </c>
      <c r="P606" s="1">
        <f t="shared" si="326"/>
        <v>25</v>
      </c>
      <c r="Q606" s="1" t="e">
        <f t="shared" si="327"/>
        <v>#DIV/0!</v>
      </c>
      <c r="R606" s="1" t="e">
        <f t="shared" si="328"/>
        <v>#DIV/0!</v>
      </c>
      <c r="S606" s="1" t="e">
        <f t="shared" si="329"/>
        <v>#DIV/0!</v>
      </c>
      <c r="T606" s="1" t="e">
        <f t="shared" si="330"/>
        <v>#DIV/0!</v>
      </c>
      <c r="U606" s="1" t="e">
        <f t="shared" si="331"/>
        <v>#DIV/0!</v>
      </c>
      <c r="V606">
        <f t="shared" si="332"/>
        <v>851.48</v>
      </c>
      <c r="W606">
        <f t="shared" si="333"/>
        <v>0</v>
      </c>
      <c r="X606">
        <f t="shared" si="334"/>
        <v>0</v>
      </c>
      <c r="Y606">
        <f t="shared" si="335"/>
        <v>0</v>
      </c>
      <c r="Z606">
        <f t="shared" si="336"/>
        <v>0</v>
      </c>
      <c r="AA606">
        <f t="shared" si="337"/>
        <v>0</v>
      </c>
      <c r="AC606">
        <f t="shared" si="338"/>
        <v>1045.25</v>
      </c>
      <c r="AD606">
        <f t="shared" si="339"/>
        <v>0</v>
      </c>
      <c r="AE606">
        <f t="shared" si="340"/>
        <v>0</v>
      </c>
      <c r="AF606">
        <f t="shared" si="341"/>
        <v>0</v>
      </c>
      <c r="AG606">
        <f t="shared" si="342"/>
        <v>0</v>
      </c>
      <c r="AH606">
        <f t="shared" si="343"/>
        <v>0</v>
      </c>
      <c r="AJ606">
        <f t="shared" si="344"/>
        <v>1239.01</v>
      </c>
      <c r="AK606">
        <f t="shared" si="345"/>
        <v>0</v>
      </c>
      <c r="AL606">
        <f t="shared" si="346"/>
        <v>0</v>
      </c>
      <c r="AM606">
        <f t="shared" si="347"/>
        <v>0</v>
      </c>
      <c r="AN606">
        <f t="shared" si="348"/>
        <v>0</v>
      </c>
      <c r="AO606">
        <f t="shared" si="349"/>
        <v>0</v>
      </c>
    </row>
    <row r="607" spans="1:41" x14ac:dyDescent="0.45">
      <c r="A607">
        <v>38.602847019999999</v>
      </c>
      <c r="B607">
        <v>118.04681069999999</v>
      </c>
      <c r="C607">
        <v>36.944892879999998</v>
      </c>
      <c r="D607">
        <v>3.5504889500000001</v>
      </c>
      <c r="E607">
        <f t="shared" si="315"/>
        <v>3.5504889500000001</v>
      </c>
      <c r="F607">
        <f t="shared" si="316"/>
        <v>0</v>
      </c>
      <c r="G607">
        <f t="shared" si="317"/>
        <v>0</v>
      </c>
      <c r="H607">
        <f t="shared" si="318"/>
        <v>0</v>
      </c>
      <c r="I607">
        <f t="shared" si="319"/>
        <v>0</v>
      </c>
      <c r="J607">
        <f t="shared" si="320"/>
        <v>0</v>
      </c>
      <c r="K607" s="1">
        <f t="shared" si="321"/>
        <v>0</v>
      </c>
      <c r="L607" s="1">
        <f t="shared" si="322"/>
        <v>0</v>
      </c>
      <c r="M607" s="1">
        <f t="shared" si="323"/>
        <v>0</v>
      </c>
      <c r="N607" s="1">
        <f t="shared" si="324"/>
        <v>0</v>
      </c>
      <c r="O607" s="1">
        <f t="shared" si="325"/>
        <v>0</v>
      </c>
      <c r="P607" s="1">
        <f t="shared" si="326"/>
        <v>25</v>
      </c>
      <c r="Q607" s="1" t="e">
        <f t="shared" si="327"/>
        <v>#DIV/0!</v>
      </c>
      <c r="R607" s="1" t="e">
        <f t="shared" si="328"/>
        <v>#DIV/0!</v>
      </c>
      <c r="S607" s="1" t="e">
        <f t="shared" si="329"/>
        <v>#DIV/0!</v>
      </c>
      <c r="T607" s="1" t="e">
        <f t="shared" si="330"/>
        <v>#DIV/0!</v>
      </c>
      <c r="U607" s="1" t="e">
        <f t="shared" si="331"/>
        <v>#DIV/0!</v>
      </c>
      <c r="V607">
        <f t="shared" si="332"/>
        <v>851.48</v>
      </c>
      <c r="W607">
        <f t="shared" si="333"/>
        <v>0</v>
      </c>
      <c r="X607">
        <f t="shared" si="334"/>
        <v>0</v>
      </c>
      <c r="Y607">
        <f t="shared" si="335"/>
        <v>0</v>
      </c>
      <c r="Z607">
        <f t="shared" si="336"/>
        <v>0</v>
      </c>
      <c r="AA607">
        <f t="shared" si="337"/>
        <v>0</v>
      </c>
      <c r="AC607">
        <f t="shared" si="338"/>
        <v>1045.25</v>
      </c>
      <c r="AD607">
        <f t="shared" si="339"/>
        <v>0</v>
      </c>
      <c r="AE607">
        <f t="shared" si="340"/>
        <v>0</v>
      </c>
      <c r="AF607">
        <f t="shared" si="341"/>
        <v>0</v>
      </c>
      <c r="AG607">
        <f t="shared" si="342"/>
        <v>0</v>
      </c>
      <c r="AH607">
        <f t="shared" si="343"/>
        <v>0</v>
      </c>
      <c r="AJ607">
        <f t="shared" si="344"/>
        <v>1239.01</v>
      </c>
      <c r="AK607">
        <f t="shared" si="345"/>
        <v>0</v>
      </c>
      <c r="AL607">
        <f t="shared" si="346"/>
        <v>0</v>
      </c>
      <c r="AM607">
        <f t="shared" si="347"/>
        <v>0</v>
      </c>
      <c r="AN607">
        <f t="shared" si="348"/>
        <v>0</v>
      </c>
      <c r="AO607">
        <f t="shared" si="349"/>
        <v>0</v>
      </c>
    </row>
    <row r="608" spans="1:41" x14ac:dyDescent="0.45">
      <c r="A608">
        <v>38.607298380000003</v>
      </c>
      <c r="B608">
        <v>120.1703138</v>
      </c>
      <c r="C608">
        <v>47.571170809999998</v>
      </c>
      <c r="D608">
        <v>9.1382226899999992</v>
      </c>
      <c r="E608">
        <f t="shared" si="315"/>
        <v>9.1382226899999992</v>
      </c>
      <c r="F608">
        <f t="shared" si="316"/>
        <v>0</v>
      </c>
      <c r="G608">
        <f t="shared" si="317"/>
        <v>0</v>
      </c>
      <c r="H608">
        <f t="shared" si="318"/>
        <v>0</v>
      </c>
      <c r="I608">
        <f t="shared" si="319"/>
        <v>0</v>
      </c>
      <c r="J608">
        <f t="shared" si="320"/>
        <v>0</v>
      </c>
      <c r="K608" s="1">
        <f t="shared" si="321"/>
        <v>0</v>
      </c>
      <c r="L608" s="1">
        <f t="shared" si="322"/>
        <v>0</v>
      </c>
      <c r="M608" s="1">
        <f t="shared" si="323"/>
        <v>0</v>
      </c>
      <c r="N608" s="1">
        <f t="shared" si="324"/>
        <v>0</v>
      </c>
      <c r="O608" s="1">
        <f t="shared" si="325"/>
        <v>0</v>
      </c>
      <c r="P608" s="1">
        <f t="shared" si="326"/>
        <v>25</v>
      </c>
      <c r="Q608" s="1" t="e">
        <f t="shared" si="327"/>
        <v>#DIV/0!</v>
      </c>
      <c r="R608" s="1" t="e">
        <f t="shared" si="328"/>
        <v>#DIV/0!</v>
      </c>
      <c r="S608" s="1" t="e">
        <f t="shared" si="329"/>
        <v>#DIV/0!</v>
      </c>
      <c r="T608" s="1" t="e">
        <f t="shared" si="330"/>
        <v>#DIV/0!</v>
      </c>
      <c r="U608" s="1" t="e">
        <f t="shared" si="331"/>
        <v>#DIV/0!</v>
      </c>
      <c r="V608">
        <f t="shared" si="332"/>
        <v>851.48</v>
      </c>
      <c r="W608">
        <f t="shared" si="333"/>
        <v>0</v>
      </c>
      <c r="X608">
        <f t="shared" si="334"/>
        <v>0</v>
      </c>
      <c r="Y608">
        <f t="shared" si="335"/>
        <v>0</v>
      </c>
      <c r="Z608">
        <f t="shared" si="336"/>
        <v>0</v>
      </c>
      <c r="AA608">
        <f t="shared" si="337"/>
        <v>0</v>
      </c>
      <c r="AC608">
        <f t="shared" si="338"/>
        <v>1045.25</v>
      </c>
      <c r="AD608">
        <f t="shared" si="339"/>
        <v>0</v>
      </c>
      <c r="AE608">
        <f t="shared" si="340"/>
        <v>0</v>
      </c>
      <c r="AF608">
        <f t="shared" si="341"/>
        <v>0</v>
      </c>
      <c r="AG608">
        <f t="shared" si="342"/>
        <v>0</v>
      </c>
      <c r="AH608">
        <f t="shared" si="343"/>
        <v>0</v>
      </c>
      <c r="AJ608">
        <f t="shared" si="344"/>
        <v>1239.01</v>
      </c>
      <c r="AK608">
        <f t="shared" si="345"/>
        <v>0</v>
      </c>
      <c r="AL608">
        <f t="shared" si="346"/>
        <v>0</v>
      </c>
      <c r="AM608">
        <f t="shared" si="347"/>
        <v>0</v>
      </c>
      <c r="AN608">
        <f t="shared" si="348"/>
        <v>0</v>
      </c>
      <c r="AO608">
        <f t="shared" si="349"/>
        <v>0</v>
      </c>
    </row>
    <row r="609" spans="1:41" x14ac:dyDescent="0.45">
      <c r="A609">
        <v>38.60852053</v>
      </c>
      <c r="B609">
        <v>117.98883499999999</v>
      </c>
      <c r="C609">
        <v>101.76920320000001</v>
      </c>
      <c r="D609">
        <v>1.4691679499999999</v>
      </c>
      <c r="E609">
        <f t="shared" si="315"/>
        <v>1.4691679499999999</v>
      </c>
      <c r="F609">
        <f t="shared" si="316"/>
        <v>0</v>
      </c>
      <c r="G609">
        <f t="shared" si="317"/>
        <v>0</v>
      </c>
      <c r="H609">
        <f t="shared" si="318"/>
        <v>0</v>
      </c>
      <c r="I609">
        <f t="shared" si="319"/>
        <v>0</v>
      </c>
      <c r="J609">
        <f t="shared" si="320"/>
        <v>0</v>
      </c>
      <c r="K609" s="1">
        <f t="shared" si="321"/>
        <v>0</v>
      </c>
      <c r="L609" s="1">
        <f t="shared" si="322"/>
        <v>0</v>
      </c>
      <c r="M609" s="1">
        <f t="shared" si="323"/>
        <v>0</v>
      </c>
      <c r="N609" s="1">
        <f t="shared" si="324"/>
        <v>0</v>
      </c>
      <c r="O609" s="1">
        <f t="shared" si="325"/>
        <v>0</v>
      </c>
      <c r="P609" s="1">
        <f t="shared" si="326"/>
        <v>25</v>
      </c>
      <c r="Q609" s="1" t="e">
        <f t="shared" si="327"/>
        <v>#DIV/0!</v>
      </c>
      <c r="R609" s="1" t="e">
        <f t="shared" si="328"/>
        <v>#DIV/0!</v>
      </c>
      <c r="S609" s="1" t="e">
        <f t="shared" si="329"/>
        <v>#DIV/0!</v>
      </c>
      <c r="T609" s="1" t="e">
        <f t="shared" si="330"/>
        <v>#DIV/0!</v>
      </c>
      <c r="U609" s="1" t="e">
        <f t="shared" si="331"/>
        <v>#DIV/0!</v>
      </c>
      <c r="V609">
        <f t="shared" si="332"/>
        <v>851.48</v>
      </c>
      <c r="W609">
        <f t="shared" si="333"/>
        <v>0</v>
      </c>
      <c r="X609">
        <f t="shared" si="334"/>
        <v>0</v>
      </c>
      <c r="Y609">
        <f t="shared" si="335"/>
        <v>0</v>
      </c>
      <c r="Z609">
        <f t="shared" si="336"/>
        <v>0</v>
      </c>
      <c r="AA609">
        <f t="shared" si="337"/>
        <v>0</v>
      </c>
      <c r="AC609">
        <f t="shared" si="338"/>
        <v>1045.25</v>
      </c>
      <c r="AD609">
        <f t="shared" si="339"/>
        <v>0</v>
      </c>
      <c r="AE609">
        <f t="shared" si="340"/>
        <v>0</v>
      </c>
      <c r="AF609">
        <f t="shared" si="341"/>
        <v>0</v>
      </c>
      <c r="AG609">
        <f t="shared" si="342"/>
        <v>0</v>
      </c>
      <c r="AH609">
        <f t="shared" si="343"/>
        <v>0</v>
      </c>
      <c r="AJ609">
        <f t="shared" si="344"/>
        <v>1239.01</v>
      </c>
      <c r="AK609">
        <f t="shared" si="345"/>
        <v>0</v>
      </c>
      <c r="AL609">
        <f t="shared" si="346"/>
        <v>0</v>
      </c>
      <c r="AM609">
        <f t="shared" si="347"/>
        <v>0</v>
      </c>
      <c r="AN609">
        <f t="shared" si="348"/>
        <v>0</v>
      </c>
      <c r="AO609">
        <f t="shared" si="349"/>
        <v>0</v>
      </c>
    </row>
    <row r="610" spans="1:41" x14ac:dyDescent="0.45">
      <c r="A610">
        <v>38.611443260000001</v>
      </c>
      <c r="B610">
        <v>118.8730091</v>
      </c>
      <c r="C610">
        <v>15.036358829999999</v>
      </c>
      <c r="D610">
        <v>0.80816500999999996</v>
      </c>
      <c r="E610">
        <f t="shared" si="315"/>
        <v>0.80816500999999996</v>
      </c>
      <c r="F610">
        <f t="shared" si="316"/>
        <v>0</v>
      </c>
      <c r="G610">
        <f t="shared" si="317"/>
        <v>0</v>
      </c>
      <c r="H610">
        <f t="shared" si="318"/>
        <v>0</v>
      </c>
      <c r="I610">
        <f t="shared" si="319"/>
        <v>0</v>
      </c>
      <c r="J610">
        <f t="shared" si="320"/>
        <v>0</v>
      </c>
      <c r="K610" s="1">
        <f t="shared" si="321"/>
        <v>0</v>
      </c>
      <c r="L610" s="1">
        <f t="shared" si="322"/>
        <v>0</v>
      </c>
      <c r="M610" s="1">
        <f t="shared" si="323"/>
        <v>0</v>
      </c>
      <c r="N610" s="1">
        <f t="shared" si="324"/>
        <v>0</v>
      </c>
      <c r="O610" s="1">
        <f t="shared" si="325"/>
        <v>0</v>
      </c>
      <c r="P610" s="1">
        <f t="shared" si="326"/>
        <v>25.000000000000004</v>
      </c>
      <c r="Q610" s="1" t="e">
        <f t="shared" si="327"/>
        <v>#DIV/0!</v>
      </c>
      <c r="R610" s="1" t="e">
        <f t="shared" si="328"/>
        <v>#DIV/0!</v>
      </c>
      <c r="S610" s="1" t="e">
        <f t="shared" si="329"/>
        <v>#DIV/0!</v>
      </c>
      <c r="T610" s="1" t="e">
        <f t="shared" si="330"/>
        <v>#DIV/0!</v>
      </c>
      <c r="U610" s="1" t="e">
        <f t="shared" si="331"/>
        <v>#DIV/0!</v>
      </c>
      <c r="V610">
        <f t="shared" si="332"/>
        <v>851.48000000000013</v>
      </c>
      <c r="W610">
        <f t="shared" si="333"/>
        <v>0</v>
      </c>
      <c r="X610">
        <f t="shared" si="334"/>
        <v>0</v>
      </c>
      <c r="Y610">
        <f t="shared" si="335"/>
        <v>0</v>
      </c>
      <c r="Z610">
        <f t="shared" si="336"/>
        <v>0</v>
      </c>
      <c r="AA610">
        <f t="shared" si="337"/>
        <v>0</v>
      </c>
      <c r="AC610">
        <f t="shared" si="338"/>
        <v>1045.25</v>
      </c>
      <c r="AD610">
        <f t="shared" si="339"/>
        <v>0</v>
      </c>
      <c r="AE610">
        <f t="shared" si="340"/>
        <v>0</v>
      </c>
      <c r="AF610">
        <f t="shared" si="341"/>
        <v>0</v>
      </c>
      <c r="AG610">
        <f t="shared" si="342"/>
        <v>0</v>
      </c>
      <c r="AH610">
        <f t="shared" si="343"/>
        <v>0</v>
      </c>
      <c r="AJ610">
        <f t="shared" si="344"/>
        <v>1239.0100000000002</v>
      </c>
      <c r="AK610">
        <f t="shared" si="345"/>
        <v>0</v>
      </c>
      <c r="AL610">
        <f t="shared" si="346"/>
        <v>0</v>
      </c>
      <c r="AM610">
        <f t="shared" si="347"/>
        <v>0</v>
      </c>
      <c r="AN610">
        <f t="shared" si="348"/>
        <v>0</v>
      </c>
      <c r="AO610">
        <f t="shared" si="349"/>
        <v>0</v>
      </c>
    </row>
    <row r="611" spans="1:41" x14ac:dyDescent="0.45">
      <c r="A611">
        <v>38.612161020000002</v>
      </c>
      <c r="B611">
        <v>115.8724292</v>
      </c>
      <c r="C611">
        <v>78.320755000000005</v>
      </c>
      <c r="D611">
        <v>7.3997999999999994E-2</v>
      </c>
      <c r="E611">
        <f t="shared" si="315"/>
        <v>7.3997999999999994E-2</v>
      </c>
      <c r="F611">
        <f t="shared" si="316"/>
        <v>0</v>
      </c>
      <c r="G611">
        <f t="shared" si="317"/>
        <v>0</v>
      </c>
      <c r="H611">
        <f t="shared" si="318"/>
        <v>0</v>
      </c>
      <c r="I611">
        <f t="shared" si="319"/>
        <v>0</v>
      </c>
      <c r="J611">
        <f t="shared" si="320"/>
        <v>0</v>
      </c>
      <c r="K611" s="1">
        <f t="shared" si="321"/>
        <v>0</v>
      </c>
      <c r="L611" s="1">
        <f t="shared" si="322"/>
        <v>0</v>
      </c>
      <c r="M611" s="1">
        <f t="shared" si="323"/>
        <v>0</v>
      </c>
      <c r="N611" s="1">
        <f t="shared" si="324"/>
        <v>0</v>
      </c>
      <c r="O611" s="1">
        <f t="shared" si="325"/>
        <v>0</v>
      </c>
      <c r="P611" s="1">
        <f t="shared" si="326"/>
        <v>25</v>
      </c>
      <c r="Q611" s="1" t="e">
        <f t="shared" si="327"/>
        <v>#DIV/0!</v>
      </c>
      <c r="R611" s="1" t="e">
        <f t="shared" si="328"/>
        <v>#DIV/0!</v>
      </c>
      <c r="S611" s="1" t="e">
        <f t="shared" si="329"/>
        <v>#DIV/0!</v>
      </c>
      <c r="T611" s="1" t="e">
        <f t="shared" si="330"/>
        <v>#DIV/0!</v>
      </c>
      <c r="U611" s="1" t="e">
        <f t="shared" si="331"/>
        <v>#DIV/0!</v>
      </c>
      <c r="V611">
        <f t="shared" si="332"/>
        <v>851.48</v>
      </c>
      <c r="W611">
        <f t="shared" si="333"/>
        <v>0</v>
      </c>
      <c r="X611">
        <f t="shared" si="334"/>
        <v>0</v>
      </c>
      <c r="Y611">
        <f t="shared" si="335"/>
        <v>0</v>
      </c>
      <c r="Z611">
        <f t="shared" si="336"/>
        <v>0</v>
      </c>
      <c r="AA611">
        <f t="shared" si="337"/>
        <v>0</v>
      </c>
      <c r="AC611">
        <f t="shared" si="338"/>
        <v>1045.25</v>
      </c>
      <c r="AD611">
        <f t="shared" si="339"/>
        <v>0</v>
      </c>
      <c r="AE611">
        <f t="shared" si="340"/>
        <v>0</v>
      </c>
      <c r="AF611">
        <f t="shared" si="341"/>
        <v>0</v>
      </c>
      <c r="AG611">
        <f t="shared" si="342"/>
        <v>0</v>
      </c>
      <c r="AH611">
        <f t="shared" si="343"/>
        <v>0</v>
      </c>
      <c r="AJ611">
        <f t="shared" si="344"/>
        <v>1239.01</v>
      </c>
      <c r="AK611">
        <f t="shared" si="345"/>
        <v>0</v>
      </c>
      <c r="AL611">
        <f t="shared" si="346"/>
        <v>0</v>
      </c>
      <c r="AM611">
        <f t="shared" si="347"/>
        <v>0</v>
      </c>
      <c r="AN611">
        <f t="shared" si="348"/>
        <v>0</v>
      </c>
      <c r="AO611">
        <f t="shared" si="349"/>
        <v>0</v>
      </c>
    </row>
    <row r="612" spans="1:41" x14ac:dyDescent="0.45">
      <c r="A612">
        <v>38.612832160000004</v>
      </c>
      <c r="B612">
        <v>117.45976829999999</v>
      </c>
      <c r="C612">
        <v>52.10093689</v>
      </c>
      <c r="D612">
        <v>0.25642899000000002</v>
      </c>
      <c r="E612">
        <f t="shared" si="315"/>
        <v>0.25642899000000002</v>
      </c>
      <c r="F612">
        <f t="shared" si="316"/>
        <v>0</v>
      </c>
      <c r="G612">
        <f t="shared" si="317"/>
        <v>0</v>
      </c>
      <c r="H612">
        <f t="shared" si="318"/>
        <v>0</v>
      </c>
      <c r="I612">
        <f t="shared" si="319"/>
        <v>0</v>
      </c>
      <c r="J612">
        <f t="shared" si="320"/>
        <v>0</v>
      </c>
      <c r="K612" s="1">
        <f t="shared" si="321"/>
        <v>0</v>
      </c>
      <c r="L612" s="1">
        <f t="shared" si="322"/>
        <v>0</v>
      </c>
      <c r="M612" s="1">
        <f t="shared" si="323"/>
        <v>0</v>
      </c>
      <c r="N612" s="1">
        <f t="shared" si="324"/>
        <v>0</v>
      </c>
      <c r="O612" s="1">
        <f t="shared" si="325"/>
        <v>0</v>
      </c>
      <c r="P612" s="1">
        <f t="shared" si="326"/>
        <v>25</v>
      </c>
      <c r="Q612" s="1" t="e">
        <f t="shared" si="327"/>
        <v>#DIV/0!</v>
      </c>
      <c r="R612" s="1" t="e">
        <f t="shared" si="328"/>
        <v>#DIV/0!</v>
      </c>
      <c r="S612" s="1" t="e">
        <f t="shared" si="329"/>
        <v>#DIV/0!</v>
      </c>
      <c r="T612" s="1" t="e">
        <f t="shared" si="330"/>
        <v>#DIV/0!</v>
      </c>
      <c r="U612" s="1" t="e">
        <f t="shared" si="331"/>
        <v>#DIV/0!</v>
      </c>
      <c r="V612">
        <f t="shared" si="332"/>
        <v>851.48</v>
      </c>
      <c r="W612">
        <f t="shared" si="333"/>
        <v>0</v>
      </c>
      <c r="X612">
        <f t="shared" si="334"/>
        <v>0</v>
      </c>
      <c r="Y612">
        <f t="shared" si="335"/>
        <v>0</v>
      </c>
      <c r="Z612">
        <f t="shared" si="336"/>
        <v>0</v>
      </c>
      <c r="AA612">
        <f t="shared" si="337"/>
        <v>0</v>
      </c>
      <c r="AC612">
        <f t="shared" si="338"/>
        <v>1045.25</v>
      </c>
      <c r="AD612">
        <f t="shared" si="339"/>
        <v>0</v>
      </c>
      <c r="AE612">
        <f t="shared" si="340"/>
        <v>0</v>
      </c>
      <c r="AF612">
        <f t="shared" si="341"/>
        <v>0</v>
      </c>
      <c r="AG612">
        <f t="shared" si="342"/>
        <v>0</v>
      </c>
      <c r="AH612">
        <f t="shared" si="343"/>
        <v>0</v>
      </c>
      <c r="AJ612">
        <f t="shared" si="344"/>
        <v>1239.01</v>
      </c>
      <c r="AK612">
        <f t="shared" si="345"/>
        <v>0</v>
      </c>
      <c r="AL612">
        <f t="shared" si="346"/>
        <v>0</v>
      </c>
      <c r="AM612">
        <f t="shared" si="347"/>
        <v>0</v>
      </c>
      <c r="AN612">
        <f t="shared" si="348"/>
        <v>0</v>
      </c>
      <c r="AO612">
        <f t="shared" si="349"/>
        <v>0</v>
      </c>
    </row>
    <row r="613" spans="1:41" x14ac:dyDescent="0.45">
      <c r="A613">
        <v>38.614166789999999</v>
      </c>
      <c r="B613">
        <v>117.9308506</v>
      </c>
      <c r="C613">
        <v>37.958648680000003</v>
      </c>
      <c r="D613">
        <v>0.53869498000000005</v>
      </c>
      <c r="E613">
        <f t="shared" si="315"/>
        <v>0.53869498000000005</v>
      </c>
      <c r="F613">
        <f t="shared" si="316"/>
        <v>0</v>
      </c>
      <c r="G613">
        <f t="shared" si="317"/>
        <v>0</v>
      </c>
      <c r="H613">
        <f t="shared" si="318"/>
        <v>0</v>
      </c>
      <c r="I613">
        <f t="shared" si="319"/>
        <v>0</v>
      </c>
      <c r="J613">
        <f t="shared" si="320"/>
        <v>0</v>
      </c>
      <c r="K613" s="1">
        <f t="shared" si="321"/>
        <v>0</v>
      </c>
      <c r="L613" s="1">
        <f t="shared" si="322"/>
        <v>0</v>
      </c>
      <c r="M613" s="1">
        <f t="shared" si="323"/>
        <v>0</v>
      </c>
      <c r="N613" s="1">
        <f t="shared" si="324"/>
        <v>0</v>
      </c>
      <c r="O613" s="1">
        <f t="shared" si="325"/>
        <v>0</v>
      </c>
      <c r="P613" s="1">
        <f t="shared" si="326"/>
        <v>25</v>
      </c>
      <c r="Q613" s="1" t="e">
        <f t="shared" si="327"/>
        <v>#DIV/0!</v>
      </c>
      <c r="R613" s="1" t="e">
        <f t="shared" si="328"/>
        <v>#DIV/0!</v>
      </c>
      <c r="S613" s="1" t="e">
        <f t="shared" si="329"/>
        <v>#DIV/0!</v>
      </c>
      <c r="T613" s="1" t="e">
        <f t="shared" si="330"/>
        <v>#DIV/0!</v>
      </c>
      <c r="U613" s="1" t="e">
        <f t="shared" si="331"/>
        <v>#DIV/0!</v>
      </c>
      <c r="V613">
        <f t="shared" si="332"/>
        <v>851.48</v>
      </c>
      <c r="W613">
        <f t="shared" si="333"/>
        <v>0</v>
      </c>
      <c r="X613">
        <f t="shared" si="334"/>
        <v>0</v>
      </c>
      <c r="Y613">
        <f t="shared" si="335"/>
        <v>0</v>
      </c>
      <c r="Z613">
        <f t="shared" si="336"/>
        <v>0</v>
      </c>
      <c r="AA613">
        <f t="shared" si="337"/>
        <v>0</v>
      </c>
      <c r="AC613">
        <f t="shared" si="338"/>
        <v>1045.25</v>
      </c>
      <c r="AD613">
        <f t="shared" si="339"/>
        <v>0</v>
      </c>
      <c r="AE613">
        <f t="shared" si="340"/>
        <v>0</v>
      </c>
      <c r="AF613">
        <f t="shared" si="341"/>
        <v>0</v>
      </c>
      <c r="AG613">
        <f t="shared" si="342"/>
        <v>0</v>
      </c>
      <c r="AH613">
        <f t="shared" si="343"/>
        <v>0</v>
      </c>
      <c r="AJ613">
        <f t="shared" si="344"/>
        <v>1239.01</v>
      </c>
      <c r="AK613">
        <f t="shared" si="345"/>
        <v>0</v>
      </c>
      <c r="AL613">
        <f t="shared" si="346"/>
        <v>0</v>
      </c>
      <c r="AM613">
        <f t="shared" si="347"/>
        <v>0</v>
      </c>
      <c r="AN613">
        <f t="shared" si="348"/>
        <v>0</v>
      </c>
      <c r="AO613">
        <f t="shared" si="349"/>
        <v>0</v>
      </c>
    </row>
    <row r="614" spans="1:41" x14ac:dyDescent="0.45">
      <c r="A614">
        <v>38.618229810000003</v>
      </c>
      <c r="B614">
        <v>117.4017423</v>
      </c>
      <c r="C614">
        <v>52.10093689</v>
      </c>
      <c r="D614">
        <v>0.52120202999999998</v>
      </c>
      <c r="E614">
        <f t="shared" si="315"/>
        <v>0.52120202999999998</v>
      </c>
      <c r="F614">
        <f t="shared" si="316"/>
        <v>0</v>
      </c>
      <c r="G614">
        <f t="shared" si="317"/>
        <v>0</v>
      </c>
      <c r="H614">
        <f t="shared" si="318"/>
        <v>0</v>
      </c>
      <c r="I614">
        <f t="shared" si="319"/>
        <v>0</v>
      </c>
      <c r="J614">
        <f t="shared" si="320"/>
        <v>0</v>
      </c>
      <c r="K614" s="1">
        <f t="shared" si="321"/>
        <v>0</v>
      </c>
      <c r="L614" s="1">
        <f t="shared" si="322"/>
        <v>0</v>
      </c>
      <c r="M614" s="1">
        <f t="shared" si="323"/>
        <v>0</v>
      </c>
      <c r="N614" s="1">
        <f t="shared" si="324"/>
        <v>0</v>
      </c>
      <c r="O614" s="1">
        <f t="shared" si="325"/>
        <v>0</v>
      </c>
      <c r="P614" s="1">
        <f t="shared" si="326"/>
        <v>25</v>
      </c>
      <c r="Q614" s="1" t="e">
        <f t="shared" si="327"/>
        <v>#DIV/0!</v>
      </c>
      <c r="R614" s="1" t="e">
        <f t="shared" si="328"/>
        <v>#DIV/0!</v>
      </c>
      <c r="S614" s="1" t="e">
        <f t="shared" si="329"/>
        <v>#DIV/0!</v>
      </c>
      <c r="T614" s="1" t="e">
        <f t="shared" si="330"/>
        <v>#DIV/0!</v>
      </c>
      <c r="U614" s="1" t="e">
        <f t="shared" si="331"/>
        <v>#DIV/0!</v>
      </c>
      <c r="V614">
        <f t="shared" si="332"/>
        <v>851.48</v>
      </c>
      <c r="W614">
        <f t="shared" si="333"/>
        <v>0</v>
      </c>
      <c r="X614">
        <f t="shared" si="334"/>
        <v>0</v>
      </c>
      <c r="Y614">
        <f t="shared" si="335"/>
        <v>0</v>
      </c>
      <c r="Z614">
        <f t="shared" si="336"/>
        <v>0</v>
      </c>
      <c r="AA614">
        <f t="shared" si="337"/>
        <v>0</v>
      </c>
      <c r="AC614">
        <f t="shared" si="338"/>
        <v>1045.25</v>
      </c>
      <c r="AD614">
        <f t="shared" si="339"/>
        <v>0</v>
      </c>
      <c r="AE614">
        <f t="shared" si="340"/>
        <v>0</v>
      </c>
      <c r="AF614">
        <f t="shared" si="341"/>
        <v>0</v>
      </c>
      <c r="AG614">
        <f t="shared" si="342"/>
        <v>0</v>
      </c>
      <c r="AH614">
        <f t="shared" si="343"/>
        <v>0</v>
      </c>
      <c r="AJ614">
        <f t="shared" si="344"/>
        <v>1239.01</v>
      </c>
      <c r="AK614">
        <f t="shared" si="345"/>
        <v>0</v>
      </c>
      <c r="AL614">
        <f t="shared" si="346"/>
        <v>0</v>
      </c>
      <c r="AM614">
        <f t="shared" si="347"/>
        <v>0</v>
      </c>
      <c r="AN614">
        <f t="shared" si="348"/>
        <v>0</v>
      </c>
      <c r="AO614">
        <f t="shared" si="349"/>
        <v>0</v>
      </c>
    </row>
    <row r="615" spans="1:41" x14ac:dyDescent="0.45">
      <c r="A615">
        <v>38.618879550000003</v>
      </c>
      <c r="B615">
        <v>120.4678866</v>
      </c>
      <c r="C615">
        <v>26.389209749999999</v>
      </c>
      <c r="D615">
        <v>36.72919083</v>
      </c>
      <c r="E615">
        <f t="shared" si="315"/>
        <v>26.389209749999999</v>
      </c>
      <c r="F615">
        <f t="shared" si="316"/>
        <v>0</v>
      </c>
      <c r="G615">
        <f t="shared" si="317"/>
        <v>0</v>
      </c>
      <c r="H615">
        <f t="shared" si="318"/>
        <v>0</v>
      </c>
      <c r="I615">
        <f t="shared" si="319"/>
        <v>0</v>
      </c>
      <c r="J615">
        <f t="shared" si="320"/>
        <v>0</v>
      </c>
      <c r="K615" s="1">
        <f t="shared" si="321"/>
        <v>0</v>
      </c>
      <c r="L615" s="1">
        <f t="shared" si="322"/>
        <v>0</v>
      </c>
      <c r="M615" s="1">
        <f t="shared" si="323"/>
        <v>0</v>
      </c>
      <c r="N615" s="1">
        <f t="shared" si="324"/>
        <v>0</v>
      </c>
      <c r="O615" s="1">
        <f t="shared" si="325"/>
        <v>0</v>
      </c>
      <c r="P615" s="1">
        <f t="shared" si="326"/>
        <v>17.962014104899353</v>
      </c>
      <c r="Q615" s="1" t="e">
        <f t="shared" si="327"/>
        <v>#DIV/0!</v>
      </c>
      <c r="R615" s="1" t="e">
        <f t="shared" si="328"/>
        <v>#DIV/0!</v>
      </c>
      <c r="S615" s="1" t="e">
        <f t="shared" si="329"/>
        <v>#DIV/0!</v>
      </c>
      <c r="T615" s="1" t="e">
        <f t="shared" si="330"/>
        <v>#DIV/0!</v>
      </c>
      <c r="U615" s="1" t="e">
        <f t="shared" si="331"/>
        <v>#DIV/0!</v>
      </c>
      <c r="V615">
        <f t="shared" si="332"/>
        <v>622.74545840922895</v>
      </c>
      <c r="W615">
        <f t="shared" si="333"/>
        <v>0</v>
      </c>
      <c r="X615">
        <f t="shared" si="334"/>
        <v>0</v>
      </c>
      <c r="Y615">
        <f t="shared" si="335"/>
        <v>0</v>
      </c>
      <c r="Z615">
        <f t="shared" si="336"/>
        <v>0</v>
      </c>
      <c r="AA615">
        <f t="shared" si="337"/>
        <v>0</v>
      </c>
      <c r="AC615">
        <f t="shared" si="338"/>
        <v>763.73056419597413</v>
      </c>
      <c r="AD615">
        <f t="shared" si="339"/>
        <v>0</v>
      </c>
      <c r="AE615">
        <f t="shared" si="340"/>
        <v>0</v>
      </c>
      <c r="AF615">
        <f t="shared" si="341"/>
        <v>0</v>
      </c>
      <c r="AG615">
        <f t="shared" si="342"/>
        <v>0</v>
      </c>
      <c r="AH615">
        <f t="shared" si="343"/>
        <v>0</v>
      </c>
      <c r="AJ615">
        <f t="shared" si="344"/>
        <v>904.70566998271931</v>
      </c>
      <c r="AK615">
        <f t="shared" si="345"/>
        <v>0</v>
      </c>
      <c r="AL615">
        <f t="shared" si="346"/>
        <v>0</v>
      </c>
      <c r="AM615">
        <f t="shared" si="347"/>
        <v>0</v>
      </c>
      <c r="AN615">
        <f t="shared" si="348"/>
        <v>0</v>
      </c>
      <c r="AO615">
        <f t="shared" si="349"/>
        <v>0</v>
      </c>
    </row>
    <row r="616" spans="1:41" x14ac:dyDescent="0.45">
      <c r="A616">
        <v>38.61954403</v>
      </c>
      <c r="B616">
        <v>118.34398109999999</v>
      </c>
      <c r="C616">
        <v>19.43106461</v>
      </c>
      <c r="D616">
        <v>0.73458396999999998</v>
      </c>
      <c r="E616">
        <f t="shared" si="315"/>
        <v>0.73458396999999998</v>
      </c>
      <c r="F616">
        <f t="shared" si="316"/>
        <v>0</v>
      </c>
      <c r="G616">
        <f t="shared" si="317"/>
        <v>0</v>
      </c>
      <c r="H616">
        <f t="shared" si="318"/>
        <v>0</v>
      </c>
      <c r="I616">
        <f t="shared" si="319"/>
        <v>0</v>
      </c>
      <c r="J616">
        <f t="shared" si="320"/>
        <v>0</v>
      </c>
      <c r="K616" s="1">
        <f t="shared" si="321"/>
        <v>0</v>
      </c>
      <c r="L616" s="1">
        <f t="shared" si="322"/>
        <v>0</v>
      </c>
      <c r="M616" s="1">
        <f t="shared" si="323"/>
        <v>0</v>
      </c>
      <c r="N616" s="1">
        <f t="shared" si="324"/>
        <v>0</v>
      </c>
      <c r="O616" s="1">
        <f t="shared" si="325"/>
        <v>0</v>
      </c>
      <c r="P616" s="1">
        <f t="shared" si="326"/>
        <v>24.999999999999996</v>
      </c>
      <c r="Q616" s="1" t="e">
        <f t="shared" si="327"/>
        <v>#DIV/0!</v>
      </c>
      <c r="R616" s="1" t="e">
        <f t="shared" si="328"/>
        <v>#DIV/0!</v>
      </c>
      <c r="S616" s="1" t="e">
        <f t="shared" si="329"/>
        <v>#DIV/0!</v>
      </c>
      <c r="T616" s="1" t="e">
        <f t="shared" si="330"/>
        <v>#DIV/0!</v>
      </c>
      <c r="U616" s="1" t="e">
        <f t="shared" si="331"/>
        <v>#DIV/0!</v>
      </c>
      <c r="V616">
        <f t="shared" si="332"/>
        <v>851.4799999999999</v>
      </c>
      <c r="W616">
        <f t="shared" si="333"/>
        <v>0</v>
      </c>
      <c r="X616">
        <f t="shared" si="334"/>
        <v>0</v>
      </c>
      <c r="Y616">
        <f t="shared" si="335"/>
        <v>0</v>
      </c>
      <c r="Z616">
        <f t="shared" si="336"/>
        <v>0</v>
      </c>
      <c r="AA616">
        <f t="shared" si="337"/>
        <v>0</v>
      </c>
      <c r="AC616">
        <f t="shared" si="338"/>
        <v>1045.25</v>
      </c>
      <c r="AD616">
        <f t="shared" si="339"/>
        <v>0</v>
      </c>
      <c r="AE616">
        <f t="shared" si="340"/>
        <v>0</v>
      </c>
      <c r="AF616">
        <f t="shared" si="341"/>
        <v>0</v>
      </c>
      <c r="AG616">
        <f t="shared" si="342"/>
        <v>0</v>
      </c>
      <c r="AH616">
        <f t="shared" si="343"/>
        <v>0</v>
      </c>
      <c r="AJ616">
        <f t="shared" si="344"/>
        <v>1239.0099999999998</v>
      </c>
      <c r="AK616">
        <f t="shared" si="345"/>
        <v>0</v>
      </c>
      <c r="AL616">
        <f t="shared" si="346"/>
        <v>0</v>
      </c>
      <c r="AM616">
        <f t="shared" si="347"/>
        <v>0</v>
      </c>
      <c r="AN616">
        <f t="shared" si="348"/>
        <v>0</v>
      </c>
      <c r="AO616">
        <f t="shared" si="349"/>
        <v>0</v>
      </c>
    </row>
    <row r="617" spans="1:41" x14ac:dyDescent="0.45">
      <c r="A617">
        <v>38.62537751</v>
      </c>
      <c r="B617">
        <v>117.8148561</v>
      </c>
      <c r="C617">
        <v>38.965942380000001</v>
      </c>
      <c r="D617">
        <v>9.5422439600000004</v>
      </c>
      <c r="E617">
        <f t="shared" si="315"/>
        <v>9.5422439600000004</v>
      </c>
      <c r="F617">
        <f t="shared" si="316"/>
        <v>0</v>
      </c>
      <c r="G617">
        <f t="shared" si="317"/>
        <v>0</v>
      </c>
      <c r="H617">
        <f t="shared" si="318"/>
        <v>0</v>
      </c>
      <c r="I617">
        <f t="shared" si="319"/>
        <v>0</v>
      </c>
      <c r="J617">
        <f t="shared" si="320"/>
        <v>0</v>
      </c>
      <c r="K617" s="1">
        <f t="shared" si="321"/>
        <v>0</v>
      </c>
      <c r="L617" s="1">
        <f t="shared" si="322"/>
        <v>0</v>
      </c>
      <c r="M617" s="1">
        <f t="shared" si="323"/>
        <v>0</v>
      </c>
      <c r="N617" s="1">
        <f t="shared" si="324"/>
        <v>0</v>
      </c>
      <c r="O617" s="1">
        <f t="shared" si="325"/>
        <v>0</v>
      </c>
      <c r="P617" s="1">
        <f t="shared" si="326"/>
        <v>25</v>
      </c>
      <c r="Q617" s="1" t="e">
        <f t="shared" si="327"/>
        <v>#DIV/0!</v>
      </c>
      <c r="R617" s="1" t="e">
        <f t="shared" si="328"/>
        <v>#DIV/0!</v>
      </c>
      <c r="S617" s="1" t="e">
        <f t="shared" si="329"/>
        <v>#DIV/0!</v>
      </c>
      <c r="T617" s="1" t="e">
        <f t="shared" si="330"/>
        <v>#DIV/0!</v>
      </c>
      <c r="U617" s="1" t="e">
        <f t="shared" si="331"/>
        <v>#DIV/0!</v>
      </c>
      <c r="V617">
        <f t="shared" si="332"/>
        <v>851.48</v>
      </c>
      <c r="W617">
        <f t="shared" si="333"/>
        <v>0</v>
      </c>
      <c r="X617">
        <f t="shared" si="334"/>
        <v>0</v>
      </c>
      <c r="Y617">
        <f t="shared" si="335"/>
        <v>0</v>
      </c>
      <c r="Z617">
        <f t="shared" si="336"/>
        <v>0</v>
      </c>
      <c r="AA617">
        <f t="shared" si="337"/>
        <v>0</v>
      </c>
      <c r="AC617">
        <f t="shared" si="338"/>
        <v>1045.25</v>
      </c>
      <c r="AD617">
        <f t="shared" si="339"/>
        <v>0</v>
      </c>
      <c r="AE617">
        <f t="shared" si="340"/>
        <v>0</v>
      </c>
      <c r="AF617">
        <f t="shared" si="341"/>
        <v>0</v>
      </c>
      <c r="AG617">
        <f t="shared" si="342"/>
        <v>0</v>
      </c>
      <c r="AH617">
        <f t="shared" si="343"/>
        <v>0</v>
      </c>
      <c r="AJ617">
        <f t="shared" si="344"/>
        <v>1239.01</v>
      </c>
      <c r="AK617">
        <f t="shared" si="345"/>
        <v>0</v>
      </c>
      <c r="AL617">
        <f t="shared" si="346"/>
        <v>0</v>
      </c>
      <c r="AM617">
        <f t="shared" si="347"/>
        <v>0</v>
      </c>
      <c r="AN617">
        <f t="shared" si="348"/>
        <v>0</v>
      </c>
      <c r="AO617">
        <f t="shared" si="349"/>
        <v>0</v>
      </c>
    </row>
    <row r="618" spans="1:41" x14ac:dyDescent="0.45">
      <c r="A618">
        <v>38.629270159999997</v>
      </c>
      <c r="B618">
        <v>116.2272147</v>
      </c>
      <c r="C618">
        <v>8.1438445999999995</v>
      </c>
      <c r="D618">
        <v>1.9598939399999999</v>
      </c>
      <c r="E618">
        <f t="shared" si="315"/>
        <v>1.9598939399999999</v>
      </c>
      <c r="F618">
        <f t="shared" si="316"/>
        <v>0</v>
      </c>
      <c r="G618">
        <f t="shared" si="317"/>
        <v>0</v>
      </c>
      <c r="H618">
        <f t="shared" si="318"/>
        <v>0</v>
      </c>
      <c r="I618">
        <f t="shared" si="319"/>
        <v>0</v>
      </c>
      <c r="J618">
        <f t="shared" si="320"/>
        <v>0</v>
      </c>
      <c r="K618" s="1">
        <f t="shared" si="321"/>
        <v>0</v>
      </c>
      <c r="L618" s="1">
        <f t="shared" si="322"/>
        <v>0</v>
      </c>
      <c r="M618" s="1">
        <f t="shared" si="323"/>
        <v>0</v>
      </c>
      <c r="N618" s="1">
        <f t="shared" si="324"/>
        <v>0</v>
      </c>
      <c r="O618" s="1">
        <f t="shared" si="325"/>
        <v>0</v>
      </c>
      <c r="P618" s="1">
        <f t="shared" si="326"/>
        <v>25</v>
      </c>
      <c r="Q618" s="1" t="e">
        <f t="shared" si="327"/>
        <v>#DIV/0!</v>
      </c>
      <c r="R618" s="1" t="e">
        <f t="shared" si="328"/>
        <v>#DIV/0!</v>
      </c>
      <c r="S618" s="1" t="e">
        <f t="shared" si="329"/>
        <v>#DIV/0!</v>
      </c>
      <c r="T618" s="1" t="e">
        <f t="shared" si="330"/>
        <v>#DIV/0!</v>
      </c>
      <c r="U618" s="1" t="e">
        <f t="shared" si="331"/>
        <v>#DIV/0!</v>
      </c>
      <c r="V618">
        <f t="shared" si="332"/>
        <v>851.48</v>
      </c>
      <c r="W618">
        <f t="shared" si="333"/>
        <v>0</v>
      </c>
      <c r="X618">
        <f t="shared" si="334"/>
        <v>0</v>
      </c>
      <c r="Y618">
        <f t="shared" si="335"/>
        <v>0</v>
      </c>
      <c r="Z618">
        <f t="shared" si="336"/>
        <v>0</v>
      </c>
      <c r="AA618">
        <f t="shared" si="337"/>
        <v>0</v>
      </c>
      <c r="AC618">
        <f t="shared" si="338"/>
        <v>1045.25</v>
      </c>
      <c r="AD618">
        <f t="shared" si="339"/>
        <v>0</v>
      </c>
      <c r="AE618">
        <f t="shared" si="340"/>
        <v>0</v>
      </c>
      <c r="AF618">
        <f t="shared" si="341"/>
        <v>0</v>
      </c>
      <c r="AG618">
        <f t="shared" si="342"/>
        <v>0</v>
      </c>
      <c r="AH618">
        <f t="shared" si="343"/>
        <v>0</v>
      </c>
      <c r="AJ618">
        <f t="shared" si="344"/>
        <v>1239.01</v>
      </c>
      <c r="AK618">
        <f t="shared" si="345"/>
        <v>0</v>
      </c>
      <c r="AL618">
        <f t="shared" si="346"/>
        <v>0</v>
      </c>
      <c r="AM618">
        <f t="shared" si="347"/>
        <v>0</v>
      </c>
      <c r="AN618">
        <f t="shared" si="348"/>
        <v>0</v>
      </c>
      <c r="AO618">
        <f t="shared" si="349"/>
        <v>0</v>
      </c>
    </row>
    <row r="619" spans="1:41" x14ac:dyDescent="0.45">
      <c r="A619">
        <v>38.63094195</v>
      </c>
      <c r="B619">
        <v>117.756846</v>
      </c>
      <c r="C619">
        <v>41.260742190000002</v>
      </c>
      <c r="D619">
        <v>1.95888996</v>
      </c>
      <c r="E619">
        <f t="shared" si="315"/>
        <v>1.95888996</v>
      </c>
      <c r="F619">
        <f t="shared" si="316"/>
        <v>0</v>
      </c>
      <c r="G619">
        <f t="shared" si="317"/>
        <v>0</v>
      </c>
      <c r="H619">
        <f t="shared" si="318"/>
        <v>0</v>
      </c>
      <c r="I619">
        <f t="shared" si="319"/>
        <v>0</v>
      </c>
      <c r="J619">
        <f t="shared" si="320"/>
        <v>0</v>
      </c>
      <c r="K619" s="1">
        <f t="shared" si="321"/>
        <v>0</v>
      </c>
      <c r="L619" s="1">
        <f t="shared" si="322"/>
        <v>0</v>
      </c>
      <c r="M619" s="1">
        <f t="shared" si="323"/>
        <v>0</v>
      </c>
      <c r="N619" s="1">
        <f t="shared" si="324"/>
        <v>0</v>
      </c>
      <c r="O619" s="1">
        <f t="shared" si="325"/>
        <v>0</v>
      </c>
      <c r="P619" s="1">
        <f t="shared" si="326"/>
        <v>25</v>
      </c>
      <c r="Q619" s="1" t="e">
        <f t="shared" si="327"/>
        <v>#DIV/0!</v>
      </c>
      <c r="R619" s="1" t="e">
        <f t="shared" si="328"/>
        <v>#DIV/0!</v>
      </c>
      <c r="S619" s="1" t="e">
        <f t="shared" si="329"/>
        <v>#DIV/0!</v>
      </c>
      <c r="T619" s="1" t="e">
        <f t="shared" si="330"/>
        <v>#DIV/0!</v>
      </c>
      <c r="U619" s="1" t="e">
        <f t="shared" si="331"/>
        <v>#DIV/0!</v>
      </c>
      <c r="V619">
        <f t="shared" si="332"/>
        <v>851.48</v>
      </c>
      <c r="W619">
        <f t="shared" si="333"/>
        <v>0</v>
      </c>
      <c r="X619">
        <f t="shared" si="334"/>
        <v>0</v>
      </c>
      <c r="Y619">
        <f t="shared" si="335"/>
        <v>0</v>
      </c>
      <c r="Z619">
        <f t="shared" si="336"/>
        <v>0</v>
      </c>
      <c r="AA619">
        <f t="shared" si="337"/>
        <v>0</v>
      </c>
      <c r="AC619">
        <f t="shared" si="338"/>
        <v>1045.25</v>
      </c>
      <c r="AD619">
        <f t="shared" si="339"/>
        <v>0</v>
      </c>
      <c r="AE619">
        <f t="shared" si="340"/>
        <v>0</v>
      </c>
      <c r="AF619">
        <f t="shared" si="341"/>
        <v>0</v>
      </c>
      <c r="AG619">
        <f t="shared" si="342"/>
        <v>0</v>
      </c>
      <c r="AH619">
        <f t="shared" si="343"/>
        <v>0</v>
      </c>
      <c r="AJ619">
        <f t="shared" si="344"/>
        <v>1239.01</v>
      </c>
      <c r="AK619">
        <f t="shared" si="345"/>
        <v>0</v>
      </c>
      <c r="AL619">
        <f t="shared" si="346"/>
        <v>0</v>
      </c>
      <c r="AM619">
        <f t="shared" si="347"/>
        <v>0</v>
      </c>
      <c r="AN619">
        <f t="shared" si="348"/>
        <v>0</v>
      </c>
      <c r="AO619">
        <f t="shared" si="349"/>
        <v>0</v>
      </c>
    </row>
    <row r="620" spans="1:41" x14ac:dyDescent="0.45">
      <c r="A620">
        <v>38.641477680000001</v>
      </c>
      <c r="B620">
        <v>118.5833239</v>
      </c>
      <c r="C620">
        <v>44.122974399999997</v>
      </c>
      <c r="D620">
        <v>1.22430599</v>
      </c>
      <c r="E620">
        <f t="shared" si="315"/>
        <v>1.22430599</v>
      </c>
      <c r="F620">
        <f t="shared" si="316"/>
        <v>0</v>
      </c>
      <c r="G620">
        <f t="shared" si="317"/>
        <v>0</v>
      </c>
      <c r="H620">
        <f t="shared" si="318"/>
        <v>0</v>
      </c>
      <c r="I620">
        <f t="shared" si="319"/>
        <v>0</v>
      </c>
      <c r="J620">
        <f t="shared" si="320"/>
        <v>0</v>
      </c>
      <c r="K620" s="1">
        <f t="shared" si="321"/>
        <v>0</v>
      </c>
      <c r="L620" s="1">
        <f t="shared" si="322"/>
        <v>0</v>
      </c>
      <c r="M620" s="1">
        <f t="shared" si="323"/>
        <v>0</v>
      </c>
      <c r="N620" s="1">
        <f t="shared" si="324"/>
        <v>0</v>
      </c>
      <c r="O620" s="1">
        <f t="shared" si="325"/>
        <v>0</v>
      </c>
      <c r="P620" s="1">
        <f t="shared" si="326"/>
        <v>25</v>
      </c>
      <c r="Q620" s="1" t="e">
        <f t="shared" si="327"/>
        <v>#DIV/0!</v>
      </c>
      <c r="R620" s="1" t="e">
        <f t="shared" si="328"/>
        <v>#DIV/0!</v>
      </c>
      <c r="S620" s="1" t="e">
        <f t="shared" si="329"/>
        <v>#DIV/0!</v>
      </c>
      <c r="T620" s="1" t="e">
        <f t="shared" si="330"/>
        <v>#DIV/0!</v>
      </c>
      <c r="U620" s="1" t="e">
        <f t="shared" si="331"/>
        <v>#DIV/0!</v>
      </c>
      <c r="V620">
        <f t="shared" si="332"/>
        <v>851.48</v>
      </c>
      <c r="W620">
        <f t="shared" si="333"/>
        <v>0</v>
      </c>
      <c r="X620">
        <f t="shared" si="334"/>
        <v>0</v>
      </c>
      <c r="Y620">
        <f t="shared" si="335"/>
        <v>0</v>
      </c>
      <c r="Z620">
        <f t="shared" si="336"/>
        <v>0</v>
      </c>
      <c r="AA620">
        <f t="shared" si="337"/>
        <v>0</v>
      </c>
      <c r="AC620">
        <f t="shared" si="338"/>
        <v>1045.25</v>
      </c>
      <c r="AD620">
        <f t="shared" si="339"/>
        <v>0</v>
      </c>
      <c r="AE620">
        <f t="shared" si="340"/>
        <v>0</v>
      </c>
      <c r="AF620">
        <f t="shared" si="341"/>
        <v>0</v>
      </c>
      <c r="AG620">
        <f t="shared" si="342"/>
        <v>0</v>
      </c>
      <c r="AH620">
        <f t="shared" si="343"/>
        <v>0</v>
      </c>
      <c r="AJ620">
        <f t="shared" si="344"/>
        <v>1239.01</v>
      </c>
      <c r="AK620">
        <f t="shared" si="345"/>
        <v>0</v>
      </c>
      <c r="AL620">
        <f t="shared" si="346"/>
        <v>0</v>
      </c>
      <c r="AM620">
        <f t="shared" si="347"/>
        <v>0</v>
      </c>
      <c r="AN620">
        <f t="shared" si="348"/>
        <v>0</v>
      </c>
      <c r="AO620">
        <f t="shared" si="349"/>
        <v>0</v>
      </c>
    </row>
    <row r="621" spans="1:41" x14ac:dyDescent="0.45">
      <c r="A621">
        <v>38.652860439999998</v>
      </c>
      <c r="B621">
        <v>93.080961479999999</v>
      </c>
      <c r="C621">
        <v>20.624670030000001</v>
      </c>
      <c r="D621">
        <v>4.7803999999999999E-2</v>
      </c>
      <c r="E621">
        <f t="shared" si="315"/>
        <v>4.7803999999999999E-2</v>
      </c>
      <c r="F621">
        <f t="shared" si="316"/>
        <v>0</v>
      </c>
      <c r="G621">
        <f t="shared" si="317"/>
        <v>0</v>
      </c>
      <c r="H621">
        <f t="shared" si="318"/>
        <v>0</v>
      </c>
      <c r="I621">
        <f t="shared" si="319"/>
        <v>0</v>
      </c>
      <c r="J621">
        <f t="shared" si="320"/>
        <v>0</v>
      </c>
      <c r="K621" s="1">
        <f t="shared" si="321"/>
        <v>0</v>
      </c>
      <c r="L621" s="1">
        <f t="shared" si="322"/>
        <v>0</v>
      </c>
      <c r="M621" s="1">
        <f t="shared" si="323"/>
        <v>0</v>
      </c>
      <c r="N621" s="1">
        <f t="shared" si="324"/>
        <v>0</v>
      </c>
      <c r="O621" s="1">
        <f t="shared" si="325"/>
        <v>0</v>
      </c>
      <c r="P621" s="1">
        <f t="shared" si="326"/>
        <v>25</v>
      </c>
      <c r="Q621" s="1" t="e">
        <f t="shared" si="327"/>
        <v>#DIV/0!</v>
      </c>
      <c r="R621" s="1" t="e">
        <f t="shared" si="328"/>
        <v>#DIV/0!</v>
      </c>
      <c r="S621" s="1" t="e">
        <f t="shared" si="329"/>
        <v>#DIV/0!</v>
      </c>
      <c r="T621" s="1" t="e">
        <f t="shared" si="330"/>
        <v>#DIV/0!</v>
      </c>
      <c r="U621" s="1" t="e">
        <f t="shared" si="331"/>
        <v>#DIV/0!</v>
      </c>
      <c r="V621">
        <f t="shared" si="332"/>
        <v>851.48</v>
      </c>
      <c r="W621">
        <f t="shared" si="333"/>
        <v>0</v>
      </c>
      <c r="X621">
        <f t="shared" si="334"/>
        <v>0</v>
      </c>
      <c r="Y621">
        <f t="shared" si="335"/>
        <v>0</v>
      </c>
      <c r="Z621">
        <f t="shared" si="336"/>
        <v>0</v>
      </c>
      <c r="AA621">
        <f t="shared" si="337"/>
        <v>0</v>
      </c>
      <c r="AC621">
        <f t="shared" si="338"/>
        <v>1045.25</v>
      </c>
      <c r="AD621">
        <f t="shared" si="339"/>
        <v>0</v>
      </c>
      <c r="AE621">
        <f t="shared" si="340"/>
        <v>0</v>
      </c>
      <c r="AF621">
        <f t="shared" si="341"/>
        <v>0</v>
      </c>
      <c r="AG621">
        <f t="shared" si="342"/>
        <v>0</v>
      </c>
      <c r="AH621">
        <f t="shared" si="343"/>
        <v>0</v>
      </c>
      <c r="AJ621">
        <f t="shared" si="344"/>
        <v>1239.01</v>
      </c>
      <c r="AK621">
        <f t="shared" si="345"/>
        <v>0</v>
      </c>
      <c r="AL621">
        <f t="shared" si="346"/>
        <v>0</v>
      </c>
      <c r="AM621">
        <f t="shared" si="347"/>
        <v>0</v>
      </c>
      <c r="AN621">
        <f t="shared" si="348"/>
        <v>0</v>
      </c>
      <c r="AO621">
        <f t="shared" si="349"/>
        <v>0</v>
      </c>
    </row>
    <row r="622" spans="1:41" x14ac:dyDescent="0.45">
      <c r="A622">
        <v>38.654013079999999</v>
      </c>
      <c r="B622">
        <v>117.9960526</v>
      </c>
      <c r="C622">
        <v>43.382221219999998</v>
      </c>
      <c r="D622">
        <v>4.6156349199999998</v>
      </c>
      <c r="E622">
        <f t="shared" si="315"/>
        <v>4.6156349199999998</v>
      </c>
      <c r="F622">
        <f t="shared" si="316"/>
        <v>0</v>
      </c>
      <c r="G622">
        <f t="shared" si="317"/>
        <v>0</v>
      </c>
      <c r="H622">
        <f t="shared" si="318"/>
        <v>0</v>
      </c>
      <c r="I622">
        <f t="shared" si="319"/>
        <v>0</v>
      </c>
      <c r="J622">
        <f t="shared" si="320"/>
        <v>0</v>
      </c>
      <c r="K622" s="1">
        <f t="shared" si="321"/>
        <v>0</v>
      </c>
      <c r="L622" s="1">
        <f t="shared" si="322"/>
        <v>0</v>
      </c>
      <c r="M622" s="1">
        <f t="shared" si="323"/>
        <v>0</v>
      </c>
      <c r="N622" s="1">
        <f t="shared" si="324"/>
        <v>0</v>
      </c>
      <c r="O622" s="1">
        <f t="shared" si="325"/>
        <v>0</v>
      </c>
      <c r="P622" s="1">
        <f t="shared" si="326"/>
        <v>25</v>
      </c>
      <c r="Q622" s="1" t="e">
        <f t="shared" si="327"/>
        <v>#DIV/0!</v>
      </c>
      <c r="R622" s="1" t="e">
        <f t="shared" si="328"/>
        <v>#DIV/0!</v>
      </c>
      <c r="S622" s="1" t="e">
        <f t="shared" si="329"/>
        <v>#DIV/0!</v>
      </c>
      <c r="T622" s="1" t="e">
        <f t="shared" si="330"/>
        <v>#DIV/0!</v>
      </c>
      <c r="U622" s="1" t="e">
        <f t="shared" si="331"/>
        <v>#DIV/0!</v>
      </c>
      <c r="V622">
        <f t="shared" si="332"/>
        <v>851.48</v>
      </c>
      <c r="W622">
        <f t="shared" si="333"/>
        <v>0</v>
      </c>
      <c r="X622">
        <f t="shared" si="334"/>
        <v>0</v>
      </c>
      <c r="Y622">
        <f t="shared" si="335"/>
        <v>0</v>
      </c>
      <c r="Z622">
        <f t="shared" si="336"/>
        <v>0</v>
      </c>
      <c r="AA622">
        <f t="shared" si="337"/>
        <v>0</v>
      </c>
      <c r="AC622">
        <f t="shared" si="338"/>
        <v>1045.25</v>
      </c>
      <c r="AD622">
        <f t="shared" si="339"/>
        <v>0</v>
      </c>
      <c r="AE622">
        <f t="shared" si="340"/>
        <v>0</v>
      </c>
      <c r="AF622">
        <f t="shared" si="341"/>
        <v>0</v>
      </c>
      <c r="AG622">
        <f t="shared" si="342"/>
        <v>0</v>
      </c>
      <c r="AH622">
        <f t="shared" si="343"/>
        <v>0</v>
      </c>
      <c r="AJ622">
        <f t="shared" si="344"/>
        <v>1239.01</v>
      </c>
      <c r="AK622">
        <f t="shared" si="345"/>
        <v>0</v>
      </c>
      <c r="AL622">
        <f t="shared" si="346"/>
        <v>0</v>
      </c>
      <c r="AM622">
        <f t="shared" si="347"/>
        <v>0</v>
      </c>
      <c r="AN622">
        <f t="shared" si="348"/>
        <v>0</v>
      </c>
      <c r="AO622">
        <f t="shared" si="349"/>
        <v>0</v>
      </c>
    </row>
    <row r="623" spans="1:41" x14ac:dyDescent="0.45">
      <c r="A623">
        <v>38.657372289999998</v>
      </c>
      <c r="B623">
        <v>120.5344006</v>
      </c>
      <c r="C623">
        <v>14.355920790000001</v>
      </c>
      <c r="D623">
        <v>58.449367520000003</v>
      </c>
      <c r="E623">
        <f t="shared" si="315"/>
        <v>14.355920790000001</v>
      </c>
      <c r="F623">
        <f t="shared" si="316"/>
        <v>0</v>
      </c>
      <c r="G623">
        <f t="shared" si="317"/>
        <v>0</v>
      </c>
      <c r="H623">
        <f t="shared" si="318"/>
        <v>0</v>
      </c>
      <c r="I623">
        <f t="shared" si="319"/>
        <v>0</v>
      </c>
      <c r="J623">
        <f t="shared" si="320"/>
        <v>0</v>
      </c>
      <c r="K623" s="1">
        <f t="shared" si="321"/>
        <v>0</v>
      </c>
      <c r="L623" s="1">
        <f t="shared" si="322"/>
        <v>0</v>
      </c>
      <c r="M623" s="1">
        <f t="shared" si="323"/>
        <v>0</v>
      </c>
      <c r="N623" s="1">
        <f t="shared" si="324"/>
        <v>0</v>
      </c>
      <c r="O623" s="1">
        <f t="shared" si="325"/>
        <v>0</v>
      </c>
      <c r="P623" s="1">
        <f t="shared" si="326"/>
        <v>6.1403234111505745</v>
      </c>
      <c r="Q623" s="1" t="e">
        <f t="shared" si="327"/>
        <v>#DIV/0!</v>
      </c>
      <c r="R623" s="1" t="e">
        <f t="shared" si="328"/>
        <v>#DIV/0!</v>
      </c>
      <c r="S623" s="1" t="e">
        <f t="shared" si="329"/>
        <v>#DIV/0!</v>
      </c>
      <c r="T623" s="1" t="e">
        <f t="shared" si="330"/>
        <v>#DIV/0!</v>
      </c>
      <c r="U623" s="1" t="e">
        <f t="shared" si="331"/>
        <v>#DIV/0!</v>
      </c>
      <c r="V623">
        <f t="shared" si="332"/>
        <v>238.54051086239366</v>
      </c>
      <c r="W623">
        <f t="shared" si="333"/>
        <v>0</v>
      </c>
      <c r="X623">
        <f t="shared" si="334"/>
        <v>0</v>
      </c>
      <c r="Y623">
        <f t="shared" si="335"/>
        <v>0</v>
      </c>
      <c r="Z623">
        <f t="shared" si="336"/>
        <v>0</v>
      </c>
      <c r="AA623">
        <f t="shared" si="337"/>
        <v>0</v>
      </c>
      <c r="AC623">
        <f t="shared" si="338"/>
        <v>290.86293644602301</v>
      </c>
      <c r="AD623">
        <f t="shared" si="339"/>
        <v>0</v>
      </c>
      <c r="AE623">
        <f t="shared" si="340"/>
        <v>0</v>
      </c>
      <c r="AF623">
        <f t="shared" si="341"/>
        <v>0</v>
      </c>
      <c r="AG623">
        <f t="shared" si="342"/>
        <v>0</v>
      </c>
      <c r="AH623">
        <f t="shared" si="343"/>
        <v>0</v>
      </c>
      <c r="AJ623">
        <f t="shared" si="344"/>
        <v>343.17536202965226</v>
      </c>
      <c r="AK623">
        <f t="shared" si="345"/>
        <v>0</v>
      </c>
      <c r="AL623">
        <f t="shared" si="346"/>
        <v>0</v>
      </c>
      <c r="AM623">
        <f t="shared" si="347"/>
        <v>0</v>
      </c>
      <c r="AN623">
        <f t="shared" si="348"/>
        <v>0</v>
      </c>
      <c r="AO623">
        <f t="shared" si="349"/>
        <v>0</v>
      </c>
    </row>
    <row r="624" spans="1:41" x14ac:dyDescent="0.45">
      <c r="A624">
        <v>38.665971050000003</v>
      </c>
      <c r="B624">
        <v>120.0631441</v>
      </c>
      <c r="C624">
        <v>36.944892879999998</v>
      </c>
      <c r="D624">
        <v>12.24306393</v>
      </c>
      <c r="E624">
        <f t="shared" si="315"/>
        <v>12.24306393</v>
      </c>
      <c r="F624">
        <f t="shared" si="316"/>
        <v>0</v>
      </c>
      <c r="G624">
        <f t="shared" si="317"/>
        <v>0</v>
      </c>
      <c r="H624">
        <f t="shared" si="318"/>
        <v>0</v>
      </c>
      <c r="I624">
        <f t="shared" si="319"/>
        <v>0</v>
      </c>
      <c r="J624">
        <f t="shared" si="320"/>
        <v>0</v>
      </c>
      <c r="K624" s="1">
        <f t="shared" si="321"/>
        <v>0</v>
      </c>
      <c r="L624" s="1">
        <f t="shared" si="322"/>
        <v>0</v>
      </c>
      <c r="M624" s="1">
        <f t="shared" si="323"/>
        <v>0</v>
      </c>
      <c r="N624" s="1">
        <f t="shared" si="324"/>
        <v>0</v>
      </c>
      <c r="O624" s="1">
        <f t="shared" si="325"/>
        <v>0</v>
      </c>
      <c r="P624" s="1">
        <f t="shared" si="326"/>
        <v>25</v>
      </c>
      <c r="Q624" s="1" t="e">
        <f t="shared" si="327"/>
        <v>#DIV/0!</v>
      </c>
      <c r="R624" s="1" t="e">
        <f t="shared" si="328"/>
        <v>#DIV/0!</v>
      </c>
      <c r="S624" s="1" t="e">
        <f t="shared" si="329"/>
        <v>#DIV/0!</v>
      </c>
      <c r="T624" s="1" t="e">
        <f t="shared" si="330"/>
        <v>#DIV/0!</v>
      </c>
      <c r="U624" s="1" t="e">
        <f t="shared" si="331"/>
        <v>#DIV/0!</v>
      </c>
      <c r="V624">
        <f t="shared" si="332"/>
        <v>851.48</v>
      </c>
      <c r="W624">
        <f t="shared" si="333"/>
        <v>0</v>
      </c>
      <c r="X624">
        <f t="shared" si="334"/>
        <v>0</v>
      </c>
      <c r="Y624">
        <f t="shared" si="335"/>
        <v>0</v>
      </c>
      <c r="Z624">
        <f t="shared" si="336"/>
        <v>0</v>
      </c>
      <c r="AA624">
        <f t="shared" si="337"/>
        <v>0</v>
      </c>
      <c r="AC624">
        <f t="shared" si="338"/>
        <v>1045.25</v>
      </c>
      <c r="AD624">
        <f t="shared" si="339"/>
        <v>0</v>
      </c>
      <c r="AE624">
        <f t="shared" si="340"/>
        <v>0</v>
      </c>
      <c r="AF624">
        <f t="shared" si="341"/>
        <v>0</v>
      </c>
      <c r="AG624">
        <f t="shared" si="342"/>
        <v>0</v>
      </c>
      <c r="AH624">
        <f t="shared" si="343"/>
        <v>0</v>
      </c>
      <c r="AJ624">
        <f t="shared" si="344"/>
        <v>1239.01</v>
      </c>
      <c r="AK624">
        <f t="shared" si="345"/>
        <v>0</v>
      </c>
      <c r="AL624">
        <f t="shared" si="346"/>
        <v>0</v>
      </c>
      <c r="AM624">
        <f t="shared" si="347"/>
        <v>0</v>
      </c>
      <c r="AN624">
        <f t="shared" si="348"/>
        <v>0</v>
      </c>
      <c r="AO624">
        <f t="shared" si="349"/>
        <v>0</v>
      </c>
    </row>
    <row r="625" spans="1:41" x14ac:dyDescent="0.45">
      <c r="A625">
        <v>38.669128790000002</v>
      </c>
      <c r="B625">
        <v>117.35054049999999</v>
      </c>
      <c r="C625">
        <v>52.10093689</v>
      </c>
      <c r="D625">
        <v>4.1548309300000001</v>
      </c>
      <c r="E625">
        <f t="shared" si="315"/>
        <v>4.1548309300000001</v>
      </c>
      <c r="F625">
        <f t="shared" si="316"/>
        <v>0</v>
      </c>
      <c r="G625">
        <f t="shared" si="317"/>
        <v>0</v>
      </c>
      <c r="H625">
        <f t="shared" si="318"/>
        <v>0</v>
      </c>
      <c r="I625">
        <f t="shared" si="319"/>
        <v>0</v>
      </c>
      <c r="J625">
        <f t="shared" si="320"/>
        <v>0</v>
      </c>
      <c r="K625" s="1">
        <f t="shared" si="321"/>
        <v>0</v>
      </c>
      <c r="L625" s="1">
        <f t="shared" si="322"/>
        <v>0</v>
      </c>
      <c r="M625" s="1">
        <f t="shared" si="323"/>
        <v>0</v>
      </c>
      <c r="N625" s="1">
        <f t="shared" si="324"/>
        <v>0</v>
      </c>
      <c r="O625" s="1">
        <f t="shared" si="325"/>
        <v>0</v>
      </c>
      <c r="P625" s="1">
        <f t="shared" si="326"/>
        <v>25</v>
      </c>
      <c r="Q625" s="1" t="e">
        <f t="shared" si="327"/>
        <v>#DIV/0!</v>
      </c>
      <c r="R625" s="1" t="e">
        <f t="shared" si="328"/>
        <v>#DIV/0!</v>
      </c>
      <c r="S625" s="1" t="e">
        <f t="shared" si="329"/>
        <v>#DIV/0!</v>
      </c>
      <c r="T625" s="1" t="e">
        <f t="shared" si="330"/>
        <v>#DIV/0!</v>
      </c>
      <c r="U625" s="1" t="e">
        <f t="shared" si="331"/>
        <v>#DIV/0!</v>
      </c>
      <c r="V625">
        <f t="shared" si="332"/>
        <v>851.48</v>
      </c>
      <c r="W625">
        <f t="shared" si="333"/>
        <v>0</v>
      </c>
      <c r="X625">
        <f t="shared" si="334"/>
        <v>0</v>
      </c>
      <c r="Y625">
        <f t="shared" si="335"/>
        <v>0</v>
      </c>
      <c r="Z625">
        <f t="shared" si="336"/>
        <v>0</v>
      </c>
      <c r="AA625">
        <f t="shared" si="337"/>
        <v>0</v>
      </c>
      <c r="AC625">
        <f t="shared" si="338"/>
        <v>1045.25</v>
      </c>
      <c r="AD625">
        <f t="shared" si="339"/>
        <v>0</v>
      </c>
      <c r="AE625">
        <f t="shared" si="340"/>
        <v>0</v>
      </c>
      <c r="AF625">
        <f t="shared" si="341"/>
        <v>0</v>
      </c>
      <c r="AG625">
        <f t="shared" si="342"/>
        <v>0</v>
      </c>
      <c r="AH625">
        <f t="shared" si="343"/>
        <v>0</v>
      </c>
      <c r="AJ625">
        <f t="shared" si="344"/>
        <v>1239.01</v>
      </c>
      <c r="AK625">
        <f t="shared" si="345"/>
        <v>0</v>
      </c>
      <c r="AL625">
        <f t="shared" si="346"/>
        <v>0</v>
      </c>
      <c r="AM625">
        <f t="shared" si="347"/>
        <v>0</v>
      </c>
      <c r="AN625">
        <f t="shared" si="348"/>
        <v>0</v>
      </c>
      <c r="AO625">
        <f t="shared" si="349"/>
        <v>0</v>
      </c>
    </row>
    <row r="626" spans="1:41" x14ac:dyDescent="0.45">
      <c r="A626">
        <v>38.674994490000003</v>
      </c>
      <c r="B626">
        <v>118.70687049999999</v>
      </c>
      <c r="C626">
        <v>10.021681790000001</v>
      </c>
      <c r="D626">
        <v>6.0664200800000003</v>
      </c>
      <c r="E626">
        <f t="shared" si="315"/>
        <v>6.0664200800000003</v>
      </c>
      <c r="F626">
        <f t="shared" si="316"/>
        <v>0</v>
      </c>
      <c r="G626">
        <f t="shared" si="317"/>
        <v>0</v>
      </c>
      <c r="H626">
        <f t="shared" si="318"/>
        <v>0</v>
      </c>
      <c r="I626">
        <f t="shared" si="319"/>
        <v>0</v>
      </c>
      <c r="J626">
        <f t="shared" si="320"/>
        <v>0</v>
      </c>
      <c r="K626" s="1">
        <f t="shared" si="321"/>
        <v>0</v>
      </c>
      <c r="L626" s="1">
        <f t="shared" si="322"/>
        <v>0</v>
      </c>
      <c r="M626" s="1">
        <f t="shared" si="323"/>
        <v>0</v>
      </c>
      <c r="N626" s="1">
        <f t="shared" si="324"/>
        <v>0</v>
      </c>
      <c r="O626" s="1">
        <f t="shared" si="325"/>
        <v>0</v>
      </c>
      <c r="P626" s="1">
        <f t="shared" si="326"/>
        <v>25</v>
      </c>
      <c r="Q626" s="1" t="e">
        <f t="shared" si="327"/>
        <v>#DIV/0!</v>
      </c>
      <c r="R626" s="1" t="e">
        <f t="shared" si="328"/>
        <v>#DIV/0!</v>
      </c>
      <c r="S626" s="1" t="e">
        <f t="shared" si="329"/>
        <v>#DIV/0!</v>
      </c>
      <c r="T626" s="1" t="e">
        <f t="shared" si="330"/>
        <v>#DIV/0!</v>
      </c>
      <c r="U626" s="1" t="e">
        <f t="shared" si="331"/>
        <v>#DIV/0!</v>
      </c>
      <c r="V626">
        <f t="shared" si="332"/>
        <v>851.48</v>
      </c>
      <c r="W626">
        <f t="shared" si="333"/>
        <v>0</v>
      </c>
      <c r="X626">
        <f t="shared" si="334"/>
        <v>0</v>
      </c>
      <c r="Y626">
        <f t="shared" si="335"/>
        <v>0</v>
      </c>
      <c r="Z626">
        <f t="shared" si="336"/>
        <v>0</v>
      </c>
      <c r="AA626">
        <f t="shared" si="337"/>
        <v>0</v>
      </c>
      <c r="AC626">
        <f t="shared" si="338"/>
        <v>1045.25</v>
      </c>
      <c r="AD626">
        <f t="shared" si="339"/>
        <v>0</v>
      </c>
      <c r="AE626">
        <f t="shared" si="340"/>
        <v>0</v>
      </c>
      <c r="AF626">
        <f t="shared" si="341"/>
        <v>0</v>
      </c>
      <c r="AG626">
        <f t="shared" si="342"/>
        <v>0</v>
      </c>
      <c r="AH626">
        <f t="shared" si="343"/>
        <v>0</v>
      </c>
      <c r="AJ626">
        <f t="shared" si="344"/>
        <v>1239.01</v>
      </c>
      <c r="AK626">
        <f t="shared" si="345"/>
        <v>0</v>
      </c>
      <c r="AL626">
        <f t="shared" si="346"/>
        <v>0</v>
      </c>
      <c r="AM626">
        <f t="shared" si="347"/>
        <v>0</v>
      </c>
      <c r="AN626">
        <f t="shared" si="348"/>
        <v>0</v>
      </c>
      <c r="AO626">
        <f t="shared" si="349"/>
        <v>0</v>
      </c>
    </row>
    <row r="627" spans="1:41" x14ac:dyDescent="0.45">
      <c r="A627">
        <v>38.69286177</v>
      </c>
      <c r="B627">
        <v>118.5329023</v>
      </c>
      <c r="C627">
        <v>10.77451801</v>
      </c>
      <c r="D627">
        <v>6.0902099600000001</v>
      </c>
      <c r="E627">
        <f t="shared" si="315"/>
        <v>6.0902099600000001</v>
      </c>
      <c r="F627">
        <f t="shared" si="316"/>
        <v>0</v>
      </c>
      <c r="G627">
        <f t="shared" si="317"/>
        <v>0</v>
      </c>
      <c r="H627">
        <f t="shared" si="318"/>
        <v>0</v>
      </c>
      <c r="I627">
        <f t="shared" si="319"/>
        <v>0</v>
      </c>
      <c r="J627">
        <f t="shared" si="320"/>
        <v>0</v>
      </c>
      <c r="K627" s="1">
        <f t="shared" si="321"/>
        <v>0</v>
      </c>
      <c r="L627" s="1">
        <f t="shared" si="322"/>
        <v>0</v>
      </c>
      <c r="M627" s="1">
        <f t="shared" si="323"/>
        <v>0</v>
      </c>
      <c r="N627" s="1">
        <f t="shared" si="324"/>
        <v>0</v>
      </c>
      <c r="O627" s="1">
        <f t="shared" si="325"/>
        <v>0</v>
      </c>
      <c r="P627" s="1">
        <f t="shared" si="326"/>
        <v>24.999999999999996</v>
      </c>
      <c r="Q627" s="1" t="e">
        <f t="shared" si="327"/>
        <v>#DIV/0!</v>
      </c>
      <c r="R627" s="1" t="e">
        <f t="shared" si="328"/>
        <v>#DIV/0!</v>
      </c>
      <c r="S627" s="1" t="e">
        <f t="shared" si="329"/>
        <v>#DIV/0!</v>
      </c>
      <c r="T627" s="1" t="e">
        <f t="shared" si="330"/>
        <v>#DIV/0!</v>
      </c>
      <c r="U627" s="1" t="e">
        <f t="shared" si="331"/>
        <v>#DIV/0!</v>
      </c>
      <c r="V627">
        <f t="shared" si="332"/>
        <v>851.4799999999999</v>
      </c>
      <c r="W627">
        <f t="shared" si="333"/>
        <v>0</v>
      </c>
      <c r="X627">
        <f t="shared" si="334"/>
        <v>0</v>
      </c>
      <c r="Y627">
        <f t="shared" si="335"/>
        <v>0</v>
      </c>
      <c r="Z627">
        <f t="shared" si="336"/>
        <v>0</v>
      </c>
      <c r="AA627">
        <f t="shared" si="337"/>
        <v>0</v>
      </c>
      <c r="AC627">
        <f t="shared" si="338"/>
        <v>1045.25</v>
      </c>
      <c r="AD627">
        <f t="shared" si="339"/>
        <v>0</v>
      </c>
      <c r="AE627">
        <f t="shared" si="340"/>
        <v>0</v>
      </c>
      <c r="AF627">
        <f t="shared" si="341"/>
        <v>0</v>
      </c>
      <c r="AG627">
        <f t="shared" si="342"/>
        <v>0</v>
      </c>
      <c r="AH627">
        <f t="shared" si="343"/>
        <v>0</v>
      </c>
      <c r="AJ627">
        <f t="shared" si="344"/>
        <v>1239.0099999999998</v>
      </c>
      <c r="AK627">
        <f t="shared" si="345"/>
        <v>0</v>
      </c>
      <c r="AL627">
        <f t="shared" si="346"/>
        <v>0</v>
      </c>
      <c r="AM627">
        <f t="shared" si="347"/>
        <v>0</v>
      </c>
      <c r="AN627">
        <f t="shared" si="348"/>
        <v>0</v>
      </c>
      <c r="AO627">
        <f t="shared" si="349"/>
        <v>0</v>
      </c>
    </row>
    <row r="628" spans="1:41" x14ac:dyDescent="0.45">
      <c r="A628">
        <v>38.69844415</v>
      </c>
      <c r="B628">
        <v>117.5316651</v>
      </c>
      <c r="C628">
        <v>52.10093689</v>
      </c>
      <c r="D628">
        <v>17.407512659999998</v>
      </c>
      <c r="E628">
        <f t="shared" si="315"/>
        <v>17.407512659999998</v>
      </c>
      <c r="F628">
        <f t="shared" si="316"/>
        <v>0</v>
      </c>
      <c r="G628">
        <f t="shared" si="317"/>
        <v>0</v>
      </c>
      <c r="H628">
        <f t="shared" si="318"/>
        <v>0</v>
      </c>
      <c r="I628">
        <f t="shared" si="319"/>
        <v>0</v>
      </c>
      <c r="J628">
        <f t="shared" si="320"/>
        <v>0</v>
      </c>
      <c r="K628" s="1">
        <f t="shared" si="321"/>
        <v>0</v>
      </c>
      <c r="L628" s="1">
        <f t="shared" si="322"/>
        <v>0</v>
      </c>
      <c r="M628" s="1">
        <f t="shared" si="323"/>
        <v>0</v>
      </c>
      <c r="N628" s="1">
        <f t="shared" si="324"/>
        <v>0</v>
      </c>
      <c r="O628" s="1">
        <f t="shared" si="325"/>
        <v>0</v>
      </c>
      <c r="P628" s="1">
        <f t="shared" si="326"/>
        <v>25</v>
      </c>
      <c r="Q628" s="1" t="e">
        <f t="shared" si="327"/>
        <v>#DIV/0!</v>
      </c>
      <c r="R628" s="1" t="e">
        <f t="shared" si="328"/>
        <v>#DIV/0!</v>
      </c>
      <c r="S628" s="1" t="e">
        <f t="shared" si="329"/>
        <v>#DIV/0!</v>
      </c>
      <c r="T628" s="1" t="e">
        <f t="shared" si="330"/>
        <v>#DIV/0!</v>
      </c>
      <c r="U628" s="1" t="e">
        <f t="shared" si="331"/>
        <v>#DIV/0!</v>
      </c>
      <c r="V628">
        <f t="shared" si="332"/>
        <v>851.48</v>
      </c>
      <c r="W628">
        <f t="shared" si="333"/>
        <v>0</v>
      </c>
      <c r="X628">
        <f t="shared" si="334"/>
        <v>0</v>
      </c>
      <c r="Y628">
        <f t="shared" si="335"/>
        <v>0</v>
      </c>
      <c r="Z628">
        <f t="shared" si="336"/>
        <v>0</v>
      </c>
      <c r="AA628">
        <f t="shared" si="337"/>
        <v>0</v>
      </c>
      <c r="AC628">
        <f t="shared" si="338"/>
        <v>1045.25</v>
      </c>
      <c r="AD628">
        <f t="shared" si="339"/>
        <v>0</v>
      </c>
      <c r="AE628">
        <f t="shared" si="340"/>
        <v>0</v>
      </c>
      <c r="AF628">
        <f t="shared" si="341"/>
        <v>0</v>
      </c>
      <c r="AG628">
        <f t="shared" si="342"/>
        <v>0</v>
      </c>
      <c r="AH628">
        <f t="shared" si="343"/>
        <v>0</v>
      </c>
      <c r="AJ628">
        <f t="shared" si="344"/>
        <v>1239.01</v>
      </c>
      <c r="AK628">
        <f t="shared" si="345"/>
        <v>0</v>
      </c>
      <c r="AL628">
        <f t="shared" si="346"/>
        <v>0</v>
      </c>
      <c r="AM628">
        <f t="shared" si="347"/>
        <v>0</v>
      </c>
      <c r="AN628">
        <f t="shared" si="348"/>
        <v>0</v>
      </c>
      <c r="AO628">
        <f t="shared" si="349"/>
        <v>0</v>
      </c>
    </row>
    <row r="629" spans="1:41" x14ac:dyDescent="0.45">
      <c r="A629">
        <v>38.702318579999996</v>
      </c>
      <c r="B629">
        <v>118.8885128</v>
      </c>
      <c r="C629">
        <v>11.75231934</v>
      </c>
      <c r="D629">
        <v>2.8967089700000002</v>
      </c>
      <c r="E629">
        <f t="shared" si="315"/>
        <v>2.8967089700000002</v>
      </c>
      <c r="F629">
        <f t="shared" si="316"/>
        <v>0</v>
      </c>
      <c r="G629">
        <f t="shared" si="317"/>
        <v>0</v>
      </c>
      <c r="H629">
        <f t="shared" si="318"/>
        <v>0</v>
      </c>
      <c r="I629">
        <f t="shared" si="319"/>
        <v>0</v>
      </c>
      <c r="J629">
        <f t="shared" si="320"/>
        <v>0</v>
      </c>
      <c r="K629" s="1">
        <f t="shared" si="321"/>
        <v>0</v>
      </c>
      <c r="L629" s="1">
        <f t="shared" si="322"/>
        <v>0</v>
      </c>
      <c r="M629" s="1">
        <f t="shared" si="323"/>
        <v>0</v>
      </c>
      <c r="N629" s="1">
        <f t="shared" si="324"/>
        <v>0</v>
      </c>
      <c r="O629" s="1">
        <f t="shared" si="325"/>
        <v>0</v>
      </c>
      <c r="P629" s="1">
        <f t="shared" si="326"/>
        <v>25</v>
      </c>
      <c r="Q629" s="1" t="e">
        <f t="shared" si="327"/>
        <v>#DIV/0!</v>
      </c>
      <c r="R629" s="1" t="e">
        <f t="shared" si="328"/>
        <v>#DIV/0!</v>
      </c>
      <c r="S629" s="1" t="e">
        <f t="shared" si="329"/>
        <v>#DIV/0!</v>
      </c>
      <c r="T629" s="1" t="e">
        <f t="shared" si="330"/>
        <v>#DIV/0!</v>
      </c>
      <c r="U629" s="1" t="e">
        <f t="shared" si="331"/>
        <v>#DIV/0!</v>
      </c>
      <c r="V629">
        <f t="shared" si="332"/>
        <v>851.48</v>
      </c>
      <c r="W629">
        <f t="shared" si="333"/>
        <v>0</v>
      </c>
      <c r="X629">
        <f t="shared" si="334"/>
        <v>0</v>
      </c>
      <c r="Y629">
        <f t="shared" si="335"/>
        <v>0</v>
      </c>
      <c r="Z629">
        <f t="shared" si="336"/>
        <v>0</v>
      </c>
      <c r="AA629">
        <f t="shared" si="337"/>
        <v>0</v>
      </c>
      <c r="AC629">
        <f t="shared" si="338"/>
        <v>1045.25</v>
      </c>
      <c r="AD629">
        <f t="shared" si="339"/>
        <v>0</v>
      </c>
      <c r="AE629">
        <f t="shared" si="340"/>
        <v>0</v>
      </c>
      <c r="AF629">
        <f t="shared" si="341"/>
        <v>0</v>
      </c>
      <c r="AG629">
        <f t="shared" si="342"/>
        <v>0</v>
      </c>
      <c r="AH629">
        <f t="shared" si="343"/>
        <v>0</v>
      </c>
      <c r="AJ629">
        <f t="shared" si="344"/>
        <v>1239.01</v>
      </c>
      <c r="AK629">
        <f t="shared" si="345"/>
        <v>0</v>
      </c>
      <c r="AL629">
        <f t="shared" si="346"/>
        <v>0</v>
      </c>
      <c r="AM629">
        <f t="shared" si="347"/>
        <v>0</v>
      </c>
      <c r="AN629">
        <f t="shared" si="348"/>
        <v>0</v>
      </c>
      <c r="AO629">
        <f t="shared" si="349"/>
        <v>0</v>
      </c>
    </row>
    <row r="630" spans="1:41" x14ac:dyDescent="0.45">
      <c r="A630">
        <v>38.725325810000001</v>
      </c>
      <c r="B630">
        <v>117.2411508</v>
      </c>
      <c r="C630">
        <v>52.10093689</v>
      </c>
      <c r="D630">
        <v>0.39798500999999997</v>
      </c>
      <c r="E630">
        <f t="shared" si="315"/>
        <v>0.39798500999999997</v>
      </c>
      <c r="F630">
        <f t="shared" si="316"/>
        <v>0</v>
      </c>
      <c r="G630">
        <f t="shared" si="317"/>
        <v>0</v>
      </c>
      <c r="H630">
        <f t="shared" si="318"/>
        <v>0</v>
      </c>
      <c r="I630">
        <f t="shared" si="319"/>
        <v>0</v>
      </c>
      <c r="J630">
        <f t="shared" si="320"/>
        <v>0</v>
      </c>
      <c r="K630" s="1">
        <f t="shared" si="321"/>
        <v>0</v>
      </c>
      <c r="L630" s="1">
        <f t="shared" si="322"/>
        <v>0</v>
      </c>
      <c r="M630" s="1">
        <f t="shared" si="323"/>
        <v>0</v>
      </c>
      <c r="N630" s="1">
        <f t="shared" si="324"/>
        <v>0</v>
      </c>
      <c r="O630" s="1">
        <f t="shared" si="325"/>
        <v>0</v>
      </c>
      <c r="P630" s="1">
        <f t="shared" si="326"/>
        <v>25</v>
      </c>
      <c r="Q630" s="1" t="e">
        <f t="shared" si="327"/>
        <v>#DIV/0!</v>
      </c>
      <c r="R630" s="1" t="e">
        <f t="shared" si="328"/>
        <v>#DIV/0!</v>
      </c>
      <c r="S630" s="1" t="e">
        <f t="shared" si="329"/>
        <v>#DIV/0!</v>
      </c>
      <c r="T630" s="1" t="e">
        <f t="shared" si="330"/>
        <v>#DIV/0!</v>
      </c>
      <c r="U630" s="1" t="e">
        <f t="shared" si="331"/>
        <v>#DIV/0!</v>
      </c>
      <c r="V630">
        <f t="shared" si="332"/>
        <v>851.48</v>
      </c>
      <c r="W630">
        <f t="shared" si="333"/>
        <v>0</v>
      </c>
      <c r="X630">
        <f t="shared" si="334"/>
        <v>0</v>
      </c>
      <c r="Y630">
        <f t="shared" si="335"/>
        <v>0</v>
      </c>
      <c r="Z630">
        <f t="shared" si="336"/>
        <v>0</v>
      </c>
      <c r="AA630">
        <f t="shared" si="337"/>
        <v>0</v>
      </c>
      <c r="AC630">
        <f t="shared" si="338"/>
        <v>1045.25</v>
      </c>
      <c r="AD630">
        <f t="shared" si="339"/>
        <v>0</v>
      </c>
      <c r="AE630">
        <f t="shared" si="340"/>
        <v>0</v>
      </c>
      <c r="AF630">
        <f t="shared" si="341"/>
        <v>0</v>
      </c>
      <c r="AG630">
        <f t="shared" si="342"/>
        <v>0</v>
      </c>
      <c r="AH630">
        <f t="shared" si="343"/>
        <v>0</v>
      </c>
      <c r="AJ630">
        <f t="shared" si="344"/>
        <v>1239.01</v>
      </c>
      <c r="AK630">
        <f t="shared" si="345"/>
        <v>0</v>
      </c>
      <c r="AL630">
        <f t="shared" si="346"/>
        <v>0</v>
      </c>
      <c r="AM630">
        <f t="shared" si="347"/>
        <v>0</v>
      </c>
      <c r="AN630">
        <f t="shared" si="348"/>
        <v>0</v>
      </c>
      <c r="AO630">
        <f t="shared" si="349"/>
        <v>0</v>
      </c>
    </row>
    <row r="631" spans="1:41" x14ac:dyDescent="0.45">
      <c r="A631">
        <v>38.741653970000002</v>
      </c>
      <c r="B631">
        <v>118.95429009999999</v>
      </c>
      <c r="C631">
        <v>22.470727920000002</v>
      </c>
      <c r="D631">
        <v>0.63663899999999995</v>
      </c>
      <c r="E631">
        <f t="shared" si="315"/>
        <v>0.63663899999999995</v>
      </c>
      <c r="F631">
        <f t="shared" si="316"/>
        <v>0</v>
      </c>
      <c r="G631">
        <f t="shared" si="317"/>
        <v>0</v>
      </c>
      <c r="H631">
        <f t="shared" si="318"/>
        <v>0</v>
      </c>
      <c r="I631">
        <f t="shared" si="319"/>
        <v>0</v>
      </c>
      <c r="J631">
        <f t="shared" si="320"/>
        <v>0</v>
      </c>
      <c r="K631" s="1">
        <f t="shared" si="321"/>
        <v>0</v>
      </c>
      <c r="L631" s="1">
        <f t="shared" si="322"/>
        <v>0</v>
      </c>
      <c r="M631" s="1">
        <f t="shared" si="323"/>
        <v>0</v>
      </c>
      <c r="N631" s="1">
        <f t="shared" si="324"/>
        <v>0</v>
      </c>
      <c r="O631" s="1">
        <f t="shared" si="325"/>
        <v>0</v>
      </c>
      <c r="P631" s="1">
        <f t="shared" si="326"/>
        <v>25</v>
      </c>
      <c r="Q631" s="1" t="e">
        <f t="shared" si="327"/>
        <v>#DIV/0!</v>
      </c>
      <c r="R631" s="1" t="e">
        <f t="shared" si="328"/>
        <v>#DIV/0!</v>
      </c>
      <c r="S631" s="1" t="e">
        <f t="shared" si="329"/>
        <v>#DIV/0!</v>
      </c>
      <c r="T631" s="1" t="e">
        <f t="shared" si="330"/>
        <v>#DIV/0!</v>
      </c>
      <c r="U631" s="1" t="e">
        <f t="shared" si="331"/>
        <v>#DIV/0!</v>
      </c>
      <c r="V631">
        <f t="shared" si="332"/>
        <v>851.48</v>
      </c>
      <c r="W631">
        <f t="shared" si="333"/>
        <v>0</v>
      </c>
      <c r="X631">
        <f t="shared" si="334"/>
        <v>0</v>
      </c>
      <c r="Y631">
        <f t="shared" si="335"/>
        <v>0</v>
      </c>
      <c r="Z631">
        <f t="shared" si="336"/>
        <v>0</v>
      </c>
      <c r="AA631">
        <f t="shared" si="337"/>
        <v>0</v>
      </c>
      <c r="AC631">
        <f t="shared" si="338"/>
        <v>1045.25</v>
      </c>
      <c r="AD631">
        <f t="shared" si="339"/>
        <v>0</v>
      </c>
      <c r="AE631">
        <f t="shared" si="340"/>
        <v>0</v>
      </c>
      <c r="AF631">
        <f t="shared" si="341"/>
        <v>0</v>
      </c>
      <c r="AG631">
        <f t="shared" si="342"/>
        <v>0</v>
      </c>
      <c r="AH631">
        <f t="shared" si="343"/>
        <v>0</v>
      </c>
      <c r="AJ631">
        <f t="shared" si="344"/>
        <v>1239.01</v>
      </c>
      <c r="AK631">
        <f t="shared" si="345"/>
        <v>0</v>
      </c>
      <c r="AL631">
        <f t="shared" si="346"/>
        <v>0</v>
      </c>
      <c r="AM631">
        <f t="shared" si="347"/>
        <v>0</v>
      </c>
      <c r="AN631">
        <f t="shared" si="348"/>
        <v>0</v>
      </c>
      <c r="AO631">
        <f t="shared" si="349"/>
        <v>0</v>
      </c>
    </row>
    <row r="632" spans="1:41" x14ac:dyDescent="0.45">
      <c r="A632">
        <v>38.743959179999997</v>
      </c>
      <c r="B632">
        <v>117.5386171</v>
      </c>
      <c r="C632">
        <v>52.10093689</v>
      </c>
      <c r="D632">
        <v>9.1823101000000005</v>
      </c>
      <c r="E632">
        <f t="shared" si="315"/>
        <v>9.1823101000000005</v>
      </c>
      <c r="F632">
        <f t="shared" si="316"/>
        <v>0</v>
      </c>
      <c r="G632">
        <f t="shared" si="317"/>
        <v>0</v>
      </c>
      <c r="H632">
        <f t="shared" si="318"/>
        <v>0</v>
      </c>
      <c r="I632">
        <f t="shared" si="319"/>
        <v>0</v>
      </c>
      <c r="J632">
        <f t="shared" si="320"/>
        <v>0</v>
      </c>
      <c r="K632" s="1">
        <f t="shared" si="321"/>
        <v>0</v>
      </c>
      <c r="L632" s="1">
        <f t="shared" si="322"/>
        <v>0</v>
      </c>
      <c r="M632" s="1">
        <f t="shared" si="323"/>
        <v>0</v>
      </c>
      <c r="N632" s="1">
        <f t="shared" si="324"/>
        <v>0</v>
      </c>
      <c r="O632" s="1">
        <f t="shared" si="325"/>
        <v>0</v>
      </c>
      <c r="P632" s="1">
        <f t="shared" si="326"/>
        <v>25</v>
      </c>
      <c r="Q632" s="1" t="e">
        <f t="shared" si="327"/>
        <v>#DIV/0!</v>
      </c>
      <c r="R632" s="1" t="e">
        <f t="shared" si="328"/>
        <v>#DIV/0!</v>
      </c>
      <c r="S632" s="1" t="e">
        <f t="shared" si="329"/>
        <v>#DIV/0!</v>
      </c>
      <c r="T632" s="1" t="e">
        <f t="shared" si="330"/>
        <v>#DIV/0!</v>
      </c>
      <c r="U632" s="1" t="e">
        <f t="shared" si="331"/>
        <v>#DIV/0!</v>
      </c>
      <c r="V632">
        <f t="shared" si="332"/>
        <v>851.48</v>
      </c>
      <c r="W632">
        <f t="shared" si="333"/>
        <v>0</v>
      </c>
      <c r="X632">
        <f t="shared" si="334"/>
        <v>0</v>
      </c>
      <c r="Y632">
        <f t="shared" si="335"/>
        <v>0</v>
      </c>
      <c r="Z632">
        <f t="shared" si="336"/>
        <v>0</v>
      </c>
      <c r="AA632">
        <f t="shared" si="337"/>
        <v>0</v>
      </c>
      <c r="AC632">
        <f t="shared" si="338"/>
        <v>1045.25</v>
      </c>
      <c r="AD632">
        <f t="shared" si="339"/>
        <v>0</v>
      </c>
      <c r="AE632">
        <f t="shared" si="340"/>
        <v>0</v>
      </c>
      <c r="AF632">
        <f t="shared" si="341"/>
        <v>0</v>
      </c>
      <c r="AG632">
        <f t="shared" si="342"/>
        <v>0</v>
      </c>
      <c r="AH632">
        <f t="shared" si="343"/>
        <v>0</v>
      </c>
      <c r="AJ632">
        <f t="shared" si="344"/>
        <v>1239.01</v>
      </c>
      <c r="AK632">
        <f t="shared" si="345"/>
        <v>0</v>
      </c>
      <c r="AL632">
        <f t="shared" si="346"/>
        <v>0</v>
      </c>
      <c r="AM632">
        <f t="shared" si="347"/>
        <v>0</v>
      </c>
      <c r="AN632">
        <f t="shared" si="348"/>
        <v>0</v>
      </c>
      <c r="AO632">
        <f t="shared" si="349"/>
        <v>0</v>
      </c>
    </row>
    <row r="633" spans="1:41" x14ac:dyDescent="0.45">
      <c r="A633">
        <v>38.744284139999998</v>
      </c>
      <c r="B633">
        <v>115.94852349999999</v>
      </c>
      <c r="C633">
        <v>78.320755000000005</v>
      </c>
      <c r="D633">
        <v>4.9147877700000002</v>
      </c>
      <c r="E633">
        <f t="shared" si="315"/>
        <v>4.9147877700000002</v>
      </c>
      <c r="F633">
        <f t="shared" si="316"/>
        <v>0</v>
      </c>
      <c r="G633">
        <f t="shared" si="317"/>
        <v>0</v>
      </c>
      <c r="H633">
        <f t="shared" si="318"/>
        <v>0</v>
      </c>
      <c r="I633">
        <f t="shared" si="319"/>
        <v>0</v>
      </c>
      <c r="J633">
        <f t="shared" si="320"/>
        <v>0</v>
      </c>
      <c r="K633" s="1">
        <f t="shared" si="321"/>
        <v>0</v>
      </c>
      <c r="L633" s="1">
        <f t="shared" si="322"/>
        <v>0</v>
      </c>
      <c r="M633" s="1">
        <f t="shared" si="323"/>
        <v>0</v>
      </c>
      <c r="N633" s="1">
        <f t="shared" si="324"/>
        <v>0</v>
      </c>
      <c r="O633" s="1">
        <f t="shared" si="325"/>
        <v>0</v>
      </c>
      <c r="P633" s="1">
        <f t="shared" si="326"/>
        <v>25</v>
      </c>
      <c r="Q633" s="1" t="e">
        <f t="shared" si="327"/>
        <v>#DIV/0!</v>
      </c>
      <c r="R633" s="1" t="e">
        <f t="shared" si="328"/>
        <v>#DIV/0!</v>
      </c>
      <c r="S633" s="1" t="e">
        <f t="shared" si="329"/>
        <v>#DIV/0!</v>
      </c>
      <c r="T633" s="1" t="e">
        <f t="shared" si="330"/>
        <v>#DIV/0!</v>
      </c>
      <c r="U633" s="1" t="e">
        <f t="shared" si="331"/>
        <v>#DIV/0!</v>
      </c>
      <c r="V633">
        <f t="shared" si="332"/>
        <v>851.48</v>
      </c>
      <c r="W633">
        <f t="shared" si="333"/>
        <v>0</v>
      </c>
      <c r="X633">
        <f t="shared" si="334"/>
        <v>0</v>
      </c>
      <c r="Y633">
        <f t="shared" si="335"/>
        <v>0</v>
      </c>
      <c r="Z633">
        <f t="shared" si="336"/>
        <v>0</v>
      </c>
      <c r="AA633">
        <f t="shared" si="337"/>
        <v>0</v>
      </c>
      <c r="AC633">
        <f t="shared" si="338"/>
        <v>1045.25</v>
      </c>
      <c r="AD633">
        <f t="shared" si="339"/>
        <v>0</v>
      </c>
      <c r="AE633">
        <f t="shared" si="340"/>
        <v>0</v>
      </c>
      <c r="AF633">
        <f t="shared" si="341"/>
        <v>0</v>
      </c>
      <c r="AG633">
        <f t="shared" si="342"/>
        <v>0</v>
      </c>
      <c r="AH633">
        <f t="shared" si="343"/>
        <v>0</v>
      </c>
      <c r="AJ633">
        <f t="shared" si="344"/>
        <v>1239.01</v>
      </c>
      <c r="AK633">
        <f t="shared" si="345"/>
        <v>0</v>
      </c>
      <c r="AL633">
        <f t="shared" si="346"/>
        <v>0</v>
      </c>
      <c r="AM633">
        <f t="shared" si="347"/>
        <v>0</v>
      </c>
      <c r="AN633">
        <f t="shared" si="348"/>
        <v>0</v>
      </c>
      <c r="AO633">
        <f t="shared" si="349"/>
        <v>0</v>
      </c>
    </row>
    <row r="634" spans="1:41" x14ac:dyDescent="0.45">
      <c r="A634">
        <v>38.747752660000003</v>
      </c>
      <c r="B634">
        <v>118.89627849999999</v>
      </c>
      <c r="C634">
        <v>11.218167299999999</v>
      </c>
      <c r="D634">
        <v>36.283546450000003</v>
      </c>
      <c r="E634">
        <f t="shared" si="315"/>
        <v>11.218167299999999</v>
      </c>
      <c r="F634">
        <f t="shared" si="316"/>
        <v>0</v>
      </c>
      <c r="G634">
        <f t="shared" si="317"/>
        <v>0</v>
      </c>
      <c r="H634">
        <f t="shared" si="318"/>
        <v>0</v>
      </c>
      <c r="I634">
        <f t="shared" si="319"/>
        <v>0</v>
      </c>
      <c r="J634">
        <f t="shared" si="320"/>
        <v>0</v>
      </c>
      <c r="K634" s="1">
        <f t="shared" si="321"/>
        <v>0</v>
      </c>
      <c r="L634" s="1">
        <f t="shared" si="322"/>
        <v>0</v>
      </c>
      <c r="M634" s="1">
        <f t="shared" si="323"/>
        <v>0</v>
      </c>
      <c r="N634" s="1">
        <f t="shared" si="324"/>
        <v>0</v>
      </c>
      <c r="O634" s="1">
        <f t="shared" si="325"/>
        <v>0</v>
      </c>
      <c r="P634" s="1">
        <f t="shared" si="326"/>
        <v>7.7295140618758333</v>
      </c>
      <c r="Q634" s="1" t="e">
        <f t="shared" si="327"/>
        <v>#DIV/0!</v>
      </c>
      <c r="R634" s="1" t="e">
        <f t="shared" si="328"/>
        <v>#DIV/0!</v>
      </c>
      <c r="S634" s="1" t="e">
        <f t="shared" si="329"/>
        <v>#DIV/0!</v>
      </c>
      <c r="T634" s="1" t="e">
        <f t="shared" si="330"/>
        <v>#DIV/0!</v>
      </c>
      <c r="U634" s="1" t="e">
        <f t="shared" si="331"/>
        <v>#DIV/0!</v>
      </c>
      <c r="V634">
        <f t="shared" si="332"/>
        <v>290.18920701096459</v>
      </c>
      <c r="W634">
        <f t="shared" si="333"/>
        <v>0</v>
      </c>
      <c r="X634">
        <f t="shared" si="334"/>
        <v>0</v>
      </c>
      <c r="Y634">
        <f t="shared" si="335"/>
        <v>0</v>
      </c>
      <c r="Z634">
        <f t="shared" si="336"/>
        <v>0</v>
      </c>
      <c r="AA634">
        <f t="shared" si="337"/>
        <v>0</v>
      </c>
      <c r="AC634">
        <f t="shared" si="338"/>
        <v>354.43056247503335</v>
      </c>
      <c r="AD634">
        <f t="shared" si="339"/>
        <v>0</v>
      </c>
      <c r="AE634">
        <f t="shared" si="340"/>
        <v>0</v>
      </c>
      <c r="AF634">
        <f t="shared" si="341"/>
        <v>0</v>
      </c>
      <c r="AG634">
        <f t="shared" si="342"/>
        <v>0</v>
      </c>
      <c r="AH634">
        <f t="shared" si="343"/>
        <v>0</v>
      </c>
      <c r="AJ634">
        <f t="shared" si="344"/>
        <v>418.66191793910207</v>
      </c>
      <c r="AK634">
        <f t="shared" si="345"/>
        <v>0</v>
      </c>
      <c r="AL634">
        <f t="shared" si="346"/>
        <v>0</v>
      </c>
      <c r="AM634">
        <f t="shared" si="347"/>
        <v>0</v>
      </c>
      <c r="AN634">
        <f t="shared" si="348"/>
        <v>0</v>
      </c>
      <c r="AO634">
        <f t="shared" si="349"/>
        <v>0</v>
      </c>
    </row>
    <row r="635" spans="1:41" x14ac:dyDescent="0.45">
      <c r="A635">
        <v>38.75616308</v>
      </c>
      <c r="B635">
        <v>119.2521867</v>
      </c>
      <c r="C635">
        <v>36.944892879999998</v>
      </c>
      <c r="D635">
        <v>12.24306393</v>
      </c>
      <c r="E635">
        <f t="shared" si="315"/>
        <v>12.24306393</v>
      </c>
      <c r="F635">
        <f t="shared" si="316"/>
        <v>0</v>
      </c>
      <c r="G635">
        <f t="shared" si="317"/>
        <v>0</v>
      </c>
      <c r="H635">
        <f t="shared" si="318"/>
        <v>0</v>
      </c>
      <c r="I635">
        <f t="shared" si="319"/>
        <v>0</v>
      </c>
      <c r="J635">
        <f t="shared" si="320"/>
        <v>0</v>
      </c>
      <c r="K635" s="1">
        <f t="shared" si="321"/>
        <v>0</v>
      </c>
      <c r="L635" s="1">
        <f t="shared" si="322"/>
        <v>0</v>
      </c>
      <c r="M635" s="1">
        <f t="shared" si="323"/>
        <v>0</v>
      </c>
      <c r="N635" s="1">
        <f t="shared" si="324"/>
        <v>0</v>
      </c>
      <c r="O635" s="1">
        <f t="shared" si="325"/>
        <v>0</v>
      </c>
      <c r="P635" s="1">
        <f t="shared" si="326"/>
        <v>25</v>
      </c>
      <c r="Q635" s="1" t="e">
        <f t="shared" si="327"/>
        <v>#DIV/0!</v>
      </c>
      <c r="R635" s="1" t="e">
        <f t="shared" si="328"/>
        <v>#DIV/0!</v>
      </c>
      <c r="S635" s="1" t="e">
        <f t="shared" si="329"/>
        <v>#DIV/0!</v>
      </c>
      <c r="T635" s="1" t="e">
        <f t="shared" si="330"/>
        <v>#DIV/0!</v>
      </c>
      <c r="U635" s="1" t="e">
        <f t="shared" si="331"/>
        <v>#DIV/0!</v>
      </c>
      <c r="V635">
        <f t="shared" si="332"/>
        <v>851.48</v>
      </c>
      <c r="W635">
        <f t="shared" si="333"/>
        <v>0</v>
      </c>
      <c r="X635">
        <f t="shared" si="334"/>
        <v>0</v>
      </c>
      <c r="Y635">
        <f t="shared" si="335"/>
        <v>0</v>
      </c>
      <c r="Z635">
        <f t="shared" si="336"/>
        <v>0</v>
      </c>
      <c r="AA635">
        <f t="shared" si="337"/>
        <v>0</v>
      </c>
      <c r="AC635">
        <f t="shared" si="338"/>
        <v>1045.25</v>
      </c>
      <c r="AD635">
        <f t="shared" si="339"/>
        <v>0</v>
      </c>
      <c r="AE635">
        <f t="shared" si="340"/>
        <v>0</v>
      </c>
      <c r="AF635">
        <f t="shared" si="341"/>
        <v>0</v>
      </c>
      <c r="AG635">
        <f t="shared" si="342"/>
        <v>0</v>
      </c>
      <c r="AH635">
        <f t="shared" si="343"/>
        <v>0</v>
      </c>
      <c r="AJ635">
        <f t="shared" si="344"/>
        <v>1239.01</v>
      </c>
      <c r="AK635">
        <f t="shared" si="345"/>
        <v>0</v>
      </c>
      <c r="AL635">
        <f t="shared" si="346"/>
        <v>0</v>
      </c>
      <c r="AM635">
        <f t="shared" si="347"/>
        <v>0</v>
      </c>
      <c r="AN635">
        <f t="shared" si="348"/>
        <v>0</v>
      </c>
      <c r="AO635">
        <f t="shared" si="349"/>
        <v>0</v>
      </c>
    </row>
    <row r="636" spans="1:41" x14ac:dyDescent="0.45">
      <c r="A636">
        <v>38.75828301</v>
      </c>
      <c r="B636">
        <v>92.767493139999999</v>
      </c>
      <c r="C636">
        <v>20.624670030000001</v>
      </c>
      <c r="D636">
        <v>0.83436399999999999</v>
      </c>
      <c r="E636">
        <f t="shared" si="315"/>
        <v>0.83436399999999999</v>
      </c>
      <c r="F636">
        <f t="shared" si="316"/>
        <v>0</v>
      </c>
      <c r="G636">
        <f t="shared" si="317"/>
        <v>0</v>
      </c>
      <c r="H636">
        <f t="shared" si="318"/>
        <v>0</v>
      </c>
      <c r="I636">
        <f t="shared" si="319"/>
        <v>0</v>
      </c>
      <c r="J636">
        <f t="shared" si="320"/>
        <v>0</v>
      </c>
      <c r="K636" s="1">
        <f t="shared" si="321"/>
        <v>0</v>
      </c>
      <c r="L636" s="1">
        <f t="shared" si="322"/>
        <v>0</v>
      </c>
      <c r="M636" s="1">
        <f t="shared" si="323"/>
        <v>0</v>
      </c>
      <c r="N636" s="1">
        <f t="shared" si="324"/>
        <v>0</v>
      </c>
      <c r="O636" s="1">
        <f t="shared" si="325"/>
        <v>0</v>
      </c>
      <c r="P636" s="1">
        <f t="shared" si="326"/>
        <v>25.000000000000004</v>
      </c>
      <c r="Q636" s="1" t="e">
        <f t="shared" si="327"/>
        <v>#DIV/0!</v>
      </c>
      <c r="R636" s="1" t="e">
        <f t="shared" si="328"/>
        <v>#DIV/0!</v>
      </c>
      <c r="S636" s="1" t="e">
        <f t="shared" si="329"/>
        <v>#DIV/0!</v>
      </c>
      <c r="T636" s="1" t="e">
        <f t="shared" si="330"/>
        <v>#DIV/0!</v>
      </c>
      <c r="U636" s="1" t="e">
        <f t="shared" si="331"/>
        <v>#DIV/0!</v>
      </c>
      <c r="V636">
        <f t="shared" si="332"/>
        <v>851.48000000000013</v>
      </c>
      <c r="W636">
        <f t="shared" si="333"/>
        <v>0</v>
      </c>
      <c r="X636">
        <f t="shared" si="334"/>
        <v>0</v>
      </c>
      <c r="Y636">
        <f t="shared" si="335"/>
        <v>0</v>
      </c>
      <c r="Z636">
        <f t="shared" si="336"/>
        <v>0</v>
      </c>
      <c r="AA636">
        <f t="shared" si="337"/>
        <v>0</v>
      </c>
      <c r="AC636">
        <f t="shared" si="338"/>
        <v>1045.25</v>
      </c>
      <c r="AD636">
        <f t="shared" si="339"/>
        <v>0</v>
      </c>
      <c r="AE636">
        <f t="shared" si="340"/>
        <v>0</v>
      </c>
      <c r="AF636">
        <f t="shared" si="341"/>
        <v>0</v>
      </c>
      <c r="AG636">
        <f t="shared" si="342"/>
        <v>0</v>
      </c>
      <c r="AH636">
        <f t="shared" si="343"/>
        <v>0</v>
      </c>
      <c r="AJ636">
        <f t="shared" si="344"/>
        <v>1239.0100000000002</v>
      </c>
      <c r="AK636">
        <f t="shared" si="345"/>
        <v>0</v>
      </c>
      <c r="AL636">
        <f t="shared" si="346"/>
        <v>0</v>
      </c>
      <c r="AM636">
        <f t="shared" si="347"/>
        <v>0</v>
      </c>
      <c r="AN636">
        <f t="shared" si="348"/>
        <v>0</v>
      </c>
      <c r="AO636">
        <f t="shared" si="349"/>
        <v>0</v>
      </c>
    </row>
    <row r="637" spans="1:41" x14ac:dyDescent="0.45">
      <c r="A637">
        <v>38.759868300000001</v>
      </c>
      <c r="B637">
        <v>118.7802275</v>
      </c>
      <c r="C637">
        <v>15.833525659999999</v>
      </c>
      <c r="D637">
        <v>6.1770110100000002</v>
      </c>
      <c r="E637">
        <f t="shared" si="315"/>
        <v>6.1770110100000002</v>
      </c>
      <c r="F637">
        <f t="shared" si="316"/>
        <v>0</v>
      </c>
      <c r="G637">
        <f t="shared" si="317"/>
        <v>0</v>
      </c>
      <c r="H637">
        <f t="shared" si="318"/>
        <v>0</v>
      </c>
      <c r="I637">
        <f t="shared" si="319"/>
        <v>0</v>
      </c>
      <c r="J637">
        <f t="shared" si="320"/>
        <v>0</v>
      </c>
      <c r="K637" s="1">
        <f t="shared" si="321"/>
        <v>0</v>
      </c>
      <c r="L637" s="1">
        <f t="shared" si="322"/>
        <v>0</v>
      </c>
      <c r="M637" s="1">
        <f t="shared" si="323"/>
        <v>0</v>
      </c>
      <c r="N637" s="1">
        <f t="shared" si="324"/>
        <v>0</v>
      </c>
      <c r="O637" s="1">
        <f t="shared" si="325"/>
        <v>0</v>
      </c>
      <c r="P637" s="1">
        <f t="shared" si="326"/>
        <v>25</v>
      </c>
      <c r="Q637" s="1" t="e">
        <f t="shared" si="327"/>
        <v>#DIV/0!</v>
      </c>
      <c r="R637" s="1" t="e">
        <f t="shared" si="328"/>
        <v>#DIV/0!</v>
      </c>
      <c r="S637" s="1" t="e">
        <f t="shared" si="329"/>
        <v>#DIV/0!</v>
      </c>
      <c r="T637" s="1" t="e">
        <f t="shared" si="330"/>
        <v>#DIV/0!</v>
      </c>
      <c r="U637" s="1" t="e">
        <f t="shared" si="331"/>
        <v>#DIV/0!</v>
      </c>
      <c r="V637">
        <f t="shared" si="332"/>
        <v>851.48</v>
      </c>
      <c r="W637">
        <f t="shared" si="333"/>
        <v>0</v>
      </c>
      <c r="X637">
        <f t="shared" si="334"/>
        <v>0</v>
      </c>
      <c r="Y637">
        <f t="shared" si="335"/>
        <v>0</v>
      </c>
      <c r="Z637">
        <f t="shared" si="336"/>
        <v>0</v>
      </c>
      <c r="AA637">
        <f t="shared" si="337"/>
        <v>0</v>
      </c>
      <c r="AC637">
        <f t="shared" si="338"/>
        <v>1045.25</v>
      </c>
      <c r="AD637">
        <f t="shared" si="339"/>
        <v>0</v>
      </c>
      <c r="AE637">
        <f t="shared" si="340"/>
        <v>0</v>
      </c>
      <c r="AF637">
        <f t="shared" si="341"/>
        <v>0</v>
      </c>
      <c r="AG637">
        <f t="shared" si="342"/>
        <v>0</v>
      </c>
      <c r="AH637">
        <f t="shared" si="343"/>
        <v>0</v>
      </c>
      <c r="AJ637">
        <f t="shared" si="344"/>
        <v>1239.01</v>
      </c>
      <c r="AK637">
        <f t="shared" si="345"/>
        <v>0</v>
      </c>
      <c r="AL637">
        <f t="shared" si="346"/>
        <v>0</v>
      </c>
      <c r="AM637">
        <f t="shared" si="347"/>
        <v>0</v>
      </c>
      <c r="AN637">
        <f t="shared" si="348"/>
        <v>0</v>
      </c>
      <c r="AO637">
        <f t="shared" si="349"/>
        <v>0</v>
      </c>
    </row>
    <row r="638" spans="1:41" x14ac:dyDescent="0.45">
      <c r="A638">
        <v>38.762401390000001</v>
      </c>
      <c r="B638">
        <v>119.1941882</v>
      </c>
      <c r="C638">
        <v>39.583812709999997</v>
      </c>
      <c r="D638">
        <v>2.4486129299999999</v>
      </c>
      <c r="E638">
        <f t="shared" si="315"/>
        <v>2.4486129299999999</v>
      </c>
      <c r="F638">
        <f t="shared" si="316"/>
        <v>0</v>
      </c>
      <c r="G638">
        <f t="shared" si="317"/>
        <v>0</v>
      </c>
      <c r="H638">
        <f t="shared" si="318"/>
        <v>0</v>
      </c>
      <c r="I638">
        <f t="shared" si="319"/>
        <v>0</v>
      </c>
      <c r="J638">
        <f t="shared" si="320"/>
        <v>0</v>
      </c>
      <c r="K638" s="1">
        <f t="shared" si="321"/>
        <v>0</v>
      </c>
      <c r="L638" s="1">
        <f t="shared" si="322"/>
        <v>0</v>
      </c>
      <c r="M638" s="1">
        <f t="shared" si="323"/>
        <v>0</v>
      </c>
      <c r="N638" s="1">
        <f t="shared" si="324"/>
        <v>0</v>
      </c>
      <c r="O638" s="1">
        <f t="shared" si="325"/>
        <v>0</v>
      </c>
      <c r="P638" s="1">
        <f t="shared" si="326"/>
        <v>25</v>
      </c>
      <c r="Q638" s="1" t="e">
        <f t="shared" si="327"/>
        <v>#DIV/0!</v>
      </c>
      <c r="R638" s="1" t="e">
        <f t="shared" si="328"/>
        <v>#DIV/0!</v>
      </c>
      <c r="S638" s="1" t="e">
        <f t="shared" si="329"/>
        <v>#DIV/0!</v>
      </c>
      <c r="T638" s="1" t="e">
        <f t="shared" si="330"/>
        <v>#DIV/0!</v>
      </c>
      <c r="U638" s="1" t="e">
        <f t="shared" si="331"/>
        <v>#DIV/0!</v>
      </c>
      <c r="V638">
        <f t="shared" si="332"/>
        <v>851.48</v>
      </c>
      <c r="W638">
        <f t="shared" si="333"/>
        <v>0</v>
      </c>
      <c r="X638">
        <f t="shared" si="334"/>
        <v>0</v>
      </c>
      <c r="Y638">
        <f t="shared" si="335"/>
        <v>0</v>
      </c>
      <c r="Z638">
        <f t="shared" si="336"/>
        <v>0</v>
      </c>
      <c r="AA638">
        <f t="shared" si="337"/>
        <v>0</v>
      </c>
      <c r="AC638">
        <f t="shared" si="338"/>
        <v>1045.25</v>
      </c>
      <c r="AD638">
        <f t="shared" si="339"/>
        <v>0</v>
      </c>
      <c r="AE638">
        <f t="shared" si="340"/>
        <v>0</v>
      </c>
      <c r="AF638">
        <f t="shared" si="341"/>
        <v>0</v>
      </c>
      <c r="AG638">
        <f t="shared" si="342"/>
        <v>0</v>
      </c>
      <c r="AH638">
        <f t="shared" si="343"/>
        <v>0</v>
      </c>
      <c r="AJ638">
        <f t="shared" si="344"/>
        <v>1239.01</v>
      </c>
      <c r="AK638">
        <f t="shared" si="345"/>
        <v>0</v>
      </c>
      <c r="AL638">
        <f t="shared" si="346"/>
        <v>0</v>
      </c>
      <c r="AM638">
        <f t="shared" si="347"/>
        <v>0</v>
      </c>
      <c r="AN638">
        <f t="shared" si="348"/>
        <v>0</v>
      </c>
      <c r="AO638">
        <f t="shared" si="349"/>
        <v>0</v>
      </c>
    </row>
    <row r="639" spans="1:41" x14ac:dyDescent="0.45">
      <c r="A639">
        <v>38.765885230000002</v>
      </c>
      <c r="B639">
        <v>118.7221881</v>
      </c>
      <c r="C639">
        <v>8.2537508000000006</v>
      </c>
      <c r="D639">
        <v>40.052650450000002</v>
      </c>
      <c r="E639">
        <f t="shared" si="315"/>
        <v>8.2537508000000006</v>
      </c>
      <c r="F639">
        <f t="shared" si="316"/>
        <v>0</v>
      </c>
      <c r="G639">
        <f t="shared" si="317"/>
        <v>0</v>
      </c>
      <c r="H639">
        <f t="shared" si="318"/>
        <v>0</v>
      </c>
      <c r="I639">
        <f t="shared" si="319"/>
        <v>0</v>
      </c>
      <c r="J639">
        <f t="shared" si="320"/>
        <v>0</v>
      </c>
      <c r="K639" s="1">
        <f t="shared" si="321"/>
        <v>0</v>
      </c>
      <c r="L639" s="1">
        <f t="shared" si="322"/>
        <v>0</v>
      </c>
      <c r="M639" s="1">
        <f t="shared" si="323"/>
        <v>0</v>
      </c>
      <c r="N639" s="1">
        <f t="shared" si="324"/>
        <v>0</v>
      </c>
      <c r="O639" s="1">
        <f t="shared" si="325"/>
        <v>0</v>
      </c>
      <c r="P639" s="1">
        <f t="shared" si="326"/>
        <v>5.1518131180255011</v>
      </c>
      <c r="Q639" s="1" t="e">
        <f t="shared" si="327"/>
        <v>#DIV/0!</v>
      </c>
      <c r="R639" s="1" t="e">
        <f t="shared" si="328"/>
        <v>#DIV/0!</v>
      </c>
      <c r="S639" s="1" t="e">
        <f t="shared" si="329"/>
        <v>#DIV/0!</v>
      </c>
      <c r="T639" s="1" t="e">
        <f t="shared" si="330"/>
        <v>#DIV/0!</v>
      </c>
      <c r="U639" s="1" t="e">
        <f t="shared" si="331"/>
        <v>#DIV/0!</v>
      </c>
      <c r="V639">
        <f t="shared" si="332"/>
        <v>206.41392633582882</v>
      </c>
      <c r="W639">
        <f t="shared" si="333"/>
        <v>0</v>
      </c>
      <c r="X639">
        <f t="shared" si="334"/>
        <v>0</v>
      </c>
      <c r="Y639">
        <f t="shared" si="335"/>
        <v>0</v>
      </c>
      <c r="Z639">
        <f t="shared" si="336"/>
        <v>0</v>
      </c>
      <c r="AA639">
        <f t="shared" si="337"/>
        <v>0</v>
      </c>
      <c r="AC639">
        <f t="shared" si="338"/>
        <v>251.32252472102005</v>
      </c>
      <c r="AD639">
        <f t="shared" si="339"/>
        <v>0</v>
      </c>
      <c r="AE639">
        <f t="shared" si="340"/>
        <v>0</v>
      </c>
      <c r="AF639">
        <f t="shared" si="341"/>
        <v>0</v>
      </c>
      <c r="AG639">
        <f t="shared" si="342"/>
        <v>0</v>
      </c>
      <c r="AH639">
        <f t="shared" si="343"/>
        <v>0</v>
      </c>
      <c r="AJ639">
        <f t="shared" si="344"/>
        <v>296.22112310621128</v>
      </c>
      <c r="AK639">
        <f t="shared" si="345"/>
        <v>0</v>
      </c>
      <c r="AL639">
        <f t="shared" si="346"/>
        <v>0</v>
      </c>
      <c r="AM639">
        <f t="shared" si="347"/>
        <v>0</v>
      </c>
      <c r="AN639">
        <f t="shared" si="348"/>
        <v>0</v>
      </c>
      <c r="AO639">
        <f t="shared" si="349"/>
        <v>0</v>
      </c>
    </row>
    <row r="640" spans="1:41" x14ac:dyDescent="0.45">
      <c r="A640">
        <v>38.780952890000002</v>
      </c>
      <c r="B640">
        <v>119.0201357</v>
      </c>
      <c r="C640">
        <v>26.389209749999999</v>
      </c>
      <c r="D640">
        <v>14.88022041</v>
      </c>
      <c r="E640">
        <f t="shared" si="315"/>
        <v>14.88022041</v>
      </c>
      <c r="F640">
        <f t="shared" si="316"/>
        <v>0</v>
      </c>
      <c r="G640">
        <f t="shared" si="317"/>
        <v>0</v>
      </c>
      <c r="H640">
        <f t="shared" si="318"/>
        <v>0</v>
      </c>
      <c r="I640">
        <f t="shared" si="319"/>
        <v>0</v>
      </c>
      <c r="J640">
        <f t="shared" si="320"/>
        <v>0</v>
      </c>
      <c r="K640" s="1">
        <f t="shared" si="321"/>
        <v>0</v>
      </c>
      <c r="L640" s="1">
        <f t="shared" si="322"/>
        <v>0</v>
      </c>
      <c r="M640" s="1">
        <f t="shared" si="323"/>
        <v>0</v>
      </c>
      <c r="N640" s="1">
        <f t="shared" si="324"/>
        <v>0</v>
      </c>
      <c r="O640" s="1">
        <f t="shared" si="325"/>
        <v>0</v>
      </c>
      <c r="P640" s="1">
        <f t="shared" si="326"/>
        <v>25</v>
      </c>
      <c r="Q640" s="1" t="e">
        <f t="shared" si="327"/>
        <v>#DIV/0!</v>
      </c>
      <c r="R640" s="1" t="e">
        <f t="shared" si="328"/>
        <v>#DIV/0!</v>
      </c>
      <c r="S640" s="1" t="e">
        <f t="shared" si="329"/>
        <v>#DIV/0!</v>
      </c>
      <c r="T640" s="1" t="e">
        <f t="shared" si="330"/>
        <v>#DIV/0!</v>
      </c>
      <c r="U640" s="1" t="e">
        <f t="shared" si="331"/>
        <v>#DIV/0!</v>
      </c>
      <c r="V640">
        <f t="shared" si="332"/>
        <v>851.48</v>
      </c>
      <c r="W640">
        <f t="shared" si="333"/>
        <v>0</v>
      </c>
      <c r="X640">
        <f t="shared" si="334"/>
        <v>0</v>
      </c>
      <c r="Y640">
        <f t="shared" si="335"/>
        <v>0</v>
      </c>
      <c r="Z640">
        <f t="shared" si="336"/>
        <v>0</v>
      </c>
      <c r="AA640">
        <f t="shared" si="337"/>
        <v>0</v>
      </c>
      <c r="AC640">
        <f t="shared" si="338"/>
        <v>1045.25</v>
      </c>
      <c r="AD640">
        <f t="shared" si="339"/>
        <v>0</v>
      </c>
      <c r="AE640">
        <f t="shared" si="340"/>
        <v>0</v>
      </c>
      <c r="AF640">
        <f t="shared" si="341"/>
        <v>0</v>
      </c>
      <c r="AG640">
        <f t="shared" si="342"/>
        <v>0</v>
      </c>
      <c r="AH640">
        <f t="shared" si="343"/>
        <v>0</v>
      </c>
      <c r="AJ640">
        <f t="shared" si="344"/>
        <v>1239.01</v>
      </c>
      <c r="AK640">
        <f t="shared" si="345"/>
        <v>0</v>
      </c>
      <c r="AL640">
        <f t="shared" si="346"/>
        <v>0</v>
      </c>
      <c r="AM640">
        <f t="shared" si="347"/>
        <v>0</v>
      </c>
      <c r="AN640">
        <f t="shared" si="348"/>
        <v>0</v>
      </c>
      <c r="AO640">
        <f t="shared" si="349"/>
        <v>0</v>
      </c>
    </row>
    <row r="641" spans="1:41" x14ac:dyDescent="0.45">
      <c r="A641">
        <v>38.785780199999998</v>
      </c>
      <c r="B641">
        <v>93.471691230000005</v>
      </c>
      <c r="C641">
        <v>20.624670030000001</v>
      </c>
      <c r="D641">
        <v>0.796736</v>
      </c>
      <c r="E641">
        <f t="shared" si="315"/>
        <v>0.796736</v>
      </c>
      <c r="F641">
        <f t="shared" si="316"/>
        <v>0</v>
      </c>
      <c r="G641">
        <f t="shared" si="317"/>
        <v>0</v>
      </c>
      <c r="H641">
        <f t="shared" si="318"/>
        <v>0</v>
      </c>
      <c r="I641">
        <f t="shared" si="319"/>
        <v>0</v>
      </c>
      <c r="J641">
        <f t="shared" si="320"/>
        <v>0</v>
      </c>
      <c r="K641" s="1">
        <f t="shared" si="321"/>
        <v>0</v>
      </c>
      <c r="L641" s="1">
        <f t="shared" si="322"/>
        <v>0</v>
      </c>
      <c r="M641" s="1">
        <f t="shared" si="323"/>
        <v>0</v>
      </c>
      <c r="N641" s="1">
        <f t="shared" si="324"/>
        <v>0</v>
      </c>
      <c r="O641" s="1">
        <f t="shared" si="325"/>
        <v>0</v>
      </c>
      <c r="P641" s="1">
        <f t="shared" si="326"/>
        <v>24.999999999999996</v>
      </c>
      <c r="Q641" s="1" t="e">
        <f t="shared" si="327"/>
        <v>#DIV/0!</v>
      </c>
      <c r="R641" s="1" t="e">
        <f t="shared" si="328"/>
        <v>#DIV/0!</v>
      </c>
      <c r="S641" s="1" t="e">
        <f t="shared" si="329"/>
        <v>#DIV/0!</v>
      </c>
      <c r="T641" s="1" t="e">
        <f t="shared" si="330"/>
        <v>#DIV/0!</v>
      </c>
      <c r="U641" s="1" t="e">
        <f t="shared" si="331"/>
        <v>#DIV/0!</v>
      </c>
      <c r="V641">
        <f t="shared" si="332"/>
        <v>851.4799999999999</v>
      </c>
      <c r="W641">
        <f t="shared" si="333"/>
        <v>0</v>
      </c>
      <c r="X641">
        <f t="shared" si="334"/>
        <v>0</v>
      </c>
      <c r="Y641">
        <f t="shared" si="335"/>
        <v>0</v>
      </c>
      <c r="Z641">
        <f t="shared" si="336"/>
        <v>0</v>
      </c>
      <c r="AA641">
        <f t="shared" si="337"/>
        <v>0</v>
      </c>
      <c r="AC641">
        <f t="shared" si="338"/>
        <v>1045.25</v>
      </c>
      <c r="AD641">
        <f t="shared" si="339"/>
        <v>0</v>
      </c>
      <c r="AE641">
        <f t="shared" si="340"/>
        <v>0</v>
      </c>
      <c r="AF641">
        <f t="shared" si="341"/>
        <v>0</v>
      </c>
      <c r="AG641">
        <f t="shared" si="342"/>
        <v>0</v>
      </c>
      <c r="AH641">
        <f t="shared" si="343"/>
        <v>0</v>
      </c>
      <c r="AJ641">
        <f t="shared" si="344"/>
        <v>1239.0099999999998</v>
      </c>
      <c r="AK641">
        <f t="shared" si="345"/>
        <v>0</v>
      </c>
      <c r="AL641">
        <f t="shared" si="346"/>
        <v>0</v>
      </c>
      <c r="AM641">
        <f t="shared" si="347"/>
        <v>0</v>
      </c>
      <c r="AN641">
        <f t="shared" si="348"/>
        <v>0</v>
      </c>
      <c r="AO641">
        <f t="shared" si="349"/>
        <v>0</v>
      </c>
    </row>
    <row r="642" spans="1:41" x14ac:dyDescent="0.45">
      <c r="A642">
        <v>38.789880160000003</v>
      </c>
      <c r="B642">
        <v>115.95452830000001</v>
      </c>
      <c r="C642">
        <v>9.1419096</v>
      </c>
      <c r="D642">
        <v>1.5694249899999999</v>
      </c>
      <c r="E642">
        <f t="shared" si="315"/>
        <v>1.5694249899999999</v>
      </c>
      <c r="F642">
        <f t="shared" si="316"/>
        <v>0</v>
      </c>
      <c r="G642">
        <f t="shared" si="317"/>
        <v>0</v>
      </c>
      <c r="H642">
        <f t="shared" si="318"/>
        <v>0</v>
      </c>
      <c r="I642">
        <f t="shared" si="319"/>
        <v>0</v>
      </c>
      <c r="J642">
        <f t="shared" si="320"/>
        <v>0</v>
      </c>
      <c r="K642" s="1">
        <f t="shared" si="321"/>
        <v>0</v>
      </c>
      <c r="L642" s="1">
        <f t="shared" si="322"/>
        <v>0</v>
      </c>
      <c r="M642" s="1">
        <f t="shared" si="323"/>
        <v>0</v>
      </c>
      <c r="N642" s="1">
        <f t="shared" si="324"/>
        <v>0</v>
      </c>
      <c r="O642" s="1">
        <f t="shared" si="325"/>
        <v>0</v>
      </c>
      <c r="P642" s="1">
        <f t="shared" si="326"/>
        <v>25</v>
      </c>
      <c r="Q642" s="1" t="e">
        <f t="shared" si="327"/>
        <v>#DIV/0!</v>
      </c>
      <c r="R642" s="1" t="e">
        <f t="shared" si="328"/>
        <v>#DIV/0!</v>
      </c>
      <c r="S642" s="1" t="e">
        <f t="shared" si="329"/>
        <v>#DIV/0!</v>
      </c>
      <c r="T642" s="1" t="e">
        <f t="shared" si="330"/>
        <v>#DIV/0!</v>
      </c>
      <c r="U642" s="1" t="e">
        <f t="shared" si="331"/>
        <v>#DIV/0!</v>
      </c>
      <c r="V642">
        <f t="shared" si="332"/>
        <v>851.48</v>
      </c>
      <c r="W642">
        <f t="shared" si="333"/>
        <v>0</v>
      </c>
      <c r="X642">
        <f t="shared" si="334"/>
        <v>0</v>
      </c>
      <c r="Y642">
        <f t="shared" si="335"/>
        <v>0</v>
      </c>
      <c r="Z642">
        <f t="shared" si="336"/>
        <v>0</v>
      </c>
      <c r="AA642">
        <f t="shared" si="337"/>
        <v>0</v>
      </c>
      <c r="AC642">
        <f t="shared" si="338"/>
        <v>1045.25</v>
      </c>
      <c r="AD642">
        <f t="shared" si="339"/>
        <v>0</v>
      </c>
      <c r="AE642">
        <f t="shared" si="340"/>
        <v>0</v>
      </c>
      <c r="AF642">
        <f t="shared" si="341"/>
        <v>0</v>
      </c>
      <c r="AG642">
        <f t="shared" si="342"/>
        <v>0</v>
      </c>
      <c r="AH642">
        <f t="shared" si="343"/>
        <v>0</v>
      </c>
      <c r="AJ642">
        <f t="shared" si="344"/>
        <v>1239.01</v>
      </c>
      <c r="AK642">
        <f t="shared" si="345"/>
        <v>0</v>
      </c>
      <c r="AL642">
        <f t="shared" si="346"/>
        <v>0</v>
      </c>
      <c r="AM642">
        <f t="shared" si="347"/>
        <v>0</v>
      </c>
      <c r="AN642">
        <f t="shared" si="348"/>
        <v>0</v>
      </c>
      <c r="AO642">
        <f t="shared" si="349"/>
        <v>0</v>
      </c>
    </row>
    <row r="643" spans="1:41" x14ac:dyDescent="0.45">
      <c r="A643">
        <v>38.794908929999998</v>
      </c>
      <c r="B643">
        <v>117.48742230000001</v>
      </c>
      <c r="C643">
        <v>52.10093689</v>
      </c>
      <c r="D643">
        <v>4.4577431699999996</v>
      </c>
      <c r="E643">
        <f t="shared" ref="E643:E706" si="350">MIN(C643,D643)</f>
        <v>4.4577431699999996</v>
      </c>
      <c r="F643">
        <f t="shared" ref="F643:F706" si="351">MAX(0,(D643-(C643*(2030-2025))))</f>
        <v>0</v>
      </c>
      <c r="G643">
        <f t="shared" ref="G643:G706" si="352">MAX(0,(D643-(C643*(2035-2025))))</f>
        <v>0</v>
      </c>
      <c r="H643">
        <f t="shared" ref="H643:H706" si="353">MAX(0,(D643-(C643*(2040-2025))))</f>
        <v>0</v>
      </c>
      <c r="I643">
        <f t="shared" ref="I643:I706" si="354">MAX(0,(D643-(C643*(2045-2025))))</f>
        <v>0</v>
      </c>
      <c r="J643">
        <f t="shared" ref="J643:J706" si="355">MAX(0,(D643-(C643*(2050-2025))))</f>
        <v>0</v>
      </c>
      <c r="K643" s="1">
        <f t="shared" ref="K643:K706" si="356">MIN(E643,F643)</f>
        <v>0</v>
      </c>
      <c r="L643" s="1">
        <f t="shared" ref="L643:L706" si="357">MIN(E643,G643)</f>
        <v>0</v>
      </c>
      <c r="M643" s="1">
        <f t="shared" ref="M643:M706" si="358">MIN(E643,H643)</f>
        <v>0</v>
      </c>
      <c r="N643" s="1">
        <f t="shared" ref="N643:N706" si="359">MIN(E643,I643)</f>
        <v>0</v>
      </c>
      <c r="O643" s="1">
        <f t="shared" ref="O643:O706" si="360">MIN(E643,J643)</f>
        <v>0</v>
      </c>
      <c r="P643" s="1">
        <f t="shared" ref="P643:P706" si="361">MAX(1,((25*E643)/D643))</f>
        <v>25</v>
      </c>
      <c r="Q643" s="1" t="e">
        <f t="shared" ref="Q643:Q706" si="362">MAX(1, ((25*K643)/F643))</f>
        <v>#DIV/0!</v>
      </c>
      <c r="R643" s="1" t="e">
        <f t="shared" ref="R643:R706" si="363">MAX(1, ((25*L643)/G643))</f>
        <v>#DIV/0!</v>
      </c>
      <c r="S643" s="1" t="e">
        <f t="shared" ref="S643:S706" si="364">MAX(1, ((25*M643)/H643))</f>
        <v>#DIV/0!</v>
      </c>
      <c r="T643" s="1" t="e">
        <f t="shared" ref="T643:T706" si="365">MAX(1, ((25*N643)/I643))</f>
        <v>#DIV/0!</v>
      </c>
      <c r="U643" s="1" t="e">
        <f t="shared" ref="U643:U706" si="366">MAX(1, ((25*O643)/J643))</f>
        <v>#DIV/0!</v>
      </c>
      <c r="V643">
        <f t="shared" ref="V643:V706" si="367">(32.02+6.96+(0.13*250*P643))</f>
        <v>851.48</v>
      </c>
      <c r="W643">
        <f t="shared" ref="W643:W706" si="368">IF(F643&gt;0,(32.72+6.27+(0.15*250*Q643)),F643)</f>
        <v>0</v>
      </c>
      <c r="X643">
        <f t="shared" ref="X643:X706" si="369">IF(G643&gt;0,(22.27+4.87+(0.1*250*S643)),G643)</f>
        <v>0</v>
      </c>
      <c r="Y643">
        <f t="shared" ref="Y643:Y706" si="370">IF(H643&gt;0,(13.92+4.18+(0.08*250*S643)),H643)</f>
        <v>0</v>
      </c>
      <c r="Z643">
        <f t="shared" ref="Z643:Z706" si="371">IF(I643&gt;0,(11.14+3.48+(0.07*250*T643)),I643)</f>
        <v>0</v>
      </c>
      <c r="AA643">
        <f t="shared" ref="AA643:AA706" si="372">IF(J643&gt;0,(9.75+2.78+(0.07*250*U643)),J643)</f>
        <v>0</v>
      </c>
      <c r="AC643">
        <f t="shared" ref="AC643:AC706" si="373">IF(D643&gt;0,(37.59+7.66+(0.16*250*P643)),D643)</f>
        <v>1045.25</v>
      </c>
      <c r="AD643">
        <f t="shared" ref="AD643:AD706" si="374">IF(F643&gt;0,(32.72+6.27+(0.15*250*Q643)),F643)</f>
        <v>0</v>
      </c>
      <c r="AE643">
        <f t="shared" ref="AE643:AE706" si="375">IF(G643&gt;0,(26.45+5.22+(0.13*250*R643)),G643)</f>
        <v>0</v>
      </c>
      <c r="AF643">
        <f t="shared" ref="AF643:AF706" si="376">IF(H643&gt;0,(15.31+4.53+(0.12*250*S643)),H643)</f>
        <v>0</v>
      </c>
      <c r="AG643">
        <f t="shared" ref="AG643:AG706" si="377">IF(I643&gt;0,(16.01+3.83+(0.11*250+T643)),I643)</f>
        <v>0</v>
      </c>
      <c r="AH643">
        <f t="shared" ref="AH643:AH706" si="378">IF(J643,(13.23+3.13+(0.1*250*U643)),J643)</f>
        <v>0</v>
      </c>
      <c r="AJ643">
        <f t="shared" ref="AJ643:AJ706" si="379">(43.16+8.35+(0.19*250*P643))</f>
        <v>1239.01</v>
      </c>
      <c r="AK643">
        <f t="shared" ref="AK643:AK706" si="380">IF(F643&gt;0,(38.98+6.96+(0.18*250*Q643)),F643)</f>
        <v>0</v>
      </c>
      <c r="AL643">
        <f t="shared" ref="AL643:AL706" si="381">IF(G643&gt;0,(30.63+5.57+(0.17*250*R643)),G643)</f>
        <v>0</v>
      </c>
      <c r="AM643">
        <f t="shared" ref="AM643:AM706" si="382">IF(H643&gt;0,(25.06+4.87+(0.15*250*S643)),H643)</f>
        <v>0</v>
      </c>
      <c r="AN643">
        <f t="shared" ref="AN643:AN706" si="383">IF(I643&gt;0,(20.88+4.18+(0.15*250*T643)),I643)</f>
        <v>0</v>
      </c>
      <c r="AO643">
        <f t="shared" ref="AO643:AO706" si="384">IF(J643,(16.71+3.48+(0.14*250*U643)),J643)</f>
        <v>0</v>
      </c>
    </row>
    <row r="644" spans="1:41" x14ac:dyDescent="0.45">
      <c r="A644">
        <v>38.799259149999997</v>
      </c>
      <c r="B644">
        <v>118.8459986</v>
      </c>
      <c r="C644">
        <v>27.804981229999999</v>
      </c>
      <c r="D644">
        <v>2.4486129299999999</v>
      </c>
      <c r="E644">
        <f t="shared" si="350"/>
        <v>2.4486129299999999</v>
      </c>
      <c r="F644">
        <f t="shared" si="351"/>
        <v>0</v>
      </c>
      <c r="G644">
        <f t="shared" si="352"/>
        <v>0</v>
      </c>
      <c r="H644">
        <f t="shared" si="353"/>
        <v>0</v>
      </c>
      <c r="I644">
        <f t="shared" si="354"/>
        <v>0</v>
      </c>
      <c r="J644">
        <f t="shared" si="355"/>
        <v>0</v>
      </c>
      <c r="K644" s="1">
        <f t="shared" si="356"/>
        <v>0</v>
      </c>
      <c r="L644" s="1">
        <f t="shared" si="357"/>
        <v>0</v>
      </c>
      <c r="M644" s="1">
        <f t="shared" si="358"/>
        <v>0</v>
      </c>
      <c r="N644" s="1">
        <f t="shared" si="359"/>
        <v>0</v>
      </c>
      <c r="O644" s="1">
        <f t="shared" si="360"/>
        <v>0</v>
      </c>
      <c r="P644" s="1">
        <f t="shared" si="361"/>
        <v>25</v>
      </c>
      <c r="Q644" s="1" t="e">
        <f t="shared" si="362"/>
        <v>#DIV/0!</v>
      </c>
      <c r="R644" s="1" t="e">
        <f t="shared" si="363"/>
        <v>#DIV/0!</v>
      </c>
      <c r="S644" s="1" t="e">
        <f t="shared" si="364"/>
        <v>#DIV/0!</v>
      </c>
      <c r="T644" s="1" t="e">
        <f t="shared" si="365"/>
        <v>#DIV/0!</v>
      </c>
      <c r="U644" s="1" t="e">
        <f t="shared" si="366"/>
        <v>#DIV/0!</v>
      </c>
      <c r="V644">
        <f t="shared" si="367"/>
        <v>851.48</v>
      </c>
      <c r="W644">
        <f t="shared" si="368"/>
        <v>0</v>
      </c>
      <c r="X644">
        <f t="shared" si="369"/>
        <v>0</v>
      </c>
      <c r="Y644">
        <f t="shared" si="370"/>
        <v>0</v>
      </c>
      <c r="Z644">
        <f t="shared" si="371"/>
        <v>0</v>
      </c>
      <c r="AA644">
        <f t="shared" si="372"/>
        <v>0</v>
      </c>
      <c r="AC644">
        <f t="shared" si="373"/>
        <v>1045.25</v>
      </c>
      <c r="AD644">
        <f t="shared" si="374"/>
        <v>0</v>
      </c>
      <c r="AE644">
        <f t="shared" si="375"/>
        <v>0</v>
      </c>
      <c r="AF644">
        <f t="shared" si="376"/>
        <v>0</v>
      </c>
      <c r="AG644">
        <f t="shared" si="377"/>
        <v>0</v>
      </c>
      <c r="AH644">
        <f t="shared" si="378"/>
        <v>0</v>
      </c>
      <c r="AJ644">
        <f t="shared" si="379"/>
        <v>1239.01</v>
      </c>
      <c r="AK644">
        <f t="shared" si="380"/>
        <v>0</v>
      </c>
      <c r="AL644">
        <f t="shared" si="381"/>
        <v>0</v>
      </c>
      <c r="AM644">
        <f t="shared" si="382"/>
        <v>0</v>
      </c>
      <c r="AN644">
        <f t="shared" si="383"/>
        <v>0</v>
      </c>
      <c r="AO644">
        <f t="shared" si="384"/>
        <v>0</v>
      </c>
    </row>
    <row r="645" spans="1:41" x14ac:dyDescent="0.45">
      <c r="A645">
        <v>38.80031863</v>
      </c>
      <c r="B645">
        <v>117.4292588</v>
      </c>
      <c r="C645">
        <v>52.10093689</v>
      </c>
      <c r="D645">
        <v>5.4357999999999997E-2</v>
      </c>
      <c r="E645">
        <f t="shared" si="350"/>
        <v>5.4357999999999997E-2</v>
      </c>
      <c r="F645">
        <f t="shared" si="351"/>
        <v>0</v>
      </c>
      <c r="G645">
        <f t="shared" si="352"/>
        <v>0</v>
      </c>
      <c r="H645">
        <f t="shared" si="353"/>
        <v>0</v>
      </c>
      <c r="I645">
        <f t="shared" si="354"/>
        <v>0</v>
      </c>
      <c r="J645">
        <f t="shared" si="355"/>
        <v>0</v>
      </c>
      <c r="K645" s="1">
        <f t="shared" si="356"/>
        <v>0</v>
      </c>
      <c r="L645" s="1">
        <f t="shared" si="357"/>
        <v>0</v>
      </c>
      <c r="M645" s="1">
        <f t="shared" si="358"/>
        <v>0</v>
      </c>
      <c r="N645" s="1">
        <f t="shared" si="359"/>
        <v>0</v>
      </c>
      <c r="O645" s="1">
        <f t="shared" si="360"/>
        <v>0</v>
      </c>
      <c r="P645" s="1">
        <f t="shared" si="361"/>
        <v>25</v>
      </c>
      <c r="Q645" s="1" t="e">
        <f t="shared" si="362"/>
        <v>#DIV/0!</v>
      </c>
      <c r="R645" s="1" t="e">
        <f t="shared" si="363"/>
        <v>#DIV/0!</v>
      </c>
      <c r="S645" s="1" t="e">
        <f t="shared" si="364"/>
        <v>#DIV/0!</v>
      </c>
      <c r="T645" s="1" t="e">
        <f t="shared" si="365"/>
        <v>#DIV/0!</v>
      </c>
      <c r="U645" s="1" t="e">
        <f t="shared" si="366"/>
        <v>#DIV/0!</v>
      </c>
      <c r="V645">
        <f t="shared" si="367"/>
        <v>851.48</v>
      </c>
      <c r="W645">
        <f t="shared" si="368"/>
        <v>0</v>
      </c>
      <c r="X645">
        <f t="shared" si="369"/>
        <v>0</v>
      </c>
      <c r="Y645">
        <f t="shared" si="370"/>
        <v>0</v>
      </c>
      <c r="Z645">
        <f t="shared" si="371"/>
        <v>0</v>
      </c>
      <c r="AA645">
        <f t="shared" si="372"/>
        <v>0</v>
      </c>
      <c r="AC645">
        <f t="shared" si="373"/>
        <v>1045.25</v>
      </c>
      <c r="AD645">
        <f t="shared" si="374"/>
        <v>0</v>
      </c>
      <c r="AE645">
        <f t="shared" si="375"/>
        <v>0</v>
      </c>
      <c r="AF645">
        <f t="shared" si="376"/>
        <v>0</v>
      </c>
      <c r="AG645">
        <f t="shared" si="377"/>
        <v>0</v>
      </c>
      <c r="AH645">
        <f t="shared" si="378"/>
        <v>0</v>
      </c>
      <c r="AJ645">
        <f t="shared" si="379"/>
        <v>1239.01</v>
      </c>
      <c r="AK645">
        <f t="shared" si="380"/>
        <v>0</v>
      </c>
      <c r="AL645">
        <f t="shared" si="381"/>
        <v>0</v>
      </c>
      <c r="AM645">
        <f t="shared" si="382"/>
        <v>0</v>
      </c>
      <c r="AN645">
        <f t="shared" si="383"/>
        <v>0</v>
      </c>
      <c r="AO645">
        <f t="shared" si="384"/>
        <v>0</v>
      </c>
    </row>
    <row r="646" spans="1:41" x14ac:dyDescent="0.45">
      <c r="A646">
        <v>38.824553950000002</v>
      </c>
      <c r="B646">
        <v>118.1412953</v>
      </c>
      <c r="C646">
        <v>26.204454420000001</v>
      </c>
      <c r="D646">
        <v>7.0784E-2</v>
      </c>
      <c r="E646">
        <f t="shared" si="350"/>
        <v>7.0784E-2</v>
      </c>
      <c r="F646">
        <f t="shared" si="351"/>
        <v>0</v>
      </c>
      <c r="G646">
        <f t="shared" si="352"/>
        <v>0</v>
      </c>
      <c r="H646">
        <f t="shared" si="353"/>
        <v>0</v>
      </c>
      <c r="I646">
        <f t="shared" si="354"/>
        <v>0</v>
      </c>
      <c r="J646">
        <f t="shared" si="355"/>
        <v>0</v>
      </c>
      <c r="K646" s="1">
        <f t="shared" si="356"/>
        <v>0</v>
      </c>
      <c r="L646" s="1">
        <f t="shared" si="357"/>
        <v>0</v>
      </c>
      <c r="M646" s="1">
        <f t="shared" si="358"/>
        <v>0</v>
      </c>
      <c r="N646" s="1">
        <f t="shared" si="359"/>
        <v>0</v>
      </c>
      <c r="O646" s="1">
        <f t="shared" si="360"/>
        <v>0</v>
      </c>
      <c r="P646" s="1">
        <f t="shared" si="361"/>
        <v>25</v>
      </c>
      <c r="Q646" s="1" t="e">
        <f t="shared" si="362"/>
        <v>#DIV/0!</v>
      </c>
      <c r="R646" s="1" t="e">
        <f t="shared" si="363"/>
        <v>#DIV/0!</v>
      </c>
      <c r="S646" s="1" t="e">
        <f t="shared" si="364"/>
        <v>#DIV/0!</v>
      </c>
      <c r="T646" s="1" t="e">
        <f t="shared" si="365"/>
        <v>#DIV/0!</v>
      </c>
      <c r="U646" s="1" t="e">
        <f t="shared" si="366"/>
        <v>#DIV/0!</v>
      </c>
      <c r="V646">
        <f t="shared" si="367"/>
        <v>851.48</v>
      </c>
      <c r="W646">
        <f t="shared" si="368"/>
        <v>0</v>
      </c>
      <c r="X646">
        <f t="shared" si="369"/>
        <v>0</v>
      </c>
      <c r="Y646">
        <f t="shared" si="370"/>
        <v>0</v>
      </c>
      <c r="Z646">
        <f t="shared" si="371"/>
        <v>0</v>
      </c>
      <c r="AA646">
        <f t="shared" si="372"/>
        <v>0</v>
      </c>
      <c r="AC646">
        <f t="shared" si="373"/>
        <v>1045.25</v>
      </c>
      <c r="AD646">
        <f t="shared" si="374"/>
        <v>0</v>
      </c>
      <c r="AE646">
        <f t="shared" si="375"/>
        <v>0</v>
      </c>
      <c r="AF646">
        <f t="shared" si="376"/>
        <v>0</v>
      </c>
      <c r="AG646">
        <f t="shared" si="377"/>
        <v>0</v>
      </c>
      <c r="AH646">
        <f t="shared" si="378"/>
        <v>0</v>
      </c>
      <c r="AJ646">
        <f t="shared" si="379"/>
        <v>1239.01</v>
      </c>
      <c r="AK646">
        <f t="shared" si="380"/>
        <v>0</v>
      </c>
      <c r="AL646">
        <f t="shared" si="381"/>
        <v>0</v>
      </c>
      <c r="AM646">
        <f t="shared" si="382"/>
        <v>0</v>
      </c>
      <c r="AN646">
        <f t="shared" si="383"/>
        <v>0</v>
      </c>
      <c r="AO646">
        <f t="shared" si="384"/>
        <v>0</v>
      </c>
    </row>
    <row r="647" spans="1:41" x14ac:dyDescent="0.45">
      <c r="A647">
        <v>38.893009030000002</v>
      </c>
      <c r="B647">
        <v>116.38093979999999</v>
      </c>
      <c r="C647">
        <v>53.31973267</v>
      </c>
      <c r="D647">
        <v>1.9398230299999999</v>
      </c>
      <c r="E647">
        <f t="shared" si="350"/>
        <v>1.9398230299999999</v>
      </c>
      <c r="F647">
        <f t="shared" si="351"/>
        <v>0</v>
      </c>
      <c r="G647">
        <f t="shared" si="352"/>
        <v>0</v>
      </c>
      <c r="H647">
        <f t="shared" si="353"/>
        <v>0</v>
      </c>
      <c r="I647">
        <f t="shared" si="354"/>
        <v>0</v>
      </c>
      <c r="J647">
        <f t="shared" si="355"/>
        <v>0</v>
      </c>
      <c r="K647" s="1">
        <f t="shared" si="356"/>
        <v>0</v>
      </c>
      <c r="L647" s="1">
        <f t="shared" si="357"/>
        <v>0</v>
      </c>
      <c r="M647" s="1">
        <f t="shared" si="358"/>
        <v>0</v>
      </c>
      <c r="N647" s="1">
        <f t="shared" si="359"/>
        <v>0</v>
      </c>
      <c r="O647" s="1">
        <f t="shared" si="360"/>
        <v>0</v>
      </c>
      <c r="P647" s="1">
        <f t="shared" si="361"/>
        <v>25</v>
      </c>
      <c r="Q647" s="1" t="e">
        <f t="shared" si="362"/>
        <v>#DIV/0!</v>
      </c>
      <c r="R647" s="1" t="e">
        <f t="shared" si="363"/>
        <v>#DIV/0!</v>
      </c>
      <c r="S647" s="1" t="e">
        <f t="shared" si="364"/>
        <v>#DIV/0!</v>
      </c>
      <c r="T647" s="1" t="e">
        <f t="shared" si="365"/>
        <v>#DIV/0!</v>
      </c>
      <c r="U647" s="1" t="e">
        <f t="shared" si="366"/>
        <v>#DIV/0!</v>
      </c>
      <c r="V647">
        <f t="shared" si="367"/>
        <v>851.48</v>
      </c>
      <c r="W647">
        <f t="shared" si="368"/>
        <v>0</v>
      </c>
      <c r="X647">
        <f t="shared" si="369"/>
        <v>0</v>
      </c>
      <c r="Y647">
        <f t="shared" si="370"/>
        <v>0</v>
      </c>
      <c r="Z647">
        <f t="shared" si="371"/>
        <v>0</v>
      </c>
      <c r="AA647">
        <f t="shared" si="372"/>
        <v>0</v>
      </c>
      <c r="AC647">
        <f t="shared" si="373"/>
        <v>1045.25</v>
      </c>
      <c r="AD647">
        <f t="shared" si="374"/>
        <v>0</v>
      </c>
      <c r="AE647">
        <f t="shared" si="375"/>
        <v>0</v>
      </c>
      <c r="AF647">
        <f t="shared" si="376"/>
        <v>0</v>
      </c>
      <c r="AG647">
        <f t="shared" si="377"/>
        <v>0</v>
      </c>
      <c r="AH647">
        <f t="shared" si="378"/>
        <v>0</v>
      </c>
      <c r="AJ647">
        <f t="shared" si="379"/>
        <v>1239.01</v>
      </c>
      <c r="AK647">
        <f t="shared" si="380"/>
        <v>0</v>
      </c>
      <c r="AL647">
        <f t="shared" si="381"/>
        <v>0</v>
      </c>
      <c r="AM647">
        <f t="shared" si="382"/>
        <v>0</v>
      </c>
      <c r="AN647">
        <f t="shared" si="383"/>
        <v>0</v>
      </c>
      <c r="AO647">
        <f t="shared" si="384"/>
        <v>0</v>
      </c>
    </row>
    <row r="648" spans="1:41" x14ac:dyDescent="0.45">
      <c r="A648">
        <v>38.929464469999999</v>
      </c>
      <c r="B648">
        <v>118.92743489999999</v>
      </c>
      <c r="C648">
        <v>49.800571439999999</v>
      </c>
      <c r="D648">
        <v>2.4486129299999999</v>
      </c>
      <c r="E648">
        <f t="shared" si="350"/>
        <v>2.4486129299999999</v>
      </c>
      <c r="F648">
        <f t="shared" si="351"/>
        <v>0</v>
      </c>
      <c r="G648">
        <f t="shared" si="352"/>
        <v>0</v>
      </c>
      <c r="H648">
        <f t="shared" si="353"/>
        <v>0</v>
      </c>
      <c r="I648">
        <f t="shared" si="354"/>
        <v>0</v>
      </c>
      <c r="J648">
        <f t="shared" si="355"/>
        <v>0</v>
      </c>
      <c r="K648" s="1">
        <f t="shared" si="356"/>
        <v>0</v>
      </c>
      <c r="L648" s="1">
        <f t="shared" si="357"/>
        <v>0</v>
      </c>
      <c r="M648" s="1">
        <f t="shared" si="358"/>
        <v>0</v>
      </c>
      <c r="N648" s="1">
        <f t="shared" si="359"/>
        <v>0</v>
      </c>
      <c r="O648" s="1">
        <f t="shared" si="360"/>
        <v>0</v>
      </c>
      <c r="P648" s="1">
        <f t="shared" si="361"/>
        <v>25</v>
      </c>
      <c r="Q648" s="1" t="e">
        <f t="shared" si="362"/>
        <v>#DIV/0!</v>
      </c>
      <c r="R648" s="1" t="e">
        <f t="shared" si="363"/>
        <v>#DIV/0!</v>
      </c>
      <c r="S648" s="1" t="e">
        <f t="shared" si="364"/>
        <v>#DIV/0!</v>
      </c>
      <c r="T648" s="1" t="e">
        <f t="shared" si="365"/>
        <v>#DIV/0!</v>
      </c>
      <c r="U648" s="1" t="e">
        <f t="shared" si="366"/>
        <v>#DIV/0!</v>
      </c>
      <c r="V648">
        <f t="shared" si="367"/>
        <v>851.48</v>
      </c>
      <c r="W648">
        <f t="shared" si="368"/>
        <v>0</v>
      </c>
      <c r="X648">
        <f t="shared" si="369"/>
        <v>0</v>
      </c>
      <c r="Y648">
        <f t="shared" si="370"/>
        <v>0</v>
      </c>
      <c r="Z648">
        <f t="shared" si="371"/>
        <v>0</v>
      </c>
      <c r="AA648">
        <f t="shared" si="372"/>
        <v>0</v>
      </c>
      <c r="AC648">
        <f t="shared" si="373"/>
        <v>1045.25</v>
      </c>
      <c r="AD648">
        <f t="shared" si="374"/>
        <v>0</v>
      </c>
      <c r="AE648">
        <f t="shared" si="375"/>
        <v>0</v>
      </c>
      <c r="AF648">
        <f t="shared" si="376"/>
        <v>0</v>
      </c>
      <c r="AG648">
        <f t="shared" si="377"/>
        <v>0</v>
      </c>
      <c r="AH648">
        <f t="shared" si="378"/>
        <v>0</v>
      </c>
      <c r="AJ648">
        <f t="shared" si="379"/>
        <v>1239.01</v>
      </c>
      <c r="AK648">
        <f t="shared" si="380"/>
        <v>0</v>
      </c>
      <c r="AL648">
        <f t="shared" si="381"/>
        <v>0</v>
      </c>
      <c r="AM648">
        <f t="shared" si="382"/>
        <v>0</v>
      </c>
      <c r="AN648">
        <f t="shared" si="383"/>
        <v>0</v>
      </c>
      <c r="AO648">
        <f t="shared" si="384"/>
        <v>0</v>
      </c>
    </row>
    <row r="649" spans="1:41" x14ac:dyDescent="0.45">
      <c r="A649">
        <v>38.937791199999999</v>
      </c>
      <c r="B649">
        <v>118.3961884</v>
      </c>
      <c r="C649">
        <v>36.944892879999998</v>
      </c>
      <c r="D649">
        <v>7.8355607999999997</v>
      </c>
      <c r="E649">
        <f t="shared" si="350"/>
        <v>7.8355607999999997</v>
      </c>
      <c r="F649">
        <f t="shared" si="351"/>
        <v>0</v>
      </c>
      <c r="G649">
        <f t="shared" si="352"/>
        <v>0</v>
      </c>
      <c r="H649">
        <f t="shared" si="353"/>
        <v>0</v>
      </c>
      <c r="I649">
        <f t="shared" si="354"/>
        <v>0</v>
      </c>
      <c r="J649">
        <f t="shared" si="355"/>
        <v>0</v>
      </c>
      <c r="K649" s="1">
        <f t="shared" si="356"/>
        <v>0</v>
      </c>
      <c r="L649" s="1">
        <f t="shared" si="357"/>
        <v>0</v>
      </c>
      <c r="M649" s="1">
        <f t="shared" si="358"/>
        <v>0</v>
      </c>
      <c r="N649" s="1">
        <f t="shared" si="359"/>
        <v>0</v>
      </c>
      <c r="O649" s="1">
        <f t="shared" si="360"/>
        <v>0</v>
      </c>
      <c r="P649" s="1">
        <f t="shared" si="361"/>
        <v>25</v>
      </c>
      <c r="Q649" s="1" t="e">
        <f t="shared" si="362"/>
        <v>#DIV/0!</v>
      </c>
      <c r="R649" s="1" t="e">
        <f t="shared" si="363"/>
        <v>#DIV/0!</v>
      </c>
      <c r="S649" s="1" t="e">
        <f t="shared" si="364"/>
        <v>#DIV/0!</v>
      </c>
      <c r="T649" s="1" t="e">
        <f t="shared" si="365"/>
        <v>#DIV/0!</v>
      </c>
      <c r="U649" s="1" t="e">
        <f t="shared" si="366"/>
        <v>#DIV/0!</v>
      </c>
      <c r="V649">
        <f t="shared" si="367"/>
        <v>851.48</v>
      </c>
      <c r="W649">
        <f t="shared" si="368"/>
        <v>0</v>
      </c>
      <c r="X649">
        <f t="shared" si="369"/>
        <v>0</v>
      </c>
      <c r="Y649">
        <f t="shared" si="370"/>
        <v>0</v>
      </c>
      <c r="Z649">
        <f t="shared" si="371"/>
        <v>0</v>
      </c>
      <c r="AA649">
        <f t="shared" si="372"/>
        <v>0</v>
      </c>
      <c r="AC649">
        <f t="shared" si="373"/>
        <v>1045.25</v>
      </c>
      <c r="AD649">
        <f t="shared" si="374"/>
        <v>0</v>
      </c>
      <c r="AE649">
        <f t="shared" si="375"/>
        <v>0</v>
      </c>
      <c r="AF649">
        <f t="shared" si="376"/>
        <v>0</v>
      </c>
      <c r="AG649">
        <f t="shared" si="377"/>
        <v>0</v>
      </c>
      <c r="AH649">
        <f t="shared" si="378"/>
        <v>0</v>
      </c>
      <c r="AJ649">
        <f t="shared" si="379"/>
        <v>1239.01</v>
      </c>
      <c r="AK649">
        <f t="shared" si="380"/>
        <v>0</v>
      </c>
      <c r="AL649">
        <f t="shared" si="381"/>
        <v>0</v>
      </c>
      <c r="AM649">
        <f t="shared" si="382"/>
        <v>0</v>
      </c>
      <c r="AN649">
        <f t="shared" si="383"/>
        <v>0</v>
      </c>
      <c r="AO649">
        <f t="shared" si="384"/>
        <v>0</v>
      </c>
    </row>
    <row r="650" spans="1:41" x14ac:dyDescent="0.45">
      <c r="A650">
        <v>38.947615810000002</v>
      </c>
      <c r="B650">
        <v>117.3334243</v>
      </c>
      <c r="C650">
        <v>26.05046844</v>
      </c>
      <c r="D650">
        <v>1.32910097</v>
      </c>
      <c r="E650">
        <f t="shared" si="350"/>
        <v>1.32910097</v>
      </c>
      <c r="F650">
        <f t="shared" si="351"/>
        <v>0</v>
      </c>
      <c r="G650">
        <f t="shared" si="352"/>
        <v>0</v>
      </c>
      <c r="H650">
        <f t="shared" si="353"/>
        <v>0</v>
      </c>
      <c r="I650">
        <f t="shared" si="354"/>
        <v>0</v>
      </c>
      <c r="J650">
        <f t="shared" si="355"/>
        <v>0</v>
      </c>
      <c r="K650" s="1">
        <f t="shared" si="356"/>
        <v>0</v>
      </c>
      <c r="L650" s="1">
        <f t="shared" si="357"/>
        <v>0</v>
      </c>
      <c r="M650" s="1">
        <f t="shared" si="358"/>
        <v>0</v>
      </c>
      <c r="N650" s="1">
        <f t="shared" si="359"/>
        <v>0</v>
      </c>
      <c r="O650" s="1">
        <f t="shared" si="360"/>
        <v>0</v>
      </c>
      <c r="P650" s="1">
        <f t="shared" si="361"/>
        <v>25</v>
      </c>
      <c r="Q650" s="1" t="e">
        <f t="shared" si="362"/>
        <v>#DIV/0!</v>
      </c>
      <c r="R650" s="1" t="e">
        <f t="shared" si="363"/>
        <v>#DIV/0!</v>
      </c>
      <c r="S650" s="1" t="e">
        <f t="shared" si="364"/>
        <v>#DIV/0!</v>
      </c>
      <c r="T650" s="1" t="e">
        <f t="shared" si="365"/>
        <v>#DIV/0!</v>
      </c>
      <c r="U650" s="1" t="e">
        <f t="shared" si="366"/>
        <v>#DIV/0!</v>
      </c>
      <c r="V650">
        <f t="shared" si="367"/>
        <v>851.48</v>
      </c>
      <c r="W650">
        <f t="shared" si="368"/>
        <v>0</v>
      </c>
      <c r="X650">
        <f t="shared" si="369"/>
        <v>0</v>
      </c>
      <c r="Y650">
        <f t="shared" si="370"/>
        <v>0</v>
      </c>
      <c r="Z650">
        <f t="shared" si="371"/>
        <v>0</v>
      </c>
      <c r="AA650">
        <f t="shared" si="372"/>
        <v>0</v>
      </c>
      <c r="AC650">
        <f t="shared" si="373"/>
        <v>1045.25</v>
      </c>
      <c r="AD650">
        <f t="shared" si="374"/>
        <v>0</v>
      </c>
      <c r="AE650">
        <f t="shared" si="375"/>
        <v>0</v>
      </c>
      <c r="AF650">
        <f t="shared" si="376"/>
        <v>0</v>
      </c>
      <c r="AG650">
        <f t="shared" si="377"/>
        <v>0</v>
      </c>
      <c r="AH650">
        <f t="shared" si="378"/>
        <v>0</v>
      </c>
      <c r="AJ650">
        <f t="shared" si="379"/>
        <v>1239.01</v>
      </c>
      <c r="AK650">
        <f t="shared" si="380"/>
        <v>0</v>
      </c>
      <c r="AL650">
        <f t="shared" si="381"/>
        <v>0</v>
      </c>
      <c r="AM650">
        <f t="shared" si="382"/>
        <v>0</v>
      </c>
      <c r="AN650">
        <f t="shared" si="383"/>
        <v>0</v>
      </c>
      <c r="AO650">
        <f t="shared" si="384"/>
        <v>0</v>
      </c>
    </row>
    <row r="651" spans="1:41" x14ac:dyDescent="0.45">
      <c r="A651">
        <v>38.955216149999998</v>
      </c>
      <c r="B651">
        <v>118.22154380000001</v>
      </c>
      <c r="C651">
        <v>43.190040590000002</v>
      </c>
      <c r="D651">
        <v>0.77865899000000005</v>
      </c>
      <c r="E651">
        <f t="shared" si="350"/>
        <v>0.77865899000000005</v>
      </c>
      <c r="F651">
        <f t="shared" si="351"/>
        <v>0</v>
      </c>
      <c r="G651">
        <f t="shared" si="352"/>
        <v>0</v>
      </c>
      <c r="H651">
        <f t="shared" si="353"/>
        <v>0</v>
      </c>
      <c r="I651">
        <f t="shared" si="354"/>
        <v>0</v>
      </c>
      <c r="J651">
        <f t="shared" si="355"/>
        <v>0</v>
      </c>
      <c r="K651" s="1">
        <f t="shared" si="356"/>
        <v>0</v>
      </c>
      <c r="L651" s="1">
        <f t="shared" si="357"/>
        <v>0</v>
      </c>
      <c r="M651" s="1">
        <f t="shared" si="358"/>
        <v>0</v>
      </c>
      <c r="N651" s="1">
        <f t="shared" si="359"/>
        <v>0</v>
      </c>
      <c r="O651" s="1">
        <f t="shared" si="360"/>
        <v>0</v>
      </c>
      <c r="P651" s="1">
        <f t="shared" si="361"/>
        <v>24.999999999999996</v>
      </c>
      <c r="Q651" s="1" t="e">
        <f t="shared" si="362"/>
        <v>#DIV/0!</v>
      </c>
      <c r="R651" s="1" t="e">
        <f t="shared" si="363"/>
        <v>#DIV/0!</v>
      </c>
      <c r="S651" s="1" t="e">
        <f t="shared" si="364"/>
        <v>#DIV/0!</v>
      </c>
      <c r="T651" s="1" t="e">
        <f t="shared" si="365"/>
        <v>#DIV/0!</v>
      </c>
      <c r="U651" s="1" t="e">
        <f t="shared" si="366"/>
        <v>#DIV/0!</v>
      </c>
      <c r="V651">
        <f t="shared" si="367"/>
        <v>851.4799999999999</v>
      </c>
      <c r="W651">
        <f t="shared" si="368"/>
        <v>0</v>
      </c>
      <c r="X651">
        <f t="shared" si="369"/>
        <v>0</v>
      </c>
      <c r="Y651">
        <f t="shared" si="370"/>
        <v>0</v>
      </c>
      <c r="Z651">
        <f t="shared" si="371"/>
        <v>0</v>
      </c>
      <c r="AA651">
        <f t="shared" si="372"/>
        <v>0</v>
      </c>
      <c r="AC651">
        <f t="shared" si="373"/>
        <v>1045.25</v>
      </c>
      <c r="AD651">
        <f t="shared" si="374"/>
        <v>0</v>
      </c>
      <c r="AE651">
        <f t="shared" si="375"/>
        <v>0</v>
      </c>
      <c r="AF651">
        <f t="shared" si="376"/>
        <v>0</v>
      </c>
      <c r="AG651">
        <f t="shared" si="377"/>
        <v>0</v>
      </c>
      <c r="AH651">
        <f t="shared" si="378"/>
        <v>0</v>
      </c>
      <c r="AJ651">
        <f t="shared" si="379"/>
        <v>1239.0099999999998</v>
      </c>
      <c r="AK651">
        <f t="shared" si="380"/>
        <v>0</v>
      </c>
      <c r="AL651">
        <f t="shared" si="381"/>
        <v>0</v>
      </c>
      <c r="AM651">
        <f t="shared" si="382"/>
        <v>0</v>
      </c>
      <c r="AN651">
        <f t="shared" si="383"/>
        <v>0</v>
      </c>
      <c r="AO651">
        <f t="shared" si="384"/>
        <v>0</v>
      </c>
    </row>
    <row r="652" spans="1:41" x14ac:dyDescent="0.45">
      <c r="A652">
        <v>38.96078653</v>
      </c>
      <c r="B652">
        <v>120.71190559999999</v>
      </c>
      <c r="C652">
        <v>0</v>
      </c>
      <c r="D652">
        <v>8.9212074300000008</v>
      </c>
      <c r="E652">
        <f t="shared" si="350"/>
        <v>0</v>
      </c>
      <c r="F652">
        <f t="shared" si="351"/>
        <v>8.9212074300000008</v>
      </c>
      <c r="G652">
        <f t="shared" si="352"/>
        <v>8.9212074300000008</v>
      </c>
      <c r="H652">
        <f t="shared" si="353"/>
        <v>8.9212074300000008</v>
      </c>
      <c r="I652">
        <f t="shared" si="354"/>
        <v>8.9212074300000008</v>
      </c>
      <c r="J652">
        <f t="shared" si="355"/>
        <v>8.9212074300000008</v>
      </c>
      <c r="K652" s="1">
        <f t="shared" si="356"/>
        <v>0</v>
      </c>
      <c r="L652" s="1">
        <f t="shared" si="357"/>
        <v>0</v>
      </c>
      <c r="M652" s="1">
        <f t="shared" si="358"/>
        <v>0</v>
      </c>
      <c r="N652" s="1">
        <f t="shared" si="359"/>
        <v>0</v>
      </c>
      <c r="O652" s="1">
        <f t="shared" si="360"/>
        <v>0</v>
      </c>
      <c r="P652" s="1">
        <f t="shared" si="361"/>
        <v>1</v>
      </c>
      <c r="Q652" s="1">
        <f t="shared" si="362"/>
        <v>1</v>
      </c>
      <c r="R652" s="1">
        <f t="shared" si="363"/>
        <v>1</v>
      </c>
      <c r="S652" s="1">
        <f t="shared" si="364"/>
        <v>1</v>
      </c>
      <c r="T652" s="1">
        <f t="shared" si="365"/>
        <v>1</v>
      </c>
      <c r="U652" s="1">
        <f t="shared" si="366"/>
        <v>1</v>
      </c>
      <c r="V652">
        <f t="shared" si="367"/>
        <v>71.48</v>
      </c>
      <c r="W652">
        <f t="shared" si="368"/>
        <v>76.489999999999995</v>
      </c>
      <c r="X652">
        <f t="shared" si="369"/>
        <v>52.14</v>
      </c>
      <c r="Y652">
        <f t="shared" si="370"/>
        <v>38.1</v>
      </c>
      <c r="Z652">
        <f t="shared" si="371"/>
        <v>32.120000000000005</v>
      </c>
      <c r="AA652">
        <f t="shared" si="372"/>
        <v>30.03</v>
      </c>
      <c r="AC652">
        <f t="shared" si="373"/>
        <v>85.25</v>
      </c>
      <c r="AD652">
        <f t="shared" si="374"/>
        <v>76.489999999999995</v>
      </c>
      <c r="AE652">
        <f t="shared" si="375"/>
        <v>64.17</v>
      </c>
      <c r="AF652">
        <f t="shared" si="376"/>
        <v>49.84</v>
      </c>
      <c r="AG652">
        <f t="shared" si="377"/>
        <v>48.34</v>
      </c>
      <c r="AH652">
        <f t="shared" si="378"/>
        <v>41.36</v>
      </c>
      <c r="AJ652">
        <f t="shared" si="379"/>
        <v>99.009999999999991</v>
      </c>
      <c r="AK652">
        <f t="shared" si="380"/>
        <v>90.94</v>
      </c>
      <c r="AL652">
        <f t="shared" si="381"/>
        <v>78.7</v>
      </c>
      <c r="AM652">
        <f t="shared" si="382"/>
        <v>67.430000000000007</v>
      </c>
      <c r="AN652">
        <f t="shared" si="383"/>
        <v>62.56</v>
      </c>
      <c r="AO652">
        <f t="shared" si="384"/>
        <v>55.19</v>
      </c>
    </row>
    <row r="653" spans="1:41" x14ac:dyDescent="0.45">
      <c r="A653">
        <v>38.966022170000002</v>
      </c>
      <c r="B653">
        <v>117.6317871</v>
      </c>
      <c r="C653">
        <v>52.10093689</v>
      </c>
      <c r="D653">
        <v>3.1421949900000001</v>
      </c>
      <c r="E653">
        <f t="shared" si="350"/>
        <v>3.1421949900000001</v>
      </c>
      <c r="F653">
        <f t="shared" si="351"/>
        <v>0</v>
      </c>
      <c r="G653">
        <f t="shared" si="352"/>
        <v>0</v>
      </c>
      <c r="H653">
        <f t="shared" si="353"/>
        <v>0</v>
      </c>
      <c r="I653">
        <f t="shared" si="354"/>
        <v>0</v>
      </c>
      <c r="J653">
        <f t="shared" si="355"/>
        <v>0</v>
      </c>
      <c r="K653" s="1">
        <f t="shared" si="356"/>
        <v>0</v>
      </c>
      <c r="L653" s="1">
        <f t="shared" si="357"/>
        <v>0</v>
      </c>
      <c r="M653" s="1">
        <f t="shared" si="358"/>
        <v>0</v>
      </c>
      <c r="N653" s="1">
        <f t="shared" si="359"/>
        <v>0</v>
      </c>
      <c r="O653" s="1">
        <f t="shared" si="360"/>
        <v>0</v>
      </c>
      <c r="P653" s="1">
        <f t="shared" si="361"/>
        <v>25.000000000000004</v>
      </c>
      <c r="Q653" s="1" t="e">
        <f t="shared" si="362"/>
        <v>#DIV/0!</v>
      </c>
      <c r="R653" s="1" t="e">
        <f t="shared" si="363"/>
        <v>#DIV/0!</v>
      </c>
      <c r="S653" s="1" t="e">
        <f t="shared" si="364"/>
        <v>#DIV/0!</v>
      </c>
      <c r="T653" s="1" t="e">
        <f t="shared" si="365"/>
        <v>#DIV/0!</v>
      </c>
      <c r="U653" s="1" t="e">
        <f t="shared" si="366"/>
        <v>#DIV/0!</v>
      </c>
      <c r="V653">
        <f t="shared" si="367"/>
        <v>851.48000000000013</v>
      </c>
      <c r="W653">
        <f t="shared" si="368"/>
        <v>0</v>
      </c>
      <c r="X653">
        <f t="shared" si="369"/>
        <v>0</v>
      </c>
      <c r="Y653">
        <f t="shared" si="370"/>
        <v>0</v>
      </c>
      <c r="Z653">
        <f t="shared" si="371"/>
        <v>0</v>
      </c>
      <c r="AA653">
        <f t="shared" si="372"/>
        <v>0</v>
      </c>
      <c r="AC653">
        <f t="shared" si="373"/>
        <v>1045.25</v>
      </c>
      <c r="AD653">
        <f t="shared" si="374"/>
        <v>0</v>
      </c>
      <c r="AE653">
        <f t="shared" si="375"/>
        <v>0</v>
      </c>
      <c r="AF653">
        <f t="shared" si="376"/>
        <v>0</v>
      </c>
      <c r="AG653">
        <f t="shared" si="377"/>
        <v>0</v>
      </c>
      <c r="AH653">
        <f t="shared" si="378"/>
        <v>0</v>
      </c>
      <c r="AJ653">
        <f t="shared" si="379"/>
        <v>1239.0100000000002</v>
      </c>
      <c r="AK653">
        <f t="shared" si="380"/>
        <v>0</v>
      </c>
      <c r="AL653">
        <f t="shared" si="381"/>
        <v>0</v>
      </c>
      <c r="AM653">
        <f t="shared" si="382"/>
        <v>0</v>
      </c>
      <c r="AN653">
        <f t="shared" si="383"/>
        <v>0</v>
      </c>
      <c r="AO653">
        <f t="shared" si="384"/>
        <v>0</v>
      </c>
    </row>
    <row r="654" spans="1:41" x14ac:dyDescent="0.45">
      <c r="A654">
        <v>38.968770470000003</v>
      </c>
      <c r="B654">
        <v>118.9934301</v>
      </c>
      <c r="C654">
        <v>26.92297173</v>
      </c>
      <c r="D654">
        <v>24.478782649999999</v>
      </c>
      <c r="E654">
        <f t="shared" si="350"/>
        <v>24.478782649999999</v>
      </c>
      <c r="F654">
        <f t="shared" si="351"/>
        <v>0</v>
      </c>
      <c r="G654">
        <f t="shared" si="352"/>
        <v>0</v>
      </c>
      <c r="H654">
        <f t="shared" si="353"/>
        <v>0</v>
      </c>
      <c r="I654">
        <f t="shared" si="354"/>
        <v>0</v>
      </c>
      <c r="J654">
        <f t="shared" si="355"/>
        <v>0</v>
      </c>
      <c r="K654" s="1">
        <f t="shared" si="356"/>
        <v>0</v>
      </c>
      <c r="L654" s="1">
        <f t="shared" si="357"/>
        <v>0</v>
      </c>
      <c r="M654" s="1">
        <f t="shared" si="358"/>
        <v>0</v>
      </c>
      <c r="N654" s="1">
        <f t="shared" si="359"/>
        <v>0</v>
      </c>
      <c r="O654" s="1">
        <f t="shared" si="360"/>
        <v>0</v>
      </c>
      <c r="P654" s="1">
        <f t="shared" si="361"/>
        <v>25</v>
      </c>
      <c r="Q654" s="1" t="e">
        <f t="shared" si="362"/>
        <v>#DIV/0!</v>
      </c>
      <c r="R654" s="1" t="e">
        <f t="shared" si="363"/>
        <v>#DIV/0!</v>
      </c>
      <c r="S654" s="1" t="e">
        <f t="shared" si="364"/>
        <v>#DIV/0!</v>
      </c>
      <c r="T654" s="1" t="e">
        <f t="shared" si="365"/>
        <v>#DIV/0!</v>
      </c>
      <c r="U654" s="1" t="e">
        <f t="shared" si="366"/>
        <v>#DIV/0!</v>
      </c>
      <c r="V654">
        <f t="shared" si="367"/>
        <v>851.48</v>
      </c>
      <c r="W654">
        <f t="shared" si="368"/>
        <v>0</v>
      </c>
      <c r="X654">
        <f t="shared" si="369"/>
        <v>0</v>
      </c>
      <c r="Y654">
        <f t="shared" si="370"/>
        <v>0</v>
      </c>
      <c r="Z654">
        <f t="shared" si="371"/>
        <v>0</v>
      </c>
      <c r="AA654">
        <f t="shared" si="372"/>
        <v>0</v>
      </c>
      <c r="AC654">
        <f t="shared" si="373"/>
        <v>1045.25</v>
      </c>
      <c r="AD654">
        <f t="shared" si="374"/>
        <v>0</v>
      </c>
      <c r="AE654">
        <f t="shared" si="375"/>
        <v>0</v>
      </c>
      <c r="AF654">
        <f t="shared" si="376"/>
        <v>0</v>
      </c>
      <c r="AG654">
        <f t="shared" si="377"/>
        <v>0</v>
      </c>
      <c r="AH654">
        <f t="shared" si="378"/>
        <v>0</v>
      </c>
      <c r="AJ654">
        <f t="shared" si="379"/>
        <v>1239.01</v>
      </c>
      <c r="AK654">
        <f t="shared" si="380"/>
        <v>0</v>
      </c>
      <c r="AL654">
        <f t="shared" si="381"/>
        <v>0</v>
      </c>
      <c r="AM654">
        <f t="shared" si="382"/>
        <v>0</v>
      </c>
      <c r="AN654">
        <f t="shared" si="383"/>
        <v>0</v>
      </c>
      <c r="AO654">
        <f t="shared" si="384"/>
        <v>0</v>
      </c>
    </row>
    <row r="655" spans="1:41" x14ac:dyDescent="0.45">
      <c r="A655">
        <v>38.97058784</v>
      </c>
      <c r="B655">
        <v>119.40853850000001</v>
      </c>
      <c r="C655">
        <v>27.937288280000001</v>
      </c>
      <c r="D655">
        <v>1.4247449599999999</v>
      </c>
      <c r="E655">
        <f t="shared" si="350"/>
        <v>1.4247449599999999</v>
      </c>
      <c r="F655">
        <f t="shared" si="351"/>
        <v>0</v>
      </c>
      <c r="G655">
        <f t="shared" si="352"/>
        <v>0</v>
      </c>
      <c r="H655">
        <f t="shared" si="353"/>
        <v>0</v>
      </c>
      <c r="I655">
        <f t="shared" si="354"/>
        <v>0</v>
      </c>
      <c r="J655">
        <f t="shared" si="355"/>
        <v>0</v>
      </c>
      <c r="K655" s="1">
        <f t="shared" si="356"/>
        <v>0</v>
      </c>
      <c r="L655" s="1">
        <f t="shared" si="357"/>
        <v>0</v>
      </c>
      <c r="M655" s="1">
        <f t="shared" si="358"/>
        <v>0</v>
      </c>
      <c r="N655" s="1">
        <f t="shared" si="359"/>
        <v>0</v>
      </c>
      <c r="O655" s="1">
        <f t="shared" si="360"/>
        <v>0</v>
      </c>
      <c r="P655" s="1">
        <f t="shared" si="361"/>
        <v>25</v>
      </c>
      <c r="Q655" s="1" t="e">
        <f t="shared" si="362"/>
        <v>#DIV/0!</v>
      </c>
      <c r="R655" s="1" t="e">
        <f t="shared" si="363"/>
        <v>#DIV/0!</v>
      </c>
      <c r="S655" s="1" t="e">
        <f t="shared" si="364"/>
        <v>#DIV/0!</v>
      </c>
      <c r="T655" s="1" t="e">
        <f t="shared" si="365"/>
        <v>#DIV/0!</v>
      </c>
      <c r="U655" s="1" t="e">
        <f t="shared" si="366"/>
        <v>#DIV/0!</v>
      </c>
      <c r="V655">
        <f t="shared" si="367"/>
        <v>851.48</v>
      </c>
      <c r="W655">
        <f t="shared" si="368"/>
        <v>0</v>
      </c>
      <c r="X655">
        <f t="shared" si="369"/>
        <v>0</v>
      </c>
      <c r="Y655">
        <f t="shared" si="370"/>
        <v>0</v>
      </c>
      <c r="Z655">
        <f t="shared" si="371"/>
        <v>0</v>
      </c>
      <c r="AA655">
        <f t="shared" si="372"/>
        <v>0</v>
      </c>
      <c r="AC655">
        <f t="shared" si="373"/>
        <v>1045.25</v>
      </c>
      <c r="AD655">
        <f t="shared" si="374"/>
        <v>0</v>
      </c>
      <c r="AE655">
        <f t="shared" si="375"/>
        <v>0</v>
      </c>
      <c r="AF655">
        <f t="shared" si="376"/>
        <v>0</v>
      </c>
      <c r="AG655">
        <f t="shared" si="377"/>
        <v>0</v>
      </c>
      <c r="AH655">
        <f t="shared" si="378"/>
        <v>0</v>
      </c>
      <c r="AJ655">
        <f t="shared" si="379"/>
        <v>1239.01</v>
      </c>
      <c r="AK655">
        <f t="shared" si="380"/>
        <v>0</v>
      </c>
      <c r="AL655">
        <f t="shared" si="381"/>
        <v>0</v>
      </c>
      <c r="AM655">
        <f t="shared" si="382"/>
        <v>0</v>
      </c>
      <c r="AN655">
        <f t="shared" si="383"/>
        <v>0</v>
      </c>
      <c r="AO655">
        <f t="shared" si="384"/>
        <v>0</v>
      </c>
    </row>
    <row r="656" spans="1:41" x14ac:dyDescent="0.45">
      <c r="A656">
        <v>38.971498750000002</v>
      </c>
      <c r="B656">
        <v>117.5735025</v>
      </c>
      <c r="C656">
        <v>52.10093689</v>
      </c>
      <c r="D656">
        <v>0.35450800999999998</v>
      </c>
      <c r="E656">
        <f t="shared" si="350"/>
        <v>0.35450800999999998</v>
      </c>
      <c r="F656">
        <f t="shared" si="351"/>
        <v>0</v>
      </c>
      <c r="G656">
        <f t="shared" si="352"/>
        <v>0</v>
      </c>
      <c r="H656">
        <f t="shared" si="353"/>
        <v>0</v>
      </c>
      <c r="I656">
        <f t="shared" si="354"/>
        <v>0</v>
      </c>
      <c r="J656">
        <f t="shared" si="355"/>
        <v>0</v>
      </c>
      <c r="K656" s="1">
        <f t="shared" si="356"/>
        <v>0</v>
      </c>
      <c r="L656" s="1">
        <f t="shared" si="357"/>
        <v>0</v>
      </c>
      <c r="M656" s="1">
        <f t="shared" si="358"/>
        <v>0</v>
      </c>
      <c r="N656" s="1">
        <f t="shared" si="359"/>
        <v>0</v>
      </c>
      <c r="O656" s="1">
        <f t="shared" si="360"/>
        <v>0</v>
      </c>
      <c r="P656" s="1">
        <f t="shared" si="361"/>
        <v>25</v>
      </c>
      <c r="Q656" s="1" t="e">
        <f t="shared" si="362"/>
        <v>#DIV/0!</v>
      </c>
      <c r="R656" s="1" t="e">
        <f t="shared" si="363"/>
        <v>#DIV/0!</v>
      </c>
      <c r="S656" s="1" t="e">
        <f t="shared" si="364"/>
        <v>#DIV/0!</v>
      </c>
      <c r="T656" s="1" t="e">
        <f t="shared" si="365"/>
        <v>#DIV/0!</v>
      </c>
      <c r="U656" s="1" t="e">
        <f t="shared" si="366"/>
        <v>#DIV/0!</v>
      </c>
      <c r="V656">
        <f t="shared" si="367"/>
        <v>851.48</v>
      </c>
      <c r="W656">
        <f t="shared" si="368"/>
        <v>0</v>
      </c>
      <c r="X656">
        <f t="shared" si="369"/>
        <v>0</v>
      </c>
      <c r="Y656">
        <f t="shared" si="370"/>
        <v>0</v>
      </c>
      <c r="Z656">
        <f t="shared" si="371"/>
        <v>0</v>
      </c>
      <c r="AA656">
        <f t="shared" si="372"/>
        <v>0</v>
      </c>
      <c r="AC656">
        <f t="shared" si="373"/>
        <v>1045.25</v>
      </c>
      <c r="AD656">
        <f t="shared" si="374"/>
        <v>0</v>
      </c>
      <c r="AE656">
        <f t="shared" si="375"/>
        <v>0</v>
      </c>
      <c r="AF656">
        <f t="shared" si="376"/>
        <v>0</v>
      </c>
      <c r="AG656">
        <f t="shared" si="377"/>
        <v>0</v>
      </c>
      <c r="AH656">
        <f t="shared" si="378"/>
        <v>0</v>
      </c>
      <c r="AJ656">
        <f t="shared" si="379"/>
        <v>1239.01</v>
      </c>
      <c r="AK656">
        <f t="shared" si="380"/>
        <v>0</v>
      </c>
      <c r="AL656">
        <f t="shared" si="381"/>
        <v>0</v>
      </c>
      <c r="AM656">
        <f t="shared" si="382"/>
        <v>0</v>
      </c>
      <c r="AN656">
        <f t="shared" si="383"/>
        <v>0</v>
      </c>
      <c r="AO656">
        <f t="shared" si="384"/>
        <v>0</v>
      </c>
    </row>
    <row r="657" spans="1:41" x14ac:dyDescent="0.45">
      <c r="A657">
        <v>38.976898089999999</v>
      </c>
      <c r="B657">
        <v>119.35038849999999</v>
      </c>
      <c r="C657">
        <v>23.124250409999998</v>
      </c>
      <c r="D657">
        <v>3.29338408</v>
      </c>
      <c r="E657">
        <f t="shared" si="350"/>
        <v>3.29338408</v>
      </c>
      <c r="F657">
        <f t="shared" si="351"/>
        <v>0</v>
      </c>
      <c r="G657">
        <f t="shared" si="352"/>
        <v>0</v>
      </c>
      <c r="H657">
        <f t="shared" si="353"/>
        <v>0</v>
      </c>
      <c r="I657">
        <f t="shared" si="354"/>
        <v>0</v>
      </c>
      <c r="J657">
        <f t="shared" si="355"/>
        <v>0</v>
      </c>
      <c r="K657" s="1">
        <f t="shared" si="356"/>
        <v>0</v>
      </c>
      <c r="L657" s="1">
        <f t="shared" si="357"/>
        <v>0</v>
      </c>
      <c r="M657" s="1">
        <f t="shared" si="358"/>
        <v>0</v>
      </c>
      <c r="N657" s="1">
        <f t="shared" si="359"/>
        <v>0</v>
      </c>
      <c r="O657" s="1">
        <f t="shared" si="360"/>
        <v>0</v>
      </c>
      <c r="P657" s="1">
        <f t="shared" si="361"/>
        <v>25</v>
      </c>
      <c r="Q657" s="1" t="e">
        <f t="shared" si="362"/>
        <v>#DIV/0!</v>
      </c>
      <c r="R657" s="1" t="e">
        <f t="shared" si="363"/>
        <v>#DIV/0!</v>
      </c>
      <c r="S657" s="1" t="e">
        <f t="shared" si="364"/>
        <v>#DIV/0!</v>
      </c>
      <c r="T657" s="1" t="e">
        <f t="shared" si="365"/>
        <v>#DIV/0!</v>
      </c>
      <c r="U657" s="1" t="e">
        <f t="shared" si="366"/>
        <v>#DIV/0!</v>
      </c>
      <c r="V657">
        <f t="shared" si="367"/>
        <v>851.48</v>
      </c>
      <c r="W657">
        <f t="shared" si="368"/>
        <v>0</v>
      </c>
      <c r="X657">
        <f t="shared" si="369"/>
        <v>0</v>
      </c>
      <c r="Y657">
        <f t="shared" si="370"/>
        <v>0</v>
      </c>
      <c r="Z657">
        <f t="shared" si="371"/>
        <v>0</v>
      </c>
      <c r="AA657">
        <f t="shared" si="372"/>
        <v>0</v>
      </c>
      <c r="AC657">
        <f t="shared" si="373"/>
        <v>1045.25</v>
      </c>
      <c r="AD657">
        <f t="shared" si="374"/>
        <v>0</v>
      </c>
      <c r="AE657">
        <f t="shared" si="375"/>
        <v>0</v>
      </c>
      <c r="AF657">
        <f t="shared" si="376"/>
        <v>0</v>
      </c>
      <c r="AG657">
        <f t="shared" si="377"/>
        <v>0</v>
      </c>
      <c r="AH657">
        <f t="shared" si="378"/>
        <v>0</v>
      </c>
      <c r="AJ657">
        <f t="shared" si="379"/>
        <v>1239.01</v>
      </c>
      <c r="AK657">
        <f t="shared" si="380"/>
        <v>0</v>
      </c>
      <c r="AL657">
        <f t="shared" si="381"/>
        <v>0</v>
      </c>
      <c r="AM657">
        <f t="shared" si="382"/>
        <v>0</v>
      </c>
      <c r="AN657">
        <f t="shared" si="383"/>
        <v>0</v>
      </c>
      <c r="AO657">
        <f t="shared" si="384"/>
        <v>0</v>
      </c>
    </row>
    <row r="658" spans="1:41" x14ac:dyDescent="0.45">
      <c r="A658">
        <v>38.983181049999999</v>
      </c>
      <c r="B658">
        <v>119.2922288</v>
      </c>
      <c r="C658">
        <v>20.09473419</v>
      </c>
      <c r="D658">
        <v>3.028934</v>
      </c>
      <c r="E658">
        <f t="shared" si="350"/>
        <v>3.028934</v>
      </c>
      <c r="F658">
        <f t="shared" si="351"/>
        <v>0</v>
      </c>
      <c r="G658">
        <f t="shared" si="352"/>
        <v>0</v>
      </c>
      <c r="H658">
        <f t="shared" si="353"/>
        <v>0</v>
      </c>
      <c r="I658">
        <f t="shared" si="354"/>
        <v>0</v>
      </c>
      <c r="J658">
        <f t="shared" si="355"/>
        <v>0</v>
      </c>
      <c r="K658" s="1">
        <f t="shared" si="356"/>
        <v>0</v>
      </c>
      <c r="L658" s="1">
        <f t="shared" si="357"/>
        <v>0</v>
      </c>
      <c r="M658" s="1">
        <f t="shared" si="358"/>
        <v>0</v>
      </c>
      <c r="N658" s="1">
        <f t="shared" si="359"/>
        <v>0</v>
      </c>
      <c r="O658" s="1">
        <f t="shared" si="360"/>
        <v>0</v>
      </c>
      <c r="P658" s="1">
        <f t="shared" si="361"/>
        <v>25</v>
      </c>
      <c r="Q658" s="1" t="e">
        <f t="shared" si="362"/>
        <v>#DIV/0!</v>
      </c>
      <c r="R658" s="1" t="e">
        <f t="shared" si="363"/>
        <v>#DIV/0!</v>
      </c>
      <c r="S658" s="1" t="e">
        <f t="shared" si="364"/>
        <v>#DIV/0!</v>
      </c>
      <c r="T658" s="1" t="e">
        <f t="shared" si="365"/>
        <v>#DIV/0!</v>
      </c>
      <c r="U658" s="1" t="e">
        <f t="shared" si="366"/>
        <v>#DIV/0!</v>
      </c>
      <c r="V658">
        <f t="shared" si="367"/>
        <v>851.48</v>
      </c>
      <c r="W658">
        <f t="shared" si="368"/>
        <v>0</v>
      </c>
      <c r="X658">
        <f t="shared" si="369"/>
        <v>0</v>
      </c>
      <c r="Y658">
        <f t="shared" si="370"/>
        <v>0</v>
      </c>
      <c r="Z658">
        <f t="shared" si="371"/>
        <v>0</v>
      </c>
      <c r="AA658">
        <f t="shared" si="372"/>
        <v>0</v>
      </c>
      <c r="AC658">
        <f t="shared" si="373"/>
        <v>1045.25</v>
      </c>
      <c r="AD658">
        <f t="shared" si="374"/>
        <v>0</v>
      </c>
      <c r="AE658">
        <f t="shared" si="375"/>
        <v>0</v>
      </c>
      <c r="AF658">
        <f t="shared" si="376"/>
        <v>0</v>
      </c>
      <c r="AG658">
        <f t="shared" si="377"/>
        <v>0</v>
      </c>
      <c r="AH658">
        <f t="shared" si="378"/>
        <v>0</v>
      </c>
      <c r="AJ658">
        <f t="shared" si="379"/>
        <v>1239.01</v>
      </c>
      <c r="AK658">
        <f t="shared" si="380"/>
        <v>0</v>
      </c>
      <c r="AL658">
        <f t="shared" si="381"/>
        <v>0</v>
      </c>
      <c r="AM658">
        <f t="shared" si="382"/>
        <v>0</v>
      </c>
      <c r="AN658">
        <f t="shared" si="383"/>
        <v>0</v>
      </c>
      <c r="AO658">
        <f t="shared" si="384"/>
        <v>0</v>
      </c>
    </row>
    <row r="659" spans="1:41" x14ac:dyDescent="0.45">
      <c r="A659">
        <v>38.98399861</v>
      </c>
      <c r="B659">
        <v>119.7074188</v>
      </c>
      <c r="C659">
        <v>15.833525659999999</v>
      </c>
      <c r="D659">
        <v>4.8972258599999998</v>
      </c>
      <c r="E659">
        <f t="shared" si="350"/>
        <v>4.8972258599999998</v>
      </c>
      <c r="F659">
        <f t="shared" si="351"/>
        <v>0</v>
      </c>
      <c r="G659">
        <f t="shared" si="352"/>
        <v>0</v>
      </c>
      <c r="H659">
        <f t="shared" si="353"/>
        <v>0</v>
      </c>
      <c r="I659">
        <f t="shared" si="354"/>
        <v>0</v>
      </c>
      <c r="J659">
        <f t="shared" si="355"/>
        <v>0</v>
      </c>
      <c r="K659" s="1">
        <f t="shared" si="356"/>
        <v>0</v>
      </c>
      <c r="L659" s="1">
        <f t="shared" si="357"/>
        <v>0</v>
      </c>
      <c r="M659" s="1">
        <f t="shared" si="358"/>
        <v>0</v>
      </c>
      <c r="N659" s="1">
        <f t="shared" si="359"/>
        <v>0</v>
      </c>
      <c r="O659" s="1">
        <f t="shared" si="360"/>
        <v>0</v>
      </c>
      <c r="P659" s="1">
        <f t="shared" si="361"/>
        <v>25</v>
      </c>
      <c r="Q659" s="1" t="e">
        <f t="shared" si="362"/>
        <v>#DIV/0!</v>
      </c>
      <c r="R659" s="1" t="e">
        <f t="shared" si="363"/>
        <v>#DIV/0!</v>
      </c>
      <c r="S659" s="1" t="e">
        <f t="shared" si="364"/>
        <v>#DIV/0!</v>
      </c>
      <c r="T659" s="1" t="e">
        <f t="shared" si="365"/>
        <v>#DIV/0!</v>
      </c>
      <c r="U659" s="1" t="e">
        <f t="shared" si="366"/>
        <v>#DIV/0!</v>
      </c>
      <c r="V659">
        <f t="shared" si="367"/>
        <v>851.48</v>
      </c>
      <c r="W659">
        <f t="shared" si="368"/>
        <v>0</v>
      </c>
      <c r="X659">
        <f t="shared" si="369"/>
        <v>0</v>
      </c>
      <c r="Y659">
        <f t="shared" si="370"/>
        <v>0</v>
      </c>
      <c r="Z659">
        <f t="shared" si="371"/>
        <v>0</v>
      </c>
      <c r="AA659">
        <f t="shared" si="372"/>
        <v>0</v>
      </c>
      <c r="AC659">
        <f t="shared" si="373"/>
        <v>1045.25</v>
      </c>
      <c r="AD659">
        <f t="shared" si="374"/>
        <v>0</v>
      </c>
      <c r="AE659">
        <f t="shared" si="375"/>
        <v>0</v>
      </c>
      <c r="AF659">
        <f t="shared" si="376"/>
        <v>0</v>
      </c>
      <c r="AG659">
        <f t="shared" si="377"/>
        <v>0</v>
      </c>
      <c r="AH659">
        <f t="shared" si="378"/>
        <v>0</v>
      </c>
      <c r="AJ659">
        <f t="shared" si="379"/>
        <v>1239.01</v>
      </c>
      <c r="AK659">
        <f t="shared" si="380"/>
        <v>0</v>
      </c>
      <c r="AL659">
        <f t="shared" si="381"/>
        <v>0</v>
      </c>
      <c r="AM659">
        <f t="shared" si="382"/>
        <v>0</v>
      </c>
      <c r="AN659">
        <f t="shared" si="383"/>
        <v>0</v>
      </c>
      <c r="AO659">
        <f t="shared" si="384"/>
        <v>0</v>
      </c>
    </row>
    <row r="660" spans="1:41" x14ac:dyDescent="0.45">
      <c r="A660">
        <v>39.000679900000002</v>
      </c>
      <c r="B660">
        <v>118.22893449999999</v>
      </c>
      <c r="C660">
        <v>81.806549070000003</v>
      </c>
      <c r="D660">
        <v>174.67424009999999</v>
      </c>
      <c r="E660">
        <f t="shared" si="350"/>
        <v>81.806549070000003</v>
      </c>
      <c r="F660">
        <f t="shared" si="351"/>
        <v>0</v>
      </c>
      <c r="G660">
        <f t="shared" si="352"/>
        <v>0</v>
      </c>
      <c r="H660">
        <f t="shared" si="353"/>
        <v>0</v>
      </c>
      <c r="I660">
        <f t="shared" si="354"/>
        <v>0</v>
      </c>
      <c r="J660">
        <f t="shared" si="355"/>
        <v>0</v>
      </c>
      <c r="K660" s="1">
        <f t="shared" si="356"/>
        <v>0</v>
      </c>
      <c r="L660" s="1">
        <f t="shared" si="357"/>
        <v>0</v>
      </c>
      <c r="M660" s="1">
        <f t="shared" si="358"/>
        <v>0</v>
      </c>
      <c r="N660" s="1">
        <f t="shared" si="359"/>
        <v>0</v>
      </c>
      <c r="O660" s="1">
        <f t="shared" si="360"/>
        <v>0</v>
      </c>
      <c r="P660" s="1">
        <f t="shared" si="361"/>
        <v>11.708444963488352</v>
      </c>
      <c r="Q660" s="1" t="e">
        <f t="shared" si="362"/>
        <v>#DIV/0!</v>
      </c>
      <c r="R660" s="1" t="e">
        <f t="shared" si="363"/>
        <v>#DIV/0!</v>
      </c>
      <c r="S660" s="1" t="e">
        <f t="shared" si="364"/>
        <v>#DIV/0!</v>
      </c>
      <c r="T660" s="1" t="e">
        <f t="shared" si="365"/>
        <v>#DIV/0!</v>
      </c>
      <c r="U660" s="1" t="e">
        <f t="shared" si="366"/>
        <v>#DIV/0!</v>
      </c>
      <c r="V660">
        <f t="shared" si="367"/>
        <v>419.50446131337145</v>
      </c>
      <c r="W660">
        <f t="shared" si="368"/>
        <v>0</v>
      </c>
      <c r="X660">
        <f t="shared" si="369"/>
        <v>0</v>
      </c>
      <c r="Y660">
        <f t="shared" si="370"/>
        <v>0</v>
      </c>
      <c r="Z660">
        <f t="shared" si="371"/>
        <v>0</v>
      </c>
      <c r="AA660">
        <f t="shared" si="372"/>
        <v>0</v>
      </c>
      <c r="AC660">
        <f t="shared" si="373"/>
        <v>513.58779853953411</v>
      </c>
      <c r="AD660">
        <f t="shared" si="374"/>
        <v>0</v>
      </c>
      <c r="AE660">
        <f t="shared" si="375"/>
        <v>0</v>
      </c>
      <c r="AF660">
        <f t="shared" si="376"/>
        <v>0</v>
      </c>
      <c r="AG660">
        <f t="shared" si="377"/>
        <v>0</v>
      </c>
      <c r="AH660">
        <f t="shared" si="378"/>
        <v>0</v>
      </c>
      <c r="AJ660">
        <f t="shared" si="379"/>
        <v>607.66113576569671</v>
      </c>
      <c r="AK660">
        <f t="shared" si="380"/>
        <v>0</v>
      </c>
      <c r="AL660">
        <f t="shared" si="381"/>
        <v>0</v>
      </c>
      <c r="AM660">
        <f t="shared" si="382"/>
        <v>0</v>
      </c>
      <c r="AN660">
        <f t="shared" si="383"/>
        <v>0</v>
      </c>
      <c r="AO660">
        <f t="shared" si="384"/>
        <v>0</v>
      </c>
    </row>
    <row r="661" spans="1:41" x14ac:dyDescent="0.45">
      <c r="A661">
        <v>39.006436690000001</v>
      </c>
      <c r="B661">
        <v>118.1706674</v>
      </c>
      <c r="C661">
        <v>50.139499659999998</v>
      </c>
      <c r="D661">
        <v>1.95888996</v>
      </c>
      <c r="E661">
        <f t="shared" si="350"/>
        <v>1.95888996</v>
      </c>
      <c r="F661">
        <f t="shared" si="351"/>
        <v>0</v>
      </c>
      <c r="G661">
        <f t="shared" si="352"/>
        <v>0</v>
      </c>
      <c r="H661">
        <f t="shared" si="353"/>
        <v>0</v>
      </c>
      <c r="I661">
        <f t="shared" si="354"/>
        <v>0</v>
      </c>
      <c r="J661">
        <f t="shared" si="355"/>
        <v>0</v>
      </c>
      <c r="K661" s="1">
        <f t="shared" si="356"/>
        <v>0</v>
      </c>
      <c r="L661" s="1">
        <f t="shared" si="357"/>
        <v>0</v>
      </c>
      <c r="M661" s="1">
        <f t="shared" si="358"/>
        <v>0</v>
      </c>
      <c r="N661" s="1">
        <f t="shared" si="359"/>
        <v>0</v>
      </c>
      <c r="O661" s="1">
        <f t="shared" si="360"/>
        <v>0</v>
      </c>
      <c r="P661" s="1">
        <f t="shared" si="361"/>
        <v>25</v>
      </c>
      <c r="Q661" s="1" t="e">
        <f t="shared" si="362"/>
        <v>#DIV/0!</v>
      </c>
      <c r="R661" s="1" t="e">
        <f t="shared" si="363"/>
        <v>#DIV/0!</v>
      </c>
      <c r="S661" s="1" t="e">
        <f t="shared" si="364"/>
        <v>#DIV/0!</v>
      </c>
      <c r="T661" s="1" t="e">
        <f t="shared" si="365"/>
        <v>#DIV/0!</v>
      </c>
      <c r="U661" s="1" t="e">
        <f t="shared" si="366"/>
        <v>#DIV/0!</v>
      </c>
      <c r="V661">
        <f t="shared" si="367"/>
        <v>851.48</v>
      </c>
      <c r="W661">
        <f t="shared" si="368"/>
        <v>0</v>
      </c>
      <c r="X661">
        <f t="shared" si="369"/>
        <v>0</v>
      </c>
      <c r="Y661">
        <f t="shared" si="370"/>
        <v>0</v>
      </c>
      <c r="Z661">
        <f t="shared" si="371"/>
        <v>0</v>
      </c>
      <c r="AA661">
        <f t="shared" si="372"/>
        <v>0</v>
      </c>
      <c r="AC661">
        <f t="shared" si="373"/>
        <v>1045.25</v>
      </c>
      <c r="AD661">
        <f t="shared" si="374"/>
        <v>0</v>
      </c>
      <c r="AE661">
        <f t="shared" si="375"/>
        <v>0</v>
      </c>
      <c r="AF661">
        <f t="shared" si="376"/>
        <v>0</v>
      </c>
      <c r="AG661">
        <f t="shared" si="377"/>
        <v>0</v>
      </c>
      <c r="AH661">
        <f t="shared" si="378"/>
        <v>0</v>
      </c>
      <c r="AJ661">
        <f t="shared" si="379"/>
        <v>1239.01</v>
      </c>
      <c r="AK661">
        <f t="shared" si="380"/>
        <v>0</v>
      </c>
      <c r="AL661">
        <f t="shared" si="381"/>
        <v>0</v>
      </c>
      <c r="AM661">
        <f t="shared" si="382"/>
        <v>0</v>
      </c>
      <c r="AN661">
        <f t="shared" si="383"/>
        <v>0</v>
      </c>
      <c r="AO661">
        <f t="shared" si="384"/>
        <v>0</v>
      </c>
    </row>
    <row r="662" spans="1:41" x14ac:dyDescent="0.45">
      <c r="A662">
        <v>39.008039789999998</v>
      </c>
      <c r="B662">
        <v>119.0594938</v>
      </c>
      <c r="C662">
        <v>237.5028839</v>
      </c>
      <c r="D662">
        <v>0.24486100999999999</v>
      </c>
      <c r="E662">
        <f t="shared" si="350"/>
        <v>0.24486100999999999</v>
      </c>
      <c r="F662">
        <f t="shared" si="351"/>
        <v>0</v>
      </c>
      <c r="G662">
        <f t="shared" si="352"/>
        <v>0</v>
      </c>
      <c r="H662">
        <f t="shared" si="353"/>
        <v>0</v>
      </c>
      <c r="I662">
        <f t="shared" si="354"/>
        <v>0</v>
      </c>
      <c r="J662">
        <f t="shared" si="355"/>
        <v>0</v>
      </c>
      <c r="K662" s="1">
        <f t="shared" si="356"/>
        <v>0</v>
      </c>
      <c r="L662" s="1">
        <f t="shared" si="357"/>
        <v>0</v>
      </c>
      <c r="M662" s="1">
        <f t="shared" si="358"/>
        <v>0</v>
      </c>
      <c r="N662" s="1">
        <f t="shared" si="359"/>
        <v>0</v>
      </c>
      <c r="O662" s="1">
        <f t="shared" si="360"/>
        <v>0</v>
      </c>
      <c r="P662" s="1">
        <f t="shared" si="361"/>
        <v>25</v>
      </c>
      <c r="Q662" s="1" t="e">
        <f t="shared" si="362"/>
        <v>#DIV/0!</v>
      </c>
      <c r="R662" s="1" t="e">
        <f t="shared" si="363"/>
        <v>#DIV/0!</v>
      </c>
      <c r="S662" s="1" t="e">
        <f t="shared" si="364"/>
        <v>#DIV/0!</v>
      </c>
      <c r="T662" s="1" t="e">
        <f t="shared" si="365"/>
        <v>#DIV/0!</v>
      </c>
      <c r="U662" s="1" t="e">
        <f t="shared" si="366"/>
        <v>#DIV/0!</v>
      </c>
      <c r="V662">
        <f t="shared" si="367"/>
        <v>851.48</v>
      </c>
      <c r="W662">
        <f t="shared" si="368"/>
        <v>0</v>
      </c>
      <c r="X662">
        <f t="shared" si="369"/>
        <v>0</v>
      </c>
      <c r="Y662">
        <f t="shared" si="370"/>
        <v>0</v>
      </c>
      <c r="Z662">
        <f t="shared" si="371"/>
        <v>0</v>
      </c>
      <c r="AA662">
        <f t="shared" si="372"/>
        <v>0</v>
      </c>
      <c r="AC662">
        <f t="shared" si="373"/>
        <v>1045.25</v>
      </c>
      <c r="AD662">
        <f t="shared" si="374"/>
        <v>0</v>
      </c>
      <c r="AE662">
        <f t="shared" si="375"/>
        <v>0</v>
      </c>
      <c r="AF662">
        <f t="shared" si="376"/>
        <v>0</v>
      </c>
      <c r="AG662">
        <f t="shared" si="377"/>
        <v>0</v>
      </c>
      <c r="AH662">
        <f t="shared" si="378"/>
        <v>0</v>
      </c>
      <c r="AJ662">
        <f t="shared" si="379"/>
        <v>1239.01</v>
      </c>
      <c r="AK662">
        <f t="shared" si="380"/>
        <v>0</v>
      </c>
      <c r="AL662">
        <f t="shared" si="381"/>
        <v>0</v>
      </c>
      <c r="AM662">
        <f t="shared" si="382"/>
        <v>0</v>
      </c>
      <c r="AN662">
        <f t="shared" si="383"/>
        <v>0</v>
      </c>
      <c r="AO662">
        <f t="shared" si="384"/>
        <v>0</v>
      </c>
    </row>
    <row r="663" spans="1:41" x14ac:dyDescent="0.45">
      <c r="A663">
        <v>39.009635709999998</v>
      </c>
      <c r="B663">
        <v>119.4748189</v>
      </c>
      <c r="C663">
        <v>39.583812709999997</v>
      </c>
      <c r="D663">
        <v>0.48972300000000002</v>
      </c>
      <c r="E663">
        <f t="shared" si="350"/>
        <v>0.48972300000000002</v>
      </c>
      <c r="F663">
        <f t="shared" si="351"/>
        <v>0</v>
      </c>
      <c r="G663">
        <f t="shared" si="352"/>
        <v>0</v>
      </c>
      <c r="H663">
        <f t="shared" si="353"/>
        <v>0</v>
      </c>
      <c r="I663">
        <f t="shared" si="354"/>
        <v>0</v>
      </c>
      <c r="J663">
        <f t="shared" si="355"/>
        <v>0</v>
      </c>
      <c r="K663" s="1">
        <f t="shared" si="356"/>
        <v>0</v>
      </c>
      <c r="L663" s="1">
        <f t="shared" si="357"/>
        <v>0</v>
      </c>
      <c r="M663" s="1">
        <f t="shared" si="358"/>
        <v>0</v>
      </c>
      <c r="N663" s="1">
        <f t="shared" si="359"/>
        <v>0</v>
      </c>
      <c r="O663" s="1">
        <f t="shared" si="360"/>
        <v>0</v>
      </c>
      <c r="P663" s="1">
        <f t="shared" si="361"/>
        <v>25</v>
      </c>
      <c r="Q663" s="1" t="e">
        <f t="shared" si="362"/>
        <v>#DIV/0!</v>
      </c>
      <c r="R663" s="1" t="e">
        <f t="shared" si="363"/>
        <v>#DIV/0!</v>
      </c>
      <c r="S663" s="1" t="e">
        <f t="shared" si="364"/>
        <v>#DIV/0!</v>
      </c>
      <c r="T663" s="1" t="e">
        <f t="shared" si="365"/>
        <v>#DIV/0!</v>
      </c>
      <c r="U663" s="1" t="e">
        <f t="shared" si="366"/>
        <v>#DIV/0!</v>
      </c>
      <c r="V663">
        <f t="shared" si="367"/>
        <v>851.48</v>
      </c>
      <c r="W663">
        <f t="shared" si="368"/>
        <v>0</v>
      </c>
      <c r="X663">
        <f t="shared" si="369"/>
        <v>0</v>
      </c>
      <c r="Y663">
        <f t="shared" si="370"/>
        <v>0</v>
      </c>
      <c r="Z663">
        <f t="shared" si="371"/>
        <v>0</v>
      </c>
      <c r="AA663">
        <f t="shared" si="372"/>
        <v>0</v>
      </c>
      <c r="AC663">
        <f t="shared" si="373"/>
        <v>1045.25</v>
      </c>
      <c r="AD663">
        <f t="shared" si="374"/>
        <v>0</v>
      </c>
      <c r="AE663">
        <f t="shared" si="375"/>
        <v>0</v>
      </c>
      <c r="AF663">
        <f t="shared" si="376"/>
        <v>0</v>
      </c>
      <c r="AG663">
        <f t="shared" si="377"/>
        <v>0</v>
      </c>
      <c r="AH663">
        <f t="shared" si="378"/>
        <v>0</v>
      </c>
      <c r="AJ663">
        <f t="shared" si="379"/>
        <v>1239.01</v>
      </c>
      <c r="AK663">
        <f t="shared" si="380"/>
        <v>0</v>
      </c>
      <c r="AL663">
        <f t="shared" si="381"/>
        <v>0</v>
      </c>
      <c r="AM663">
        <f t="shared" si="382"/>
        <v>0</v>
      </c>
      <c r="AN663">
        <f t="shared" si="383"/>
        <v>0</v>
      </c>
      <c r="AO663">
        <f t="shared" si="384"/>
        <v>0</v>
      </c>
    </row>
    <row r="664" spans="1:41" x14ac:dyDescent="0.45">
      <c r="A664">
        <v>39.022451539999999</v>
      </c>
      <c r="B664">
        <v>117.522177</v>
      </c>
      <c r="C664">
        <v>52.10093689</v>
      </c>
      <c r="D664">
        <v>0.59090197</v>
      </c>
      <c r="E664">
        <f t="shared" si="350"/>
        <v>0.59090197</v>
      </c>
      <c r="F664">
        <f t="shared" si="351"/>
        <v>0</v>
      </c>
      <c r="G664">
        <f t="shared" si="352"/>
        <v>0</v>
      </c>
      <c r="H664">
        <f t="shared" si="353"/>
        <v>0</v>
      </c>
      <c r="I664">
        <f t="shared" si="354"/>
        <v>0</v>
      </c>
      <c r="J664">
        <f t="shared" si="355"/>
        <v>0</v>
      </c>
      <c r="K664" s="1">
        <f t="shared" si="356"/>
        <v>0</v>
      </c>
      <c r="L664" s="1">
        <f t="shared" si="357"/>
        <v>0</v>
      </c>
      <c r="M664" s="1">
        <f t="shared" si="358"/>
        <v>0</v>
      </c>
      <c r="N664" s="1">
        <f t="shared" si="359"/>
        <v>0</v>
      </c>
      <c r="O664" s="1">
        <f t="shared" si="360"/>
        <v>0</v>
      </c>
      <c r="P664" s="1">
        <f t="shared" si="361"/>
        <v>25</v>
      </c>
      <c r="Q664" s="1" t="e">
        <f t="shared" si="362"/>
        <v>#DIV/0!</v>
      </c>
      <c r="R664" s="1" t="e">
        <f t="shared" si="363"/>
        <v>#DIV/0!</v>
      </c>
      <c r="S664" s="1" t="e">
        <f t="shared" si="364"/>
        <v>#DIV/0!</v>
      </c>
      <c r="T664" s="1" t="e">
        <f t="shared" si="365"/>
        <v>#DIV/0!</v>
      </c>
      <c r="U664" s="1" t="e">
        <f t="shared" si="366"/>
        <v>#DIV/0!</v>
      </c>
      <c r="V664">
        <f t="shared" si="367"/>
        <v>851.48</v>
      </c>
      <c r="W664">
        <f t="shared" si="368"/>
        <v>0</v>
      </c>
      <c r="X664">
        <f t="shared" si="369"/>
        <v>0</v>
      </c>
      <c r="Y664">
        <f t="shared" si="370"/>
        <v>0</v>
      </c>
      <c r="Z664">
        <f t="shared" si="371"/>
        <v>0</v>
      </c>
      <c r="AA664">
        <f t="shared" si="372"/>
        <v>0</v>
      </c>
      <c r="AC664">
        <f t="shared" si="373"/>
        <v>1045.25</v>
      </c>
      <c r="AD664">
        <f t="shared" si="374"/>
        <v>0</v>
      </c>
      <c r="AE664">
        <f t="shared" si="375"/>
        <v>0</v>
      </c>
      <c r="AF664">
        <f t="shared" si="376"/>
        <v>0</v>
      </c>
      <c r="AG664">
        <f t="shared" si="377"/>
        <v>0</v>
      </c>
      <c r="AH664">
        <f t="shared" si="378"/>
        <v>0</v>
      </c>
      <c r="AJ664">
        <f t="shared" si="379"/>
        <v>1239.01</v>
      </c>
      <c r="AK664">
        <f t="shared" si="380"/>
        <v>0</v>
      </c>
      <c r="AL664">
        <f t="shared" si="381"/>
        <v>0</v>
      </c>
      <c r="AM664">
        <f t="shared" si="382"/>
        <v>0</v>
      </c>
      <c r="AN664">
        <f t="shared" si="383"/>
        <v>0</v>
      </c>
      <c r="AO664">
        <f t="shared" si="384"/>
        <v>0</v>
      </c>
    </row>
    <row r="665" spans="1:41" x14ac:dyDescent="0.45">
      <c r="A665">
        <v>39.038498330000003</v>
      </c>
      <c r="B665">
        <v>118.768362</v>
      </c>
      <c r="C665">
        <v>8.4687528600000004</v>
      </c>
      <c r="D665">
        <v>6.3478097900000003</v>
      </c>
      <c r="E665">
        <f t="shared" si="350"/>
        <v>6.3478097900000003</v>
      </c>
      <c r="F665">
        <f t="shared" si="351"/>
        <v>0</v>
      </c>
      <c r="G665">
        <f t="shared" si="352"/>
        <v>0</v>
      </c>
      <c r="H665">
        <f t="shared" si="353"/>
        <v>0</v>
      </c>
      <c r="I665">
        <f t="shared" si="354"/>
        <v>0</v>
      </c>
      <c r="J665">
        <f t="shared" si="355"/>
        <v>0</v>
      </c>
      <c r="K665" s="1">
        <f t="shared" si="356"/>
        <v>0</v>
      </c>
      <c r="L665" s="1">
        <f t="shared" si="357"/>
        <v>0</v>
      </c>
      <c r="M665" s="1">
        <f t="shared" si="358"/>
        <v>0</v>
      </c>
      <c r="N665" s="1">
        <f t="shared" si="359"/>
        <v>0</v>
      </c>
      <c r="O665" s="1">
        <f t="shared" si="360"/>
        <v>0</v>
      </c>
      <c r="P665" s="1">
        <f t="shared" si="361"/>
        <v>25</v>
      </c>
      <c r="Q665" s="1" t="e">
        <f t="shared" si="362"/>
        <v>#DIV/0!</v>
      </c>
      <c r="R665" s="1" t="e">
        <f t="shared" si="363"/>
        <v>#DIV/0!</v>
      </c>
      <c r="S665" s="1" t="e">
        <f t="shared" si="364"/>
        <v>#DIV/0!</v>
      </c>
      <c r="T665" s="1" t="e">
        <f t="shared" si="365"/>
        <v>#DIV/0!</v>
      </c>
      <c r="U665" s="1" t="e">
        <f t="shared" si="366"/>
        <v>#DIV/0!</v>
      </c>
      <c r="V665">
        <f t="shared" si="367"/>
        <v>851.48</v>
      </c>
      <c r="W665">
        <f t="shared" si="368"/>
        <v>0</v>
      </c>
      <c r="X665">
        <f t="shared" si="369"/>
        <v>0</v>
      </c>
      <c r="Y665">
        <f t="shared" si="370"/>
        <v>0</v>
      </c>
      <c r="Z665">
        <f t="shared" si="371"/>
        <v>0</v>
      </c>
      <c r="AA665">
        <f t="shared" si="372"/>
        <v>0</v>
      </c>
      <c r="AC665">
        <f t="shared" si="373"/>
        <v>1045.25</v>
      </c>
      <c r="AD665">
        <f t="shared" si="374"/>
        <v>0</v>
      </c>
      <c r="AE665">
        <f t="shared" si="375"/>
        <v>0</v>
      </c>
      <c r="AF665">
        <f t="shared" si="376"/>
        <v>0</v>
      </c>
      <c r="AG665">
        <f t="shared" si="377"/>
        <v>0</v>
      </c>
      <c r="AH665">
        <f t="shared" si="378"/>
        <v>0</v>
      </c>
      <c r="AJ665">
        <f t="shared" si="379"/>
        <v>1239.01</v>
      </c>
      <c r="AK665">
        <f t="shared" si="380"/>
        <v>0</v>
      </c>
      <c r="AL665">
        <f t="shared" si="381"/>
        <v>0</v>
      </c>
      <c r="AM665">
        <f t="shared" si="382"/>
        <v>0</v>
      </c>
      <c r="AN665">
        <f t="shared" si="383"/>
        <v>0</v>
      </c>
      <c r="AO665">
        <f t="shared" si="384"/>
        <v>0</v>
      </c>
    </row>
    <row r="666" spans="1:41" x14ac:dyDescent="0.45">
      <c r="A666">
        <v>39.060402160000002</v>
      </c>
      <c r="B666">
        <v>116.5814072</v>
      </c>
      <c r="C666">
        <v>53.31973267</v>
      </c>
      <c r="D666">
        <v>0.73336500000000004</v>
      </c>
      <c r="E666">
        <f t="shared" si="350"/>
        <v>0.73336500000000004</v>
      </c>
      <c r="F666">
        <f t="shared" si="351"/>
        <v>0</v>
      </c>
      <c r="G666">
        <f t="shared" si="352"/>
        <v>0</v>
      </c>
      <c r="H666">
        <f t="shared" si="353"/>
        <v>0</v>
      </c>
      <c r="I666">
        <f t="shared" si="354"/>
        <v>0</v>
      </c>
      <c r="J666">
        <f t="shared" si="355"/>
        <v>0</v>
      </c>
      <c r="K666" s="1">
        <f t="shared" si="356"/>
        <v>0</v>
      </c>
      <c r="L666" s="1">
        <f t="shared" si="357"/>
        <v>0</v>
      </c>
      <c r="M666" s="1">
        <f t="shared" si="358"/>
        <v>0</v>
      </c>
      <c r="N666" s="1">
        <f t="shared" si="359"/>
        <v>0</v>
      </c>
      <c r="O666" s="1">
        <f t="shared" si="360"/>
        <v>0</v>
      </c>
      <c r="P666" s="1">
        <f t="shared" si="361"/>
        <v>25</v>
      </c>
      <c r="Q666" s="1" t="e">
        <f t="shared" si="362"/>
        <v>#DIV/0!</v>
      </c>
      <c r="R666" s="1" t="e">
        <f t="shared" si="363"/>
        <v>#DIV/0!</v>
      </c>
      <c r="S666" s="1" t="e">
        <f t="shared" si="364"/>
        <v>#DIV/0!</v>
      </c>
      <c r="T666" s="1" t="e">
        <f t="shared" si="365"/>
        <v>#DIV/0!</v>
      </c>
      <c r="U666" s="1" t="e">
        <f t="shared" si="366"/>
        <v>#DIV/0!</v>
      </c>
      <c r="V666">
        <f t="shared" si="367"/>
        <v>851.48</v>
      </c>
      <c r="W666">
        <f t="shared" si="368"/>
        <v>0</v>
      </c>
      <c r="X666">
        <f t="shared" si="369"/>
        <v>0</v>
      </c>
      <c r="Y666">
        <f t="shared" si="370"/>
        <v>0</v>
      </c>
      <c r="Z666">
        <f t="shared" si="371"/>
        <v>0</v>
      </c>
      <c r="AA666">
        <f t="shared" si="372"/>
        <v>0</v>
      </c>
      <c r="AC666">
        <f t="shared" si="373"/>
        <v>1045.25</v>
      </c>
      <c r="AD666">
        <f t="shared" si="374"/>
        <v>0</v>
      </c>
      <c r="AE666">
        <f t="shared" si="375"/>
        <v>0</v>
      </c>
      <c r="AF666">
        <f t="shared" si="376"/>
        <v>0</v>
      </c>
      <c r="AG666">
        <f t="shared" si="377"/>
        <v>0</v>
      </c>
      <c r="AH666">
        <f t="shared" si="378"/>
        <v>0</v>
      </c>
      <c r="AJ666">
        <f t="shared" si="379"/>
        <v>1239.01</v>
      </c>
      <c r="AK666">
        <f t="shared" si="380"/>
        <v>0</v>
      </c>
      <c r="AL666">
        <f t="shared" si="381"/>
        <v>0</v>
      </c>
      <c r="AM666">
        <f t="shared" si="382"/>
        <v>0</v>
      </c>
      <c r="AN666">
        <f t="shared" si="383"/>
        <v>0</v>
      </c>
      <c r="AO666">
        <f t="shared" si="384"/>
        <v>0</v>
      </c>
    </row>
    <row r="667" spans="1:41" x14ac:dyDescent="0.45">
      <c r="A667">
        <v>39.065721709999998</v>
      </c>
      <c r="B667">
        <v>118.9509006</v>
      </c>
      <c r="C667">
        <v>14.14985371</v>
      </c>
      <c r="D667">
        <v>16.324619290000001</v>
      </c>
      <c r="E667">
        <f t="shared" si="350"/>
        <v>14.14985371</v>
      </c>
      <c r="F667">
        <f t="shared" si="351"/>
        <v>0</v>
      </c>
      <c r="G667">
        <f t="shared" si="352"/>
        <v>0</v>
      </c>
      <c r="H667">
        <f t="shared" si="353"/>
        <v>0</v>
      </c>
      <c r="I667">
        <f t="shared" si="354"/>
        <v>0</v>
      </c>
      <c r="J667">
        <f t="shared" si="355"/>
        <v>0</v>
      </c>
      <c r="K667" s="1">
        <f t="shared" si="356"/>
        <v>0</v>
      </c>
      <c r="L667" s="1">
        <f t="shared" si="357"/>
        <v>0</v>
      </c>
      <c r="M667" s="1">
        <f t="shared" si="358"/>
        <v>0</v>
      </c>
      <c r="N667" s="1">
        <f t="shared" si="359"/>
        <v>0</v>
      </c>
      <c r="O667" s="1">
        <f t="shared" si="360"/>
        <v>0</v>
      </c>
      <c r="P667" s="1">
        <f t="shared" si="361"/>
        <v>21.669500309063562</v>
      </c>
      <c r="Q667" s="1" t="e">
        <f t="shared" si="362"/>
        <v>#DIV/0!</v>
      </c>
      <c r="R667" s="1" t="e">
        <f t="shared" si="363"/>
        <v>#DIV/0!</v>
      </c>
      <c r="S667" s="1" t="e">
        <f t="shared" si="364"/>
        <v>#DIV/0!</v>
      </c>
      <c r="T667" s="1" t="e">
        <f t="shared" si="365"/>
        <v>#DIV/0!</v>
      </c>
      <c r="U667" s="1" t="e">
        <f t="shared" si="366"/>
        <v>#DIV/0!</v>
      </c>
      <c r="V667">
        <f t="shared" si="367"/>
        <v>743.23876004456577</v>
      </c>
      <c r="W667">
        <f t="shared" si="368"/>
        <v>0</v>
      </c>
      <c r="X667">
        <f t="shared" si="369"/>
        <v>0</v>
      </c>
      <c r="Y667">
        <f t="shared" si="370"/>
        <v>0</v>
      </c>
      <c r="Z667">
        <f t="shared" si="371"/>
        <v>0</v>
      </c>
      <c r="AA667">
        <f t="shared" si="372"/>
        <v>0</v>
      </c>
      <c r="AC667">
        <f t="shared" si="373"/>
        <v>912.03001236254249</v>
      </c>
      <c r="AD667">
        <f t="shared" si="374"/>
        <v>0</v>
      </c>
      <c r="AE667">
        <f t="shared" si="375"/>
        <v>0</v>
      </c>
      <c r="AF667">
        <f t="shared" si="376"/>
        <v>0</v>
      </c>
      <c r="AG667">
        <f t="shared" si="377"/>
        <v>0</v>
      </c>
      <c r="AH667">
        <f t="shared" si="378"/>
        <v>0</v>
      </c>
      <c r="AJ667">
        <f t="shared" si="379"/>
        <v>1080.8112646805191</v>
      </c>
      <c r="AK667">
        <f t="shared" si="380"/>
        <v>0</v>
      </c>
      <c r="AL667">
        <f t="shared" si="381"/>
        <v>0</v>
      </c>
      <c r="AM667">
        <f t="shared" si="382"/>
        <v>0</v>
      </c>
      <c r="AN667">
        <f t="shared" si="383"/>
        <v>0</v>
      </c>
      <c r="AO667">
        <f t="shared" si="384"/>
        <v>0</v>
      </c>
    </row>
    <row r="668" spans="1:41" x14ac:dyDescent="0.45">
      <c r="A668">
        <v>39.091599739999999</v>
      </c>
      <c r="B668">
        <v>118.2437427</v>
      </c>
      <c r="C668">
        <v>8.4687528600000004</v>
      </c>
      <c r="D668">
        <v>5.9163E-2</v>
      </c>
      <c r="E668">
        <f t="shared" si="350"/>
        <v>5.9163E-2</v>
      </c>
      <c r="F668">
        <f t="shared" si="351"/>
        <v>0</v>
      </c>
      <c r="G668">
        <f t="shared" si="352"/>
        <v>0</v>
      </c>
      <c r="H668">
        <f t="shared" si="353"/>
        <v>0</v>
      </c>
      <c r="I668">
        <f t="shared" si="354"/>
        <v>0</v>
      </c>
      <c r="J668">
        <f t="shared" si="355"/>
        <v>0</v>
      </c>
      <c r="K668" s="1">
        <f t="shared" si="356"/>
        <v>0</v>
      </c>
      <c r="L668" s="1">
        <f t="shared" si="357"/>
        <v>0</v>
      </c>
      <c r="M668" s="1">
        <f t="shared" si="358"/>
        <v>0</v>
      </c>
      <c r="N668" s="1">
        <f t="shared" si="359"/>
        <v>0</v>
      </c>
      <c r="O668" s="1">
        <f t="shared" si="360"/>
        <v>0</v>
      </c>
      <c r="P668" s="1">
        <f t="shared" si="361"/>
        <v>25</v>
      </c>
      <c r="Q668" s="1" t="e">
        <f t="shared" si="362"/>
        <v>#DIV/0!</v>
      </c>
      <c r="R668" s="1" t="e">
        <f t="shared" si="363"/>
        <v>#DIV/0!</v>
      </c>
      <c r="S668" s="1" t="e">
        <f t="shared" si="364"/>
        <v>#DIV/0!</v>
      </c>
      <c r="T668" s="1" t="e">
        <f t="shared" si="365"/>
        <v>#DIV/0!</v>
      </c>
      <c r="U668" s="1" t="e">
        <f t="shared" si="366"/>
        <v>#DIV/0!</v>
      </c>
      <c r="V668">
        <f t="shared" si="367"/>
        <v>851.48</v>
      </c>
      <c r="W668">
        <f t="shared" si="368"/>
        <v>0</v>
      </c>
      <c r="X668">
        <f t="shared" si="369"/>
        <v>0</v>
      </c>
      <c r="Y668">
        <f t="shared" si="370"/>
        <v>0</v>
      </c>
      <c r="Z668">
        <f t="shared" si="371"/>
        <v>0</v>
      </c>
      <c r="AA668">
        <f t="shared" si="372"/>
        <v>0</v>
      </c>
      <c r="AC668">
        <f t="shared" si="373"/>
        <v>1045.25</v>
      </c>
      <c r="AD668">
        <f t="shared" si="374"/>
        <v>0</v>
      </c>
      <c r="AE668">
        <f t="shared" si="375"/>
        <v>0</v>
      </c>
      <c r="AF668">
        <f t="shared" si="376"/>
        <v>0</v>
      </c>
      <c r="AG668">
        <f t="shared" si="377"/>
        <v>0</v>
      </c>
      <c r="AH668">
        <f t="shared" si="378"/>
        <v>0</v>
      </c>
      <c r="AJ668">
        <f t="shared" si="379"/>
        <v>1239.01</v>
      </c>
      <c r="AK668">
        <f t="shared" si="380"/>
        <v>0</v>
      </c>
      <c r="AL668">
        <f t="shared" si="381"/>
        <v>0</v>
      </c>
      <c r="AM668">
        <f t="shared" si="382"/>
        <v>0</v>
      </c>
      <c r="AN668">
        <f t="shared" si="383"/>
        <v>0</v>
      </c>
      <c r="AO668">
        <f t="shared" si="384"/>
        <v>0</v>
      </c>
    </row>
    <row r="669" spans="1:41" x14ac:dyDescent="0.45">
      <c r="A669">
        <v>39.094700709999998</v>
      </c>
      <c r="B669">
        <v>116.1722365</v>
      </c>
      <c r="C669">
        <v>53.31973267</v>
      </c>
      <c r="D669">
        <v>24.03002167</v>
      </c>
      <c r="E669">
        <f t="shared" si="350"/>
        <v>24.03002167</v>
      </c>
      <c r="F669">
        <f t="shared" si="351"/>
        <v>0</v>
      </c>
      <c r="G669">
        <f t="shared" si="352"/>
        <v>0</v>
      </c>
      <c r="H669">
        <f t="shared" si="353"/>
        <v>0</v>
      </c>
      <c r="I669">
        <f t="shared" si="354"/>
        <v>0</v>
      </c>
      <c r="J669">
        <f t="shared" si="355"/>
        <v>0</v>
      </c>
      <c r="K669" s="1">
        <f t="shared" si="356"/>
        <v>0</v>
      </c>
      <c r="L669" s="1">
        <f t="shared" si="357"/>
        <v>0</v>
      </c>
      <c r="M669" s="1">
        <f t="shared" si="358"/>
        <v>0</v>
      </c>
      <c r="N669" s="1">
        <f t="shared" si="359"/>
        <v>0</v>
      </c>
      <c r="O669" s="1">
        <f t="shared" si="360"/>
        <v>0</v>
      </c>
      <c r="P669" s="1">
        <f t="shared" si="361"/>
        <v>25</v>
      </c>
      <c r="Q669" s="1" t="e">
        <f t="shared" si="362"/>
        <v>#DIV/0!</v>
      </c>
      <c r="R669" s="1" t="e">
        <f t="shared" si="363"/>
        <v>#DIV/0!</v>
      </c>
      <c r="S669" s="1" t="e">
        <f t="shared" si="364"/>
        <v>#DIV/0!</v>
      </c>
      <c r="T669" s="1" t="e">
        <f t="shared" si="365"/>
        <v>#DIV/0!</v>
      </c>
      <c r="U669" s="1" t="e">
        <f t="shared" si="366"/>
        <v>#DIV/0!</v>
      </c>
      <c r="V669">
        <f t="shared" si="367"/>
        <v>851.48</v>
      </c>
      <c r="W669">
        <f t="shared" si="368"/>
        <v>0</v>
      </c>
      <c r="X669">
        <f t="shared" si="369"/>
        <v>0</v>
      </c>
      <c r="Y669">
        <f t="shared" si="370"/>
        <v>0</v>
      </c>
      <c r="Z669">
        <f t="shared" si="371"/>
        <v>0</v>
      </c>
      <c r="AA669">
        <f t="shared" si="372"/>
        <v>0</v>
      </c>
      <c r="AC669">
        <f t="shared" si="373"/>
        <v>1045.25</v>
      </c>
      <c r="AD669">
        <f t="shared" si="374"/>
        <v>0</v>
      </c>
      <c r="AE669">
        <f t="shared" si="375"/>
        <v>0</v>
      </c>
      <c r="AF669">
        <f t="shared" si="376"/>
        <v>0</v>
      </c>
      <c r="AG669">
        <f t="shared" si="377"/>
        <v>0</v>
      </c>
      <c r="AH669">
        <f t="shared" si="378"/>
        <v>0</v>
      </c>
      <c r="AJ669">
        <f t="shared" si="379"/>
        <v>1239.01</v>
      </c>
      <c r="AK669">
        <f t="shared" si="380"/>
        <v>0</v>
      </c>
      <c r="AL669">
        <f t="shared" si="381"/>
        <v>0</v>
      </c>
      <c r="AM669">
        <f t="shared" si="382"/>
        <v>0</v>
      </c>
      <c r="AN669">
        <f t="shared" si="383"/>
        <v>0</v>
      </c>
      <c r="AO669">
        <f t="shared" si="384"/>
        <v>0</v>
      </c>
    </row>
    <row r="670" spans="1:41" x14ac:dyDescent="0.45">
      <c r="A670">
        <v>39.100549610000002</v>
      </c>
      <c r="B670">
        <v>119.9069626</v>
      </c>
      <c r="C670">
        <v>36.944892879999998</v>
      </c>
      <c r="D670">
        <v>4.162642</v>
      </c>
      <c r="E670">
        <f t="shared" si="350"/>
        <v>4.162642</v>
      </c>
      <c r="F670">
        <f t="shared" si="351"/>
        <v>0</v>
      </c>
      <c r="G670">
        <f t="shared" si="352"/>
        <v>0</v>
      </c>
      <c r="H670">
        <f t="shared" si="353"/>
        <v>0</v>
      </c>
      <c r="I670">
        <f t="shared" si="354"/>
        <v>0</v>
      </c>
      <c r="J670">
        <f t="shared" si="355"/>
        <v>0</v>
      </c>
      <c r="K670" s="1">
        <f t="shared" si="356"/>
        <v>0</v>
      </c>
      <c r="L670" s="1">
        <f t="shared" si="357"/>
        <v>0</v>
      </c>
      <c r="M670" s="1">
        <f t="shared" si="358"/>
        <v>0</v>
      </c>
      <c r="N670" s="1">
        <f t="shared" si="359"/>
        <v>0</v>
      </c>
      <c r="O670" s="1">
        <f t="shared" si="360"/>
        <v>0</v>
      </c>
      <c r="P670" s="1">
        <f t="shared" si="361"/>
        <v>25</v>
      </c>
      <c r="Q670" s="1" t="e">
        <f t="shared" si="362"/>
        <v>#DIV/0!</v>
      </c>
      <c r="R670" s="1" t="e">
        <f t="shared" si="363"/>
        <v>#DIV/0!</v>
      </c>
      <c r="S670" s="1" t="e">
        <f t="shared" si="364"/>
        <v>#DIV/0!</v>
      </c>
      <c r="T670" s="1" t="e">
        <f t="shared" si="365"/>
        <v>#DIV/0!</v>
      </c>
      <c r="U670" s="1" t="e">
        <f t="shared" si="366"/>
        <v>#DIV/0!</v>
      </c>
      <c r="V670">
        <f t="shared" si="367"/>
        <v>851.48</v>
      </c>
      <c r="W670">
        <f t="shared" si="368"/>
        <v>0</v>
      </c>
      <c r="X670">
        <f t="shared" si="369"/>
        <v>0</v>
      </c>
      <c r="Y670">
        <f t="shared" si="370"/>
        <v>0</v>
      </c>
      <c r="Z670">
        <f t="shared" si="371"/>
        <v>0</v>
      </c>
      <c r="AA670">
        <f t="shared" si="372"/>
        <v>0</v>
      </c>
      <c r="AC670">
        <f t="shared" si="373"/>
        <v>1045.25</v>
      </c>
      <c r="AD670">
        <f t="shared" si="374"/>
        <v>0</v>
      </c>
      <c r="AE670">
        <f t="shared" si="375"/>
        <v>0</v>
      </c>
      <c r="AF670">
        <f t="shared" si="376"/>
        <v>0</v>
      </c>
      <c r="AG670">
        <f t="shared" si="377"/>
        <v>0</v>
      </c>
      <c r="AH670">
        <f t="shared" si="378"/>
        <v>0</v>
      </c>
      <c r="AJ670">
        <f t="shared" si="379"/>
        <v>1239.01</v>
      </c>
      <c r="AK670">
        <f t="shared" si="380"/>
        <v>0</v>
      </c>
      <c r="AL670">
        <f t="shared" si="381"/>
        <v>0</v>
      </c>
      <c r="AM670">
        <f t="shared" si="382"/>
        <v>0</v>
      </c>
      <c r="AN670">
        <f t="shared" si="383"/>
        <v>0</v>
      </c>
      <c r="AO670">
        <f t="shared" si="384"/>
        <v>0</v>
      </c>
    </row>
    <row r="671" spans="1:41" x14ac:dyDescent="0.45">
      <c r="A671">
        <v>39.106746649999998</v>
      </c>
      <c r="B671">
        <v>119.4328852</v>
      </c>
      <c r="C671">
        <v>39.583812709999997</v>
      </c>
      <c r="D671">
        <v>0.48972300000000002</v>
      </c>
      <c r="E671">
        <f t="shared" si="350"/>
        <v>0.48972300000000002</v>
      </c>
      <c r="F671">
        <f t="shared" si="351"/>
        <v>0</v>
      </c>
      <c r="G671">
        <f t="shared" si="352"/>
        <v>0</v>
      </c>
      <c r="H671">
        <f t="shared" si="353"/>
        <v>0</v>
      </c>
      <c r="I671">
        <f t="shared" si="354"/>
        <v>0</v>
      </c>
      <c r="J671">
        <f t="shared" si="355"/>
        <v>0</v>
      </c>
      <c r="K671" s="1">
        <f t="shared" si="356"/>
        <v>0</v>
      </c>
      <c r="L671" s="1">
        <f t="shared" si="357"/>
        <v>0</v>
      </c>
      <c r="M671" s="1">
        <f t="shared" si="358"/>
        <v>0</v>
      </c>
      <c r="N671" s="1">
        <f t="shared" si="359"/>
        <v>0</v>
      </c>
      <c r="O671" s="1">
        <f t="shared" si="360"/>
        <v>0</v>
      </c>
      <c r="P671" s="1">
        <f t="shared" si="361"/>
        <v>25</v>
      </c>
      <c r="Q671" s="1" t="e">
        <f t="shared" si="362"/>
        <v>#DIV/0!</v>
      </c>
      <c r="R671" s="1" t="e">
        <f t="shared" si="363"/>
        <v>#DIV/0!</v>
      </c>
      <c r="S671" s="1" t="e">
        <f t="shared" si="364"/>
        <v>#DIV/0!</v>
      </c>
      <c r="T671" s="1" t="e">
        <f t="shared" si="365"/>
        <v>#DIV/0!</v>
      </c>
      <c r="U671" s="1" t="e">
        <f t="shared" si="366"/>
        <v>#DIV/0!</v>
      </c>
      <c r="V671">
        <f t="shared" si="367"/>
        <v>851.48</v>
      </c>
      <c r="W671">
        <f t="shared" si="368"/>
        <v>0</v>
      </c>
      <c r="X671">
        <f t="shared" si="369"/>
        <v>0</v>
      </c>
      <c r="Y671">
        <f t="shared" si="370"/>
        <v>0</v>
      </c>
      <c r="Z671">
        <f t="shared" si="371"/>
        <v>0</v>
      </c>
      <c r="AA671">
        <f t="shared" si="372"/>
        <v>0</v>
      </c>
      <c r="AC671">
        <f t="shared" si="373"/>
        <v>1045.25</v>
      </c>
      <c r="AD671">
        <f t="shared" si="374"/>
        <v>0</v>
      </c>
      <c r="AE671">
        <f t="shared" si="375"/>
        <v>0</v>
      </c>
      <c r="AF671">
        <f t="shared" si="376"/>
        <v>0</v>
      </c>
      <c r="AG671">
        <f t="shared" si="377"/>
        <v>0</v>
      </c>
      <c r="AH671">
        <f t="shared" si="378"/>
        <v>0</v>
      </c>
      <c r="AJ671">
        <f t="shared" si="379"/>
        <v>1239.01</v>
      </c>
      <c r="AK671">
        <f t="shared" si="380"/>
        <v>0</v>
      </c>
      <c r="AL671">
        <f t="shared" si="381"/>
        <v>0</v>
      </c>
      <c r="AM671">
        <f t="shared" si="382"/>
        <v>0</v>
      </c>
      <c r="AN671">
        <f t="shared" si="383"/>
        <v>0</v>
      </c>
      <c r="AO671">
        <f t="shared" si="384"/>
        <v>0</v>
      </c>
    </row>
    <row r="672" spans="1:41" x14ac:dyDescent="0.45">
      <c r="A672">
        <v>39.113067399999998</v>
      </c>
      <c r="B672">
        <v>119.3746323</v>
      </c>
      <c r="C672">
        <v>39.583812709999997</v>
      </c>
      <c r="D672">
        <v>12.51241207</v>
      </c>
      <c r="E672">
        <f t="shared" si="350"/>
        <v>12.51241207</v>
      </c>
      <c r="F672">
        <f t="shared" si="351"/>
        <v>0</v>
      </c>
      <c r="G672">
        <f t="shared" si="352"/>
        <v>0</v>
      </c>
      <c r="H672">
        <f t="shared" si="353"/>
        <v>0</v>
      </c>
      <c r="I672">
        <f t="shared" si="354"/>
        <v>0</v>
      </c>
      <c r="J672">
        <f t="shared" si="355"/>
        <v>0</v>
      </c>
      <c r="K672" s="1">
        <f t="shared" si="356"/>
        <v>0</v>
      </c>
      <c r="L672" s="1">
        <f t="shared" si="357"/>
        <v>0</v>
      </c>
      <c r="M672" s="1">
        <f t="shared" si="358"/>
        <v>0</v>
      </c>
      <c r="N672" s="1">
        <f t="shared" si="359"/>
        <v>0</v>
      </c>
      <c r="O672" s="1">
        <f t="shared" si="360"/>
        <v>0</v>
      </c>
      <c r="P672" s="1">
        <f t="shared" si="361"/>
        <v>25</v>
      </c>
      <c r="Q672" s="1" t="e">
        <f t="shared" si="362"/>
        <v>#DIV/0!</v>
      </c>
      <c r="R672" s="1" t="e">
        <f t="shared" si="363"/>
        <v>#DIV/0!</v>
      </c>
      <c r="S672" s="1" t="e">
        <f t="shared" si="364"/>
        <v>#DIV/0!</v>
      </c>
      <c r="T672" s="1" t="e">
        <f t="shared" si="365"/>
        <v>#DIV/0!</v>
      </c>
      <c r="U672" s="1" t="e">
        <f t="shared" si="366"/>
        <v>#DIV/0!</v>
      </c>
      <c r="V672">
        <f t="shared" si="367"/>
        <v>851.48</v>
      </c>
      <c r="W672">
        <f t="shared" si="368"/>
        <v>0</v>
      </c>
      <c r="X672">
        <f t="shared" si="369"/>
        <v>0</v>
      </c>
      <c r="Y672">
        <f t="shared" si="370"/>
        <v>0</v>
      </c>
      <c r="Z672">
        <f t="shared" si="371"/>
        <v>0</v>
      </c>
      <c r="AA672">
        <f t="shared" si="372"/>
        <v>0</v>
      </c>
      <c r="AC672">
        <f t="shared" si="373"/>
        <v>1045.25</v>
      </c>
      <c r="AD672">
        <f t="shared" si="374"/>
        <v>0</v>
      </c>
      <c r="AE672">
        <f t="shared" si="375"/>
        <v>0</v>
      </c>
      <c r="AF672">
        <f t="shared" si="376"/>
        <v>0</v>
      </c>
      <c r="AG672">
        <f t="shared" si="377"/>
        <v>0</v>
      </c>
      <c r="AH672">
        <f t="shared" si="378"/>
        <v>0</v>
      </c>
      <c r="AJ672">
        <f t="shared" si="379"/>
        <v>1239.01</v>
      </c>
      <c r="AK672">
        <f t="shared" si="380"/>
        <v>0</v>
      </c>
      <c r="AL672">
        <f t="shared" si="381"/>
        <v>0</v>
      </c>
      <c r="AM672">
        <f t="shared" si="382"/>
        <v>0</v>
      </c>
      <c r="AN672">
        <f t="shared" si="383"/>
        <v>0</v>
      </c>
      <c r="AO672">
        <f t="shared" si="384"/>
        <v>0</v>
      </c>
    </row>
    <row r="673" spans="1:41" x14ac:dyDescent="0.45">
      <c r="A673">
        <v>39.11360801</v>
      </c>
      <c r="B673">
        <v>119.79053690000001</v>
      </c>
      <c r="C673">
        <v>63.334102629999997</v>
      </c>
      <c r="D673">
        <v>1.22430599</v>
      </c>
      <c r="E673">
        <f t="shared" si="350"/>
        <v>1.22430599</v>
      </c>
      <c r="F673">
        <f t="shared" si="351"/>
        <v>0</v>
      </c>
      <c r="G673">
        <f t="shared" si="352"/>
        <v>0</v>
      </c>
      <c r="H673">
        <f t="shared" si="353"/>
        <v>0</v>
      </c>
      <c r="I673">
        <f t="shared" si="354"/>
        <v>0</v>
      </c>
      <c r="J673">
        <f t="shared" si="355"/>
        <v>0</v>
      </c>
      <c r="K673" s="1">
        <f t="shared" si="356"/>
        <v>0</v>
      </c>
      <c r="L673" s="1">
        <f t="shared" si="357"/>
        <v>0</v>
      </c>
      <c r="M673" s="1">
        <f t="shared" si="358"/>
        <v>0</v>
      </c>
      <c r="N673" s="1">
        <f t="shared" si="359"/>
        <v>0</v>
      </c>
      <c r="O673" s="1">
        <f t="shared" si="360"/>
        <v>0</v>
      </c>
      <c r="P673" s="1">
        <f t="shared" si="361"/>
        <v>25</v>
      </c>
      <c r="Q673" s="1" t="e">
        <f t="shared" si="362"/>
        <v>#DIV/0!</v>
      </c>
      <c r="R673" s="1" t="e">
        <f t="shared" si="363"/>
        <v>#DIV/0!</v>
      </c>
      <c r="S673" s="1" t="e">
        <f t="shared" si="364"/>
        <v>#DIV/0!</v>
      </c>
      <c r="T673" s="1" t="e">
        <f t="shared" si="365"/>
        <v>#DIV/0!</v>
      </c>
      <c r="U673" s="1" t="e">
        <f t="shared" si="366"/>
        <v>#DIV/0!</v>
      </c>
      <c r="V673">
        <f t="shared" si="367"/>
        <v>851.48</v>
      </c>
      <c r="W673">
        <f t="shared" si="368"/>
        <v>0</v>
      </c>
      <c r="X673">
        <f t="shared" si="369"/>
        <v>0</v>
      </c>
      <c r="Y673">
        <f t="shared" si="370"/>
        <v>0</v>
      </c>
      <c r="Z673">
        <f t="shared" si="371"/>
        <v>0</v>
      </c>
      <c r="AA673">
        <f t="shared" si="372"/>
        <v>0</v>
      </c>
      <c r="AC673">
        <f t="shared" si="373"/>
        <v>1045.25</v>
      </c>
      <c r="AD673">
        <f t="shared" si="374"/>
        <v>0</v>
      </c>
      <c r="AE673">
        <f t="shared" si="375"/>
        <v>0</v>
      </c>
      <c r="AF673">
        <f t="shared" si="376"/>
        <v>0</v>
      </c>
      <c r="AG673">
        <f t="shared" si="377"/>
        <v>0</v>
      </c>
      <c r="AH673">
        <f t="shared" si="378"/>
        <v>0</v>
      </c>
      <c r="AJ673">
        <f t="shared" si="379"/>
        <v>1239.01</v>
      </c>
      <c r="AK673">
        <f t="shared" si="380"/>
        <v>0</v>
      </c>
      <c r="AL673">
        <f t="shared" si="381"/>
        <v>0</v>
      </c>
      <c r="AM673">
        <f t="shared" si="382"/>
        <v>0</v>
      </c>
      <c r="AN673">
        <f t="shared" si="383"/>
        <v>0</v>
      </c>
      <c r="AO673">
        <f t="shared" si="384"/>
        <v>0</v>
      </c>
    </row>
    <row r="674" spans="1:41" x14ac:dyDescent="0.45">
      <c r="A674">
        <v>39.119360800000003</v>
      </c>
      <c r="B674">
        <v>119.3163696</v>
      </c>
      <c r="C674">
        <v>10.74713802</v>
      </c>
      <c r="D674">
        <v>84.898956299999995</v>
      </c>
      <c r="E674">
        <f t="shared" si="350"/>
        <v>10.74713802</v>
      </c>
      <c r="F674">
        <f t="shared" si="351"/>
        <v>31.163266199999995</v>
      </c>
      <c r="G674">
        <f t="shared" si="352"/>
        <v>0</v>
      </c>
      <c r="H674">
        <f t="shared" si="353"/>
        <v>0</v>
      </c>
      <c r="I674">
        <f t="shared" si="354"/>
        <v>0</v>
      </c>
      <c r="J674">
        <f t="shared" si="355"/>
        <v>0</v>
      </c>
      <c r="K674" s="1">
        <f t="shared" si="356"/>
        <v>10.74713802</v>
      </c>
      <c r="L674" s="1">
        <f t="shared" si="357"/>
        <v>0</v>
      </c>
      <c r="M674" s="1">
        <f t="shared" si="358"/>
        <v>0</v>
      </c>
      <c r="N674" s="1">
        <f t="shared" si="359"/>
        <v>0</v>
      </c>
      <c r="O674" s="1">
        <f t="shared" si="360"/>
        <v>0</v>
      </c>
      <c r="P674" s="1">
        <f t="shared" si="361"/>
        <v>3.1646849644487327</v>
      </c>
      <c r="Q674" s="1">
        <f t="shared" si="362"/>
        <v>8.6216396181219288</v>
      </c>
      <c r="R674" s="1" t="e">
        <f t="shared" si="363"/>
        <v>#DIV/0!</v>
      </c>
      <c r="S674" s="1" t="e">
        <f t="shared" si="364"/>
        <v>#DIV/0!</v>
      </c>
      <c r="T674" s="1" t="e">
        <f t="shared" si="365"/>
        <v>#DIV/0!</v>
      </c>
      <c r="U674" s="1" t="e">
        <f t="shared" si="366"/>
        <v>#DIV/0!</v>
      </c>
      <c r="V674">
        <f t="shared" si="367"/>
        <v>141.8322613445838</v>
      </c>
      <c r="W674">
        <f t="shared" si="368"/>
        <v>362.30148567957235</v>
      </c>
      <c r="X674">
        <f t="shared" si="369"/>
        <v>0</v>
      </c>
      <c r="Y674">
        <f t="shared" si="370"/>
        <v>0</v>
      </c>
      <c r="Z674">
        <f t="shared" si="371"/>
        <v>0</v>
      </c>
      <c r="AA674">
        <f t="shared" si="372"/>
        <v>0</v>
      </c>
      <c r="AC674">
        <f t="shared" si="373"/>
        <v>171.8373985779493</v>
      </c>
      <c r="AD674">
        <f t="shared" si="374"/>
        <v>362.30148567957235</v>
      </c>
      <c r="AE674">
        <f t="shared" si="375"/>
        <v>0</v>
      </c>
      <c r="AF674">
        <f t="shared" si="376"/>
        <v>0</v>
      </c>
      <c r="AG674">
        <f t="shared" si="377"/>
        <v>0</v>
      </c>
      <c r="AH674">
        <f t="shared" si="378"/>
        <v>0</v>
      </c>
      <c r="AJ674">
        <f t="shared" si="379"/>
        <v>201.83253581131478</v>
      </c>
      <c r="AK674">
        <f t="shared" si="380"/>
        <v>433.9137828154868</v>
      </c>
      <c r="AL674">
        <f t="shared" si="381"/>
        <v>0</v>
      </c>
      <c r="AM674">
        <f t="shared" si="382"/>
        <v>0</v>
      </c>
      <c r="AN674">
        <f t="shared" si="383"/>
        <v>0</v>
      </c>
      <c r="AO674">
        <f t="shared" si="384"/>
        <v>0</v>
      </c>
    </row>
    <row r="675" spans="1:41" x14ac:dyDescent="0.45">
      <c r="A675">
        <v>39.120096250000003</v>
      </c>
      <c r="B675">
        <v>119.732309</v>
      </c>
      <c r="C675">
        <v>23.811473849999999</v>
      </c>
      <c r="D675">
        <v>0.73458396999999998</v>
      </c>
      <c r="E675">
        <f t="shared" si="350"/>
        <v>0.73458396999999998</v>
      </c>
      <c r="F675">
        <f t="shared" si="351"/>
        <v>0</v>
      </c>
      <c r="G675">
        <f t="shared" si="352"/>
        <v>0</v>
      </c>
      <c r="H675">
        <f t="shared" si="353"/>
        <v>0</v>
      </c>
      <c r="I675">
        <f t="shared" si="354"/>
        <v>0</v>
      </c>
      <c r="J675">
        <f t="shared" si="355"/>
        <v>0</v>
      </c>
      <c r="K675" s="1">
        <f t="shared" si="356"/>
        <v>0</v>
      </c>
      <c r="L675" s="1">
        <f t="shared" si="357"/>
        <v>0</v>
      </c>
      <c r="M675" s="1">
        <f t="shared" si="358"/>
        <v>0</v>
      </c>
      <c r="N675" s="1">
        <f t="shared" si="359"/>
        <v>0</v>
      </c>
      <c r="O675" s="1">
        <f t="shared" si="360"/>
        <v>0</v>
      </c>
      <c r="P675" s="1">
        <f t="shared" si="361"/>
        <v>24.999999999999996</v>
      </c>
      <c r="Q675" s="1" t="e">
        <f t="shared" si="362"/>
        <v>#DIV/0!</v>
      </c>
      <c r="R675" s="1" t="e">
        <f t="shared" si="363"/>
        <v>#DIV/0!</v>
      </c>
      <c r="S675" s="1" t="e">
        <f t="shared" si="364"/>
        <v>#DIV/0!</v>
      </c>
      <c r="T675" s="1" t="e">
        <f t="shared" si="365"/>
        <v>#DIV/0!</v>
      </c>
      <c r="U675" s="1" t="e">
        <f t="shared" si="366"/>
        <v>#DIV/0!</v>
      </c>
      <c r="V675">
        <f t="shared" si="367"/>
        <v>851.4799999999999</v>
      </c>
      <c r="W675">
        <f t="shared" si="368"/>
        <v>0</v>
      </c>
      <c r="X675">
        <f t="shared" si="369"/>
        <v>0</v>
      </c>
      <c r="Y675">
        <f t="shared" si="370"/>
        <v>0</v>
      </c>
      <c r="Z675">
        <f t="shared" si="371"/>
        <v>0</v>
      </c>
      <c r="AA675">
        <f t="shared" si="372"/>
        <v>0</v>
      </c>
      <c r="AC675">
        <f t="shared" si="373"/>
        <v>1045.25</v>
      </c>
      <c r="AD675">
        <f t="shared" si="374"/>
        <v>0</v>
      </c>
      <c r="AE675">
        <f t="shared" si="375"/>
        <v>0</v>
      </c>
      <c r="AF675">
        <f t="shared" si="376"/>
        <v>0</v>
      </c>
      <c r="AG675">
        <f t="shared" si="377"/>
        <v>0</v>
      </c>
      <c r="AH675">
        <f t="shared" si="378"/>
        <v>0</v>
      </c>
      <c r="AJ675">
        <f t="shared" si="379"/>
        <v>1239.0099999999998</v>
      </c>
      <c r="AK675">
        <f t="shared" si="380"/>
        <v>0</v>
      </c>
      <c r="AL675">
        <f t="shared" si="381"/>
        <v>0</v>
      </c>
      <c r="AM675">
        <f t="shared" si="382"/>
        <v>0</v>
      </c>
      <c r="AN675">
        <f t="shared" si="383"/>
        <v>0</v>
      </c>
      <c r="AO675">
        <f t="shared" si="384"/>
        <v>0</v>
      </c>
    </row>
    <row r="676" spans="1:41" x14ac:dyDescent="0.45">
      <c r="A676">
        <v>39.132990769999999</v>
      </c>
      <c r="B676">
        <v>119.61582319999999</v>
      </c>
      <c r="C676">
        <v>13.798432350000001</v>
      </c>
      <c r="D676">
        <v>4.8972258599999998</v>
      </c>
      <c r="E676">
        <f t="shared" si="350"/>
        <v>4.8972258599999998</v>
      </c>
      <c r="F676">
        <f t="shared" si="351"/>
        <v>0</v>
      </c>
      <c r="G676">
        <f t="shared" si="352"/>
        <v>0</v>
      </c>
      <c r="H676">
        <f t="shared" si="353"/>
        <v>0</v>
      </c>
      <c r="I676">
        <f t="shared" si="354"/>
        <v>0</v>
      </c>
      <c r="J676">
        <f t="shared" si="355"/>
        <v>0</v>
      </c>
      <c r="K676" s="1">
        <f t="shared" si="356"/>
        <v>0</v>
      </c>
      <c r="L676" s="1">
        <f t="shared" si="357"/>
        <v>0</v>
      </c>
      <c r="M676" s="1">
        <f t="shared" si="358"/>
        <v>0</v>
      </c>
      <c r="N676" s="1">
        <f t="shared" si="359"/>
        <v>0</v>
      </c>
      <c r="O676" s="1">
        <f t="shared" si="360"/>
        <v>0</v>
      </c>
      <c r="P676" s="1">
        <f t="shared" si="361"/>
        <v>25</v>
      </c>
      <c r="Q676" s="1" t="e">
        <f t="shared" si="362"/>
        <v>#DIV/0!</v>
      </c>
      <c r="R676" s="1" t="e">
        <f t="shared" si="363"/>
        <v>#DIV/0!</v>
      </c>
      <c r="S676" s="1" t="e">
        <f t="shared" si="364"/>
        <v>#DIV/0!</v>
      </c>
      <c r="T676" s="1" t="e">
        <f t="shared" si="365"/>
        <v>#DIV/0!</v>
      </c>
      <c r="U676" s="1" t="e">
        <f t="shared" si="366"/>
        <v>#DIV/0!</v>
      </c>
      <c r="V676">
        <f t="shared" si="367"/>
        <v>851.48</v>
      </c>
      <c r="W676">
        <f t="shared" si="368"/>
        <v>0</v>
      </c>
      <c r="X676">
        <f t="shared" si="369"/>
        <v>0</v>
      </c>
      <c r="Y676">
        <f t="shared" si="370"/>
        <v>0</v>
      </c>
      <c r="Z676">
        <f t="shared" si="371"/>
        <v>0</v>
      </c>
      <c r="AA676">
        <f t="shared" si="372"/>
        <v>0</v>
      </c>
      <c r="AC676">
        <f t="shared" si="373"/>
        <v>1045.25</v>
      </c>
      <c r="AD676">
        <f t="shared" si="374"/>
        <v>0</v>
      </c>
      <c r="AE676">
        <f t="shared" si="375"/>
        <v>0</v>
      </c>
      <c r="AF676">
        <f t="shared" si="376"/>
        <v>0</v>
      </c>
      <c r="AG676">
        <f t="shared" si="377"/>
        <v>0</v>
      </c>
      <c r="AH676">
        <f t="shared" si="378"/>
        <v>0</v>
      </c>
      <c r="AJ676">
        <f t="shared" si="379"/>
        <v>1239.01</v>
      </c>
      <c r="AK676">
        <f t="shared" si="380"/>
        <v>0</v>
      </c>
      <c r="AL676">
        <f t="shared" si="381"/>
        <v>0</v>
      </c>
      <c r="AM676">
        <f t="shared" si="382"/>
        <v>0</v>
      </c>
      <c r="AN676">
        <f t="shared" si="383"/>
        <v>0</v>
      </c>
      <c r="AO676">
        <f t="shared" si="384"/>
        <v>0</v>
      </c>
    </row>
    <row r="677" spans="1:41" x14ac:dyDescent="0.45">
      <c r="A677">
        <v>39.139397039999999</v>
      </c>
      <c r="B677">
        <v>119.5575654</v>
      </c>
      <c r="C677">
        <v>21.03282166</v>
      </c>
      <c r="D677">
        <v>0.22037499999999999</v>
      </c>
      <c r="E677">
        <f t="shared" si="350"/>
        <v>0.22037499999999999</v>
      </c>
      <c r="F677">
        <f t="shared" si="351"/>
        <v>0</v>
      </c>
      <c r="G677">
        <f t="shared" si="352"/>
        <v>0</v>
      </c>
      <c r="H677">
        <f t="shared" si="353"/>
        <v>0</v>
      </c>
      <c r="I677">
        <f t="shared" si="354"/>
        <v>0</v>
      </c>
      <c r="J677">
        <f t="shared" si="355"/>
        <v>0</v>
      </c>
      <c r="K677" s="1">
        <f t="shared" si="356"/>
        <v>0</v>
      </c>
      <c r="L677" s="1">
        <f t="shared" si="357"/>
        <v>0</v>
      </c>
      <c r="M677" s="1">
        <f t="shared" si="358"/>
        <v>0</v>
      </c>
      <c r="N677" s="1">
        <f t="shared" si="359"/>
        <v>0</v>
      </c>
      <c r="O677" s="1">
        <f t="shared" si="360"/>
        <v>0</v>
      </c>
      <c r="P677" s="1">
        <f t="shared" si="361"/>
        <v>25</v>
      </c>
      <c r="Q677" s="1" t="e">
        <f t="shared" si="362"/>
        <v>#DIV/0!</v>
      </c>
      <c r="R677" s="1" t="e">
        <f t="shared" si="363"/>
        <v>#DIV/0!</v>
      </c>
      <c r="S677" s="1" t="e">
        <f t="shared" si="364"/>
        <v>#DIV/0!</v>
      </c>
      <c r="T677" s="1" t="e">
        <f t="shared" si="365"/>
        <v>#DIV/0!</v>
      </c>
      <c r="U677" s="1" t="e">
        <f t="shared" si="366"/>
        <v>#DIV/0!</v>
      </c>
      <c r="V677">
        <f t="shared" si="367"/>
        <v>851.48</v>
      </c>
      <c r="W677">
        <f t="shared" si="368"/>
        <v>0</v>
      </c>
      <c r="X677">
        <f t="shared" si="369"/>
        <v>0</v>
      </c>
      <c r="Y677">
        <f t="shared" si="370"/>
        <v>0</v>
      </c>
      <c r="Z677">
        <f t="shared" si="371"/>
        <v>0</v>
      </c>
      <c r="AA677">
        <f t="shared" si="372"/>
        <v>0</v>
      </c>
      <c r="AC677">
        <f t="shared" si="373"/>
        <v>1045.25</v>
      </c>
      <c r="AD677">
        <f t="shared" si="374"/>
        <v>0</v>
      </c>
      <c r="AE677">
        <f t="shared" si="375"/>
        <v>0</v>
      </c>
      <c r="AF677">
        <f t="shared" si="376"/>
        <v>0</v>
      </c>
      <c r="AG677">
        <f t="shared" si="377"/>
        <v>0</v>
      </c>
      <c r="AH677">
        <f t="shared" si="378"/>
        <v>0</v>
      </c>
      <c r="AJ677">
        <f t="shared" si="379"/>
        <v>1239.01</v>
      </c>
      <c r="AK677">
        <f t="shared" si="380"/>
        <v>0</v>
      </c>
      <c r="AL677">
        <f t="shared" si="381"/>
        <v>0</v>
      </c>
      <c r="AM677">
        <f t="shared" si="382"/>
        <v>0</v>
      </c>
      <c r="AN677">
        <f t="shared" si="383"/>
        <v>0</v>
      </c>
      <c r="AO677">
        <f t="shared" si="384"/>
        <v>0</v>
      </c>
    </row>
    <row r="678" spans="1:41" x14ac:dyDescent="0.45">
      <c r="A678">
        <v>39.144630739999997</v>
      </c>
      <c r="B678">
        <v>120.3314603</v>
      </c>
      <c r="C678">
        <v>15.098740579999999</v>
      </c>
      <c r="D678">
        <v>2.6930151000000002</v>
      </c>
      <c r="E678">
        <f t="shared" si="350"/>
        <v>2.6930151000000002</v>
      </c>
      <c r="F678">
        <f t="shared" si="351"/>
        <v>0</v>
      </c>
      <c r="G678">
        <f t="shared" si="352"/>
        <v>0</v>
      </c>
      <c r="H678">
        <f t="shared" si="353"/>
        <v>0</v>
      </c>
      <c r="I678">
        <f t="shared" si="354"/>
        <v>0</v>
      </c>
      <c r="J678">
        <f t="shared" si="355"/>
        <v>0</v>
      </c>
      <c r="K678" s="1">
        <f t="shared" si="356"/>
        <v>0</v>
      </c>
      <c r="L678" s="1">
        <f t="shared" si="357"/>
        <v>0</v>
      </c>
      <c r="M678" s="1">
        <f t="shared" si="358"/>
        <v>0</v>
      </c>
      <c r="N678" s="1">
        <f t="shared" si="359"/>
        <v>0</v>
      </c>
      <c r="O678" s="1">
        <f t="shared" si="360"/>
        <v>0</v>
      </c>
      <c r="P678" s="1">
        <f t="shared" si="361"/>
        <v>25</v>
      </c>
      <c r="Q678" s="1" t="e">
        <f t="shared" si="362"/>
        <v>#DIV/0!</v>
      </c>
      <c r="R678" s="1" t="e">
        <f t="shared" si="363"/>
        <v>#DIV/0!</v>
      </c>
      <c r="S678" s="1" t="e">
        <f t="shared" si="364"/>
        <v>#DIV/0!</v>
      </c>
      <c r="T678" s="1" t="e">
        <f t="shared" si="365"/>
        <v>#DIV/0!</v>
      </c>
      <c r="U678" s="1" t="e">
        <f t="shared" si="366"/>
        <v>#DIV/0!</v>
      </c>
      <c r="V678">
        <f t="shared" si="367"/>
        <v>851.48</v>
      </c>
      <c r="W678">
        <f t="shared" si="368"/>
        <v>0</v>
      </c>
      <c r="X678">
        <f t="shared" si="369"/>
        <v>0</v>
      </c>
      <c r="Y678">
        <f t="shared" si="370"/>
        <v>0</v>
      </c>
      <c r="Z678">
        <f t="shared" si="371"/>
        <v>0</v>
      </c>
      <c r="AA678">
        <f t="shared" si="372"/>
        <v>0</v>
      </c>
      <c r="AC678">
        <f t="shared" si="373"/>
        <v>1045.25</v>
      </c>
      <c r="AD678">
        <f t="shared" si="374"/>
        <v>0</v>
      </c>
      <c r="AE678">
        <f t="shared" si="375"/>
        <v>0</v>
      </c>
      <c r="AF678">
        <f t="shared" si="376"/>
        <v>0</v>
      </c>
      <c r="AG678">
        <f t="shared" si="377"/>
        <v>0</v>
      </c>
      <c r="AH678">
        <f t="shared" si="378"/>
        <v>0</v>
      </c>
      <c r="AJ678">
        <f t="shared" si="379"/>
        <v>1239.01</v>
      </c>
      <c r="AK678">
        <f t="shared" si="380"/>
        <v>0</v>
      </c>
      <c r="AL678">
        <f t="shared" si="381"/>
        <v>0</v>
      </c>
      <c r="AM678">
        <f t="shared" si="382"/>
        <v>0</v>
      </c>
      <c r="AN678">
        <f t="shared" si="383"/>
        <v>0</v>
      </c>
      <c r="AO678">
        <f t="shared" si="384"/>
        <v>0</v>
      </c>
    </row>
    <row r="679" spans="1:41" x14ac:dyDescent="0.45">
      <c r="A679">
        <v>39.14589926</v>
      </c>
      <c r="B679">
        <v>119.9153822</v>
      </c>
      <c r="C679">
        <v>26.92781067</v>
      </c>
      <c r="D679">
        <v>2.3469951199999999</v>
      </c>
      <c r="E679">
        <f t="shared" si="350"/>
        <v>2.3469951199999999</v>
      </c>
      <c r="F679">
        <f t="shared" si="351"/>
        <v>0</v>
      </c>
      <c r="G679">
        <f t="shared" si="352"/>
        <v>0</v>
      </c>
      <c r="H679">
        <f t="shared" si="353"/>
        <v>0</v>
      </c>
      <c r="I679">
        <f t="shared" si="354"/>
        <v>0</v>
      </c>
      <c r="J679">
        <f t="shared" si="355"/>
        <v>0</v>
      </c>
      <c r="K679" s="1">
        <f t="shared" si="356"/>
        <v>0</v>
      </c>
      <c r="L679" s="1">
        <f t="shared" si="357"/>
        <v>0</v>
      </c>
      <c r="M679" s="1">
        <f t="shared" si="358"/>
        <v>0</v>
      </c>
      <c r="N679" s="1">
        <f t="shared" si="359"/>
        <v>0</v>
      </c>
      <c r="O679" s="1">
        <f t="shared" si="360"/>
        <v>0</v>
      </c>
      <c r="P679" s="1">
        <f t="shared" si="361"/>
        <v>25</v>
      </c>
      <c r="Q679" s="1" t="e">
        <f t="shared" si="362"/>
        <v>#DIV/0!</v>
      </c>
      <c r="R679" s="1" t="e">
        <f t="shared" si="363"/>
        <v>#DIV/0!</v>
      </c>
      <c r="S679" s="1" t="e">
        <f t="shared" si="364"/>
        <v>#DIV/0!</v>
      </c>
      <c r="T679" s="1" t="e">
        <f t="shared" si="365"/>
        <v>#DIV/0!</v>
      </c>
      <c r="U679" s="1" t="e">
        <f t="shared" si="366"/>
        <v>#DIV/0!</v>
      </c>
      <c r="V679">
        <f t="shared" si="367"/>
        <v>851.48</v>
      </c>
      <c r="W679">
        <f t="shared" si="368"/>
        <v>0</v>
      </c>
      <c r="X679">
        <f t="shared" si="369"/>
        <v>0</v>
      </c>
      <c r="Y679">
        <f t="shared" si="370"/>
        <v>0</v>
      </c>
      <c r="Z679">
        <f t="shared" si="371"/>
        <v>0</v>
      </c>
      <c r="AA679">
        <f t="shared" si="372"/>
        <v>0</v>
      </c>
      <c r="AC679">
        <f t="shared" si="373"/>
        <v>1045.25</v>
      </c>
      <c r="AD679">
        <f t="shared" si="374"/>
        <v>0</v>
      </c>
      <c r="AE679">
        <f t="shared" si="375"/>
        <v>0</v>
      </c>
      <c r="AF679">
        <f t="shared" si="376"/>
        <v>0</v>
      </c>
      <c r="AG679">
        <f t="shared" si="377"/>
        <v>0</v>
      </c>
      <c r="AH679">
        <f t="shared" si="378"/>
        <v>0</v>
      </c>
      <c r="AJ679">
        <f t="shared" si="379"/>
        <v>1239.01</v>
      </c>
      <c r="AK679">
        <f t="shared" si="380"/>
        <v>0</v>
      </c>
      <c r="AL679">
        <f t="shared" si="381"/>
        <v>0</v>
      </c>
      <c r="AM679">
        <f t="shared" si="382"/>
        <v>0</v>
      </c>
      <c r="AN679">
        <f t="shared" si="383"/>
        <v>0</v>
      </c>
      <c r="AO679">
        <f t="shared" si="384"/>
        <v>0</v>
      </c>
    </row>
    <row r="680" spans="1:41" x14ac:dyDescent="0.45">
      <c r="A680">
        <v>39.158451820000003</v>
      </c>
      <c r="B680">
        <v>119.382733</v>
      </c>
      <c r="C680">
        <v>11.872706409999999</v>
      </c>
      <c r="D680">
        <v>2.2355830700000001</v>
      </c>
      <c r="E680">
        <f t="shared" si="350"/>
        <v>2.2355830700000001</v>
      </c>
      <c r="F680">
        <f t="shared" si="351"/>
        <v>0</v>
      </c>
      <c r="G680">
        <f t="shared" si="352"/>
        <v>0</v>
      </c>
      <c r="H680">
        <f t="shared" si="353"/>
        <v>0</v>
      </c>
      <c r="I680">
        <f t="shared" si="354"/>
        <v>0</v>
      </c>
      <c r="J680">
        <f t="shared" si="355"/>
        <v>0</v>
      </c>
      <c r="K680" s="1">
        <f t="shared" si="356"/>
        <v>0</v>
      </c>
      <c r="L680" s="1">
        <f t="shared" si="357"/>
        <v>0</v>
      </c>
      <c r="M680" s="1">
        <f t="shared" si="358"/>
        <v>0</v>
      </c>
      <c r="N680" s="1">
        <f t="shared" si="359"/>
        <v>0</v>
      </c>
      <c r="O680" s="1">
        <f t="shared" si="360"/>
        <v>0</v>
      </c>
      <c r="P680" s="1">
        <f t="shared" si="361"/>
        <v>25</v>
      </c>
      <c r="Q680" s="1" t="e">
        <f t="shared" si="362"/>
        <v>#DIV/0!</v>
      </c>
      <c r="R680" s="1" t="e">
        <f t="shared" si="363"/>
        <v>#DIV/0!</v>
      </c>
      <c r="S680" s="1" t="e">
        <f t="shared" si="364"/>
        <v>#DIV/0!</v>
      </c>
      <c r="T680" s="1" t="e">
        <f t="shared" si="365"/>
        <v>#DIV/0!</v>
      </c>
      <c r="U680" s="1" t="e">
        <f t="shared" si="366"/>
        <v>#DIV/0!</v>
      </c>
      <c r="V680">
        <f t="shared" si="367"/>
        <v>851.48</v>
      </c>
      <c r="W680">
        <f t="shared" si="368"/>
        <v>0</v>
      </c>
      <c r="X680">
        <f t="shared" si="369"/>
        <v>0</v>
      </c>
      <c r="Y680">
        <f t="shared" si="370"/>
        <v>0</v>
      </c>
      <c r="Z680">
        <f t="shared" si="371"/>
        <v>0</v>
      </c>
      <c r="AA680">
        <f t="shared" si="372"/>
        <v>0</v>
      </c>
      <c r="AC680">
        <f t="shared" si="373"/>
        <v>1045.25</v>
      </c>
      <c r="AD680">
        <f t="shared" si="374"/>
        <v>0</v>
      </c>
      <c r="AE680">
        <f t="shared" si="375"/>
        <v>0</v>
      </c>
      <c r="AF680">
        <f t="shared" si="376"/>
        <v>0</v>
      </c>
      <c r="AG680">
        <f t="shared" si="377"/>
        <v>0</v>
      </c>
      <c r="AH680">
        <f t="shared" si="378"/>
        <v>0</v>
      </c>
      <c r="AJ680">
        <f t="shared" si="379"/>
        <v>1239.01</v>
      </c>
      <c r="AK680">
        <f t="shared" si="380"/>
        <v>0</v>
      </c>
      <c r="AL680">
        <f t="shared" si="381"/>
        <v>0</v>
      </c>
      <c r="AM680">
        <f t="shared" si="382"/>
        <v>0</v>
      </c>
      <c r="AN680">
        <f t="shared" si="383"/>
        <v>0</v>
      </c>
      <c r="AO680">
        <f t="shared" si="384"/>
        <v>0</v>
      </c>
    </row>
    <row r="681" spans="1:41" x14ac:dyDescent="0.45">
      <c r="A681">
        <v>39.165456710000001</v>
      </c>
      <c r="B681">
        <v>119.7406257</v>
      </c>
      <c r="C681">
        <v>28.128671650000001</v>
      </c>
      <c r="D681">
        <v>1.04066002</v>
      </c>
      <c r="E681">
        <f t="shared" si="350"/>
        <v>1.04066002</v>
      </c>
      <c r="F681">
        <f t="shared" si="351"/>
        <v>0</v>
      </c>
      <c r="G681">
        <f t="shared" si="352"/>
        <v>0</v>
      </c>
      <c r="H681">
        <f t="shared" si="353"/>
        <v>0</v>
      </c>
      <c r="I681">
        <f t="shared" si="354"/>
        <v>0</v>
      </c>
      <c r="J681">
        <f t="shared" si="355"/>
        <v>0</v>
      </c>
      <c r="K681" s="1">
        <f t="shared" si="356"/>
        <v>0</v>
      </c>
      <c r="L681" s="1">
        <f t="shared" si="357"/>
        <v>0</v>
      </c>
      <c r="M681" s="1">
        <f t="shared" si="358"/>
        <v>0</v>
      </c>
      <c r="N681" s="1">
        <f t="shared" si="359"/>
        <v>0</v>
      </c>
      <c r="O681" s="1">
        <f t="shared" si="360"/>
        <v>0</v>
      </c>
      <c r="P681" s="1">
        <f t="shared" si="361"/>
        <v>25</v>
      </c>
      <c r="Q681" s="1" t="e">
        <f t="shared" si="362"/>
        <v>#DIV/0!</v>
      </c>
      <c r="R681" s="1" t="e">
        <f t="shared" si="363"/>
        <v>#DIV/0!</v>
      </c>
      <c r="S681" s="1" t="e">
        <f t="shared" si="364"/>
        <v>#DIV/0!</v>
      </c>
      <c r="T681" s="1" t="e">
        <f t="shared" si="365"/>
        <v>#DIV/0!</v>
      </c>
      <c r="U681" s="1" t="e">
        <f t="shared" si="366"/>
        <v>#DIV/0!</v>
      </c>
      <c r="V681">
        <f t="shared" si="367"/>
        <v>851.48</v>
      </c>
      <c r="W681">
        <f t="shared" si="368"/>
        <v>0</v>
      </c>
      <c r="X681">
        <f t="shared" si="369"/>
        <v>0</v>
      </c>
      <c r="Y681">
        <f t="shared" si="370"/>
        <v>0</v>
      </c>
      <c r="Z681">
        <f t="shared" si="371"/>
        <v>0</v>
      </c>
      <c r="AA681">
        <f t="shared" si="372"/>
        <v>0</v>
      </c>
      <c r="AC681">
        <f t="shared" si="373"/>
        <v>1045.25</v>
      </c>
      <c r="AD681">
        <f t="shared" si="374"/>
        <v>0</v>
      </c>
      <c r="AE681">
        <f t="shared" si="375"/>
        <v>0</v>
      </c>
      <c r="AF681">
        <f t="shared" si="376"/>
        <v>0</v>
      </c>
      <c r="AG681">
        <f t="shared" si="377"/>
        <v>0</v>
      </c>
      <c r="AH681">
        <f t="shared" si="378"/>
        <v>0</v>
      </c>
      <c r="AJ681">
        <f t="shared" si="379"/>
        <v>1239.01</v>
      </c>
      <c r="AK681">
        <f t="shared" si="380"/>
        <v>0</v>
      </c>
      <c r="AL681">
        <f t="shared" si="381"/>
        <v>0</v>
      </c>
      <c r="AM681">
        <f t="shared" si="382"/>
        <v>0</v>
      </c>
      <c r="AN681">
        <f t="shared" si="383"/>
        <v>0</v>
      </c>
      <c r="AO681">
        <f t="shared" si="384"/>
        <v>0</v>
      </c>
    </row>
    <row r="682" spans="1:41" x14ac:dyDescent="0.45">
      <c r="A682">
        <v>39.170887700000002</v>
      </c>
      <c r="B682">
        <v>118.3753706</v>
      </c>
      <c r="C682">
        <v>8.4687528600000004</v>
      </c>
      <c r="D682">
        <v>3.6848769199999998</v>
      </c>
      <c r="E682">
        <f t="shared" si="350"/>
        <v>3.6848769199999998</v>
      </c>
      <c r="F682">
        <f t="shared" si="351"/>
        <v>0</v>
      </c>
      <c r="G682">
        <f t="shared" si="352"/>
        <v>0</v>
      </c>
      <c r="H682">
        <f t="shared" si="353"/>
        <v>0</v>
      </c>
      <c r="I682">
        <f t="shared" si="354"/>
        <v>0</v>
      </c>
      <c r="J682">
        <f t="shared" si="355"/>
        <v>0</v>
      </c>
      <c r="K682" s="1">
        <f t="shared" si="356"/>
        <v>0</v>
      </c>
      <c r="L682" s="1">
        <f t="shared" si="357"/>
        <v>0</v>
      </c>
      <c r="M682" s="1">
        <f t="shared" si="358"/>
        <v>0</v>
      </c>
      <c r="N682" s="1">
        <f t="shared" si="359"/>
        <v>0</v>
      </c>
      <c r="O682" s="1">
        <f t="shared" si="360"/>
        <v>0</v>
      </c>
      <c r="P682" s="1">
        <f t="shared" si="361"/>
        <v>25</v>
      </c>
      <c r="Q682" s="1" t="e">
        <f t="shared" si="362"/>
        <v>#DIV/0!</v>
      </c>
      <c r="R682" s="1" t="e">
        <f t="shared" si="363"/>
        <v>#DIV/0!</v>
      </c>
      <c r="S682" s="1" t="e">
        <f t="shared" si="364"/>
        <v>#DIV/0!</v>
      </c>
      <c r="T682" s="1" t="e">
        <f t="shared" si="365"/>
        <v>#DIV/0!</v>
      </c>
      <c r="U682" s="1" t="e">
        <f t="shared" si="366"/>
        <v>#DIV/0!</v>
      </c>
      <c r="V682">
        <f t="shared" si="367"/>
        <v>851.48</v>
      </c>
      <c r="W682">
        <f t="shared" si="368"/>
        <v>0</v>
      </c>
      <c r="X682">
        <f t="shared" si="369"/>
        <v>0</v>
      </c>
      <c r="Y682">
        <f t="shared" si="370"/>
        <v>0</v>
      </c>
      <c r="Z682">
        <f t="shared" si="371"/>
        <v>0</v>
      </c>
      <c r="AA682">
        <f t="shared" si="372"/>
        <v>0</v>
      </c>
      <c r="AC682">
        <f t="shared" si="373"/>
        <v>1045.25</v>
      </c>
      <c r="AD682">
        <f t="shared" si="374"/>
        <v>0</v>
      </c>
      <c r="AE682">
        <f t="shared" si="375"/>
        <v>0</v>
      </c>
      <c r="AF682">
        <f t="shared" si="376"/>
        <v>0</v>
      </c>
      <c r="AG682">
        <f t="shared" si="377"/>
        <v>0</v>
      </c>
      <c r="AH682">
        <f t="shared" si="378"/>
        <v>0</v>
      </c>
      <c r="AJ682">
        <f t="shared" si="379"/>
        <v>1239.01</v>
      </c>
      <c r="AK682">
        <f t="shared" si="380"/>
        <v>0</v>
      </c>
      <c r="AL682">
        <f t="shared" si="381"/>
        <v>0</v>
      </c>
      <c r="AM682">
        <f t="shared" si="382"/>
        <v>0</v>
      </c>
      <c r="AN682">
        <f t="shared" si="383"/>
        <v>0</v>
      </c>
      <c r="AO682">
        <f t="shared" si="384"/>
        <v>0</v>
      </c>
    </row>
    <row r="683" spans="1:41" x14ac:dyDescent="0.45">
      <c r="A683">
        <v>39.176163649999999</v>
      </c>
      <c r="B683">
        <v>116.3016633</v>
      </c>
      <c r="C683">
        <v>53.31973267</v>
      </c>
      <c r="D683">
        <v>1.4250140200000001</v>
      </c>
      <c r="E683">
        <f t="shared" si="350"/>
        <v>1.4250140200000001</v>
      </c>
      <c r="F683">
        <f t="shared" si="351"/>
        <v>0</v>
      </c>
      <c r="G683">
        <f t="shared" si="352"/>
        <v>0</v>
      </c>
      <c r="H683">
        <f t="shared" si="353"/>
        <v>0</v>
      </c>
      <c r="I683">
        <f t="shared" si="354"/>
        <v>0</v>
      </c>
      <c r="J683">
        <f t="shared" si="355"/>
        <v>0</v>
      </c>
      <c r="K683" s="1">
        <f t="shared" si="356"/>
        <v>0</v>
      </c>
      <c r="L683" s="1">
        <f t="shared" si="357"/>
        <v>0</v>
      </c>
      <c r="M683" s="1">
        <f t="shared" si="358"/>
        <v>0</v>
      </c>
      <c r="N683" s="1">
        <f t="shared" si="359"/>
        <v>0</v>
      </c>
      <c r="O683" s="1">
        <f t="shared" si="360"/>
        <v>0</v>
      </c>
      <c r="P683" s="1">
        <f t="shared" si="361"/>
        <v>25</v>
      </c>
      <c r="Q683" s="1" t="e">
        <f t="shared" si="362"/>
        <v>#DIV/0!</v>
      </c>
      <c r="R683" s="1" t="e">
        <f t="shared" si="363"/>
        <v>#DIV/0!</v>
      </c>
      <c r="S683" s="1" t="e">
        <f t="shared" si="364"/>
        <v>#DIV/0!</v>
      </c>
      <c r="T683" s="1" t="e">
        <f t="shared" si="365"/>
        <v>#DIV/0!</v>
      </c>
      <c r="U683" s="1" t="e">
        <f t="shared" si="366"/>
        <v>#DIV/0!</v>
      </c>
      <c r="V683">
        <f t="shared" si="367"/>
        <v>851.48</v>
      </c>
      <c r="W683">
        <f t="shared" si="368"/>
        <v>0</v>
      </c>
      <c r="X683">
        <f t="shared" si="369"/>
        <v>0</v>
      </c>
      <c r="Y683">
        <f t="shared" si="370"/>
        <v>0</v>
      </c>
      <c r="Z683">
        <f t="shared" si="371"/>
        <v>0</v>
      </c>
      <c r="AA683">
        <f t="shared" si="372"/>
        <v>0</v>
      </c>
      <c r="AC683">
        <f t="shared" si="373"/>
        <v>1045.25</v>
      </c>
      <c r="AD683">
        <f t="shared" si="374"/>
        <v>0</v>
      </c>
      <c r="AE683">
        <f t="shared" si="375"/>
        <v>0</v>
      </c>
      <c r="AF683">
        <f t="shared" si="376"/>
        <v>0</v>
      </c>
      <c r="AG683">
        <f t="shared" si="377"/>
        <v>0</v>
      </c>
      <c r="AH683">
        <f t="shared" si="378"/>
        <v>0</v>
      </c>
      <c r="AJ683">
        <f t="shared" si="379"/>
        <v>1239.01</v>
      </c>
      <c r="AK683">
        <f t="shared" si="380"/>
        <v>0</v>
      </c>
      <c r="AL683">
        <f t="shared" si="381"/>
        <v>0</v>
      </c>
      <c r="AM683">
        <f t="shared" si="382"/>
        <v>0</v>
      </c>
      <c r="AN683">
        <f t="shared" si="383"/>
        <v>0</v>
      </c>
      <c r="AO683">
        <f t="shared" si="384"/>
        <v>0</v>
      </c>
    </row>
    <row r="684" spans="1:41" x14ac:dyDescent="0.45">
      <c r="A684">
        <v>39.192746890000002</v>
      </c>
      <c r="B684">
        <v>118.6164727</v>
      </c>
      <c r="C684">
        <v>8.4687528600000004</v>
      </c>
      <c r="D684">
        <v>0.95589398999999997</v>
      </c>
      <c r="E684">
        <f t="shared" si="350"/>
        <v>0.95589398999999997</v>
      </c>
      <c r="F684">
        <f t="shared" si="351"/>
        <v>0</v>
      </c>
      <c r="G684">
        <f t="shared" si="352"/>
        <v>0</v>
      </c>
      <c r="H684">
        <f t="shared" si="353"/>
        <v>0</v>
      </c>
      <c r="I684">
        <f t="shared" si="354"/>
        <v>0</v>
      </c>
      <c r="J684">
        <f t="shared" si="355"/>
        <v>0</v>
      </c>
      <c r="K684" s="1">
        <f t="shared" si="356"/>
        <v>0</v>
      </c>
      <c r="L684" s="1">
        <f t="shared" si="357"/>
        <v>0</v>
      </c>
      <c r="M684" s="1">
        <f t="shared" si="358"/>
        <v>0</v>
      </c>
      <c r="N684" s="1">
        <f t="shared" si="359"/>
        <v>0</v>
      </c>
      <c r="O684" s="1">
        <f t="shared" si="360"/>
        <v>0</v>
      </c>
      <c r="P684" s="1">
        <f t="shared" si="361"/>
        <v>25</v>
      </c>
      <c r="Q684" s="1" t="e">
        <f t="shared" si="362"/>
        <v>#DIV/0!</v>
      </c>
      <c r="R684" s="1" t="e">
        <f t="shared" si="363"/>
        <v>#DIV/0!</v>
      </c>
      <c r="S684" s="1" t="e">
        <f t="shared" si="364"/>
        <v>#DIV/0!</v>
      </c>
      <c r="T684" s="1" t="e">
        <f t="shared" si="365"/>
        <v>#DIV/0!</v>
      </c>
      <c r="U684" s="1" t="e">
        <f t="shared" si="366"/>
        <v>#DIV/0!</v>
      </c>
      <c r="V684">
        <f t="shared" si="367"/>
        <v>851.48</v>
      </c>
      <c r="W684">
        <f t="shared" si="368"/>
        <v>0</v>
      </c>
      <c r="X684">
        <f t="shared" si="369"/>
        <v>0</v>
      </c>
      <c r="Y684">
        <f t="shared" si="370"/>
        <v>0</v>
      </c>
      <c r="Z684">
        <f t="shared" si="371"/>
        <v>0</v>
      </c>
      <c r="AA684">
        <f t="shared" si="372"/>
        <v>0</v>
      </c>
      <c r="AC684">
        <f t="shared" si="373"/>
        <v>1045.25</v>
      </c>
      <c r="AD684">
        <f t="shared" si="374"/>
        <v>0</v>
      </c>
      <c r="AE684">
        <f t="shared" si="375"/>
        <v>0</v>
      </c>
      <c r="AF684">
        <f t="shared" si="376"/>
        <v>0</v>
      </c>
      <c r="AG684">
        <f t="shared" si="377"/>
        <v>0</v>
      </c>
      <c r="AH684">
        <f t="shared" si="378"/>
        <v>0</v>
      </c>
      <c r="AJ684">
        <f t="shared" si="379"/>
        <v>1239.01</v>
      </c>
      <c r="AK684">
        <f t="shared" si="380"/>
        <v>0</v>
      </c>
      <c r="AL684">
        <f t="shared" si="381"/>
        <v>0</v>
      </c>
      <c r="AM684">
        <f t="shared" si="382"/>
        <v>0</v>
      </c>
      <c r="AN684">
        <f t="shared" si="383"/>
        <v>0</v>
      </c>
      <c r="AO684">
        <f t="shared" si="384"/>
        <v>0</v>
      </c>
    </row>
    <row r="685" spans="1:41" x14ac:dyDescent="0.45">
      <c r="A685">
        <v>39.204318999999998</v>
      </c>
      <c r="B685">
        <v>119.807249</v>
      </c>
      <c r="C685">
        <v>26.389209749999999</v>
      </c>
      <c r="D685">
        <v>12.48792458</v>
      </c>
      <c r="E685">
        <f t="shared" si="350"/>
        <v>12.48792458</v>
      </c>
      <c r="F685">
        <f t="shared" si="351"/>
        <v>0</v>
      </c>
      <c r="G685">
        <f t="shared" si="352"/>
        <v>0</v>
      </c>
      <c r="H685">
        <f t="shared" si="353"/>
        <v>0</v>
      </c>
      <c r="I685">
        <f t="shared" si="354"/>
        <v>0</v>
      </c>
      <c r="J685">
        <f t="shared" si="355"/>
        <v>0</v>
      </c>
      <c r="K685" s="1">
        <f t="shared" si="356"/>
        <v>0</v>
      </c>
      <c r="L685" s="1">
        <f t="shared" si="357"/>
        <v>0</v>
      </c>
      <c r="M685" s="1">
        <f t="shared" si="358"/>
        <v>0</v>
      </c>
      <c r="N685" s="1">
        <f t="shared" si="359"/>
        <v>0</v>
      </c>
      <c r="O685" s="1">
        <f t="shared" si="360"/>
        <v>0</v>
      </c>
      <c r="P685" s="1">
        <f t="shared" si="361"/>
        <v>25</v>
      </c>
      <c r="Q685" s="1" t="e">
        <f t="shared" si="362"/>
        <v>#DIV/0!</v>
      </c>
      <c r="R685" s="1" t="e">
        <f t="shared" si="363"/>
        <v>#DIV/0!</v>
      </c>
      <c r="S685" s="1" t="e">
        <f t="shared" si="364"/>
        <v>#DIV/0!</v>
      </c>
      <c r="T685" s="1" t="e">
        <f t="shared" si="365"/>
        <v>#DIV/0!</v>
      </c>
      <c r="U685" s="1" t="e">
        <f t="shared" si="366"/>
        <v>#DIV/0!</v>
      </c>
      <c r="V685">
        <f t="shared" si="367"/>
        <v>851.48</v>
      </c>
      <c r="W685">
        <f t="shared" si="368"/>
        <v>0</v>
      </c>
      <c r="X685">
        <f t="shared" si="369"/>
        <v>0</v>
      </c>
      <c r="Y685">
        <f t="shared" si="370"/>
        <v>0</v>
      </c>
      <c r="Z685">
        <f t="shared" si="371"/>
        <v>0</v>
      </c>
      <c r="AA685">
        <f t="shared" si="372"/>
        <v>0</v>
      </c>
      <c r="AC685">
        <f t="shared" si="373"/>
        <v>1045.25</v>
      </c>
      <c r="AD685">
        <f t="shared" si="374"/>
        <v>0</v>
      </c>
      <c r="AE685">
        <f t="shared" si="375"/>
        <v>0</v>
      </c>
      <c r="AF685">
        <f t="shared" si="376"/>
        <v>0</v>
      </c>
      <c r="AG685">
        <f t="shared" si="377"/>
        <v>0</v>
      </c>
      <c r="AH685">
        <f t="shared" si="378"/>
        <v>0</v>
      </c>
      <c r="AJ685">
        <f t="shared" si="379"/>
        <v>1239.01</v>
      </c>
      <c r="AK685">
        <f t="shared" si="380"/>
        <v>0</v>
      </c>
      <c r="AL685">
        <f t="shared" si="381"/>
        <v>0</v>
      </c>
      <c r="AM685">
        <f t="shared" si="382"/>
        <v>0</v>
      </c>
      <c r="AN685">
        <f t="shared" si="383"/>
        <v>0</v>
      </c>
      <c r="AO685">
        <f t="shared" si="384"/>
        <v>0</v>
      </c>
    </row>
    <row r="686" spans="1:41" x14ac:dyDescent="0.45">
      <c r="A686">
        <v>39.204594309999997</v>
      </c>
      <c r="B686">
        <v>118.4996922</v>
      </c>
      <c r="C686">
        <v>8.4687528600000004</v>
      </c>
      <c r="D686">
        <v>3.7871150999999998</v>
      </c>
      <c r="E686">
        <f t="shared" si="350"/>
        <v>3.7871150999999998</v>
      </c>
      <c r="F686">
        <f t="shared" si="351"/>
        <v>0</v>
      </c>
      <c r="G686">
        <f t="shared" si="352"/>
        <v>0</v>
      </c>
      <c r="H686">
        <f t="shared" si="353"/>
        <v>0</v>
      </c>
      <c r="I686">
        <f t="shared" si="354"/>
        <v>0</v>
      </c>
      <c r="J686">
        <f t="shared" si="355"/>
        <v>0</v>
      </c>
      <c r="K686" s="1">
        <f t="shared" si="356"/>
        <v>0</v>
      </c>
      <c r="L686" s="1">
        <f t="shared" si="357"/>
        <v>0</v>
      </c>
      <c r="M686" s="1">
        <f t="shared" si="358"/>
        <v>0</v>
      </c>
      <c r="N686" s="1">
        <f t="shared" si="359"/>
        <v>0</v>
      </c>
      <c r="O686" s="1">
        <f t="shared" si="360"/>
        <v>0</v>
      </c>
      <c r="P686" s="1">
        <f t="shared" si="361"/>
        <v>25</v>
      </c>
      <c r="Q686" s="1" t="e">
        <f t="shared" si="362"/>
        <v>#DIV/0!</v>
      </c>
      <c r="R686" s="1" t="e">
        <f t="shared" si="363"/>
        <v>#DIV/0!</v>
      </c>
      <c r="S686" s="1" t="e">
        <f t="shared" si="364"/>
        <v>#DIV/0!</v>
      </c>
      <c r="T686" s="1" t="e">
        <f t="shared" si="365"/>
        <v>#DIV/0!</v>
      </c>
      <c r="U686" s="1" t="e">
        <f t="shared" si="366"/>
        <v>#DIV/0!</v>
      </c>
      <c r="V686">
        <f t="shared" si="367"/>
        <v>851.48</v>
      </c>
      <c r="W686">
        <f t="shared" si="368"/>
        <v>0</v>
      </c>
      <c r="X686">
        <f t="shared" si="369"/>
        <v>0</v>
      </c>
      <c r="Y686">
        <f t="shared" si="370"/>
        <v>0</v>
      </c>
      <c r="Z686">
        <f t="shared" si="371"/>
        <v>0</v>
      </c>
      <c r="AA686">
        <f t="shared" si="372"/>
        <v>0</v>
      </c>
      <c r="AC686">
        <f t="shared" si="373"/>
        <v>1045.25</v>
      </c>
      <c r="AD686">
        <f t="shared" si="374"/>
        <v>0</v>
      </c>
      <c r="AE686">
        <f t="shared" si="375"/>
        <v>0</v>
      </c>
      <c r="AF686">
        <f t="shared" si="376"/>
        <v>0</v>
      </c>
      <c r="AG686">
        <f t="shared" si="377"/>
        <v>0</v>
      </c>
      <c r="AH686">
        <f t="shared" si="378"/>
        <v>0</v>
      </c>
      <c r="AJ686">
        <f t="shared" si="379"/>
        <v>1239.01</v>
      </c>
      <c r="AK686">
        <f t="shared" si="380"/>
        <v>0</v>
      </c>
      <c r="AL686">
        <f t="shared" si="381"/>
        <v>0</v>
      </c>
      <c r="AM686">
        <f t="shared" si="382"/>
        <v>0</v>
      </c>
      <c r="AN686">
        <f t="shared" si="383"/>
        <v>0</v>
      </c>
      <c r="AO686">
        <f t="shared" si="384"/>
        <v>0</v>
      </c>
    </row>
    <row r="687" spans="1:41" x14ac:dyDescent="0.45">
      <c r="A687">
        <v>39.210476870000001</v>
      </c>
      <c r="B687">
        <v>118.4412883</v>
      </c>
      <c r="C687">
        <v>8.4687528600000004</v>
      </c>
      <c r="D687">
        <v>0.39322500999999999</v>
      </c>
      <c r="E687">
        <f t="shared" si="350"/>
        <v>0.39322500999999999</v>
      </c>
      <c r="F687">
        <f t="shared" si="351"/>
        <v>0</v>
      </c>
      <c r="G687">
        <f t="shared" si="352"/>
        <v>0</v>
      </c>
      <c r="H687">
        <f t="shared" si="353"/>
        <v>0</v>
      </c>
      <c r="I687">
        <f t="shared" si="354"/>
        <v>0</v>
      </c>
      <c r="J687">
        <f t="shared" si="355"/>
        <v>0</v>
      </c>
      <c r="K687" s="1">
        <f t="shared" si="356"/>
        <v>0</v>
      </c>
      <c r="L687" s="1">
        <f t="shared" si="357"/>
        <v>0</v>
      </c>
      <c r="M687" s="1">
        <f t="shared" si="358"/>
        <v>0</v>
      </c>
      <c r="N687" s="1">
        <f t="shared" si="359"/>
        <v>0</v>
      </c>
      <c r="O687" s="1">
        <f t="shared" si="360"/>
        <v>0</v>
      </c>
      <c r="P687" s="1">
        <f t="shared" si="361"/>
        <v>24.999999999999996</v>
      </c>
      <c r="Q687" s="1" t="e">
        <f t="shared" si="362"/>
        <v>#DIV/0!</v>
      </c>
      <c r="R687" s="1" t="e">
        <f t="shared" si="363"/>
        <v>#DIV/0!</v>
      </c>
      <c r="S687" s="1" t="e">
        <f t="shared" si="364"/>
        <v>#DIV/0!</v>
      </c>
      <c r="T687" s="1" t="e">
        <f t="shared" si="365"/>
        <v>#DIV/0!</v>
      </c>
      <c r="U687" s="1" t="e">
        <f t="shared" si="366"/>
        <v>#DIV/0!</v>
      </c>
      <c r="V687">
        <f t="shared" si="367"/>
        <v>851.4799999999999</v>
      </c>
      <c r="W687">
        <f t="shared" si="368"/>
        <v>0</v>
      </c>
      <c r="X687">
        <f t="shared" si="369"/>
        <v>0</v>
      </c>
      <c r="Y687">
        <f t="shared" si="370"/>
        <v>0</v>
      </c>
      <c r="Z687">
        <f t="shared" si="371"/>
        <v>0</v>
      </c>
      <c r="AA687">
        <f t="shared" si="372"/>
        <v>0</v>
      </c>
      <c r="AC687">
        <f t="shared" si="373"/>
        <v>1045.25</v>
      </c>
      <c r="AD687">
        <f t="shared" si="374"/>
        <v>0</v>
      </c>
      <c r="AE687">
        <f t="shared" si="375"/>
        <v>0</v>
      </c>
      <c r="AF687">
        <f t="shared" si="376"/>
        <v>0</v>
      </c>
      <c r="AG687">
        <f t="shared" si="377"/>
        <v>0</v>
      </c>
      <c r="AH687">
        <f t="shared" si="378"/>
        <v>0</v>
      </c>
      <c r="AJ687">
        <f t="shared" si="379"/>
        <v>1239.0099999999998</v>
      </c>
      <c r="AK687">
        <f t="shared" si="380"/>
        <v>0</v>
      </c>
      <c r="AL687">
        <f t="shared" si="381"/>
        <v>0</v>
      </c>
      <c r="AM687">
        <f t="shared" si="382"/>
        <v>0</v>
      </c>
      <c r="AN687">
        <f t="shared" si="383"/>
        <v>0</v>
      </c>
      <c r="AO687">
        <f t="shared" si="384"/>
        <v>0</v>
      </c>
    </row>
    <row r="688" spans="1:41" x14ac:dyDescent="0.45">
      <c r="A688">
        <v>39.210814419999998</v>
      </c>
      <c r="B688">
        <v>119.74895239999999</v>
      </c>
      <c r="C688">
        <v>34.145671839999999</v>
      </c>
      <c r="D688">
        <v>28.078243260000001</v>
      </c>
      <c r="E688">
        <f t="shared" si="350"/>
        <v>28.078243260000001</v>
      </c>
      <c r="F688">
        <f t="shared" si="351"/>
        <v>0</v>
      </c>
      <c r="G688">
        <f t="shared" si="352"/>
        <v>0</v>
      </c>
      <c r="H688">
        <f t="shared" si="353"/>
        <v>0</v>
      </c>
      <c r="I688">
        <f t="shared" si="354"/>
        <v>0</v>
      </c>
      <c r="J688">
        <f t="shared" si="355"/>
        <v>0</v>
      </c>
      <c r="K688" s="1">
        <f t="shared" si="356"/>
        <v>0</v>
      </c>
      <c r="L688" s="1">
        <f t="shared" si="357"/>
        <v>0</v>
      </c>
      <c r="M688" s="1">
        <f t="shared" si="358"/>
        <v>0</v>
      </c>
      <c r="N688" s="1">
        <f t="shared" si="359"/>
        <v>0</v>
      </c>
      <c r="O688" s="1">
        <f t="shared" si="360"/>
        <v>0</v>
      </c>
      <c r="P688" s="1">
        <f t="shared" si="361"/>
        <v>25</v>
      </c>
      <c r="Q688" s="1" t="e">
        <f t="shared" si="362"/>
        <v>#DIV/0!</v>
      </c>
      <c r="R688" s="1" t="e">
        <f t="shared" si="363"/>
        <v>#DIV/0!</v>
      </c>
      <c r="S688" s="1" t="e">
        <f t="shared" si="364"/>
        <v>#DIV/0!</v>
      </c>
      <c r="T688" s="1" t="e">
        <f t="shared" si="365"/>
        <v>#DIV/0!</v>
      </c>
      <c r="U688" s="1" t="e">
        <f t="shared" si="366"/>
        <v>#DIV/0!</v>
      </c>
      <c r="V688">
        <f t="shared" si="367"/>
        <v>851.48</v>
      </c>
      <c r="W688">
        <f t="shared" si="368"/>
        <v>0</v>
      </c>
      <c r="X688">
        <f t="shared" si="369"/>
        <v>0</v>
      </c>
      <c r="Y688">
        <f t="shared" si="370"/>
        <v>0</v>
      </c>
      <c r="Z688">
        <f t="shared" si="371"/>
        <v>0</v>
      </c>
      <c r="AA688">
        <f t="shared" si="372"/>
        <v>0</v>
      </c>
      <c r="AC688">
        <f t="shared" si="373"/>
        <v>1045.25</v>
      </c>
      <c r="AD688">
        <f t="shared" si="374"/>
        <v>0</v>
      </c>
      <c r="AE688">
        <f t="shared" si="375"/>
        <v>0</v>
      </c>
      <c r="AF688">
        <f t="shared" si="376"/>
        <v>0</v>
      </c>
      <c r="AG688">
        <f t="shared" si="377"/>
        <v>0</v>
      </c>
      <c r="AH688">
        <f t="shared" si="378"/>
        <v>0</v>
      </c>
      <c r="AJ688">
        <f t="shared" si="379"/>
        <v>1239.01</v>
      </c>
      <c r="AK688">
        <f t="shared" si="380"/>
        <v>0</v>
      </c>
      <c r="AL688">
        <f t="shared" si="381"/>
        <v>0</v>
      </c>
      <c r="AM688">
        <f t="shared" si="382"/>
        <v>0</v>
      </c>
      <c r="AN688">
        <f t="shared" si="383"/>
        <v>0</v>
      </c>
      <c r="AO688">
        <f t="shared" si="384"/>
        <v>0</v>
      </c>
    </row>
    <row r="689" spans="1:41" x14ac:dyDescent="0.45">
      <c r="A689">
        <v>39.211933930000001</v>
      </c>
      <c r="B689">
        <v>116.42503929999999</v>
      </c>
      <c r="C689">
        <v>53.31973267</v>
      </c>
      <c r="D689">
        <v>4.36806202</v>
      </c>
      <c r="E689">
        <f t="shared" si="350"/>
        <v>4.36806202</v>
      </c>
      <c r="F689">
        <f t="shared" si="351"/>
        <v>0</v>
      </c>
      <c r="G689">
        <f t="shared" si="352"/>
        <v>0</v>
      </c>
      <c r="H689">
        <f t="shared" si="353"/>
        <v>0</v>
      </c>
      <c r="I689">
        <f t="shared" si="354"/>
        <v>0</v>
      </c>
      <c r="J689">
        <f t="shared" si="355"/>
        <v>0</v>
      </c>
      <c r="K689" s="1">
        <f t="shared" si="356"/>
        <v>0</v>
      </c>
      <c r="L689" s="1">
        <f t="shared" si="357"/>
        <v>0</v>
      </c>
      <c r="M689" s="1">
        <f t="shared" si="358"/>
        <v>0</v>
      </c>
      <c r="N689" s="1">
        <f t="shared" si="359"/>
        <v>0</v>
      </c>
      <c r="O689" s="1">
        <f t="shared" si="360"/>
        <v>0</v>
      </c>
      <c r="P689" s="1">
        <f t="shared" si="361"/>
        <v>25</v>
      </c>
      <c r="Q689" s="1" t="e">
        <f t="shared" si="362"/>
        <v>#DIV/0!</v>
      </c>
      <c r="R689" s="1" t="e">
        <f t="shared" si="363"/>
        <v>#DIV/0!</v>
      </c>
      <c r="S689" s="1" t="e">
        <f t="shared" si="364"/>
        <v>#DIV/0!</v>
      </c>
      <c r="T689" s="1" t="e">
        <f t="shared" si="365"/>
        <v>#DIV/0!</v>
      </c>
      <c r="U689" s="1" t="e">
        <f t="shared" si="366"/>
        <v>#DIV/0!</v>
      </c>
      <c r="V689">
        <f t="shared" si="367"/>
        <v>851.48</v>
      </c>
      <c r="W689">
        <f t="shared" si="368"/>
        <v>0</v>
      </c>
      <c r="X689">
        <f t="shared" si="369"/>
        <v>0</v>
      </c>
      <c r="Y689">
        <f t="shared" si="370"/>
        <v>0</v>
      </c>
      <c r="Z689">
        <f t="shared" si="371"/>
        <v>0</v>
      </c>
      <c r="AA689">
        <f t="shared" si="372"/>
        <v>0</v>
      </c>
      <c r="AC689">
        <f t="shared" si="373"/>
        <v>1045.25</v>
      </c>
      <c r="AD689">
        <f t="shared" si="374"/>
        <v>0</v>
      </c>
      <c r="AE689">
        <f t="shared" si="375"/>
        <v>0</v>
      </c>
      <c r="AF689">
        <f t="shared" si="376"/>
        <v>0</v>
      </c>
      <c r="AG689">
        <f t="shared" si="377"/>
        <v>0</v>
      </c>
      <c r="AH689">
        <f t="shared" si="378"/>
        <v>0</v>
      </c>
      <c r="AJ689">
        <f t="shared" si="379"/>
        <v>1239.01</v>
      </c>
      <c r="AK689">
        <f t="shared" si="380"/>
        <v>0</v>
      </c>
      <c r="AL689">
        <f t="shared" si="381"/>
        <v>0</v>
      </c>
      <c r="AM689">
        <f t="shared" si="382"/>
        <v>0</v>
      </c>
      <c r="AN689">
        <f t="shared" si="383"/>
        <v>0</v>
      </c>
      <c r="AO689">
        <f t="shared" si="384"/>
        <v>0</v>
      </c>
    </row>
    <row r="690" spans="1:41" x14ac:dyDescent="0.45">
      <c r="A690">
        <v>39.216765100000003</v>
      </c>
      <c r="B690">
        <v>120.1071228</v>
      </c>
      <c r="C690">
        <v>61.15704727</v>
      </c>
      <c r="D690">
        <v>5.1420869800000002</v>
      </c>
      <c r="E690">
        <f t="shared" si="350"/>
        <v>5.1420869800000002</v>
      </c>
      <c r="F690">
        <f t="shared" si="351"/>
        <v>0</v>
      </c>
      <c r="G690">
        <f t="shared" si="352"/>
        <v>0</v>
      </c>
      <c r="H690">
        <f t="shared" si="353"/>
        <v>0</v>
      </c>
      <c r="I690">
        <f t="shared" si="354"/>
        <v>0</v>
      </c>
      <c r="J690">
        <f t="shared" si="355"/>
        <v>0</v>
      </c>
      <c r="K690" s="1">
        <f t="shared" si="356"/>
        <v>0</v>
      </c>
      <c r="L690" s="1">
        <f t="shared" si="357"/>
        <v>0</v>
      </c>
      <c r="M690" s="1">
        <f t="shared" si="358"/>
        <v>0</v>
      </c>
      <c r="N690" s="1">
        <f t="shared" si="359"/>
        <v>0</v>
      </c>
      <c r="O690" s="1">
        <f t="shared" si="360"/>
        <v>0</v>
      </c>
      <c r="P690" s="1">
        <f t="shared" si="361"/>
        <v>25</v>
      </c>
      <c r="Q690" s="1" t="e">
        <f t="shared" si="362"/>
        <v>#DIV/0!</v>
      </c>
      <c r="R690" s="1" t="e">
        <f t="shared" si="363"/>
        <v>#DIV/0!</v>
      </c>
      <c r="S690" s="1" t="e">
        <f t="shared" si="364"/>
        <v>#DIV/0!</v>
      </c>
      <c r="T690" s="1" t="e">
        <f t="shared" si="365"/>
        <v>#DIV/0!</v>
      </c>
      <c r="U690" s="1" t="e">
        <f t="shared" si="366"/>
        <v>#DIV/0!</v>
      </c>
      <c r="V690">
        <f t="shared" si="367"/>
        <v>851.48</v>
      </c>
      <c r="W690">
        <f t="shared" si="368"/>
        <v>0</v>
      </c>
      <c r="X690">
        <f t="shared" si="369"/>
        <v>0</v>
      </c>
      <c r="Y690">
        <f t="shared" si="370"/>
        <v>0</v>
      </c>
      <c r="Z690">
        <f t="shared" si="371"/>
        <v>0</v>
      </c>
      <c r="AA690">
        <f t="shared" si="372"/>
        <v>0</v>
      </c>
      <c r="AC690">
        <f t="shared" si="373"/>
        <v>1045.25</v>
      </c>
      <c r="AD690">
        <f t="shared" si="374"/>
        <v>0</v>
      </c>
      <c r="AE690">
        <f t="shared" si="375"/>
        <v>0</v>
      </c>
      <c r="AF690">
        <f t="shared" si="376"/>
        <v>0</v>
      </c>
      <c r="AG690">
        <f t="shared" si="377"/>
        <v>0</v>
      </c>
      <c r="AH690">
        <f t="shared" si="378"/>
        <v>0</v>
      </c>
      <c r="AJ690">
        <f t="shared" si="379"/>
        <v>1239.01</v>
      </c>
      <c r="AK690">
        <f t="shared" si="380"/>
        <v>0</v>
      </c>
      <c r="AL690">
        <f t="shared" si="381"/>
        <v>0</v>
      </c>
      <c r="AM690">
        <f t="shared" si="382"/>
        <v>0</v>
      </c>
      <c r="AN690">
        <f t="shared" si="383"/>
        <v>0</v>
      </c>
      <c r="AO690">
        <f t="shared" si="384"/>
        <v>0</v>
      </c>
    </row>
    <row r="691" spans="1:41" x14ac:dyDescent="0.45">
      <c r="A691">
        <v>39.221685309999998</v>
      </c>
      <c r="B691">
        <v>120.46534490000001</v>
      </c>
      <c r="C691">
        <v>23.28526115</v>
      </c>
      <c r="D691">
        <v>12.48792458</v>
      </c>
      <c r="E691">
        <f t="shared" si="350"/>
        <v>12.48792458</v>
      </c>
      <c r="F691">
        <f t="shared" si="351"/>
        <v>0</v>
      </c>
      <c r="G691">
        <f t="shared" si="352"/>
        <v>0</v>
      </c>
      <c r="H691">
        <f t="shared" si="353"/>
        <v>0</v>
      </c>
      <c r="I691">
        <f t="shared" si="354"/>
        <v>0</v>
      </c>
      <c r="J691">
        <f t="shared" si="355"/>
        <v>0</v>
      </c>
      <c r="K691" s="1">
        <f t="shared" si="356"/>
        <v>0</v>
      </c>
      <c r="L691" s="1">
        <f t="shared" si="357"/>
        <v>0</v>
      </c>
      <c r="M691" s="1">
        <f t="shared" si="358"/>
        <v>0</v>
      </c>
      <c r="N691" s="1">
        <f t="shared" si="359"/>
        <v>0</v>
      </c>
      <c r="O691" s="1">
        <f t="shared" si="360"/>
        <v>0</v>
      </c>
      <c r="P691" s="1">
        <f t="shared" si="361"/>
        <v>25</v>
      </c>
      <c r="Q691" s="1" t="e">
        <f t="shared" si="362"/>
        <v>#DIV/0!</v>
      </c>
      <c r="R691" s="1" t="e">
        <f t="shared" si="363"/>
        <v>#DIV/0!</v>
      </c>
      <c r="S691" s="1" t="e">
        <f t="shared" si="364"/>
        <v>#DIV/0!</v>
      </c>
      <c r="T691" s="1" t="e">
        <f t="shared" si="365"/>
        <v>#DIV/0!</v>
      </c>
      <c r="U691" s="1" t="e">
        <f t="shared" si="366"/>
        <v>#DIV/0!</v>
      </c>
      <c r="V691">
        <f t="shared" si="367"/>
        <v>851.48</v>
      </c>
      <c r="W691">
        <f t="shared" si="368"/>
        <v>0</v>
      </c>
      <c r="X691">
        <f t="shared" si="369"/>
        <v>0</v>
      </c>
      <c r="Y691">
        <f t="shared" si="370"/>
        <v>0</v>
      </c>
      <c r="Z691">
        <f t="shared" si="371"/>
        <v>0</v>
      </c>
      <c r="AA691">
        <f t="shared" si="372"/>
        <v>0</v>
      </c>
      <c r="AC691">
        <f t="shared" si="373"/>
        <v>1045.25</v>
      </c>
      <c r="AD691">
        <f t="shared" si="374"/>
        <v>0</v>
      </c>
      <c r="AE691">
        <f t="shared" si="375"/>
        <v>0</v>
      </c>
      <c r="AF691">
        <f t="shared" si="376"/>
        <v>0</v>
      </c>
      <c r="AG691">
        <f t="shared" si="377"/>
        <v>0</v>
      </c>
      <c r="AH691">
        <f t="shared" si="378"/>
        <v>0</v>
      </c>
      <c r="AJ691">
        <f t="shared" si="379"/>
        <v>1239.01</v>
      </c>
      <c r="AK691">
        <f t="shared" si="380"/>
        <v>0</v>
      </c>
      <c r="AL691">
        <f t="shared" si="381"/>
        <v>0</v>
      </c>
      <c r="AM691">
        <f t="shared" si="382"/>
        <v>0</v>
      </c>
      <c r="AN691">
        <f t="shared" si="383"/>
        <v>0</v>
      </c>
      <c r="AO691">
        <f t="shared" si="384"/>
        <v>0</v>
      </c>
    </row>
    <row r="692" spans="1:41" x14ac:dyDescent="0.45">
      <c r="A692">
        <v>39.230009199999998</v>
      </c>
      <c r="B692">
        <v>119.9905523</v>
      </c>
      <c r="C692">
        <v>106.57798769999999</v>
      </c>
      <c r="D692">
        <v>1.4691679499999999</v>
      </c>
      <c r="E692">
        <f t="shared" si="350"/>
        <v>1.4691679499999999</v>
      </c>
      <c r="F692">
        <f t="shared" si="351"/>
        <v>0</v>
      </c>
      <c r="G692">
        <f t="shared" si="352"/>
        <v>0</v>
      </c>
      <c r="H692">
        <f t="shared" si="353"/>
        <v>0</v>
      </c>
      <c r="I692">
        <f t="shared" si="354"/>
        <v>0</v>
      </c>
      <c r="J692">
        <f t="shared" si="355"/>
        <v>0</v>
      </c>
      <c r="K692" s="1">
        <f t="shared" si="356"/>
        <v>0</v>
      </c>
      <c r="L692" s="1">
        <f t="shared" si="357"/>
        <v>0</v>
      </c>
      <c r="M692" s="1">
        <f t="shared" si="358"/>
        <v>0</v>
      </c>
      <c r="N692" s="1">
        <f t="shared" si="359"/>
        <v>0</v>
      </c>
      <c r="O692" s="1">
        <f t="shared" si="360"/>
        <v>0</v>
      </c>
      <c r="P692" s="1">
        <f t="shared" si="361"/>
        <v>25</v>
      </c>
      <c r="Q692" s="1" t="e">
        <f t="shared" si="362"/>
        <v>#DIV/0!</v>
      </c>
      <c r="R692" s="1" t="e">
        <f t="shared" si="363"/>
        <v>#DIV/0!</v>
      </c>
      <c r="S692" s="1" t="e">
        <f t="shared" si="364"/>
        <v>#DIV/0!</v>
      </c>
      <c r="T692" s="1" t="e">
        <f t="shared" si="365"/>
        <v>#DIV/0!</v>
      </c>
      <c r="U692" s="1" t="e">
        <f t="shared" si="366"/>
        <v>#DIV/0!</v>
      </c>
      <c r="V692">
        <f t="shared" si="367"/>
        <v>851.48</v>
      </c>
      <c r="W692">
        <f t="shared" si="368"/>
        <v>0</v>
      </c>
      <c r="X692">
        <f t="shared" si="369"/>
        <v>0</v>
      </c>
      <c r="Y692">
        <f t="shared" si="370"/>
        <v>0</v>
      </c>
      <c r="Z692">
        <f t="shared" si="371"/>
        <v>0</v>
      </c>
      <c r="AA692">
        <f t="shared" si="372"/>
        <v>0</v>
      </c>
      <c r="AC692">
        <f t="shared" si="373"/>
        <v>1045.25</v>
      </c>
      <c r="AD692">
        <f t="shared" si="374"/>
        <v>0</v>
      </c>
      <c r="AE692">
        <f t="shared" si="375"/>
        <v>0</v>
      </c>
      <c r="AF692">
        <f t="shared" si="376"/>
        <v>0</v>
      </c>
      <c r="AG692">
        <f t="shared" si="377"/>
        <v>0</v>
      </c>
      <c r="AH692">
        <f t="shared" si="378"/>
        <v>0</v>
      </c>
      <c r="AJ692">
        <f t="shared" si="379"/>
        <v>1239.01</v>
      </c>
      <c r="AK692">
        <f t="shared" si="380"/>
        <v>0</v>
      </c>
      <c r="AL692">
        <f t="shared" si="381"/>
        <v>0</v>
      </c>
      <c r="AM692">
        <f t="shared" si="382"/>
        <v>0</v>
      </c>
      <c r="AN692">
        <f t="shared" si="383"/>
        <v>0</v>
      </c>
      <c r="AO692">
        <f t="shared" si="384"/>
        <v>0</v>
      </c>
    </row>
    <row r="693" spans="1:41" x14ac:dyDescent="0.45">
      <c r="A693">
        <v>39.242881189999999</v>
      </c>
      <c r="B693">
        <v>119.4573199</v>
      </c>
      <c r="C693">
        <v>18.472446439999999</v>
      </c>
      <c r="D693">
        <v>0.73458396999999998</v>
      </c>
      <c r="E693">
        <f t="shared" si="350"/>
        <v>0.73458396999999998</v>
      </c>
      <c r="F693">
        <f t="shared" si="351"/>
        <v>0</v>
      </c>
      <c r="G693">
        <f t="shared" si="352"/>
        <v>0</v>
      </c>
      <c r="H693">
        <f t="shared" si="353"/>
        <v>0</v>
      </c>
      <c r="I693">
        <f t="shared" si="354"/>
        <v>0</v>
      </c>
      <c r="J693">
        <f t="shared" si="355"/>
        <v>0</v>
      </c>
      <c r="K693" s="1">
        <f t="shared" si="356"/>
        <v>0</v>
      </c>
      <c r="L693" s="1">
        <f t="shared" si="357"/>
        <v>0</v>
      </c>
      <c r="M693" s="1">
        <f t="shared" si="358"/>
        <v>0</v>
      </c>
      <c r="N693" s="1">
        <f t="shared" si="359"/>
        <v>0</v>
      </c>
      <c r="O693" s="1">
        <f t="shared" si="360"/>
        <v>0</v>
      </c>
      <c r="P693" s="1">
        <f t="shared" si="361"/>
        <v>24.999999999999996</v>
      </c>
      <c r="Q693" s="1" t="e">
        <f t="shared" si="362"/>
        <v>#DIV/0!</v>
      </c>
      <c r="R693" s="1" t="e">
        <f t="shared" si="363"/>
        <v>#DIV/0!</v>
      </c>
      <c r="S693" s="1" t="e">
        <f t="shared" si="364"/>
        <v>#DIV/0!</v>
      </c>
      <c r="T693" s="1" t="e">
        <f t="shared" si="365"/>
        <v>#DIV/0!</v>
      </c>
      <c r="U693" s="1" t="e">
        <f t="shared" si="366"/>
        <v>#DIV/0!</v>
      </c>
      <c r="V693">
        <f t="shared" si="367"/>
        <v>851.4799999999999</v>
      </c>
      <c r="W693">
        <f t="shared" si="368"/>
        <v>0</v>
      </c>
      <c r="X693">
        <f t="shared" si="369"/>
        <v>0</v>
      </c>
      <c r="Y693">
        <f t="shared" si="370"/>
        <v>0</v>
      </c>
      <c r="Z693">
        <f t="shared" si="371"/>
        <v>0</v>
      </c>
      <c r="AA693">
        <f t="shared" si="372"/>
        <v>0</v>
      </c>
      <c r="AC693">
        <f t="shared" si="373"/>
        <v>1045.25</v>
      </c>
      <c r="AD693">
        <f t="shared" si="374"/>
        <v>0</v>
      </c>
      <c r="AE693">
        <f t="shared" si="375"/>
        <v>0</v>
      </c>
      <c r="AF693">
        <f t="shared" si="376"/>
        <v>0</v>
      </c>
      <c r="AG693">
        <f t="shared" si="377"/>
        <v>0</v>
      </c>
      <c r="AH693">
        <f t="shared" si="378"/>
        <v>0</v>
      </c>
      <c r="AJ693">
        <f t="shared" si="379"/>
        <v>1239.0099999999998</v>
      </c>
      <c r="AK693">
        <f t="shared" si="380"/>
        <v>0</v>
      </c>
      <c r="AL693">
        <f t="shared" si="381"/>
        <v>0</v>
      </c>
      <c r="AM693">
        <f t="shared" si="382"/>
        <v>0</v>
      </c>
      <c r="AN693">
        <f t="shared" si="383"/>
        <v>0</v>
      </c>
      <c r="AO693">
        <f t="shared" si="384"/>
        <v>0</v>
      </c>
    </row>
    <row r="694" spans="1:41" x14ac:dyDescent="0.45">
      <c r="A694">
        <v>39.266990479999997</v>
      </c>
      <c r="B694">
        <v>120.47411409999999</v>
      </c>
      <c r="C694">
        <v>75.354934689999993</v>
      </c>
      <c r="D694">
        <v>1.4691679499999999</v>
      </c>
      <c r="E694">
        <f t="shared" si="350"/>
        <v>1.4691679499999999</v>
      </c>
      <c r="F694">
        <f t="shared" si="351"/>
        <v>0</v>
      </c>
      <c r="G694">
        <f t="shared" si="352"/>
        <v>0</v>
      </c>
      <c r="H694">
        <f t="shared" si="353"/>
        <v>0</v>
      </c>
      <c r="I694">
        <f t="shared" si="354"/>
        <v>0</v>
      </c>
      <c r="J694">
        <f t="shared" si="355"/>
        <v>0</v>
      </c>
      <c r="K694" s="1">
        <f t="shared" si="356"/>
        <v>0</v>
      </c>
      <c r="L694" s="1">
        <f t="shared" si="357"/>
        <v>0</v>
      </c>
      <c r="M694" s="1">
        <f t="shared" si="358"/>
        <v>0</v>
      </c>
      <c r="N694" s="1">
        <f t="shared" si="359"/>
        <v>0</v>
      </c>
      <c r="O694" s="1">
        <f t="shared" si="360"/>
        <v>0</v>
      </c>
      <c r="P694" s="1">
        <f t="shared" si="361"/>
        <v>25</v>
      </c>
      <c r="Q694" s="1" t="e">
        <f t="shared" si="362"/>
        <v>#DIV/0!</v>
      </c>
      <c r="R694" s="1" t="e">
        <f t="shared" si="363"/>
        <v>#DIV/0!</v>
      </c>
      <c r="S694" s="1" t="e">
        <f t="shared" si="364"/>
        <v>#DIV/0!</v>
      </c>
      <c r="T694" s="1" t="e">
        <f t="shared" si="365"/>
        <v>#DIV/0!</v>
      </c>
      <c r="U694" s="1" t="e">
        <f t="shared" si="366"/>
        <v>#DIV/0!</v>
      </c>
      <c r="V694">
        <f t="shared" si="367"/>
        <v>851.48</v>
      </c>
      <c r="W694">
        <f t="shared" si="368"/>
        <v>0</v>
      </c>
      <c r="X694">
        <f t="shared" si="369"/>
        <v>0</v>
      </c>
      <c r="Y694">
        <f t="shared" si="370"/>
        <v>0</v>
      </c>
      <c r="Z694">
        <f t="shared" si="371"/>
        <v>0</v>
      </c>
      <c r="AA694">
        <f t="shared" si="372"/>
        <v>0</v>
      </c>
      <c r="AC694">
        <f t="shared" si="373"/>
        <v>1045.25</v>
      </c>
      <c r="AD694">
        <f t="shared" si="374"/>
        <v>0</v>
      </c>
      <c r="AE694">
        <f t="shared" si="375"/>
        <v>0</v>
      </c>
      <c r="AF694">
        <f t="shared" si="376"/>
        <v>0</v>
      </c>
      <c r="AG694">
        <f t="shared" si="377"/>
        <v>0</v>
      </c>
      <c r="AH694">
        <f t="shared" si="378"/>
        <v>0</v>
      </c>
      <c r="AJ694">
        <f t="shared" si="379"/>
        <v>1239.01</v>
      </c>
      <c r="AK694">
        <f t="shared" si="380"/>
        <v>0</v>
      </c>
      <c r="AL694">
        <f t="shared" si="381"/>
        <v>0</v>
      </c>
      <c r="AM694">
        <f t="shared" si="382"/>
        <v>0</v>
      </c>
      <c r="AN694">
        <f t="shared" si="383"/>
        <v>0</v>
      </c>
      <c r="AO694">
        <f t="shared" si="384"/>
        <v>0</v>
      </c>
    </row>
    <row r="695" spans="1:41" x14ac:dyDescent="0.45">
      <c r="A695">
        <v>39.291696420000001</v>
      </c>
      <c r="B695">
        <v>120.65779209999999</v>
      </c>
      <c r="C695">
        <v>31.50655746</v>
      </c>
      <c r="D695">
        <v>9.7945000000000004E-2</v>
      </c>
      <c r="E695">
        <f t="shared" si="350"/>
        <v>9.7945000000000004E-2</v>
      </c>
      <c r="F695">
        <f t="shared" si="351"/>
        <v>0</v>
      </c>
      <c r="G695">
        <f t="shared" si="352"/>
        <v>0</v>
      </c>
      <c r="H695">
        <f t="shared" si="353"/>
        <v>0</v>
      </c>
      <c r="I695">
        <f t="shared" si="354"/>
        <v>0</v>
      </c>
      <c r="J695">
        <f t="shared" si="355"/>
        <v>0</v>
      </c>
      <c r="K695" s="1">
        <f t="shared" si="356"/>
        <v>0</v>
      </c>
      <c r="L695" s="1">
        <f t="shared" si="357"/>
        <v>0</v>
      </c>
      <c r="M695" s="1">
        <f t="shared" si="358"/>
        <v>0</v>
      </c>
      <c r="N695" s="1">
        <f t="shared" si="359"/>
        <v>0</v>
      </c>
      <c r="O695" s="1">
        <f t="shared" si="360"/>
        <v>0</v>
      </c>
      <c r="P695" s="1">
        <f t="shared" si="361"/>
        <v>25</v>
      </c>
      <c r="Q695" s="1" t="e">
        <f t="shared" si="362"/>
        <v>#DIV/0!</v>
      </c>
      <c r="R695" s="1" t="e">
        <f t="shared" si="363"/>
        <v>#DIV/0!</v>
      </c>
      <c r="S695" s="1" t="e">
        <f t="shared" si="364"/>
        <v>#DIV/0!</v>
      </c>
      <c r="T695" s="1" t="e">
        <f t="shared" si="365"/>
        <v>#DIV/0!</v>
      </c>
      <c r="U695" s="1" t="e">
        <f t="shared" si="366"/>
        <v>#DIV/0!</v>
      </c>
      <c r="V695">
        <f t="shared" si="367"/>
        <v>851.48</v>
      </c>
      <c r="W695">
        <f t="shared" si="368"/>
        <v>0</v>
      </c>
      <c r="X695">
        <f t="shared" si="369"/>
        <v>0</v>
      </c>
      <c r="Y695">
        <f t="shared" si="370"/>
        <v>0</v>
      </c>
      <c r="Z695">
        <f t="shared" si="371"/>
        <v>0</v>
      </c>
      <c r="AA695">
        <f t="shared" si="372"/>
        <v>0</v>
      </c>
      <c r="AC695">
        <f t="shared" si="373"/>
        <v>1045.25</v>
      </c>
      <c r="AD695">
        <f t="shared" si="374"/>
        <v>0</v>
      </c>
      <c r="AE695">
        <f t="shared" si="375"/>
        <v>0</v>
      </c>
      <c r="AF695">
        <f t="shared" si="376"/>
        <v>0</v>
      </c>
      <c r="AG695">
        <f t="shared" si="377"/>
        <v>0</v>
      </c>
      <c r="AH695">
        <f t="shared" si="378"/>
        <v>0</v>
      </c>
      <c r="AJ695">
        <f t="shared" si="379"/>
        <v>1239.01</v>
      </c>
      <c r="AK695">
        <f t="shared" si="380"/>
        <v>0</v>
      </c>
      <c r="AL695">
        <f t="shared" si="381"/>
        <v>0</v>
      </c>
      <c r="AM695">
        <f t="shared" si="382"/>
        <v>0</v>
      </c>
      <c r="AN695">
        <f t="shared" si="383"/>
        <v>0</v>
      </c>
      <c r="AO695">
        <f t="shared" si="384"/>
        <v>0</v>
      </c>
    </row>
    <row r="696" spans="1:41" x14ac:dyDescent="0.45">
      <c r="A696">
        <v>39.31229278</v>
      </c>
      <c r="B696">
        <v>120.48289389999999</v>
      </c>
      <c r="C696">
        <v>27.2617321</v>
      </c>
      <c r="D696">
        <v>18.619251250000001</v>
      </c>
      <c r="E696">
        <f t="shared" si="350"/>
        <v>18.619251250000001</v>
      </c>
      <c r="F696">
        <f t="shared" si="351"/>
        <v>0</v>
      </c>
      <c r="G696">
        <f t="shared" si="352"/>
        <v>0</v>
      </c>
      <c r="H696">
        <f t="shared" si="353"/>
        <v>0</v>
      </c>
      <c r="I696">
        <f t="shared" si="354"/>
        <v>0</v>
      </c>
      <c r="J696">
        <f t="shared" si="355"/>
        <v>0</v>
      </c>
      <c r="K696" s="1">
        <f t="shared" si="356"/>
        <v>0</v>
      </c>
      <c r="L696" s="1">
        <f t="shared" si="357"/>
        <v>0</v>
      </c>
      <c r="M696" s="1">
        <f t="shared" si="358"/>
        <v>0</v>
      </c>
      <c r="N696" s="1">
        <f t="shared" si="359"/>
        <v>0</v>
      </c>
      <c r="O696" s="1">
        <f t="shared" si="360"/>
        <v>0</v>
      </c>
      <c r="P696" s="1">
        <f t="shared" si="361"/>
        <v>25</v>
      </c>
      <c r="Q696" s="1" t="e">
        <f t="shared" si="362"/>
        <v>#DIV/0!</v>
      </c>
      <c r="R696" s="1" t="e">
        <f t="shared" si="363"/>
        <v>#DIV/0!</v>
      </c>
      <c r="S696" s="1" t="e">
        <f t="shared" si="364"/>
        <v>#DIV/0!</v>
      </c>
      <c r="T696" s="1" t="e">
        <f t="shared" si="365"/>
        <v>#DIV/0!</v>
      </c>
      <c r="U696" s="1" t="e">
        <f t="shared" si="366"/>
        <v>#DIV/0!</v>
      </c>
      <c r="V696">
        <f t="shared" si="367"/>
        <v>851.48</v>
      </c>
      <c r="W696">
        <f t="shared" si="368"/>
        <v>0</v>
      </c>
      <c r="X696">
        <f t="shared" si="369"/>
        <v>0</v>
      </c>
      <c r="Y696">
        <f t="shared" si="370"/>
        <v>0</v>
      </c>
      <c r="Z696">
        <f t="shared" si="371"/>
        <v>0</v>
      </c>
      <c r="AA696">
        <f t="shared" si="372"/>
        <v>0</v>
      </c>
      <c r="AC696">
        <f t="shared" si="373"/>
        <v>1045.25</v>
      </c>
      <c r="AD696">
        <f t="shared" si="374"/>
        <v>0</v>
      </c>
      <c r="AE696">
        <f t="shared" si="375"/>
        <v>0</v>
      </c>
      <c r="AF696">
        <f t="shared" si="376"/>
        <v>0</v>
      </c>
      <c r="AG696">
        <f t="shared" si="377"/>
        <v>0</v>
      </c>
      <c r="AH696">
        <f t="shared" si="378"/>
        <v>0</v>
      </c>
      <c r="AJ696">
        <f t="shared" si="379"/>
        <v>1239.01</v>
      </c>
      <c r="AK696">
        <f t="shared" si="380"/>
        <v>0</v>
      </c>
      <c r="AL696">
        <f t="shared" si="381"/>
        <v>0</v>
      </c>
      <c r="AM696">
        <f t="shared" si="382"/>
        <v>0</v>
      </c>
      <c r="AN696">
        <f t="shared" si="383"/>
        <v>0</v>
      </c>
      <c r="AO696">
        <f t="shared" si="384"/>
        <v>0</v>
      </c>
    </row>
    <row r="697" spans="1:41" x14ac:dyDescent="0.45">
      <c r="A697">
        <v>39.319103589999997</v>
      </c>
      <c r="B697">
        <v>120.42457330000001</v>
      </c>
      <c r="C697">
        <v>63.334102629999997</v>
      </c>
      <c r="D697">
        <v>1.22430599</v>
      </c>
      <c r="E697">
        <f t="shared" si="350"/>
        <v>1.22430599</v>
      </c>
      <c r="F697">
        <f t="shared" si="351"/>
        <v>0</v>
      </c>
      <c r="G697">
        <f t="shared" si="352"/>
        <v>0</v>
      </c>
      <c r="H697">
        <f t="shared" si="353"/>
        <v>0</v>
      </c>
      <c r="I697">
        <f t="shared" si="354"/>
        <v>0</v>
      </c>
      <c r="J697">
        <f t="shared" si="355"/>
        <v>0</v>
      </c>
      <c r="K697" s="1">
        <f t="shared" si="356"/>
        <v>0</v>
      </c>
      <c r="L697" s="1">
        <f t="shared" si="357"/>
        <v>0</v>
      </c>
      <c r="M697" s="1">
        <f t="shared" si="358"/>
        <v>0</v>
      </c>
      <c r="N697" s="1">
        <f t="shared" si="359"/>
        <v>0</v>
      </c>
      <c r="O697" s="1">
        <f t="shared" si="360"/>
        <v>0</v>
      </c>
      <c r="P697" s="1">
        <f t="shared" si="361"/>
        <v>25</v>
      </c>
      <c r="Q697" s="1" t="e">
        <f t="shared" si="362"/>
        <v>#DIV/0!</v>
      </c>
      <c r="R697" s="1" t="e">
        <f t="shared" si="363"/>
        <v>#DIV/0!</v>
      </c>
      <c r="S697" s="1" t="e">
        <f t="shared" si="364"/>
        <v>#DIV/0!</v>
      </c>
      <c r="T697" s="1" t="e">
        <f t="shared" si="365"/>
        <v>#DIV/0!</v>
      </c>
      <c r="U697" s="1" t="e">
        <f t="shared" si="366"/>
        <v>#DIV/0!</v>
      </c>
      <c r="V697">
        <f t="shared" si="367"/>
        <v>851.48</v>
      </c>
      <c r="W697">
        <f t="shared" si="368"/>
        <v>0</v>
      </c>
      <c r="X697">
        <f t="shared" si="369"/>
        <v>0</v>
      </c>
      <c r="Y697">
        <f t="shared" si="370"/>
        <v>0</v>
      </c>
      <c r="Z697">
        <f t="shared" si="371"/>
        <v>0</v>
      </c>
      <c r="AA697">
        <f t="shared" si="372"/>
        <v>0</v>
      </c>
      <c r="AC697">
        <f t="shared" si="373"/>
        <v>1045.25</v>
      </c>
      <c r="AD697">
        <f t="shared" si="374"/>
        <v>0</v>
      </c>
      <c r="AE697">
        <f t="shared" si="375"/>
        <v>0</v>
      </c>
      <c r="AF697">
        <f t="shared" si="376"/>
        <v>0</v>
      </c>
      <c r="AG697">
        <f t="shared" si="377"/>
        <v>0</v>
      </c>
      <c r="AH697">
        <f t="shared" si="378"/>
        <v>0</v>
      </c>
      <c r="AJ697">
        <f t="shared" si="379"/>
        <v>1239.01</v>
      </c>
      <c r="AK697">
        <f t="shared" si="380"/>
        <v>0</v>
      </c>
      <c r="AL697">
        <f t="shared" si="381"/>
        <v>0</v>
      </c>
      <c r="AM697">
        <f t="shared" si="382"/>
        <v>0</v>
      </c>
      <c r="AN697">
        <f t="shared" si="383"/>
        <v>0</v>
      </c>
      <c r="AO697">
        <f t="shared" si="384"/>
        <v>0</v>
      </c>
    </row>
    <row r="698" spans="1:41" x14ac:dyDescent="0.45">
      <c r="A698">
        <v>39.33006056</v>
      </c>
      <c r="B698">
        <v>120.7249977</v>
      </c>
      <c r="C698">
        <v>26.389209749999999</v>
      </c>
      <c r="D698">
        <v>1.8633940200000001</v>
      </c>
      <c r="E698">
        <f t="shared" si="350"/>
        <v>1.8633940200000001</v>
      </c>
      <c r="F698">
        <f t="shared" si="351"/>
        <v>0</v>
      </c>
      <c r="G698">
        <f t="shared" si="352"/>
        <v>0</v>
      </c>
      <c r="H698">
        <f t="shared" si="353"/>
        <v>0</v>
      </c>
      <c r="I698">
        <f t="shared" si="354"/>
        <v>0</v>
      </c>
      <c r="J698">
        <f t="shared" si="355"/>
        <v>0</v>
      </c>
      <c r="K698" s="1">
        <f t="shared" si="356"/>
        <v>0</v>
      </c>
      <c r="L698" s="1">
        <f t="shared" si="357"/>
        <v>0</v>
      </c>
      <c r="M698" s="1">
        <f t="shared" si="358"/>
        <v>0</v>
      </c>
      <c r="N698" s="1">
        <f t="shared" si="359"/>
        <v>0</v>
      </c>
      <c r="O698" s="1">
        <f t="shared" si="360"/>
        <v>0</v>
      </c>
      <c r="P698" s="1">
        <f t="shared" si="361"/>
        <v>25</v>
      </c>
      <c r="Q698" s="1" t="e">
        <f t="shared" si="362"/>
        <v>#DIV/0!</v>
      </c>
      <c r="R698" s="1" t="e">
        <f t="shared" si="363"/>
        <v>#DIV/0!</v>
      </c>
      <c r="S698" s="1" t="e">
        <f t="shared" si="364"/>
        <v>#DIV/0!</v>
      </c>
      <c r="T698" s="1" t="e">
        <f t="shared" si="365"/>
        <v>#DIV/0!</v>
      </c>
      <c r="U698" s="1" t="e">
        <f t="shared" si="366"/>
        <v>#DIV/0!</v>
      </c>
      <c r="V698">
        <f t="shared" si="367"/>
        <v>851.48</v>
      </c>
      <c r="W698">
        <f t="shared" si="368"/>
        <v>0</v>
      </c>
      <c r="X698">
        <f t="shared" si="369"/>
        <v>0</v>
      </c>
      <c r="Y698">
        <f t="shared" si="370"/>
        <v>0</v>
      </c>
      <c r="Z698">
        <f t="shared" si="371"/>
        <v>0</v>
      </c>
      <c r="AA698">
        <f t="shared" si="372"/>
        <v>0</v>
      </c>
      <c r="AC698">
        <f t="shared" si="373"/>
        <v>1045.25</v>
      </c>
      <c r="AD698">
        <f t="shared" si="374"/>
        <v>0</v>
      </c>
      <c r="AE698">
        <f t="shared" si="375"/>
        <v>0</v>
      </c>
      <c r="AF698">
        <f t="shared" si="376"/>
        <v>0</v>
      </c>
      <c r="AG698">
        <f t="shared" si="377"/>
        <v>0</v>
      </c>
      <c r="AH698">
        <f t="shared" si="378"/>
        <v>0</v>
      </c>
      <c r="AJ698">
        <f t="shared" si="379"/>
        <v>1239.01</v>
      </c>
      <c r="AK698">
        <f t="shared" si="380"/>
        <v>0</v>
      </c>
      <c r="AL698">
        <f t="shared" si="381"/>
        <v>0</v>
      </c>
      <c r="AM698">
        <f t="shared" si="382"/>
        <v>0</v>
      </c>
      <c r="AN698">
        <f t="shared" si="383"/>
        <v>0</v>
      </c>
      <c r="AO698">
        <f t="shared" si="384"/>
        <v>0</v>
      </c>
    </row>
    <row r="699" spans="1:41" x14ac:dyDescent="0.45">
      <c r="A699">
        <v>39.333663989999998</v>
      </c>
      <c r="B699">
        <v>116.6199962</v>
      </c>
      <c r="C699">
        <v>53.31973267</v>
      </c>
      <c r="D699">
        <v>7.9612717599999998</v>
      </c>
      <c r="E699">
        <f t="shared" si="350"/>
        <v>7.9612717599999998</v>
      </c>
      <c r="F699">
        <f t="shared" si="351"/>
        <v>0</v>
      </c>
      <c r="G699">
        <f t="shared" si="352"/>
        <v>0</v>
      </c>
      <c r="H699">
        <f t="shared" si="353"/>
        <v>0</v>
      </c>
      <c r="I699">
        <f t="shared" si="354"/>
        <v>0</v>
      </c>
      <c r="J699">
        <f t="shared" si="355"/>
        <v>0</v>
      </c>
      <c r="K699" s="1">
        <f t="shared" si="356"/>
        <v>0</v>
      </c>
      <c r="L699" s="1">
        <f t="shared" si="357"/>
        <v>0</v>
      </c>
      <c r="M699" s="1">
        <f t="shared" si="358"/>
        <v>0</v>
      </c>
      <c r="N699" s="1">
        <f t="shared" si="359"/>
        <v>0</v>
      </c>
      <c r="O699" s="1">
        <f t="shared" si="360"/>
        <v>0</v>
      </c>
      <c r="P699" s="1">
        <f t="shared" si="361"/>
        <v>25</v>
      </c>
      <c r="Q699" s="1" t="e">
        <f t="shared" si="362"/>
        <v>#DIV/0!</v>
      </c>
      <c r="R699" s="1" t="e">
        <f t="shared" si="363"/>
        <v>#DIV/0!</v>
      </c>
      <c r="S699" s="1" t="e">
        <f t="shared" si="364"/>
        <v>#DIV/0!</v>
      </c>
      <c r="T699" s="1" t="e">
        <f t="shared" si="365"/>
        <v>#DIV/0!</v>
      </c>
      <c r="U699" s="1" t="e">
        <f t="shared" si="366"/>
        <v>#DIV/0!</v>
      </c>
      <c r="V699">
        <f t="shared" si="367"/>
        <v>851.48</v>
      </c>
      <c r="W699">
        <f t="shared" si="368"/>
        <v>0</v>
      </c>
      <c r="X699">
        <f t="shared" si="369"/>
        <v>0</v>
      </c>
      <c r="Y699">
        <f t="shared" si="370"/>
        <v>0</v>
      </c>
      <c r="Z699">
        <f t="shared" si="371"/>
        <v>0</v>
      </c>
      <c r="AA699">
        <f t="shared" si="372"/>
        <v>0</v>
      </c>
      <c r="AC699">
        <f t="shared" si="373"/>
        <v>1045.25</v>
      </c>
      <c r="AD699">
        <f t="shared" si="374"/>
        <v>0</v>
      </c>
      <c r="AE699">
        <f t="shared" si="375"/>
        <v>0</v>
      </c>
      <c r="AF699">
        <f t="shared" si="376"/>
        <v>0</v>
      </c>
      <c r="AG699">
        <f t="shared" si="377"/>
        <v>0</v>
      </c>
      <c r="AH699">
        <f t="shared" si="378"/>
        <v>0</v>
      </c>
      <c r="AJ699">
        <f t="shared" si="379"/>
        <v>1239.01</v>
      </c>
      <c r="AK699">
        <f t="shared" si="380"/>
        <v>0</v>
      </c>
      <c r="AL699">
        <f t="shared" si="381"/>
        <v>0</v>
      </c>
      <c r="AM699">
        <f t="shared" si="382"/>
        <v>0</v>
      </c>
      <c r="AN699">
        <f t="shared" si="383"/>
        <v>0</v>
      </c>
      <c r="AO699">
        <f t="shared" si="384"/>
        <v>0</v>
      </c>
    </row>
    <row r="700" spans="1:41" x14ac:dyDescent="0.45">
      <c r="A700">
        <v>39.340891390000003</v>
      </c>
      <c r="B700">
        <v>118.52246890000001</v>
      </c>
      <c r="C700">
        <v>0</v>
      </c>
      <c r="D700">
        <v>0.17120899000000001</v>
      </c>
      <c r="E700">
        <f t="shared" si="350"/>
        <v>0</v>
      </c>
      <c r="F700">
        <f t="shared" si="351"/>
        <v>0.17120899000000001</v>
      </c>
      <c r="G700">
        <f t="shared" si="352"/>
        <v>0.17120899000000001</v>
      </c>
      <c r="H700">
        <f t="shared" si="353"/>
        <v>0.17120899000000001</v>
      </c>
      <c r="I700">
        <f t="shared" si="354"/>
        <v>0.17120899000000001</v>
      </c>
      <c r="J700">
        <f t="shared" si="355"/>
        <v>0.17120899000000001</v>
      </c>
      <c r="K700" s="1">
        <f t="shared" si="356"/>
        <v>0</v>
      </c>
      <c r="L700" s="1">
        <f t="shared" si="357"/>
        <v>0</v>
      </c>
      <c r="M700" s="1">
        <f t="shared" si="358"/>
        <v>0</v>
      </c>
      <c r="N700" s="1">
        <f t="shared" si="359"/>
        <v>0</v>
      </c>
      <c r="O700" s="1">
        <f t="shared" si="360"/>
        <v>0</v>
      </c>
      <c r="P700" s="1">
        <f t="shared" si="361"/>
        <v>1</v>
      </c>
      <c r="Q700" s="1">
        <f t="shared" si="362"/>
        <v>1</v>
      </c>
      <c r="R700" s="1">
        <f t="shared" si="363"/>
        <v>1</v>
      </c>
      <c r="S700" s="1">
        <f t="shared" si="364"/>
        <v>1</v>
      </c>
      <c r="T700" s="1">
        <f t="shared" si="365"/>
        <v>1</v>
      </c>
      <c r="U700" s="1">
        <f t="shared" si="366"/>
        <v>1</v>
      </c>
      <c r="V700">
        <f t="shared" si="367"/>
        <v>71.48</v>
      </c>
      <c r="W700">
        <f t="shared" si="368"/>
        <v>76.489999999999995</v>
      </c>
      <c r="X700">
        <f t="shared" si="369"/>
        <v>52.14</v>
      </c>
      <c r="Y700">
        <f t="shared" si="370"/>
        <v>38.1</v>
      </c>
      <c r="Z700">
        <f t="shared" si="371"/>
        <v>32.120000000000005</v>
      </c>
      <c r="AA700">
        <f t="shared" si="372"/>
        <v>30.03</v>
      </c>
      <c r="AC700">
        <f t="shared" si="373"/>
        <v>85.25</v>
      </c>
      <c r="AD700">
        <f t="shared" si="374"/>
        <v>76.489999999999995</v>
      </c>
      <c r="AE700">
        <f t="shared" si="375"/>
        <v>64.17</v>
      </c>
      <c r="AF700">
        <f t="shared" si="376"/>
        <v>49.84</v>
      </c>
      <c r="AG700">
        <f t="shared" si="377"/>
        <v>48.34</v>
      </c>
      <c r="AH700">
        <f t="shared" si="378"/>
        <v>41.36</v>
      </c>
      <c r="AJ700">
        <f t="shared" si="379"/>
        <v>99.009999999999991</v>
      </c>
      <c r="AK700">
        <f t="shared" si="380"/>
        <v>90.94</v>
      </c>
      <c r="AL700">
        <f t="shared" si="381"/>
        <v>78.7</v>
      </c>
      <c r="AM700">
        <f t="shared" si="382"/>
        <v>67.430000000000007</v>
      </c>
      <c r="AN700">
        <f t="shared" si="383"/>
        <v>62.56</v>
      </c>
      <c r="AO700">
        <f t="shared" si="384"/>
        <v>55.19</v>
      </c>
    </row>
    <row r="701" spans="1:41" x14ac:dyDescent="0.45">
      <c r="A701">
        <v>39.348578070000002</v>
      </c>
      <c r="B701">
        <v>116.4440536</v>
      </c>
      <c r="C701">
        <v>53.31973267</v>
      </c>
      <c r="D701">
        <v>0.36423298999999998</v>
      </c>
      <c r="E701">
        <f t="shared" si="350"/>
        <v>0.36423298999999998</v>
      </c>
      <c r="F701">
        <f t="shared" si="351"/>
        <v>0</v>
      </c>
      <c r="G701">
        <f t="shared" si="352"/>
        <v>0</v>
      </c>
      <c r="H701">
        <f t="shared" si="353"/>
        <v>0</v>
      </c>
      <c r="I701">
        <f t="shared" si="354"/>
        <v>0</v>
      </c>
      <c r="J701">
        <f t="shared" si="355"/>
        <v>0</v>
      </c>
      <c r="K701" s="1">
        <f t="shared" si="356"/>
        <v>0</v>
      </c>
      <c r="L701" s="1">
        <f t="shared" si="357"/>
        <v>0</v>
      </c>
      <c r="M701" s="1">
        <f t="shared" si="358"/>
        <v>0</v>
      </c>
      <c r="N701" s="1">
        <f t="shared" si="359"/>
        <v>0</v>
      </c>
      <c r="O701" s="1">
        <f t="shared" si="360"/>
        <v>0</v>
      </c>
      <c r="P701" s="1">
        <f t="shared" si="361"/>
        <v>25</v>
      </c>
      <c r="Q701" s="1" t="e">
        <f t="shared" si="362"/>
        <v>#DIV/0!</v>
      </c>
      <c r="R701" s="1" t="e">
        <f t="shared" si="363"/>
        <v>#DIV/0!</v>
      </c>
      <c r="S701" s="1" t="e">
        <f t="shared" si="364"/>
        <v>#DIV/0!</v>
      </c>
      <c r="T701" s="1" t="e">
        <f t="shared" si="365"/>
        <v>#DIV/0!</v>
      </c>
      <c r="U701" s="1" t="e">
        <f t="shared" si="366"/>
        <v>#DIV/0!</v>
      </c>
      <c r="V701">
        <f t="shared" si="367"/>
        <v>851.48</v>
      </c>
      <c r="W701">
        <f t="shared" si="368"/>
        <v>0</v>
      </c>
      <c r="X701">
        <f t="shared" si="369"/>
        <v>0</v>
      </c>
      <c r="Y701">
        <f t="shared" si="370"/>
        <v>0</v>
      </c>
      <c r="Z701">
        <f t="shared" si="371"/>
        <v>0</v>
      </c>
      <c r="AA701">
        <f t="shared" si="372"/>
        <v>0</v>
      </c>
      <c r="AC701">
        <f t="shared" si="373"/>
        <v>1045.25</v>
      </c>
      <c r="AD701">
        <f t="shared" si="374"/>
        <v>0</v>
      </c>
      <c r="AE701">
        <f t="shared" si="375"/>
        <v>0</v>
      </c>
      <c r="AF701">
        <f t="shared" si="376"/>
        <v>0</v>
      </c>
      <c r="AG701">
        <f t="shared" si="377"/>
        <v>0</v>
      </c>
      <c r="AH701">
        <f t="shared" si="378"/>
        <v>0</v>
      </c>
      <c r="AJ701">
        <f t="shared" si="379"/>
        <v>1239.01</v>
      </c>
      <c r="AK701">
        <f t="shared" si="380"/>
        <v>0</v>
      </c>
      <c r="AL701">
        <f t="shared" si="381"/>
        <v>0</v>
      </c>
      <c r="AM701">
        <f t="shared" si="382"/>
        <v>0</v>
      </c>
      <c r="AN701">
        <f t="shared" si="383"/>
        <v>0</v>
      </c>
      <c r="AO701">
        <f t="shared" si="384"/>
        <v>0</v>
      </c>
    </row>
    <row r="702" spans="1:41" x14ac:dyDescent="0.45">
      <c r="A702">
        <v>39.352747520000001</v>
      </c>
      <c r="B702">
        <v>120.132813</v>
      </c>
      <c r="C702">
        <v>63.334102629999997</v>
      </c>
      <c r="D702">
        <v>1.22430599</v>
      </c>
      <c r="E702">
        <f t="shared" si="350"/>
        <v>1.22430599</v>
      </c>
      <c r="F702">
        <f t="shared" si="351"/>
        <v>0</v>
      </c>
      <c r="G702">
        <f t="shared" si="352"/>
        <v>0</v>
      </c>
      <c r="H702">
        <f t="shared" si="353"/>
        <v>0</v>
      </c>
      <c r="I702">
        <f t="shared" si="354"/>
        <v>0</v>
      </c>
      <c r="J702">
        <f t="shared" si="355"/>
        <v>0</v>
      </c>
      <c r="K702" s="1">
        <f t="shared" si="356"/>
        <v>0</v>
      </c>
      <c r="L702" s="1">
        <f t="shared" si="357"/>
        <v>0</v>
      </c>
      <c r="M702" s="1">
        <f t="shared" si="358"/>
        <v>0</v>
      </c>
      <c r="N702" s="1">
        <f t="shared" si="359"/>
        <v>0</v>
      </c>
      <c r="O702" s="1">
        <f t="shared" si="360"/>
        <v>0</v>
      </c>
      <c r="P702" s="1">
        <f t="shared" si="361"/>
        <v>25</v>
      </c>
      <c r="Q702" s="1" t="e">
        <f t="shared" si="362"/>
        <v>#DIV/0!</v>
      </c>
      <c r="R702" s="1" t="e">
        <f t="shared" si="363"/>
        <v>#DIV/0!</v>
      </c>
      <c r="S702" s="1" t="e">
        <f t="shared" si="364"/>
        <v>#DIV/0!</v>
      </c>
      <c r="T702" s="1" t="e">
        <f t="shared" si="365"/>
        <v>#DIV/0!</v>
      </c>
      <c r="U702" s="1" t="e">
        <f t="shared" si="366"/>
        <v>#DIV/0!</v>
      </c>
      <c r="V702">
        <f t="shared" si="367"/>
        <v>851.48</v>
      </c>
      <c r="W702">
        <f t="shared" si="368"/>
        <v>0</v>
      </c>
      <c r="X702">
        <f t="shared" si="369"/>
        <v>0</v>
      </c>
      <c r="Y702">
        <f t="shared" si="370"/>
        <v>0</v>
      </c>
      <c r="Z702">
        <f t="shared" si="371"/>
        <v>0</v>
      </c>
      <c r="AA702">
        <f t="shared" si="372"/>
        <v>0</v>
      </c>
      <c r="AC702">
        <f t="shared" si="373"/>
        <v>1045.25</v>
      </c>
      <c r="AD702">
        <f t="shared" si="374"/>
        <v>0</v>
      </c>
      <c r="AE702">
        <f t="shared" si="375"/>
        <v>0</v>
      </c>
      <c r="AF702">
        <f t="shared" si="376"/>
        <v>0</v>
      </c>
      <c r="AG702">
        <f t="shared" si="377"/>
        <v>0</v>
      </c>
      <c r="AH702">
        <f t="shared" si="378"/>
        <v>0</v>
      </c>
      <c r="AJ702">
        <f t="shared" si="379"/>
        <v>1239.01</v>
      </c>
      <c r="AK702">
        <f t="shared" si="380"/>
        <v>0</v>
      </c>
      <c r="AL702">
        <f t="shared" si="381"/>
        <v>0</v>
      </c>
      <c r="AM702">
        <f t="shared" si="382"/>
        <v>0</v>
      </c>
      <c r="AN702">
        <f t="shared" si="383"/>
        <v>0</v>
      </c>
      <c r="AO702">
        <f t="shared" si="384"/>
        <v>0</v>
      </c>
    </row>
    <row r="703" spans="1:41" x14ac:dyDescent="0.45">
      <c r="A703">
        <v>39.358382759999998</v>
      </c>
      <c r="B703">
        <v>116.32671999999999</v>
      </c>
      <c r="C703">
        <v>53.31973267</v>
      </c>
      <c r="D703">
        <v>3.6432991000000001</v>
      </c>
      <c r="E703">
        <f t="shared" si="350"/>
        <v>3.6432991000000001</v>
      </c>
      <c r="F703">
        <f t="shared" si="351"/>
        <v>0</v>
      </c>
      <c r="G703">
        <f t="shared" si="352"/>
        <v>0</v>
      </c>
      <c r="H703">
        <f t="shared" si="353"/>
        <v>0</v>
      </c>
      <c r="I703">
        <f t="shared" si="354"/>
        <v>0</v>
      </c>
      <c r="J703">
        <f t="shared" si="355"/>
        <v>0</v>
      </c>
      <c r="K703" s="1">
        <f t="shared" si="356"/>
        <v>0</v>
      </c>
      <c r="L703" s="1">
        <f t="shared" si="357"/>
        <v>0</v>
      </c>
      <c r="M703" s="1">
        <f t="shared" si="358"/>
        <v>0</v>
      </c>
      <c r="N703" s="1">
        <f t="shared" si="359"/>
        <v>0</v>
      </c>
      <c r="O703" s="1">
        <f t="shared" si="360"/>
        <v>0</v>
      </c>
      <c r="P703" s="1">
        <f t="shared" si="361"/>
        <v>25.000000000000004</v>
      </c>
      <c r="Q703" s="1" t="e">
        <f t="shared" si="362"/>
        <v>#DIV/0!</v>
      </c>
      <c r="R703" s="1" t="e">
        <f t="shared" si="363"/>
        <v>#DIV/0!</v>
      </c>
      <c r="S703" s="1" t="e">
        <f t="shared" si="364"/>
        <v>#DIV/0!</v>
      </c>
      <c r="T703" s="1" t="e">
        <f t="shared" si="365"/>
        <v>#DIV/0!</v>
      </c>
      <c r="U703" s="1" t="e">
        <f t="shared" si="366"/>
        <v>#DIV/0!</v>
      </c>
      <c r="V703">
        <f t="shared" si="367"/>
        <v>851.48000000000013</v>
      </c>
      <c r="W703">
        <f t="shared" si="368"/>
        <v>0</v>
      </c>
      <c r="X703">
        <f t="shared" si="369"/>
        <v>0</v>
      </c>
      <c r="Y703">
        <f t="shared" si="370"/>
        <v>0</v>
      </c>
      <c r="Z703">
        <f t="shared" si="371"/>
        <v>0</v>
      </c>
      <c r="AA703">
        <f t="shared" si="372"/>
        <v>0</v>
      </c>
      <c r="AC703">
        <f t="shared" si="373"/>
        <v>1045.25</v>
      </c>
      <c r="AD703">
        <f t="shared" si="374"/>
        <v>0</v>
      </c>
      <c r="AE703">
        <f t="shared" si="375"/>
        <v>0</v>
      </c>
      <c r="AF703">
        <f t="shared" si="376"/>
        <v>0</v>
      </c>
      <c r="AG703">
        <f t="shared" si="377"/>
        <v>0</v>
      </c>
      <c r="AH703">
        <f t="shared" si="378"/>
        <v>0</v>
      </c>
      <c r="AJ703">
        <f t="shared" si="379"/>
        <v>1239.0100000000002</v>
      </c>
      <c r="AK703">
        <f t="shared" si="380"/>
        <v>0</v>
      </c>
      <c r="AL703">
        <f t="shared" si="381"/>
        <v>0</v>
      </c>
      <c r="AM703">
        <f t="shared" si="382"/>
        <v>0</v>
      </c>
      <c r="AN703">
        <f t="shared" si="383"/>
        <v>0</v>
      </c>
      <c r="AO703">
        <f t="shared" si="384"/>
        <v>0</v>
      </c>
    </row>
    <row r="704" spans="1:41" x14ac:dyDescent="0.45">
      <c r="A704">
        <v>39.39604293</v>
      </c>
      <c r="B704">
        <v>120.558864</v>
      </c>
      <c r="C704">
        <v>68.169960020000005</v>
      </c>
      <c r="D704">
        <v>1.7140289500000001</v>
      </c>
      <c r="E704">
        <f t="shared" si="350"/>
        <v>1.7140289500000001</v>
      </c>
      <c r="F704">
        <f t="shared" si="351"/>
        <v>0</v>
      </c>
      <c r="G704">
        <f t="shared" si="352"/>
        <v>0</v>
      </c>
      <c r="H704">
        <f t="shared" si="353"/>
        <v>0</v>
      </c>
      <c r="I704">
        <f t="shared" si="354"/>
        <v>0</v>
      </c>
      <c r="J704">
        <f t="shared" si="355"/>
        <v>0</v>
      </c>
      <c r="K704" s="1">
        <f t="shared" si="356"/>
        <v>0</v>
      </c>
      <c r="L704" s="1">
        <f t="shared" si="357"/>
        <v>0</v>
      </c>
      <c r="M704" s="1">
        <f t="shared" si="358"/>
        <v>0</v>
      </c>
      <c r="N704" s="1">
        <f t="shared" si="359"/>
        <v>0</v>
      </c>
      <c r="O704" s="1">
        <f t="shared" si="360"/>
        <v>0</v>
      </c>
      <c r="P704" s="1">
        <f t="shared" si="361"/>
        <v>25</v>
      </c>
      <c r="Q704" s="1" t="e">
        <f t="shared" si="362"/>
        <v>#DIV/0!</v>
      </c>
      <c r="R704" s="1" t="e">
        <f t="shared" si="363"/>
        <v>#DIV/0!</v>
      </c>
      <c r="S704" s="1" t="e">
        <f t="shared" si="364"/>
        <v>#DIV/0!</v>
      </c>
      <c r="T704" s="1" t="e">
        <f t="shared" si="365"/>
        <v>#DIV/0!</v>
      </c>
      <c r="U704" s="1" t="e">
        <f t="shared" si="366"/>
        <v>#DIV/0!</v>
      </c>
      <c r="V704">
        <f t="shared" si="367"/>
        <v>851.48</v>
      </c>
      <c r="W704">
        <f t="shared" si="368"/>
        <v>0</v>
      </c>
      <c r="X704">
        <f t="shared" si="369"/>
        <v>0</v>
      </c>
      <c r="Y704">
        <f t="shared" si="370"/>
        <v>0</v>
      </c>
      <c r="Z704">
        <f t="shared" si="371"/>
        <v>0</v>
      </c>
      <c r="AA704">
        <f t="shared" si="372"/>
        <v>0</v>
      </c>
      <c r="AC704">
        <f t="shared" si="373"/>
        <v>1045.25</v>
      </c>
      <c r="AD704">
        <f t="shared" si="374"/>
        <v>0</v>
      </c>
      <c r="AE704">
        <f t="shared" si="375"/>
        <v>0</v>
      </c>
      <c r="AF704">
        <f t="shared" si="376"/>
        <v>0</v>
      </c>
      <c r="AG704">
        <f t="shared" si="377"/>
        <v>0</v>
      </c>
      <c r="AH704">
        <f t="shared" si="378"/>
        <v>0</v>
      </c>
      <c r="AJ704">
        <f t="shared" si="379"/>
        <v>1239.01</v>
      </c>
      <c r="AK704">
        <f t="shared" si="380"/>
        <v>0</v>
      </c>
      <c r="AL704">
        <f t="shared" si="381"/>
        <v>0</v>
      </c>
      <c r="AM704">
        <f t="shared" si="382"/>
        <v>0</v>
      </c>
      <c r="AN704">
        <f t="shared" si="383"/>
        <v>0</v>
      </c>
      <c r="AO704">
        <f t="shared" si="384"/>
        <v>0</v>
      </c>
    </row>
    <row r="705" spans="1:41" x14ac:dyDescent="0.45">
      <c r="A705">
        <v>39.448182090000003</v>
      </c>
      <c r="B705">
        <v>120.5092968</v>
      </c>
      <c r="C705">
        <v>66.620788570000002</v>
      </c>
      <c r="D705">
        <v>6.1215319600000004</v>
      </c>
      <c r="E705">
        <f t="shared" si="350"/>
        <v>6.1215319600000004</v>
      </c>
      <c r="F705">
        <f t="shared" si="351"/>
        <v>0</v>
      </c>
      <c r="G705">
        <f t="shared" si="352"/>
        <v>0</v>
      </c>
      <c r="H705">
        <f t="shared" si="353"/>
        <v>0</v>
      </c>
      <c r="I705">
        <f t="shared" si="354"/>
        <v>0</v>
      </c>
      <c r="J705">
        <f t="shared" si="355"/>
        <v>0</v>
      </c>
      <c r="K705" s="1">
        <f t="shared" si="356"/>
        <v>0</v>
      </c>
      <c r="L705" s="1">
        <f t="shared" si="357"/>
        <v>0</v>
      </c>
      <c r="M705" s="1">
        <f t="shared" si="358"/>
        <v>0</v>
      </c>
      <c r="N705" s="1">
        <f t="shared" si="359"/>
        <v>0</v>
      </c>
      <c r="O705" s="1">
        <f t="shared" si="360"/>
        <v>0</v>
      </c>
      <c r="P705" s="1">
        <f t="shared" si="361"/>
        <v>25.000000000000004</v>
      </c>
      <c r="Q705" s="1" t="e">
        <f t="shared" si="362"/>
        <v>#DIV/0!</v>
      </c>
      <c r="R705" s="1" t="e">
        <f t="shared" si="363"/>
        <v>#DIV/0!</v>
      </c>
      <c r="S705" s="1" t="e">
        <f t="shared" si="364"/>
        <v>#DIV/0!</v>
      </c>
      <c r="T705" s="1" t="e">
        <f t="shared" si="365"/>
        <v>#DIV/0!</v>
      </c>
      <c r="U705" s="1" t="e">
        <f t="shared" si="366"/>
        <v>#DIV/0!</v>
      </c>
      <c r="V705">
        <f t="shared" si="367"/>
        <v>851.48000000000013</v>
      </c>
      <c r="W705">
        <f t="shared" si="368"/>
        <v>0</v>
      </c>
      <c r="X705">
        <f t="shared" si="369"/>
        <v>0</v>
      </c>
      <c r="Y705">
        <f t="shared" si="370"/>
        <v>0</v>
      </c>
      <c r="Z705">
        <f t="shared" si="371"/>
        <v>0</v>
      </c>
      <c r="AA705">
        <f t="shared" si="372"/>
        <v>0</v>
      </c>
      <c r="AC705">
        <f t="shared" si="373"/>
        <v>1045.25</v>
      </c>
      <c r="AD705">
        <f t="shared" si="374"/>
        <v>0</v>
      </c>
      <c r="AE705">
        <f t="shared" si="375"/>
        <v>0</v>
      </c>
      <c r="AF705">
        <f t="shared" si="376"/>
        <v>0</v>
      </c>
      <c r="AG705">
        <f t="shared" si="377"/>
        <v>0</v>
      </c>
      <c r="AH705">
        <f t="shared" si="378"/>
        <v>0</v>
      </c>
      <c r="AJ705">
        <f t="shared" si="379"/>
        <v>1239.0100000000002</v>
      </c>
      <c r="AK705">
        <f t="shared" si="380"/>
        <v>0</v>
      </c>
      <c r="AL705">
        <f t="shared" si="381"/>
        <v>0</v>
      </c>
      <c r="AM705">
        <f t="shared" si="382"/>
        <v>0</v>
      </c>
      <c r="AN705">
        <f t="shared" si="383"/>
        <v>0</v>
      </c>
      <c r="AO705">
        <f t="shared" si="384"/>
        <v>0</v>
      </c>
    </row>
    <row r="706" spans="1:41" x14ac:dyDescent="0.45">
      <c r="A706">
        <v>39.449476449999999</v>
      </c>
      <c r="B706">
        <v>116.3392939</v>
      </c>
      <c r="C706">
        <v>53.31973267</v>
      </c>
      <c r="D706">
        <v>9.5043000000000002E-2</v>
      </c>
      <c r="E706">
        <f t="shared" si="350"/>
        <v>9.5043000000000002E-2</v>
      </c>
      <c r="F706">
        <f t="shared" si="351"/>
        <v>0</v>
      </c>
      <c r="G706">
        <f t="shared" si="352"/>
        <v>0</v>
      </c>
      <c r="H706">
        <f t="shared" si="353"/>
        <v>0</v>
      </c>
      <c r="I706">
        <f t="shared" si="354"/>
        <v>0</v>
      </c>
      <c r="J706">
        <f t="shared" si="355"/>
        <v>0</v>
      </c>
      <c r="K706" s="1">
        <f t="shared" si="356"/>
        <v>0</v>
      </c>
      <c r="L706" s="1">
        <f t="shared" si="357"/>
        <v>0</v>
      </c>
      <c r="M706" s="1">
        <f t="shared" si="358"/>
        <v>0</v>
      </c>
      <c r="N706" s="1">
        <f t="shared" si="359"/>
        <v>0</v>
      </c>
      <c r="O706" s="1">
        <f t="shared" si="360"/>
        <v>0</v>
      </c>
      <c r="P706" s="1">
        <f t="shared" si="361"/>
        <v>25</v>
      </c>
      <c r="Q706" s="1" t="e">
        <f t="shared" si="362"/>
        <v>#DIV/0!</v>
      </c>
      <c r="R706" s="1" t="e">
        <f t="shared" si="363"/>
        <v>#DIV/0!</v>
      </c>
      <c r="S706" s="1" t="e">
        <f t="shared" si="364"/>
        <v>#DIV/0!</v>
      </c>
      <c r="T706" s="1" t="e">
        <f t="shared" si="365"/>
        <v>#DIV/0!</v>
      </c>
      <c r="U706" s="1" t="e">
        <f t="shared" si="366"/>
        <v>#DIV/0!</v>
      </c>
      <c r="V706">
        <f t="shared" si="367"/>
        <v>851.48</v>
      </c>
      <c r="W706">
        <f t="shared" si="368"/>
        <v>0</v>
      </c>
      <c r="X706">
        <f t="shared" si="369"/>
        <v>0</v>
      </c>
      <c r="Y706">
        <f t="shared" si="370"/>
        <v>0</v>
      </c>
      <c r="Z706">
        <f t="shared" si="371"/>
        <v>0</v>
      </c>
      <c r="AA706">
        <f t="shared" si="372"/>
        <v>0</v>
      </c>
      <c r="AC706">
        <f t="shared" si="373"/>
        <v>1045.25</v>
      </c>
      <c r="AD706">
        <f t="shared" si="374"/>
        <v>0</v>
      </c>
      <c r="AE706">
        <f t="shared" si="375"/>
        <v>0</v>
      </c>
      <c r="AF706">
        <f t="shared" si="376"/>
        <v>0</v>
      </c>
      <c r="AG706">
        <f t="shared" si="377"/>
        <v>0</v>
      </c>
      <c r="AH706">
        <f t="shared" si="378"/>
        <v>0</v>
      </c>
      <c r="AJ706">
        <f t="shared" si="379"/>
        <v>1239.01</v>
      </c>
      <c r="AK706">
        <f t="shared" si="380"/>
        <v>0</v>
      </c>
      <c r="AL706">
        <f t="shared" si="381"/>
        <v>0</v>
      </c>
      <c r="AM706">
        <f t="shared" si="382"/>
        <v>0</v>
      </c>
      <c r="AN706">
        <f t="shared" si="383"/>
        <v>0</v>
      </c>
      <c r="AO706">
        <f t="shared" si="384"/>
        <v>0</v>
      </c>
    </row>
    <row r="707" spans="1:41" x14ac:dyDescent="0.45">
      <c r="A707">
        <v>39.490122569999997</v>
      </c>
      <c r="B707">
        <v>116.4043686</v>
      </c>
      <c r="C707">
        <v>53.31973267</v>
      </c>
      <c r="D707">
        <v>0.33725699999999997</v>
      </c>
      <c r="E707">
        <f t="shared" ref="E707:E770" si="385">MIN(C707,D707)</f>
        <v>0.33725699999999997</v>
      </c>
      <c r="F707">
        <f t="shared" ref="F707:F770" si="386">MAX(0,(D707-(C707*(2030-2025))))</f>
        <v>0</v>
      </c>
      <c r="G707">
        <f t="shared" ref="G707:G770" si="387">MAX(0,(D707-(C707*(2035-2025))))</f>
        <v>0</v>
      </c>
      <c r="H707">
        <f t="shared" ref="H707:H770" si="388">MAX(0,(D707-(C707*(2040-2025))))</f>
        <v>0</v>
      </c>
      <c r="I707">
        <f t="shared" ref="I707:I770" si="389">MAX(0,(D707-(C707*(2045-2025))))</f>
        <v>0</v>
      </c>
      <c r="J707">
        <f t="shared" ref="J707:J770" si="390">MAX(0,(D707-(C707*(2050-2025))))</f>
        <v>0</v>
      </c>
      <c r="K707" s="1">
        <f t="shared" ref="K707:K770" si="391">MIN(E707,F707)</f>
        <v>0</v>
      </c>
      <c r="L707" s="1">
        <f t="shared" ref="L707:L770" si="392">MIN(E707,G707)</f>
        <v>0</v>
      </c>
      <c r="M707" s="1">
        <f t="shared" ref="M707:M770" si="393">MIN(E707,H707)</f>
        <v>0</v>
      </c>
      <c r="N707" s="1">
        <f t="shared" ref="N707:N770" si="394">MIN(E707,I707)</f>
        <v>0</v>
      </c>
      <c r="O707" s="1">
        <f t="shared" ref="O707:O770" si="395">MIN(E707,J707)</f>
        <v>0</v>
      </c>
      <c r="P707" s="1">
        <f t="shared" ref="P707:P770" si="396">MAX(1,((25*E707)/D707))</f>
        <v>25</v>
      </c>
      <c r="Q707" s="1" t="e">
        <f t="shared" ref="Q707:Q770" si="397">MAX(1, ((25*K707)/F707))</f>
        <v>#DIV/0!</v>
      </c>
      <c r="R707" s="1" t="e">
        <f t="shared" ref="R707:R770" si="398">MAX(1, ((25*L707)/G707))</f>
        <v>#DIV/0!</v>
      </c>
      <c r="S707" s="1" t="e">
        <f t="shared" ref="S707:S770" si="399">MAX(1, ((25*M707)/H707))</f>
        <v>#DIV/0!</v>
      </c>
      <c r="T707" s="1" t="e">
        <f t="shared" ref="T707:T770" si="400">MAX(1, ((25*N707)/I707))</f>
        <v>#DIV/0!</v>
      </c>
      <c r="U707" s="1" t="e">
        <f t="shared" ref="U707:U770" si="401">MAX(1, ((25*O707)/J707))</f>
        <v>#DIV/0!</v>
      </c>
      <c r="V707">
        <f t="shared" ref="V707:V770" si="402">(32.02+6.96+(0.13*250*P707))</f>
        <v>851.48</v>
      </c>
      <c r="W707">
        <f t="shared" ref="W707:W770" si="403">IF(F707&gt;0,(32.72+6.27+(0.15*250*Q707)),F707)</f>
        <v>0</v>
      </c>
      <c r="X707">
        <f t="shared" ref="X707:X770" si="404">IF(G707&gt;0,(22.27+4.87+(0.1*250*S707)),G707)</f>
        <v>0</v>
      </c>
      <c r="Y707">
        <f t="shared" ref="Y707:Y770" si="405">IF(H707&gt;0,(13.92+4.18+(0.08*250*S707)),H707)</f>
        <v>0</v>
      </c>
      <c r="Z707">
        <f t="shared" ref="Z707:Z770" si="406">IF(I707&gt;0,(11.14+3.48+(0.07*250*T707)),I707)</f>
        <v>0</v>
      </c>
      <c r="AA707">
        <f t="shared" ref="AA707:AA770" si="407">IF(J707&gt;0,(9.75+2.78+(0.07*250*U707)),J707)</f>
        <v>0</v>
      </c>
      <c r="AC707">
        <f t="shared" ref="AC707:AC770" si="408">IF(D707&gt;0,(37.59+7.66+(0.16*250*P707)),D707)</f>
        <v>1045.25</v>
      </c>
      <c r="AD707">
        <f t="shared" ref="AD707:AD770" si="409">IF(F707&gt;0,(32.72+6.27+(0.15*250*Q707)),F707)</f>
        <v>0</v>
      </c>
      <c r="AE707">
        <f t="shared" ref="AE707:AE770" si="410">IF(G707&gt;0,(26.45+5.22+(0.13*250*R707)),G707)</f>
        <v>0</v>
      </c>
      <c r="AF707">
        <f t="shared" ref="AF707:AF770" si="411">IF(H707&gt;0,(15.31+4.53+(0.12*250*S707)),H707)</f>
        <v>0</v>
      </c>
      <c r="AG707">
        <f t="shared" ref="AG707:AG770" si="412">IF(I707&gt;0,(16.01+3.83+(0.11*250+T707)),I707)</f>
        <v>0</v>
      </c>
      <c r="AH707">
        <f t="shared" ref="AH707:AH770" si="413">IF(J707,(13.23+3.13+(0.1*250*U707)),J707)</f>
        <v>0</v>
      </c>
      <c r="AJ707">
        <f t="shared" ref="AJ707:AJ770" si="414">(43.16+8.35+(0.19*250*P707))</f>
        <v>1239.01</v>
      </c>
      <c r="AK707">
        <f t="shared" ref="AK707:AK770" si="415">IF(F707&gt;0,(38.98+6.96+(0.18*250*Q707)),F707)</f>
        <v>0</v>
      </c>
      <c r="AL707">
        <f t="shared" ref="AL707:AL770" si="416">IF(G707&gt;0,(30.63+5.57+(0.17*250*R707)),G707)</f>
        <v>0</v>
      </c>
      <c r="AM707">
        <f t="shared" ref="AM707:AM770" si="417">IF(H707&gt;0,(25.06+4.87+(0.15*250*S707)),H707)</f>
        <v>0</v>
      </c>
      <c r="AN707">
        <f t="shared" ref="AN707:AN770" si="418">IF(I707&gt;0,(20.88+4.18+(0.15*250*T707)),I707)</f>
        <v>0</v>
      </c>
      <c r="AO707">
        <f t="shared" ref="AO707:AO770" si="419">IF(J707,(16.71+3.48+(0.14*250*U707)),J707)</f>
        <v>0</v>
      </c>
    </row>
    <row r="708" spans="1:41" x14ac:dyDescent="0.45">
      <c r="A708">
        <v>39.531903010000001</v>
      </c>
      <c r="B708">
        <v>120.58543400000001</v>
      </c>
      <c r="C708">
        <v>19.561555859999999</v>
      </c>
      <c r="D708">
        <v>13.37187481</v>
      </c>
      <c r="E708">
        <f t="shared" si="385"/>
        <v>13.37187481</v>
      </c>
      <c r="F708">
        <f t="shared" si="386"/>
        <v>0</v>
      </c>
      <c r="G708">
        <f t="shared" si="387"/>
        <v>0</v>
      </c>
      <c r="H708">
        <f t="shared" si="388"/>
        <v>0</v>
      </c>
      <c r="I708">
        <f t="shared" si="389"/>
        <v>0</v>
      </c>
      <c r="J708">
        <f t="shared" si="390"/>
        <v>0</v>
      </c>
      <c r="K708" s="1">
        <f t="shared" si="391"/>
        <v>0</v>
      </c>
      <c r="L708" s="1">
        <f t="shared" si="392"/>
        <v>0</v>
      </c>
      <c r="M708" s="1">
        <f t="shared" si="393"/>
        <v>0</v>
      </c>
      <c r="N708" s="1">
        <f t="shared" si="394"/>
        <v>0</v>
      </c>
      <c r="O708" s="1">
        <f t="shared" si="395"/>
        <v>0</v>
      </c>
      <c r="P708" s="1">
        <f t="shared" si="396"/>
        <v>25</v>
      </c>
      <c r="Q708" s="1" t="e">
        <f t="shared" si="397"/>
        <v>#DIV/0!</v>
      </c>
      <c r="R708" s="1" t="e">
        <f t="shared" si="398"/>
        <v>#DIV/0!</v>
      </c>
      <c r="S708" s="1" t="e">
        <f t="shared" si="399"/>
        <v>#DIV/0!</v>
      </c>
      <c r="T708" s="1" t="e">
        <f t="shared" si="400"/>
        <v>#DIV/0!</v>
      </c>
      <c r="U708" s="1" t="e">
        <f t="shared" si="401"/>
        <v>#DIV/0!</v>
      </c>
      <c r="V708">
        <f t="shared" si="402"/>
        <v>851.48</v>
      </c>
      <c r="W708">
        <f t="shared" si="403"/>
        <v>0</v>
      </c>
      <c r="X708">
        <f t="shared" si="404"/>
        <v>0</v>
      </c>
      <c r="Y708">
        <f t="shared" si="405"/>
        <v>0</v>
      </c>
      <c r="Z708">
        <f t="shared" si="406"/>
        <v>0</v>
      </c>
      <c r="AA708">
        <f t="shared" si="407"/>
        <v>0</v>
      </c>
      <c r="AC708">
        <f t="shared" si="408"/>
        <v>1045.25</v>
      </c>
      <c r="AD708">
        <f t="shared" si="409"/>
        <v>0</v>
      </c>
      <c r="AE708">
        <f t="shared" si="410"/>
        <v>0</v>
      </c>
      <c r="AF708">
        <f t="shared" si="411"/>
        <v>0</v>
      </c>
      <c r="AG708">
        <f t="shared" si="412"/>
        <v>0</v>
      </c>
      <c r="AH708">
        <f t="shared" si="413"/>
        <v>0</v>
      </c>
      <c r="AJ708">
        <f t="shared" si="414"/>
        <v>1239.01</v>
      </c>
      <c r="AK708">
        <f t="shared" si="415"/>
        <v>0</v>
      </c>
      <c r="AL708">
        <f t="shared" si="416"/>
        <v>0</v>
      </c>
      <c r="AM708">
        <f t="shared" si="417"/>
        <v>0</v>
      </c>
      <c r="AN708">
        <f t="shared" si="418"/>
        <v>0</v>
      </c>
      <c r="AO708">
        <f t="shared" si="419"/>
        <v>0</v>
      </c>
    </row>
    <row r="709" spans="1:41" x14ac:dyDescent="0.45">
      <c r="A709">
        <v>39.54610478</v>
      </c>
      <c r="B709">
        <v>116.828768</v>
      </c>
      <c r="C709">
        <v>53.31973267</v>
      </c>
      <c r="D709">
        <v>1.6641390300000001</v>
      </c>
      <c r="E709">
        <f t="shared" si="385"/>
        <v>1.6641390300000001</v>
      </c>
      <c r="F709">
        <f t="shared" si="386"/>
        <v>0</v>
      </c>
      <c r="G709">
        <f t="shared" si="387"/>
        <v>0</v>
      </c>
      <c r="H709">
        <f t="shared" si="388"/>
        <v>0</v>
      </c>
      <c r="I709">
        <f t="shared" si="389"/>
        <v>0</v>
      </c>
      <c r="J709">
        <f t="shared" si="390"/>
        <v>0</v>
      </c>
      <c r="K709" s="1">
        <f t="shared" si="391"/>
        <v>0</v>
      </c>
      <c r="L709" s="1">
        <f t="shared" si="392"/>
        <v>0</v>
      </c>
      <c r="M709" s="1">
        <f t="shared" si="393"/>
        <v>0</v>
      </c>
      <c r="N709" s="1">
        <f t="shared" si="394"/>
        <v>0</v>
      </c>
      <c r="O709" s="1">
        <f t="shared" si="395"/>
        <v>0</v>
      </c>
      <c r="P709" s="1">
        <f t="shared" si="396"/>
        <v>25</v>
      </c>
      <c r="Q709" s="1" t="e">
        <f t="shared" si="397"/>
        <v>#DIV/0!</v>
      </c>
      <c r="R709" s="1" t="e">
        <f t="shared" si="398"/>
        <v>#DIV/0!</v>
      </c>
      <c r="S709" s="1" t="e">
        <f t="shared" si="399"/>
        <v>#DIV/0!</v>
      </c>
      <c r="T709" s="1" t="e">
        <f t="shared" si="400"/>
        <v>#DIV/0!</v>
      </c>
      <c r="U709" s="1" t="e">
        <f t="shared" si="401"/>
        <v>#DIV/0!</v>
      </c>
      <c r="V709">
        <f t="shared" si="402"/>
        <v>851.48</v>
      </c>
      <c r="W709">
        <f t="shared" si="403"/>
        <v>0</v>
      </c>
      <c r="X709">
        <f t="shared" si="404"/>
        <v>0</v>
      </c>
      <c r="Y709">
        <f t="shared" si="405"/>
        <v>0</v>
      </c>
      <c r="Z709">
        <f t="shared" si="406"/>
        <v>0</v>
      </c>
      <c r="AA709">
        <f t="shared" si="407"/>
        <v>0</v>
      </c>
      <c r="AC709">
        <f t="shared" si="408"/>
        <v>1045.25</v>
      </c>
      <c r="AD709">
        <f t="shared" si="409"/>
        <v>0</v>
      </c>
      <c r="AE709">
        <f t="shared" si="410"/>
        <v>0</v>
      </c>
      <c r="AF709">
        <f t="shared" si="411"/>
        <v>0</v>
      </c>
      <c r="AG709">
        <f t="shared" si="412"/>
        <v>0</v>
      </c>
      <c r="AH709">
        <f t="shared" si="413"/>
        <v>0</v>
      </c>
      <c r="AJ709">
        <f t="shared" si="414"/>
        <v>1239.01</v>
      </c>
      <c r="AK709">
        <f t="shared" si="415"/>
        <v>0</v>
      </c>
      <c r="AL709">
        <f t="shared" si="416"/>
        <v>0</v>
      </c>
      <c r="AM709">
        <f t="shared" si="417"/>
        <v>0</v>
      </c>
      <c r="AN709">
        <f t="shared" si="418"/>
        <v>0</v>
      </c>
      <c r="AO709">
        <f t="shared" si="419"/>
        <v>0</v>
      </c>
    </row>
    <row r="710" spans="1:41" x14ac:dyDescent="0.45">
      <c r="A710">
        <v>39.594728830000001</v>
      </c>
      <c r="B710">
        <v>120.8372974</v>
      </c>
      <c r="C710">
        <v>21.840236659999999</v>
      </c>
      <c r="D710">
        <v>6.1214999999999999E-2</v>
      </c>
      <c r="E710">
        <f t="shared" si="385"/>
        <v>6.1214999999999999E-2</v>
      </c>
      <c r="F710">
        <f t="shared" si="386"/>
        <v>0</v>
      </c>
      <c r="G710">
        <f t="shared" si="387"/>
        <v>0</v>
      </c>
      <c r="H710">
        <f t="shared" si="388"/>
        <v>0</v>
      </c>
      <c r="I710">
        <f t="shared" si="389"/>
        <v>0</v>
      </c>
      <c r="J710">
        <f t="shared" si="390"/>
        <v>0</v>
      </c>
      <c r="K710" s="1">
        <f t="shared" si="391"/>
        <v>0</v>
      </c>
      <c r="L710" s="1">
        <f t="shared" si="392"/>
        <v>0</v>
      </c>
      <c r="M710" s="1">
        <f t="shared" si="393"/>
        <v>0</v>
      </c>
      <c r="N710" s="1">
        <f t="shared" si="394"/>
        <v>0</v>
      </c>
      <c r="O710" s="1">
        <f t="shared" si="395"/>
        <v>0</v>
      </c>
      <c r="P710" s="1">
        <f t="shared" si="396"/>
        <v>25</v>
      </c>
      <c r="Q710" s="1" t="e">
        <f t="shared" si="397"/>
        <v>#DIV/0!</v>
      </c>
      <c r="R710" s="1" t="e">
        <f t="shared" si="398"/>
        <v>#DIV/0!</v>
      </c>
      <c r="S710" s="1" t="e">
        <f t="shared" si="399"/>
        <v>#DIV/0!</v>
      </c>
      <c r="T710" s="1" t="e">
        <f t="shared" si="400"/>
        <v>#DIV/0!</v>
      </c>
      <c r="U710" s="1" t="e">
        <f t="shared" si="401"/>
        <v>#DIV/0!</v>
      </c>
      <c r="V710">
        <f t="shared" si="402"/>
        <v>851.48</v>
      </c>
      <c r="W710">
        <f t="shared" si="403"/>
        <v>0</v>
      </c>
      <c r="X710">
        <f t="shared" si="404"/>
        <v>0</v>
      </c>
      <c r="Y710">
        <f t="shared" si="405"/>
        <v>0</v>
      </c>
      <c r="Z710">
        <f t="shared" si="406"/>
        <v>0</v>
      </c>
      <c r="AA710">
        <f t="shared" si="407"/>
        <v>0</v>
      </c>
      <c r="AC710">
        <f t="shared" si="408"/>
        <v>1045.25</v>
      </c>
      <c r="AD710">
        <f t="shared" si="409"/>
        <v>0</v>
      </c>
      <c r="AE710">
        <f t="shared" si="410"/>
        <v>0</v>
      </c>
      <c r="AF710">
        <f t="shared" si="411"/>
        <v>0</v>
      </c>
      <c r="AG710">
        <f t="shared" si="412"/>
        <v>0</v>
      </c>
      <c r="AH710">
        <f t="shared" si="413"/>
        <v>0</v>
      </c>
      <c r="AJ710">
        <f t="shared" si="414"/>
        <v>1239.01</v>
      </c>
      <c r="AK710">
        <f t="shared" si="415"/>
        <v>0</v>
      </c>
      <c r="AL710">
        <f t="shared" si="416"/>
        <v>0</v>
      </c>
      <c r="AM710">
        <f t="shared" si="417"/>
        <v>0</v>
      </c>
      <c r="AN710">
        <f t="shared" si="418"/>
        <v>0</v>
      </c>
      <c r="AO710">
        <f t="shared" si="419"/>
        <v>0</v>
      </c>
    </row>
    <row r="711" spans="1:41" x14ac:dyDescent="0.45">
      <c r="A711">
        <v>39.606829949999998</v>
      </c>
      <c r="B711">
        <v>116.6588666</v>
      </c>
      <c r="C711">
        <v>0</v>
      </c>
      <c r="D711">
        <v>0.48892598999999998</v>
      </c>
      <c r="E711">
        <f t="shared" si="385"/>
        <v>0</v>
      </c>
      <c r="F711">
        <f t="shared" si="386"/>
        <v>0.48892598999999998</v>
      </c>
      <c r="G711">
        <f t="shared" si="387"/>
        <v>0.48892598999999998</v>
      </c>
      <c r="H711">
        <f t="shared" si="388"/>
        <v>0.48892598999999998</v>
      </c>
      <c r="I711">
        <f t="shared" si="389"/>
        <v>0.48892598999999998</v>
      </c>
      <c r="J711">
        <f t="shared" si="390"/>
        <v>0.48892598999999998</v>
      </c>
      <c r="K711" s="1">
        <f t="shared" si="391"/>
        <v>0</v>
      </c>
      <c r="L711" s="1">
        <f t="shared" si="392"/>
        <v>0</v>
      </c>
      <c r="M711" s="1">
        <f t="shared" si="393"/>
        <v>0</v>
      </c>
      <c r="N711" s="1">
        <f t="shared" si="394"/>
        <v>0</v>
      </c>
      <c r="O711" s="1">
        <f t="shared" si="395"/>
        <v>0</v>
      </c>
      <c r="P711" s="1">
        <f t="shared" si="396"/>
        <v>1</v>
      </c>
      <c r="Q711" s="1">
        <f t="shared" si="397"/>
        <v>1</v>
      </c>
      <c r="R711" s="1">
        <f t="shared" si="398"/>
        <v>1</v>
      </c>
      <c r="S711" s="1">
        <f t="shared" si="399"/>
        <v>1</v>
      </c>
      <c r="T711" s="1">
        <f t="shared" si="400"/>
        <v>1</v>
      </c>
      <c r="U711" s="1">
        <f t="shared" si="401"/>
        <v>1</v>
      </c>
      <c r="V711">
        <f t="shared" si="402"/>
        <v>71.48</v>
      </c>
      <c r="W711">
        <f t="shared" si="403"/>
        <v>76.489999999999995</v>
      </c>
      <c r="X711">
        <f t="shared" si="404"/>
        <v>52.14</v>
      </c>
      <c r="Y711">
        <f t="shared" si="405"/>
        <v>38.1</v>
      </c>
      <c r="Z711">
        <f t="shared" si="406"/>
        <v>32.120000000000005</v>
      </c>
      <c r="AA711">
        <f t="shared" si="407"/>
        <v>30.03</v>
      </c>
      <c r="AC711">
        <f t="shared" si="408"/>
        <v>85.25</v>
      </c>
      <c r="AD711">
        <f t="shared" si="409"/>
        <v>76.489999999999995</v>
      </c>
      <c r="AE711">
        <f t="shared" si="410"/>
        <v>64.17</v>
      </c>
      <c r="AF711">
        <f t="shared" si="411"/>
        <v>49.84</v>
      </c>
      <c r="AG711">
        <f t="shared" si="412"/>
        <v>48.34</v>
      </c>
      <c r="AH711">
        <f t="shared" si="413"/>
        <v>41.36</v>
      </c>
      <c r="AJ711">
        <f t="shared" si="414"/>
        <v>99.009999999999991</v>
      </c>
      <c r="AK711">
        <f t="shared" si="415"/>
        <v>90.94</v>
      </c>
      <c r="AL711">
        <f t="shared" si="416"/>
        <v>78.7</v>
      </c>
      <c r="AM711">
        <f t="shared" si="417"/>
        <v>67.430000000000007</v>
      </c>
      <c r="AN711">
        <f t="shared" si="418"/>
        <v>62.56</v>
      </c>
      <c r="AO711">
        <f t="shared" si="419"/>
        <v>55.19</v>
      </c>
    </row>
    <row r="712" spans="1:41" x14ac:dyDescent="0.45">
      <c r="A712">
        <v>39.629325680000001</v>
      </c>
      <c r="B712">
        <v>120.54464969999999</v>
      </c>
      <c r="C712">
        <v>11.146034240000001</v>
      </c>
      <c r="D712">
        <v>1.83645999</v>
      </c>
      <c r="E712">
        <f t="shared" si="385"/>
        <v>1.83645999</v>
      </c>
      <c r="F712">
        <f t="shared" si="386"/>
        <v>0</v>
      </c>
      <c r="G712">
        <f t="shared" si="387"/>
        <v>0</v>
      </c>
      <c r="H712">
        <f t="shared" si="388"/>
        <v>0</v>
      </c>
      <c r="I712">
        <f t="shared" si="389"/>
        <v>0</v>
      </c>
      <c r="J712">
        <f t="shared" si="390"/>
        <v>0</v>
      </c>
      <c r="K712" s="1">
        <f t="shared" si="391"/>
        <v>0</v>
      </c>
      <c r="L712" s="1">
        <f t="shared" si="392"/>
        <v>0</v>
      </c>
      <c r="M712" s="1">
        <f t="shared" si="393"/>
        <v>0</v>
      </c>
      <c r="N712" s="1">
        <f t="shared" si="394"/>
        <v>0</v>
      </c>
      <c r="O712" s="1">
        <f t="shared" si="395"/>
        <v>0</v>
      </c>
      <c r="P712" s="1">
        <f t="shared" si="396"/>
        <v>25.000000000000004</v>
      </c>
      <c r="Q712" s="1" t="e">
        <f t="shared" si="397"/>
        <v>#DIV/0!</v>
      </c>
      <c r="R712" s="1" t="e">
        <f t="shared" si="398"/>
        <v>#DIV/0!</v>
      </c>
      <c r="S712" s="1" t="e">
        <f t="shared" si="399"/>
        <v>#DIV/0!</v>
      </c>
      <c r="T712" s="1" t="e">
        <f t="shared" si="400"/>
        <v>#DIV/0!</v>
      </c>
      <c r="U712" s="1" t="e">
        <f t="shared" si="401"/>
        <v>#DIV/0!</v>
      </c>
      <c r="V712">
        <f t="shared" si="402"/>
        <v>851.48000000000013</v>
      </c>
      <c r="W712">
        <f t="shared" si="403"/>
        <v>0</v>
      </c>
      <c r="X712">
        <f t="shared" si="404"/>
        <v>0</v>
      </c>
      <c r="Y712">
        <f t="shared" si="405"/>
        <v>0</v>
      </c>
      <c r="Z712">
        <f t="shared" si="406"/>
        <v>0</v>
      </c>
      <c r="AA712">
        <f t="shared" si="407"/>
        <v>0</v>
      </c>
      <c r="AC712">
        <f t="shared" si="408"/>
        <v>1045.25</v>
      </c>
      <c r="AD712">
        <f t="shared" si="409"/>
        <v>0</v>
      </c>
      <c r="AE712">
        <f t="shared" si="410"/>
        <v>0</v>
      </c>
      <c r="AF712">
        <f t="shared" si="411"/>
        <v>0</v>
      </c>
      <c r="AG712">
        <f t="shared" si="412"/>
        <v>0</v>
      </c>
      <c r="AH712">
        <f t="shared" si="413"/>
        <v>0</v>
      </c>
      <c r="AJ712">
        <f t="shared" si="414"/>
        <v>1239.0100000000002</v>
      </c>
      <c r="AK712">
        <f t="shared" si="415"/>
        <v>0</v>
      </c>
      <c r="AL712">
        <f t="shared" si="416"/>
        <v>0</v>
      </c>
      <c r="AM712">
        <f t="shared" si="417"/>
        <v>0</v>
      </c>
      <c r="AN712">
        <f t="shared" si="418"/>
        <v>0</v>
      </c>
      <c r="AO712">
        <f t="shared" si="419"/>
        <v>0</v>
      </c>
    </row>
    <row r="713" spans="1:41" x14ac:dyDescent="0.45">
      <c r="A713">
        <v>39.63712658</v>
      </c>
      <c r="B713">
        <v>116.84198379999999</v>
      </c>
      <c r="C713">
        <v>0</v>
      </c>
      <c r="D713">
        <v>0.11121200000000001</v>
      </c>
      <c r="E713">
        <f t="shared" si="385"/>
        <v>0</v>
      </c>
      <c r="F713">
        <f t="shared" si="386"/>
        <v>0.11121200000000001</v>
      </c>
      <c r="G713">
        <f t="shared" si="387"/>
        <v>0.11121200000000001</v>
      </c>
      <c r="H713">
        <f t="shared" si="388"/>
        <v>0.11121200000000001</v>
      </c>
      <c r="I713">
        <f t="shared" si="389"/>
        <v>0.11121200000000001</v>
      </c>
      <c r="J713">
        <f t="shared" si="390"/>
        <v>0.11121200000000001</v>
      </c>
      <c r="K713" s="1">
        <f t="shared" si="391"/>
        <v>0</v>
      </c>
      <c r="L713" s="1">
        <f t="shared" si="392"/>
        <v>0</v>
      </c>
      <c r="M713" s="1">
        <f t="shared" si="393"/>
        <v>0</v>
      </c>
      <c r="N713" s="1">
        <f t="shared" si="394"/>
        <v>0</v>
      </c>
      <c r="O713" s="1">
        <f t="shared" si="395"/>
        <v>0</v>
      </c>
      <c r="P713" s="1">
        <f t="shared" si="396"/>
        <v>1</v>
      </c>
      <c r="Q713" s="1">
        <f t="shared" si="397"/>
        <v>1</v>
      </c>
      <c r="R713" s="1">
        <f t="shared" si="398"/>
        <v>1</v>
      </c>
      <c r="S713" s="1">
        <f t="shared" si="399"/>
        <v>1</v>
      </c>
      <c r="T713" s="1">
        <f t="shared" si="400"/>
        <v>1</v>
      </c>
      <c r="U713" s="1">
        <f t="shared" si="401"/>
        <v>1</v>
      </c>
      <c r="V713">
        <f t="shared" si="402"/>
        <v>71.48</v>
      </c>
      <c r="W713">
        <f t="shared" si="403"/>
        <v>76.489999999999995</v>
      </c>
      <c r="X713">
        <f t="shared" si="404"/>
        <v>52.14</v>
      </c>
      <c r="Y713">
        <f t="shared" si="405"/>
        <v>38.1</v>
      </c>
      <c r="Z713">
        <f t="shared" si="406"/>
        <v>32.120000000000005</v>
      </c>
      <c r="AA713">
        <f t="shared" si="407"/>
        <v>30.03</v>
      </c>
      <c r="AC713">
        <f t="shared" si="408"/>
        <v>85.25</v>
      </c>
      <c r="AD713">
        <f t="shared" si="409"/>
        <v>76.489999999999995</v>
      </c>
      <c r="AE713">
        <f t="shared" si="410"/>
        <v>64.17</v>
      </c>
      <c r="AF713">
        <f t="shared" si="411"/>
        <v>49.84</v>
      </c>
      <c r="AG713">
        <f t="shared" si="412"/>
        <v>48.34</v>
      </c>
      <c r="AH713">
        <f t="shared" si="413"/>
        <v>41.36</v>
      </c>
      <c r="AJ713">
        <f t="shared" si="414"/>
        <v>99.009999999999991</v>
      </c>
      <c r="AK713">
        <f t="shared" si="415"/>
        <v>90.94</v>
      </c>
      <c r="AL713">
        <f t="shared" si="416"/>
        <v>78.7</v>
      </c>
      <c r="AM713">
        <f t="shared" si="417"/>
        <v>67.430000000000007</v>
      </c>
      <c r="AN713">
        <f t="shared" si="418"/>
        <v>62.56</v>
      </c>
      <c r="AO713">
        <f t="shared" si="419"/>
        <v>55.19</v>
      </c>
    </row>
    <row r="714" spans="1:41" x14ac:dyDescent="0.45">
      <c r="A714">
        <v>39.661827940000002</v>
      </c>
      <c r="B714">
        <v>75.249681910000007</v>
      </c>
      <c r="C714">
        <v>0</v>
      </c>
      <c r="D714">
        <v>0.20591499999999999</v>
      </c>
      <c r="E714">
        <f t="shared" si="385"/>
        <v>0</v>
      </c>
      <c r="F714">
        <f t="shared" si="386"/>
        <v>0.20591499999999999</v>
      </c>
      <c r="G714">
        <f t="shared" si="387"/>
        <v>0.20591499999999999</v>
      </c>
      <c r="H714">
        <f t="shared" si="388"/>
        <v>0.20591499999999999</v>
      </c>
      <c r="I714">
        <f t="shared" si="389"/>
        <v>0.20591499999999999</v>
      </c>
      <c r="J714">
        <f t="shared" si="390"/>
        <v>0.20591499999999999</v>
      </c>
      <c r="K714" s="1">
        <f t="shared" si="391"/>
        <v>0</v>
      </c>
      <c r="L714" s="1">
        <f t="shared" si="392"/>
        <v>0</v>
      </c>
      <c r="M714" s="1">
        <f t="shared" si="393"/>
        <v>0</v>
      </c>
      <c r="N714" s="1">
        <f t="shared" si="394"/>
        <v>0</v>
      </c>
      <c r="O714" s="1">
        <f t="shared" si="395"/>
        <v>0</v>
      </c>
      <c r="P714" s="1">
        <f t="shared" si="396"/>
        <v>1</v>
      </c>
      <c r="Q714" s="1">
        <f t="shared" si="397"/>
        <v>1</v>
      </c>
      <c r="R714" s="1">
        <f t="shared" si="398"/>
        <v>1</v>
      </c>
      <c r="S714" s="1">
        <f t="shared" si="399"/>
        <v>1</v>
      </c>
      <c r="T714" s="1">
        <f t="shared" si="400"/>
        <v>1</v>
      </c>
      <c r="U714" s="1">
        <f t="shared" si="401"/>
        <v>1</v>
      </c>
      <c r="V714">
        <f t="shared" si="402"/>
        <v>71.48</v>
      </c>
      <c r="W714">
        <f t="shared" si="403"/>
        <v>76.489999999999995</v>
      </c>
      <c r="X714">
        <f t="shared" si="404"/>
        <v>52.14</v>
      </c>
      <c r="Y714">
        <f t="shared" si="405"/>
        <v>38.1</v>
      </c>
      <c r="Z714">
        <f t="shared" si="406"/>
        <v>32.120000000000005</v>
      </c>
      <c r="AA714">
        <f t="shared" si="407"/>
        <v>30.03</v>
      </c>
      <c r="AC714">
        <f t="shared" si="408"/>
        <v>85.25</v>
      </c>
      <c r="AD714">
        <f t="shared" si="409"/>
        <v>76.489999999999995</v>
      </c>
      <c r="AE714">
        <f t="shared" si="410"/>
        <v>64.17</v>
      </c>
      <c r="AF714">
        <f t="shared" si="411"/>
        <v>49.84</v>
      </c>
      <c r="AG714">
        <f t="shared" si="412"/>
        <v>48.34</v>
      </c>
      <c r="AH714">
        <f t="shared" si="413"/>
        <v>41.36</v>
      </c>
      <c r="AJ714">
        <f t="shared" si="414"/>
        <v>99.009999999999991</v>
      </c>
      <c r="AK714">
        <f t="shared" si="415"/>
        <v>90.94</v>
      </c>
      <c r="AL714">
        <f t="shared" si="416"/>
        <v>78.7</v>
      </c>
      <c r="AM714">
        <f t="shared" si="417"/>
        <v>67.430000000000007</v>
      </c>
      <c r="AN714">
        <f t="shared" si="418"/>
        <v>62.56</v>
      </c>
      <c r="AO714">
        <f t="shared" si="419"/>
        <v>55.19</v>
      </c>
    </row>
    <row r="715" spans="1:41" x14ac:dyDescent="0.45">
      <c r="A715">
        <v>39.744440730000001</v>
      </c>
      <c r="B715">
        <v>120.7472094</v>
      </c>
      <c r="C715">
        <v>15.833525659999999</v>
      </c>
      <c r="D715">
        <v>13.46737003</v>
      </c>
      <c r="E715">
        <f t="shared" si="385"/>
        <v>13.46737003</v>
      </c>
      <c r="F715">
        <f t="shared" si="386"/>
        <v>0</v>
      </c>
      <c r="G715">
        <f t="shared" si="387"/>
        <v>0</v>
      </c>
      <c r="H715">
        <f t="shared" si="388"/>
        <v>0</v>
      </c>
      <c r="I715">
        <f t="shared" si="389"/>
        <v>0</v>
      </c>
      <c r="J715">
        <f t="shared" si="390"/>
        <v>0</v>
      </c>
      <c r="K715" s="1">
        <f t="shared" si="391"/>
        <v>0</v>
      </c>
      <c r="L715" s="1">
        <f t="shared" si="392"/>
        <v>0</v>
      </c>
      <c r="M715" s="1">
        <f t="shared" si="393"/>
        <v>0</v>
      </c>
      <c r="N715" s="1">
        <f t="shared" si="394"/>
        <v>0</v>
      </c>
      <c r="O715" s="1">
        <f t="shared" si="395"/>
        <v>0</v>
      </c>
      <c r="P715" s="1">
        <f t="shared" si="396"/>
        <v>25</v>
      </c>
      <c r="Q715" s="1" t="e">
        <f t="shared" si="397"/>
        <v>#DIV/0!</v>
      </c>
      <c r="R715" s="1" t="e">
        <f t="shared" si="398"/>
        <v>#DIV/0!</v>
      </c>
      <c r="S715" s="1" t="e">
        <f t="shared" si="399"/>
        <v>#DIV/0!</v>
      </c>
      <c r="T715" s="1" t="e">
        <f t="shared" si="400"/>
        <v>#DIV/0!</v>
      </c>
      <c r="U715" s="1" t="e">
        <f t="shared" si="401"/>
        <v>#DIV/0!</v>
      </c>
      <c r="V715">
        <f t="shared" si="402"/>
        <v>851.48</v>
      </c>
      <c r="W715">
        <f t="shared" si="403"/>
        <v>0</v>
      </c>
      <c r="X715">
        <f t="shared" si="404"/>
        <v>0</v>
      </c>
      <c r="Y715">
        <f t="shared" si="405"/>
        <v>0</v>
      </c>
      <c r="Z715">
        <f t="shared" si="406"/>
        <v>0</v>
      </c>
      <c r="AA715">
        <f t="shared" si="407"/>
        <v>0</v>
      </c>
      <c r="AC715">
        <f t="shared" si="408"/>
        <v>1045.25</v>
      </c>
      <c r="AD715">
        <f t="shared" si="409"/>
        <v>0</v>
      </c>
      <c r="AE715">
        <f t="shared" si="410"/>
        <v>0</v>
      </c>
      <c r="AF715">
        <f t="shared" si="411"/>
        <v>0</v>
      </c>
      <c r="AG715">
        <f t="shared" si="412"/>
        <v>0</v>
      </c>
      <c r="AH715">
        <f t="shared" si="413"/>
        <v>0</v>
      </c>
      <c r="AJ715">
        <f t="shared" si="414"/>
        <v>1239.01</v>
      </c>
      <c r="AK715">
        <f t="shared" si="415"/>
        <v>0</v>
      </c>
      <c r="AL715">
        <f t="shared" si="416"/>
        <v>0</v>
      </c>
      <c r="AM715">
        <f t="shared" si="417"/>
        <v>0</v>
      </c>
      <c r="AN715">
        <f t="shared" si="418"/>
        <v>0</v>
      </c>
      <c r="AO715">
        <f t="shared" si="419"/>
        <v>0</v>
      </c>
    </row>
    <row r="716" spans="1:41" x14ac:dyDescent="0.45">
      <c r="A716">
        <v>39.80353968</v>
      </c>
      <c r="B716">
        <v>120.6388638</v>
      </c>
      <c r="C716">
        <v>8.9088087100000006</v>
      </c>
      <c r="D716">
        <v>26.137945179999999</v>
      </c>
      <c r="E716">
        <f t="shared" si="385"/>
        <v>8.9088087100000006</v>
      </c>
      <c r="F716">
        <f t="shared" si="386"/>
        <v>0</v>
      </c>
      <c r="G716">
        <f t="shared" si="387"/>
        <v>0</v>
      </c>
      <c r="H716">
        <f t="shared" si="388"/>
        <v>0</v>
      </c>
      <c r="I716">
        <f t="shared" si="389"/>
        <v>0</v>
      </c>
      <c r="J716">
        <f t="shared" si="390"/>
        <v>0</v>
      </c>
      <c r="K716" s="1">
        <f t="shared" si="391"/>
        <v>0</v>
      </c>
      <c r="L716" s="1">
        <f t="shared" si="392"/>
        <v>0</v>
      </c>
      <c r="M716" s="1">
        <f t="shared" si="393"/>
        <v>0</v>
      </c>
      <c r="N716" s="1">
        <f t="shared" si="394"/>
        <v>0</v>
      </c>
      <c r="O716" s="1">
        <f t="shared" si="395"/>
        <v>0</v>
      </c>
      <c r="P716" s="1">
        <f t="shared" si="396"/>
        <v>8.5209535874464652</v>
      </c>
      <c r="Q716" s="1" t="e">
        <f t="shared" si="397"/>
        <v>#DIV/0!</v>
      </c>
      <c r="R716" s="1" t="e">
        <f t="shared" si="398"/>
        <v>#DIV/0!</v>
      </c>
      <c r="S716" s="1" t="e">
        <f t="shared" si="399"/>
        <v>#DIV/0!</v>
      </c>
      <c r="T716" s="1" t="e">
        <f t="shared" si="400"/>
        <v>#DIV/0!</v>
      </c>
      <c r="U716" s="1" t="e">
        <f t="shared" si="401"/>
        <v>#DIV/0!</v>
      </c>
      <c r="V716">
        <f t="shared" si="402"/>
        <v>315.91099159201013</v>
      </c>
      <c r="W716">
        <f t="shared" si="403"/>
        <v>0</v>
      </c>
      <c r="X716">
        <f t="shared" si="404"/>
        <v>0</v>
      </c>
      <c r="Y716">
        <f t="shared" si="405"/>
        <v>0</v>
      </c>
      <c r="Z716">
        <f t="shared" si="406"/>
        <v>0</v>
      </c>
      <c r="AA716">
        <f t="shared" si="407"/>
        <v>0</v>
      </c>
      <c r="AC716">
        <f t="shared" si="408"/>
        <v>386.0881434978586</v>
      </c>
      <c r="AD716">
        <f t="shared" si="409"/>
        <v>0</v>
      </c>
      <c r="AE716">
        <f t="shared" si="410"/>
        <v>0</v>
      </c>
      <c r="AF716">
        <f t="shared" si="411"/>
        <v>0</v>
      </c>
      <c r="AG716">
        <f t="shared" si="412"/>
        <v>0</v>
      </c>
      <c r="AH716">
        <f t="shared" si="413"/>
        <v>0</v>
      </c>
      <c r="AJ716">
        <f t="shared" si="414"/>
        <v>456.25529540370707</v>
      </c>
      <c r="AK716">
        <f t="shared" si="415"/>
        <v>0</v>
      </c>
      <c r="AL716">
        <f t="shared" si="416"/>
        <v>0</v>
      </c>
      <c r="AM716">
        <f t="shared" si="417"/>
        <v>0</v>
      </c>
      <c r="AN716">
        <f t="shared" si="418"/>
        <v>0</v>
      </c>
      <c r="AO716">
        <f t="shared" si="419"/>
        <v>0</v>
      </c>
    </row>
    <row r="717" spans="1:41" x14ac:dyDescent="0.45">
      <c r="A717">
        <v>39.813971960000003</v>
      </c>
      <c r="B717">
        <v>120.94126559999999</v>
      </c>
      <c r="C717">
        <v>45.269817349999997</v>
      </c>
      <c r="D717">
        <v>0.48972300000000002</v>
      </c>
      <c r="E717">
        <f t="shared" si="385"/>
        <v>0.48972300000000002</v>
      </c>
      <c r="F717">
        <f t="shared" si="386"/>
        <v>0</v>
      </c>
      <c r="G717">
        <f t="shared" si="387"/>
        <v>0</v>
      </c>
      <c r="H717">
        <f t="shared" si="388"/>
        <v>0</v>
      </c>
      <c r="I717">
        <f t="shared" si="389"/>
        <v>0</v>
      </c>
      <c r="J717">
        <f t="shared" si="390"/>
        <v>0</v>
      </c>
      <c r="K717" s="1">
        <f t="shared" si="391"/>
        <v>0</v>
      </c>
      <c r="L717" s="1">
        <f t="shared" si="392"/>
        <v>0</v>
      </c>
      <c r="M717" s="1">
        <f t="shared" si="393"/>
        <v>0</v>
      </c>
      <c r="N717" s="1">
        <f t="shared" si="394"/>
        <v>0</v>
      </c>
      <c r="O717" s="1">
        <f t="shared" si="395"/>
        <v>0</v>
      </c>
      <c r="P717" s="1">
        <f t="shared" si="396"/>
        <v>25</v>
      </c>
      <c r="Q717" s="1" t="e">
        <f t="shared" si="397"/>
        <v>#DIV/0!</v>
      </c>
      <c r="R717" s="1" t="e">
        <f t="shared" si="398"/>
        <v>#DIV/0!</v>
      </c>
      <c r="S717" s="1" t="e">
        <f t="shared" si="399"/>
        <v>#DIV/0!</v>
      </c>
      <c r="T717" s="1" t="e">
        <f t="shared" si="400"/>
        <v>#DIV/0!</v>
      </c>
      <c r="U717" s="1" t="e">
        <f t="shared" si="401"/>
        <v>#DIV/0!</v>
      </c>
      <c r="V717">
        <f t="shared" si="402"/>
        <v>851.48</v>
      </c>
      <c r="W717">
        <f t="shared" si="403"/>
        <v>0</v>
      </c>
      <c r="X717">
        <f t="shared" si="404"/>
        <v>0</v>
      </c>
      <c r="Y717">
        <f t="shared" si="405"/>
        <v>0</v>
      </c>
      <c r="Z717">
        <f t="shared" si="406"/>
        <v>0</v>
      </c>
      <c r="AA717">
        <f t="shared" si="407"/>
        <v>0</v>
      </c>
      <c r="AC717">
        <f t="shared" si="408"/>
        <v>1045.25</v>
      </c>
      <c r="AD717">
        <f t="shared" si="409"/>
        <v>0</v>
      </c>
      <c r="AE717">
        <f t="shared" si="410"/>
        <v>0</v>
      </c>
      <c r="AF717">
        <f t="shared" si="411"/>
        <v>0</v>
      </c>
      <c r="AG717">
        <f t="shared" si="412"/>
        <v>0</v>
      </c>
      <c r="AH717">
        <f t="shared" si="413"/>
        <v>0</v>
      </c>
      <c r="AJ717">
        <f t="shared" si="414"/>
        <v>1239.01</v>
      </c>
      <c r="AK717">
        <f t="shared" si="415"/>
        <v>0</v>
      </c>
      <c r="AL717">
        <f t="shared" si="416"/>
        <v>0</v>
      </c>
      <c r="AM717">
        <f t="shared" si="417"/>
        <v>0</v>
      </c>
      <c r="AN717">
        <f t="shared" si="418"/>
        <v>0</v>
      </c>
      <c r="AO717">
        <f t="shared" si="419"/>
        <v>0</v>
      </c>
    </row>
    <row r="718" spans="1:41" x14ac:dyDescent="0.45">
      <c r="A718">
        <v>39.852159059999998</v>
      </c>
      <c r="B718">
        <v>121.0090864</v>
      </c>
      <c r="C718">
        <v>15.833525659999999</v>
      </c>
      <c r="D718">
        <v>4.8972258599999998</v>
      </c>
      <c r="E718">
        <f t="shared" si="385"/>
        <v>4.8972258599999998</v>
      </c>
      <c r="F718">
        <f t="shared" si="386"/>
        <v>0</v>
      </c>
      <c r="G718">
        <f t="shared" si="387"/>
        <v>0</v>
      </c>
      <c r="H718">
        <f t="shared" si="388"/>
        <v>0</v>
      </c>
      <c r="I718">
        <f t="shared" si="389"/>
        <v>0</v>
      </c>
      <c r="J718">
        <f t="shared" si="390"/>
        <v>0</v>
      </c>
      <c r="K718" s="1">
        <f t="shared" si="391"/>
        <v>0</v>
      </c>
      <c r="L718" s="1">
        <f t="shared" si="392"/>
        <v>0</v>
      </c>
      <c r="M718" s="1">
        <f t="shared" si="393"/>
        <v>0</v>
      </c>
      <c r="N718" s="1">
        <f t="shared" si="394"/>
        <v>0</v>
      </c>
      <c r="O718" s="1">
        <f t="shared" si="395"/>
        <v>0</v>
      </c>
      <c r="P718" s="1">
        <f t="shared" si="396"/>
        <v>25</v>
      </c>
      <c r="Q718" s="1" t="e">
        <f t="shared" si="397"/>
        <v>#DIV/0!</v>
      </c>
      <c r="R718" s="1" t="e">
        <f t="shared" si="398"/>
        <v>#DIV/0!</v>
      </c>
      <c r="S718" s="1" t="e">
        <f t="shared" si="399"/>
        <v>#DIV/0!</v>
      </c>
      <c r="T718" s="1" t="e">
        <f t="shared" si="400"/>
        <v>#DIV/0!</v>
      </c>
      <c r="U718" s="1" t="e">
        <f t="shared" si="401"/>
        <v>#DIV/0!</v>
      </c>
      <c r="V718">
        <f t="shared" si="402"/>
        <v>851.48</v>
      </c>
      <c r="W718">
        <f t="shared" si="403"/>
        <v>0</v>
      </c>
      <c r="X718">
        <f t="shared" si="404"/>
        <v>0</v>
      </c>
      <c r="Y718">
        <f t="shared" si="405"/>
        <v>0</v>
      </c>
      <c r="Z718">
        <f t="shared" si="406"/>
        <v>0</v>
      </c>
      <c r="AA718">
        <f t="shared" si="407"/>
        <v>0</v>
      </c>
      <c r="AC718">
        <f t="shared" si="408"/>
        <v>1045.25</v>
      </c>
      <c r="AD718">
        <f t="shared" si="409"/>
        <v>0</v>
      </c>
      <c r="AE718">
        <f t="shared" si="410"/>
        <v>0</v>
      </c>
      <c r="AF718">
        <f t="shared" si="411"/>
        <v>0</v>
      </c>
      <c r="AG718">
        <f t="shared" si="412"/>
        <v>0</v>
      </c>
      <c r="AH718">
        <f t="shared" si="413"/>
        <v>0</v>
      </c>
      <c r="AJ718">
        <f t="shared" si="414"/>
        <v>1239.01</v>
      </c>
      <c r="AK718">
        <f t="shared" si="415"/>
        <v>0</v>
      </c>
      <c r="AL718">
        <f t="shared" si="416"/>
        <v>0</v>
      </c>
      <c r="AM718">
        <f t="shared" si="417"/>
        <v>0</v>
      </c>
      <c r="AN718">
        <f t="shared" si="418"/>
        <v>0</v>
      </c>
      <c r="AO718">
        <f t="shared" si="419"/>
        <v>0</v>
      </c>
    </row>
    <row r="719" spans="1:41" x14ac:dyDescent="0.45">
      <c r="A719">
        <v>39.859211199999997</v>
      </c>
      <c r="B719">
        <v>120.9503929</v>
      </c>
      <c r="C719">
        <v>12.76437569</v>
      </c>
      <c r="D719">
        <v>9.2949342700000006</v>
      </c>
      <c r="E719">
        <f t="shared" si="385"/>
        <v>9.2949342700000006</v>
      </c>
      <c r="F719">
        <f t="shared" si="386"/>
        <v>0</v>
      </c>
      <c r="G719">
        <f t="shared" si="387"/>
        <v>0</v>
      </c>
      <c r="H719">
        <f t="shared" si="388"/>
        <v>0</v>
      </c>
      <c r="I719">
        <f t="shared" si="389"/>
        <v>0</v>
      </c>
      <c r="J719">
        <f t="shared" si="390"/>
        <v>0</v>
      </c>
      <c r="K719" s="1">
        <f t="shared" si="391"/>
        <v>0</v>
      </c>
      <c r="L719" s="1">
        <f t="shared" si="392"/>
        <v>0</v>
      </c>
      <c r="M719" s="1">
        <f t="shared" si="393"/>
        <v>0</v>
      </c>
      <c r="N719" s="1">
        <f t="shared" si="394"/>
        <v>0</v>
      </c>
      <c r="O719" s="1">
        <f t="shared" si="395"/>
        <v>0</v>
      </c>
      <c r="P719" s="1">
        <f t="shared" si="396"/>
        <v>25</v>
      </c>
      <c r="Q719" s="1" t="e">
        <f t="shared" si="397"/>
        <v>#DIV/0!</v>
      </c>
      <c r="R719" s="1" t="e">
        <f t="shared" si="398"/>
        <v>#DIV/0!</v>
      </c>
      <c r="S719" s="1" t="e">
        <f t="shared" si="399"/>
        <v>#DIV/0!</v>
      </c>
      <c r="T719" s="1" t="e">
        <f t="shared" si="400"/>
        <v>#DIV/0!</v>
      </c>
      <c r="U719" s="1" t="e">
        <f t="shared" si="401"/>
        <v>#DIV/0!</v>
      </c>
      <c r="V719">
        <f t="shared" si="402"/>
        <v>851.48</v>
      </c>
      <c r="W719">
        <f t="shared" si="403"/>
        <v>0</v>
      </c>
      <c r="X719">
        <f t="shared" si="404"/>
        <v>0</v>
      </c>
      <c r="Y719">
        <f t="shared" si="405"/>
        <v>0</v>
      </c>
      <c r="Z719">
        <f t="shared" si="406"/>
        <v>0</v>
      </c>
      <c r="AA719">
        <f t="shared" si="407"/>
        <v>0</v>
      </c>
      <c r="AC719">
        <f t="shared" si="408"/>
        <v>1045.25</v>
      </c>
      <c r="AD719">
        <f t="shared" si="409"/>
        <v>0</v>
      </c>
      <c r="AE719">
        <f t="shared" si="410"/>
        <v>0</v>
      </c>
      <c r="AF719">
        <f t="shared" si="411"/>
        <v>0</v>
      </c>
      <c r="AG719">
        <f t="shared" si="412"/>
        <v>0</v>
      </c>
      <c r="AH719">
        <f t="shared" si="413"/>
        <v>0</v>
      </c>
      <c r="AJ719">
        <f t="shared" si="414"/>
        <v>1239.01</v>
      </c>
      <c r="AK719">
        <f t="shared" si="415"/>
        <v>0</v>
      </c>
      <c r="AL719">
        <f t="shared" si="416"/>
        <v>0</v>
      </c>
      <c r="AM719">
        <f t="shared" si="417"/>
        <v>0</v>
      </c>
      <c r="AN719">
        <f t="shared" si="418"/>
        <v>0</v>
      </c>
      <c r="AO719">
        <f t="shared" si="419"/>
        <v>0</v>
      </c>
    </row>
    <row r="720" spans="1:41" x14ac:dyDescent="0.45">
      <c r="A720">
        <v>39.880202740000001</v>
      </c>
      <c r="B720">
        <v>120.7742461</v>
      </c>
      <c r="C720">
        <v>11.00180626</v>
      </c>
      <c r="D720">
        <v>10.822423929999999</v>
      </c>
      <c r="E720">
        <f t="shared" si="385"/>
        <v>10.822423929999999</v>
      </c>
      <c r="F720">
        <f t="shared" si="386"/>
        <v>0</v>
      </c>
      <c r="G720">
        <f t="shared" si="387"/>
        <v>0</v>
      </c>
      <c r="H720">
        <f t="shared" si="388"/>
        <v>0</v>
      </c>
      <c r="I720">
        <f t="shared" si="389"/>
        <v>0</v>
      </c>
      <c r="J720">
        <f t="shared" si="390"/>
        <v>0</v>
      </c>
      <c r="K720" s="1">
        <f t="shared" si="391"/>
        <v>0</v>
      </c>
      <c r="L720" s="1">
        <f t="shared" si="392"/>
        <v>0</v>
      </c>
      <c r="M720" s="1">
        <f t="shared" si="393"/>
        <v>0</v>
      </c>
      <c r="N720" s="1">
        <f t="shared" si="394"/>
        <v>0</v>
      </c>
      <c r="O720" s="1">
        <f t="shared" si="395"/>
        <v>0</v>
      </c>
      <c r="P720" s="1">
        <f t="shared" si="396"/>
        <v>25</v>
      </c>
      <c r="Q720" s="1" t="e">
        <f t="shared" si="397"/>
        <v>#DIV/0!</v>
      </c>
      <c r="R720" s="1" t="e">
        <f t="shared" si="398"/>
        <v>#DIV/0!</v>
      </c>
      <c r="S720" s="1" t="e">
        <f t="shared" si="399"/>
        <v>#DIV/0!</v>
      </c>
      <c r="T720" s="1" t="e">
        <f t="shared" si="400"/>
        <v>#DIV/0!</v>
      </c>
      <c r="U720" s="1" t="e">
        <f t="shared" si="401"/>
        <v>#DIV/0!</v>
      </c>
      <c r="V720">
        <f t="shared" si="402"/>
        <v>851.48</v>
      </c>
      <c r="W720">
        <f t="shared" si="403"/>
        <v>0</v>
      </c>
      <c r="X720">
        <f t="shared" si="404"/>
        <v>0</v>
      </c>
      <c r="Y720">
        <f t="shared" si="405"/>
        <v>0</v>
      </c>
      <c r="Z720">
        <f t="shared" si="406"/>
        <v>0</v>
      </c>
      <c r="AA720">
        <f t="shared" si="407"/>
        <v>0</v>
      </c>
      <c r="AC720">
        <f t="shared" si="408"/>
        <v>1045.25</v>
      </c>
      <c r="AD720">
        <f t="shared" si="409"/>
        <v>0</v>
      </c>
      <c r="AE720">
        <f t="shared" si="410"/>
        <v>0</v>
      </c>
      <c r="AF720">
        <f t="shared" si="411"/>
        <v>0</v>
      </c>
      <c r="AG720">
        <f t="shared" si="412"/>
        <v>0</v>
      </c>
      <c r="AH720">
        <f t="shared" si="413"/>
        <v>0</v>
      </c>
      <c r="AJ720">
        <f t="shared" si="414"/>
        <v>1239.01</v>
      </c>
      <c r="AK720">
        <f t="shared" si="415"/>
        <v>0</v>
      </c>
      <c r="AL720">
        <f t="shared" si="416"/>
        <v>0</v>
      </c>
      <c r="AM720">
        <f t="shared" si="417"/>
        <v>0</v>
      </c>
      <c r="AN720">
        <f t="shared" si="418"/>
        <v>0</v>
      </c>
      <c r="AO720">
        <f t="shared" si="419"/>
        <v>0</v>
      </c>
    </row>
    <row r="721" spans="1:41" x14ac:dyDescent="0.45">
      <c r="A721">
        <v>39.925450169999998</v>
      </c>
      <c r="B721">
        <v>120.78328019999999</v>
      </c>
      <c r="C721">
        <v>11.824547770000001</v>
      </c>
      <c r="D721">
        <v>22.86759567</v>
      </c>
      <c r="E721">
        <f t="shared" si="385"/>
        <v>11.824547770000001</v>
      </c>
      <c r="F721">
        <f t="shared" si="386"/>
        <v>0</v>
      </c>
      <c r="G721">
        <f t="shared" si="387"/>
        <v>0</v>
      </c>
      <c r="H721">
        <f t="shared" si="388"/>
        <v>0</v>
      </c>
      <c r="I721">
        <f t="shared" si="389"/>
        <v>0</v>
      </c>
      <c r="J721">
        <f t="shared" si="390"/>
        <v>0</v>
      </c>
      <c r="K721" s="1">
        <f t="shared" si="391"/>
        <v>0</v>
      </c>
      <c r="L721" s="1">
        <f t="shared" si="392"/>
        <v>0</v>
      </c>
      <c r="M721" s="1">
        <f t="shared" si="393"/>
        <v>0</v>
      </c>
      <c r="N721" s="1">
        <f t="shared" si="394"/>
        <v>0</v>
      </c>
      <c r="O721" s="1">
        <f t="shared" si="395"/>
        <v>0</v>
      </c>
      <c r="P721" s="1">
        <f t="shared" si="396"/>
        <v>12.927187384103334</v>
      </c>
      <c r="Q721" s="1" t="e">
        <f t="shared" si="397"/>
        <v>#DIV/0!</v>
      </c>
      <c r="R721" s="1" t="e">
        <f t="shared" si="398"/>
        <v>#DIV/0!</v>
      </c>
      <c r="S721" s="1" t="e">
        <f t="shared" si="399"/>
        <v>#DIV/0!</v>
      </c>
      <c r="T721" s="1" t="e">
        <f t="shared" si="400"/>
        <v>#DIV/0!</v>
      </c>
      <c r="U721" s="1" t="e">
        <f t="shared" si="401"/>
        <v>#DIV/0!</v>
      </c>
      <c r="V721">
        <f t="shared" si="402"/>
        <v>459.11358998335839</v>
      </c>
      <c r="W721">
        <f t="shared" si="403"/>
        <v>0</v>
      </c>
      <c r="X721">
        <f t="shared" si="404"/>
        <v>0</v>
      </c>
      <c r="Y721">
        <f t="shared" si="405"/>
        <v>0</v>
      </c>
      <c r="Z721">
        <f t="shared" si="406"/>
        <v>0</v>
      </c>
      <c r="AA721">
        <f t="shared" si="407"/>
        <v>0</v>
      </c>
      <c r="AC721">
        <f t="shared" si="408"/>
        <v>562.33749536413336</v>
      </c>
      <c r="AD721">
        <f t="shared" si="409"/>
        <v>0</v>
      </c>
      <c r="AE721">
        <f t="shared" si="410"/>
        <v>0</v>
      </c>
      <c r="AF721">
        <f t="shared" si="411"/>
        <v>0</v>
      </c>
      <c r="AG721">
        <f t="shared" si="412"/>
        <v>0</v>
      </c>
      <c r="AH721">
        <f t="shared" si="413"/>
        <v>0</v>
      </c>
      <c r="AJ721">
        <f t="shared" si="414"/>
        <v>665.55140074490839</v>
      </c>
      <c r="AK721">
        <f t="shared" si="415"/>
        <v>0</v>
      </c>
      <c r="AL721">
        <f t="shared" si="416"/>
        <v>0</v>
      </c>
      <c r="AM721">
        <f t="shared" si="417"/>
        <v>0</v>
      </c>
      <c r="AN721">
        <f t="shared" si="418"/>
        <v>0</v>
      </c>
      <c r="AO721">
        <f t="shared" si="419"/>
        <v>0</v>
      </c>
    </row>
    <row r="722" spans="1:41" x14ac:dyDescent="0.45">
      <c r="A722">
        <v>39.966488980000001</v>
      </c>
      <c r="B722">
        <v>121.21296529999999</v>
      </c>
      <c r="C722">
        <v>39.583812709999997</v>
      </c>
      <c r="D722">
        <v>0.48972300000000002</v>
      </c>
      <c r="E722">
        <f t="shared" si="385"/>
        <v>0.48972300000000002</v>
      </c>
      <c r="F722">
        <f t="shared" si="386"/>
        <v>0</v>
      </c>
      <c r="G722">
        <f t="shared" si="387"/>
        <v>0</v>
      </c>
      <c r="H722">
        <f t="shared" si="388"/>
        <v>0</v>
      </c>
      <c r="I722">
        <f t="shared" si="389"/>
        <v>0</v>
      </c>
      <c r="J722">
        <f t="shared" si="390"/>
        <v>0</v>
      </c>
      <c r="K722" s="1">
        <f t="shared" si="391"/>
        <v>0</v>
      </c>
      <c r="L722" s="1">
        <f t="shared" si="392"/>
        <v>0</v>
      </c>
      <c r="M722" s="1">
        <f t="shared" si="393"/>
        <v>0</v>
      </c>
      <c r="N722" s="1">
        <f t="shared" si="394"/>
        <v>0</v>
      </c>
      <c r="O722" s="1">
        <f t="shared" si="395"/>
        <v>0</v>
      </c>
      <c r="P722" s="1">
        <f t="shared" si="396"/>
        <v>25</v>
      </c>
      <c r="Q722" s="1" t="e">
        <f t="shared" si="397"/>
        <v>#DIV/0!</v>
      </c>
      <c r="R722" s="1" t="e">
        <f t="shared" si="398"/>
        <v>#DIV/0!</v>
      </c>
      <c r="S722" s="1" t="e">
        <f t="shared" si="399"/>
        <v>#DIV/0!</v>
      </c>
      <c r="T722" s="1" t="e">
        <f t="shared" si="400"/>
        <v>#DIV/0!</v>
      </c>
      <c r="U722" s="1" t="e">
        <f t="shared" si="401"/>
        <v>#DIV/0!</v>
      </c>
      <c r="V722">
        <f t="shared" si="402"/>
        <v>851.48</v>
      </c>
      <c r="W722">
        <f t="shared" si="403"/>
        <v>0</v>
      </c>
      <c r="X722">
        <f t="shared" si="404"/>
        <v>0</v>
      </c>
      <c r="Y722">
        <f t="shared" si="405"/>
        <v>0</v>
      </c>
      <c r="Z722">
        <f t="shared" si="406"/>
        <v>0</v>
      </c>
      <c r="AA722">
        <f t="shared" si="407"/>
        <v>0</v>
      </c>
      <c r="AC722">
        <f t="shared" si="408"/>
        <v>1045.25</v>
      </c>
      <c r="AD722">
        <f t="shared" si="409"/>
        <v>0</v>
      </c>
      <c r="AE722">
        <f t="shared" si="410"/>
        <v>0</v>
      </c>
      <c r="AF722">
        <f t="shared" si="411"/>
        <v>0</v>
      </c>
      <c r="AG722">
        <f t="shared" si="412"/>
        <v>0</v>
      </c>
      <c r="AH722">
        <f t="shared" si="413"/>
        <v>0</v>
      </c>
      <c r="AJ722">
        <f t="shared" si="414"/>
        <v>1239.01</v>
      </c>
      <c r="AK722">
        <f t="shared" si="415"/>
        <v>0</v>
      </c>
      <c r="AL722">
        <f t="shared" si="416"/>
        <v>0</v>
      </c>
      <c r="AM722">
        <f t="shared" si="417"/>
        <v>0</v>
      </c>
      <c r="AN722">
        <f t="shared" si="418"/>
        <v>0</v>
      </c>
      <c r="AO722">
        <f t="shared" si="419"/>
        <v>0</v>
      </c>
    </row>
    <row r="723" spans="1:41" x14ac:dyDescent="0.45">
      <c r="A723">
        <v>39.968267959999999</v>
      </c>
      <c r="B723">
        <v>105.86136329999999</v>
      </c>
      <c r="C723">
        <v>5.3181140000000002E-2</v>
      </c>
      <c r="D723">
        <v>0.17123701</v>
      </c>
      <c r="E723">
        <f t="shared" si="385"/>
        <v>5.3181140000000002E-2</v>
      </c>
      <c r="F723">
        <f t="shared" si="386"/>
        <v>0</v>
      </c>
      <c r="G723">
        <f t="shared" si="387"/>
        <v>0</v>
      </c>
      <c r="H723">
        <f t="shared" si="388"/>
        <v>0</v>
      </c>
      <c r="I723">
        <f t="shared" si="389"/>
        <v>0</v>
      </c>
      <c r="J723">
        <f t="shared" si="390"/>
        <v>0</v>
      </c>
      <c r="K723" s="1">
        <f t="shared" si="391"/>
        <v>0</v>
      </c>
      <c r="L723" s="1">
        <f t="shared" si="392"/>
        <v>0</v>
      </c>
      <c r="M723" s="1">
        <f t="shared" si="393"/>
        <v>0</v>
      </c>
      <c r="N723" s="1">
        <f t="shared" si="394"/>
        <v>0</v>
      </c>
      <c r="O723" s="1">
        <f t="shared" si="395"/>
        <v>0</v>
      </c>
      <c r="P723" s="1">
        <f t="shared" si="396"/>
        <v>7.7642590232099948</v>
      </c>
      <c r="Q723" s="1" t="e">
        <f t="shared" si="397"/>
        <v>#DIV/0!</v>
      </c>
      <c r="R723" s="1" t="e">
        <f t="shared" si="398"/>
        <v>#DIV/0!</v>
      </c>
      <c r="S723" s="1" t="e">
        <f t="shared" si="399"/>
        <v>#DIV/0!</v>
      </c>
      <c r="T723" s="1" t="e">
        <f t="shared" si="400"/>
        <v>#DIV/0!</v>
      </c>
      <c r="U723" s="1" t="e">
        <f t="shared" si="401"/>
        <v>#DIV/0!</v>
      </c>
      <c r="V723">
        <f t="shared" si="402"/>
        <v>291.31841825432485</v>
      </c>
      <c r="W723">
        <f t="shared" si="403"/>
        <v>0</v>
      </c>
      <c r="X723">
        <f t="shared" si="404"/>
        <v>0</v>
      </c>
      <c r="Y723">
        <f t="shared" si="405"/>
        <v>0</v>
      </c>
      <c r="Z723">
        <f t="shared" si="406"/>
        <v>0</v>
      </c>
      <c r="AA723">
        <f t="shared" si="407"/>
        <v>0</v>
      </c>
      <c r="AC723">
        <f t="shared" si="408"/>
        <v>355.82036092839979</v>
      </c>
      <c r="AD723">
        <f t="shared" si="409"/>
        <v>0</v>
      </c>
      <c r="AE723">
        <f t="shared" si="410"/>
        <v>0</v>
      </c>
      <c r="AF723">
        <f t="shared" si="411"/>
        <v>0</v>
      </c>
      <c r="AG723">
        <f t="shared" si="412"/>
        <v>0</v>
      </c>
      <c r="AH723">
        <f t="shared" si="413"/>
        <v>0</v>
      </c>
      <c r="AJ723">
        <f t="shared" si="414"/>
        <v>420.31230360247474</v>
      </c>
      <c r="AK723">
        <f t="shared" si="415"/>
        <v>0</v>
      </c>
      <c r="AL723">
        <f t="shared" si="416"/>
        <v>0</v>
      </c>
      <c r="AM723">
        <f t="shared" si="417"/>
        <v>0</v>
      </c>
      <c r="AN723">
        <f t="shared" si="418"/>
        <v>0</v>
      </c>
      <c r="AO723">
        <f t="shared" si="419"/>
        <v>0</v>
      </c>
    </row>
    <row r="724" spans="1:41" x14ac:dyDescent="0.45">
      <c r="A724">
        <v>39.980753989999997</v>
      </c>
      <c r="B724">
        <v>121.09542570000001</v>
      </c>
      <c r="C724">
        <v>18.176713939999999</v>
      </c>
      <c r="D724">
        <v>24.584072110000001</v>
      </c>
      <c r="E724">
        <f t="shared" si="385"/>
        <v>18.176713939999999</v>
      </c>
      <c r="F724">
        <f t="shared" si="386"/>
        <v>0</v>
      </c>
      <c r="G724">
        <f t="shared" si="387"/>
        <v>0</v>
      </c>
      <c r="H724">
        <f t="shared" si="388"/>
        <v>0</v>
      </c>
      <c r="I724">
        <f t="shared" si="389"/>
        <v>0</v>
      </c>
      <c r="J724">
        <f t="shared" si="390"/>
        <v>0</v>
      </c>
      <c r="K724" s="1">
        <f t="shared" si="391"/>
        <v>0</v>
      </c>
      <c r="L724" s="1">
        <f t="shared" si="392"/>
        <v>0</v>
      </c>
      <c r="M724" s="1">
        <f t="shared" si="393"/>
        <v>0</v>
      </c>
      <c r="N724" s="1">
        <f t="shared" si="394"/>
        <v>0</v>
      </c>
      <c r="O724" s="1">
        <f t="shared" si="395"/>
        <v>0</v>
      </c>
      <c r="P724" s="1">
        <f t="shared" si="396"/>
        <v>18.484238350210404</v>
      </c>
      <c r="Q724" s="1" t="e">
        <f t="shared" si="397"/>
        <v>#DIV/0!</v>
      </c>
      <c r="R724" s="1" t="e">
        <f t="shared" si="398"/>
        <v>#DIV/0!</v>
      </c>
      <c r="S724" s="1" t="e">
        <f t="shared" si="399"/>
        <v>#DIV/0!</v>
      </c>
      <c r="T724" s="1" t="e">
        <f t="shared" si="400"/>
        <v>#DIV/0!</v>
      </c>
      <c r="U724" s="1" t="e">
        <f t="shared" si="401"/>
        <v>#DIV/0!</v>
      </c>
      <c r="V724">
        <f t="shared" si="402"/>
        <v>639.7177463818382</v>
      </c>
      <c r="W724">
        <f t="shared" si="403"/>
        <v>0</v>
      </c>
      <c r="X724">
        <f t="shared" si="404"/>
        <v>0</v>
      </c>
      <c r="Y724">
        <f t="shared" si="405"/>
        <v>0</v>
      </c>
      <c r="Z724">
        <f t="shared" si="406"/>
        <v>0</v>
      </c>
      <c r="AA724">
        <f t="shared" si="407"/>
        <v>0</v>
      </c>
      <c r="AC724">
        <f t="shared" si="408"/>
        <v>784.61953400841617</v>
      </c>
      <c r="AD724">
        <f t="shared" si="409"/>
        <v>0</v>
      </c>
      <c r="AE724">
        <f t="shared" si="410"/>
        <v>0</v>
      </c>
      <c r="AF724">
        <f t="shared" si="411"/>
        <v>0</v>
      </c>
      <c r="AG724">
        <f t="shared" si="412"/>
        <v>0</v>
      </c>
      <c r="AH724">
        <f t="shared" si="413"/>
        <v>0</v>
      </c>
      <c r="AJ724">
        <f t="shared" si="414"/>
        <v>929.51132163499415</v>
      </c>
      <c r="AK724">
        <f t="shared" si="415"/>
        <v>0</v>
      </c>
      <c r="AL724">
        <f t="shared" si="416"/>
        <v>0</v>
      </c>
      <c r="AM724">
        <f t="shared" si="417"/>
        <v>0</v>
      </c>
      <c r="AN724">
        <f t="shared" si="418"/>
        <v>0</v>
      </c>
      <c r="AO724">
        <f t="shared" si="419"/>
        <v>0</v>
      </c>
    </row>
    <row r="725" spans="1:41" x14ac:dyDescent="0.45">
      <c r="A725">
        <v>40.008953849999997</v>
      </c>
      <c r="B725">
        <v>120.86021239999999</v>
      </c>
      <c r="C725">
        <v>35.2842865</v>
      </c>
      <c r="D725">
        <v>175.8096314</v>
      </c>
      <c r="E725">
        <f t="shared" si="385"/>
        <v>35.2842865</v>
      </c>
      <c r="F725">
        <f t="shared" si="386"/>
        <v>0</v>
      </c>
      <c r="G725">
        <f t="shared" si="387"/>
        <v>0</v>
      </c>
      <c r="H725">
        <f t="shared" si="388"/>
        <v>0</v>
      </c>
      <c r="I725">
        <f t="shared" si="389"/>
        <v>0</v>
      </c>
      <c r="J725">
        <f t="shared" si="390"/>
        <v>0</v>
      </c>
      <c r="K725" s="1">
        <f t="shared" si="391"/>
        <v>0</v>
      </c>
      <c r="L725" s="1">
        <f t="shared" si="392"/>
        <v>0</v>
      </c>
      <c r="M725" s="1">
        <f t="shared" si="393"/>
        <v>0</v>
      </c>
      <c r="N725" s="1">
        <f t="shared" si="394"/>
        <v>0</v>
      </c>
      <c r="O725" s="1">
        <f t="shared" si="395"/>
        <v>0</v>
      </c>
      <c r="P725" s="1">
        <f t="shared" si="396"/>
        <v>5.0173995330952046</v>
      </c>
      <c r="Q725" s="1" t="e">
        <f t="shared" si="397"/>
        <v>#DIV/0!</v>
      </c>
      <c r="R725" s="1" t="e">
        <f t="shared" si="398"/>
        <v>#DIV/0!</v>
      </c>
      <c r="S725" s="1" t="e">
        <f t="shared" si="399"/>
        <v>#DIV/0!</v>
      </c>
      <c r="T725" s="1" t="e">
        <f t="shared" si="400"/>
        <v>#DIV/0!</v>
      </c>
      <c r="U725" s="1" t="e">
        <f t="shared" si="401"/>
        <v>#DIV/0!</v>
      </c>
      <c r="V725">
        <f t="shared" si="402"/>
        <v>202.04548482559414</v>
      </c>
      <c r="W725">
        <f t="shared" si="403"/>
        <v>0</v>
      </c>
      <c r="X725">
        <f t="shared" si="404"/>
        <v>0</v>
      </c>
      <c r="Y725">
        <f t="shared" si="405"/>
        <v>0</v>
      </c>
      <c r="Z725">
        <f t="shared" si="406"/>
        <v>0</v>
      </c>
      <c r="AA725">
        <f t="shared" si="407"/>
        <v>0</v>
      </c>
      <c r="AC725">
        <f t="shared" si="408"/>
        <v>245.94598132380818</v>
      </c>
      <c r="AD725">
        <f t="shared" si="409"/>
        <v>0</v>
      </c>
      <c r="AE725">
        <f t="shared" si="410"/>
        <v>0</v>
      </c>
      <c r="AF725">
        <f t="shared" si="411"/>
        <v>0</v>
      </c>
      <c r="AG725">
        <f t="shared" si="412"/>
        <v>0</v>
      </c>
      <c r="AH725">
        <f t="shared" si="413"/>
        <v>0</v>
      </c>
      <c r="AJ725">
        <f t="shared" si="414"/>
        <v>289.83647782202223</v>
      </c>
      <c r="AK725">
        <f t="shared" si="415"/>
        <v>0</v>
      </c>
      <c r="AL725">
        <f t="shared" si="416"/>
        <v>0</v>
      </c>
      <c r="AM725">
        <f t="shared" si="417"/>
        <v>0</v>
      </c>
      <c r="AN725">
        <f t="shared" si="418"/>
        <v>0</v>
      </c>
      <c r="AO725">
        <f t="shared" si="419"/>
        <v>0</v>
      </c>
    </row>
    <row r="726" spans="1:41" x14ac:dyDescent="0.45">
      <c r="A726">
        <v>40.025972090000003</v>
      </c>
      <c r="B726">
        <v>121.1046671</v>
      </c>
      <c r="C726">
        <v>237.9228516</v>
      </c>
      <c r="D726">
        <v>0.24486100999999999</v>
      </c>
      <c r="E726">
        <f t="shared" si="385"/>
        <v>0.24486100999999999</v>
      </c>
      <c r="F726">
        <f t="shared" si="386"/>
        <v>0</v>
      </c>
      <c r="G726">
        <f t="shared" si="387"/>
        <v>0</v>
      </c>
      <c r="H726">
        <f t="shared" si="388"/>
        <v>0</v>
      </c>
      <c r="I726">
        <f t="shared" si="389"/>
        <v>0</v>
      </c>
      <c r="J726">
        <f t="shared" si="390"/>
        <v>0</v>
      </c>
      <c r="K726" s="1">
        <f t="shared" si="391"/>
        <v>0</v>
      </c>
      <c r="L726" s="1">
        <f t="shared" si="392"/>
        <v>0</v>
      </c>
      <c r="M726" s="1">
        <f t="shared" si="393"/>
        <v>0</v>
      </c>
      <c r="N726" s="1">
        <f t="shared" si="394"/>
        <v>0</v>
      </c>
      <c r="O726" s="1">
        <f t="shared" si="395"/>
        <v>0</v>
      </c>
      <c r="P726" s="1">
        <f t="shared" si="396"/>
        <v>25</v>
      </c>
      <c r="Q726" s="1" t="e">
        <f t="shared" si="397"/>
        <v>#DIV/0!</v>
      </c>
      <c r="R726" s="1" t="e">
        <f t="shared" si="398"/>
        <v>#DIV/0!</v>
      </c>
      <c r="S726" s="1" t="e">
        <f t="shared" si="399"/>
        <v>#DIV/0!</v>
      </c>
      <c r="T726" s="1" t="e">
        <f t="shared" si="400"/>
        <v>#DIV/0!</v>
      </c>
      <c r="U726" s="1" t="e">
        <f t="shared" si="401"/>
        <v>#DIV/0!</v>
      </c>
      <c r="V726">
        <f t="shared" si="402"/>
        <v>851.48</v>
      </c>
      <c r="W726">
        <f t="shared" si="403"/>
        <v>0</v>
      </c>
      <c r="X726">
        <f t="shared" si="404"/>
        <v>0</v>
      </c>
      <c r="Y726">
        <f t="shared" si="405"/>
        <v>0</v>
      </c>
      <c r="Z726">
        <f t="shared" si="406"/>
        <v>0</v>
      </c>
      <c r="AA726">
        <f t="shared" si="407"/>
        <v>0</v>
      </c>
      <c r="AC726">
        <f t="shared" si="408"/>
        <v>1045.25</v>
      </c>
      <c r="AD726">
        <f t="shared" si="409"/>
        <v>0</v>
      </c>
      <c r="AE726">
        <f t="shared" si="410"/>
        <v>0</v>
      </c>
      <c r="AF726">
        <f t="shared" si="411"/>
        <v>0</v>
      </c>
      <c r="AG726">
        <f t="shared" si="412"/>
        <v>0</v>
      </c>
      <c r="AH726">
        <f t="shared" si="413"/>
        <v>0</v>
      </c>
      <c r="AJ726">
        <f t="shared" si="414"/>
        <v>1239.01</v>
      </c>
      <c r="AK726">
        <f t="shared" si="415"/>
        <v>0</v>
      </c>
      <c r="AL726">
        <f t="shared" si="416"/>
        <v>0</v>
      </c>
      <c r="AM726">
        <f t="shared" si="417"/>
        <v>0</v>
      </c>
      <c r="AN726">
        <f t="shared" si="418"/>
        <v>0</v>
      </c>
      <c r="AO726">
        <f t="shared" si="419"/>
        <v>0</v>
      </c>
    </row>
    <row r="727" spans="1:41" x14ac:dyDescent="0.45">
      <c r="A727">
        <v>40.040134799999997</v>
      </c>
      <c r="B727">
        <v>120.987013</v>
      </c>
      <c r="C727">
        <v>60.695182799999998</v>
      </c>
      <c r="D727">
        <v>7.3458380700000001</v>
      </c>
      <c r="E727">
        <f t="shared" si="385"/>
        <v>7.3458380700000001</v>
      </c>
      <c r="F727">
        <f t="shared" si="386"/>
        <v>0</v>
      </c>
      <c r="G727">
        <f t="shared" si="387"/>
        <v>0</v>
      </c>
      <c r="H727">
        <f t="shared" si="388"/>
        <v>0</v>
      </c>
      <c r="I727">
        <f t="shared" si="389"/>
        <v>0</v>
      </c>
      <c r="J727">
        <f t="shared" si="390"/>
        <v>0</v>
      </c>
      <c r="K727" s="1">
        <f t="shared" si="391"/>
        <v>0</v>
      </c>
      <c r="L727" s="1">
        <f t="shared" si="392"/>
        <v>0</v>
      </c>
      <c r="M727" s="1">
        <f t="shared" si="393"/>
        <v>0</v>
      </c>
      <c r="N727" s="1">
        <f t="shared" si="394"/>
        <v>0</v>
      </c>
      <c r="O727" s="1">
        <f t="shared" si="395"/>
        <v>0</v>
      </c>
      <c r="P727" s="1">
        <f t="shared" si="396"/>
        <v>25</v>
      </c>
      <c r="Q727" s="1" t="e">
        <f t="shared" si="397"/>
        <v>#DIV/0!</v>
      </c>
      <c r="R727" s="1" t="e">
        <f t="shared" si="398"/>
        <v>#DIV/0!</v>
      </c>
      <c r="S727" s="1" t="e">
        <f t="shared" si="399"/>
        <v>#DIV/0!</v>
      </c>
      <c r="T727" s="1" t="e">
        <f t="shared" si="400"/>
        <v>#DIV/0!</v>
      </c>
      <c r="U727" s="1" t="e">
        <f t="shared" si="401"/>
        <v>#DIV/0!</v>
      </c>
      <c r="V727">
        <f t="shared" si="402"/>
        <v>851.48</v>
      </c>
      <c r="W727">
        <f t="shared" si="403"/>
        <v>0</v>
      </c>
      <c r="X727">
        <f t="shared" si="404"/>
        <v>0</v>
      </c>
      <c r="Y727">
        <f t="shared" si="405"/>
        <v>0</v>
      </c>
      <c r="Z727">
        <f t="shared" si="406"/>
        <v>0</v>
      </c>
      <c r="AA727">
        <f t="shared" si="407"/>
        <v>0</v>
      </c>
      <c r="AC727">
        <f t="shared" si="408"/>
        <v>1045.25</v>
      </c>
      <c r="AD727">
        <f t="shared" si="409"/>
        <v>0</v>
      </c>
      <c r="AE727">
        <f t="shared" si="410"/>
        <v>0</v>
      </c>
      <c r="AF727">
        <f t="shared" si="411"/>
        <v>0</v>
      </c>
      <c r="AG727">
        <f t="shared" si="412"/>
        <v>0</v>
      </c>
      <c r="AH727">
        <f t="shared" si="413"/>
        <v>0</v>
      </c>
      <c r="AJ727">
        <f t="shared" si="414"/>
        <v>1239.01</v>
      </c>
      <c r="AK727">
        <f t="shared" si="415"/>
        <v>0</v>
      </c>
      <c r="AL727">
        <f t="shared" si="416"/>
        <v>0</v>
      </c>
      <c r="AM727">
        <f t="shared" si="417"/>
        <v>0</v>
      </c>
      <c r="AN727">
        <f t="shared" si="418"/>
        <v>0</v>
      </c>
      <c r="AO727">
        <f t="shared" si="419"/>
        <v>0</v>
      </c>
    </row>
    <row r="728" spans="1:41" x14ac:dyDescent="0.45">
      <c r="A728">
        <v>40.047174859999998</v>
      </c>
      <c r="B728">
        <v>120.9281692</v>
      </c>
      <c r="C728">
        <v>63.334102629999997</v>
      </c>
      <c r="D728">
        <v>1.22430599</v>
      </c>
      <c r="E728">
        <f t="shared" si="385"/>
        <v>1.22430599</v>
      </c>
      <c r="F728">
        <f t="shared" si="386"/>
        <v>0</v>
      </c>
      <c r="G728">
        <f t="shared" si="387"/>
        <v>0</v>
      </c>
      <c r="H728">
        <f t="shared" si="388"/>
        <v>0</v>
      </c>
      <c r="I728">
        <f t="shared" si="389"/>
        <v>0</v>
      </c>
      <c r="J728">
        <f t="shared" si="390"/>
        <v>0</v>
      </c>
      <c r="K728" s="1">
        <f t="shared" si="391"/>
        <v>0</v>
      </c>
      <c r="L728" s="1">
        <f t="shared" si="392"/>
        <v>0</v>
      </c>
      <c r="M728" s="1">
        <f t="shared" si="393"/>
        <v>0</v>
      </c>
      <c r="N728" s="1">
        <f t="shared" si="394"/>
        <v>0</v>
      </c>
      <c r="O728" s="1">
        <f t="shared" si="395"/>
        <v>0</v>
      </c>
      <c r="P728" s="1">
        <f t="shared" si="396"/>
        <v>25</v>
      </c>
      <c r="Q728" s="1" t="e">
        <f t="shared" si="397"/>
        <v>#DIV/0!</v>
      </c>
      <c r="R728" s="1" t="e">
        <f t="shared" si="398"/>
        <v>#DIV/0!</v>
      </c>
      <c r="S728" s="1" t="e">
        <f t="shared" si="399"/>
        <v>#DIV/0!</v>
      </c>
      <c r="T728" s="1" t="e">
        <f t="shared" si="400"/>
        <v>#DIV/0!</v>
      </c>
      <c r="U728" s="1" t="e">
        <f t="shared" si="401"/>
        <v>#DIV/0!</v>
      </c>
      <c r="V728">
        <f t="shared" si="402"/>
        <v>851.48</v>
      </c>
      <c r="W728">
        <f t="shared" si="403"/>
        <v>0</v>
      </c>
      <c r="X728">
        <f t="shared" si="404"/>
        <v>0</v>
      </c>
      <c r="Y728">
        <f t="shared" si="405"/>
        <v>0</v>
      </c>
      <c r="Z728">
        <f t="shared" si="406"/>
        <v>0</v>
      </c>
      <c r="AA728">
        <f t="shared" si="407"/>
        <v>0</v>
      </c>
      <c r="AC728">
        <f t="shared" si="408"/>
        <v>1045.25</v>
      </c>
      <c r="AD728">
        <f t="shared" si="409"/>
        <v>0</v>
      </c>
      <c r="AE728">
        <f t="shared" si="410"/>
        <v>0</v>
      </c>
      <c r="AF728">
        <f t="shared" si="411"/>
        <v>0</v>
      </c>
      <c r="AG728">
        <f t="shared" si="412"/>
        <v>0</v>
      </c>
      <c r="AH728">
        <f t="shared" si="413"/>
        <v>0</v>
      </c>
      <c r="AJ728">
        <f t="shared" si="414"/>
        <v>1239.01</v>
      </c>
      <c r="AK728">
        <f t="shared" si="415"/>
        <v>0</v>
      </c>
      <c r="AL728">
        <f t="shared" si="416"/>
        <v>0</v>
      </c>
      <c r="AM728">
        <f t="shared" si="417"/>
        <v>0</v>
      </c>
      <c r="AN728">
        <f t="shared" si="418"/>
        <v>0</v>
      </c>
      <c r="AO728">
        <f t="shared" si="419"/>
        <v>0</v>
      </c>
    </row>
    <row r="729" spans="1:41" x14ac:dyDescent="0.45">
      <c r="A729">
        <v>40.109267529999997</v>
      </c>
      <c r="B729">
        <v>121.1820635</v>
      </c>
      <c r="C729">
        <v>63.334102629999997</v>
      </c>
      <c r="D729">
        <v>1.22430599</v>
      </c>
      <c r="E729">
        <f t="shared" si="385"/>
        <v>1.22430599</v>
      </c>
      <c r="F729">
        <f t="shared" si="386"/>
        <v>0</v>
      </c>
      <c r="G729">
        <f t="shared" si="387"/>
        <v>0</v>
      </c>
      <c r="H729">
        <f t="shared" si="388"/>
        <v>0</v>
      </c>
      <c r="I729">
        <f t="shared" si="389"/>
        <v>0</v>
      </c>
      <c r="J729">
        <f t="shared" si="390"/>
        <v>0</v>
      </c>
      <c r="K729" s="1">
        <f t="shared" si="391"/>
        <v>0</v>
      </c>
      <c r="L729" s="1">
        <f t="shared" si="392"/>
        <v>0</v>
      </c>
      <c r="M729" s="1">
        <f t="shared" si="393"/>
        <v>0</v>
      </c>
      <c r="N729" s="1">
        <f t="shared" si="394"/>
        <v>0</v>
      </c>
      <c r="O729" s="1">
        <f t="shared" si="395"/>
        <v>0</v>
      </c>
      <c r="P729" s="1">
        <f t="shared" si="396"/>
        <v>25</v>
      </c>
      <c r="Q729" s="1" t="e">
        <f t="shared" si="397"/>
        <v>#DIV/0!</v>
      </c>
      <c r="R729" s="1" t="e">
        <f t="shared" si="398"/>
        <v>#DIV/0!</v>
      </c>
      <c r="S729" s="1" t="e">
        <f t="shared" si="399"/>
        <v>#DIV/0!</v>
      </c>
      <c r="T729" s="1" t="e">
        <f t="shared" si="400"/>
        <v>#DIV/0!</v>
      </c>
      <c r="U729" s="1" t="e">
        <f t="shared" si="401"/>
        <v>#DIV/0!</v>
      </c>
      <c r="V729">
        <f t="shared" si="402"/>
        <v>851.48</v>
      </c>
      <c r="W729">
        <f t="shared" si="403"/>
        <v>0</v>
      </c>
      <c r="X729">
        <f t="shared" si="404"/>
        <v>0</v>
      </c>
      <c r="Y729">
        <f t="shared" si="405"/>
        <v>0</v>
      </c>
      <c r="Z729">
        <f t="shared" si="406"/>
        <v>0</v>
      </c>
      <c r="AA729">
        <f t="shared" si="407"/>
        <v>0</v>
      </c>
      <c r="AC729">
        <f t="shared" si="408"/>
        <v>1045.25</v>
      </c>
      <c r="AD729">
        <f t="shared" si="409"/>
        <v>0</v>
      </c>
      <c r="AE729">
        <f t="shared" si="410"/>
        <v>0</v>
      </c>
      <c r="AF729">
        <f t="shared" si="411"/>
        <v>0</v>
      </c>
      <c r="AG729">
        <f t="shared" si="412"/>
        <v>0</v>
      </c>
      <c r="AH729">
        <f t="shared" si="413"/>
        <v>0</v>
      </c>
      <c r="AJ729">
        <f t="shared" si="414"/>
        <v>1239.01</v>
      </c>
      <c r="AK729">
        <f t="shared" si="415"/>
        <v>0</v>
      </c>
      <c r="AL729">
        <f t="shared" si="416"/>
        <v>0</v>
      </c>
      <c r="AM729">
        <f t="shared" si="417"/>
        <v>0</v>
      </c>
      <c r="AN729">
        <f t="shared" si="418"/>
        <v>0</v>
      </c>
      <c r="AO729">
        <f t="shared" si="419"/>
        <v>0</v>
      </c>
    </row>
    <row r="730" spans="1:41" x14ac:dyDescent="0.45">
      <c r="A730">
        <v>40.123500839999998</v>
      </c>
      <c r="B730">
        <v>121.06429230000001</v>
      </c>
      <c r="C730">
        <v>63.334102629999997</v>
      </c>
      <c r="D730">
        <v>1.22430599</v>
      </c>
      <c r="E730">
        <f t="shared" si="385"/>
        <v>1.22430599</v>
      </c>
      <c r="F730">
        <f t="shared" si="386"/>
        <v>0</v>
      </c>
      <c r="G730">
        <f t="shared" si="387"/>
        <v>0</v>
      </c>
      <c r="H730">
        <f t="shared" si="388"/>
        <v>0</v>
      </c>
      <c r="I730">
        <f t="shared" si="389"/>
        <v>0</v>
      </c>
      <c r="J730">
        <f t="shared" si="390"/>
        <v>0</v>
      </c>
      <c r="K730" s="1">
        <f t="shared" si="391"/>
        <v>0</v>
      </c>
      <c r="L730" s="1">
        <f t="shared" si="392"/>
        <v>0</v>
      </c>
      <c r="M730" s="1">
        <f t="shared" si="393"/>
        <v>0</v>
      </c>
      <c r="N730" s="1">
        <f t="shared" si="394"/>
        <v>0</v>
      </c>
      <c r="O730" s="1">
        <f t="shared" si="395"/>
        <v>0</v>
      </c>
      <c r="P730" s="1">
        <f t="shared" si="396"/>
        <v>25</v>
      </c>
      <c r="Q730" s="1" t="e">
        <f t="shared" si="397"/>
        <v>#DIV/0!</v>
      </c>
      <c r="R730" s="1" t="e">
        <f t="shared" si="398"/>
        <v>#DIV/0!</v>
      </c>
      <c r="S730" s="1" t="e">
        <f t="shared" si="399"/>
        <v>#DIV/0!</v>
      </c>
      <c r="T730" s="1" t="e">
        <f t="shared" si="400"/>
        <v>#DIV/0!</v>
      </c>
      <c r="U730" s="1" t="e">
        <f t="shared" si="401"/>
        <v>#DIV/0!</v>
      </c>
      <c r="V730">
        <f t="shared" si="402"/>
        <v>851.48</v>
      </c>
      <c r="W730">
        <f t="shared" si="403"/>
        <v>0</v>
      </c>
      <c r="X730">
        <f t="shared" si="404"/>
        <v>0</v>
      </c>
      <c r="Y730">
        <f t="shared" si="405"/>
        <v>0</v>
      </c>
      <c r="Z730">
        <f t="shared" si="406"/>
        <v>0</v>
      </c>
      <c r="AA730">
        <f t="shared" si="407"/>
        <v>0</v>
      </c>
      <c r="AC730">
        <f t="shared" si="408"/>
        <v>1045.25</v>
      </c>
      <c r="AD730">
        <f t="shared" si="409"/>
        <v>0</v>
      </c>
      <c r="AE730">
        <f t="shared" si="410"/>
        <v>0</v>
      </c>
      <c r="AF730">
        <f t="shared" si="411"/>
        <v>0</v>
      </c>
      <c r="AG730">
        <f t="shared" si="412"/>
        <v>0</v>
      </c>
      <c r="AH730">
        <f t="shared" si="413"/>
        <v>0</v>
      </c>
      <c r="AJ730">
        <f t="shared" si="414"/>
        <v>1239.01</v>
      </c>
      <c r="AK730">
        <f t="shared" si="415"/>
        <v>0</v>
      </c>
      <c r="AL730">
        <f t="shared" si="416"/>
        <v>0</v>
      </c>
      <c r="AM730">
        <f t="shared" si="417"/>
        <v>0</v>
      </c>
      <c r="AN730">
        <f t="shared" si="418"/>
        <v>0</v>
      </c>
      <c r="AO730">
        <f t="shared" si="419"/>
        <v>0</v>
      </c>
    </row>
    <row r="731" spans="1:41" x14ac:dyDescent="0.45">
      <c r="A731">
        <v>40.178091590000001</v>
      </c>
      <c r="B731">
        <v>121.3774761</v>
      </c>
      <c r="C731">
        <v>27.204145430000001</v>
      </c>
      <c r="D731">
        <v>0.48972300000000002</v>
      </c>
      <c r="E731">
        <f t="shared" si="385"/>
        <v>0.48972300000000002</v>
      </c>
      <c r="F731">
        <f t="shared" si="386"/>
        <v>0</v>
      </c>
      <c r="G731">
        <f t="shared" si="387"/>
        <v>0</v>
      </c>
      <c r="H731">
        <f t="shared" si="388"/>
        <v>0</v>
      </c>
      <c r="I731">
        <f t="shared" si="389"/>
        <v>0</v>
      </c>
      <c r="J731">
        <f t="shared" si="390"/>
        <v>0</v>
      </c>
      <c r="K731" s="1">
        <f t="shared" si="391"/>
        <v>0</v>
      </c>
      <c r="L731" s="1">
        <f t="shared" si="392"/>
        <v>0</v>
      </c>
      <c r="M731" s="1">
        <f t="shared" si="393"/>
        <v>0</v>
      </c>
      <c r="N731" s="1">
        <f t="shared" si="394"/>
        <v>0</v>
      </c>
      <c r="O731" s="1">
        <f t="shared" si="395"/>
        <v>0</v>
      </c>
      <c r="P731" s="1">
        <f t="shared" si="396"/>
        <v>25</v>
      </c>
      <c r="Q731" s="1" t="e">
        <f t="shared" si="397"/>
        <v>#DIV/0!</v>
      </c>
      <c r="R731" s="1" t="e">
        <f t="shared" si="398"/>
        <v>#DIV/0!</v>
      </c>
      <c r="S731" s="1" t="e">
        <f t="shared" si="399"/>
        <v>#DIV/0!</v>
      </c>
      <c r="T731" s="1" t="e">
        <f t="shared" si="400"/>
        <v>#DIV/0!</v>
      </c>
      <c r="U731" s="1" t="e">
        <f t="shared" si="401"/>
        <v>#DIV/0!</v>
      </c>
      <c r="V731">
        <f t="shared" si="402"/>
        <v>851.48</v>
      </c>
      <c r="W731">
        <f t="shared" si="403"/>
        <v>0</v>
      </c>
      <c r="X731">
        <f t="shared" si="404"/>
        <v>0</v>
      </c>
      <c r="Y731">
        <f t="shared" si="405"/>
        <v>0</v>
      </c>
      <c r="Z731">
        <f t="shared" si="406"/>
        <v>0</v>
      </c>
      <c r="AA731">
        <f t="shared" si="407"/>
        <v>0</v>
      </c>
      <c r="AC731">
        <f t="shared" si="408"/>
        <v>1045.25</v>
      </c>
      <c r="AD731">
        <f t="shared" si="409"/>
        <v>0</v>
      </c>
      <c r="AE731">
        <f t="shared" si="410"/>
        <v>0</v>
      </c>
      <c r="AF731">
        <f t="shared" si="411"/>
        <v>0</v>
      </c>
      <c r="AG731">
        <f t="shared" si="412"/>
        <v>0</v>
      </c>
      <c r="AH731">
        <f t="shared" si="413"/>
        <v>0</v>
      </c>
      <c r="AJ731">
        <f t="shared" si="414"/>
        <v>1239.01</v>
      </c>
      <c r="AK731">
        <f t="shared" si="415"/>
        <v>0</v>
      </c>
      <c r="AL731">
        <f t="shared" si="416"/>
        <v>0</v>
      </c>
      <c r="AM731">
        <f t="shared" si="417"/>
        <v>0</v>
      </c>
      <c r="AN731">
        <f t="shared" si="418"/>
        <v>0</v>
      </c>
      <c r="AO731">
        <f t="shared" si="419"/>
        <v>0</v>
      </c>
    </row>
    <row r="732" spans="1:41" x14ac:dyDescent="0.45">
      <c r="A732">
        <v>40.259125050000002</v>
      </c>
      <c r="B732">
        <v>121.0920466</v>
      </c>
      <c r="C732">
        <v>10.6702919</v>
      </c>
      <c r="D732">
        <v>33.186889649999998</v>
      </c>
      <c r="E732">
        <f t="shared" si="385"/>
        <v>10.6702919</v>
      </c>
      <c r="F732">
        <f t="shared" si="386"/>
        <v>0</v>
      </c>
      <c r="G732">
        <f t="shared" si="387"/>
        <v>0</v>
      </c>
      <c r="H732">
        <f t="shared" si="388"/>
        <v>0</v>
      </c>
      <c r="I732">
        <f t="shared" si="389"/>
        <v>0</v>
      </c>
      <c r="J732">
        <f t="shared" si="390"/>
        <v>0</v>
      </c>
      <c r="K732" s="1">
        <f t="shared" si="391"/>
        <v>0</v>
      </c>
      <c r="L732" s="1">
        <f t="shared" si="392"/>
        <v>0</v>
      </c>
      <c r="M732" s="1">
        <f t="shared" si="393"/>
        <v>0</v>
      </c>
      <c r="N732" s="1">
        <f t="shared" si="394"/>
        <v>0</v>
      </c>
      <c r="O732" s="1">
        <f t="shared" si="395"/>
        <v>0</v>
      </c>
      <c r="P732" s="1">
        <f t="shared" si="396"/>
        <v>8.0380324975709208</v>
      </c>
      <c r="Q732" s="1" t="e">
        <f t="shared" si="397"/>
        <v>#DIV/0!</v>
      </c>
      <c r="R732" s="1" t="e">
        <f t="shared" si="398"/>
        <v>#DIV/0!</v>
      </c>
      <c r="S732" s="1" t="e">
        <f t="shared" si="399"/>
        <v>#DIV/0!</v>
      </c>
      <c r="T732" s="1" t="e">
        <f t="shared" si="400"/>
        <v>#DIV/0!</v>
      </c>
      <c r="U732" s="1" t="e">
        <f t="shared" si="401"/>
        <v>#DIV/0!</v>
      </c>
      <c r="V732">
        <f t="shared" si="402"/>
        <v>300.21605617105496</v>
      </c>
      <c r="W732">
        <f t="shared" si="403"/>
        <v>0</v>
      </c>
      <c r="X732">
        <f t="shared" si="404"/>
        <v>0</v>
      </c>
      <c r="Y732">
        <f t="shared" si="405"/>
        <v>0</v>
      </c>
      <c r="Z732">
        <f t="shared" si="406"/>
        <v>0</v>
      </c>
      <c r="AA732">
        <f t="shared" si="407"/>
        <v>0</v>
      </c>
      <c r="AC732">
        <f t="shared" si="408"/>
        <v>366.77129990283686</v>
      </c>
      <c r="AD732">
        <f t="shared" si="409"/>
        <v>0</v>
      </c>
      <c r="AE732">
        <f t="shared" si="410"/>
        <v>0</v>
      </c>
      <c r="AF732">
        <f t="shared" si="411"/>
        <v>0</v>
      </c>
      <c r="AG732">
        <f t="shared" si="412"/>
        <v>0</v>
      </c>
      <c r="AH732">
        <f t="shared" si="413"/>
        <v>0</v>
      </c>
      <c r="AJ732">
        <f t="shared" si="414"/>
        <v>433.31654363461871</v>
      </c>
      <c r="AK732">
        <f t="shared" si="415"/>
        <v>0</v>
      </c>
      <c r="AL732">
        <f t="shared" si="416"/>
        <v>0</v>
      </c>
      <c r="AM732">
        <f t="shared" si="417"/>
        <v>0</v>
      </c>
      <c r="AN732">
        <f t="shared" si="418"/>
        <v>0</v>
      </c>
      <c r="AO732">
        <f t="shared" si="419"/>
        <v>0</v>
      </c>
    </row>
    <row r="733" spans="1:41" x14ac:dyDescent="0.45">
      <c r="A733">
        <v>40.332847940000001</v>
      </c>
      <c r="B733">
        <v>106.6378878</v>
      </c>
      <c r="C733">
        <v>5.3181140000000002E-2</v>
      </c>
      <c r="D733">
        <v>0.22831599</v>
      </c>
      <c r="E733">
        <f t="shared" si="385"/>
        <v>5.3181140000000002E-2</v>
      </c>
      <c r="F733">
        <f t="shared" si="386"/>
        <v>0</v>
      </c>
      <c r="G733">
        <f t="shared" si="387"/>
        <v>0</v>
      </c>
      <c r="H733">
        <f t="shared" si="388"/>
        <v>0</v>
      </c>
      <c r="I733">
        <f t="shared" si="389"/>
        <v>0</v>
      </c>
      <c r="J733">
        <f t="shared" si="390"/>
        <v>0</v>
      </c>
      <c r="K733" s="1">
        <f t="shared" si="391"/>
        <v>0</v>
      </c>
      <c r="L733" s="1">
        <f t="shared" si="392"/>
        <v>0</v>
      </c>
      <c r="M733" s="1">
        <f t="shared" si="393"/>
        <v>0</v>
      </c>
      <c r="N733" s="1">
        <f t="shared" si="394"/>
        <v>0</v>
      </c>
      <c r="O733" s="1">
        <f t="shared" si="395"/>
        <v>0</v>
      </c>
      <c r="P733" s="1">
        <f t="shared" si="396"/>
        <v>5.8231948625236463</v>
      </c>
      <c r="Q733" s="1" t="e">
        <f t="shared" si="397"/>
        <v>#DIV/0!</v>
      </c>
      <c r="R733" s="1" t="e">
        <f t="shared" si="398"/>
        <v>#DIV/0!</v>
      </c>
      <c r="S733" s="1" t="e">
        <f t="shared" si="399"/>
        <v>#DIV/0!</v>
      </c>
      <c r="T733" s="1" t="e">
        <f t="shared" si="400"/>
        <v>#DIV/0!</v>
      </c>
      <c r="U733" s="1" t="e">
        <f t="shared" si="401"/>
        <v>#DIV/0!</v>
      </c>
      <c r="V733">
        <f t="shared" si="402"/>
        <v>228.23383303201848</v>
      </c>
      <c r="W733">
        <f t="shared" si="403"/>
        <v>0</v>
      </c>
      <c r="X733">
        <f t="shared" si="404"/>
        <v>0</v>
      </c>
      <c r="Y733">
        <f t="shared" si="405"/>
        <v>0</v>
      </c>
      <c r="Z733">
        <f t="shared" si="406"/>
        <v>0</v>
      </c>
      <c r="AA733">
        <f t="shared" si="407"/>
        <v>0</v>
      </c>
      <c r="AC733">
        <f t="shared" si="408"/>
        <v>278.17779450094588</v>
      </c>
      <c r="AD733">
        <f t="shared" si="409"/>
        <v>0</v>
      </c>
      <c r="AE733">
        <f t="shared" si="410"/>
        <v>0</v>
      </c>
      <c r="AF733">
        <f t="shared" si="411"/>
        <v>0</v>
      </c>
      <c r="AG733">
        <f t="shared" si="412"/>
        <v>0</v>
      </c>
      <c r="AH733">
        <f t="shared" si="413"/>
        <v>0</v>
      </c>
      <c r="AJ733">
        <f t="shared" si="414"/>
        <v>328.11175596987317</v>
      </c>
      <c r="AK733">
        <f t="shared" si="415"/>
        <v>0</v>
      </c>
      <c r="AL733">
        <f t="shared" si="416"/>
        <v>0</v>
      </c>
      <c r="AM733">
        <f t="shared" si="417"/>
        <v>0</v>
      </c>
      <c r="AN733">
        <f t="shared" si="418"/>
        <v>0</v>
      </c>
      <c r="AO733">
        <f t="shared" si="419"/>
        <v>0</v>
      </c>
    </row>
    <row r="734" spans="1:41" x14ac:dyDescent="0.45">
      <c r="A734">
        <v>40.356617960000001</v>
      </c>
      <c r="B734">
        <v>121.0515283</v>
      </c>
      <c r="C734">
        <v>58.056259160000003</v>
      </c>
      <c r="D734">
        <v>2.2037520399999999</v>
      </c>
      <c r="E734">
        <f t="shared" si="385"/>
        <v>2.2037520399999999</v>
      </c>
      <c r="F734">
        <f t="shared" si="386"/>
        <v>0</v>
      </c>
      <c r="G734">
        <f t="shared" si="387"/>
        <v>0</v>
      </c>
      <c r="H734">
        <f t="shared" si="388"/>
        <v>0</v>
      </c>
      <c r="I734">
        <f t="shared" si="389"/>
        <v>0</v>
      </c>
      <c r="J734">
        <f t="shared" si="390"/>
        <v>0</v>
      </c>
      <c r="K734" s="1">
        <f t="shared" si="391"/>
        <v>0</v>
      </c>
      <c r="L734" s="1">
        <f t="shared" si="392"/>
        <v>0</v>
      </c>
      <c r="M734" s="1">
        <f t="shared" si="393"/>
        <v>0</v>
      </c>
      <c r="N734" s="1">
        <f t="shared" si="394"/>
        <v>0</v>
      </c>
      <c r="O734" s="1">
        <f t="shared" si="395"/>
        <v>0</v>
      </c>
      <c r="P734" s="1">
        <f t="shared" si="396"/>
        <v>25</v>
      </c>
      <c r="Q734" s="1" t="e">
        <f t="shared" si="397"/>
        <v>#DIV/0!</v>
      </c>
      <c r="R734" s="1" t="e">
        <f t="shared" si="398"/>
        <v>#DIV/0!</v>
      </c>
      <c r="S734" s="1" t="e">
        <f t="shared" si="399"/>
        <v>#DIV/0!</v>
      </c>
      <c r="T734" s="1" t="e">
        <f t="shared" si="400"/>
        <v>#DIV/0!</v>
      </c>
      <c r="U734" s="1" t="e">
        <f t="shared" si="401"/>
        <v>#DIV/0!</v>
      </c>
      <c r="V734">
        <f t="shared" si="402"/>
        <v>851.48</v>
      </c>
      <c r="W734">
        <f t="shared" si="403"/>
        <v>0</v>
      </c>
      <c r="X734">
        <f t="shared" si="404"/>
        <v>0</v>
      </c>
      <c r="Y734">
        <f t="shared" si="405"/>
        <v>0</v>
      </c>
      <c r="Z734">
        <f t="shared" si="406"/>
        <v>0</v>
      </c>
      <c r="AA734">
        <f t="shared" si="407"/>
        <v>0</v>
      </c>
      <c r="AC734">
        <f t="shared" si="408"/>
        <v>1045.25</v>
      </c>
      <c r="AD734">
        <f t="shared" si="409"/>
        <v>0</v>
      </c>
      <c r="AE734">
        <f t="shared" si="410"/>
        <v>0</v>
      </c>
      <c r="AF734">
        <f t="shared" si="411"/>
        <v>0</v>
      </c>
      <c r="AG734">
        <f t="shared" si="412"/>
        <v>0</v>
      </c>
      <c r="AH734">
        <f t="shared" si="413"/>
        <v>0</v>
      </c>
      <c r="AJ734">
        <f t="shared" si="414"/>
        <v>1239.01</v>
      </c>
      <c r="AK734">
        <f t="shared" si="415"/>
        <v>0</v>
      </c>
      <c r="AL734">
        <f t="shared" si="416"/>
        <v>0</v>
      </c>
      <c r="AM734">
        <f t="shared" si="417"/>
        <v>0</v>
      </c>
      <c r="AN734">
        <f t="shared" si="418"/>
        <v>0</v>
      </c>
      <c r="AO734">
        <f t="shared" si="419"/>
        <v>0</v>
      </c>
    </row>
    <row r="735" spans="1:41" x14ac:dyDescent="0.45">
      <c r="A735">
        <v>40.358809950000001</v>
      </c>
      <c r="B735">
        <v>121.4152955</v>
      </c>
      <c r="C735">
        <v>50.864578250000001</v>
      </c>
      <c r="D735">
        <v>1.22430599</v>
      </c>
      <c r="E735">
        <f t="shared" si="385"/>
        <v>1.22430599</v>
      </c>
      <c r="F735">
        <f t="shared" si="386"/>
        <v>0</v>
      </c>
      <c r="G735">
        <f t="shared" si="387"/>
        <v>0</v>
      </c>
      <c r="H735">
        <f t="shared" si="388"/>
        <v>0</v>
      </c>
      <c r="I735">
        <f t="shared" si="389"/>
        <v>0</v>
      </c>
      <c r="J735">
        <f t="shared" si="390"/>
        <v>0</v>
      </c>
      <c r="K735" s="1">
        <f t="shared" si="391"/>
        <v>0</v>
      </c>
      <c r="L735" s="1">
        <f t="shared" si="392"/>
        <v>0</v>
      </c>
      <c r="M735" s="1">
        <f t="shared" si="393"/>
        <v>0</v>
      </c>
      <c r="N735" s="1">
        <f t="shared" si="394"/>
        <v>0</v>
      </c>
      <c r="O735" s="1">
        <f t="shared" si="395"/>
        <v>0</v>
      </c>
      <c r="P735" s="1">
        <f t="shared" si="396"/>
        <v>25</v>
      </c>
      <c r="Q735" s="1" t="e">
        <f t="shared" si="397"/>
        <v>#DIV/0!</v>
      </c>
      <c r="R735" s="1" t="e">
        <f t="shared" si="398"/>
        <v>#DIV/0!</v>
      </c>
      <c r="S735" s="1" t="e">
        <f t="shared" si="399"/>
        <v>#DIV/0!</v>
      </c>
      <c r="T735" s="1" t="e">
        <f t="shared" si="400"/>
        <v>#DIV/0!</v>
      </c>
      <c r="U735" s="1" t="e">
        <f t="shared" si="401"/>
        <v>#DIV/0!</v>
      </c>
      <c r="V735">
        <f t="shared" si="402"/>
        <v>851.48</v>
      </c>
      <c r="W735">
        <f t="shared" si="403"/>
        <v>0</v>
      </c>
      <c r="X735">
        <f t="shared" si="404"/>
        <v>0</v>
      </c>
      <c r="Y735">
        <f t="shared" si="405"/>
        <v>0</v>
      </c>
      <c r="Z735">
        <f t="shared" si="406"/>
        <v>0</v>
      </c>
      <c r="AA735">
        <f t="shared" si="407"/>
        <v>0</v>
      </c>
      <c r="AC735">
        <f t="shared" si="408"/>
        <v>1045.25</v>
      </c>
      <c r="AD735">
        <f t="shared" si="409"/>
        <v>0</v>
      </c>
      <c r="AE735">
        <f t="shared" si="410"/>
        <v>0</v>
      </c>
      <c r="AF735">
        <f t="shared" si="411"/>
        <v>0</v>
      </c>
      <c r="AG735">
        <f t="shared" si="412"/>
        <v>0</v>
      </c>
      <c r="AH735">
        <f t="shared" si="413"/>
        <v>0</v>
      </c>
      <c r="AJ735">
        <f t="shared" si="414"/>
        <v>1239.01</v>
      </c>
      <c r="AK735">
        <f t="shared" si="415"/>
        <v>0</v>
      </c>
      <c r="AL735">
        <f t="shared" si="416"/>
        <v>0</v>
      </c>
      <c r="AM735">
        <f t="shared" si="417"/>
        <v>0</v>
      </c>
      <c r="AN735">
        <f t="shared" si="418"/>
        <v>0</v>
      </c>
      <c r="AO735">
        <f t="shared" si="419"/>
        <v>0</v>
      </c>
    </row>
    <row r="736" spans="1:41" x14ac:dyDescent="0.45">
      <c r="A736">
        <v>40.37325568</v>
      </c>
      <c r="B736">
        <v>121.2971727</v>
      </c>
      <c r="C736">
        <v>63.334102629999997</v>
      </c>
      <c r="D736">
        <v>0.10473</v>
      </c>
      <c r="E736">
        <f t="shared" si="385"/>
        <v>0.10473</v>
      </c>
      <c r="F736">
        <f t="shared" si="386"/>
        <v>0</v>
      </c>
      <c r="G736">
        <f t="shared" si="387"/>
        <v>0</v>
      </c>
      <c r="H736">
        <f t="shared" si="388"/>
        <v>0</v>
      </c>
      <c r="I736">
        <f t="shared" si="389"/>
        <v>0</v>
      </c>
      <c r="J736">
        <f t="shared" si="390"/>
        <v>0</v>
      </c>
      <c r="K736" s="1">
        <f t="shared" si="391"/>
        <v>0</v>
      </c>
      <c r="L736" s="1">
        <f t="shared" si="392"/>
        <v>0</v>
      </c>
      <c r="M736" s="1">
        <f t="shared" si="393"/>
        <v>0</v>
      </c>
      <c r="N736" s="1">
        <f t="shared" si="394"/>
        <v>0</v>
      </c>
      <c r="O736" s="1">
        <f t="shared" si="395"/>
        <v>0</v>
      </c>
      <c r="P736" s="1">
        <f t="shared" si="396"/>
        <v>25</v>
      </c>
      <c r="Q736" s="1" t="e">
        <f t="shared" si="397"/>
        <v>#DIV/0!</v>
      </c>
      <c r="R736" s="1" t="e">
        <f t="shared" si="398"/>
        <v>#DIV/0!</v>
      </c>
      <c r="S736" s="1" t="e">
        <f t="shared" si="399"/>
        <v>#DIV/0!</v>
      </c>
      <c r="T736" s="1" t="e">
        <f t="shared" si="400"/>
        <v>#DIV/0!</v>
      </c>
      <c r="U736" s="1" t="e">
        <f t="shared" si="401"/>
        <v>#DIV/0!</v>
      </c>
      <c r="V736">
        <f t="shared" si="402"/>
        <v>851.48</v>
      </c>
      <c r="W736">
        <f t="shared" si="403"/>
        <v>0</v>
      </c>
      <c r="X736">
        <f t="shared" si="404"/>
        <v>0</v>
      </c>
      <c r="Y736">
        <f t="shared" si="405"/>
        <v>0</v>
      </c>
      <c r="Z736">
        <f t="shared" si="406"/>
        <v>0</v>
      </c>
      <c r="AA736">
        <f t="shared" si="407"/>
        <v>0</v>
      </c>
      <c r="AC736">
        <f t="shared" si="408"/>
        <v>1045.25</v>
      </c>
      <c r="AD736">
        <f t="shared" si="409"/>
        <v>0</v>
      </c>
      <c r="AE736">
        <f t="shared" si="410"/>
        <v>0</v>
      </c>
      <c r="AF736">
        <f t="shared" si="411"/>
        <v>0</v>
      </c>
      <c r="AG736">
        <f t="shared" si="412"/>
        <v>0</v>
      </c>
      <c r="AH736">
        <f t="shared" si="413"/>
        <v>0</v>
      </c>
      <c r="AJ736">
        <f t="shared" si="414"/>
        <v>1239.01</v>
      </c>
      <c r="AK736">
        <f t="shared" si="415"/>
        <v>0</v>
      </c>
      <c r="AL736">
        <f t="shared" si="416"/>
        <v>0</v>
      </c>
      <c r="AM736">
        <f t="shared" si="417"/>
        <v>0</v>
      </c>
      <c r="AN736">
        <f t="shared" si="418"/>
        <v>0</v>
      </c>
      <c r="AO736">
        <f t="shared" si="419"/>
        <v>0</v>
      </c>
    </row>
    <row r="737" spans="1:41" x14ac:dyDescent="0.45">
      <c r="A737">
        <v>40.387590889999998</v>
      </c>
      <c r="B737">
        <v>121.17900400000001</v>
      </c>
      <c r="C737">
        <v>15.68735695</v>
      </c>
      <c r="D737">
        <v>19.064899440000001</v>
      </c>
      <c r="E737">
        <f t="shared" si="385"/>
        <v>15.68735695</v>
      </c>
      <c r="F737">
        <f t="shared" si="386"/>
        <v>0</v>
      </c>
      <c r="G737">
        <f t="shared" si="387"/>
        <v>0</v>
      </c>
      <c r="H737">
        <f t="shared" si="388"/>
        <v>0</v>
      </c>
      <c r="I737">
        <f t="shared" si="389"/>
        <v>0</v>
      </c>
      <c r="J737">
        <f t="shared" si="390"/>
        <v>0</v>
      </c>
      <c r="K737" s="1">
        <f t="shared" si="391"/>
        <v>0</v>
      </c>
      <c r="L737" s="1">
        <f t="shared" si="392"/>
        <v>0</v>
      </c>
      <c r="M737" s="1">
        <f t="shared" si="393"/>
        <v>0</v>
      </c>
      <c r="N737" s="1">
        <f t="shared" si="394"/>
        <v>0</v>
      </c>
      <c r="O737" s="1">
        <f t="shared" si="395"/>
        <v>0</v>
      </c>
      <c r="P737" s="1">
        <f t="shared" si="396"/>
        <v>20.57099356774787</v>
      </c>
      <c r="Q737" s="1" t="e">
        <f t="shared" si="397"/>
        <v>#DIV/0!</v>
      </c>
      <c r="R737" s="1" t="e">
        <f t="shared" si="398"/>
        <v>#DIV/0!</v>
      </c>
      <c r="S737" s="1" t="e">
        <f t="shared" si="399"/>
        <v>#DIV/0!</v>
      </c>
      <c r="T737" s="1" t="e">
        <f t="shared" si="400"/>
        <v>#DIV/0!</v>
      </c>
      <c r="U737" s="1" t="e">
        <f t="shared" si="401"/>
        <v>#DIV/0!</v>
      </c>
      <c r="V737">
        <f t="shared" si="402"/>
        <v>707.53729095180574</v>
      </c>
      <c r="W737">
        <f t="shared" si="403"/>
        <v>0</v>
      </c>
      <c r="X737">
        <f t="shared" si="404"/>
        <v>0</v>
      </c>
      <c r="Y737">
        <f t="shared" si="405"/>
        <v>0</v>
      </c>
      <c r="Z737">
        <f t="shared" si="406"/>
        <v>0</v>
      </c>
      <c r="AA737">
        <f t="shared" si="407"/>
        <v>0</v>
      </c>
      <c r="AC737">
        <f t="shared" si="408"/>
        <v>868.08974270991484</v>
      </c>
      <c r="AD737">
        <f t="shared" si="409"/>
        <v>0</v>
      </c>
      <c r="AE737">
        <f t="shared" si="410"/>
        <v>0</v>
      </c>
      <c r="AF737">
        <f t="shared" si="411"/>
        <v>0</v>
      </c>
      <c r="AG737">
        <f t="shared" si="412"/>
        <v>0</v>
      </c>
      <c r="AH737">
        <f t="shared" si="413"/>
        <v>0</v>
      </c>
      <c r="AJ737">
        <f t="shared" si="414"/>
        <v>1028.632194468024</v>
      </c>
      <c r="AK737">
        <f t="shared" si="415"/>
        <v>0</v>
      </c>
      <c r="AL737">
        <f t="shared" si="416"/>
        <v>0</v>
      </c>
      <c r="AM737">
        <f t="shared" si="417"/>
        <v>0</v>
      </c>
      <c r="AN737">
        <f t="shared" si="418"/>
        <v>0</v>
      </c>
      <c r="AO737">
        <f t="shared" si="419"/>
        <v>0</v>
      </c>
    </row>
    <row r="738" spans="1:41" x14ac:dyDescent="0.45">
      <c r="A738">
        <v>40.403980439999998</v>
      </c>
      <c r="B738">
        <v>121.4247793</v>
      </c>
      <c r="C738">
        <v>61.781970979999997</v>
      </c>
      <c r="D738">
        <v>1.0968799600000001</v>
      </c>
      <c r="E738">
        <f t="shared" si="385"/>
        <v>1.0968799600000001</v>
      </c>
      <c r="F738">
        <f t="shared" si="386"/>
        <v>0</v>
      </c>
      <c r="G738">
        <f t="shared" si="387"/>
        <v>0</v>
      </c>
      <c r="H738">
        <f t="shared" si="388"/>
        <v>0</v>
      </c>
      <c r="I738">
        <f t="shared" si="389"/>
        <v>0</v>
      </c>
      <c r="J738">
        <f t="shared" si="390"/>
        <v>0</v>
      </c>
      <c r="K738" s="1">
        <f t="shared" si="391"/>
        <v>0</v>
      </c>
      <c r="L738" s="1">
        <f t="shared" si="392"/>
        <v>0</v>
      </c>
      <c r="M738" s="1">
        <f t="shared" si="393"/>
        <v>0</v>
      </c>
      <c r="N738" s="1">
        <f t="shared" si="394"/>
        <v>0</v>
      </c>
      <c r="O738" s="1">
        <f t="shared" si="395"/>
        <v>0</v>
      </c>
      <c r="P738" s="1">
        <f t="shared" si="396"/>
        <v>25</v>
      </c>
      <c r="Q738" s="1" t="e">
        <f t="shared" si="397"/>
        <v>#DIV/0!</v>
      </c>
      <c r="R738" s="1" t="e">
        <f t="shared" si="398"/>
        <v>#DIV/0!</v>
      </c>
      <c r="S738" s="1" t="e">
        <f t="shared" si="399"/>
        <v>#DIV/0!</v>
      </c>
      <c r="T738" s="1" t="e">
        <f t="shared" si="400"/>
        <v>#DIV/0!</v>
      </c>
      <c r="U738" s="1" t="e">
        <f t="shared" si="401"/>
        <v>#DIV/0!</v>
      </c>
      <c r="V738">
        <f t="shared" si="402"/>
        <v>851.48</v>
      </c>
      <c r="W738">
        <f t="shared" si="403"/>
        <v>0</v>
      </c>
      <c r="X738">
        <f t="shared" si="404"/>
        <v>0</v>
      </c>
      <c r="Y738">
        <f t="shared" si="405"/>
        <v>0</v>
      </c>
      <c r="Z738">
        <f t="shared" si="406"/>
        <v>0</v>
      </c>
      <c r="AA738">
        <f t="shared" si="407"/>
        <v>0</v>
      </c>
      <c r="AC738">
        <f t="shared" si="408"/>
        <v>1045.25</v>
      </c>
      <c r="AD738">
        <f t="shared" si="409"/>
        <v>0</v>
      </c>
      <c r="AE738">
        <f t="shared" si="410"/>
        <v>0</v>
      </c>
      <c r="AF738">
        <f t="shared" si="411"/>
        <v>0</v>
      </c>
      <c r="AG738">
        <f t="shared" si="412"/>
        <v>0</v>
      </c>
      <c r="AH738">
        <f t="shared" si="413"/>
        <v>0</v>
      </c>
      <c r="AJ738">
        <f t="shared" si="414"/>
        <v>1239.01</v>
      </c>
      <c r="AK738">
        <f t="shared" si="415"/>
        <v>0</v>
      </c>
      <c r="AL738">
        <f t="shared" si="416"/>
        <v>0</v>
      </c>
      <c r="AM738">
        <f t="shared" si="417"/>
        <v>0</v>
      </c>
      <c r="AN738">
        <f t="shared" si="418"/>
        <v>0</v>
      </c>
      <c r="AO738">
        <f t="shared" si="419"/>
        <v>0</v>
      </c>
    </row>
    <row r="739" spans="1:41" x14ac:dyDescent="0.45">
      <c r="A739">
        <v>40.41250995</v>
      </c>
      <c r="B739">
        <v>121.72972919999999</v>
      </c>
      <c r="C739">
        <v>66.620788570000002</v>
      </c>
      <c r="D739">
        <v>1.22430599</v>
      </c>
      <c r="E739">
        <f t="shared" si="385"/>
        <v>1.22430599</v>
      </c>
      <c r="F739">
        <f t="shared" si="386"/>
        <v>0</v>
      </c>
      <c r="G739">
        <f t="shared" si="387"/>
        <v>0</v>
      </c>
      <c r="H739">
        <f t="shared" si="388"/>
        <v>0</v>
      </c>
      <c r="I739">
        <f t="shared" si="389"/>
        <v>0</v>
      </c>
      <c r="J739">
        <f t="shared" si="390"/>
        <v>0</v>
      </c>
      <c r="K739" s="1">
        <f t="shared" si="391"/>
        <v>0</v>
      </c>
      <c r="L739" s="1">
        <f t="shared" si="392"/>
        <v>0</v>
      </c>
      <c r="M739" s="1">
        <f t="shared" si="393"/>
        <v>0</v>
      </c>
      <c r="N739" s="1">
        <f t="shared" si="394"/>
        <v>0</v>
      </c>
      <c r="O739" s="1">
        <f t="shared" si="395"/>
        <v>0</v>
      </c>
      <c r="P739" s="1">
        <f t="shared" si="396"/>
        <v>25</v>
      </c>
      <c r="Q739" s="1" t="e">
        <f t="shared" si="397"/>
        <v>#DIV/0!</v>
      </c>
      <c r="R739" s="1" t="e">
        <f t="shared" si="398"/>
        <v>#DIV/0!</v>
      </c>
      <c r="S739" s="1" t="e">
        <f t="shared" si="399"/>
        <v>#DIV/0!</v>
      </c>
      <c r="T739" s="1" t="e">
        <f t="shared" si="400"/>
        <v>#DIV/0!</v>
      </c>
      <c r="U739" s="1" t="e">
        <f t="shared" si="401"/>
        <v>#DIV/0!</v>
      </c>
      <c r="V739">
        <f t="shared" si="402"/>
        <v>851.48</v>
      </c>
      <c r="W739">
        <f t="shared" si="403"/>
        <v>0</v>
      </c>
      <c r="X739">
        <f t="shared" si="404"/>
        <v>0</v>
      </c>
      <c r="Y739">
        <f t="shared" si="405"/>
        <v>0</v>
      </c>
      <c r="Z739">
        <f t="shared" si="406"/>
        <v>0</v>
      </c>
      <c r="AA739">
        <f t="shared" si="407"/>
        <v>0</v>
      </c>
      <c r="AC739">
        <f t="shared" si="408"/>
        <v>1045.25</v>
      </c>
      <c r="AD739">
        <f t="shared" si="409"/>
        <v>0</v>
      </c>
      <c r="AE739">
        <f t="shared" si="410"/>
        <v>0</v>
      </c>
      <c r="AF739">
        <f t="shared" si="411"/>
        <v>0</v>
      </c>
      <c r="AG739">
        <f t="shared" si="412"/>
        <v>0</v>
      </c>
      <c r="AH739">
        <f t="shared" si="413"/>
        <v>0</v>
      </c>
      <c r="AJ739">
        <f t="shared" si="414"/>
        <v>1239.01</v>
      </c>
      <c r="AK739">
        <f t="shared" si="415"/>
        <v>0</v>
      </c>
      <c r="AL739">
        <f t="shared" si="416"/>
        <v>0</v>
      </c>
      <c r="AM739">
        <f t="shared" si="417"/>
        <v>0</v>
      </c>
      <c r="AN739">
        <f t="shared" si="418"/>
        <v>0</v>
      </c>
      <c r="AO739">
        <f t="shared" si="419"/>
        <v>0</v>
      </c>
    </row>
    <row r="740" spans="1:41" x14ac:dyDescent="0.45">
      <c r="A740">
        <v>40.418434019999999</v>
      </c>
      <c r="B740">
        <v>121.3065862</v>
      </c>
      <c r="C740">
        <v>12.764135359999999</v>
      </c>
      <c r="D740">
        <v>0.91333299999999995</v>
      </c>
      <c r="E740">
        <f t="shared" si="385"/>
        <v>0.91333299999999995</v>
      </c>
      <c r="F740">
        <f t="shared" si="386"/>
        <v>0</v>
      </c>
      <c r="G740">
        <f t="shared" si="387"/>
        <v>0</v>
      </c>
      <c r="H740">
        <f t="shared" si="388"/>
        <v>0</v>
      </c>
      <c r="I740">
        <f t="shared" si="389"/>
        <v>0</v>
      </c>
      <c r="J740">
        <f t="shared" si="390"/>
        <v>0</v>
      </c>
      <c r="K740" s="1">
        <f t="shared" si="391"/>
        <v>0</v>
      </c>
      <c r="L740" s="1">
        <f t="shared" si="392"/>
        <v>0</v>
      </c>
      <c r="M740" s="1">
        <f t="shared" si="393"/>
        <v>0</v>
      </c>
      <c r="N740" s="1">
        <f t="shared" si="394"/>
        <v>0</v>
      </c>
      <c r="O740" s="1">
        <f t="shared" si="395"/>
        <v>0</v>
      </c>
      <c r="P740" s="1">
        <f t="shared" si="396"/>
        <v>25</v>
      </c>
      <c r="Q740" s="1" t="e">
        <f t="shared" si="397"/>
        <v>#DIV/0!</v>
      </c>
      <c r="R740" s="1" t="e">
        <f t="shared" si="398"/>
        <v>#DIV/0!</v>
      </c>
      <c r="S740" s="1" t="e">
        <f t="shared" si="399"/>
        <v>#DIV/0!</v>
      </c>
      <c r="T740" s="1" t="e">
        <f t="shared" si="400"/>
        <v>#DIV/0!</v>
      </c>
      <c r="U740" s="1" t="e">
        <f t="shared" si="401"/>
        <v>#DIV/0!</v>
      </c>
      <c r="V740">
        <f t="shared" si="402"/>
        <v>851.48</v>
      </c>
      <c r="W740">
        <f t="shared" si="403"/>
        <v>0</v>
      </c>
      <c r="X740">
        <f t="shared" si="404"/>
        <v>0</v>
      </c>
      <c r="Y740">
        <f t="shared" si="405"/>
        <v>0</v>
      </c>
      <c r="Z740">
        <f t="shared" si="406"/>
        <v>0</v>
      </c>
      <c r="AA740">
        <f t="shared" si="407"/>
        <v>0</v>
      </c>
      <c r="AC740">
        <f t="shared" si="408"/>
        <v>1045.25</v>
      </c>
      <c r="AD740">
        <f t="shared" si="409"/>
        <v>0</v>
      </c>
      <c r="AE740">
        <f t="shared" si="410"/>
        <v>0</v>
      </c>
      <c r="AF740">
        <f t="shared" si="411"/>
        <v>0</v>
      </c>
      <c r="AG740">
        <f t="shared" si="412"/>
        <v>0</v>
      </c>
      <c r="AH740">
        <f t="shared" si="413"/>
        <v>0</v>
      </c>
      <c r="AJ740">
        <f t="shared" si="414"/>
        <v>1239.01</v>
      </c>
      <c r="AK740">
        <f t="shared" si="415"/>
        <v>0</v>
      </c>
      <c r="AL740">
        <f t="shared" si="416"/>
        <v>0</v>
      </c>
      <c r="AM740">
        <f t="shared" si="417"/>
        <v>0</v>
      </c>
      <c r="AN740">
        <f t="shared" si="418"/>
        <v>0</v>
      </c>
      <c r="AO740">
        <f t="shared" si="419"/>
        <v>0</v>
      </c>
    </row>
    <row r="741" spans="1:41" x14ac:dyDescent="0.45">
      <c r="A741">
        <v>40.441875029999999</v>
      </c>
      <c r="B741">
        <v>121.49338880000001</v>
      </c>
      <c r="C741">
        <v>16.147008899999999</v>
      </c>
      <c r="D741">
        <v>1.5915980300000001</v>
      </c>
      <c r="E741">
        <f t="shared" si="385"/>
        <v>1.5915980300000001</v>
      </c>
      <c r="F741">
        <f t="shared" si="386"/>
        <v>0</v>
      </c>
      <c r="G741">
        <f t="shared" si="387"/>
        <v>0</v>
      </c>
      <c r="H741">
        <f t="shared" si="388"/>
        <v>0</v>
      </c>
      <c r="I741">
        <f t="shared" si="389"/>
        <v>0</v>
      </c>
      <c r="J741">
        <f t="shared" si="390"/>
        <v>0</v>
      </c>
      <c r="K741" s="1">
        <f t="shared" si="391"/>
        <v>0</v>
      </c>
      <c r="L741" s="1">
        <f t="shared" si="392"/>
        <v>0</v>
      </c>
      <c r="M741" s="1">
        <f t="shared" si="393"/>
        <v>0</v>
      </c>
      <c r="N741" s="1">
        <f t="shared" si="394"/>
        <v>0</v>
      </c>
      <c r="O741" s="1">
        <f t="shared" si="395"/>
        <v>0</v>
      </c>
      <c r="P741" s="1">
        <f t="shared" si="396"/>
        <v>25</v>
      </c>
      <c r="Q741" s="1" t="e">
        <f t="shared" si="397"/>
        <v>#DIV/0!</v>
      </c>
      <c r="R741" s="1" t="e">
        <f t="shared" si="398"/>
        <v>#DIV/0!</v>
      </c>
      <c r="S741" s="1" t="e">
        <f t="shared" si="399"/>
        <v>#DIV/0!</v>
      </c>
      <c r="T741" s="1" t="e">
        <f t="shared" si="400"/>
        <v>#DIV/0!</v>
      </c>
      <c r="U741" s="1" t="e">
        <f t="shared" si="401"/>
        <v>#DIV/0!</v>
      </c>
      <c r="V741">
        <f t="shared" si="402"/>
        <v>851.48</v>
      </c>
      <c r="W741">
        <f t="shared" si="403"/>
        <v>0</v>
      </c>
      <c r="X741">
        <f t="shared" si="404"/>
        <v>0</v>
      </c>
      <c r="Y741">
        <f t="shared" si="405"/>
        <v>0</v>
      </c>
      <c r="Z741">
        <f t="shared" si="406"/>
        <v>0</v>
      </c>
      <c r="AA741">
        <f t="shared" si="407"/>
        <v>0</v>
      </c>
      <c r="AC741">
        <f t="shared" si="408"/>
        <v>1045.25</v>
      </c>
      <c r="AD741">
        <f t="shared" si="409"/>
        <v>0</v>
      </c>
      <c r="AE741">
        <f t="shared" si="410"/>
        <v>0</v>
      </c>
      <c r="AF741">
        <f t="shared" si="411"/>
        <v>0</v>
      </c>
      <c r="AG741">
        <f t="shared" si="412"/>
        <v>0</v>
      </c>
      <c r="AH741">
        <f t="shared" si="413"/>
        <v>0</v>
      </c>
      <c r="AJ741">
        <f t="shared" si="414"/>
        <v>1239.01</v>
      </c>
      <c r="AK741">
        <f t="shared" si="415"/>
        <v>0</v>
      </c>
      <c r="AL741">
        <f t="shared" si="416"/>
        <v>0</v>
      </c>
      <c r="AM741">
        <f t="shared" si="417"/>
        <v>0</v>
      </c>
      <c r="AN741">
        <f t="shared" si="418"/>
        <v>0</v>
      </c>
      <c r="AO741">
        <f t="shared" si="419"/>
        <v>0</v>
      </c>
    </row>
    <row r="742" spans="1:41" x14ac:dyDescent="0.45">
      <c r="A742">
        <v>40.539469560000001</v>
      </c>
      <c r="B742">
        <v>121.4532999</v>
      </c>
      <c r="C742">
        <v>19.173845289999999</v>
      </c>
      <c r="D742">
        <v>4.3315958999999999</v>
      </c>
      <c r="E742">
        <f t="shared" si="385"/>
        <v>4.3315958999999999</v>
      </c>
      <c r="F742">
        <f t="shared" si="386"/>
        <v>0</v>
      </c>
      <c r="G742">
        <f t="shared" si="387"/>
        <v>0</v>
      </c>
      <c r="H742">
        <f t="shared" si="388"/>
        <v>0</v>
      </c>
      <c r="I742">
        <f t="shared" si="389"/>
        <v>0</v>
      </c>
      <c r="J742">
        <f t="shared" si="390"/>
        <v>0</v>
      </c>
      <c r="K742" s="1">
        <f t="shared" si="391"/>
        <v>0</v>
      </c>
      <c r="L742" s="1">
        <f t="shared" si="392"/>
        <v>0</v>
      </c>
      <c r="M742" s="1">
        <f t="shared" si="393"/>
        <v>0</v>
      </c>
      <c r="N742" s="1">
        <f t="shared" si="394"/>
        <v>0</v>
      </c>
      <c r="O742" s="1">
        <f t="shared" si="395"/>
        <v>0</v>
      </c>
      <c r="P742" s="1">
        <f t="shared" si="396"/>
        <v>25</v>
      </c>
      <c r="Q742" s="1" t="e">
        <f t="shared" si="397"/>
        <v>#DIV/0!</v>
      </c>
      <c r="R742" s="1" t="e">
        <f t="shared" si="398"/>
        <v>#DIV/0!</v>
      </c>
      <c r="S742" s="1" t="e">
        <f t="shared" si="399"/>
        <v>#DIV/0!</v>
      </c>
      <c r="T742" s="1" t="e">
        <f t="shared" si="400"/>
        <v>#DIV/0!</v>
      </c>
      <c r="U742" s="1" t="e">
        <f t="shared" si="401"/>
        <v>#DIV/0!</v>
      </c>
      <c r="V742">
        <f t="shared" si="402"/>
        <v>851.48</v>
      </c>
      <c r="W742">
        <f t="shared" si="403"/>
        <v>0</v>
      </c>
      <c r="X742">
        <f t="shared" si="404"/>
        <v>0</v>
      </c>
      <c r="Y742">
        <f t="shared" si="405"/>
        <v>0</v>
      </c>
      <c r="Z742">
        <f t="shared" si="406"/>
        <v>0</v>
      </c>
      <c r="AA742">
        <f t="shared" si="407"/>
        <v>0</v>
      </c>
      <c r="AC742">
        <f t="shared" si="408"/>
        <v>1045.25</v>
      </c>
      <c r="AD742">
        <f t="shared" si="409"/>
        <v>0</v>
      </c>
      <c r="AE742">
        <f t="shared" si="410"/>
        <v>0</v>
      </c>
      <c r="AF742">
        <f t="shared" si="411"/>
        <v>0</v>
      </c>
      <c r="AG742">
        <f t="shared" si="412"/>
        <v>0</v>
      </c>
      <c r="AH742">
        <f t="shared" si="413"/>
        <v>0</v>
      </c>
      <c r="AJ742">
        <f t="shared" si="414"/>
        <v>1239.01</v>
      </c>
      <c r="AK742">
        <f t="shared" si="415"/>
        <v>0</v>
      </c>
      <c r="AL742">
        <f t="shared" si="416"/>
        <v>0</v>
      </c>
      <c r="AM742">
        <f t="shared" si="417"/>
        <v>0</v>
      </c>
      <c r="AN742">
        <f t="shared" si="418"/>
        <v>0</v>
      </c>
      <c r="AO742">
        <f t="shared" si="419"/>
        <v>0</v>
      </c>
    </row>
    <row r="743" spans="1:41" x14ac:dyDescent="0.45">
      <c r="A743">
        <v>40.553946719999999</v>
      </c>
      <c r="B743">
        <v>121.3348957</v>
      </c>
      <c r="C743">
        <v>18.212173459999999</v>
      </c>
      <c r="D743">
        <v>1.7140289500000001</v>
      </c>
      <c r="E743">
        <f t="shared" si="385"/>
        <v>1.7140289500000001</v>
      </c>
      <c r="F743">
        <f t="shared" si="386"/>
        <v>0</v>
      </c>
      <c r="G743">
        <f t="shared" si="387"/>
        <v>0</v>
      </c>
      <c r="H743">
        <f t="shared" si="388"/>
        <v>0</v>
      </c>
      <c r="I743">
        <f t="shared" si="389"/>
        <v>0</v>
      </c>
      <c r="J743">
        <f t="shared" si="390"/>
        <v>0</v>
      </c>
      <c r="K743" s="1">
        <f t="shared" si="391"/>
        <v>0</v>
      </c>
      <c r="L743" s="1">
        <f t="shared" si="392"/>
        <v>0</v>
      </c>
      <c r="M743" s="1">
        <f t="shared" si="393"/>
        <v>0</v>
      </c>
      <c r="N743" s="1">
        <f t="shared" si="394"/>
        <v>0</v>
      </c>
      <c r="O743" s="1">
        <f t="shared" si="395"/>
        <v>0</v>
      </c>
      <c r="P743" s="1">
        <f t="shared" si="396"/>
        <v>25</v>
      </c>
      <c r="Q743" s="1" t="e">
        <f t="shared" si="397"/>
        <v>#DIV/0!</v>
      </c>
      <c r="R743" s="1" t="e">
        <f t="shared" si="398"/>
        <v>#DIV/0!</v>
      </c>
      <c r="S743" s="1" t="e">
        <f t="shared" si="399"/>
        <v>#DIV/0!</v>
      </c>
      <c r="T743" s="1" t="e">
        <f t="shared" si="400"/>
        <v>#DIV/0!</v>
      </c>
      <c r="U743" s="1" t="e">
        <f t="shared" si="401"/>
        <v>#DIV/0!</v>
      </c>
      <c r="V743">
        <f t="shared" si="402"/>
        <v>851.48</v>
      </c>
      <c r="W743">
        <f t="shared" si="403"/>
        <v>0</v>
      </c>
      <c r="X743">
        <f t="shared" si="404"/>
        <v>0</v>
      </c>
      <c r="Y743">
        <f t="shared" si="405"/>
        <v>0</v>
      </c>
      <c r="Z743">
        <f t="shared" si="406"/>
        <v>0</v>
      </c>
      <c r="AA743">
        <f t="shared" si="407"/>
        <v>0</v>
      </c>
      <c r="AC743">
        <f t="shared" si="408"/>
        <v>1045.25</v>
      </c>
      <c r="AD743">
        <f t="shared" si="409"/>
        <v>0</v>
      </c>
      <c r="AE743">
        <f t="shared" si="410"/>
        <v>0</v>
      </c>
      <c r="AF743">
        <f t="shared" si="411"/>
        <v>0</v>
      </c>
      <c r="AG743">
        <f t="shared" si="412"/>
        <v>0</v>
      </c>
      <c r="AH743">
        <f t="shared" si="413"/>
        <v>0</v>
      </c>
      <c r="AJ743">
        <f t="shared" si="414"/>
        <v>1239.01</v>
      </c>
      <c r="AK743">
        <f t="shared" si="415"/>
        <v>0</v>
      </c>
      <c r="AL743">
        <f t="shared" si="416"/>
        <v>0</v>
      </c>
      <c r="AM743">
        <f t="shared" si="417"/>
        <v>0</v>
      </c>
      <c r="AN743">
        <f t="shared" si="418"/>
        <v>0</v>
      </c>
      <c r="AO743">
        <f t="shared" si="419"/>
        <v>0</v>
      </c>
    </row>
    <row r="744" spans="1:41" x14ac:dyDescent="0.45">
      <c r="A744">
        <v>40.578179310000003</v>
      </c>
      <c r="B744">
        <v>121.88691059999999</v>
      </c>
      <c r="C744">
        <v>15.833525659999999</v>
      </c>
      <c r="D744">
        <v>9.5495901100000005</v>
      </c>
      <c r="E744">
        <f t="shared" si="385"/>
        <v>9.5495901100000005</v>
      </c>
      <c r="F744">
        <f t="shared" si="386"/>
        <v>0</v>
      </c>
      <c r="G744">
        <f t="shared" si="387"/>
        <v>0</v>
      </c>
      <c r="H744">
        <f t="shared" si="388"/>
        <v>0</v>
      </c>
      <c r="I744">
        <f t="shared" si="389"/>
        <v>0</v>
      </c>
      <c r="J744">
        <f t="shared" si="390"/>
        <v>0</v>
      </c>
      <c r="K744" s="1">
        <f t="shared" si="391"/>
        <v>0</v>
      </c>
      <c r="L744" s="1">
        <f t="shared" si="392"/>
        <v>0</v>
      </c>
      <c r="M744" s="1">
        <f t="shared" si="393"/>
        <v>0</v>
      </c>
      <c r="N744" s="1">
        <f t="shared" si="394"/>
        <v>0</v>
      </c>
      <c r="O744" s="1">
        <f t="shared" si="395"/>
        <v>0</v>
      </c>
      <c r="P744" s="1">
        <f t="shared" si="396"/>
        <v>25</v>
      </c>
      <c r="Q744" s="1" t="e">
        <f t="shared" si="397"/>
        <v>#DIV/0!</v>
      </c>
      <c r="R744" s="1" t="e">
        <f t="shared" si="398"/>
        <v>#DIV/0!</v>
      </c>
      <c r="S744" s="1" t="e">
        <f t="shared" si="399"/>
        <v>#DIV/0!</v>
      </c>
      <c r="T744" s="1" t="e">
        <f t="shared" si="400"/>
        <v>#DIV/0!</v>
      </c>
      <c r="U744" s="1" t="e">
        <f t="shared" si="401"/>
        <v>#DIV/0!</v>
      </c>
      <c r="V744">
        <f t="shared" si="402"/>
        <v>851.48</v>
      </c>
      <c r="W744">
        <f t="shared" si="403"/>
        <v>0</v>
      </c>
      <c r="X744">
        <f t="shared" si="404"/>
        <v>0</v>
      </c>
      <c r="Y744">
        <f t="shared" si="405"/>
        <v>0</v>
      </c>
      <c r="Z744">
        <f t="shared" si="406"/>
        <v>0</v>
      </c>
      <c r="AA744">
        <f t="shared" si="407"/>
        <v>0</v>
      </c>
      <c r="AC744">
        <f t="shared" si="408"/>
        <v>1045.25</v>
      </c>
      <c r="AD744">
        <f t="shared" si="409"/>
        <v>0</v>
      </c>
      <c r="AE744">
        <f t="shared" si="410"/>
        <v>0</v>
      </c>
      <c r="AF744">
        <f t="shared" si="411"/>
        <v>0</v>
      </c>
      <c r="AG744">
        <f t="shared" si="412"/>
        <v>0</v>
      </c>
      <c r="AH744">
        <f t="shared" si="413"/>
        <v>0</v>
      </c>
      <c r="AJ744">
        <f t="shared" si="414"/>
        <v>1239.01</v>
      </c>
      <c r="AK744">
        <f t="shared" si="415"/>
        <v>0</v>
      </c>
      <c r="AL744">
        <f t="shared" si="416"/>
        <v>0</v>
      </c>
      <c r="AM744">
        <f t="shared" si="417"/>
        <v>0</v>
      </c>
      <c r="AN744">
        <f t="shared" si="418"/>
        <v>0</v>
      </c>
      <c r="AO744">
        <f t="shared" si="419"/>
        <v>0</v>
      </c>
    </row>
    <row r="745" spans="1:41" x14ac:dyDescent="0.45">
      <c r="A745">
        <v>40.615173009999999</v>
      </c>
      <c r="B745">
        <v>121.59087049999999</v>
      </c>
      <c r="C745">
        <v>68.557296750000006</v>
      </c>
      <c r="D745">
        <v>1.3467370299999999</v>
      </c>
      <c r="E745">
        <f t="shared" si="385"/>
        <v>1.3467370299999999</v>
      </c>
      <c r="F745">
        <f t="shared" si="386"/>
        <v>0</v>
      </c>
      <c r="G745">
        <f t="shared" si="387"/>
        <v>0</v>
      </c>
      <c r="H745">
        <f t="shared" si="388"/>
        <v>0</v>
      </c>
      <c r="I745">
        <f t="shared" si="389"/>
        <v>0</v>
      </c>
      <c r="J745">
        <f t="shared" si="390"/>
        <v>0</v>
      </c>
      <c r="K745" s="1">
        <f t="shared" si="391"/>
        <v>0</v>
      </c>
      <c r="L745" s="1">
        <f t="shared" si="392"/>
        <v>0</v>
      </c>
      <c r="M745" s="1">
        <f t="shared" si="393"/>
        <v>0</v>
      </c>
      <c r="N745" s="1">
        <f t="shared" si="394"/>
        <v>0</v>
      </c>
      <c r="O745" s="1">
        <f t="shared" si="395"/>
        <v>0</v>
      </c>
      <c r="P745" s="1">
        <f t="shared" si="396"/>
        <v>25</v>
      </c>
      <c r="Q745" s="1" t="e">
        <f t="shared" si="397"/>
        <v>#DIV/0!</v>
      </c>
      <c r="R745" s="1" t="e">
        <f t="shared" si="398"/>
        <v>#DIV/0!</v>
      </c>
      <c r="S745" s="1" t="e">
        <f t="shared" si="399"/>
        <v>#DIV/0!</v>
      </c>
      <c r="T745" s="1" t="e">
        <f t="shared" si="400"/>
        <v>#DIV/0!</v>
      </c>
      <c r="U745" s="1" t="e">
        <f t="shared" si="401"/>
        <v>#DIV/0!</v>
      </c>
      <c r="V745">
        <f t="shared" si="402"/>
        <v>851.48</v>
      </c>
      <c r="W745">
        <f t="shared" si="403"/>
        <v>0</v>
      </c>
      <c r="X745">
        <f t="shared" si="404"/>
        <v>0</v>
      </c>
      <c r="Y745">
        <f t="shared" si="405"/>
        <v>0</v>
      </c>
      <c r="Z745">
        <f t="shared" si="406"/>
        <v>0</v>
      </c>
      <c r="AA745">
        <f t="shared" si="407"/>
        <v>0</v>
      </c>
      <c r="AC745">
        <f t="shared" si="408"/>
        <v>1045.25</v>
      </c>
      <c r="AD745">
        <f t="shared" si="409"/>
        <v>0</v>
      </c>
      <c r="AE745">
        <f t="shared" si="410"/>
        <v>0</v>
      </c>
      <c r="AF745">
        <f t="shared" si="411"/>
        <v>0</v>
      </c>
      <c r="AG745">
        <f t="shared" si="412"/>
        <v>0</v>
      </c>
      <c r="AH745">
        <f t="shared" si="413"/>
        <v>0</v>
      </c>
      <c r="AJ745">
        <f t="shared" si="414"/>
        <v>1239.01</v>
      </c>
      <c r="AK745">
        <f t="shared" si="415"/>
        <v>0</v>
      </c>
      <c r="AL745">
        <f t="shared" si="416"/>
        <v>0</v>
      </c>
      <c r="AM745">
        <f t="shared" si="417"/>
        <v>0</v>
      </c>
      <c r="AN745">
        <f t="shared" si="418"/>
        <v>0</v>
      </c>
      <c r="AO745">
        <f t="shared" si="419"/>
        <v>0</v>
      </c>
    </row>
    <row r="746" spans="1:41" x14ac:dyDescent="0.45">
      <c r="A746">
        <v>40.62329914</v>
      </c>
      <c r="B746">
        <v>121.8967109</v>
      </c>
      <c r="C746">
        <v>22.600711820000001</v>
      </c>
      <c r="D746">
        <v>6.0854158399999996</v>
      </c>
      <c r="E746">
        <f t="shared" si="385"/>
        <v>6.0854158399999996</v>
      </c>
      <c r="F746">
        <f t="shared" si="386"/>
        <v>0</v>
      </c>
      <c r="G746">
        <f t="shared" si="387"/>
        <v>0</v>
      </c>
      <c r="H746">
        <f t="shared" si="388"/>
        <v>0</v>
      </c>
      <c r="I746">
        <f t="shared" si="389"/>
        <v>0</v>
      </c>
      <c r="J746">
        <f t="shared" si="390"/>
        <v>0</v>
      </c>
      <c r="K746" s="1">
        <f t="shared" si="391"/>
        <v>0</v>
      </c>
      <c r="L746" s="1">
        <f t="shared" si="392"/>
        <v>0</v>
      </c>
      <c r="M746" s="1">
        <f t="shared" si="393"/>
        <v>0</v>
      </c>
      <c r="N746" s="1">
        <f t="shared" si="394"/>
        <v>0</v>
      </c>
      <c r="O746" s="1">
        <f t="shared" si="395"/>
        <v>0</v>
      </c>
      <c r="P746" s="1">
        <f t="shared" si="396"/>
        <v>25</v>
      </c>
      <c r="Q746" s="1" t="e">
        <f t="shared" si="397"/>
        <v>#DIV/0!</v>
      </c>
      <c r="R746" s="1" t="e">
        <f t="shared" si="398"/>
        <v>#DIV/0!</v>
      </c>
      <c r="S746" s="1" t="e">
        <f t="shared" si="399"/>
        <v>#DIV/0!</v>
      </c>
      <c r="T746" s="1" t="e">
        <f t="shared" si="400"/>
        <v>#DIV/0!</v>
      </c>
      <c r="U746" s="1" t="e">
        <f t="shared" si="401"/>
        <v>#DIV/0!</v>
      </c>
      <c r="V746">
        <f t="shared" si="402"/>
        <v>851.48</v>
      </c>
      <c r="W746">
        <f t="shared" si="403"/>
        <v>0</v>
      </c>
      <c r="X746">
        <f t="shared" si="404"/>
        <v>0</v>
      </c>
      <c r="Y746">
        <f t="shared" si="405"/>
        <v>0</v>
      </c>
      <c r="Z746">
        <f t="shared" si="406"/>
        <v>0</v>
      </c>
      <c r="AA746">
        <f t="shared" si="407"/>
        <v>0</v>
      </c>
      <c r="AC746">
        <f t="shared" si="408"/>
        <v>1045.25</v>
      </c>
      <c r="AD746">
        <f t="shared" si="409"/>
        <v>0</v>
      </c>
      <c r="AE746">
        <f t="shared" si="410"/>
        <v>0</v>
      </c>
      <c r="AF746">
        <f t="shared" si="411"/>
        <v>0</v>
      </c>
      <c r="AG746">
        <f t="shared" si="412"/>
        <v>0</v>
      </c>
      <c r="AH746">
        <f t="shared" si="413"/>
        <v>0</v>
      </c>
      <c r="AJ746">
        <f t="shared" si="414"/>
        <v>1239.01</v>
      </c>
      <c r="AK746">
        <f t="shared" si="415"/>
        <v>0</v>
      </c>
      <c r="AL746">
        <f t="shared" si="416"/>
        <v>0</v>
      </c>
      <c r="AM746">
        <f t="shared" si="417"/>
        <v>0</v>
      </c>
      <c r="AN746">
        <f t="shared" si="418"/>
        <v>0</v>
      </c>
      <c r="AO746">
        <f t="shared" si="419"/>
        <v>0</v>
      </c>
    </row>
    <row r="747" spans="1:41" x14ac:dyDescent="0.45">
      <c r="A747">
        <v>40.638187700000003</v>
      </c>
      <c r="B747">
        <v>121.7782601</v>
      </c>
      <c r="C747">
        <v>47.668087010000001</v>
      </c>
      <c r="D747">
        <v>0.48972300000000002</v>
      </c>
      <c r="E747">
        <f t="shared" si="385"/>
        <v>0.48972300000000002</v>
      </c>
      <c r="F747">
        <f t="shared" si="386"/>
        <v>0</v>
      </c>
      <c r="G747">
        <f t="shared" si="387"/>
        <v>0</v>
      </c>
      <c r="H747">
        <f t="shared" si="388"/>
        <v>0</v>
      </c>
      <c r="I747">
        <f t="shared" si="389"/>
        <v>0</v>
      </c>
      <c r="J747">
        <f t="shared" si="390"/>
        <v>0</v>
      </c>
      <c r="K747" s="1">
        <f t="shared" si="391"/>
        <v>0</v>
      </c>
      <c r="L747" s="1">
        <f t="shared" si="392"/>
        <v>0</v>
      </c>
      <c r="M747" s="1">
        <f t="shared" si="393"/>
        <v>0</v>
      </c>
      <c r="N747" s="1">
        <f t="shared" si="394"/>
        <v>0</v>
      </c>
      <c r="O747" s="1">
        <f t="shared" si="395"/>
        <v>0</v>
      </c>
      <c r="P747" s="1">
        <f t="shared" si="396"/>
        <v>25</v>
      </c>
      <c r="Q747" s="1" t="e">
        <f t="shared" si="397"/>
        <v>#DIV/0!</v>
      </c>
      <c r="R747" s="1" t="e">
        <f t="shared" si="398"/>
        <v>#DIV/0!</v>
      </c>
      <c r="S747" s="1" t="e">
        <f t="shared" si="399"/>
        <v>#DIV/0!</v>
      </c>
      <c r="T747" s="1" t="e">
        <f t="shared" si="400"/>
        <v>#DIV/0!</v>
      </c>
      <c r="U747" s="1" t="e">
        <f t="shared" si="401"/>
        <v>#DIV/0!</v>
      </c>
      <c r="V747">
        <f t="shared" si="402"/>
        <v>851.48</v>
      </c>
      <c r="W747">
        <f t="shared" si="403"/>
        <v>0</v>
      </c>
      <c r="X747">
        <f t="shared" si="404"/>
        <v>0</v>
      </c>
      <c r="Y747">
        <f t="shared" si="405"/>
        <v>0</v>
      </c>
      <c r="Z747">
        <f t="shared" si="406"/>
        <v>0</v>
      </c>
      <c r="AA747">
        <f t="shared" si="407"/>
        <v>0</v>
      </c>
      <c r="AC747">
        <f t="shared" si="408"/>
        <v>1045.25</v>
      </c>
      <c r="AD747">
        <f t="shared" si="409"/>
        <v>0</v>
      </c>
      <c r="AE747">
        <f t="shared" si="410"/>
        <v>0</v>
      </c>
      <c r="AF747">
        <f t="shared" si="411"/>
        <v>0</v>
      </c>
      <c r="AG747">
        <f t="shared" si="412"/>
        <v>0</v>
      </c>
      <c r="AH747">
        <f t="shared" si="413"/>
        <v>0</v>
      </c>
      <c r="AJ747">
        <f t="shared" si="414"/>
        <v>1239.01</v>
      </c>
      <c r="AK747">
        <f t="shared" si="415"/>
        <v>0</v>
      </c>
      <c r="AL747">
        <f t="shared" si="416"/>
        <v>0</v>
      </c>
      <c r="AM747">
        <f t="shared" si="417"/>
        <v>0</v>
      </c>
      <c r="AN747">
        <f t="shared" si="418"/>
        <v>0</v>
      </c>
      <c r="AO747">
        <f t="shared" si="419"/>
        <v>0</v>
      </c>
    </row>
    <row r="748" spans="1:41" x14ac:dyDescent="0.45">
      <c r="A748">
        <v>40.660925239999997</v>
      </c>
      <c r="B748">
        <v>121.96576589999999</v>
      </c>
      <c r="C748">
        <v>7.0552001000000004</v>
      </c>
      <c r="D748">
        <v>5.2337751399999997</v>
      </c>
      <c r="E748">
        <f t="shared" si="385"/>
        <v>5.2337751399999997</v>
      </c>
      <c r="F748">
        <f t="shared" si="386"/>
        <v>0</v>
      </c>
      <c r="G748">
        <f t="shared" si="387"/>
        <v>0</v>
      </c>
      <c r="H748">
        <f t="shared" si="388"/>
        <v>0</v>
      </c>
      <c r="I748">
        <f t="shared" si="389"/>
        <v>0</v>
      </c>
      <c r="J748">
        <f t="shared" si="390"/>
        <v>0</v>
      </c>
      <c r="K748" s="1">
        <f t="shared" si="391"/>
        <v>0</v>
      </c>
      <c r="L748" s="1">
        <f t="shared" si="392"/>
        <v>0</v>
      </c>
      <c r="M748" s="1">
        <f t="shared" si="393"/>
        <v>0</v>
      </c>
      <c r="N748" s="1">
        <f t="shared" si="394"/>
        <v>0</v>
      </c>
      <c r="O748" s="1">
        <f t="shared" si="395"/>
        <v>0</v>
      </c>
      <c r="P748" s="1">
        <f t="shared" si="396"/>
        <v>25.000000000000004</v>
      </c>
      <c r="Q748" s="1" t="e">
        <f t="shared" si="397"/>
        <v>#DIV/0!</v>
      </c>
      <c r="R748" s="1" t="e">
        <f t="shared" si="398"/>
        <v>#DIV/0!</v>
      </c>
      <c r="S748" s="1" t="e">
        <f t="shared" si="399"/>
        <v>#DIV/0!</v>
      </c>
      <c r="T748" s="1" t="e">
        <f t="shared" si="400"/>
        <v>#DIV/0!</v>
      </c>
      <c r="U748" s="1" t="e">
        <f t="shared" si="401"/>
        <v>#DIV/0!</v>
      </c>
      <c r="V748">
        <f t="shared" si="402"/>
        <v>851.48000000000013</v>
      </c>
      <c r="W748">
        <f t="shared" si="403"/>
        <v>0</v>
      </c>
      <c r="X748">
        <f t="shared" si="404"/>
        <v>0</v>
      </c>
      <c r="Y748">
        <f t="shared" si="405"/>
        <v>0</v>
      </c>
      <c r="Z748">
        <f t="shared" si="406"/>
        <v>0</v>
      </c>
      <c r="AA748">
        <f t="shared" si="407"/>
        <v>0</v>
      </c>
      <c r="AC748">
        <f t="shared" si="408"/>
        <v>1045.25</v>
      </c>
      <c r="AD748">
        <f t="shared" si="409"/>
        <v>0</v>
      </c>
      <c r="AE748">
        <f t="shared" si="410"/>
        <v>0</v>
      </c>
      <c r="AF748">
        <f t="shared" si="411"/>
        <v>0</v>
      </c>
      <c r="AG748">
        <f t="shared" si="412"/>
        <v>0</v>
      </c>
      <c r="AH748">
        <f t="shared" si="413"/>
        <v>0</v>
      </c>
      <c r="AJ748">
        <f t="shared" si="414"/>
        <v>1239.0100000000002</v>
      </c>
      <c r="AK748">
        <f t="shared" si="415"/>
        <v>0</v>
      </c>
      <c r="AL748">
        <f t="shared" si="416"/>
        <v>0</v>
      </c>
      <c r="AM748">
        <f t="shared" si="417"/>
        <v>0</v>
      </c>
      <c r="AN748">
        <f t="shared" si="418"/>
        <v>0</v>
      </c>
      <c r="AO748">
        <f t="shared" si="419"/>
        <v>0</v>
      </c>
    </row>
    <row r="749" spans="1:41" x14ac:dyDescent="0.45">
      <c r="A749">
        <v>40.667632570000002</v>
      </c>
      <c r="B749">
        <v>121.5412159</v>
      </c>
      <c r="C749">
        <v>15.68735695</v>
      </c>
      <c r="D749">
        <v>29.341726300000001</v>
      </c>
      <c r="E749">
        <f t="shared" si="385"/>
        <v>15.68735695</v>
      </c>
      <c r="F749">
        <f t="shared" si="386"/>
        <v>0</v>
      </c>
      <c r="G749">
        <f t="shared" si="387"/>
        <v>0</v>
      </c>
      <c r="H749">
        <f t="shared" si="388"/>
        <v>0</v>
      </c>
      <c r="I749">
        <f t="shared" si="389"/>
        <v>0</v>
      </c>
      <c r="J749">
        <f t="shared" si="390"/>
        <v>0</v>
      </c>
      <c r="K749" s="1">
        <f t="shared" si="391"/>
        <v>0</v>
      </c>
      <c r="L749" s="1">
        <f t="shared" si="392"/>
        <v>0</v>
      </c>
      <c r="M749" s="1">
        <f t="shared" si="393"/>
        <v>0</v>
      </c>
      <c r="N749" s="1">
        <f t="shared" si="394"/>
        <v>0</v>
      </c>
      <c r="O749" s="1">
        <f t="shared" si="395"/>
        <v>0</v>
      </c>
      <c r="P749" s="1">
        <f t="shared" si="396"/>
        <v>13.36608213641472</v>
      </c>
      <c r="Q749" s="1" t="e">
        <f t="shared" si="397"/>
        <v>#DIV/0!</v>
      </c>
      <c r="R749" s="1" t="e">
        <f t="shared" si="398"/>
        <v>#DIV/0!</v>
      </c>
      <c r="S749" s="1" t="e">
        <f t="shared" si="399"/>
        <v>#DIV/0!</v>
      </c>
      <c r="T749" s="1" t="e">
        <f t="shared" si="400"/>
        <v>#DIV/0!</v>
      </c>
      <c r="U749" s="1" t="e">
        <f t="shared" si="401"/>
        <v>#DIV/0!</v>
      </c>
      <c r="V749">
        <f t="shared" si="402"/>
        <v>473.37766943347845</v>
      </c>
      <c r="W749">
        <f t="shared" si="403"/>
        <v>0</v>
      </c>
      <c r="X749">
        <f t="shared" si="404"/>
        <v>0</v>
      </c>
      <c r="Y749">
        <f t="shared" si="405"/>
        <v>0</v>
      </c>
      <c r="Z749">
        <f t="shared" si="406"/>
        <v>0</v>
      </c>
      <c r="AA749">
        <f t="shared" si="407"/>
        <v>0</v>
      </c>
      <c r="AC749">
        <f t="shared" si="408"/>
        <v>579.89328545658884</v>
      </c>
      <c r="AD749">
        <f t="shared" si="409"/>
        <v>0</v>
      </c>
      <c r="AE749">
        <f t="shared" si="410"/>
        <v>0</v>
      </c>
      <c r="AF749">
        <f t="shared" si="411"/>
        <v>0</v>
      </c>
      <c r="AG749">
        <f t="shared" si="412"/>
        <v>0</v>
      </c>
      <c r="AH749">
        <f t="shared" si="413"/>
        <v>0</v>
      </c>
      <c r="AJ749">
        <f t="shared" si="414"/>
        <v>686.39890147969913</v>
      </c>
      <c r="AK749">
        <f t="shared" si="415"/>
        <v>0</v>
      </c>
      <c r="AL749">
        <f t="shared" si="416"/>
        <v>0</v>
      </c>
      <c r="AM749">
        <f t="shared" si="417"/>
        <v>0</v>
      </c>
      <c r="AN749">
        <f t="shared" si="418"/>
        <v>0</v>
      </c>
      <c r="AO749">
        <f t="shared" si="419"/>
        <v>0</v>
      </c>
    </row>
    <row r="750" spans="1:41" x14ac:dyDescent="0.45">
      <c r="A750">
        <v>40.668415080000003</v>
      </c>
      <c r="B750">
        <v>121.9065232</v>
      </c>
      <c r="C750">
        <v>22.600711820000001</v>
      </c>
      <c r="D750">
        <v>1.26720798</v>
      </c>
      <c r="E750">
        <f t="shared" si="385"/>
        <v>1.26720798</v>
      </c>
      <c r="F750">
        <f t="shared" si="386"/>
        <v>0</v>
      </c>
      <c r="G750">
        <f t="shared" si="387"/>
        <v>0</v>
      </c>
      <c r="H750">
        <f t="shared" si="388"/>
        <v>0</v>
      </c>
      <c r="I750">
        <f t="shared" si="389"/>
        <v>0</v>
      </c>
      <c r="J750">
        <f t="shared" si="390"/>
        <v>0</v>
      </c>
      <c r="K750" s="1">
        <f t="shared" si="391"/>
        <v>0</v>
      </c>
      <c r="L750" s="1">
        <f t="shared" si="392"/>
        <v>0</v>
      </c>
      <c r="M750" s="1">
        <f t="shared" si="393"/>
        <v>0</v>
      </c>
      <c r="N750" s="1">
        <f t="shared" si="394"/>
        <v>0</v>
      </c>
      <c r="O750" s="1">
        <f t="shared" si="395"/>
        <v>0</v>
      </c>
      <c r="P750" s="1">
        <f t="shared" si="396"/>
        <v>25</v>
      </c>
      <c r="Q750" s="1" t="e">
        <f t="shared" si="397"/>
        <v>#DIV/0!</v>
      </c>
      <c r="R750" s="1" t="e">
        <f t="shared" si="398"/>
        <v>#DIV/0!</v>
      </c>
      <c r="S750" s="1" t="e">
        <f t="shared" si="399"/>
        <v>#DIV/0!</v>
      </c>
      <c r="T750" s="1" t="e">
        <f t="shared" si="400"/>
        <v>#DIV/0!</v>
      </c>
      <c r="U750" s="1" t="e">
        <f t="shared" si="401"/>
        <v>#DIV/0!</v>
      </c>
      <c r="V750">
        <f t="shared" si="402"/>
        <v>851.48</v>
      </c>
      <c r="W750">
        <f t="shared" si="403"/>
        <v>0</v>
      </c>
      <c r="X750">
        <f t="shared" si="404"/>
        <v>0</v>
      </c>
      <c r="Y750">
        <f t="shared" si="405"/>
        <v>0</v>
      </c>
      <c r="Z750">
        <f t="shared" si="406"/>
        <v>0</v>
      </c>
      <c r="AA750">
        <f t="shared" si="407"/>
        <v>0</v>
      </c>
      <c r="AC750">
        <f t="shared" si="408"/>
        <v>1045.25</v>
      </c>
      <c r="AD750">
        <f t="shared" si="409"/>
        <v>0</v>
      </c>
      <c r="AE750">
        <f t="shared" si="410"/>
        <v>0</v>
      </c>
      <c r="AF750">
        <f t="shared" si="411"/>
        <v>0</v>
      </c>
      <c r="AG750">
        <f t="shared" si="412"/>
        <v>0</v>
      </c>
      <c r="AH750">
        <f t="shared" si="413"/>
        <v>0</v>
      </c>
      <c r="AJ750">
        <f t="shared" si="414"/>
        <v>1239.01</v>
      </c>
      <c r="AK750">
        <f t="shared" si="415"/>
        <v>0</v>
      </c>
      <c r="AL750">
        <f t="shared" si="416"/>
        <v>0</v>
      </c>
      <c r="AM750">
        <f t="shared" si="417"/>
        <v>0</v>
      </c>
      <c r="AN750">
        <f t="shared" si="418"/>
        <v>0</v>
      </c>
      <c r="AO750">
        <f t="shared" si="419"/>
        <v>0</v>
      </c>
    </row>
    <row r="751" spans="1:41" x14ac:dyDescent="0.45">
      <c r="A751">
        <v>40.68942526</v>
      </c>
      <c r="B751">
        <v>121.3633093</v>
      </c>
      <c r="C751">
        <v>44.05892944</v>
      </c>
      <c r="D751">
        <v>2.4486129299999999</v>
      </c>
      <c r="E751">
        <f t="shared" si="385"/>
        <v>2.4486129299999999</v>
      </c>
      <c r="F751">
        <f t="shared" si="386"/>
        <v>0</v>
      </c>
      <c r="G751">
        <f t="shared" si="387"/>
        <v>0</v>
      </c>
      <c r="H751">
        <f t="shared" si="388"/>
        <v>0</v>
      </c>
      <c r="I751">
        <f t="shared" si="389"/>
        <v>0</v>
      </c>
      <c r="J751">
        <f t="shared" si="390"/>
        <v>0</v>
      </c>
      <c r="K751" s="1">
        <f t="shared" si="391"/>
        <v>0</v>
      </c>
      <c r="L751" s="1">
        <f t="shared" si="392"/>
        <v>0</v>
      </c>
      <c r="M751" s="1">
        <f t="shared" si="393"/>
        <v>0</v>
      </c>
      <c r="N751" s="1">
        <f t="shared" si="394"/>
        <v>0</v>
      </c>
      <c r="O751" s="1">
        <f t="shared" si="395"/>
        <v>0</v>
      </c>
      <c r="P751" s="1">
        <f t="shared" si="396"/>
        <v>25</v>
      </c>
      <c r="Q751" s="1" t="e">
        <f t="shared" si="397"/>
        <v>#DIV/0!</v>
      </c>
      <c r="R751" s="1" t="e">
        <f t="shared" si="398"/>
        <v>#DIV/0!</v>
      </c>
      <c r="S751" s="1" t="e">
        <f t="shared" si="399"/>
        <v>#DIV/0!</v>
      </c>
      <c r="T751" s="1" t="e">
        <f t="shared" si="400"/>
        <v>#DIV/0!</v>
      </c>
      <c r="U751" s="1" t="e">
        <f t="shared" si="401"/>
        <v>#DIV/0!</v>
      </c>
      <c r="V751">
        <f t="shared" si="402"/>
        <v>851.48</v>
      </c>
      <c r="W751">
        <f t="shared" si="403"/>
        <v>0</v>
      </c>
      <c r="X751">
        <f t="shared" si="404"/>
        <v>0</v>
      </c>
      <c r="Y751">
        <f t="shared" si="405"/>
        <v>0</v>
      </c>
      <c r="Z751">
        <f t="shared" si="406"/>
        <v>0</v>
      </c>
      <c r="AA751">
        <f t="shared" si="407"/>
        <v>0</v>
      </c>
      <c r="AC751">
        <f t="shared" si="408"/>
        <v>1045.25</v>
      </c>
      <c r="AD751">
        <f t="shared" si="409"/>
        <v>0</v>
      </c>
      <c r="AE751">
        <f t="shared" si="410"/>
        <v>0</v>
      </c>
      <c r="AF751">
        <f t="shared" si="411"/>
        <v>0</v>
      </c>
      <c r="AG751">
        <f t="shared" si="412"/>
        <v>0</v>
      </c>
      <c r="AH751">
        <f t="shared" si="413"/>
        <v>0</v>
      </c>
      <c r="AJ751">
        <f t="shared" si="414"/>
        <v>1239.01</v>
      </c>
      <c r="AK751">
        <f t="shared" si="415"/>
        <v>0</v>
      </c>
      <c r="AL751">
        <f t="shared" si="416"/>
        <v>0</v>
      </c>
      <c r="AM751">
        <f t="shared" si="417"/>
        <v>0</v>
      </c>
      <c r="AN751">
        <f t="shared" si="418"/>
        <v>0</v>
      </c>
      <c r="AO751">
        <f t="shared" si="419"/>
        <v>0</v>
      </c>
    </row>
    <row r="752" spans="1:41" x14ac:dyDescent="0.45">
      <c r="A752">
        <v>40.706033210000001</v>
      </c>
      <c r="B752">
        <v>121.97562550000001</v>
      </c>
      <c r="C752">
        <v>22.600711820000001</v>
      </c>
      <c r="D752">
        <v>0.34680101000000002</v>
      </c>
      <c r="E752">
        <f t="shared" si="385"/>
        <v>0.34680101000000002</v>
      </c>
      <c r="F752">
        <f t="shared" si="386"/>
        <v>0</v>
      </c>
      <c r="G752">
        <f t="shared" si="387"/>
        <v>0</v>
      </c>
      <c r="H752">
        <f t="shared" si="388"/>
        <v>0</v>
      </c>
      <c r="I752">
        <f t="shared" si="389"/>
        <v>0</v>
      </c>
      <c r="J752">
        <f t="shared" si="390"/>
        <v>0</v>
      </c>
      <c r="K752" s="1">
        <f t="shared" si="391"/>
        <v>0</v>
      </c>
      <c r="L752" s="1">
        <f t="shared" si="392"/>
        <v>0</v>
      </c>
      <c r="M752" s="1">
        <f t="shared" si="393"/>
        <v>0</v>
      </c>
      <c r="N752" s="1">
        <f t="shared" si="394"/>
        <v>0</v>
      </c>
      <c r="O752" s="1">
        <f t="shared" si="395"/>
        <v>0</v>
      </c>
      <c r="P752" s="1">
        <f t="shared" si="396"/>
        <v>25</v>
      </c>
      <c r="Q752" s="1" t="e">
        <f t="shared" si="397"/>
        <v>#DIV/0!</v>
      </c>
      <c r="R752" s="1" t="e">
        <f t="shared" si="398"/>
        <v>#DIV/0!</v>
      </c>
      <c r="S752" s="1" t="e">
        <f t="shared" si="399"/>
        <v>#DIV/0!</v>
      </c>
      <c r="T752" s="1" t="e">
        <f t="shared" si="400"/>
        <v>#DIV/0!</v>
      </c>
      <c r="U752" s="1" t="e">
        <f t="shared" si="401"/>
        <v>#DIV/0!</v>
      </c>
      <c r="V752">
        <f t="shared" si="402"/>
        <v>851.48</v>
      </c>
      <c r="W752">
        <f t="shared" si="403"/>
        <v>0</v>
      </c>
      <c r="X752">
        <f t="shared" si="404"/>
        <v>0</v>
      </c>
      <c r="Y752">
        <f t="shared" si="405"/>
        <v>0</v>
      </c>
      <c r="Z752">
        <f t="shared" si="406"/>
        <v>0</v>
      </c>
      <c r="AA752">
        <f t="shared" si="407"/>
        <v>0</v>
      </c>
      <c r="AC752">
        <f t="shared" si="408"/>
        <v>1045.25</v>
      </c>
      <c r="AD752">
        <f t="shared" si="409"/>
        <v>0</v>
      </c>
      <c r="AE752">
        <f t="shared" si="410"/>
        <v>0</v>
      </c>
      <c r="AF752">
        <f t="shared" si="411"/>
        <v>0</v>
      </c>
      <c r="AG752">
        <f t="shared" si="412"/>
        <v>0</v>
      </c>
      <c r="AH752">
        <f t="shared" si="413"/>
        <v>0</v>
      </c>
      <c r="AJ752">
        <f t="shared" si="414"/>
        <v>1239.01</v>
      </c>
      <c r="AK752">
        <f t="shared" si="415"/>
        <v>0</v>
      </c>
      <c r="AL752">
        <f t="shared" si="416"/>
        <v>0</v>
      </c>
      <c r="AM752">
        <f t="shared" si="417"/>
        <v>0</v>
      </c>
      <c r="AN752">
        <f t="shared" si="418"/>
        <v>0</v>
      </c>
      <c r="AO752">
        <f t="shared" si="419"/>
        <v>0</v>
      </c>
    </row>
    <row r="753" spans="1:41" x14ac:dyDescent="0.45">
      <c r="A753">
        <v>40.818660119999997</v>
      </c>
      <c r="B753">
        <v>121.81729900000001</v>
      </c>
      <c r="C753">
        <v>22.600711820000001</v>
      </c>
      <c r="D753">
        <v>9.4244403800000001</v>
      </c>
      <c r="E753">
        <f t="shared" si="385"/>
        <v>9.4244403800000001</v>
      </c>
      <c r="F753">
        <f t="shared" si="386"/>
        <v>0</v>
      </c>
      <c r="G753">
        <f t="shared" si="387"/>
        <v>0</v>
      </c>
      <c r="H753">
        <f t="shared" si="388"/>
        <v>0</v>
      </c>
      <c r="I753">
        <f t="shared" si="389"/>
        <v>0</v>
      </c>
      <c r="J753">
        <f t="shared" si="390"/>
        <v>0</v>
      </c>
      <c r="K753" s="1">
        <f t="shared" si="391"/>
        <v>0</v>
      </c>
      <c r="L753" s="1">
        <f t="shared" si="392"/>
        <v>0</v>
      </c>
      <c r="M753" s="1">
        <f t="shared" si="393"/>
        <v>0</v>
      </c>
      <c r="N753" s="1">
        <f t="shared" si="394"/>
        <v>0</v>
      </c>
      <c r="O753" s="1">
        <f t="shared" si="395"/>
        <v>0</v>
      </c>
      <c r="P753" s="1">
        <f t="shared" si="396"/>
        <v>25</v>
      </c>
      <c r="Q753" s="1" t="e">
        <f t="shared" si="397"/>
        <v>#DIV/0!</v>
      </c>
      <c r="R753" s="1" t="e">
        <f t="shared" si="398"/>
        <v>#DIV/0!</v>
      </c>
      <c r="S753" s="1" t="e">
        <f t="shared" si="399"/>
        <v>#DIV/0!</v>
      </c>
      <c r="T753" s="1" t="e">
        <f t="shared" si="400"/>
        <v>#DIV/0!</v>
      </c>
      <c r="U753" s="1" t="e">
        <f t="shared" si="401"/>
        <v>#DIV/0!</v>
      </c>
      <c r="V753">
        <f t="shared" si="402"/>
        <v>851.48</v>
      </c>
      <c r="W753">
        <f t="shared" si="403"/>
        <v>0</v>
      </c>
      <c r="X753">
        <f t="shared" si="404"/>
        <v>0</v>
      </c>
      <c r="Y753">
        <f t="shared" si="405"/>
        <v>0</v>
      </c>
      <c r="Z753">
        <f t="shared" si="406"/>
        <v>0</v>
      </c>
      <c r="AA753">
        <f t="shared" si="407"/>
        <v>0</v>
      </c>
      <c r="AC753">
        <f t="shared" si="408"/>
        <v>1045.25</v>
      </c>
      <c r="AD753">
        <f t="shared" si="409"/>
        <v>0</v>
      </c>
      <c r="AE753">
        <f t="shared" si="410"/>
        <v>0</v>
      </c>
      <c r="AF753">
        <f t="shared" si="411"/>
        <v>0</v>
      </c>
      <c r="AG753">
        <f t="shared" si="412"/>
        <v>0</v>
      </c>
      <c r="AH753">
        <f t="shared" si="413"/>
        <v>0</v>
      </c>
      <c r="AJ753">
        <f t="shared" si="414"/>
        <v>1239.01</v>
      </c>
      <c r="AK753">
        <f t="shared" si="415"/>
        <v>0</v>
      </c>
      <c r="AL753">
        <f t="shared" si="416"/>
        <v>0</v>
      </c>
      <c r="AM753">
        <f t="shared" si="417"/>
        <v>0</v>
      </c>
      <c r="AN753">
        <f t="shared" si="418"/>
        <v>0</v>
      </c>
      <c r="AO753">
        <f t="shared" si="419"/>
        <v>0</v>
      </c>
    </row>
    <row r="754" spans="1:41" x14ac:dyDescent="0.45">
      <c r="A754">
        <v>40.833799499999998</v>
      </c>
      <c r="B754">
        <v>122.0646485</v>
      </c>
      <c r="C754">
        <v>22.600711820000001</v>
      </c>
      <c r="D754">
        <v>1.92786002</v>
      </c>
      <c r="E754">
        <f t="shared" si="385"/>
        <v>1.92786002</v>
      </c>
      <c r="F754">
        <f t="shared" si="386"/>
        <v>0</v>
      </c>
      <c r="G754">
        <f t="shared" si="387"/>
        <v>0</v>
      </c>
      <c r="H754">
        <f t="shared" si="388"/>
        <v>0</v>
      </c>
      <c r="I754">
        <f t="shared" si="389"/>
        <v>0</v>
      </c>
      <c r="J754">
        <f t="shared" si="390"/>
        <v>0</v>
      </c>
      <c r="K754" s="1">
        <f t="shared" si="391"/>
        <v>0</v>
      </c>
      <c r="L754" s="1">
        <f t="shared" si="392"/>
        <v>0</v>
      </c>
      <c r="M754" s="1">
        <f t="shared" si="393"/>
        <v>0</v>
      </c>
      <c r="N754" s="1">
        <f t="shared" si="394"/>
        <v>0</v>
      </c>
      <c r="O754" s="1">
        <f t="shared" si="395"/>
        <v>0</v>
      </c>
      <c r="P754" s="1">
        <f t="shared" si="396"/>
        <v>25</v>
      </c>
      <c r="Q754" s="1" t="e">
        <f t="shared" si="397"/>
        <v>#DIV/0!</v>
      </c>
      <c r="R754" s="1" t="e">
        <f t="shared" si="398"/>
        <v>#DIV/0!</v>
      </c>
      <c r="S754" s="1" t="e">
        <f t="shared" si="399"/>
        <v>#DIV/0!</v>
      </c>
      <c r="T754" s="1" t="e">
        <f t="shared" si="400"/>
        <v>#DIV/0!</v>
      </c>
      <c r="U754" s="1" t="e">
        <f t="shared" si="401"/>
        <v>#DIV/0!</v>
      </c>
      <c r="V754">
        <f t="shared" si="402"/>
        <v>851.48</v>
      </c>
      <c r="W754">
        <f t="shared" si="403"/>
        <v>0</v>
      </c>
      <c r="X754">
        <f t="shared" si="404"/>
        <v>0</v>
      </c>
      <c r="Y754">
        <f t="shared" si="405"/>
        <v>0</v>
      </c>
      <c r="Z754">
        <f t="shared" si="406"/>
        <v>0</v>
      </c>
      <c r="AA754">
        <f t="shared" si="407"/>
        <v>0</v>
      </c>
      <c r="AC754">
        <f t="shared" si="408"/>
        <v>1045.25</v>
      </c>
      <c r="AD754">
        <f t="shared" si="409"/>
        <v>0</v>
      </c>
      <c r="AE754">
        <f t="shared" si="410"/>
        <v>0</v>
      </c>
      <c r="AF754">
        <f t="shared" si="411"/>
        <v>0</v>
      </c>
      <c r="AG754">
        <f t="shared" si="412"/>
        <v>0</v>
      </c>
      <c r="AH754">
        <f t="shared" si="413"/>
        <v>0</v>
      </c>
      <c r="AJ754">
        <f t="shared" si="414"/>
        <v>1239.01</v>
      </c>
      <c r="AK754">
        <f t="shared" si="415"/>
        <v>0</v>
      </c>
      <c r="AL754">
        <f t="shared" si="416"/>
        <v>0</v>
      </c>
      <c r="AM754">
        <f t="shared" si="417"/>
        <v>0</v>
      </c>
      <c r="AN754">
        <f t="shared" si="418"/>
        <v>0</v>
      </c>
      <c r="AO754">
        <f t="shared" si="419"/>
        <v>0</v>
      </c>
    </row>
    <row r="755" spans="1:41" x14ac:dyDescent="0.45">
      <c r="A755">
        <v>40.848168819999998</v>
      </c>
      <c r="B755">
        <v>121.5796888</v>
      </c>
      <c r="C755">
        <v>58.052211759999999</v>
      </c>
      <c r="D755">
        <v>1.9574470500000001</v>
      </c>
      <c r="E755">
        <f t="shared" si="385"/>
        <v>1.9574470500000001</v>
      </c>
      <c r="F755">
        <f t="shared" si="386"/>
        <v>0</v>
      </c>
      <c r="G755">
        <f t="shared" si="387"/>
        <v>0</v>
      </c>
      <c r="H755">
        <f t="shared" si="388"/>
        <v>0</v>
      </c>
      <c r="I755">
        <f t="shared" si="389"/>
        <v>0</v>
      </c>
      <c r="J755">
        <f t="shared" si="390"/>
        <v>0</v>
      </c>
      <c r="K755" s="1">
        <f t="shared" si="391"/>
        <v>0</v>
      </c>
      <c r="L755" s="1">
        <f t="shared" si="392"/>
        <v>0</v>
      </c>
      <c r="M755" s="1">
        <f t="shared" si="393"/>
        <v>0</v>
      </c>
      <c r="N755" s="1">
        <f t="shared" si="394"/>
        <v>0</v>
      </c>
      <c r="O755" s="1">
        <f t="shared" si="395"/>
        <v>0</v>
      </c>
      <c r="P755" s="1">
        <f t="shared" si="396"/>
        <v>25</v>
      </c>
      <c r="Q755" s="1" t="e">
        <f t="shared" si="397"/>
        <v>#DIV/0!</v>
      </c>
      <c r="R755" s="1" t="e">
        <f t="shared" si="398"/>
        <v>#DIV/0!</v>
      </c>
      <c r="S755" s="1" t="e">
        <f t="shared" si="399"/>
        <v>#DIV/0!</v>
      </c>
      <c r="T755" s="1" t="e">
        <f t="shared" si="400"/>
        <v>#DIV/0!</v>
      </c>
      <c r="U755" s="1" t="e">
        <f t="shared" si="401"/>
        <v>#DIV/0!</v>
      </c>
      <c r="V755">
        <f t="shared" si="402"/>
        <v>851.48</v>
      </c>
      <c r="W755">
        <f t="shared" si="403"/>
        <v>0</v>
      </c>
      <c r="X755">
        <f t="shared" si="404"/>
        <v>0</v>
      </c>
      <c r="Y755">
        <f t="shared" si="405"/>
        <v>0</v>
      </c>
      <c r="Z755">
        <f t="shared" si="406"/>
        <v>0</v>
      </c>
      <c r="AA755">
        <f t="shared" si="407"/>
        <v>0</v>
      </c>
      <c r="AC755">
        <f t="shared" si="408"/>
        <v>1045.25</v>
      </c>
      <c r="AD755">
        <f t="shared" si="409"/>
        <v>0</v>
      </c>
      <c r="AE755">
        <f t="shared" si="410"/>
        <v>0</v>
      </c>
      <c r="AF755">
        <f t="shared" si="411"/>
        <v>0</v>
      </c>
      <c r="AG755">
        <f t="shared" si="412"/>
        <v>0</v>
      </c>
      <c r="AH755">
        <f t="shared" si="413"/>
        <v>0</v>
      </c>
      <c r="AJ755">
        <f t="shared" si="414"/>
        <v>1239.01</v>
      </c>
      <c r="AK755">
        <f t="shared" si="415"/>
        <v>0</v>
      </c>
      <c r="AL755">
        <f t="shared" si="416"/>
        <v>0</v>
      </c>
      <c r="AM755">
        <f t="shared" si="417"/>
        <v>0</v>
      </c>
      <c r="AN755">
        <f t="shared" si="418"/>
        <v>0</v>
      </c>
      <c r="AO755">
        <f t="shared" si="419"/>
        <v>0</v>
      </c>
    </row>
    <row r="756" spans="1:41" x14ac:dyDescent="0.45">
      <c r="A756">
        <v>40.871321799999997</v>
      </c>
      <c r="B756">
        <v>122.1339869</v>
      </c>
      <c r="C756">
        <v>22.600711820000001</v>
      </c>
      <c r="D756">
        <v>1.0071539899999999</v>
      </c>
      <c r="E756">
        <f t="shared" si="385"/>
        <v>1.0071539899999999</v>
      </c>
      <c r="F756">
        <f t="shared" si="386"/>
        <v>0</v>
      </c>
      <c r="G756">
        <f t="shared" si="387"/>
        <v>0</v>
      </c>
      <c r="H756">
        <f t="shared" si="388"/>
        <v>0</v>
      </c>
      <c r="I756">
        <f t="shared" si="389"/>
        <v>0</v>
      </c>
      <c r="J756">
        <f t="shared" si="390"/>
        <v>0</v>
      </c>
      <c r="K756" s="1">
        <f t="shared" si="391"/>
        <v>0</v>
      </c>
      <c r="L756" s="1">
        <f t="shared" si="392"/>
        <v>0</v>
      </c>
      <c r="M756" s="1">
        <f t="shared" si="393"/>
        <v>0</v>
      </c>
      <c r="N756" s="1">
        <f t="shared" si="394"/>
        <v>0</v>
      </c>
      <c r="O756" s="1">
        <f t="shared" si="395"/>
        <v>0</v>
      </c>
      <c r="P756" s="1">
        <f t="shared" si="396"/>
        <v>25</v>
      </c>
      <c r="Q756" s="1" t="e">
        <f t="shared" si="397"/>
        <v>#DIV/0!</v>
      </c>
      <c r="R756" s="1" t="e">
        <f t="shared" si="398"/>
        <v>#DIV/0!</v>
      </c>
      <c r="S756" s="1" t="e">
        <f t="shared" si="399"/>
        <v>#DIV/0!</v>
      </c>
      <c r="T756" s="1" t="e">
        <f t="shared" si="400"/>
        <v>#DIV/0!</v>
      </c>
      <c r="U756" s="1" t="e">
        <f t="shared" si="401"/>
        <v>#DIV/0!</v>
      </c>
      <c r="V756">
        <f t="shared" si="402"/>
        <v>851.48</v>
      </c>
      <c r="W756">
        <f t="shared" si="403"/>
        <v>0</v>
      </c>
      <c r="X756">
        <f t="shared" si="404"/>
        <v>0</v>
      </c>
      <c r="Y756">
        <f t="shared" si="405"/>
        <v>0</v>
      </c>
      <c r="Z756">
        <f t="shared" si="406"/>
        <v>0</v>
      </c>
      <c r="AA756">
        <f t="shared" si="407"/>
        <v>0</v>
      </c>
      <c r="AC756">
        <f t="shared" si="408"/>
        <v>1045.25</v>
      </c>
      <c r="AD756">
        <f t="shared" si="409"/>
        <v>0</v>
      </c>
      <c r="AE756">
        <f t="shared" si="410"/>
        <v>0</v>
      </c>
      <c r="AF756">
        <f t="shared" si="411"/>
        <v>0</v>
      </c>
      <c r="AG756">
        <f t="shared" si="412"/>
        <v>0</v>
      </c>
      <c r="AH756">
        <f t="shared" si="413"/>
        <v>0</v>
      </c>
      <c r="AJ756">
        <f t="shared" si="414"/>
        <v>1239.01</v>
      </c>
      <c r="AK756">
        <f t="shared" si="415"/>
        <v>0</v>
      </c>
      <c r="AL756">
        <f t="shared" si="416"/>
        <v>0</v>
      </c>
      <c r="AM756">
        <f t="shared" si="417"/>
        <v>0</v>
      </c>
      <c r="AN756">
        <f t="shared" si="418"/>
        <v>0</v>
      </c>
      <c r="AO756">
        <f t="shared" si="419"/>
        <v>0</v>
      </c>
    </row>
    <row r="757" spans="1:41" x14ac:dyDescent="0.45">
      <c r="A757">
        <v>40.922373</v>
      </c>
      <c r="B757">
        <v>121.35139479999999</v>
      </c>
      <c r="C757">
        <v>0</v>
      </c>
      <c r="D757">
        <v>8.3702859899999993</v>
      </c>
      <c r="E757">
        <f t="shared" si="385"/>
        <v>0</v>
      </c>
      <c r="F757">
        <f t="shared" si="386"/>
        <v>8.3702859899999993</v>
      </c>
      <c r="G757">
        <f t="shared" si="387"/>
        <v>8.3702859899999993</v>
      </c>
      <c r="H757">
        <f t="shared" si="388"/>
        <v>8.3702859899999993</v>
      </c>
      <c r="I757">
        <f t="shared" si="389"/>
        <v>8.3702859899999993</v>
      </c>
      <c r="J757">
        <f t="shared" si="390"/>
        <v>8.3702859899999993</v>
      </c>
      <c r="K757" s="1">
        <f t="shared" si="391"/>
        <v>0</v>
      </c>
      <c r="L757" s="1">
        <f t="shared" si="392"/>
        <v>0</v>
      </c>
      <c r="M757" s="1">
        <f t="shared" si="393"/>
        <v>0</v>
      </c>
      <c r="N757" s="1">
        <f t="shared" si="394"/>
        <v>0</v>
      </c>
      <c r="O757" s="1">
        <f t="shared" si="395"/>
        <v>0</v>
      </c>
      <c r="P757" s="1">
        <f t="shared" si="396"/>
        <v>1</v>
      </c>
      <c r="Q757" s="1">
        <f t="shared" si="397"/>
        <v>1</v>
      </c>
      <c r="R757" s="1">
        <f t="shared" si="398"/>
        <v>1</v>
      </c>
      <c r="S757" s="1">
        <f t="shared" si="399"/>
        <v>1</v>
      </c>
      <c r="T757" s="1">
        <f t="shared" si="400"/>
        <v>1</v>
      </c>
      <c r="U757" s="1">
        <f t="shared" si="401"/>
        <v>1</v>
      </c>
      <c r="V757">
        <f t="shared" si="402"/>
        <v>71.48</v>
      </c>
      <c r="W757">
        <f t="shared" si="403"/>
        <v>76.489999999999995</v>
      </c>
      <c r="X757">
        <f t="shared" si="404"/>
        <v>52.14</v>
      </c>
      <c r="Y757">
        <f t="shared" si="405"/>
        <v>38.1</v>
      </c>
      <c r="Z757">
        <f t="shared" si="406"/>
        <v>32.120000000000005</v>
      </c>
      <c r="AA757">
        <f t="shared" si="407"/>
        <v>30.03</v>
      </c>
      <c r="AC757">
        <f t="shared" si="408"/>
        <v>85.25</v>
      </c>
      <c r="AD757">
        <f t="shared" si="409"/>
        <v>76.489999999999995</v>
      </c>
      <c r="AE757">
        <f t="shared" si="410"/>
        <v>64.17</v>
      </c>
      <c r="AF757">
        <f t="shared" si="411"/>
        <v>49.84</v>
      </c>
      <c r="AG757">
        <f t="shared" si="412"/>
        <v>48.34</v>
      </c>
      <c r="AH757">
        <f t="shared" si="413"/>
        <v>41.36</v>
      </c>
      <c r="AJ757">
        <f t="shared" si="414"/>
        <v>99.009999999999991</v>
      </c>
      <c r="AK757">
        <f t="shared" si="415"/>
        <v>90.94</v>
      </c>
      <c r="AL757">
        <f t="shared" si="416"/>
        <v>78.7</v>
      </c>
      <c r="AM757">
        <f t="shared" si="417"/>
        <v>67.430000000000007</v>
      </c>
      <c r="AN757">
        <f t="shared" si="418"/>
        <v>62.56</v>
      </c>
      <c r="AO757">
        <f t="shared" si="419"/>
        <v>55.19</v>
      </c>
    </row>
    <row r="758" spans="1:41" x14ac:dyDescent="0.45">
      <c r="A758">
        <v>40.953972440000001</v>
      </c>
      <c r="B758">
        <v>121.8467041</v>
      </c>
      <c r="C758">
        <v>58.052211759999999</v>
      </c>
      <c r="D758">
        <v>0.45808198999999999</v>
      </c>
      <c r="E758">
        <f t="shared" si="385"/>
        <v>0.45808198999999999</v>
      </c>
      <c r="F758">
        <f t="shared" si="386"/>
        <v>0</v>
      </c>
      <c r="G758">
        <f t="shared" si="387"/>
        <v>0</v>
      </c>
      <c r="H758">
        <f t="shared" si="388"/>
        <v>0</v>
      </c>
      <c r="I758">
        <f t="shared" si="389"/>
        <v>0</v>
      </c>
      <c r="J758">
        <f t="shared" si="390"/>
        <v>0</v>
      </c>
      <c r="K758" s="1">
        <f t="shared" si="391"/>
        <v>0</v>
      </c>
      <c r="L758" s="1">
        <f t="shared" si="392"/>
        <v>0</v>
      </c>
      <c r="M758" s="1">
        <f t="shared" si="393"/>
        <v>0</v>
      </c>
      <c r="N758" s="1">
        <f t="shared" si="394"/>
        <v>0</v>
      </c>
      <c r="O758" s="1">
        <f t="shared" si="395"/>
        <v>0</v>
      </c>
      <c r="P758" s="1">
        <f t="shared" si="396"/>
        <v>25</v>
      </c>
      <c r="Q758" s="1" t="e">
        <f t="shared" si="397"/>
        <v>#DIV/0!</v>
      </c>
      <c r="R758" s="1" t="e">
        <f t="shared" si="398"/>
        <v>#DIV/0!</v>
      </c>
      <c r="S758" s="1" t="e">
        <f t="shared" si="399"/>
        <v>#DIV/0!</v>
      </c>
      <c r="T758" s="1" t="e">
        <f t="shared" si="400"/>
        <v>#DIV/0!</v>
      </c>
      <c r="U758" s="1" t="e">
        <f t="shared" si="401"/>
        <v>#DIV/0!</v>
      </c>
      <c r="V758">
        <f t="shared" si="402"/>
        <v>851.48</v>
      </c>
      <c r="W758">
        <f t="shared" si="403"/>
        <v>0</v>
      </c>
      <c r="X758">
        <f t="shared" si="404"/>
        <v>0</v>
      </c>
      <c r="Y758">
        <f t="shared" si="405"/>
        <v>0</v>
      </c>
      <c r="Z758">
        <f t="shared" si="406"/>
        <v>0</v>
      </c>
      <c r="AA758">
        <f t="shared" si="407"/>
        <v>0</v>
      </c>
      <c r="AC758">
        <f t="shared" si="408"/>
        <v>1045.25</v>
      </c>
      <c r="AD758">
        <f t="shared" si="409"/>
        <v>0</v>
      </c>
      <c r="AE758">
        <f t="shared" si="410"/>
        <v>0</v>
      </c>
      <c r="AF758">
        <f t="shared" si="411"/>
        <v>0</v>
      </c>
      <c r="AG758">
        <f t="shared" si="412"/>
        <v>0</v>
      </c>
      <c r="AH758">
        <f t="shared" si="413"/>
        <v>0</v>
      </c>
      <c r="AJ758">
        <f t="shared" si="414"/>
        <v>1239.01</v>
      </c>
      <c r="AK758">
        <f t="shared" si="415"/>
        <v>0</v>
      </c>
      <c r="AL758">
        <f t="shared" si="416"/>
        <v>0</v>
      </c>
      <c r="AM758">
        <f t="shared" si="417"/>
        <v>0</v>
      </c>
      <c r="AN758">
        <f t="shared" si="418"/>
        <v>0</v>
      </c>
      <c r="AO758">
        <f t="shared" si="419"/>
        <v>0</v>
      </c>
    </row>
    <row r="759" spans="1:41" x14ac:dyDescent="0.45">
      <c r="A759">
        <v>40.961477219999999</v>
      </c>
      <c r="B759">
        <v>122.1539812</v>
      </c>
      <c r="C759">
        <v>58.052211759999999</v>
      </c>
      <c r="D759">
        <v>7.6296000000000003E-2</v>
      </c>
      <c r="E759">
        <f t="shared" si="385"/>
        <v>7.6296000000000003E-2</v>
      </c>
      <c r="F759">
        <f t="shared" si="386"/>
        <v>0</v>
      </c>
      <c r="G759">
        <f t="shared" si="387"/>
        <v>0</v>
      </c>
      <c r="H759">
        <f t="shared" si="388"/>
        <v>0</v>
      </c>
      <c r="I759">
        <f t="shared" si="389"/>
        <v>0</v>
      </c>
      <c r="J759">
        <f t="shared" si="390"/>
        <v>0</v>
      </c>
      <c r="K759" s="1">
        <f t="shared" si="391"/>
        <v>0</v>
      </c>
      <c r="L759" s="1">
        <f t="shared" si="392"/>
        <v>0</v>
      </c>
      <c r="M759" s="1">
        <f t="shared" si="393"/>
        <v>0</v>
      </c>
      <c r="N759" s="1">
        <f t="shared" si="394"/>
        <v>0</v>
      </c>
      <c r="O759" s="1">
        <f t="shared" si="395"/>
        <v>0</v>
      </c>
      <c r="P759" s="1">
        <f t="shared" si="396"/>
        <v>25</v>
      </c>
      <c r="Q759" s="1" t="e">
        <f t="shared" si="397"/>
        <v>#DIV/0!</v>
      </c>
      <c r="R759" s="1" t="e">
        <f t="shared" si="398"/>
        <v>#DIV/0!</v>
      </c>
      <c r="S759" s="1" t="e">
        <f t="shared" si="399"/>
        <v>#DIV/0!</v>
      </c>
      <c r="T759" s="1" t="e">
        <f t="shared" si="400"/>
        <v>#DIV/0!</v>
      </c>
      <c r="U759" s="1" t="e">
        <f t="shared" si="401"/>
        <v>#DIV/0!</v>
      </c>
      <c r="V759">
        <f t="shared" si="402"/>
        <v>851.48</v>
      </c>
      <c r="W759">
        <f t="shared" si="403"/>
        <v>0</v>
      </c>
      <c r="X759">
        <f t="shared" si="404"/>
        <v>0</v>
      </c>
      <c r="Y759">
        <f t="shared" si="405"/>
        <v>0</v>
      </c>
      <c r="Z759">
        <f t="shared" si="406"/>
        <v>0</v>
      </c>
      <c r="AA759">
        <f t="shared" si="407"/>
        <v>0</v>
      </c>
      <c r="AC759">
        <f t="shared" si="408"/>
        <v>1045.25</v>
      </c>
      <c r="AD759">
        <f t="shared" si="409"/>
        <v>0</v>
      </c>
      <c r="AE759">
        <f t="shared" si="410"/>
        <v>0</v>
      </c>
      <c r="AF759">
        <f t="shared" si="411"/>
        <v>0</v>
      </c>
      <c r="AG759">
        <f t="shared" si="412"/>
        <v>0</v>
      </c>
      <c r="AH759">
        <f t="shared" si="413"/>
        <v>0</v>
      </c>
      <c r="AJ759">
        <f t="shared" si="414"/>
        <v>1239.01</v>
      </c>
      <c r="AK759">
        <f t="shared" si="415"/>
        <v>0</v>
      </c>
      <c r="AL759">
        <f t="shared" si="416"/>
        <v>0</v>
      </c>
      <c r="AM759">
        <f t="shared" si="417"/>
        <v>0</v>
      </c>
      <c r="AN759">
        <f t="shared" si="418"/>
        <v>0</v>
      </c>
      <c r="AO759">
        <f t="shared" si="419"/>
        <v>0</v>
      </c>
    </row>
    <row r="760" spans="1:41" x14ac:dyDescent="0.45">
      <c r="A760">
        <v>41.013910279999997</v>
      </c>
      <c r="B760">
        <v>121.7374645</v>
      </c>
      <c r="C760">
        <v>58.052211759999999</v>
      </c>
      <c r="D760">
        <v>60.591201779999999</v>
      </c>
      <c r="E760">
        <f t="shared" si="385"/>
        <v>58.052211759999999</v>
      </c>
      <c r="F760">
        <f t="shared" si="386"/>
        <v>0</v>
      </c>
      <c r="G760">
        <f t="shared" si="387"/>
        <v>0</v>
      </c>
      <c r="H760">
        <f t="shared" si="388"/>
        <v>0</v>
      </c>
      <c r="I760">
        <f t="shared" si="389"/>
        <v>0</v>
      </c>
      <c r="J760">
        <f t="shared" si="390"/>
        <v>0</v>
      </c>
      <c r="K760" s="1">
        <f t="shared" si="391"/>
        <v>0</v>
      </c>
      <c r="L760" s="1">
        <f t="shared" si="392"/>
        <v>0</v>
      </c>
      <c r="M760" s="1">
        <f t="shared" si="393"/>
        <v>0</v>
      </c>
      <c r="N760" s="1">
        <f t="shared" si="394"/>
        <v>0</v>
      </c>
      <c r="O760" s="1">
        <f t="shared" si="395"/>
        <v>0</v>
      </c>
      <c r="P760" s="1">
        <f t="shared" si="396"/>
        <v>23.952409778395388</v>
      </c>
      <c r="Q760" s="1" t="e">
        <f t="shared" si="397"/>
        <v>#DIV/0!</v>
      </c>
      <c r="R760" s="1" t="e">
        <f t="shared" si="398"/>
        <v>#DIV/0!</v>
      </c>
      <c r="S760" s="1" t="e">
        <f t="shared" si="399"/>
        <v>#DIV/0!</v>
      </c>
      <c r="T760" s="1" t="e">
        <f t="shared" si="400"/>
        <v>#DIV/0!</v>
      </c>
      <c r="U760" s="1" t="e">
        <f t="shared" si="401"/>
        <v>#DIV/0!</v>
      </c>
      <c r="V760">
        <f t="shared" si="402"/>
        <v>817.43331779785012</v>
      </c>
      <c r="W760">
        <f t="shared" si="403"/>
        <v>0</v>
      </c>
      <c r="X760">
        <f t="shared" si="404"/>
        <v>0</v>
      </c>
      <c r="Y760">
        <f t="shared" si="405"/>
        <v>0</v>
      </c>
      <c r="Z760">
        <f t="shared" si="406"/>
        <v>0</v>
      </c>
      <c r="AA760">
        <f t="shared" si="407"/>
        <v>0</v>
      </c>
      <c r="AC760">
        <f t="shared" si="408"/>
        <v>1003.3463911358156</v>
      </c>
      <c r="AD760">
        <f t="shared" si="409"/>
        <v>0</v>
      </c>
      <c r="AE760">
        <f t="shared" si="410"/>
        <v>0</v>
      </c>
      <c r="AF760">
        <f t="shared" si="411"/>
        <v>0</v>
      </c>
      <c r="AG760">
        <f t="shared" si="412"/>
        <v>0</v>
      </c>
      <c r="AH760">
        <f t="shared" si="413"/>
        <v>0</v>
      </c>
      <c r="AJ760">
        <f t="shared" si="414"/>
        <v>1189.249464473781</v>
      </c>
      <c r="AK760">
        <f t="shared" si="415"/>
        <v>0</v>
      </c>
      <c r="AL760">
        <f t="shared" si="416"/>
        <v>0</v>
      </c>
      <c r="AM760">
        <f t="shared" si="417"/>
        <v>0</v>
      </c>
      <c r="AN760">
        <f t="shared" si="418"/>
        <v>0</v>
      </c>
      <c r="AO760">
        <f t="shared" si="419"/>
        <v>0</v>
      </c>
    </row>
    <row r="761" spans="1:41" x14ac:dyDescent="0.45">
      <c r="A761">
        <v>41.014126619999999</v>
      </c>
      <c r="B761">
        <v>122.1044954</v>
      </c>
      <c r="C761">
        <v>22.600711820000001</v>
      </c>
      <c r="D761">
        <v>9.9223280000000003</v>
      </c>
      <c r="E761">
        <f t="shared" si="385"/>
        <v>9.9223280000000003</v>
      </c>
      <c r="F761">
        <f t="shared" si="386"/>
        <v>0</v>
      </c>
      <c r="G761">
        <f t="shared" si="387"/>
        <v>0</v>
      </c>
      <c r="H761">
        <f t="shared" si="388"/>
        <v>0</v>
      </c>
      <c r="I761">
        <f t="shared" si="389"/>
        <v>0</v>
      </c>
      <c r="J761">
        <f t="shared" si="390"/>
        <v>0</v>
      </c>
      <c r="K761" s="1">
        <f t="shared" si="391"/>
        <v>0</v>
      </c>
      <c r="L761" s="1">
        <f t="shared" si="392"/>
        <v>0</v>
      </c>
      <c r="M761" s="1">
        <f t="shared" si="393"/>
        <v>0</v>
      </c>
      <c r="N761" s="1">
        <f t="shared" si="394"/>
        <v>0</v>
      </c>
      <c r="O761" s="1">
        <f t="shared" si="395"/>
        <v>0</v>
      </c>
      <c r="P761" s="1">
        <f t="shared" si="396"/>
        <v>25</v>
      </c>
      <c r="Q761" s="1" t="e">
        <f t="shared" si="397"/>
        <v>#DIV/0!</v>
      </c>
      <c r="R761" s="1" t="e">
        <f t="shared" si="398"/>
        <v>#DIV/0!</v>
      </c>
      <c r="S761" s="1" t="e">
        <f t="shared" si="399"/>
        <v>#DIV/0!</v>
      </c>
      <c r="T761" s="1" t="e">
        <f t="shared" si="400"/>
        <v>#DIV/0!</v>
      </c>
      <c r="U761" s="1" t="e">
        <f t="shared" si="401"/>
        <v>#DIV/0!</v>
      </c>
      <c r="V761">
        <f t="shared" si="402"/>
        <v>851.48</v>
      </c>
      <c r="W761">
        <f t="shared" si="403"/>
        <v>0</v>
      </c>
      <c r="X761">
        <f t="shared" si="404"/>
        <v>0</v>
      </c>
      <c r="Y761">
        <f t="shared" si="405"/>
        <v>0</v>
      </c>
      <c r="Z761">
        <f t="shared" si="406"/>
        <v>0</v>
      </c>
      <c r="AA761">
        <f t="shared" si="407"/>
        <v>0</v>
      </c>
      <c r="AC761">
        <f t="shared" si="408"/>
        <v>1045.25</v>
      </c>
      <c r="AD761">
        <f t="shared" si="409"/>
        <v>0</v>
      </c>
      <c r="AE761">
        <f t="shared" si="410"/>
        <v>0</v>
      </c>
      <c r="AF761">
        <f t="shared" si="411"/>
        <v>0</v>
      </c>
      <c r="AG761">
        <f t="shared" si="412"/>
        <v>0</v>
      </c>
      <c r="AH761">
        <f t="shared" si="413"/>
        <v>0</v>
      </c>
      <c r="AJ761">
        <f t="shared" si="414"/>
        <v>1239.01</v>
      </c>
      <c r="AK761">
        <f t="shared" si="415"/>
        <v>0</v>
      </c>
      <c r="AL761">
        <f t="shared" si="416"/>
        <v>0</v>
      </c>
      <c r="AM761">
        <f t="shared" si="417"/>
        <v>0</v>
      </c>
      <c r="AN761">
        <f t="shared" si="418"/>
        <v>0</v>
      </c>
      <c r="AO761">
        <f t="shared" si="419"/>
        <v>0</v>
      </c>
    </row>
    <row r="762" spans="1:41" x14ac:dyDescent="0.45">
      <c r="A762">
        <v>41.021676720000002</v>
      </c>
      <c r="B762">
        <v>122.0449818</v>
      </c>
      <c r="C762">
        <v>22.600711820000001</v>
      </c>
      <c r="D762">
        <v>4.6236739199999999</v>
      </c>
      <c r="E762">
        <f t="shared" si="385"/>
        <v>4.6236739199999999</v>
      </c>
      <c r="F762">
        <f t="shared" si="386"/>
        <v>0</v>
      </c>
      <c r="G762">
        <f t="shared" si="387"/>
        <v>0</v>
      </c>
      <c r="H762">
        <f t="shared" si="388"/>
        <v>0</v>
      </c>
      <c r="I762">
        <f t="shared" si="389"/>
        <v>0</v>
      </c>
      <c r="J762">
        <f t="shared" si="390"/>
        <v>0</v>
      </c>
      <c r="K762" s="1">
        <f t="shared" si="391"/>
        <v>0</v>
      </c>
      <c r="L762" s="1">
        <f t="shared" si="392"/>
        <v>0</v>
      </c>
      <c r="M762" s="1">
        <f t="shared" si="393"/>
        <v>0</v>
      </c>
      <c r="N762" s="1">
        <f t="shared" si="394"/>
        <v>0</v>
      </c>
      <c r="O762" s="1">
        <f t="shared" si="395"/>
        <v>0</v>
      </c>
      <c r="P762" s="1">
        <f t="shared" si="396"/>
        <v>25</v>
      </c>
      <c r="Q762" s="1" t="e">
        <f t="shared" si="397"/>
        <v>#DIV/0!</v>
      </c>
      <c r="R762" s="1" t="e">
        <f t="shared" si="398"/>
        <v>#DIV/0!</v>
      </c>
      <c r="S762" s="1" t="e">
        <f t="shared" si="399"/>
        <v>#DIV/0!</v>
      </c>
      <c r="T762" s="1" t="e">
        <f t="shared" si="400"/>
        <v>#DIV/0!</v>
      </c>
      <c r="U762" s="1" t="e">
        <f t="shared" si="401"/>
        <v>#DIV/0!</v>
      </c>
      <c r="V762">
        <f t="shared" si="402"/>
        <v>851.48</v>
      </c>
      <c r="W762">
        <f t="shared" si="403"/>
        <v>0</v>
      </c>
      <c r="X762">
        <f t="shared" si="404"/>
        <v>0</v>
      </c>
      <c r="Y762">
        <f t="shared" si="405"/>
        <v>0</v>
      </c>
      <c r="Z762">
        <f t="shared" si="406"/>
        <v>0</v>
      </c>
      <c r="AA762">
        <f t="shared" si="407"/>
        <v>0</v>
      </c>
      <c r="AC762">
        <f t="shared" si="408"/>
        <v>1045.25</v>
      </c>
      <c r="AD762">
        <f t="shared" si="409"/>
        <v>0</v>
      </c>
      <c r="AE762">
        <f t="shared" si="410"/>
        <v>0</v>
      </c>
      <c r="AF762">
        <f t="shared" si="411"/>
        <v>0</v>
      </c>
      <c r="AG762">
        <f t="shared" si="412"/>
        <v>0</v>
      </c>
      <c r="AH762">
        <f t="shared" si="413"/>
        <v>0</v>
      </c>
      <c r="AJ762">
        <f t="shared" si="414"/>
        <v>1239.01</v>
      </c>
      <c r="AK762">
        <f t="shared" si="415"/>
        <v>0</v>
      </c>
      <c r="AL762">
        <f t="shared" si="416"/>
        <v>0</v>
      </c>
      <c r="AM762">
        <f t="shared" si="417"/>
        <v>0</v>
      </c>
      <c r="AN762">
        <f t="shared" si="418"/>
        <v>0</v>
      </c>
      <c r="AO762">
        <f t="shared" si="419"/>
        <v>0</v>
      </c>
    </row>
    <row r="763" spans="1:41" x14ac:dyDescent="0.45">
      <c r="A763">
        <v>41.028703479999997</v>
      </c>
      <c r="B763">
        <v>122.3525612</v>
      </c>
      <c r="C763">
        <v>58.052211759999999</v>
      </c>
      <c r="D763">
        <v>1.1750129499999999</v>
      </c>
      <c r="E763">
        <f t="shared" si="385"/>
        <v>1.1750129499999999</v>
      </c>
      <c r="F763">
        <f t="shared" si="386"/>
        <v>0</v>
      </c>
      <c r="G763">
        <f t="shared" si="387"/>
        <v>0</v>
      </c>
      <c r="H763">
        <f t="shared" si="388"/>
        <v>0</v>
      </c>
      <c r="I763">
        <f t="shared" si="389"/>
        <v>0</v>
      </c>
      <c r="J763">
        <f t="shared" si="390"/>
        <v>0</v>
      </c>
      <c r="K763" s="1">
        <f t="shared" si="391"/>
        <v>0</v>
      </c>
      <c r="L763" s="1">
        <f t="shared" si="392"/>
        <v>0</v>
      </c>
      <c r="M763" s="1">
        <f t="shared" si="393"/>
        <v>0</v>
      </c>
      <c r="N763" s="1">
        <f t="shared" si="394"/>
        <v>0</v>
      </c>
      <c r="O763" s="1">
        <f t="shared" si="395"/>
        <v>0</v>
      </c>
      <c r="P763" s="1">
        <f t="shared" si="396"/>
        <v>25</v>
      </c>
      <c r="Q763" s="1" t="e">
        <f t="shared" si="397"/>
        <v>#DIV/0!</v>
      </c>
      <c r="R763" s="1" t="e">
        <f t="shared" si="398"/>
        <v>#DIV/0!</v>
      </c>
      <c r="S763" s="1" t="e">
        <f t="shared" si="399"/>
        <v>#DIV/0!</v>
      </c>
      <c r="T763" s="1" t="e">
        <f t="shared" si="400"/>
        <v>#DIV/0!</v>
      </c>
      <c r="U763" s="1" t="e">
        <f t="shared" si="401"/>
        <v>#DIV/0!</v>
      </c>
      <c r="V763">
        <f t="shared" si="402"/>
        <v>851.48</v>
      </c>
      <c r="W763">
        <f t="shared" si="403"/>
        <v>0</v>
      </c>
      <c r="X763">
        <f t="shared" si="404"/>
        <v>0</v>
      </c>
      <c r="Y763">
        <f t="shared" si="405"/>
        <v>0</v>
      </c>
      <c r="Z763">
        <f t="shared" si="406"/>
        <v>0</v>
      </c>
      <c r="AA763">
        <f t="shared" si="407"/>
        <v>0</v>
      </c>
      <c r="AC763">
        <f t="shared" si="408"/>
        <v>1045.25</v>
      </c>
      <c r="AD763">
        <f t="shared" si="409"/>
        <v>0</v>
      </c>
      <c r="AE763">
        <f t="shared" si="410"/>
        <v>0</v>
      </c>
      <c r="AF763">
        <f t="shared" si="411"/>
        <v>0</v>
      </c>
      <c r="AG763">
        <f t="shared" si="412"/>
        <v>0</v>
      </c>
      <c r="AH763">
        <f t="shared" si="413"/>
        <v>0</v>
      </c>
      <c r="AJ763">
        <f t="shared" si="414"/>
        <v>1239.01</v>
      </c>
      <c r="AK763">
        <f t="shared" si="415"/>
        <v>0</v>
      </c>
      <c r="AL763">
        <f t="shared" si="416"/>
        <v>0</v>
      </c>
      <c r="AM763">
        <f t="shared" si="417"/>
        <v>0</v>
      </c>
      <c r="AN763">
        <f t="shared" si="418"/>
        <v>0</v>
      </c>
      <c r="AO763">
        <f t="shared" si="419"/>
        <v>0</v>
      </c>
    </row>
    <row r="764" spans="1:41" x14ac:dyDescent="0.45">
      <c r="A764">
        <v>41.044160189999999</v>
      </c>
      <c r="B764">
        <v>121.8663677</v>
      </c>
      <c r="C764">
        <v>58.052211759999999</v>
      </c>
      <c r="D764">
        <v>2.8880128900000002</v>
      </c>
      <c r="E764">
        <f t="shared" si="385"/>
        <v>2.8880128900000002</v>
      </c>
      <c r="F764">
        <f t="shared" si="386"/>
        <v>0</v>
      </c>
      <c r="G764">
        <f t="shared" si="387"/>
        <v>0</v>
      </c>
      <c r="H764">
        <f t="shared" si="388"/>
        <v>0</v>
      </c>
      <c r="I764">
        <f t="shared" si="389"/>
        <v>0</v>
      </c>
      <c r="J764">
        <f t="shared" si="390"/>
        <v>0</v>
      </c>
      <c r="K764" s="1">
        <f t="shared" si="391"/>
        <v>0</v>
      </c>
      <c r="L764" s="1">
        <f t="shared" si="392"/>
        <v>0</v>
      </c>
      <c r="M764" s="1">
        <f t="shared" si="393"/>
        <v>0</v>
      </c>
      <c r="N764" s="1">
        <f t="shared" si="394"/>
        <v>0</v>
      </c>
      <c r="O764" s="1">
        <f t="shared" si="395"/>
        <v>0</v>
      </c>
      <c r="P764" s="1">
        <f t="shared" si="396"/>
        <v>25</v>
      </c>
      <c r="Q764" s="1" t="e">
        <f t="shared" si="397"/>
        <v>#DIV/0!</v>
      </c>
      <c r="R764" s="1" t="e">
        <f t="shared" si="398"/>
        <v>#DIV/0!</v>
      </c>
      <c r="S764" s="1" t="e">
        <f t="shared" si="399"/>
        <v>#DIV/0!</v>
      </c>
      <c r="T764" s="1" t="e">
        <f t="shared" si="400"/>
        <v>#DIV/0!</v>
      </c>
      <c r="U764" s="1" t="e">
        <f t="shared" si="401"/>
        <v>#DIV/0!</v>
      </c>
      <c r="V764">
        <f t="shared" si="402"/>
        <v>851.48</v>
      </c>
      <c r="W764">
        <f t="shared" si="403"/>
        <v>0</v>
      </c>
      <c r="X764">
        <f t="shared" si="404"/>
        <v>0</v>
      </c>
      <c r="Y764">
        <f t="shared" si="405"/>
        <v>0</v>
      </c>
      <c r="Z764">
        <f t="shared" si="406"/>
        <v>0</v>
      </c>
      <c r="AA764">
        <f t="shared" si="407"/>
        <v>0</v>
      </c>
      <c r="AC764">
        <f t="shared" si="408"/>
        <v>1045.25</v>
      </c>
      <c r="AD764">
        <f t="shared" si="409"/>
        <v>0</v>
      </c>
      <c r="AE764">
        <f t="shared" si="410"/>
        <v>0</v>
      </c>
      <c r="AF764">
        <f t="shared" si="411"/>
        <v>0</v>
      </c>
      <c r="AG764">
        <f t="shared" si="412"/>
        <v>0</v>
      </c>
      <c r="AH764">
        <f t="shared" si="413"/>
        <v>0</v>
      </c>
      <c r="AJ764">
        <f t="shared" si="414"/>
        <v>1239.01</v>
      </c>
      <c r="AK764">
        <f t="shared" si="415"/>
        <v>0</v>
      </c>
      <c r="AL764">
        <f t="shared" si="416"/>
        <v>0</v>
      </c>
      <c r="AM764">
        <f t="shared" si="417"/>
        <v>0</v>
      </c>
      <c r="AN764">
        <f t="shared" si="418"/>
        <v>0</v>
      </c>
      <c r="AO764">
        <f t="shared" si="419"/>
        <v>0</v>
      </c>
    </row>
    <row r="765" spans="1:41" x14ac:dyDescent="0.45">
      <c r="A765">
        <v>41.066057059999999</v>
      </c>
      <c r="B765">
        <v>122.42223079999999</v>
      </c>
      <c r="C765">
        <v>17.020019529999999</v>
      </c>
      <c r="D765">
        <v>1.5397969499999999</v>
      </c>
      <c r="E765">
        <f t="shared" si="385"/>
        <v>1.5397969499999999</v>
      </c>
      <c r="F765">
        <f t="shared" si="386"/>
        <v>0</v>
      </c>
      <c r="G765">
        <f t="shared" si="387"/>
        <v>0</v>
      </c>
      <c r="H765">
        <f t="shared" si="388"/>
        <v>0</v>
      </c>
      <c r="I765">
        <f t="shared" si="389"/>
        <v>0</v>
      </c>
      <c r="J765">
        <f t="shared" si="390"/>
        <v>0</v>
      </c>
      <c r="K765" s="1">
        <f t="shared" si="391"/>
        <v>0</v>
      </c>
      <c r="L765" s="1">
        <f t="shared" si="392"/>
        <v>0</v>
      </c>
      <c r="M765" s="1">
        <f t="shared" si="393"/>
        <v>0</v>
      </c>
      <c r="N765" s="1">
        <f t="shared" si="394"/>
        <v>0</v>
      </c>
      <c r="O765" s="1">
        <f t="shared" si="395"/>
        <v>0</v>
      </c>
      <c r="P765" s="1">
        <f t="shared" si="396"/>
        <v>25</v>
      </c>
      <c r="Q765" s="1" t="e">
        <f t="shared" si="397"/>
        <v>#DIV/0!</v>
      </c>
      <c r="R765" s="1" t="e">
        <f t="shared" si="398"/>
        <v>#DIV/0!</v>
      </c>
      <c r="S765" s="1" t="e">
        <f t="shared" si="399"/>
        <v>#DIV/0!</v>
      </c>
      <c r="T765" s="1" t="e">
        <f t="shared" si="400"/>
        <v>#DIV/0!</v>
      </c>
      <c r="U765" s="1" t="e">
        <f t="shared" si="401"/>
        <v>#DIV/0!</v>
      </c>
      <c r="V765">
        <f t="shared" si="402"/>
        <v>851.48</v>
      </c>
      <c r="W765">
        <f t="shared" si="403"/>
        <v>0</v>
      </c>
      <c r="X765">
        <f t="shared" si="404"/>
        <v>0</v>
      </c>
      <c r="Y765">
        <f t="shared" si="405"/>
        <v>0</v>
      </c>
      <c r="Z765">
        <f t="shared" si="406"/>
        <v>0</v>
      </c>
      <c r="AA765">
        <f t="shared" si="407"/>
        <v>0</v>
      </c>
      <c r="AC765">
        <f t="shared" si="408"/>
        <v>1045.25</v>
      </c>
      <c r="AD765">
        <f t="shared" si="409"/>
        <v>0</v>
      </c>
      <c r="AE765">
        <f t="shared" si="410"/>
        <v>0</v>
      </c>
      <c r="AF765">
        <f t="shared" si="411"/>
        <v>0</v>
      </c>
      <c r="AG765">
        <f t="shared" si="412"/>
        <v>0</v>
      </c>
      <c r="AH765">
        <f t="shared" si="413"/>
        <v>0</v>
      </c>
      <c r="AJ765">
        <f t="shared" si="414"/>
        <v>1239.01</v>
      </c>
      <c r="AK765">
        <f t="shared" si="415"/>
        <v>0</v>
      </c>
      <c r="AL765">
        <f t="shared" si="416"/>
        <v>0</v>
      </c>
      <c r="AM765">
        <f t="shared" si="417"/>
        <v>0</v>
      </c>
      <c r="AN765">
        <f t="shared" si="418"/>
        <v>0</v>
      </c>
      <c r="AO765">
        <f t="shared" si="419"/>
        <v>0</v>
      </c>
    </row>
    <row r="766" spans="1:41" x14ac:dyDescent="0.45">
      <c r="A766">
        <v>41.118800899999997</v>
      </c>
      <c r="B766">
        <v>122.3728673</v>
      </c>
      <c r="C766">
        <v>58.052211759999999</v>
      </c>
      <c r="D766">
        <v>2.87428689</v>
      </c>
      <c r="E766">
        <f t="shared" si="385"/>
        <v>2.87428689</v>
      </c>
      <c r="F766">
        <f t="shared" si="386"/>
        <v>0</v>
      </c>
      <c r="G766">
        <f t="shared" si="387"/>
        <v>0</v>
      </c>
      <c r="H766">
        <f t="shared" si="388"/>
        <v>0</v>
      </c>
      <c r="I766">
        <f t="shared" si="389"/>
        <v>0</v>
      </c>
      <c r="J766">
        <f t="shared" si="390"/>
        <v>0</v>
      </c>
      <c r="K766" s="1">
        <f t="shared" si="391"/>
        <v>0</v>
      </c>
      <c r="L766" s="1">
        <f t="shared" si="392"/>
        <v>0</v>
      </c>
      <c r="M766" s="1">
        <f t="shared" si="393"/>
        <v>0</v>
      </c>
      <c r="N766" s="1">
        <f t="shared" si="394"/>
        <v>0</v>
      </c>
      <c r="O766" s="1">
        <f t="shared" si="395"/>
        <v>0</v>
      </c>
      <c r="P766" s="1">
        <f t="shared" si="396"/>
        <v>25</v>
      </c>
      <c r="Q766" s="1" t="e">
        <f t="shared" si="397"/>
        <v>#DIV/0!</v>
      </c>
      <c r="R766" s="1" t="e">
        <f t="shared" si="398"/>
        <v>#DIV/0!</v>
      </c>
      <c r="S766" s="1" t="e">
        <f t="shared" si="399"/>
        <v>#DIV/0!</v>
      </c>
      <c r="T766" s="1" t="e">
        <f t="shared" si="400"/>
        <v>#DIV/0!</v>
      </c>
      <c r="U766" s="1" t="e">
        <f t="shared" si="401"/>
        <v>#DIV/0!</v>
      </c>
      <c r="V766">
        <f t="shared" si="402"/>
        <v>851.48</v>
      </c>
      <c r="W766">
        <f t="shared" si="403"/>
        <v>0</v>
      </c>
      <c r="X766">
        <f t="shared" si="404"/>
        <v>0</v>
      </c>
      <c r="Y766">
        <f t="shared" si="405"/>
        <v>0</v>
      </c>
      <c r="Z766">
        <f t="shared" si="406"/>
        <v>0</v>
      </c>
      <c r="AA766">
        <f t="shared" si="407"/>
        <v>0</v>
      </c>
      <c r="AC766">
        <f t="shared" si="408"/>
        <v>1045.25</v>
      </c>
      <c r="AD766">
        <f t="shared" si="409"/>
        <v>0</v>
      </c>
      <c r="AE766">
        <f t="shared" si="410"/>
        <v>0</v>
      </c>
      <c r="AF766">
        <f t="shared" si="411"/>
        <v>0</v>
      </c>
      <c r="AG766">
        <f t="shared" si="412"/>
        <v>0</v>
      </c>
      <c r="AH766">
        <f t="shared" si="413"/>
        <v>0</v>
      </c>
      <c r="AJ766">
        <f t="shared" si="414"/>
        <v>1239.01</v>
      </c>
      <c r="AK766">
        <f t="shared" si="415"/>
        <v>0</v>
      </c>
      <c r="AL766">
        <f t="shared" si="416"/>
        <v>0</v>
      </c>
      <c r="AM766">
        <f t="shared" si="417"/>
        <v>0</v>
      </c>
      <c r="AN766">
        <f t="shared" si="418"/>
        <v>0</v>
      </c>
      <c r="AO766">
        <f t="shared" si="419"/>
        <v>0</v>
      </c>
    </row>
    <row r="767" spans="1:41" x14ac:dyDescent="0.45">
      <c r="A767">
        <v>41.134331299999999</v>
      </c>
      <c r="B767">
        <v>121.8860798</v>
      </c>
      <c r="C767">
        <v>58.052211759999999</v>
      </c>
      <c r="D767">
        <v>55.749309539999999</v>
      </c>
      <c r="E767">
        <f t="shared" si="385"/>
        <v>55.749309539999999</v>
      </c>
      <c r="F767">
        <f t="shared" si="386"/>
        <v>0</v>
      </c>
      <c r="G767">
        <f t="shared" si="387"/>
        <v>0</v>
      </c>
      <c r="H767">
        <f t="shared" si="388"/>
        <v>0</v>
      </c>
      <c r="I767">
        <f t="shared" si="389"/>
        <v>0</v>
      </c>
      <c r="J767">
        <f t="shared" si="390"/>
        <v>0</v>
      </c>
      <c r="K767" s="1">
        <f t="shared" si="391"/>
        <v>0</v>
      </c>
      <c r="L767" s="1">
        <f t="shared" si="392"/>
        <v>0</v>
      </c>
      <c r="M767" s="1">
        <f t="shared" si="393"/>
        <v>0</v>
      </c>
      <c r="N767" s="1">
        <f t="shared" si="394"/>
        <v>0</v>
      </c>
      <c r="O767" s="1">
        <f t="shared" si="395"/>
        <v>0</v>
      </c>
      <c r="P767" s="1">
        <f t="shared" si="396"/>
        <v>24.999999999999996</v>
      </c>
      <c r="Q767" s="1" t="e">
        <f t="shared" si="397"/>
        <v>#DIV/0!</v>
      </c>
      <c r="R767" s="1" t="e">
        <f t="shared" si="398"/>
        <v>#DIV/0!</v>
      </c>
      <c r="S767" s="1" t="e">
        <f t="shared" si="399"/>
        <v>#DIV/0!</v>
      </c>
      <c r="T767" s="1" t="e">
        <f t="shared" si="400"/>
        <v>#DIV/0!</v>
      </c>
      <c r="U767" s="1" t="e">
        <f t="shared" si="401"/>
        <v>#DIV/0!</v>
      </c>
      <c r="V767">
        <f t="shared" si="402"/>
        <v>851.4799999999999</v>
      </c>
      <c r="W767">
        <f t="shared" si="403"/>
        <v>0</v>
      </c>
      <c r="X767">
        <f t="shared" si="404"/>
        <v>0</v>
      </c>
      <c r="Y767">
        <f t="shared" si="405"/>
        <v>0</v>
      </c>
      <c r="Z767">
        <f t="shared" si="406"/>
        <v>0</v>
      </c>
      <c r="AA767">
        <f t="shared" si="407"/>
        <v>0</v>
      </c>
      <c r="AC767">
        <f t="shared" si="408"/>
        <v>1045.25</v>
      </c>
      <c r="AD767">
        <f t="shared" si="409"/>
        <v>0</v>
      </c>
      <c r="AE767">
        <f t="shared" si="410"/>
        <v>0</v>
      </c>
      <c r="AF767">
        <f t="shared" si="411"/>
        <v>0</v>
      </c>
      <c r="AG767">
        <f t="shared" si="412"/>
        <v>0</v>
      </c>
      <c r="AH767">
        <f t="shared" si="413"/>
        <v>0</v>
      </c>
      <c r="AJ767">
        <f t="shared" si="414"/>
        <v>1239.0099999999998</v>
      </c>
      <c r="AK767">
        <f t="shared" si="415"/>
        <v>0</v>
      </c>
      <c r="AL767">
        <f t="shared" si="416"/>
        <v>0</v>
      </c>
      <c r="AM767">
        <f t="shared" si="417"/>
        <v>0</v>
      </c>
      <c r="AN767">
        <f t="shared" si="418"/>
        <v>0</v>
      </c>
      <c r="AO767">
        <f t="shared" si="419"/>
        <v>0</v>
      </c>
    </row>
    <row r="768" spans="1:41" x14ac:dyDescent="0.45">
      <c r="A768">
        <v>41.149197229999999</v>
      </c>
      <c r="B768">
        <v>121.76680039999999</v>
      </c>
      <c r="C768">
        <v>58.052211759999999</v>
      </c>
      <c r="D768">
        <v>0.83929503000000005</v>
      </c>
      <c r="E768">
        <f t="shared" si="385"/>
        <v>0.83929503000000005</v>
      </c>
      <c r="F768">
        <f t="shared" si="386"/>
        <v>0</v>
      </c>
      <c r="G768">
        <f t="shared" si="387"/>
        <v>0</v>
      </c>
      <c r="H768">
        <f t="shared" si="388"/>
        <v>0</v>
      </c>
      <c r="I768">
        <f t="shared" si="389"/>
        <v>0</v>
      </c>
      <c r="J768">
        <f t="shared" si="390"/>
        <v>0</v>
      </c>
      <c r="K768" s="1">
        <f t="shared" si="391"/>
        <v>0</v>
      </c>
      <c r="L768" s="1">
        <f t="shared" si="392"/>
        <v>0</v>
      </c>
      <c r="M768" s="1">
        <f t="shared" si="393"/>
        <v>0</v>
      </c>
      <c r="N768" s="1">
        <f t="shared" si="394"/>
        <v>0</v>
      </c>
      <c r="O768" s="1">
        <f t="shared" si="395"/>
        <v>0</v>
      </c>
      <c r="P768" s="1">
        <f t="shared" si="396"/>
        <v>25</v>
      </c>
      <c r="Q768" s="1" t="e">
        <f t="shared" si="397"/>
        <v>#DIV/0!</v>
      </c>
      <c r="R768" s="1" t="e">
        <f t="shared" si="398"/>
        <v>#DIV/0!</v>
      </c>
      <c r="S768" s="1" t="e">
        <f t="shared" si="399"/>
        <v>#DIV/0!</v>
      </c>
      <c r="T768" s="1" t="e">
        <f t="shared" si="400"/>
        <v>#DIV/0!</v>
      </c>
      <c r="U768" s="1" t="e">
        <f t="shared" si="401"/>
        <v>#DIV/0!</v>
      </c>
      <c r="V768">
        <f t="shared" si="402"/>
        <v>851.48</v>
      </c>
      <c r="W768">
        <f t="shared" si="403"/>
        <v>0</v>
      </c>
      <c r="X768">
        <f t="shared" si="404"/>
        <v>0</v>
      </c>
      <c r="Y768">
        <f t="shared" si="405"/>
        <v>0</v>
      </c>
      <c r="Z768">
        <f t="shared" si="406"/>
        <v>0</v>
      </c>
      <c r="AA768">
        <f t="shared" si="407"/>
        <v>0</v>
      </c>
      <c r="AC768">
        <f t="shared" si="408"/>
        <v>1045.25</v>
      </c>
      <c r="AD768">
        <f t="shared" si="409"/>
        <v>0</v>
      </c>
      <c r="AE768">
        <f t="shared" si="410"/>
        <v>0</v>
      </c>
      <c r="AF768">
        <f t="shared" si="411"/>
        <v>0</v>
      </c>
      <c r="AG768">
        <f t="shared" si="412"/>
        <v>0</v>
      </c>
      <c r="AH768">
        <f t="shared" si="413"/>
        <v>0</v>
      </c>
      <c r="AJ768">
        <f t="shared" si="414"/>
        <v>1239.01</v>
      </c>
      <c r="AK768">
        <f t="shared" si="415"/>
        <v>0</v>
      </c>
      <c r="AL768">
        <f t="shared" si="416"/>
        <v>0</v>
      </c>
      <c r="AM768">
        <f t="shared" si="417"/>
        <v>0</v>
      </c>
      <c r="AN768">
        <f t="shared" si="418"/>
        <v>0</v>
      </c>
      <c r="AO768">
        <f t="shared" si="419"/>
        <v>0</v>
      </c>
    </row>
    <row r="769" spans="1:41" x14ac:dyDescent="0.45">
      <c r="A769">
        <v>41.156137700000002</v>
      </c>
      <c r="B769">
        <v>122.442633</v>
      </c>
      <c r="C769">
        <v>58.052211759999999</v>
      </c>
      <c r="D769">
        <v>1.20201194</v>
      </c>
      <c r="E769">
        <f t="shared" si="385"/>
        <v>1.20201194</v>
      </c>
      <c r="F769">
        <f t="shared" si="386"/>
        <v>0</v>
      </c>
      <c r="G769">
        <f t="shared" si="387"/>
        <v>0</v>
      </c>
      <c r="H769">
        <f t="shared" si="388"/>
        <v>0</v>
      </c>
      <c r="I769">
        <f t="shared" si="389"/>
        <v>0</v>
      </c>
      <c r="J769">
        <f t="shared" si="390"/>
        <v>0</v>
      </c>
      <c r="K769" s="1">
        <f t="shared" si="391"/>
        <v>0</v>
      </c>
      <c r="L769" s="1">
        <f t="shared" si="392"/>
        <v>0</v>
      </c>
      <c r="M769" s="1">
        <f t="shared" si="393"/>
        <v>0</v>
      </c>
      <c r="N769" s="1">
        <f t="shared" si="394"/>
        <v>0</v>
      </c>
      <c r="O769" s="1">
        <f t="shared" si="395"/>
        <v>0</v>
      </c>
      <c r="P769" s="1">
        <f t="shared" si="396"/>
        <v>25</v>
      </c>
      <c r="Q769" s="1" t="e">
        <f t="shared" si="397"/>
        <v>#DIV/0!</v>
      </c>
      <c r="R769" s="1" t="e">
        <f t="shared" si="398"/>
        <v>#DIV/0!</v>
      </c>
      <c r="S769" s="1" t="e">
        <f t="shared" si="399"/>
        <v>#DIV/0!</v>
      </c>
      <c r="T769" s="1" t="e">
        <f t="shared" si="400"/>
        <v>#DIV/0!</v>
      </c>
      <c r="U769" s="1" t="e">
        <f t="shared" si="401"/>
        <v>#DIV/0!</v>
      </c>
      <c r="V769">
        <f t="shared" si="402"/>
        <v>851.48</v>
      </c>
      <c r="W769">
        <f t="shared" si="403"/>
        <v>0</v>
      </c>
      <c r="X769">
        <f t="shared" si="404"/>
        <v>0</v>
      </c>
      <c r="Y769">
        <f t="shared" si="405"/>
        <v>0</v>
      </c>
      <c r="Z769">
        <f t="shared" si="406"/>
        <v>0</v>
      </c>
      <c r="AA769">
        <f t="shared" si="407"/>
        <v>0</v>
      </c>
      <c r="AC769">
        <f t="shared" si="408"/>
        <v>1045.25</v>
      </c>
      <c r="AD769">
        <f t="shared" si="409"/>
        <v>0</v>
      </c>
      <c r="AE769">
        <f t="shared" si="410"/>
        <v>0</v>
      </c>
      <c r="AF769">
        <f t="shared" si="411"/>
        <v>0</v>
      </c>
      <c r="AG769">
        <f t="shared" si="412"/>
        <v>0</v>
      </c>
      <c r="AH769">
        <f t="shared" si="413"/>
        <v>0</v>
      </c>
      <c r="AJ769">
        <f t="shared" si="414"/>
        <v>1239.01</v>
      </c>
      <c r="AK769">
        <f t="shared" si="415"/>
        <v>0</v>
      </c>
      <c r="AL769">
        <f t="shared" si="416"/>
        <v>0</v>
      </c>
      <c r="AM769">
        <f t="shared" si="417"/>
        <v>0</v>
      </c>
      <c r="AN769">
        <f t="shared" si="418"/>
        <v>0</v>
      </c>
      <c r="AO769">
        <f t="shared" si="419"/>
        <v>0</v>
      </c>
    </row>
    <row r="770" spans="1:41" x14ac:dyDescent="0.45">
      <c r="A770">
        <v>41.156890670000003</v>
      </c>
      <c r="B770">
        <v>122.0748889</v>
      </c>
      <c r="C770">
        <v>26.0837574</v>
      </c>
      <c r="D770">
        <v>34.592369079999997</v>
      </c>
      <c r="E770">
        <f t="shared" si="385"/>
        <v>26.0837574</v>
      </c>
      <c r="F770">
        <f t="shared" si="386"/>
        <v>0</v>
      </c>
      <c r="G770">
        <f t="shared" si="387"/>
        <v>0</v>
      </c>
      <c r="H770">
        <f t="shared" si="388"/>
        <v>0</v>
      </c>
      <c r="I770">
        <f t="shared" si="389"/>
        <v>0</v>
      </c>
      <c r="J770">
        <f t="shared" si="390"/>
        <v>0</v>
      </c>
      <c r="K770" s="1">
        <f t="shared" si="391"/>
        <v>0</v>
      </c>
      <c r="L770" s="1">
        <f t="shared" si="392"/>
        <v>0</v>
      </c>
      <c r="M770" s="1">
        <f t="shared" si="393"/>
        <v>0</v>
      </c>
      <c r="N770" s="1">
        <f t="shared" si="394"/>
        <v>0</v>
      </c>
      <c r="O770" s="1">
        <f t="shared" si="395"/>
        <v>0</v>
      </c>
      <c r="P770" s="1">
        <f t="shared" si="396"/>
        <v>18.850803004903646</v>
      </c>
      <c r="Q770" s="1" t="e">
        <f t="shared" si="397"/>
        <v>#DIV/0!</v>
      </c>
      <c r="R770" s="1" t="e">
        <f t="shared" si="398"/>
        <v>#DIV/0!</v>
      </c>
      <c r="S770" s="1" t="e">
        <f t="shared" si="399"/>
        <v>#DIV/0!</v>
      </c>
      <c r="T770" s="1" t="e">
        <f t="shared" si="400"/>
        <v>#DIV/0!</v>
      </c>
      <c r="U770" s="1" t="e">
        <f t="shared" si="401"/>
        <v>#DIV/0!</v>
      </c>
      <c r="V770">
        <f t="shared" si="402"/>
        <v>651.63109765936849</v>
      </c>
      <c r="W770">
        <f t="shared" si="403"/>
        <v>0</v>
      </c>
      <c r="X770">
        <f t="shared" si="404"/>
        <v>0</v>
      </c>
      <c r="Y770">
        <f t="shared" si="405"/>
        <v>0</v>
      </c>
      <c r="Z770">
        <f t="shared" si="406"/>
        <v>0</v>
      </c>
      <c r="AA770">
        <f t="shared" si="407"/>
        <v>0</v>
      </c>
      <c r="AC770">
        <f t="shared" si="408"/>
        <v>799.2821201961458</v>
      </c>
      <c r="AD770">
        <f t="shared" si="409"/>
        <v>0</v>
      </c>
      <c r="AE770">
        <f t="shared" si="410"/>
        <v>0</v>
      </c>
      <c r="AF770">
        <f t="shared" si="411"/>
        <v>0</v>
      </c>
      <c r="AG770">
        <f t="shared" si="412"/>
        <v>0</v>
      </c>
      <c r="AH770">
        <f t="shared" si="413"/>
        <v>0</v>
      </c>
      <c r="AJ770">
        <f t="shared" si="414"/>
        <v>946.92314273292322</v>
      </c>
      <c r="AK770">
        <f t="shared" si="415"/>
        <v>0</v>
      </c>
      <c r="AL770">
        <f t="shared" si="416"/>
        <v>0</v>
      </c>
      <c r="AM770">
        <f t="shared" si="417"/>
        <v>0</v>
      </c>
      <c r="AN770">
        <f t="shared" si="418"/>
        <v>0</v>
      </c>
      <c r="AO770">
        <f t="shared" si="419"/>
        <v>0</v>
      </c>
    </row>
    <row r="771" spans="1:41" x14ac:dyDescent="0.45">
      <c r="A771">
        <v>41.186792920000002</v>
      </c>
      <c r="B771">
        <v>122.20418239999999</v>
      </c>
      <c r="C771">
        <v>26.0837574</v>
      </c>
      <c r="D771">
        <v>13.193712229999999</v>
      </c>
      <c r="E771">
        <f t="shared" ref="E771:E834" si="420">MIN(C771,D771)</f>
        <v>13.193712229999999</v>
      </c>
      <c r="F771">
        <f t="shared" ref="F771:F834" si="421">MAX(0,(D771-(C771*(2030-2025))))</f>
        <v>0</v>
      </c>
      <c r="G771">
        <f t="shared" ref="G771:G834" si="422">MAX(0,(D771-(C771*(2035-2025))))</f>
        <v>0</v>
      </c>
      <c r="H771">
        <f t="shared" ref="H771:H834" si="423">MAX(0,(D771-(C771*(2040-2025))))</f>
        <v>0</v>
      </c>
      <c r="I771">
        <f t="shared" ref="I771:I834" si="424">MAX(0,(D771-(C771*(2045-2025))))</f>
        <v>0</v>
      </c>
      <c r="J771">
        <f t="shared" ref="J771:J834" si="425">MAX(0,(D771-(C771*(2050-2025))))</f>
        <v>0</v>
      </c>
      <c r="K771" s="1">
        <f t="shared" ref="K771:K834" si="426">MIN(E771,F771)</f>
        <v>0</v>
      </c>
      <c r="L771" s="1">
        <f t="shared" ref="L771:L834" si="427">MIN(E771,G771)</f>
        <v>0</v>
      </c>
      <c r="M771" s="1">
        <f t="shared" ref="M771:M834" si="428">MIN(E771,H771)</f>
        <v>0</v>
      </c>
      <c r="N771" s="1">
        <f t="shared" ref="N771:N834" si="429">MIN(E771,I771)</f>
        <v>0</v>
      </c>
      <c r="O771" s="1">
        <f t="shared" ref="O771:O834" si="430">MIN(E771,J771)</f>
        <v>0</v>
      </c>
      <c r="P771" s="1">
        <f t="shared" ref="P771:P834" si="431">MAX(1,((25*E771)/D771))</f>
        <v>25</v>
      </c>
      <c r="Q771" s="1" t="e">
        <f t="shared" ref="Q771:Q834" si="432">MAX(1, ((25*K771)/F771))</f>
        <v>#DIV/0!</v>
      </c>
      <c r="R771" s="1" t="e">
        <f t="shared" ref="R771:R834" si="433">MAX(1, ((25*L771)/G771))</f>
        <v>#DIV/0!</v>
      </c>
      <c r="S771" s="1" t="e">
        <f t="shared" ref="S771:S834" si="434">MAX(1, ((25*M771)/H771))</f>
        <v>#DIV/0!</v>
      </c>
      <c r="T771" s="1" t="e">
        <f t="shared" ref="T771:T834" si="435">MAX(1, ((25*N771)/I771))</f>
        <v>#DIV/0!</v>
      </c>
      <c r="U771" s="1" t="e">
        <f t="shared" ref="U771:U834" si="436">MAX(1, ((25*O771)/J771))</f>
        <v>#DIV/0!</v>
      </c>
      <c r="V771">
        <f t="shared" ref="V771:V834" si="437">(32.02+6.96+(0.13*250*P771))</f>
        <v>851.48</v>
      </c>
      <c r="W771">
        <f t="shared" ref="W771:W834" si="438">IF(F771&gt;0,(32.72+6.27+(0.15*250*Q771)),F771)</f>
        <v>0</v>
      </c>
      <c r="X771">
        <f t="shared" ref="X771:X834" si="439">IF(G771&gt;0,(22.27+4.87+(0.1*250*S771)),G771)</f>
        <v>0</v>
      </c>
      <c r="Y771">
        <f t="shared" ref="Y771:Y834" si="440">IF(H771&gt;0,(13.92+4.18+(0.08*250*S771)),H771)</f>
        <v>0</v>
      </c>
      <c r="Z771">
        <f t="shared" ref="Z771:Z834" si="441">IF(I771&gt;0,(11.14+3.48+(0.07*250*T771)),I771)</f>
        <v>0</v>
      </c>
      <c r="AA771">
        <f t="shared" ref="AA771:AA834" si="442">IF(J771&gt;0,(9.75+2.78+(0.07*250*U771)),J771)</f>
        <v>0</v>
      </c>
      <c r="AC771">
        <f t="shared" ref="AC771:AC834" si="443">IF(D771&gt;0,(37.59+7.66+(0.16*250*P771)),D771)</f>
        <v>1045.25</v>
      </c>
      <c r="AD771">
        <f t="shared" ref="AD771:AD834" si="444">IF(F771&gt;0,(32.72+6.27+(0.15*250*Q771)),F771)</f>
        <v>0</v>
      </c>
      <c r="AE771">
        <f t="shared" ref="AE771:AE834" si="445">IF(G771&gt;0,(26.45+5.22+(0.13*250*R771)),G771)</f>
        <v>0</v>
      </c>
      <c r="AF771">
        <f t="shared" ref="AF771:AF834" si="446">IF(H771&gt;0,(15.31+4.53+(0.12*250*S771)),H771)</f>
        <v>0</v>
      </c>
      <c r="AG771">
        <f t="shared" ref="AG771:AG834" si="447">IF(I771&gt;0,(16.01+3.83+(0.11*250+T771)),I771)</f>
        <v>0</v>
      </c>
      <c r="AH771">
        <f t="shared" ref="AH771:AH834" si="448">IF(J771,(13.23+3.13+(0.1*250*U771)),J771)</f>
        <v>0</v>
      </c>
      <c r="AJ771">
        <f t="shared" ref="AJ771:AJ834" si="449">(43.16+8.35+(0.19*250*P771))</f>
        <v>1239.01</v>
      </c>
      <c r="AK771">
        <f t="shared" ref="AK771:AK834" si="450">IF(F771&gt;0,(38.98+6.96+(0.18*250*Q771)),F771)</f>
        <v>0</v>
      </c>
      <c r="AL771">
        <f t="shared" ref="AL771:AL834" si="451">IF(G771&gt;0,(30.63+5.57+(0.17*250*R771)),G771)</f>
        <v>0</v>
      </c>
      <c r="AM771">
        <f t="shared" ref="AM771:AM834" si="452">IF(H771&gt;0,(25.06+4.87+(0.15*250*S771)),H771)</f>
        <v>0</v>
      </c>
      <c r="AN771">
        <f t="shared" ref="AN771:AN834" si="453">IF(I771&gt;0,(20.88+4.18+(0.15*250*T771)),I771)</f>
        <v>0</v>
      </c>
      <c r="AO771">
        <f t="shared" ref="AO771:AO834" si="454">IF(J771,(16.71+3.48+(0.14*250*U771)),J771)</f>
        <v>0</v>
      </c>
    </row>
    <row r="772" spans="1:41" x14ac:dyDescent="0.45">
      <c r="A772">
        <v>41.238459540000001</v>
      </c>
      <c r="B772">
        <v>122.5227381</v>
      </c>
      <c r="C772">
        <v>17.020019529999999</v>
      </c>
      <c r="D772">
        <v>4.1065058700000003</v>
      </c>
      <c r="E772">
        <f t="shared" si="420"/>
        <v>4.1065058700000003</v>
      </c>
      <c r="F772">
        <f t="shared" si="421"/>
        <v>0</v>
      </c>
      <c r="G772">
        <f t="shared" si="422"/>
        <v>0</v>
      </c>
      <c r="H772">
        <f t="shared" si="423"/>
        <v>0</v>
      </c>
      <c r="I772">
        <f t="shared" si="424"/>
        <v>0</v>
      </c>
      <c r="J772">
        <f t="shared" si="425"/>
        <v>0</v>
      </c>
      <c r="K772" s="1">
        <f t="shared" si="426"/>
        <v>0</v>
      </c>
      <c r="L772" s="1">
        <f t="shared" si="427"/>
        <v>0</v>
      </c>
      <c r="M772" s="1">
        <f t="shared" si="428"/>
        <v>0</v>
      </c>
      <c r="N772" s="1">
        <f t="shared" si="429"/>
        <v>0</v>
      </c>
      <c r="O772" s="1">
        <f t="shared" si="430"/>
        <v>0</v>
      </c>
      <c r="P772" s="1">
        <f t="shared" si="431"/>
        <v>25</v>
      </c>
      <c r="Q772" s="1" t="e">
        <f t="shared" si="432"/>
        <v>#DIV/0!</v>
      </c>
      <c r="R772" s="1" t="e">
        <f t="shared" si="433"/>
        <v>#DIV/0!</v>
      </c>
      <c r="S772" s="1" t="e">
        <f t="shared" si="434"/>
        <v>#DIV/0!</v>
      </c>
      <c r="T772" s="1" t="e">
        <f t="shared" si="435"/>
        <v>#DIV/0!</v>
      </c>
      <c r="U772" s="1" t="e">
        <f t="shared" si="436"/>
        <v>#DIV/0!</v>
      </c>
      <c r="V772">
        <f t="shared" si="437"/>
        <v>851.48</v>
      </c>
      <c r="W772">
        <f t="shared" si="438"/>
        <v>0</v>
      </c>
      <c r="X772">
        <f t="shared" si="439"/>
        <v>0</v>
      </c>
      <c r="Y772">
        <f t="shared" si="440"/>
        <v>0</v>
      </c>
      <c r="Z772">
        <f t="shared" si="441"/>
        <v>0</v>
      </c>
      <c r="AA772">
        <f t="shared" si="442"/>
        <v>0</v>
      </c>
      <c r="AC772">
        <f t="shared" si="443"/>
        <v>1045.25</v>
      </c>
      <c r="AD772">
        <f t="shared" si="444"/>
        <v>0</v>
      </c>
      <c r="AE772">
        <f t="shared" si="445"/>
        <v>0</v>
      </c>
      <c r="AF772">
        <f t="shared" si="446"/>
        <v>0</v>
      </c>
      <c r="AG772">
        <f t="shared" si="447"/>
        <v>0</v>
      </c>
      <c r="AH772">
        <f t="shared" si="448"/>
        <v>0</v>
      </c>
      <c r="AJ772">
        <f t="shared" si="449"/>
        <v>1239.01</v>
      </c>
      <c r="AK772">
        <f t="shared" si="450"/>
        <v>0</v>
      </c>
      <c r="AL772">
        <f t="shared" si="451"/>
        <v>0</v>
      </c>
      <c r="AM772">
        <f t="shared" si="452"/>
        <v>0</v>
      </c>
      <c r="AN772">
        <f t="shared" si="453"/>
        <v>0</v>
      </c>
      <c r="AO772">
        <f t="shared" si="454"/>
        <v>0</v>
      </c>
    </row>
    <row r="773" spans="1:41" x14ac:dyDescent="0.45">
      <c r="A773">
        <v>41.283480619999999</v>
      </c>
      <c r="B773">
        <v>122.5330189</v>
      </c>
      <c r="C773">
        <v>17.020019529999999</v>
      </c>
      <c r="D773">
        <v>0.441131</v>
      </c>
      <c r="E773">
        <f t="shared" si="420"/>
        <v>0.441131</v>
      </c>
      <c r="F773">
        <f t="shared" si="421"/>
        <v>0</v>
      </c>
      <c r="G773">
        <f t="shared" si="422"/>
        <v>0</v>
      </c>
      <c r="H773">
        <f t="shared" si="423"/>
        <v>0</v>
      </c>
      <c r="I773">
        <f t="shared" si="424"/>
        <v>0</v>
      </c>
      <c r="J773">
        <f t="shared" si="425"/>
        <v>0</v>
      </c>
      <c r="K773" s="1">
        <f t="shared" si="426"/>
        <v>0</v>
      </c>
      <c r="L773" s="1">
        <f t="shared" si="427"/>
        <v>0</v>
      </c>
      <c r="M773" s="1">
        <f t="shared" si="428"/>
        <v>0</v>
      </c>
      <c r="N773" s="1">
        <f t="shared" si="429"/>
        <v>0</v>
      </c>
      <c r="O773" s="1">
        <f t="shared" si="430"/>
        <v>0</v>
      </c>
      <c r="P773" s="1">
        <f t="shared" si="431"/>
        <v>25.000000000000004</v>
      </c>
      <c r="Q773" s="1" t="e">
        <f t="shared" si="432"/>
        <v>#DIV/0!</v>
      </c>
      <c r="R773" s="1" t="e">
        <f t="shared" si="433"/>
        <v>#DIV/0!</v>
      </c>
      <c r="S773" s="1" t="e">
        <f t="shared" si="434"/>
        <v>#DIV/0!</v>
      </c>
      <c r="T773" s="1" t="e">
        <f t="shared" si="435"/>
        <v>#DIV/0!</v>
      </c>
      <c r="U773" s="1" t="e">
        <f t="shared" si="436"/>
        <v>#DIV/0!</v>
      </c>
      <c r="V773">
        <f t="shared" si="437"/>
        <v>851.48000000000013</v>
      </c>
      <c r="W773">
        <f t="shared" si="438"/>
        <v>0</v>
      </c>
      <c r="X773">
        <f t="shared" si="439"/>
        <v>0</v>
      </c>
      <c r="Y773">
        <f t="shared" si="440"/>
        <v>0</v>
      </c>
      <c r="Z773">
        <f t="shared" si="441"/>
        <v>0</v>
      </c>
      <c r="AA773">
        <f t="shared" si="442"/>
        <v>0</v>
      </c>
      <c r="AC773">
        <f t="shared" si="443"/>
        <v>1045.25</v>
      </c>
      <c r="AD773">
        <f t="shared" si="444"/>
        <v>0</v>
      </c>
      <c r="AE773">
        <f t="shared" si="445"/>
        <v>0</v>
      </c>
      <c r="AF773">
        <f t="shared" si="446"/>
        <v>0</v>
      </c>
      <c r="AG773">
        <f t="shared" si="447"/>
        <v>0</v>
      </c>
      <c r="AH773">
        <f t="shared" si="448"/>
        <v>0</v>
      </c>
      <c r="AJ773">
        <f t="shared" si="449"/>
        <v>1239.0100000000002</v>
      </c>
      <c r="AK773">
        <f t="shared" si="450"/>
        <v>0</v>
      </c>
      <c r="AL773">
        <f t="shared" si="451"/>
        <v>0</v>
      </c>
      <c r="AM773">
        <f t="shared" si="452"/>
        <v>0</v>
      </c>
      <c r="AN773">
        <f t="shared" si="453"/>
        <v>0</v>
      </c>
      <c r="AO773">
        <f t="shared" si="454"/>
        <v>0</v>
      </c>
    </row>
    <row r="774" spans="1:41" x14ac:dyDescent="0.45">
      <c r="A774">
        <v>41.314296779999999</v>
      </c>
      <c r="B774">
        <v>122.2941903</v>
      </c>
      <c r="C774">
        <v>58.052211759999999</v>
      </c>
      <c r="D774">
        <v>12.6298008</v>
      </c>
      <c r="E774">
        <f t="shared" si="420"/>
        <v>12.6298008</v>
      </c>
      <c r="F774">
        <f t="shared" si="421"/>
        <v>0</v>
      </c>
      <c r="G774">
        <f t="shared" si="422"/>
        <v>0</v>
      </c>
      <c r="H774">
        <f t="shared" si="423"/>
        <v>0</v>
      </c>
      <c r="I774">
        <f t="shared" si="424"/>
        <v>0</v>
      </c>
      <c r="J774">
        <f t="shared" si="425"/>
        <v>0</v>
      </c>
      <c r="K774" s="1">
        <f t="shared" si="426"/>
        <v>0</v>
      </c>
      <c r="L774" s="1">
        <f t="shared" si="427"/>
        <v>0</v>
      </c>
      <c r="M774" s="1">
        <f t="shared" si="428"/>
        <v>0</v>
      </c>
      <c r="N774" s="1">
        <f t="shared" si="429"/>
        <v>0</v>
      </c>
      <c r="O774" s="1">
        <f t="shared" si="430"/>
        <v>0</v>
      </c>
      <c r="P774" s="1">
        <f t="shared" si="431"/>
        <v>25</v>
      </c>
      <c r="Q774" s="1" t="e">
        <f t="shared" si="432"/>
        <v>#DIV/0!</v>
      </c>
      <c r="R774" s="1" t="e">
        <f t="shared" si="433"/>
        <v>#DIV/0!</v>
      </c>
      <c r="S774" s="1" t="e">
        <f t="shared" si="434"/>
        <v>#DIV/0!</v>
      </c>
      <c r="T774" s="1" t="e">
        <f t="shared" si="435"/>
        <v>#DIV/0!</v>
      </c>
      <c r="U774" s="1" t="e">
        <f t="shared" si="436"/>
        <v>#DIV/0!</v>
      </c>
      <c r="V774">
        <f t="shared" si="437"/>
        <v>851.48</v>
      </c>
      <c r="W774">
        <f t="shared" si="438"/>
        <v>0</v>
      </c>
      <c r="X774">
        <f t="shared" si="439"/>
        <v>0</v>
      </c>
      <c r="Y774">
        <f t="shared" si="440"/>
        <v>0</v>
      </c>
      <c r="Z774">
        <f t="shared" si="441"/>
        <v>0</v>
      </c>
      <c r="AA774">
        <f t="shared" si="442"/>
        <v>0</v>
      </c>
      <c r="AC774">
        <f t="shared" si="443"/>
        <v>1045.25</v>
      </c>
      <c r="AD774">
        <f t="shared" si="444"/>
        <v>0</v>
      </c>
      <c r="AE774">
        <f t="shared" si="445"/>
        <v>0</v>
      </c>
      <c r="AF774">
        <f t="shared" si="446"/>
        <v>0</v>
      </c>
      <c r="AG774">
        <f t="shared" si="447"/>
        <v>0</v>
      </c>
      <c r="AH774">
        <f t="shared" si="448"/>
        <v>0</v>
      </c>
      <c r="AJ774">
        <f t="shared" si="449"/>
        <v>1239.01</v>
      </c>
      <c r="AK774">
        <f t="shared" si="450"/>
        <v>0</v>
      </c>
      <c r="AL774">
        <f t="shared" si="451"/>
        <v>0</v>
      </c>
      <c r="AM774">
        <f t="shared" si="452"/>
        <v>0</v>
      </c>
      <c r="AN774">
        <f t="shared" si="453"/>
        <v>0</v>
      </c>
      <c r="AO774">
        <f t="shared" si="454"/>
        <v>0</v>
      </c>
    </row>
    <row r="775" spans="1:41" x14ac:dyDescent="0.45">
      <c r="A775">
        <v>41.321931149999998</v>
      </c>
      <c r="B775">
        <v>122.2344518</v>
      </c>
      <c r="C775">
        <v>58.052211759999999</v>
      </c>
      <c r="D775">
        <v>5.0389070499999997</v>
      </c>
      <c r="E775">
        <f t="shared" si="420"/>
        <v>5.0389070499999997</v>
      </c>
      <c r="F775">
        <f t="shared" si="421"/>
        <v>0</v>
      </c>
      <c r="G775">
        <f t="shared" si="422"/>
        <v>0</v>
      </c>
      <c r="H775">
        <f t="shared" si="423"/>
        <v>0</v>
      </c>
      <c r="I775">
        <f t="shared" si="424"/>
        <v>0</v>
      </c>
      <c r="J775">
        <f t="shared" si="425"/>
        <v>0</v>
      </c>
      <c r="K775" s="1">
        <f t="shared" si="426"/>
        <v>0</v>
      </c>
      <c r="L775" s="1">
        <f t="shared" si="427"/>
        <v>0</v>
      </c>
      <c r="M775" s="1">
        <f t="shared" si="428"/>
        <v>0</v>
      </c>
      <c r="N775" s="1">
        <f t="shared" si="429"/>
        <v>0</v>
      </c>
      <c r="O775" s="1">
        <f t="shared" si="430"/>
        <v>0</v>
      </c>
      <c r="P775" s="1">
        <f t="shared" si="431"/>
        <v>25</v>
      </c>
      <c r="Q775" s="1" t="e">
        <f t="shared" si="432"/>
        <v>#DIV/0!</v>
      </c>
      <c r="R775" s="1" t="e">
        <f t="shared" si="433"/>
        <v>#DIV/0!</v>
      </c>
      <c r="S775" s="1" t="e">
        <f t="shared" si="434"/>
        <v>#DIV/0!</v>
      </c>
      <c r="T775" s="1" t="e">
        <f t="shared" si="435"/>
        <v>#DIV/0!</v>
      </c>
      <c r="U775" s="1" t="e">
        <f t="shared" si="436"/>
        <v>#DIV/0!</v>
      </c>
      <c r="V775">
        <f t="shared" si="437"/>
        <v>851.48</v>
      </c>
      <c r="W775">
        <f t="shared" si="438"/>
        <v>0</v>
      </c>
      <c r="X775">
        <f t="shared" si="439"/>
        <v>0</v>
      </c>
      <c r="Y775">
        <f t="shared" si="440"/>
        <v>0</v>
      </c>
      <c r="Z775">
        <f t="shared" si="441"/>
        <v>0</v>
      </c>
      <c r="AA775">
        <f t="shared" si="442"/>
        <v>0</v>
      </c>
      <c r="AC775">
        <f t="shared" si="443"/>
        <v>1045.25</v>
      </c>
      <c r="AD775">
        <f t="shared" si="444"/>
        <v>0</v>
      </c>
      <c r="AE775">
        <f t="shared" si="445"/>
        <v>0</v>
      </c>
      <c r="AF775">
        <f t="shared" si="446"/>
        <v>0</v>
      </c>
      <c r="AG775">
        <f t="shared" si="447"/>
        <v>0</v>
      </c>
      <c r="AH775">
        <f t="shared" si="448"/>
        <v>0</v>
      </c>
      <c r="AJ775">
        <f t="shared" si="449"/>
        <v>1239.01</v>
      </c>
      <c r="AK775">
        <f t="shared" si="450"/>
        <v>0</v>
      </c>
      <c r="AL775">
        <f t="shared" si="451"/>
        <v>0</v>
      </c>
      <c r="AM775">
        <f t="shared" si="452"/>
        <v>0</v>
      </c>
      <c r="AN775">
        <f t="shared" si="453"/>
        <v>0</v>
      </c>
      <c r="AO775">
        <f t="shared" si="454"/>
        <v>0</v>
      </c>
    </row>
    <row r="776" spans="1:41" x14ac:dyDescent="0.45">
      <c r="A776">
        <v>41.329520530000003</v>
      </c>
      <c r="B776">
        <v>121.80608410000001</v>
      </c>
      <c r="C776">
        <v>58.052211759999999</v>
      </c>
      <c r="D776">
        <v>0.64296900999999995</v>
      </c>
      <c r="E776">
        <f t="shared" si="420"/>
        <v>0.64296900999999995</v>
      </c>
      <c r="F776">
        <f t="shared" si="421"/>
        <v>0</v>
      </c>
      <c r="G776">
        <f t="shared" si="422"/>
        <v>0</v>
      </c>
      <c r="H776">
        <f t="shared" si="423"/>
        <v>0</v>
      </c>
      <c r="I776">
        <f t="shared" si="424"/>
        <v>0</v>
      </c>
      <c r="J776">
        <f t="shared" si="425"/>
        <v>0</v>
      </c>
      <c r="K776" s="1">
        <f t="shared" si="426"/>
        <v>0</v>
      </c>
      <c r="L776" s="1">
        <f t="shared" si="427"/>
        <v>0</v>
      </c>
      <c r="M776" s="1">
        <f t="shared" si="428"/>
        <v>0</v>
      </c>
      <c r="N776" s="1">
        <f t="shared" si="429"/>
        <v>0</v>
      </c>
      <c r="O776" s="1">
        <f t="shared" si="430"/>
        <v>0</v>
      </c>
      <c r="P776" s="1">
        <f t="shared" si="431"/>
        <v>25</v>
      </c>
      <c r="Q776" s="1" t="e">
        <f t="shared" si="432"/>
        <v>#DIV/0!</v>
      </c>
      <c r="R776" s="1" t="e">
        <f t="shared" si="433"/>
        <v>#DIV/0!</v>
      </c>
      <c r="S776" s="1" t="e">
        <f t="shared" si="434"/>
        <v>#DIV/0!</v>
      </c>
      <c r="T776" s="1" t="e">
        <f t="shared" si="435"/>
        <v>#DIV/0!</v>
      </c>
      <c r="U776" s="1" t="e">
        <f t="shared" si="436"/>
        <v>#DIV/0!</v>
      </c>
      <c r="V776">
        <f t="shared" si="437"/>
        <v>851.48</v>
      </c>
      <c r="W776">
        <f t="shared" si="438"/>
        <v>0</v>
      </c>
      <c r="X776">
        <f t="shared" si="439"/>
        <v>0</v>
      </c>
      <c r="Y776">
        <f t="shared" si="440"/>
        <v>0</v>
      </c>
      <c r="Z776">
        <f t="shared" si="441"/>
        <v>0</v>
      </c>
      <c r="AA776">
        <f t="shared" si="442"/>
        <v>0</v>
      </c>
      <c r="AC776">
        <f t="shared" si="443"/>
        <v>1045.25</v>
      </c>
      <c r="AD776">
        <f t="shared" si="444"/>
        <v>0</v>
      </c>
      <c r="AE776">
        <f t="shared" si="445"/>
        <v>0</v>
      </c>
      <c r="AF776">
        <f t="shared" si="446"/>
        <v>0</v>
      </c>
      <c r="AG776">
        <f t="shared" si="447"/>
        <v>0</v>
      </c>
      <c r="AH776">
        <f t="shared" si="448"/>
        <v>0</v>
      </c>
      <c r="AJ776">
        <f t="shared" si="449"/>
        <v>1239.01</v>
      </c>
      <c r="AK776">
        <f t="shared" si="450"/>
        <v>0</v>
      </c>
      <c r="AL776">
        <f t="shared" si="451"/>
        <v>0</v>
      </c>
      <c r="AM776">
        <f t="shared" si="452"/>
        <v>0</v>
      </c>
      <c r="AN776">
        <f t="shared" si="453"/>
        <v>0</v>
      </c>
      <c r="AO776">
        <f t="shared" si="454"/>
        <v>0</v>
      </c>
    </row>
    <row r="777" spans="1:41" x14ac:dyDescent="0.45">
      <c r="A777">
        <v>41.337116229999999</v>
      </c>
      <c r="B777">
        <v>122.1149374</v>
      </c>
      <c r="C777">
        <v>58.052211759999999</v>
      </c>
      <c r="D777">
        <v>5.9341120700000003</v>
      </c>
      <c r="E777">
        <f t="shared" si="420"/>
        <v>5.9341120700000003</v>
      </c>
      <c r="F777">
        <f t="shared" si="421"/>
        <v>0</v>
      </c>
      <c r="G777">
        <f t="shared" si="422"/>
        <v>0</v>
      </c>
      <c r="H777">
        <f t="shared" si="423"/>
        <v>0</v>
      </c>
      <c r="I777">
        <f t="shared" si="424"/>
        <v>0</v>
      </c>
      <c r="J777">
        <f t="shared" si="425"/>
        <v>0</v>
      </c>
      <c r="K777" s="1">
        <f t="shared" si="426"/>
        <v>0</v>
      </c>
      <c r="L777" s="1">
        <f t="shared" si="427"/>
        <v>0</v>
      </c>
      <c r="M777" s="1">
        <f t="shared" si="428"/>
        <v>0</v>
      </c>
      <c r="N777" s="1">
        <f t="shared" si="429"/>
        <v>0</v>
      </c>
      <c r="O777" s="1">
        <f t="shared" si="430"/>
        <v>0</v>
      </c>
      <c r="P777" s="1">
        <f t="shared" si="431"/>
        <v>25</v>
      </c>
      <c r="Q777" s="1" t="e">
        <f t="shared" si="432"/>
        <v>#DIV/0!</v>
      </c>
      <c r="R777" s="1" t="e">
        <f t="shared" si="433"/>
        <v>#DIV/0!</v>
      </c>
      <c r="S777" s="1" t="e">
        <f t="shared" si="434"/>
        <v>#DIV/0!</v>
      </c>
      <c r="T777" s="1" t="e">
        <f t="shared" si="435"/>
        <v>#DIV/0!</v>
      </c>
      <c r="U777" s="1" t="e">
        <f t="shared" si="436"/>
        <v>#DIV/0!</v>
      </c>
      <c r="V777">
        <f t="shared" si="437"/>
        <v>851.48</v>
      </c>
      <c r="W777">
        <f t="shared" si="438"/>
        <v>0</v>
      </c>
      <c r="X777">
        <f t="shared" si="439"/>
        <v>0</v>
      </c>
      <c r="Y777">
        <f t="shared" si="440"/>
        <v>0</v>
      </c>
      <c r="Z777">
        <f t="shared" si="441"/>
        <v>0</v>
      </c>
      <c r="AA777">
        <f t="shared" si="442"/>
        <v>0</v>
      </c>
      <c r="AC777">
        <f t="shared" si="443"/>
        <v>1045.25</v>
      </c>
      <c r="AD777">
        <f t="shared" si="444"/>
        <v>0</v>
      </c>
      <c r="AE777">
        <f t="shared" si="445"/>
        <v>0</v>
      </c>
      <c r="AF777">
        <f t="shared" si="446"/>
        <v>0</v>
      </c>
      <c r="AG777">
        <f t="shared" si="447"/>
        <v>0</v>
      </c>
      <c r="AH777">
        <f t="shared" si="448"/>
        <v>0</v>
      </c>
      <c r="AJ777">
        <f t="shared" si="449"/>
        <v>1239.01</v>
      </c>
      <c r="AK777">
        <f t="shared" si="450"/>
        <v>0</v>
      </c>
      <c r="AL777">
        <f t="shared" si="451"/>
        <v>0</v>
      </c>
      <c r="AM777">
        <f t="shared" si="452"/>
        <v>0</v>
      </c>
      <c r="AN777">
        <f t="shared" si="453"/>
        <v>0</v>
      </c>
      <c r="AO777">
        <f t="shared" si="454"/>
        <v>0</v>
      </c>
    </row>
    <row r="778" spans="1:41" x14ac:dyDescent="0.45">
      <c r="A778">
        <v>41.342214370000001</v>
      </c>
      <c r="B778">
        <v>122.7925297</v>
      </c>
      <c r="C778">
        <v>62.738258360000003</v>
      </c>
      <c r="D778">
        <v>5.4980010999999998</v>
      </c>
      <c r="E778">
        <f t="shared" si="420"/>
        <v>5.4980010999999998</v>
      </c>
      <c r="F778">
        <f t="shared" si="421"/>
        <v>0</v>
      </c>
      <c r="G778">
        <f t="shared" si="422"/>
        <v>0</v>
      </c>
      <c r="H778">
        <f t="shared" si="423"/>
        <v>0</v>
      </c>
      <c r="I778">
        <f t="shared" si="424"/>
        <v>0</v>
      </c>
      <c r="J778">
        <f t="shared" si="425"/>
        <v>0</v>
      </c>
      <c r="K778" s="1">
        <f t="shared" si="426"/>
        <v>0</v>
      </c>
      <c r="L778" s="1">
        <f t="shared" si="427"/>
        <v>0</v>
      </c>
      <c r="M778" s="1">
        <f t="shared" si="428"/>
        <v>0</v>
      </c>
      <c r="N778" s="1">
        <f t="shared" si="429"/>
        <v>0</v>
      </c>
      <c r="O778" s="1">
        <f t="shared" si="430"/>
        <v>0</v>
      </c>
      <c r="P778" s="1">
        <f t="shared" si="431"/>
        <v>25.000000000000004</v>
      </c>
      <c r="Q778" s="1" t="e">
        <f t="shared" si="432"/>
        <v>#DIV/0!</v>
      </c>
      <c r="R778" s="1" t="e">
        <f t="shared" si="433"/>
        <v>#DIV/0!</v>
      </c>
      <c r="S778" s="1" t="e">
        <f t="shared" si="434"/>
        <v>#DIV/0!</v>
      </c>
      <c r="T778" s="1" t="e">
        <f t="shared" si="435"/>
        <v>#DIV/0!</v>
      </c>
      <c r="U778" s="1" t="e">
        <f t="shared" si="436"/>
        <v>#DIV/0!</v>
      </c>
      <c r="V778">
        <f t="shared" si="437"/>
        <v>851.48000000000013</v>
      </c>
      <c r="W778">
        <f t="shared" si="438"/>
        <v>0</v>
      </c>
      <c r="X778">
        <f t="shared" si="439"/>
        <v>0</v>
      </c>
      <c r="Y778">
        <f t="shared" si="440"/>
        <v>0</v>
      </c>
      <c r="Z778">
        <f t="shared" si="441"/>
        <v>0</v>
      </c>
      <c r="AA778">
        <f t="shared" si="442"/>
        <v>0</v>
      </c>
      <c r="AC778">
        <f t="shared" si="443"/>
        <v>1045.25</v>
      </c>
      <c r="AD778">
        <f t="shared" si="444"/>
        <v>0</v>
      </c>
      <c r="AE778">
        <f t="shared" si="445"/>
        <v>0</v>
      </c>
      <c r="AF778">
        <f t="shared" si="446"/>
        <v>0</v>
      </c>
      <c r="AG778">
        <f t="shared" si="447"/>
        <v>0</v>
      </c>
      <c r="AH778">
        <f t="shared" si="448"/>
        <v>0</v>
      </c>
      <c r="AJ778">
        <f t="shared" si="449"/>
        <v>1239.0100000000002</v>
      </c>
      <c r="AK778">
        <f t="shared" si="450"/>
        <v>0</v>
      </c>
      <c r="AL778">
        <f t="shared" si="451"/>
        <v>0</v>
      </c>
      <c r="AM778">
        <f t="shared" si="452"/>
        <v>0</v>
      </c>
      <c r="AN778">
        <f t="shared" si="453"/>
        <v>0</v>
      </c>
      <c r="AO778">
        <f t="shared" si="454"/>
        <v>0</v>
      </c>
    </row>
    <row r="779" spans="1:41" x14ac:dyDescent="0.45">
      <c r="A779">
        <v>41.432192020000002</v>
      </c>
      <c r="B779">
        <v>122.8134664</v>
      </c>
      <c r="C779">
        <v>61.735031130000003</v>
      </c>
      <c r="D779">
        <v>13.87740612</v>
      </c>
      <c r="E779">
        <f t="shared" si="420"/>
        <v>13.87740612</v>
      </c>
      <c r="F779">
        <f t="shared" si="421"/>
        <v>0</v>
      </c>
      <c r="G779">
        <f t="shared" si="422"/>
        <v>0</v>
      </c>
      <c r="H779">
        <f t="shared" si="423"/>
        <v>0</v>
      </c>
      <c r="I779">
        <f t="shared" si="424"/>
        <v>0</v>
      </c>
      <c r="J779">
        <f t="shared" si="425"/>
        <v>0</v>
      </c>
      <c r="K779" s="1">
        <f t="shared" si="426"/>
        <v>0</v>
      </c>
      <c r="L779" s="1">
        <f t="shared" si="427"/>
        <v>0</v>
      </c>
      <c r="M779" s="1">
        <f t="shared" si="428"/>
        <v>0</v>
      </c>
      <c r="N779" s="1">
        <f t="shared" si="429"/>
        <v>0</v>
      </c>
      <c r="O779" s="1">
        <f t="shared" si="430"/>
        <v>0</v>
      </c>
      <c r="P779" s="1">
        <f t="shared" si="431"/>
        <v>25</v>
      </c>
      <c r="Q779" s="1" t="e">
        <f t="shared" si="432"/>
        <v>#DIV/0!</v>
      </c>
      <c r="R779" s="1" t="e">
        <f t="shared" si="433"/>
        <v>#DIV/0!</v>
      </c>
      <c r="S779" s="1" t="e">
        <f t="shared" si="434"/>
        <v>#DIV/0!</v>
      </c>
      <c r="T779" s="1" t="e">
        <f t="shared" si="435"/>
        <v>#DIV/0!</v>
      </c>
      <c r="U779" s="1" t="e">
        <f t="shared" si="436"/>
        <v>#DIV/0!</v>
      </c>
      <c r="V779">
        <f t="shared" si="437"/>
        <v>851.48</v>
      </c>
      <c r="W779">
        <f t="shared" si="438"/>
        <v>0</v>
      </c>
      <c r="X779">
        <f t="shared" si="439"/>
        <v>0</v>
      </c>
      <c r="Y779">
        <f t="shared" si="440"/>
        <v>0</v>
      </c>
      <c r="Z779">
        <f t="shared" si="441"/>
        <v>0</v>
      </c>
      <c r="AA779">
        <f t="shared" si="442"/>
        <v>0</v>
      </c>
      <c r="AC779">
        <f t="shared" si="443"/>
        <v>1045.25</v>
      </c>
      <c r="AD779">
        <f t="shared" si="444"/>
        <v>0</v>
      </c>
      <c r="AE779">
        <f t="shared" si="445"/>
        <v>0</v>
      </c>
      <c r="AF779">
        <f t="shared" si="446"/>
        <v>0</v>
      </c>
      <c r="AG779">
        <f t="shared" si="447"/>
        <v>0</v>
      </c>
      <c r="AH779">
        <f t="shared" si="448"/>
        <v>0</v>
      </c>
      <c r="AJ779">
        <f t="shared" si="449"/>
        <v>1239.01</v>
      </c>
      <c r="AK779">
        <f t="shared" si="450"/>
        <v>0</v>
      </c>
      <c r="AL779">
        <f t="shared" si="451"/>
        <v>0</v>
      </c>
      <c r="AM779">
        <f t="shared" si="452"/>
        <v>0</v>
      </c>
      <c r="AN779">
        <f t="shared" si="453"/>
        <v>0</v>
      </c>
      <c r="AO779">
        <f t="shared" si="454"/>
        <v>0</v>
      </c>
    </row>
    <row r="780" spans="1:41" x14ac:dyDescent="0.45">
      <c r="A780">
        <v>41.443010180000002</v>
      </c>
      <c r="B780">
        <v>84.064284990000004</v>
      </c>
      <c r="C780">
        <v>9.4094677000000004</v>
      </c>
      <c r="D780">
        <v>1.52662206</v>
      </c>
      <c r="E780">
        <f t="shared" si="420"/>
        <v>1.52662206</v>
      </c>
      <c r="F780">
        <f t="shared" si="421"/>
        <v>0</v>
      </c>
      <c r="G780">
        <f t="shared" si="422"/>
        <v>0</v>
      </c>
      <c r="H780">
        <f t="shared" si="423"/>
        <v>0</v>
      </c>
      <c r="I780">
        <f t="shared" si="424"/>
        <v>0</v>
      </c>
      <c r="J780">
        <f t="shared" si="425"/>
        <v>0</v>
      </c>
      <c r="K780" s="1">
        <f t="shared" si="426"/>
        <v>0</v>
      </c>
      <c r="L780" s="1">
        <f t="shared" si="427"/>
        <v>0</v>
      </c>
      <c r="M780" s="1">
        <f t="shared" si="428"/>
        <v>0</v>
      </c>
      <c r="N780" s="1">
        <f t="shared" si="429"/>
        <v>0</v>
      </c>
      <c r="O780" s="1">
        <f t="shared" si="430"/>
        <v>0</v>
      </c>
      <c r="P780" s="1">
        <f t="shared" si="431"/>
        <v>25</v>
      </c>
      <c r="Q780" s="1" t="e">
        <f t="shared" si="432"/>
        <v>#DIV/0!</v>
      </c>
      <c r="R780" s="1" t="e">
        <f t="shared" si="433"/>
        <v>#DIV/0!</v>
      </c>
      <c r="S780" s="1" t="e">
        <f t="shared" si="434"/>
        <v>#DIV/0!</v>
      </c>
      <c r="T780" s="1" t="e">
        <f t="shared" si="435"/>
        <v>#DIV/0!</v>
      </c>
      <c r="U780" s="1" t="e">
        <f t="shared" si="436"/>
        <v>#DIV/0!</v>
      </c>
      <c r="V780">
        <f t="shared" si="437"/>
        <v>851.48</v>
      </c>
      <c r="W780">
        <f t="shared" si="438"/>
        <v>0</v>
      </c>
      <c r="X780">
        <f t="shared" si="439"/>
        <v>0</v>
      </c>
      <c r="Y780">
        <f t="shared" si="440"/>
        <v>0</v>
      </c>
      <c r="Z780">
        <f t="shared" si="441"/>
        <v>0</v>
      </c>
      <c r="AA780">
        <f t="shared" si="442"/>
        <v>0</v>
      </c>
      <c r="AC780">
        <f t="shared" si="443"/>
        <v>1045.25</v>
      </c>
      <c r="AD780">
        <f t="shared" si="444"/>
        <v>0</v>
      </c>
      <c r="AE780">
        <f t="shared" si="445"/>
        <v>0</v>
      </c>
      <c r="AF780">
        <f t="shared" si="446"/>
        <v>0</v>
      </c>
      <c r="AG780">
        <f t="shared" si="447"/>
        <v>0</v>
      </c>
      <c r="AH780">
        <f t="shared" si="448"/>
        <v>0</v>
      </c>
      <c r="AJ780">
        <f t="shared" si="449"/>
        <v>1239.01</v>
      </c>
      <c r="AK780">
        <f t="shared" si="450"/>
        <v>0</v>
      </c>
      <c r="AL780">
        <f t="shared" si="451"/>
        <v>0</v>
      </c>
      <c r="AM780">
        <f t="shared" si="452"/>
        <v>0</v>
      </c>
      <c r="AN780">
        <f t="shared" si="453"/>
        <v>0</v>
      </c>
      <c r="AO780">
        <f t="shared" si="454"/>
        <v>0</v>
      </c>
    </row>
    <row r="781" spans="1:41" x14ac:dyDescent="0.45">
      <c r="A781">
        <v>41.479017900000002</v>
      </c>
      <c r="B781">
        <v>122.4545938</v>
      </c>
      <c r="C781">
        <v>17.020019529999999</v>
      </c>
      <c r="D781">
        <v>0.84396201000000004</v>
      </c>
      <c r="E781">
        <f t="shared" si="420"/>
        <v>0.84396201000000004</v>
      </c>
      <c r="F781">
        <f t="shared" si="421"/>
        <v>0</v>
      </c>
      <c r="G781">
        <f t="shared" si="422"/>
        <v>0</v>
      </c>
      <c r="H781">
        <f t="shared" si="423"/>
        <v>0</v>
      </c>
      <c r="I781">
        <f t="shared" si="424"/>
        <v>0</v>
      </c>
      <c r="J781">
        <f t="shared" si="425"/>
        <v>0</v>
      </c>
      <c r="K781" s="1">
        <f t="shared" si="426"/>
        <v>0</v>
      </c>
      <c r="L781" s="1">
        <f t="shared" si="427"/>
        <v>0</v>
      </c>
      <c r="M781" s="1">
        <f t="shared" si="428"/>
        <v>0</v>
      </c>
      <c r="N781" s="1">
        <f t="shared" si="429"/>
        <v>0</v>
      </c>
      <c r="O781" s="1">
        <f t="shared" si="430"/>
        <v>0</v>
      </c>
      <c r="P781" s="1">
        <f t="shared" si="431"/>
        <v>25</v>
      </c>
      <c r="Q781" s="1" t="e">
        <f t="shared" si="432"/>
        <v>#DIV/0!</v>
      </c>
      <c r="R781" s="1" t="e">
        <f t="shared" si="433"/>
        <v>#DIV/0!</v>
      </c>
      <c r="S781" s="1" t="e">
        <f t="shared" si="434"/>
        <v>#DIV/0!</v>
      </c>
      <c r="T781" s="1" t="e">
        <f t="shared" si="435"/>
        <v>#DIV/0!</v>
      </c>
      <c r="U781" s="1" t="e">
        <f t="shared" si="436"/>
        <v>#DIV/0!</v>
      </c>
      <c r="V781">
        <f t="shared" si="437"/>
        <v>851.48</v>
      </c>
      <c r="W781">
        <f t="shared" si="438"/>
        <v>0</v>
      </c>
      <c r="X781">
        <f t="shared" si="439"/>
        <v>0</v>
      </c>
      <c r="Y781">
        <f t="shared" si="440"/>
        <v>0</v>
      </c>
      <c r="Z781">
        <f t="shared" si="441"/>
        <v>0</v>
      </c>
      <c r="AA781">
        <f t="shared" si="442"/>
        <v>0</v>
      </c>
      <c r="AC781">
        <f t="shared" si="443"/>
        <v>1045.25</v>
      </c>
      <c r="AD781">
        <f t="shared" si="444"/>
        <v>0</v>
      </c>
      <c r="AE781">
        <f t="shared" si="445"/>
        <v>0</v>
      </c>
      <c r="AF781">
        <f t="shared" si="446"/>
        <v>0</v>
      </c>
      <c r="AG781">
        <f t="shared" si="447"/>
        <v>0</v>
      </c>
      <c r="AH781">
        <f t="shared" si="448"/>
        <v>0</v>
      </c>
      <c r="AJ781">
        <f t="shared" si="449"/>
        <v>1239.01</v>
      </c>
      <c r="AK781">
        <f t="shared" si="450"/>
        <v>0</v>
      </c>
      <c r="AL781">
        <f t="shared" si="451"/>
        <v>0</v>
      </c>
      <c r="AM781">
        <f t="shared" si="452"/>
        <v>0</v>
      </c>
      <c r="AN781">
        <f t="shared" si="453"/>
        <v>0</v>
      </c>
      <c r="AO781">
        <f t="shared" si="454"/>
        <v>0</v>
      </c>
    </row>
    <row r="782" spans="1:41" x14ac:dyDescent="0.45">
      <c r="A782">
        <v>41.506303010000003</v>
      </c>
      <c r="B782">
        <v>122.95411900000001</v>
      </c>
      <c r="C782">
        <v>61.735031130000003</v>
      </c>
      <c r="D782">
        <v>3.32928991</v>
      </c>
      <c r="E782">
        <f t="shared" si="420"/>
        <v>3.32928991</v>
      </c>
      <c r="F782">
        <f t="shared" si="421"/>
        <v>0</v>
      </c>
      <c r="G782">
        <f t="shared" si="422"/>
        <v>0</v>
      </c>
      <c r="H782">
        <f t="shared" si="423"/>
        <v>0</v>
      </c>
      <c r="I782">
        <f t="shared" si="424"/>
        <v>0</v>
      </c>
      <c r="J782">
        <f t="shared" si="425"/>
        <v>0</v>
      </c>
      <c r="K782" s="1">
        <f t="shared" si="426"/>
        <v>0</v>
      </c>
      <c r="L782" s="1">
        <f t="shared" si="427"/>
        <v>0</v>
      </c>
      <c r="M782" s="1">
        <f t="shared" si="428"/>
        <v>0</v>
      </c>
      <c r="N782" s="1">
        <f t="shared" si="429"/>
        <v>0</v>
      </c>
      <c r="O782" s="1">
        <f t="shared" si="430"/>
        <v>0</v>
      </c>
      <c r="P782" s="1">
        <f t="shared" si="431"/>
        <v>25</v>
      </c>
      <c r="Q782" s="1" t="e">
        <f t="shared" si="432"/>
        <v>#DIV/0!</v>
      </c>
      <c r="R782" s="1" t="e">
        <f t="shared" si="433"/>
        <v>#DIV/0!</v>
      </c>
      <c r="S782" s="1" t="e">
        <f t="shared" si="434"/>
        <v>#DIV/0!</v>
      </c>
      <c r="T782" s="1" t="e">
        <f t="shared" si="435"/>
        <v>#DIV/0!</v>
      </c>
      <c r="U782" s="1" t="e">
        <f t="shared" si="436"/>
        <v>#DIV/0!</v>
      </c>
      <c r="V782">
        <f t="shared" si="437"/>
        <v>851.48</v>
      </c>
      <c r="W782">
        <f t="shared" si="438"/>
        <v>0</v>
      </c>
      <c r="X782">
        <f t="shared" si="439"/>
        <v>0</v>
      </c>
      <c r="Y782">
        <f t="shared" si="440"/>
        <v>0</v>
      </c>
      <c r="Z782">
        <f t="shared" si="441"/>
        <v>0</v>
      </c>
      <c r="AA782">
        <f t="shared" si="442"/>
        <v>0</v>
      </c>
      <c r="AC782">
        <f t="shared" si="443"/>
        <v>1045.25</v>
      </c>
      <c r="AD782">
        <f t="shared" si="444"/>
        <v>0</v>
      </c>
      <c r="AE782">
        <f t="shared" si="445"/>
        <v>0</v>
      </c>
      <c r="AF782">
        <f t="shared" si="446"/>
        <v>0</v>
      </c>
      <c r="AG782">
        <f t="shared" si="447"/>
        <v>0</v>
      </c>
      <c r="AH782">
        <f t="shared" si="448"/>
        <v>0</v>
      </c>
      <c r="AJ782">
        <f t="shared" si="449"/>
        <v>1239.01</v>
      </c>
      <c r="AK782">
        <f t="shared" si="450"/>
        <v>0</v>
      </c>
      <c r="AL782">
        <f t="shared" si="451"/>
        <v>0</v>
      </c>
      <c r="AM782">
        <f t="shared" si="452"/>
        <v>0</v>
      </c>
      <c r="AN782">
        <f t="shared" si="453"/>
        <v>0</v>
      </c>
      <c r="AO782">
        <f t="shared" si="454"/>
        <v>0</v>
      </c>
    </row>
    <row r="783" spans="1:41" x14ac:dyDescent="0.45">
      <c r="A783">
        <v>41.524025090000002</v>
      </c>
      <c r="B783">
        <v>122.4648665</v>
      </c>
      <c r="C783">
        <v>17.020019529999999</v>
      </c>
      <c r="D783">
        <v>3.8876130600000001</v>
      </c>
      <c r="E783">
        <f t="shared" si="420"/>
        <v>3.8876130600000001</v>
      </c>
      <c r="F783">
        <f t="shared" si="421"/>
        <v>0</v>
      </c>
      <c r="G783">
        <f t="shared" si="422"/>
        <v>0</v>
      </c>
      <c r="H783">
        <f t="shared" si="423"/>
        <v>0</v>
      </c>
      <c r="I783">
        <f t="shared" si="424"/>
        <v>0</v>
      </c>
      <c r="J783">
        <f t="shared" si="425"/>
        <v>0</v>
      </c>
      <c r="K783" s="1">
        <f t="shared" si="426"/>
        <v>0</v>
      </c>
      <c r="L783" s="1">
        <f t="shared" si="427"/>
        <v>0</v>
      </c>
      <c r="M783" s="1">
        <f t="shared" si="428"/>
        <v>0</v>
      </c>
      <c r="N783" s="1">
        <f t="shared" si="429"/>
        <v>0</v>
      </c>
      <c r="O783" s="1">
        <f t="shared" si="430"/>
        <v>0</v>
      </c>
      <c r="P783" s="1">
        <f t="shared" si="431"/>
        <v>25</v>
      </c>
      <c r="Q783" s="1" t="e">
        <f t="shared" si="432"/>
        <v>#DIV/0!</v>
      </c>
      <c r="R783" s="1" t="e">
        <f t="shared" si="433"/>
        <v>#DIV/0!</v>
      </c>
      <c r="S783" s="1" t="e">
        <f t="shared" si="434"/>
        <v>#DIV/0!</v>
      </c>
      <c r="T783" s="1" t="e">
        <f t="shared" si="435"/>
        <v>#DIV/0!</v>
      </c>
      <c r="U783" s="1" t="e">
        <f t="shared" si="436"/>
        <v>#DIV/0!</v>
      </c>
      <c r="V783">
        <f t="shared" si="437"/>
        <v>851.48</v>
      </c>
      <c r="W783">
        <f t="shared" si="438"/>
        <v>0</v>
      </c>
      <c r="X783">
        <f t="shared" si="439"/>
        <v>0</v>
      </c>
      <c r="Y783">
        <f t="shared" si="440"/>
        <v>0</v>
      </c>
      <c r="Z783">
        <f t="shared" si="441"/>
        <v>0</v>
      </c>
      <c r="AA783">
        <f t="shared" si="442"/>
        <v>0</v>
      </c>
      <c r="AC783">
        <f t="shared" si="443"/>
        <v>1045.25</v>
      </c>
      <c r="AD783">
        <f t="shared" si="444"/>
        <v>0</v>
      </c>
      <c r="AE783">
        <f t="shared" si="445"/>
        <v>0</v>
      </c>
      <c r="AF783">
        <f t="shared" si="446"/>
        <v>0</v>
      </c>
      <c r="AG783">
        <f t="shared" si="447"/>
        <v>0</v>
      </c>
      <c r="AH783">
        <f t="shared" si="448"/>
        <v>0</v>
      </c>
      <c r="AJ783">
        <f t="shared" si="449"/>
        <v>1239.01</v>
      </c>
      <c r="AK783">
        <f t="shared" si="450"/>
        <v>0</v>
      </c>
      <c r="AL783">
        <f t="shared" si="451"/>
        <v>0</v>
      </c>
      <c r="AM783">
        <f t="shared" si="452"/>
        <v>0</v>
      </c>
      <c r="AN783">
        <f t="shared" si="453"/>
        <v>0</v>
      </c>
      <c r="AO783">
        <f t="shared" si="454"/>
        <v>0</v>
      </c>
    </row>
    <row r="784" spans="1:41" x14ac:dyDescent="0.45">
      <c r="A784">
        <v>41.567483080000002</v>
      </c>
      <c r="B784">
        <v>106.5271043</v>
      </c>
      <c r="C784">
        <v>5.3181140000000002E-2</v>
      </c>
      <c r="D784">
        <v>1.3105440100000001</v>
      </c>
      <c r="E784">
        <f t="shared" si="420"/>
        <v>5.3181140000000002E-2</v>
      </c>
      <c r="F784">
        <f t="shared" si="421"/>
        <v>1.0446383100000001</v>
      </c>
      <c r="G784">
        <f t="shared" si="422"/>
        <v>0.77873261000000005</v>
      </c>
      <c r="H784">
        <f t="shared" si="423"/>
        <v>0.51282691000000002</v>
      </c>
      <c r="I784">
        <f t="shared" si="424"/>
        <v>0.24692121</v>
      </c>
      <c r="J784">
        <f t="shared" si="425"/>
        <v>0</v>
      </c>
      <c r="K784" s="1">
        <f t="shared" si="426"/>
        <v>5.3181140000000002E-2</v>
      </c>
      <c r="L784" s="1">
        <f t="shared" si="427"/>
        <v>5.3181140000000002E-2</v>
      </c>
      <c r="M784" s="1">
        <f t="shared" si="428"/>
        <v>5.3181140000000002E-2</v>
      </c>
      <c r="N784" s="1">
        <f t="shared" si="429"/>
        <v>5.3181140000000002E-2</v>
      </c>
      <c r="O784" s="1">
        <f t="shared" si="430"/>
        <v>0</v>
      </c>
      <c r="P784" s="1">
        <f t="shared" si="431"/>
        <v>1.0144859614443624</v>
      </c>
      <c r="Q784" s="1">
        <f t="shared" si="432"/>
        <v>1.2727165826418907</v>
      </c>
      <c r="R784" s="1">
        <f t="shared" si="433"/>
        <v>1.7072978361597058</v>
      </c>
      <c r="S784" s="1">
        <f t="shared" si="434"/>
        <v>2.5925482342570518</v>
      </c>
      <c r="T784" s="1">
        <f t="shared" si="435"/>
        <v>5.3844240436048407</v>
      </c>
      <c r="U784" s="1" t="e">
        <f t="shared" si="436"/>
        <v>#DIV/0!</v>
      </c>
      <c r="V784">
        <f t="shared" si="437"/>
        <v>71.950793746941784</v>
      </c>
      <c r="W784">
        <f t="shared" si="438"/>
        <v>86.716871849070898</v>
      </c>
      <c r="X784">
        <f t="shared" si="439"/>
        <v>91.953705856426296</v>
      </c>
      <c r="Y784">
        <f t="shared" si="440"/>
        <v>69.950964685141031</v>
      </c>
      <c r="Z784">
        <f t="shared" si="441"/>
        <v>108.84742076308471</v>
      </c>
      <c r="AA784">
        <f t="shared" si="442"/>
        <v>0</v>
      </c>
      <c r="AC784">
        <f t="shared" si="443"/>
        <v>85.829438457774501</v>
      </c>
      <c r="AD784">
        <f t="shared" si="444"/>
        <v>86.716871849070898</v>
      </c>
      <c r="AE784">
        <f t="shared" si="445"/>
        <v>87.157179675190434</v>
      </c>
      <c r="AF784">
        <f t="shared" si="446"/>
        <v>97.616447027711558</v>
      </c>
      <c r="AG784">
        <f t="shared" si="447"/>
        <v>52.724424043604841</v>
      </c>
      <c r="AH784">
        <f t="shared" si="448"/>
        <v>0</v>
      </c>
      <c r="AJ784">
        <f t="shared" si="449"/>
        <v>99.698083168607212</v>
      </c>
      <c r="AK784">
        <f t="shared" si="450"/>
        <v>103.21224621888507</v>
      </c>
      <c r="AL784">
        <f t="shared" si="451"/>
        <v>108.7601580367875</v>
      </c>
      <c r="AM784">
        <f t="shared" si="452"/>
        <v>127.15055878463946</v>
      </c>
      <c r="AN784">
        <f t="shared" si="453"/>
        <v>226.97590163518154</v>
      </c>
      <c r="AO784">
        <f t="shared" si="454"/>
        <v>0</v>
      </c>
    </row>
    <row r="785" spans="1:41" x14ac:dyDescent="0.45">
      <c r="A785">
        <v>41.567717219999999</v>
      </c>
      <c r="B785">
        <v>106.4663066</v>
      </c>
      <c r="C785">
        <v>5.3181140000000002E-2</v>
      </c>
      <c r="D785">
        <v>1.6643999999999999E-2</v>
      </c>
      <c r="E785">
        <f t="shared" si="420"/>
        <v>1.6643999999999999E-2</v>
      </c>
      <c r="F785">
        <f t="shared" si="421"/>
        <v>0</v>
      </c>
      <c r="G785">
        <f t="shared" si="422"/>
        <v>0</v>
      </c>
      <c r="H785">
        <f t="shared" si="423"/>
        <v>0</v>
      </c>
      <c r="I785">
        <f t="shared" si="424"/>
        <v>0</v>
      </c>
      <c r="J785">
        <f t="shared" si="425"/>
        <v>0</v>
      </c>
      <c r="K785" s="1">
        <f t="shared" si="426"/>
        <v>0</v>
      </c>
      <c r="L785" s="1">
        <f t="shared" si="427"/>
        <v>0</v>
      </c>
      <c r="M785" s="1">
        <f t="shared" si="428"/>
        <v>0</v>
      </c>
      <c r="N785" s="1">
        <f t="shared" si="429"/>
        <v>0</v>
      </c>
      <c r="O785" s="1">
        <f t="shared" si="430"/>
        <v>0</v>
      </c>
      <c r="P785" s="1">
        <f t="shared" si="431"/>
        <v>25</v>
      </c>
      <c r="Q785" s="1" t="e">
        <f t="shared" si="432"/>
        <v>#DIV/0!</v>
      </c>
      <c r="R785" s="1" t="e">
        <f t="shared" si="433"/>
        <v>#DIV/0!</v>
      </c>
      <c r="S785" s="1" t="e">
        <f t="shared" si="434"/>
        <v>#DIV/0!</v>
      </c>
      <c r="T785" s="1" t="e">
        <f t="shared" si="435"/>
        <v>#DIV/0!</v>
      </c>
      <c r="U785" s="1" t="e">
        <f t="shared" si="436"/>
        <v>#DIV/0!</v>
      </c>
      <c r="V785">
        <f t="shared" si="437"/>
        <v>851.48</v>
      </c>
      <c r="W785">
        <f t="shared" si="438"/>
        <v>0</v>
      </c>
      <c r="X785">
        <f t="shared" si="439"/>
        <v>0</v>
      </c>
      <c r="Y785">
        <f t="shared" si="440"/>
        <v>0</v>
      </c>
      <c r="Z785">
        <f t="shared" si="441"/>
        <v>0</v>
      </c>
      <c r="AA785">
        <f t="shared" si="442"/>
        <v>0</v>
      </c>
      <c r="AC785">
        <f t="shared" si="443"/>
        <v>1045.25</v>
      </c>
      <c r="AD785">
        <f t="shared" si="444"/>
        <v>0</v>
      </c>
      <c r="AE785">
        <f t="shared" si="445"/>
        <v>0</v>
      </c>
      <c r="AF785">
        <f t="shared" si="446"/>
        <v>0</v>
      </c>
      <c r="AG785">
        <f t="shared" si="447"/>
        <v>0</v>
      </c>
      <c r="AH785">
        <f t="shared" si="448"/>
        <v>0</v>
      </c>
      <c r="AJ785">
        <f t="shared" si="449"/>
        <v>1239.01</v>
      </c>
      <c r="AK785">
        <f t="shared" si="450"/>
        <v>0</v>
      </c>
      <c r="AL785">
        <f t="shared" si="451"/>
        <v>0</v>
      </c>
      <c r="AM785">
        <f t="shared" si="452"/>
        <v>0</v>
      </c>
      <c r="AN785">
        <f t="shared" si="453"/>
        <v>0</v>
      </c>
      <c r="AO785">
        <f t="shared" si="454"/>
        <v>0</v>
      </c>
    </row>
    <row r="786" spans="1:41" x14ac:dyDescent="0.45">
      <c r="A786">
        <v>41.613139889999999</v>
      </c>
      <c r="B786">
        <v>106.5274354</v>
      </c>
      <c r="C786">
        <v>5.3181140000000002E-2</v>
      </c>
      <c r="D786">
        <v>4.2009999999999999E-3</v>
      </c>
      <c r="E786">
        <f t="shared" si="420"/>
        <v>4.2009999999999999E-3</v>
      </c>
      <c r="F786">
        <f t="shared" si="421"/>
        <v>0</v>
      </c>
      <c r="G786">
        <f t="shared" si="422"/>
        <v>0</v>
      </c>
      <c r="H786">
        <f t="shared" si="423"/>
        <v>0</v>
      </c>
      <c r="I786">
        <f t="shared" si="424"/>
        <v>0</v>
      </c>
      <c r="J786">
        <f t="shared" si="425"/>
        <v>0</v>
      </c>
      <c r="K786" s="1">
        <f t="shared" si="426"/>
        <v>0</v>
      </c>
      <c r="L786" s="1">
        <f t="shared" si="427"/>
        <v>0</v>
      </c>
      <c r="M786" s="1">
        <f t="shared" si="428"/>
        <v>0</v>
      </c>
      <c r="N786" s="1">
        <f t="shared" si="429"/>
        <v>0</v>
      </c>
      <c r="O786" s="1">
        <f t="shared" si="430"/>
        <v>0</v>
      </c>
      <c r="P786" s="1">
        <f t="shared" si="431"/>
        <v>25</v>
      </c>
      <c r="Q786" s="1" t="e">
        <f t="shared" si="432"/>
        <v>#DIV/0!</v>
      </c>
      <c r="R786" s="1" t="e">
        <f t="shared" si="433"/>
        <v>#DIV/0!</v>
      </c>
      <c r="S786" s="1" t="e">
        <f t="shared" si="434"/>
        <v>#DIV/0!</v>
      </c>
      <c r="T786" s="1" t="e">
        <f t="shared" si="435"/>
        <v>#DIV/0!</v>
      </c>
      <c r="U786" s="1" t="e">
        <f t="shared" si="436"/>
        <v>#DIV/0!</v>
      </c>
      <c r="V786">
        <f t="shared" si="437"/>
        <v>851.48</v>
      </c>
      <c r="W786">
        <f t="shared" si="438"/>
        <v>0</v>
      </c>
      <c r="X786">
        <f t="shared" si="439"/>
        <v>0</v>
      </c>
      <c r="Y786">
        <f t="shared" si="440"/>
        <v>0</v>
      </c>
      <c r="Z786">
        <f t="shared" si="441"/>
        <v>0</v>
      </c>
      <c r="AA786">
        <f t="shared" si="442"/>
        <v>0</v>
      </c>
      <c r="AC786">
        <f t="shared" si="443"/>
        <v>1045.25</v>
      </c>
      <c r="AD786">
        <f t="shared" si="444"/>
        <v>0</v>
      </c>
      <c r="AE786">
        <f t="shared" si="445"/>
        <v>0</v>
      </c>
      <c r="AF786">
        <f t="shared" si="446"/>
        <v>0</v>
      </c>
      <c r="AG786">
        <f t="shared" si="447"/>
        <v>0</v>
      </c>
      <c r="AH786">
        <f t="shared" si="448"/>
        <v>0</v>
      </c>
      <c r="AJ786">
        <f t="shared" si="449"/>
        <v>1239.01</v>
      </c>
      <c r="AK786">
        <f t="shared" si="450"/>
        <v>0</v>
      </c>
      <c r="AL786">
        <f t="shared" si="451"/>
        <v>0</v>
      </c>
      <c r="AM786">
        <f t="shared" si="452"/>
        <v>0</v>
      </c>
      <c r="AN786">
        <f t="shared" si="453"/>
        <v>0</v>
      </c>
      <c r="AO786">
        <f t="shared" si="454"/>
        <v>0</v>
      </c>
    </row>
    <row r="787" spans="1:41" x14ac:dyDescent="0.45">
      <c r="A787">
        <v>41.679017880000004</v>
      </c>
      <c r="B787">
        <v>112.50018059999999</v>
      </c>
      <c r="C787">
        <v>0</v>
      </c>
      <c r="D787">
        <v>1.1779379800000001</v>
      </c>
      <c r="E787">
        <f t="shared" si="420"/>
        <v>0</v>
      </c>
      <c r="F787">
        <f t="shared" si="421"/>
        <v>1.1779379800000001</v>
      </c>
      <c r="G787">
        <f t="shared" si="422"/>
        <v>1.1779379800000001</v>
      </c>
      <c r="H787">
        <f t="shared" si="423"/>
        <v>1.1779379800000001</v>
      </c>
      <c r="I787">
        <f t="shared" si="424"/>
        <v>1.1779379800000001</v>
      </c>
      <c r="J787">
        <f t="shared" si="425"/>
        <v>1.1779379800000001</v>
      </c>
      <c r="K787" s="1">
        <f t="shared" si="426"/>
        <v>0</v>
      </c>
      <c r="L787" s="1">
        <f t="shared" si="427"/>
        <v>0</v>
      </c>
      <c r="M787" s="1">
        <f t="shared" si="428"/>
        <v>0</v>
      </c>
      <c r="N787" s="1">
        <f t="shared" si="429"/>
        <v>0</v>
      </c>
      <c r="O787" s="1">
        <f t="shared" si="430"/>
        <v>0</v>
      </c>
      <c r="P787" s="1">
        <f t="shared" si="431"/>
        <v>1</v>
      </c>
      <c r="Q787" s="1">
        <f t="shared" si="432"/>
        <v>1</v>
      </c>
      <c r="R787" s="1">
        <f t="shared" si="433"/>
        <v>1</v>
      </c>
      <c r="S787" s="1">
        <f t="shared" si="434"/>
        <v>1</v>
      </c>
      <c r="T787" s="1">
        <f t="shared" si="435"/>
        <v>1</v>
      </c>
      <c r="U787" s="1">
        <f t="shared" si="436"/>
        <v>1</v>
      </c>
      <c r="V787">
        <f t="shared" si="437"/>
        <v>71.48</v>
      </c>
      <c r="W787">
        <f t="shared" si="438"/>
        <v>76.489999999999995</v>
      </c>
      <c r="X787">
        <f t="shared" si="439"/>
        <v>52.14</v>
      </c>
      <c r="Y787">
        <f t="shared" si="440"/>
        <v>38.1</v>
      </c>
      <c r="Z787">
        <f t="shared" si="441"/>
        <v>32.120000000000005</v>
      </c>
      <c r="AA787">
        <f t="shared" si="442"/>
        <v>30.03</v>
      </c>
      <c r="AC787">
        <f t="shared" si="443"/>
        <v>85.25</v>
      </c>
      <c r="AD787">
        <f t="shared" si="444"/>
        <v>76.489999999999995</v>
      </c>
      <c r="AE787">
        <f t="shared" si="445"/>
        <v>64.17</v>
      </c>
      <c r="AF787">
        <f t="shared" si="446"/>
        <v>49.84</v>
      </c>
      <c r="AG787">
        <f t="shared" si="447"/>
        <v>48.34</v>
      </c>
      <c r="AH787">
        <f t="shared" si="448"/>
        <v>41.36</v>
      </c>
      <c r="AJ787">
        <f t="shared" si="449"/>
        <v>99.009999999999991</v>
      </c>
      <c r="AK787">
        <f t="shared" si="450"/>
        <v>90.94</v>
      </c>
      <c r="AL787">
        <f t="shared" si="451"/>
        <v>78.7</v>
      </c>
      <c r="AM787">
        <f t="shared" si="452"/>
        <v>67.430000000000007</v>
      </c>
      <c r="AN787">
        <f t="shared" si="453"/>
        <v>62.56</v>
      </c>
      <c r="AO787">
        <f t="shared" si="454"/>
        <v>55.19</v>
      </c>
    </row>
    <row r="788" spans="1:41" x14ac:dyDescent="0.45">
      <c r="A788">
        <v>41.70444182</v>
      </c>
      <c r="B788">
        <v>106.5280987</v>
      </c>
      <c r="C788">
        <v>5.3181140000000002E-2</v>
      </c>
      <c r="D788">
        <v>3.2067999999999999E-2</v>
      </c>
      <c r="E788">
        <f t="shared" si="420"/>
        <v>3.2067999999999999E-2</v>
      </c>
      <c r="F788">
        <f t="shared" si="421"/>
        <v>0</v>
      </c>
      <c r="G788">
        <f t="shared" si="422"/>
        <v>0</v>
      </c>
      <c r="H788">
        <f t="shared" si="423"/>
        <v>0</v>
      </c>
      <c r="I788">
        <f t="shared" si="424"/>
        <v>0</v>
      </c>
      <c r="J788">
        <f t="shared" si="425"/>
        <v>0</v>
      </c>
      <c r="K788" s="1">
        <f t="shared" si="426"/>
        <v>0</v>
      </c>
      <c r="L788" s="1">
        <f t="shared" si="427"/>
        <v>0</v>
      </c>
      <c r="M788" s="1">
        <f t="shared" si="428"/>
        <v>0</v>
      </c>
      <c r="N788" s="1">
        <f t="shared" si="429"/>
        <v>0</v>
      </c>
      <c r="O788" s="1">
        <f t="shared" si="430"/>
        <v>0</v>
      </c>
      <c r="P788" s="1">
        <f t="shared" si="431"/>
        <v>25</v>
      </c>
      <c r="Q788" s="1" t="e">
        <f t="shared" si="432"/>
        <v>#DIV/0!</v>
      </c>
      <c r="R788" s="1" t="e">
        <f t="shared" si="433"/>
        <v>#DIV/0!</v>
      </c>
      <c r="S788" s="1" t="e">
        <f t="shared" si="434"/>
        <v>#DIV/0!</v>
      </c>
      <c r="T788" s="1" t="e">
        <f t="shared" si="435"/>
        <v>#DIV/0!</v>
      </c>
      <c r="U788" s="1" t="e">
        <f t="shared" si="436"/>
        <v>#DIV/0!</v>
      </c>
      <c r="V788">
        <f t="shared" si="437"/>
        <v>851.48</v>
      </c>
      <c r="W788">
        <f t="shared" si="438"/>
        <v>0</v>
      </c>
      <c r="X788">
        <f t="shared" si="439"/>
        <v>0</v>
      </c>
      <c r="Y788">
        <f t="shared" si="440"/>
        <v>0</v>
      </c>
      <c r="Z788">
        <f t="shared" si="441"/>
        <v>0</v>
      </c>
      <c r="AA788">
        <f t="shared" si="442"/>
        <v>0</v>
      </c>
      <c r="AC788">
        <f t="shared" si="443"/>
        <v>1045.25</v>
      </c>
      <c r="AD788">
        <f t="shared" si="444"/>
        <v>0</v>
      </c>
      <c r="AE788">
        <f t="shared" si="445"/>
        <v>0</v>
      </c>
      <c r="AF788">
        <f t="shared" si="446"/>
        <v>0</v>
      </c>
      <c r="AG788">
        <f t="shared" si="447"/>
        <v>0</v>
      </c>
      <c r="AH788">
        <f t="shared" si="448"/>
        <v>0</v>
      </c>
      <c r="AJ788">
        <f t="shared" si="449"/>
        <v>1239.01</v>
      </c>
      <c r="AK788">
        <f t="shared" si="450"/>
        <v>0</v>
      </c>
      <c r="AL788">
        <f t="shared" si="451"/>
        <v>0</v>
      </c>
      <c r="AM788">
        <f t="shared" si="452"/>
        <v>0</v>
      </c>
      <c r="AN788">
        <f t="shared" si="453"/>
        <v>0</v>
      </c>
      <c r="AO788">
        <f t="shared" si="454"/>
        <v>0</v>
      </c>
    </row>
    <row r="789" spans="1:41" x14ac:dyDescent="0.45">
      <c r="A789">
        <v>41.768028809999997</v>
      </c>
      <c r="B789">
        <v>123.07785579999999</v>
      </c>
      <c r="C789">
        <v>10.32753563</v>
      </c>
      <c r="D789">
        <v>3.7674369799999998</v>
      </c>
      <c r="E789">
        <f t="shared" si="420"/>
        <v>3.7674369799999998</v>
      </c>
      <c r="F789">
        <f t="shared" si="421"/>
        <v>0</v>
      </c>
      <c r="G789">
        <f t="shared" si="422"/>
        <v>0</v>
      </c>
      <c r="H789">
        <f t="shared" si="423"/>
        <v>0</v>
      </c>
      <c r="I789">
        <f t="shared" si="424"/>
        <v>0</v>
      </c>
      <c r="J789">
        <f t="shared" si="425"/>
        <v>0</v>
      </c>
      <c r="K789" s="1">
        <f t="shared" si="426"/>
        <v>0</v>
      </c>
      <c r="L789" s="1">
        <f t="shared" si="427"/>
        <v>0</v>
      </c>
      <c r="M789" s="1">
        <f t="shared" si="428"/>
        <v>0</v>
      </c>
      <c r="N789" s="1">
        <f t="shared" si="429"/>
        <v>0</v>
      </c>
      <c r="O789" s="1">
        <f t="shared" si="430"/>
        <v>0</v>
      </c>
      <c r="P789" s="1">
        <f t="shared" si="431"/>
        <v>25</v>
      </c>
      <c r="Q789" s="1" t="e">
        <f t="shared" si="432"/>
        <v>#DIV/0!</v>
      </c>
      <c r="R789" s="1" t="e">
        <f t="shared" si="433"/>
        <v>#DIV/0!</v>
      </c>
      <c r="S789" s="1" t="e">
        <f t="shared" si="434"/>
        <v>#DIV/0!</v>
      </c>
      <c r="T789" s="1" t="e">
        <f t="shared" si="435"/>
        <v>#DIV/0!</v>
      </c>
      <c r="U789" s="1" t="e">
        <f t="shared" si="436"/>
        <v>#DIV/0!</v>
      </c>
      <c r="V789">
        <f t="shared" si="437"/>
        <v>851.48</v>
      </c>
      <c r="W789">
        <f t="shared" si="438"/>
        <v>0</v>
      </c>
      <c r="X789">
        <f t="shared" si="439"/>
        <v>0</v>
      </c>
      <c r="Y789">
        <f t="shared" si="440"/>
        <v>0</v>
      </c>
      <c r="Z789">
        <f t="shared" si="441"/>
        <v>0</v>
      </c>
      <c r="AA789">
        <f t="shared" si="442"/>
        <v>0</v>
      </c>
      <c r="AC789">
        <f t="shared" si="443"/>
        <v>1045.25</v>
      </c>
      <c r="AD789">
        <f t="shared" si="444"/>
        <v>0</v>
      </c>
      <c r="AE789">
        <f t="shared" si="445"/>
        <v>0</v>
      </c>
      <c r="AF789">
        <f t="shared" si="446"/>
        <v>0</v>
      </c>
      <c r="AG789">
        <f t="shared" si="447"/>
        <v>0</v>
      </c>
      <c r="AH789">
        <f t="shared" si="448"/>
        <v>0</v>
      </c>
      <c r="AJ789">
        <f t="shared" si="449"/>
        <v>1239.01</v>
      </c>
      <c r="AK789">
        <f t="shared" si="450"/>
        <v>0</v>
      </c>
      <c r="AL789">
        <f t="shared" si="451"/>
        <v>0</v>
      </c>
      <c r="AM789">
        <f t="shared" si="452"/>
        <v>0</v>
      </c>
      <c r="AN789">
        <f t="shared" si="453"/>
        <v>0</v>
      </c>
      <c r="AO789">
        <f t="shared" si="454"/>
        <v>0</v>
      </c>
    </row>
    <row r="790" spans="1:41" x14ac:dyDescent="0.45">
      <c r="A790">
        <v>41.791920140000002</v>
      </c>
      <c r="B790">
        <v>122.8977324</v>
      </c>
      <c r="C790">
        <v>10.32753563</v>
      </c>
      <c r="D790">
        <v>9.0131864499999992</v>
      </c>
      <c r="E790">
        <f t="shared" si="420"/>
        <v>9.0131864499999992</v>
      </c>
      <c r="F790">
        <f t="shared" si="421"/>
        <v>0</v>
      </c>
      <c r="G790">
        <f t="shared" si="422"/>
        <v>0</v>
      </c>
      <c r="H790">
        <f t="shared" si="423"/>
        <v>0</v>
      </c>
      <c r="I790">
        <f t="shared" si="424"/>
        <v>0</v>
      </c>
      <c r="J790">
        <f t="shared" si="425"/>
        <v>0</v>
      </c>
      <c r="K790" s="1">
        <f t="shared" si="426"/>
        <v>0</v>
      </c>
      <c r="L790" s="1">
        <f t="shared" si="427"/>
        <v>0</v>
      </c>
      <c r="M790" s="1">
        <f t="shared" si="428"/>
        <v>0</v>
      </c>
      <c r="N790" s="1">
        <f t="shared" si="429"/>
        <v>0</v>
      </c>
      <c r="O790" s="1">
        <f t="shared" si="430"/>
        <v>0</v>
      </c>
      <c r="P790" s="1">
        <f t="shared" si="431"/>
        <v>25</v>
      </c>
      <c r="Q790" s="1" t="e">
        <f t="shared" si="432"/>
        <v>#DIV/0!</v>
      </c>
      <c r="R790" s="1" t="e">
        <f t="shared" si="433"/>
        <v>#DIV/0!</v>
      </c>
      <c r="S790" s="1" t="e">
        <f t="shared" si="434"/>
        <v>#DIV/0!</v>
      </c>
      <c r="T790" s="1" t="e">
        <f t="shared" si="435"/>
        <v>#DIV/0!</v>
      </c>
      <c r="U790" s="1" t="e">
        <f t="shared" si="436"/>
        <v>#DIV/0!</v>
      </c>
      <c r="V790">
        <f t="shared" si="437"/>
        <v>851.48</v>
      </c>
      <c r="W790">
        <f t="shared" si="438"/>
        <v>0</v>
      </c>
      <c r="X790">
        <f t="shared" si="439"/>
        <v>0</v>
      </c>
      <c r="Y790">
        <f t="shared" si="440"/>
        <v>0</v>
      </c>
      <c r="Z790">
        <f t="shared" si="441"/>
        <v>0</v>
      </c>
      <c r="AA790">
        <f t="shared" si="442"/>
        <v>0</v>
      </c>
      <c r="AC790">
        <f t="shared" si="443"/>
        <v>1045.25</v>
      </c>
      <c r="AD790">
        <f t="shared" si="444"/>
        <v>0</v>
      </c>
      <c r="AE790">
        <f t="shared" si="445"/>
        <v>0</v>
      </c>
      <c r="AF790">
        <f t="shared" si="446"/>
        <v>0</v>
      </c>
      <c r="AG790">
        <f t="shared" si="447"/>
        <v>0</v>
      </c>
      <c r="AH790">
        <f t="shared" si="448"/>
        <v>0</v>
      </c>
      <c r="AJ790">
        <f t="shared" si="449"/>
        <v>1239.01</v>
      </c>
      <c r="AK790">
        <f t="shared" si="450"/>
        <v>0</v>
      </c>
      <c r="AL790">
        <f t="shared" si="451"/>
        <v>0</v>
      </c>
      <c r="AM790">
        <f t="shared" si="452"/>
        <v>0</v>
      </c>
      <c r="AN790">
        <f t="shared" si="453"/>
        <v>0</v>
      </c>
      <c r="AO790">
        <f t="shared" si="454"/>
        <v>0</v>
      </c>
    </row>
    <row r="791" spans="1:41" x14ac:dyDescent="0.45">
      <c r="A791">
        <v>41.812961029999997</v>
      </c>
      <c r="B791">
        <v>123.08855610000001</v>
      </c>
      <c r="C791">
        <v>10.32753563</v>
      </c>
      <c r="D791">
        <v>25.73125267</v>
      </c>
      <c r="E791">
        <f t="shared" si="420"/>
        <v>10.32753563</v>
      </c>
      <c r="F791">
        <f t="shared" si="421"/>
        <v>0</v>
      </c>
      <c r="G791">
        <f t="shared" si="422"/>
        <v>0</v>
      </c>
      <c r="H791">
        <f t="shared" si="423"/>
        <v>0</v>
      </c>
      <c r="I791">
        <f t="shared" si="424"/>
        <v>0</v>
      </c>
      <c r="J791">
        <f t="shared" si="425"/>
        <v>0</v>
      </c>
      <c r="K791" s="1">
        <f t="shared" si="426"/>
        <v>0</v>
      </c>
      <c r="L791" s="1">
        <f t="shared" si="427"/>
        <v>0</v>
      </c>
      <c r="M791" s="1">
        <f t="shared" si="428"/>
        <v>0</v>
      </c>
      <c r="N791" s="1">
        <f t="shared" si="429"/>
        <v>0</v>
      </c>
      <c r="O791" s="1">
        <f t="shared" si="430"/>
        <v>0</v>
      </c>
      <c r="P791" s="1">
        <f t="shared" si="431"/>
        <v>10.034038919955933</v>
      </c>
      <c r="Q791" s="1" t="e">
        <f t="shared" si="432"/>
        <v>#DIV/0!</v>
      </c>
      <c r="R791" s="1" t="e">
        <f t="shared" si="433"/>
        <v>#DIV/0!</v>
      </c>
      <c r="S791" s="1" t="e">
        <f t="shared" si="434"/>
        <v>#DIV/0!</v>
      </c>
      <c r="T791" s="1" t="e">
        <f t="shared" si="435"/>
        <v>#DIV/0!</v>
      </c>
      <c r="U791" s="1" t="e">
        <f t="shared" si="436"/>
        <v>#DIV/0!</v>
      </c>
      <c r="V791">
        <f t="shared" si="437"/>
        <v>365.08626489856783</v>
      </c>
      <c r="W791">
        <f t="shared" si="438"/>
        <v>0</v>
      </c>
      <c r="X791">
        <f t="shared" si="439"/>
        <v>0</v>
      </c>
      <c r="Y791">
        <f t="shared" si="440"/>
        <v>0</v>
      </c>
      <c r="Z791">
        <f t="shared" si="441"/>
        <v>0</v>
      </c>
      <c r="AA791">
        <f t="shared" si="442"/>
        <v>0</v>
      </c>
      <c r="AC791">
        <f t="shared" si="443"/>
        <v>446.6115567982373</v>
      </c>
      <c r="AD791">
        <f t="shared" si="444"/>
        <v>0</v>
      </c>
      <c r="AE791">
        <f t="shared" si="445"/>
        <v>0</v>
      </c>
      <c r="AF791">
        <f t="shared" si="446"/>
        <v>0</v>
      </c>
      <c r="AG791">
        <f t="shared" si="447"/>
        <v>0</v>
      </c>
      <c r="AH791">
        <f t="shared" si="448"/>
        <v>0</v>
      </c>
      <c r="AJ791">
        <f t="shared" si="449"/>
        <v>528.12684869790678</v>
      </c>
      <c r="AK791">
        <f t="shared" si="450"/>
        <v>0</v>
      </c>
      <c r="AL791">
        <f t="shared" si="451"/>
        <v>0</v>
      </c>
      <c r="AM791">
        <f t="shared" si="452"/>
        <v>0</v>
      </c>
      <c r="AN791">
        <f t="shared" si="453"/>
        <v>0</v>
      </c>
      <c r="AO791">
        <f t="shared" si="454"/>
        <v>0</v>
      </c>
    </row>
    <row r="792" spans="1:41" x14ac:dyDescent="0.45">
      <c r="A792">
        <v>41.840864019999998</v>
      </c>
      <c r="B792">
        <v>86.813953589999997</v>
      </c>
      <c r="C792">
        <v>0</v>
      </c>
      <c r="D792">
        <v>0.77887499000000004</v>
      </c>
      <c r="E792">
        <f t="shared" si="420"/>
        <v>0</v>
      </c>
      <c r="F792">
        <f t="shared" si="421"/>
        <v>0.77887499000000004</v>
      </c>
      <c r="G792">
        <f t="shared" si="422"/>
        <v>0.77887499000000004</v>
      </c>
      <c r="H792">
        <f t="shared" si="423"/>
        <v>0.77887499000000004</v>
      </c>
      <c r="I792">
        <f t="shared" si="424"/>
        <v>0.77887499000000004</v>
      </c>
      <c r="J792">
        <f t="shared" si="425"/>
        <v>0.77887499000000004</v>
      </c>
      <c r="K792" s="1">
        <f t="shared" si="426"/>
        <v>0</v>
      </c>
      <c r="L792" s="1">
        <f t="shared" si="427"/>
        <v>0</v>
      </c>
      <c r="M792" s="1">
        <f t="shared" si="428"/>
        <v>0</v>
      </c>
      <c r="N792" s="1">
        <f t="shared" si="429"/>
        <v>0</v>
      </c>
      <c r="O792" s="1">
        <f t="shared" si="430"/>
        <v>0</v>
      </c>
      <c r="P792" s="1">
        <f t="shared" si="431"/>
        <v>1</v>
      </c>
      <c r="Q792" s="1">
        <f t="shared" si="432"/>
        <v>1</v>
      </c>
      <c r="R792" s="1">
        <f t="shared" si="433"/>
        <v>1</v>
      </c>
      <c r="S792" s="1">
        <f t="shared" si="434"/>
        <v>1</v>
      </c>
      <c r="T792" s="1">
        <f t="shared" si="435"/>
        <v>1</v>
      </c>
      <c r="U792" s="1">
        <f t="shared" si="436"/>
        <v>1</v>
      </c>
      <c r="V792">
        <f t="shared" si="437"/>
        <v>71.48</v>
      </c>
      <c r="W792">
        <f t="shared" si="438"/>
        <v>76.489999999999995</v>
      </c>
      <c r="X792">
        <f t="shared" si="439"/>
        <v>52.14</v>
      </c>
      <c r="Y792">
        <f t="shared" si="440"/>
        <v>38.1</v>
      </c>
      <c r="Z792">
        <f t="shared" si="441"/>
        <v>32.120000000000005</v>
      </c>
      <c r="AA792">
        <f t="shared" si="442"/>
        <v>30.03</v>
      </c>
      <c r="AC792">
        <f t="shared" si="443"/>
        <v>85.25</v>
      </c>
      <c r="AD792">
        <f t="shared" si="444"/>
        <v>76.489999999999995</v>
      </c>
      <c r="AE792">
        <f t="shared" si="445"/>
        <v>64.17</v>
      </c>
      <c r="AF792">
        <f t="shared" si="446"/>
        <v>49.84</v>
      </c>
      <c r="AG792">
        <f t="shared" si="447"/>
        <v>48.34</v>
      </c>
      <c r="AH792">
        <f t="shared" si="448"/>
        <v>41.36</v>
      </c>
      <c r="AJ792">
        <f t="shared" si="449"/>
        <v>99.009999999999991</v>
      </c>
      <c r="AK792">
        <f t="shared" si="450"/>
        <v>90.94</v>
      </c>
      <c r="AL792">
        <f t="shared" si="451"/>
        <v>78.7</v>
      </c>
      <c r="AM792">
        <f t="shared" si="452"/>
        <v>67.430000000000007</v>
      </c>
      <c r="AN792">
        <f t="shared" si="453"/>
        <v>62.56</v>
      </c>
      <c r="AO792">
        <f t="shared" si="454"/>
        <v>55.19</v>
      </c>
    </row>
    <row r="793" spans="1:41" x14ac:dyDescent="0.45">
      <c r="A793">
        <v>41.849860200000002</v>
      </c>
      <c r="B793">
        <v>123.15935639999999</v>
      </c>
      <c r="C793">
        <v>10.32753563</v>
      </c>
      <c r="D793">
        <v>11.707720760000001</v>
      </c>
      <c r="E793">
        <f t="shared" si="420"/>
        <v>10.32753563</v>
      </c>
      <c r="F793">
        <f t="shared" si="421"/>
        <v>0</v>
      </c>
      <c r="G793">
        <f t="shared" si="422"/>
        <v>0</v>
      </c>
      <c r="H793">
        <f t="shared" si="423"/>
        <v>0</v>
      </c>
      <c r="I793">
        <f t="shared" si="424"/>
        <v>0</v>
      </c>
      <c r="J793">
        <f t="shared" si="425"/>
        <v>0</v>
      </c>
      <c r="K793" s="1">
        <f t="shared" si="426"/>
        <v>0</v>
      </c>
      <c r="L793" s="1">
        <f t="shared" si="427"/>
        <v>0</v>
      </c>
      <c r="M793" s="1">
        <f t="shared" si="428"/>
        <v>0</v>
      </c>
      <c r="N793" s="1">
        <f t="shared" si="429"/>
        <v>0</v>
      </c>
      <c r="O793" s="1">
        <f t="shared" si="430"/>
        <v>0</v>
      </c>
      <c r="P793" s="1">
        <f t="shared" si="431"/>
        <v>22.052831293355855</v>
      </c>
      <c r="Q793" s="1" t="e">
        <f t="shared" si="432"/>
        <v>#DIV/0!</v>
      </c>
      <c r="R793" s="1" t="e">
        <f t="shared" si="433"/>
        <v>#DIV/0!</v>
      </c>
      <c r="S793" s="1" t="e">
        <f t="shared" si="434"/>
        <v>#DIV/0!</v>
      </c>
      <c r="T793" s="1" t="e">
        <f t="shared" si="435"/>
        <v>#DIV/0!</v>
      </c>
      <c r="U793" s="1" t="e">
        <f t="shared" si="436"/>
        <v>#DIV/0!</v>
      </c>
      <c r="V793">
        <f t="shared" si="437"/>
        <v>755.69701703406531</v>
      </c>
      <c r="W793">
        <f t="shared" si="438"/>
        <v>0</v>
      </c>
      <c r="X793">
        <f t="shared" si="439"/>
        <v>0</v>
      </c>
      <c r="Y793">
        <f t="shared" si="440"/>
        <v>0</v>
      </c>
      <c r="Z793">
        <f t="shared" si="441"/>
        <v>0</v>
      </c>
      <c r="AA793">
        <f t="shared" si="442"/>
        <v>0</v>
      </c>
      <c r="AC793">
        <f t="shared" si="443"/>
        <v>927.36325173423415</v>
      </c>
      <c r="AD793">
        <f t="shared" si="444"/>
        <v>0</v>
      </c>
      <c r="AE793">
        <f t="shared" si="445"/>
        <v>0</v>
      </c>
      <c r="AF793">
        <f t="shared" si="446"/>
        <v>0</v>
      </c>
      <c r="AG793">
        <f t="shared" si="447"/>
        <v>0</v>
      </c>
      <c r="AH793">
        <f t="shared" si="448"/>
        <v>0</v>
      </c>
      <c r="AJ793">
        <f t="shared" si="449"/>
        <v>1099.019486434403</v>
      </c>
      <c r="AK793">
        <f t="shared" si="450"/>
        <v>0</v>
      </c>
      <c r="AL793">
        <f t="shared" si="451"/>
        <v>0</v>
      </c>
      <c r="AM793">
        <f t="shared" si="452"/>
        <v>0</v>
      </c>
      <c r="AN793">
        <f t="shared" si="453"/>
        <v>0</v>
      </c>
      <c r="AO793">
        <f t="shared" si="454"/>
        <v>0</v>
      </c>
    </row>
    <row r="794" spans="1:41" x14ac:dyDescent="0.45">
      <c r="A794">
        <v>41.916494120000003</v>
      </c>
      <c r="B794">
        <v>83.290635390000006</v>
      </c>
      <c r="C794">
        <v>9.4094677000000004</v>
      </c>
      <c r="D794">
        <v>0.42699598999999999</v>
      </c>
      <c r="E794">
        <f t="shared" si="420"/>
        <v>0.42699598999999999</v>
      </c>
      <c r="F794">
        <f t="shared" si="421"/>
        <v>0</v>
      </c>
      <c r="G794">
        <f t="shared" si="422"/>
        <v>0</v>
      </c>
      <c r="H794">
        <f t="shared" si="423"/>
        <v>0</v>
      </c>
      <c r="I794">
        <f t="shared" si="424"/>
        <v>0</v>
      </c>
      <c r="J794">
        <f t="shared" si="425"/>
        <v>0</v>
      </c>
      <c r="K794" s="1">
        <f t="shared" si="426"/>
        <v>0</v>
      </c>
      <c r="L794" s="1">
        <f t="shared" si="427"/>
        <v>0</v>
      </c>
      <c r="M794" s="1">
        <f t="shared" si="428"/>
        <v>0</v>
      </c>
      <c r="N794" s="1">
        <f t="shared" si="429"/>
        <v>0</v>
      </c>
      <c r="O794" s="1">
        <f t="shared" si="430"/>
        <v>0</v>
      </c>
      <c r="P794" s="1">
        <f t="shared" si="431"/>
        <v>25</v>
      </c>
      <c r="Q794" s="1" t="e">
        <f t="shared" si="432"/>
        <v>#DIV/0!</v>
      </c>
      <c r="R794" s="1" t="e">
        <f t="shared" si="433"/>
        <v>#DIV/0!</v>
      </c>
      <c r="S794" s="1" t="e">
        <f t="shared" si="434"/>
        <v>#DIV/0!</v>
      </c>
      <c r="T794" s="1" t="e">
        <f t="shared" si="435"/>
        <v>#DIV/0!</v>
      </c>
      <c r="U794" s="1" t="e">
        <f t="shared" si="436"/>
        <v>#DIV/0!</v>
      </c>
      <c r="V794">
        <f t="shared" si="437"/>
        <v>851.48</v>
      </c>
      <c r="W794">
        <f t="shared" si="438"/>
        <v>0</v>
      </c>
      <c r="X794">
        <f t="shared" si="439"/>
        <v>0</v>
      </c>
      <c r="Y794">
        <f t="shared" si="440"/>
        <v>0</v>
      </c>
      <c r="Z794">
        <f t="shared" si="441"/>
        <v>0</v>
      </c>
      <c r="AA794">
        <f t="shared" si="442"/>
        <v>0</v>
      </c>
      <c r="AC794">
        <f t="shared" si="443"/>
        <v>1045.25</v>
      </c>
      <c r="AD794">
        <f t="shared" si="444"/>
        <v>0</v>
      </c>
      <c r="AE794">
        <f t="shared" si="445"/>
        <v>0</v>
      </c>
      <c r="AF794">
        <f t="shared" si="446"/>
        <v>0</v>
      </c>
      <c r="AG794">
        <f t="shared" si="447"/>
        <v>0</v>
      </c>
      <c r="AH794">
        <f t="shared" si="448"/>
        <v>0</v>
      </c>
      <c r="AJ794">
        <f t="shared" si="449"/>
        <v>1239.01</v>
      </c>
      <c r="AK794">
        <f t="shared" si="450"/>
        <v>0</v>
      </c>
      <c r="AL794">
        <f t="shared" si="451"/>
        <v>0</v>
      </c>
      <c r="AM794">
        <f t="shared" si="452"/>
        <v>0</v>
      </c>
      <c r="AN794">
        <f t="shared" si="453"/>
        <v>0</v>
      </c>
      <c r="AO794">
        <f t="shared" si="454"/>
        <v>0</v>
      </c>
    </row>
    <row r="795" spans="1:41" x14ac:dyDescent="0.45">
      <c r="A795">
        <v>41.947962050000001</v>
      </c>
      <c r="B795">
        <v>86.598102420000004</v>
      </c>
      <c r="C795">
        <v>0</v>
      </c>
      <c r="D795">
        <v>6.2896809600000001</v>
      </c>
      <c r="E795">
        <f t="shared" si="420"/>
        <v>0</v>
      </c>
      <c r="F795">
        <f t="shared" si="421"/>
        <v>6.2896809600000001</v>
      </c>
      <c r="G795">
        <f t="shared" si="422"/>
        <v>6.2896809600000001</v>
      </c>
      <c r="H795">
        <f t="shared" si="423"/>
        <v>6.2896809600000001</v>
      </c>
      <c r="I795">
        <f t="shared" si="424"/>
        <v>6.2896809600000001</v>
      </c>
      <c r="J795">
        <f t="shared" si="425"/>
        <v>6.2896809600000001</v>
      </c>
      <c r="K795" s="1">
        <f t="shared" si="426"/>
        <v>0</v>
      </c>
      <c r="L795" s="1">
        <f t="shared" si="427"/>
        <v>0</v>
      </c>
      <c r="M795" s="1">
        <f t="shared" si="428"/>
        <v>0</v>
      </c>
      <c r="N795" s="1">
        <f t="shared" si="429"/>
        <v>0</v>
      </c>
      <c r="O795" s="1">
        <f t="shared" si="430"/>
        <v>0</v>
      </c>
      <c r="P795" s="1">
        <f t="shared" si="431"/>
        <v>1</v>
      </c>
      <c r="Q795" s="1">
        <f t="shared" si="432"/>
        <v>1</v>
      </c>
      <c r="R795" s="1">
        <f t="shared" si="433"/>
        <v>1</v>
      </c>
      <c r="S795" s="1">
        <f t="shared" si="434"/>
        <v>1</v>
      </c>
      <c r="T795" s="1">
        <f t="shared" si="435"/>
        <v>1</v>
      </c>
      <c r="U795" s="1">
        <f t="shared" si="436"/>
        <v>1</v>
      </c>
      <c r="V795">
        <f t="shared" si="437"/>
        <v>71.48</v>
      </c>
      <c r="W795">
        <f t="shared" si="438"/>
        <v>76.489999999999995</v>
      </c>
      <c r="X795">
        <f t="shared" si="439"/>
        <v>52.14</v>
      </c>
      <c r="Y795">
        <f t="shared" si="440"/>
        <v>38.1</v>
      </c>
      <c r="Z795">
        <f t="shared" si="441"/>
        <v>32.120000000000005</v>
      </c>
      <c r="AA795">
        <f t="shared" si="442"/>
        <v>30.03</v>
      </c>
      <c r="AC795">
        <f t="shared" si="443"/>
        <v>85.25</v>
      </c>
      <c r="AD795">
        <f t="shared" si="444"/>
        <v>76.489999999999995</v>
      </c>
      <c r="AE795">
        <f t="shared" si="445"/>
        <v>64.17</v>
      </c>
      <c r="AF795">
        <f t="shared" si="446"/>
        <v>49.84</v>
      </c>
      <c r="AG795">
        <f t="shared" si="447"/>
        <v>48.34</v>
      </c>
      <c r="AH795">
        <f t="shared" si="448"/>
        <v>41.36</v>
      </c>
      <c r="AJ795">
        <f t="shared" si="449"/>
        <v>99.009999999999991</v>
      </c>
      <c r="AK795">
        <f t="shared" si="450"/>
        <v>90.94</v>
      </c>
      <c r="AL795">
        <f t="shared" si="451"/>
        <v>78.7</v>
      </c>
      <c r="AM795">
        <f t="shared" si="452"/>
        <v>67.430000000000007</v>
      </c>
      <c r="AN795">
        <f t="shared" si="453"/>
        <v>62.56</v>
      </c>
      <c r="AO795">
        <f t="shared" si="454"/>
        <v>55.19</v>
      </c>
    </row>
    <row r="796" spans="1:41" x14ac:dyDescent="0.45">
      <c r="A796">
        <v>41.98244725</v>
      </c>
      <c r="B796">
        <v>100.10602040000001</v>
      </c>
      <c r="C796">
        <v>3.9885860000000002E-2</v>
      </c>
      <c r="D796">
        <v>6.9430000000000004E-3</v>
      </c>
      <c r="E796">
        <f t="shared" si="420"/>
        <v>6.9430000000000004E-3</v>
      </c>
      <c r="F796">
        <f t="shared" si="421"/>
        <v>0</v>
      </c>
      <c r="G796">
        <f t="shared" si="422"/>
        <v>0</v>
      </c>
      <c r="H796">
        <f t="shared" si="423"/>
        <v>0</v>
      </c>
      <c r="I796">
        <f t="shared" si="424"/>
        <v>0</v>
      </c>
      <c r="J796">
        <f t="shared" si="425"/>
        <v>0</v>
      </c>
      <c r="K796" s="1">
        <f t="shared" si="426"/>
        <v>0</v>
      </c>
      <c r="L796" s="1">
        <f t="shared" si="427"/>
        <v>0</v>
      </c>
      <c r="M796" s="1">
        <f t="shared" si="428"/>
        <v>0</v>
      </c>
      <c r="N796" s="1">
        <f t="shared" si="429"/>
        <v>0</v>
      </c>
      <c r="O796" s="1">
        <f t="shared" si="430"/>
        <v>0</v>
      </c>
      <c r="P796" s="1">
        <f t="shared" si="431"/>
        <v>25</v>
      </c>
      <c r="Q796" s="1" t="e">
        <f t="shared" si="432"/>
        <v>#DIV/0!</v>
      </c>
      <c r="R796" s="1" t="e">
        <f t="shared" si="433"/>
        <v>#DIV/0!</v>
      </c>
      <c r="S796" s="1" t="e">
        <f t="shared" si="434"/>
        <v>#DIV/0!</v>
      </c>
      <c r="T796" s="1" t="e">
        <f t="shared" si="435"/>
        <v>#DIV/0!</v>
      </c>
      <c r="U796" s="1" t="e">
        <f t="shared" si="436"/>
        <v>#DIV/0!</v>
      </c>
      <c r="V796">
        <f t="shared" si="437"/>
        <v>851.48</v>
      </c>
      <c r="W796">
        <f t="shared" si="438"/>
        <v>0</v>
      </c>
      <c r="X796">
        <f t="shared" si="439"/>
        <v>0</v>
      </c>
      <c r="Y796">
        <f t="shared" si="440"/>
        <v>0</v>
      </c>
      <c r="Z796">
        <f t="shared" si="441"/>
        <v>0</v>
      </c>
      <c r="AA796">
        <f t="shared" si="442"/>
        <v>0</v>
      </c>
      <c r="AC796">
        <f t="shared" si="443"/>
        <v>1045.25</v>
      </c>
      <c r="AD796">
        <f t="shared" si="444"/>
        <v>0</v>
      </c>
      <c r="AE796">
        <f t="shared" si="445"/>
        <v>0</v>
      </c>
      <c r="AF796">
        <f t="shared" si="446"/>
        <v>0</v>
      </c>
      <c r="AG796">
        <f t="shared" si="447"/>
        <v>0</v>
      </c>
      <c r="AH796">
        <f t="shared" si="448"/>
        <v>0</v>
      </c>
      <c r="AJ796">
        <f t="shared" si="449"/>
        <v>1239.01</v>
      </c>
      <c r="AK796">
        <f t="shared" si="450"/>
        <v>0</v>
      </c>
      <c r="AL796">
        <f t="shared" si="451"/>
        <v>0</v>
      </c>
      <c r="AM796">
        <f t="shared" si="452"/>
        <v>0</v>
      </c>
      <c r="AN796">
        <f t="shared" si="453"/>
        <v>0</v>
      </c>
      <c r="AO796">
        <f t="shared" si="454"/>
        <v>0</v>
      </c>
    </row>
    <row r="797" spans="1:41" x14ac:dyDescent="0.45">
      <c r="A797">
        <v>42.013113820000001</v>
      </c>
      <c r="B797">
        <v>107.75391380000001</v>
      </c>
      <c r="C797">
        <v>12.724843030000001</v>
      </c>
      <c r="D797">
        <v>6.9438E-2</v>
      </c>
      <c r="E797">
        <f t="shared" si="420"/>
        <v>6.9438E-2</v>
      </c>
      <c r="F797">
        <f t="shared" si="421"/>
        <v>0</v>
      </c>
      <c r="G797">
        <f t="shared" si="422"/>
        <v>0</v>
      </c>
      <c r="H797">
        <f t="shared" si="423"/>
        <v>0</v>
      </c>
      <c r="I797">
        <f t="shared" si="424"/>
        <v>0</v>
      </c>
      <c r="J797">
        <f t="shared" si="425"/>
        <v>0</v>
      </c>
      <c r="K797" s="1">
        <f t="shared" si="426"/>
        <v>0</v>
      </c>
      <c r="L797" s="1">
        <f t="shared" si="427"/>
        <v>0</v>
      </c>
      <c r="M797" s="1">
        <f t="shared" si="428"/>
        <v>0</v>
      </c>
      <c r="N797" s="1">
        <f t="shared" si="429"/>
        <v>0</v>
      </c>
      <c r="O797" s="1">
        <f t="shared" si="430"/>
        <v>0</v>
      </c>
      <c r="P797" s="1">
        <f t="shared" si="431"/>
        <v>25</v>
      </c>
      <c r="Q797" s="1" t="e">
        <f t="shared" si="432"/>
        <v>#DIV/0!</v>
      </c>
      <c r="R797" s="1" t="e">
        <f t="shared" si="433"/>
        <v>#DIV/0!</v>
      </c>
      <c r="S797" s="1" t="e">
        <f t="shared" si="434"/>
        <v>#DIV/0!</v>
      </c>
      <c r="T797" s="1" t="e">
        <f t="shared" si="435"/>
        <v>#DIV/0!</v>
      </c>
      <c r="U797" s="1" t="e">
        <f t="shared" si="436"/>
        <v>#DIV/0!</v>
      </c>
      <c r="V797">
        <f t="shared" si="437"/>
        <v>851.48</v>
      </c>
      <c r="W797">
        <f t="shared" si="438"/>
        <v>0</v>
      </c>
      <c r="X797">
        <f t="shared" si="439"/>
        <v>0</v>
      </c>
      <c r="Y797">
        <f t="shared" si="440"/>
        <v>0</v>
      </c>
      <c r="Z797">
        <f t="shared" si="441"/>
        <v>0</v>
      </c>
      <c r="AA797">
        <f t="shared" si="442"/>
        <v>0</v>
      </c>
      <c r="AC797">
        <f t="shared" si="443"/>
        <v>1045.25</v>
      </c>
      <c r="AD797">
        <f t="shared" si="444"/>
        <v>0</v>
      </c>
      <c r="AE797">
        <f t="shared" si="445"/>
        <v>0</v>
      </c>
      <c r="AF797">
        <f t="shared" si="446"/>
        <v>0</v>
      </c>
      <c r="AG797">
        <f t="shared" si="447"/>
        <v>0</v>
      </c>
      <c r="AH797">
        <f t="shared" si="448"/>
        <v>0</v>
      </c>
      <c r="AJ797">
        <f t="shared" si="449"/>
        <v>1239.01</v>
      </c>
      <c r="AK797">
        <f t="shared" si="450"/>
        <v>0</v>
      </c>
      <c r="AL797">
        <f t="shared" si="451"/>
        <v>0</v>
      </c>
      <c r="AM797">
        <f t="shared" si="452"/>
        <v>0</v>
      </c>
      <c r="AN797">
        <f t="shared" si="453"/>
        <v>0</v>
      </c>
      <c r="AO797">
        <f t="shared" si="454"/>
        <v>0</v>
      </c>
    </row>
    <row r="798" spans="1:41" x14ac:dyDescent="0.45">
      <c r="A798">
        <v>42.101720659999998</v>
      </c>
      <c r="B798">
        <v>107.93984709999999</v>
      </c>
      <c r="C798">
        <v>12.724843030000001</v>
      </c>
      <c r="D798">
        <v>2.6920619000000001</v>
      </c>
      <c r="E798">
        <f t="shared" si="420"/>
        <v>2.6920619000000001</v>
      </c>
      <c r="F798">
        <f t="shared" si="421"/>
        <v>0</v>
      </c>
      <c r="G798">
        <f t="shared" si="422"/>
        <v>0</v>
      </c>
      <c r="H798">
        <f t="shared" si="423"/>
        <v>0</v>
      </c>
      <c r="I798">
        <f t="shared" si="424"/>
        <v>0</v>
      </c>
      <c r="J798">
        <f t="shared" si="425"/>
        <v>0</v>
      </c>
      <c r="K798" s="1">
        <f t="shared" si="426"/>
        <v>0</v>
      </c>
      <c r="L798" s="1">
        <f t="shared" si="427"/>
        <v>0</v>
      </c>
      <c r="M798" s="1">
        <f t="shared" si="428"/>
        <v>0</v>
      </c>
      <c r="N798" s="1">
        <f t="shared" si="429"/>
        <v>0</v>
      </c>
      <c r="O798" s="1">
        <f t="shared" si="430"/>
        <v>0</v>
      </c>
      <c r="P798" s="1">
        <f t="shared" si="431"/>
        <v>24.999999999999996</v>
      </c>
      <c r="Q798" s="1" t="e">
        <f t="shared" si="432"/>
        <v>#DIV/0!</v>
      </c>
      <c r="R798" s="1" t="e">
        <f t="shared" si="433"/>
        <v>#DIV/0!</v>
      </c>
      <c r="S798" s="1" t="e">
        <f t="shared" si="434"/>
        <v>#DIV/0!</v>
      </c>
      <c r="T798" s="1" t="e">
        <f t="shared" si="435"/>
        <v>#DIV/0!</v>
      </c>
      <c r="U798" s="1" t="e">
        <f t="shared" si="436"/>
        <v>#DIV/0!</v>
      </c>
      <c r="V798">
        <f t="shared" si="437"/>
        <v>851.4799999999999</v>
      </c>
      <c r="W798">
        <f t="shared" si="438"/>
        <v>0</v>
      </c>
      <c r="X798">
        <f t="shared" si="439"/>
        <v>0</v>
      </c>
      <c r="Y798">
        <f t="shared" si="440"/>
        <v>0</v>
      </c>
      <c r="Z798">
        <f t="shared" si="441"/>
        <v>0</v>
      </c>
      <c r="AA798">
        <f t="shared" si="442"/>
        <v>0</v>
      </c>
      <c r="AC798">
        <f t="shared" si="443"/>
        <v>1045.25</v>
      </c>
      <c r="AD798">
        <f t="shared" si="444"/>
        <v>0</v>
      </c>
      <c r="AE798">
        <f t="shared" si="445"/>
        <v>0</v>
      </c>
      <c r="AF798">
        <f t="shared" si="446"/>
        <v>0</v>
      </c>
      <c r="AG798">
        <f t="shared" si="447"/>
        <v>0</v>
      </c>
      <c r="AH798">
        <f t="shared" si="448"/>
        <v>0</v>
      </c>
      <c r="AJ798">
        <f t="shared" si="449"/>
        <v>1239.0099999999998</v>
      </c>
      <c r="AK798">
        <f t="shared" si="450"/>
        <v>0</v>
      </c>
      <c r="AL798">
        <f t="shared" si="451"/>
        <v>0</v>
      </c>
      <c r="AM798">
        <f t="shared" si="452"/>
        <v>0</v>
      </c>
      <c r="AN798">
        <f t="shared" si="453"/>
        <v>0</v>
      </c>
      <c r="AO798">
        <f t="shared" si="454"/>
        <v>0</v>
      </c>
    </row>
    <row r="799" spans="1:41" x14ac:dyDescent="0.45">
      <c r="A799">
        <v>42.149091759999997</v>
      </c>
      <c r="B799">
        <v>107.8185216</v>
      </c>
      <c r="C799">
        <v>12.724843030000001</v>
      </c>
      <c r="D799">
        <v>0.30413899</v>
      </c>
      <c r="E799">
        <f t="shared" si="420"/>
        <v>0.30413899</v>
      </c>
      <c r="F799">
        <f t="shared" si="421"/>
        <v>0</v>
      </c>
      <c r="G799">
        <f t="shared" si="422"/>
        <v>0</v>
      </c>
      <c r="H799">
        <f t="shared" si="423"/>
        <v>0</v>
      </c>
      <c r="I799">
        <f t="shared" si="424"/>
        <v>0</v>
      </c>
      <c r="J799">
        <f t="shared" si="425"/>
        <v>0</v>
      </c>
      <c r="K799" s="1">
        <f t="shared" si="426"/>
        <v>0</v>
      </c>
      <c r="L799" s="1">
        <f t="shared" si="427"/>
        <v>0</v>
      </c>
      <c r="M799" s="1">
        <f t="shared" si="428"/>
        <v>0</v>
      </c>
      <c r="N799" s="1">
        <f t="shared" si="429"/>
        <v>0</v>
      </c>
      <c r="O799" s="1">
        <f t="shared" si="430"/>
        <v>0</v>
      </c>
      <c r="P799" s="1">
        <f t="shared" si="431"/>
        <v>25</v>
      </c>
      <c r="Q799" s="1" t="e">
        <f t="shared" si="432"/>
        <v>#DIV/0!</v>
      </c>
      <c r="R799" s="1" t="e">
        <f t="shared" si="433"/>
        <v>#DIV/0!</v>
      </c>
      <c r="S799" s="1" t="e">
        <f t="shared" si="434"/>
        <v>#DIV/0!</v>
      </c>
      <c r="T799" s="1" t="e">
        <f t="shared" si="435"/>
        <v>#DIV/0!</v>
      </c>
      <c r="U799" s="1" t="e">
        <f t="shared" si="436"/>
        <v>#DIV/0!</v>
      </c>
      <c r="V799">
        <f t="shared" si="437"/>
        <v>851.48</v>
      </c>
      <c r="W799">
        <f t="shared" si="438"/>
        <v>0</v>
      </c>
      <c r="X799">
        <f t="shared" si="439"/>
        <v>0</v>
      </c>
      <c r="Y799">
        <f t="shared" si="440"/>
        <v>0</v>
      </c>
      <c r="Z799">
        <f t="shared" si="441"/>
        <v>0</v>
      </c>
      <c r="AA799">
        <f t="shared" si="442"/>
        <v>0</v>
      </c>
      <c r="AC799">
        <f t="shared" si="443"/>
        <v>1045.25</v>
      </c>
      <c r="AD799">
        <f t="shared" si="444"/>
        <v>0</v>
      </c>
      <c r="AE799">
        <f t="shared" si="445"/>
        <v>0</v>
      </c>
      <c r="AF799">
        <f t="shared" si="446"/>
        <v>0</v>
      </c>
      <c r="AG799">
        <f t="shared" si="447"/>
        <v>0</v>
      </c>
      <c r="AH799">
        <f t="shared" si="448"/>
        <v>0</v>
      </c>
      <c r="AJ799">
        <f t="shared" si="449"/>
        <v>1239.01</v>
      </c>
      <c r="AK799">
        <f t="shared" si="450"/>
        <v>0</v>
      </c>
      <c r="AL799">
        <f t="shared" si="451"/>
        <v>0</v>
      </c>
      <c r="AM799">
        <f t="shared" si="452"/>
        <v>0</v>
      </c>
      <c r="AN799">
        <f t="shared" si="453"/>
        <v>0</v>
      </c>
      <c r="AO799">
        <f t="shared" si="454"/>
        <v>0</v>
      </c>
    </row>
    <row r="800" spans="1:41" x14ac:dyDescent="0.45">
      <c r="A800">
        <v>42.409253210000003</v>
      </c>
      <c r="B800">
        <v>122.42007719999999</v>
      </c>
      <c r="C800">
        <v>0</v>
      </c>
      <c r="D800">
        <v>4.1579999999999999E-2</v>
      </c>
      <c r="E800">
        <f t="shared" si="420"/>
        <v>0</v>
      </c>
      <c r="F800">
        <f t="shared" si="421"/>
        <v>4.1579999999999999E-2</v>
      </c>
      <c r="G800">
        <f t="shared" si="422"/>
        <v>4.1579999999999999E-2</v>
      </c>
      <c r="H800">
        <f t="shared" si="423"/>
        <v>4.1579999999999999E-2</v>
      </c>
      <c r="I800">
        <f t="shared" si="424"/>
        <v>4.1579999999999999E-2</v>
      </c>
      <c r="J800">
        <f t="shared" si="425"/>
        <v>4.1579999999999999E-2</v>
      </c>
      <c r="K800" s="1">
        <f t="shared" si="426"/>
        <v>0</v>
      </c>
      <c r="L800" s="1">
        <f t="shared" si="427"/>
        <v>0</v>
      </c>
      <c r="M800" s="1">
        <f t="shared" si="428"/>
        <v>0</v>
      </c>
      <c r="N800" s="1">
        <f t="shared" si="429"/>
        <v>0</v>
      </c>
      <c r="O800" s="1">
        <f t="shared" si="430"/>
        <v>0</v>
      </c>
      <c r="P800" s="1">
        <f t="shared" si="431"/>
        <v>1</v>
      </c>
      <c r="Q800" s="1">
        <f t="shared" si="432"/>
        <v>1</v>
      </c>
      <c r="R800" s="1">
        <f t="shared" si="433"/>
        <v>1</v>
      </c>
      <c r="S800" s="1">
        <f t="shared" si="434"/>
        <v>1</v>
      </c>
      <c r="T800" s="1">
        <f t="shared" si="435"/>
        <v>1</v>
      </c>
      <c r="U800" s="1">
        <f t="shared" si="436"/>
        <v>1</v>
      </c>
      <c r="V800">
        <f t="shared" si="437"/>
        <v>71.48</v>
      </c>
      <c r="W800">
        <f t="shared" si="438"/>
        <v>76.489999999999995</v>
      </c>
      <c r="X800">
        <f t="shared" si="439"/>
        <v>52.14</v>
      </c>
      <c r="Y800">
        <f t="shared" si="440"/>
        <v>38.1</v>
      </c>
      <c r="Z800">
        <f t="shared" si="441"/>
        <v>32.120000000000005</v>
      </c>
      <c r="AA800">
        <f t="shared" si="442"/>
        <v>30.03</v>
      </c>
      <c r="AC800">
        <f t="shared" si="443"/>
        <v>85.25</v>
      </c>
      <c r="AD800">
        <f t="shared" si="444"/>
        <v>76.489999999999995</v>
      </c>
      <c r="AE800">
        <f t="shared" si="445"/>
        <v>64.17</v>
      </c>
      <c r="AF800">
        <f t="shared" si="446"/>
        <v>49.84</v>
      </c>
      <c r="AG800">
        <f t="shared" si="447"/>
        <v>48.34</v>
      </c>
      <c r="AH800">
        <f t="shared" si="448"/>
        <v>41.36</v>
      </c>
      <c r="AJ800">
        <f t="shared" si="449"/>
        <v>99.009999999999991</v>
      </c>
      <c r="AK800">
        <f t="shared" si="450"/>
        <v>90.94</v>
      </c>
      <c r="AL800">
        <f t="shared" si="451"/>
        <v>78.7</v>
      </c>
      <c r="AM800">
        <f t="shared" si="452"/>
        <v>67.430000000000007</v>
      </c>
      <c r="AN800">
        <f t="shared" si="453"/>
        <v>62.56</v>
      </c>
      <c r="AO800">
        <f t="shared" si="454"/>
        <v>55.19</v>
      </c>
    </row>
    <row r="801" spans="1:41" x14ac:dyDescent="0.45">
      <c r="A801">
        <v>42.441830850000002</v>
      </c>
      <c r="B801">
        <v>114.3593067</v>
      </c>
      <c r="C801">
        <v>0</v>
      </c>
      <c r="D801">
        <v>0.40274099000000002</v>
      </c>
      <c r="E801">
        <f t="shared" si="420"/>
        <v>0</v>
      </c>
      <c r="F801">
        <f t="shared" si="421"/>
        <v>0.40274099000000002</v>
      </c>
      <c r="G801">
        <f t="shared" si="422"/>
        <v>0.40274099000000002</v>
      </c>
      <c r="H801">
        <f t="shared" si="423"/>
        <v>0.40274099000000002</v>
      </c>
      <c r="I801">
        <f t="shared" si="424"/>
        <v>0.40274099000000002</v>
      </c>
      <c r="J801">
        <f t="shared" si="425"/>
        <v>0.40274099000000002</v>
      </c>
      <c r="K801" s="1">
        <f t="shared" si="426"/>
        <v>0</v>
      </c>
      <c r="L801" s="1">
        <f t="shared" si="427"/>
        <v>0</v>
      </c>
      <c r="M801" s="1">
        <f t="shared" si="428"/>
        <v>0</v>
      </c>
      <c r="N801" s="1">
        <f t="shared" si="429"/>
        <v>0</v>
      </c>
      <c r="O801" s="1">
        <f t="shared" si="430"/>
        <v>0</v>
      </c>
      <c r="P801" s="1">
        <f t="shared" si="431"/>
        <v>1</v>
      </c>
      <c r="Q801" s="1">
        <f t="shared" si="432"/>
        <v>1</v>
      </c>
      <c r="R801" s="1">
        <f t="shared" si="433"/>
        <v>1</v>
      </c>
      <c r="S801" s="1">
        <f t="shared" si="434"/>
        <v>1</v>
      </c>
      <c r="T801" s="1">
        <f t="shared" si="435"/>
        <v>1</v>
      </c>
      <c r="U801" s="1">
        <f t="shared" si="436"/>
        <v>1</v>
      </c>
      <c r="V801">
        <f t="shared" si="437"/>
        <v>71.48</v>
      </c>
      <c r="W801">
        <f t="shared" si="438"/>
        <v>76.489999999999995</v>
      </c>
      <c r="X801">
        <f t="shared" si="439"/>
        <v>52.14</v>
      </c>
      <c r="Y801">
        <f t="shared" si="440"/>
        <v>38.1</v>
      </c>
      <c r="Z801">
        <f t="shared" si="441"/>
        <v>32.120000000000005</v>
      </c>
      <c r="AA801">
        <f t="shared" si="442"/>
        <v>30.03</v>
      </c>
      <c r="AC801">
        <f t="shared" si="443"/>
        <v>85.25</v>
      </c>
      <c r="AD801">
        <f t="shared" si="444"/>
        <v>76.489999999999995</v>
      </c>
      <c r="AE801">
        <f t="shared" si="445"/>
        <v>64.17</v>
      </c>
      <c r="AF801">
        <f t="shared" si="446"/>
        <v>49.84</v>
      </c>
      <c r="AG801">
        <f t="shared" si="447"/>
        <v>48.34</v>
      </c>
      <c r="AH801">
        <f t="shared" si="448"/>
        <v>41.36</v>
      </c>
      <c r="AJ801">
        <f t="shared" si="449"/>
        <v>99.009999999999991</v>
      </c>
      <c r="AK801">
        <f t="shared" si="450"/>
        <v>90.94</v>
      </c>
      <c r="AL801">
        <f t="shared" si="451"/>
        <v>78.7</v>
      </c>
      <c r="AM801">
        <f t="shared" si="452"/>
        <v>67.430000000000007</v>
      </c>
      <c r="AN801">
        <f t="shared" si="453"/>
        <v>62.56</v>
      </c>
      <c r="AO801">
        <f t="shared" si="454"/>
        <v>55.19</v>
      </c>
    </row>
    <row r="802" spans="1:41" x14ac:dyDescent="0.45">
      <c r="A802">
        <v>42.44960708</v>
      </c>
      <c r="B802">
        <v>112.6317487</v>
      </c>
      <c r="C802">
        <v>5.9636301999999999</v>
      </c>
      <c r="D802">
        <v>1.2443300500000001</v>
      </c>
      <c r="E802">
        <f t="shared" si="420"/>
        <v>1.2443300500000001</v>
      </c>
      <c r="F802">
        <f t="shared" si="421"/>
        <v>0</v>
      </c>
      <c r="G802">
        <f t="shared" si="422"/>
        <v>0</v>
      </c>
      <c r="H802">
        <f t="shared" si="423"/>
        <v>0</v>
      </c>
      <c r="I802">
        <f t="shared" si="424"/>
        <v>0</v>
      </c>
      <c r="J802">
        <f t="shared" si="425"/>
        <v>0</v>
      </c>
      <c r="K802" s="1">
        <f t="shared" si="426"/>
        <v>0</v>
      </c>
      <c r="L802" s="1">
        <f t="shared" si="427"/>
        <v>0</v>
      </c>
      <c r="M802" s="1">
        <f t="shared" si="428"/>
        <v>0</v>
      </c>
      <c r="N802" s="1">
        <f t="shared" si="429"/>
        <v>0</v>
      </c>
      <c r="O802" s="1">
        <f t="shared" si="430"/>
        <v>0</v>
      </c>
      <c r="P802" s="1">
        <f t="shared" si="431"/>
        <v>25</v>
      </c>
      <c r="Q802" s="1" t="e">
        <f t="shared" si="432"/>
        <v>#DIV/0!</v>
      </c>
      <c r="R802" s="1" t="e">
        <f t="shared" si="433"/>
        <v>#DIV/0!</v>
      </c>
      <c r="S802" s="1" t="e">
        <f t="shared" si="434"/>
        <v>#DIV/0!</v>
      </c>
      <c r="T802" s="1" t="e">
        <f t="shared" si="435"/>
        <v>#DIV/0!</v>
      </c>
      <c r="U802" s="1" t="e">
        <f t="shared" si="436"/>
        <v>#DIV/0!</v>
      </c>
      <c r="V802">
        <f t="shared" si="437"/>
        <v>851.48</v>
      </c>
      <c r="W802">
        <f t="shared" si="438"/>
        <v>0</v>
      </c>
      <c r="X802">
        <f t="shared" si="439"/>
        <v>0</v>
      </c>
      <c r="Y802">
        <f t="shared" si="440"/>
        <v>0</v>
      </c>
      <c r="Z802">
        <f t="shared" si="441"/>
        <v>0</v>
      </c>
      <c r="AA802">
        <f t="shared" si="442"/>
        <v>0</v>
      </c>
      <c r="AC802">
        <f t="shared" si="443"/>
        <v>1045.25</v>
      </c>
      <c r="AD802">
        <f t="shared" si="444"/>
        <v>0</v>
      </c>
      <c r="AE802">
        <f t="shared" si="445"/>
        <v>0</v>
      </c>
      <c r="AF802">
        <f t="shared" si="446"/>
        <v>0</v>
      </c>
      <c r="AG802">
        <f t="shared" si="447"/>
        <v>0</v>
      </c>
      <c r="AH802">
        <f t="shared" si="448"/>
        <v>0</v>
      </c>
      <c r="AJ802">
        <f t="shared" si="449"/>
        <v>1239.01</v>
      </c>
      <c r="AK802">
        <f t="shared" si="450"/>
        <v>0</v>
      </c>
      <c r="AL802">
        <f t="shared" si="451"/>
        <v>0</v>
      </c>
      <c r="AM802">
        <f t="shared" si="452"/>
        <v>0</v>
      </c>
      <c r="AN802">
        <f t="shared" si="453"/>
        <v>0</v>
      </c>
      <c r="AO802">
        <f t="shared" si="454"/>
        <v>0</v>
      </c>
    </row>
    <row r="803" spans="1:41" x14ac:dyDescent="0.45">
      <c r="A803">
        <v>42.540542709999997</v>
      </c>
      <c r="B803">
        <v>112.6401805</v>
      </c>
      <c r="C803">
        <v>5.9636301999999999</v>
      </c>
      <c r="D803">
        <v>1.1477960300000001</v>
      </c>
      <c r="E803">
        <f t="shared" si="420"/>
        <v>1.1477960300000001</v>
      </c>
      <c r="F803">
        <f t="shared" si="421"/>
        <v>0</v>
      </c>
      <c r="G803">
        <f t="shared" si="422"/>
        <v>0</v>
      </c>
      <c r="H803">
        <f t="shared" si="423"/>
        <v>0</v>
      </c>
      <c r="I803">
        <f t="shared" si="424"/>
        <v>0</v>
      </c>
      <c r="J803">
        <f t="shared" si="425"/>
        <v>0</v>
      </c>
      <c r="K803" s="1">
        <f t="shared" si="426"/>
        <v>0</v>
      </c>
      <c r="L803" s="1">
        <f t="shared" si="427"/>
        <v>0</v>
      </c>
      <c r="M803" s="1">
        <f t="shared" si="428"/>
        <v>0</v>
      </c>
      <c r="N803" s="1">
        <f t="shared" si="429"/>
        <v>0</v>
      </c>
      <c r="O803" s="1">
        <f t="shared" si="430"/>
        <v>0</v>
      </c>
      <c r="P803" s="1">
        <f t="shared" si="431"/>
        <v>25</v>
      </c>
      <c r="Q803" s="1" t="e">
        <f t="shared" si="432"/>
        <v>#DIV/0!</v>
      </c>
      <c r="R803" s="1" t="e">
        <f t="shared" si="433"/>
        <v>#DIV/0!</v>
      </c>
      <c r="S803" s="1" t="e">
        <f t="shared" si="434"/>
        <v>#DIV/0!</v>
      </c>
      <c r="T803" s="1" t="e">
        <f t="shared" si="435"/>
        <v>#DIV/0!</v>
      </c>
      <c r="U803" s="1" t="e">
        <f t="shared" si="436"/>
        <v>#DIV/0!</v>
      </c>
      <c r="V803">
        <f t="shared" si="437"/>
        <v>851.48</v>
      </c>
      <c r="W803">
        <f t="shared" si="438"/>
        <v>0</v>
      </c>
      <c r="X803">
        <f t="shared" si="439"/>
        <v>0</v>
      </c>
      <c r="Y803">
        <f t="shared" si="440"/>
        <v>0</v>
      </c>
      <c r="Z803">
        <f t="shared" si="441"/>
        <v>0</v>
      </c>
      <c r="AA803">
        <f t="shared" si="442"/>
        <v>0</v>
      </c>
      <c r="AC803">
        <f t="shared" si="443"/>
        <v>1045.25</v>
      </c>
      <c r="AD803">
        <f t="shared" si="444"/>
        <v>0</v>
      </c>
      <c r="AE803">
        <f t="shared" si="445"/>
        <v>0</v>
      </c>
      <c r="AF803">
        <f t="shared" si="446"/>
        <v>0</v>
      </c>
      <c r="AG803">
        <f t="shared" si="447"/>
        <v>0</v>
      </c>
      <c r="AH803">
        <f t="shared" si="448"/>
        <v>0</v>
      </c>
      <c r="AJ803">
        <f t="shared" si="449"/>
        <v>1239.01</v>
      </c>
      <c r="AK803">
        <f t="shared" si="450"/>
        <v>0</v>
      </c>
      <c r="AL803">
        <f t="shared" si="451"/>
        <v>0</v>
      </c>
      <c r="AM803">
        <f t="shared" si="452"/>
        <v>0</v>
      </c>
      <c r="AN803">
        <f t="shared" si="453"/>
        <v>0</v>
      </c>
      <c r="AO803">
        <f t="shared" si="454"/>
        <v>0</v>
      </c>
    </row>
    <row r="804" spans="1:41" x14ac:dyDescent="0.45">
      <c r="A804">
        <v>42.697868759999999</v>
      </c>
      <c r="B804">
        <v>123.0513028</v>
      </c>
      <c r="C804">
        <v>0.39520844999999999</v>
      </c>
      <c r="D804">
        <v>1.23505902</v>
      </c>
      <c r="E804">
        <f t="shared" si="420"/>
        <v>0.39520844999999999</v>
      </c>
      <c r="F804">
        <f t="shared" si="421"/>
        <v>0</v>
      </c>
      <c r="G804">
        <f t="shared" si="422"/>
        <v>0</v>
      </c>
      <c r="H804">
        <f t="shared" si="423"/>
        <v>0</v>
      </c>
      <c r="I804">
        <f t="shared" si="424"/>
        <v>0</v>
      </c>
      <c r="J804">
        <f t="shared" si="425"/>
        <v>0</v>
      </c>
      <c r="K804" s="1">
        <f t="shared" si="426"/>
        <v>0</v>
      </c>
      <c r="L804" s="1">
        <f t="shared" si="427"/>
        <v>0</v>
      </c>
      <c r="M804" s="1">
        <f t="shared" si="428"/>
        <v>0</v>
      </c>
      <c r="N804" s="1">
        <f t="shared" si="429"/>
        <v>0</v>
      </c>
      <c r="O804" s="1">
        <f t="shared" si="430"/>
        <v>0</v>
      </c>
      <c r="P804" s="1">
        <f t="shared" si="431"/>
        <v>7.999788746937778</v>
      </c>
      <c r="Q804" s="1" t="e">
        <f t="shared" si="432"/>
        <v>#DIV/0!</v>
      </c>
      <c r="R804" s="1" t="e">
        <f t="shared" si="433"/>
        <v>#DIV/0!</v>
      </c>
      <c r="S804" s="1" t="e">
        <f t="shared" si="434"/>
        <v>#DIV/0!</v>
      </c>
      <c r="T804" s="1" t="e">
        <f t="shared" si="435"/>
        <v>#DIV/0!</v>
      </c>
      <c r="U804" s="1" t="e">
        <f t="shared" si="436"/>
        <v>#DIV/0!</v>
      </c>
      <c r="V804">
        <f t="shared" si="437"/>
        <v>298.97313427547778</v>
      </c>
      <c r="W804">
        <f t="shared" si="438"/>
        <v>0</v>
      </c>
      <c r="X804">
        <f t="shared" si="439"/>
        <v>0</v>
      </c>
      <c r="Y804">
        <f t="shared" si="440"/>
        <v>0</v>
      </c>
      <c r="Z804">
        <f t="shared" si="441"/>
        <v>0</v>
      </c>
      <c r="AA804">
        <f t="shared" si="442"/>
        <v>0</v>
      </c>
      <c r="AC804">
        <f t="shared" si="443"/>
        <v>365.24154987751115</v>
      </c>
      <c r="AD804">
        <f t="shared" si="444"/>
        <v>0</v>
      </c>
      <c r="AE804">
        <f t="shared" si="445"/>
        <v>0</v>
      </c>
      <c r="AF804">
        <f t="shared" si="446"/>
        <v>0</v>
      </c>
      <c r="AG804">
        <f t="shared" si="447"/>
        <v>0</v>
      </c>
      <c r="AH804">
        <f t="shared" si="448"/>
        <v>0</v>
      </c>
      <c r="AJ804">
        <f t="shared" si="449"/>
        <v>431.49996547954447</v>
      </c>
      <c r="AK804">
        <f t="shared" si="450"/>
        <v>0</v>
      </c>
      <c r="AL804">
        <f t="shared" si="451"/>
        <v>0</v>
      </c>
      <c r="AM804">
        <f t="shared" si="452"/>
        <v>0</v>
      </c>
      <c r="AN804">
        <f t="shared" si="453"/>
        <v>0</v>
      </c>
      <c r="AO804">
        <f t="shared" si="454"/>
        <v>0</v>
      </c>
    </row>
    <row r="805" spans="1:41" x14ac:dyDescent="0.45">
      <c r="A805">
        <v>42.782075669999998</v>
      </c>
      <c r="B805">
        <v>88.195514829999993</v>
      </c>
      <c r="C805">
        <v>6.7394113500000001</v>
      </c>
      <c r="D805">
        <v>0.45589200000000002</v>
      </c>
      <c r="E805">
        <f t="shared" si="420"/>
        <v>0.45589200000000002</v>
      </c>
      <c r="F805">
        <f t="shared" si="421"/>
        <v>0</v>
      </c>
      <c r="G805">
        <f t="shared" si="422"/>
        <v>0</v>
      </c>
      <c r="H805">
        <f t="shared" si="423"/>
        <v>0</v>
      </c>
      <c r="I805">
        <f t="shared" si="424"/>
        <v>0</v>
      </c>
      <c r="J805">
        <f t="shared" si="425"/>
        <v>0</v>
      </c>
      <c r="K805" s="1">
        <f t="shared" si="426"/>
        <v>0</v>
      </c>
      <c r="L805" s="1">
        <f t="shared" si="427"/>
        <v>0</v>
      </c>
      <c r="M805" s="1">
        <f t="shared" si="428"/>
        <v>0</v>
      </c>
      <c r="N805" s="1">
        <f t="shared" si="429"/>
        <v>0</v>
      </c>
      <c r="O805" s="1">
        <f t="shared" si="430"/>
        <v>0</v>
      </c>
      <c r="P805" s="1">
        <f t="shared" si="431"/>
        <v>25.000000000000004</v>
      </c>
      <c r="Q805" s="1" t="e">
        <f t="shared" si="432"/>
        <v>#DIV/0!</v>
      </c>
      <c r="R805" s="1" t="e">
        <f t="shared" si="433"/>
        <v>#DIV/0!</v>
      </c>
      <c r="S805" s="1" t="e">
        <f t="shared" si="434"/>
        <v>#DIV/0!</v>
      </c>
      <c r="T805" s="1" t="e">
        <f t="shared" si="435"/>
        <v>#DIV/0!</v>
      </c>
      <c r="U805" s="1" t="e">
        <f t="shared" si="436"/>
        <v>#DIV/0!</v>
      </c>
      <c r="V805">
        <f t="shared" si="437"/>
        <v>851.48000000000013</v>
      </c>
      <c r="W805">
        <f t="shared" si="438"/>
        <v>0</v>
      </c>
      <c r="X805">
        <f t="shared" si="439"/>
        <v>0</v>
      </c>
      <c r="Y805">
        <f t="shared" si="440"/>
        <v>0</v>
      </c>
      <c r="Z805">
        <f t="shared" si="441"/>
        <v>0</v>
      </c>
      <c r="AA805">
        <f t="shared" si="442"/>
        <v>0</v>
      </c>
      <c r="AC805">
        <f t="shared" si="443"/>
        <v>1045.25</v>
      </c>
      <c r="AD805">
        <f t="shared" si="444"/>
        <v>0</v>
      </c>
      <c r="AE805">
        <f t="shared" si="445"/>
        <v>0</v>
      </c>
      <c r="AF805">
        <f t="shared" si="446"/>
        <v>0</v>
      </c>
      <c r="AG805">
        <f t="shared" si="447"/>
        <v>0</v>
      </c>
      <c r="AH805">
        <f t="shared" si="448"/>
        <v>0</v>
      </c>
      <c r="AJ805">
        <f t="shared" si="449"/>
        <v>1239.0100000000002</v>
      </c>
      <c r="AK805">
        <f t="shared" si="450"/>
        <v>0</v>
      </c>
      <c r="AL805">
        <f t="shared" si="451"/>
        <v>0</v>
      </c>
      <c r="AM805">
        <f t="shared" si="452"/>
        <v>0</v>
      </c>
      <c r="AN805">
        <f t="shared" si="453"/>
        <v>0</v>
      </c>
      <c r="AO805">
        <f t="shared" si="454"/>
        <v>0</v>
      </c>
    </row>
    <row r="806" spans="1:41" x14ac:dyDescent="0.45">
      <c r="A806">
        <v>42.80177011</v>
      </c>
      <c r="B806">
        <v>89.760981979999997</v>
      </c>
      <c r="C806">
        <v>27.577732090000001</v>
      </c>
      <c r="D806">
        <v>4.8719878200000002</v>
      </c>
      <c r="E806">
        <f t="shared" si="420"/>
        <v>4.8719878200000002</v>
      </c>
      <c r="F806">
        <f t="shared" si="421"/>
        <v>0</v>
      </c>
      <c r="G806">
        <f t="shared" si="422"/>
        <v>0</v>
      </c>
      <c r="H806">
        <f t="shared" si="423"/>
        <v>0</v>
      </c>
      <c r="I806">
        <f t="shared" si="424"/>
        <v>0</v>
      </c>
      <c r="J806">
        <f t="shared" si="425"/>
        <v>0</v>
      </c>
      <c r="K806" s="1">
        <f t="shared" si="426"/>
        <v>0</v>
      </c>
      <c r="L806" s="1">
        <f t="shared" si="427"/>
        <v>0</v>
      </c>
      <c r="M806" s="1">
        <f t="shared" si="428"/>
        <v>0</v>
      </c>
      <c r="N806" s="1">
        <f t="shared" si="429"/>
        <v>0</v>
      </c>
      <c r="O806" s="1">
        <f t="shared" si="430"/>
        <v>0</v>
      </c>
      <c r="P806" s="1">
        <f t="shared" si="431"/>
        <v>25</v>
      </c>
      <c r="Q806" s="1" t="e">
        <f t="shared" si="432"/>
        <v>#DIV/0!</v>
      </c>
      <c r="R806" s="1" t="e">
        <f t="shared" si="433"/>
        <v>#DIV/0!</v>
      </c>
      <c r="S806" s="1" t="e">
        <f t="shared" si="434"/>
        <v>#DIV/0!</v>
      </c>
      <c r="T806" s="1" t="e">
        <f t="shared" si="435"/>
        <v>#DIV/0!</v>
      </c>
      <c r="U806" s="1" t="e">
        <f t="shared" si="436"/>
        <v>#DIV/0!</v>
      </c>
      <c r="V806">
        <f t="shared" si="437"/>
        <v>851.48</v>
      </c>
      <c r="W806">
        <f t="shared" si="438"/>
        <v>0</v>
      </c>
      <c r="X806">
        <f t="shared" si="439"/>
        <v>0</v>
      </c>
      <c r="Y806">
        <f t="shared" si="440"/>
        <v>0</v>
      </c>
      <c r="Z806">
        <f t="shared" si="441"/>
        <v>0</v>
      </c>
      <c r="AA806">
        <f t="shared" si="442"/>
        <v>0</v>
      </c>
      <c r="AC806">
        <f t="shared" si="443"/>
        <v>1045.25</v>
      </c>
      <c r="AD806">
        <f t="shared" si="444"/>
        <v>0</v>
      </c>
      <c r="AE806">
        <f t="shared" si="445"/>
        <v>0</v>
      </c>
      <c r="AF806">
        <f t="shared" si="446"/>
        <v>0</v>
      </c>
      <c r="AG806">
        <f t="shared" si="447"/>
        <v>0</v>
      </c>
      <c r="AH806">
        <f t="shared" si="448"/>
        <v>0</v>
      </c>
      <c r="AJ806">
        <f t="shared" si="449"/>
        <v>1239.01</v>
      </c>
      <c r="AK806">
        <f t="shared" si="450"/>
        <v>0</v>
      </c>
      <c r="AL806">
        <f t="shared" si="451"/>
        <v>0</v>
      </c>
      <c r="AM806">
        <f t="shared" si="452"/>
        <v>0</v>
      </c>
      <c r="AN806">
        <f t="shared" si="453"/>
        <v>0</v>
      </c>
      <c r="AO806">
        <f t="shared" si="454"/>
        <v>0</v>
      </c>
    </row>
    <row r="807" spans="1:41" x14ac:dyDescent="0.45">
      <c r="A807">
        <v>42.832395820000002</v>
      </c>
      <c r="B807">
        <v>123.0838121</v>
      </c>
      <c r="C807">
        <v>0.39520844999999999</v>
      </c>
      <c r="D807">
        <v>2.4410000000000001E-2</v>
      </c>
      <c r="E807">
        <f t="shared" si="420"/>
        <v>2.4410000000000001E-2</v>
      </c>
      <c r="F807">
        <f t="shared" si="421"/>
        <v>0</v>
      </c>
      <c r="G807">
        <f t="shared" si="422"/>
        <v>0</v>
      </c>
      <c r="H807">
        <f t="shared" si="423"/>
        <v>0</v>
      </c>
      <c r="I807">
        <f t="shared" si="424"/>
        <v>0</v>
      </c>
      <c r="J807">
        <f t="shared" si="425"/>
        <v>0</v>
      </c>
      <c r="K807" s="1">
        <f t="shared" si="426"/>
        <v>0</v>
      </c>
      <c r="L807" s="1">
        <f t="shared" si="427"/>
        <v>0</v>
      </c>
      <c r="M807" s="1">
        <f t="shared" si="428"/>
        <v>0</v>
      </c>
      <c r="N807" s="1">
        <f t="shared" si="429"/>
        <v>0</v>
      </c>
      <c r="O807" s="1">
        <f t="shared" si="430"/>
        <v>0</v>
      </c>
      <c r="P807" s="1">
        <f t="shared" si="431"/>
        <v>25</v>
      </c>
      <c r="Q807" s="1" t="e">
        <f t="shared" si="432"/>
        <v>#DIV/0!</v>
      </c>
      <c r="R807" s="1" t="e">
        <f t="shared" si="433"/>
        <v>#DIV/0!</v>
      </c>
      <c r="S807" s="1" t="e">
        <f t="shared" si="434"/>
        <v>#DIV/0!</v>
      </c>
      <c r="T807" s="1" t="e">
        <f t="shared" si="435"/>
        <v>#DIV/0!</v>
      </c>
      <c r="U807" s="1" t="e">
        <f t="shared" si="436"/>
        <v>#DIV/0!</v>
      </c>
      <c r="V807">
        <f t="shared" si="437"/>
        <v>851.48</v>
      </c>
      <c r="W807">
        <f t="shared" si="438"/>
        <v>0</v>
      </c>
      <c r="X807">
        <f t="shared" si="439"/>
        <v>0</v>
      </c>
      <c r="Y807">
        <f t="shared" si="440"/>
        <v>0</v>
      </c>
      <c r="Z807">
        <f t="shared" si="441"/>
        <v>0</v>
      </c>
      <c r="AA807">
        <f t="shared" si="442"/>
        <v>0</v>
      </c>
      <c r="AC807">
        <f t="shared" si="443"/>
        <v>1045.25</v>
      </c>
      <c r="AD807">
        <f t="shared" si="444"/>
        <v>0</v>
      </c>
      <c r="AE807">
        <f t="shared" si="445"/>
        <v>0</v>
      </c>
      <c r="AF807">
        <f t="shared" si="446"/>
        <v>0</v>
      </c>
      <c r="AG807">
        <f t="shared" si="447"/>
        <v>0</v>
      </c>
      <c r="AH807">
        <f t="shared" si="448"/>
        <v>0</v>
      </c>
      <c r="AJ807">
        <f t="shared" si="449"/>
        <v>1239.01</v>
      </c>
      <c r="AK807">
        <f t="shared" si="450"/>
        <v>0</v>
      </c>
      <c r="AL807">
        <f t="shared" si="451"/>
        <v>0</v>
      </c>
      <c r="AM807">
        <f t="shared" si="452"/>
        <v>0</v>
      </c>
      <c r="AN807">
        <f t="shared" si="453"/>
        <v>0</v>
      </c>
      <c r="AO807">
        <f t="shared" si="454"/>
        <v>0</v>
      </c>
    </row>
    <row r="808" spans="1:41" x14ac:dyDescent="0.45">
      <c r="A808">
        <v>42.859225459999998</v>
      </c>
      <c r="B808">
        <v>120.58082020000001</v>
      </c>
      <c r="C808">
        <v>0</v>
      </c>
      <c r="D808">
        <v>2.0375180199999998</v>
      </c>
      <c r="E808">
        <f t="shared" si="420"/>
        <v>0</v>
      </c>
      <c r="F808">
        <f t="shared" si="421"/>
        <v>2.0375180199999998</v>
      </c>
      <c r="G808">
        <f t="shared" si="422"/>
        <v>2.0375180199999998</v>
      </c>
      <c r="H808">
        <f t="shared" si="423"/>
        <v>2.0375180199999998</v>
      </c>
      <c r="I808">
        <f t="shared" si="424"/>
        <v>2.0375180199999998</v>
      </c>
      <c r="J808">
        <f t="shared" si="425"/>
        <v>2.0375180199999998</v>
      </c>
      <c r="K808" s="1">
        <f t="shared" si="426"/>
        <v>0</v>
      </c>
      <c r="L808" s="1">
        <f t="shared" si="427"/>
        <v>0</v>
      </c>
      <c r="M808" s="1">
        <f t="shared" si="428"/>
        <v>0</v>
      </c>
      <c r="N808" s="1">
        <f t="shared" si="429"/>
        <v>0</v>
      </c>
      <c r="O808" s="1">
        <f t="shared" si="430"/>
        <v>0</v>
      </c>
      <c r="P808" s="1">
        <f t="shared" si="431"/>
        <v>1</v>
      </c>
      <c r="Q808" s="1">
        <f t="shared" si="432"/>
        <v>1</v>
      </c>
      <c r="R808" s="1">
        <f t="shared" si="433"/>
        <v>1</v>
      </c>
      <c r="S808" s="1">
        <f t="shared" si="434"/>
        <v>1</v>
      </c>
      <c r="T808" s="1">
        <f t="shared" si="435"/>
        <v>1</v>
      </c>
      <c r="U808" s="1">
        <f t="shared" si="436"/>
        <v>1</v>
      </c>
      <c r="V808">
        <f t="shared" si="437"/>
        <v>71.48</v>
      </c>
      <c r="W808">
        <f t="shared" si="438"/>
        <v>76.489999999999995</v>
      </c>
      <c r="X808">
        <f t="shared" si="439"/>
        <v>52.14</v>
      </c>
      <c r="Y808">
        <f t="shared" si="440"/>
        <v>38.1</v>
      </c>
      <c r="Z808">
        <f t="shared" si="441"/>
        <v>32.120000000000005</v>
      </c>
      <c r="AA808">
        <f t="shared" si="442"/>
        <v>30.03</v>
      </c>
      <c r="AC808">
        <f t="shared" si="443"/>
        <v>85.25</v>
      </c>
      <c r="AD808">
        <f t="shared" si="444"/>
        <v>76.489999999999995</v>
      </c>
      <c r="AE808">
        <f t="shared" si="445"/>
        <v>64.17</v>
      </c>
      <c r="AF808">
        <f t="shared" si="446"/>
        <v>49.84</v>
      </c>
      <c r="AG808">
        <f t="shared" si="447"/>
        <v>48.34</v>
      </c>
      <c r="AH808">
        <f t="shared" si="448"/>
        <v>41.36</v>
      </c>
      <c r="AJ808">
        <f t="shared" si="449"/>
        <v>99.009999999999991</v>
      </c>
      <c r="AK808">
        <f t="shared" si="450"/>
        <v>90.94</v>
      </c>
      <c r="AL808">
        <f t="shared" si="451"/>
        <v>78.7</v>
      </c>
      <c r="AM808">
        <f t="shared" si="452"/>
        <v>67.430000000000007</v>
      </c>
      <c r="AN808">
        <f t="shared" si="453"/>
        <v>62.56</v>
      </c>
      <c r="AO808">
        <f t="shared" si="454"/>
        <v>55.19</v>
      </c>
    </row>
    <row r="809" spans="1:41" x14ac:dyDescent="0.45">
      <c r="A809">
        <v>42.871939150000003</v>
      </c>
      <c r="B809">
        <v>88.865057750000005</v>
      </c>
      <c r="C809">
        <v>6.7394113500000001</v>
      </c>
      <c r="D809">
        <v>1.8903549900000001</v>
      </c>
      <c r="E809">
        <f t="shared" si="420"/>
        <v>1.8903549900000001</v>
      </c>
      <c r="F809">
        <f t="shared" si="421"/>
        <v>0</v>
      </c>
      <c r="G809">
        <f t="shared" si="422"/>
        <v>0</v>
      </c>
      <c r="H809">
        <f t="shared" si="423"/>
        <v>0</v>
      </c>
      <c r="I809">
        <f t="shared" si="424"/>
        <v>0</v>
      </c>
      <c r="J809">
        <f t="shared" si="425"/>
        <v>0</v>
      </c>
      <c r="K809" s="1">
        <f t="shared" si="426"/>
        <v>0</v>
      </c>
      <c r="L809" s="1">
        <f t="shared" si="427"/>
        <v>0</v>
      </c>
      <c r="M809" s="1">
        <f t="shared" si="428"/>
        <v>0</v>
      </c>
      <c r="N809" s="1">
        <f t="shared" si="429"/>
        <v>0</v>
      </c>
      <c r="O809" s="1">
        <f t="shared" si="430"/>
        <v>0</v>
      </c>
      <c r="P809" s="1">
        <f t="shared" si="431"/>
        <v>25</v>
      </c>
      <c r="Q809" s="1" t="e">
        <f t="shared" si="432"/>
        <v>#DIV/0!</v>
      </c>
      <c r="R809" s="1" t="e">
        <f t="shared" si="433"/>
        <v>#DIV/0!</v>
      </c>
      <c r="S809" s="1" t="e">
        <f t="shared" si="434"/>
        <v>#DIV/0!</v>
      </c>
      <c r="T809" s="1" t="e">
        <f t="shared" si="435"/>
        <v>#DIV/0!</v>
      </c>
      <c r="U809" s="1" t="e">
        <f t="shared" si="436"/>
        <v>#DIV/0!</v>
      </c>
      <c r="V809">
        <f t="shared" si="437"/>
        <v>851.48</v>
      </c>
      <c r="W809">
        <f t="shared" si="438"/>
        <v>0</v>
      </c>
      <c r="X809">
        <f t="shared" si="439"/>
        <v>0</v>
      </c>
      <c r="Y809">
        <f t="shared" si="440"/>
        <v>0</v>
      </c>
      <c r="Z809">
        <f t="shared" si="441"/>
        <v>0</v>
      </c>
      <c r="AA809">
        <f t="shared" si="442"/>
        <v>0</v>
      </c>
      <c r="AC809">
        <f t="shared" si="443"/>
        <v>1045.25</v>
      </c>
      <c r="AD809">
        <f t="shared" si="444"/>
        <v>0</v>
      </c>
      <c r="AE809">
        <f t="shared" si="445"/>
        <v>0</v>
      </c>
      <c r="AF809">
        <f t="shared" si="446"/>
        <v>0</v>
      </c>
      <c r="AG809">
        <f t="shared" si="447"/>
        <v>0</v>
      </c>
      <c r="AH809">
        <f t="shared" si="448"/>
        <v>0</v>
      </c>
      <c r="AJ809">
        <f t="shared" si="449"/>
        <v>1239.01</v>
      </c>
      <c r="AK809">
        <f t="shared" si="450"/>
        <v>0</v>
      </c>
      <c r="AL809">
        <f t="shared" si="451"/>
        <v>0</v>
      </c>
      <c r="AM809">
        <f t="shared" si="452"/>
        <v>0</v>
      </c>
      <c r="AN809">
        <f t="shared" si="453"/>
        <v>0</v>
      </c>
      <c r="AO809">
        <f t="shared" si="454"/>
        <v>0</v>
      </c>
    </row>
    <row r="810" spans="1:41" x14ac:dyDescent="0.45">
      <c r="A810">
        <v>42.88433689</v>
      </c>
      <c r="B810">
        <v>90.055912789999994</v>
      </c>
      <c r="C810">
        <v>27.577732090000001</v>
      </c>
      <c r="D810">
        <v>11.573603629999999</v>
      </c>
      <c r="E810">
        <f t="shared" si="420"/>
        <v>11.573603629999999</v>
      </c>
      <c r="F810">
        <f t="shared" si="421"/>
        <v>0</v>
      </c>
      <c r="G810">
        <f t="shared" si="422"/>
        <v>0</v>
      </c>
      <c r="H810">
        <f t="shared" si="423"/>
        <v>0</v>
      </c>
      <c r="I810">
        <f t="shared" si="424"/>
        <v>0</v>
      </c>
      <c r="J810">
        <f t="shared" si="425"/>
        <v>0</v>
      </c>
      <c r="K810" s="1">
        <f t="shared" si="426"/>
        <v>0</v>
      </c>
      <c r="L810" s="1">
        <f t="shared" si="427"/>
        <v>0</v>
      </c>
      <c r="M810" s="1">
        <f t="shared" si="428"/>
        <v>0</v>
      </c>
      <c r="N810" s="1">
        <f t="shared" si="429"/>
        <v>0</v>
      </c>
      <c r="O810" s="1">
        <f t="shared" si="430"/>
        <v>0</v>
      </c>
      <c r="P810" s="1">
        <f t="shared" si="431"/>
        <v>25.000000000000004</v>
      </c>
      <c r="Q810" s="1" t="e">
        <f t="shared" si="432"/>
        <v>#DIV/0!</v>
      </c>
      <c r="R810" s="1" t="e">
        <f t="shared" si="433"/>
        <v>#DIV/0!</v>
      </c>
      <c r="S810" s="1" t="e">
        <f t="shared" si="434"/>
        <v>#DIV/0!</v>
      </c>
      <c r="T810" s="1" t="e">
        <f t="shared" si="435"/>
        <v>#DIV/0!</v>
      </c>
      <c r="U810" s="1" t="e">
        <f t="shared" si="436"/>
        <v>#DIV/0!</v>
      </c>
      <c r="V810">
        <f t="shared" si="437"/>
        <v>851.48000000000013</v>
      </c>
      <c r="W810">
        <f t="shared" si="438"/>
        <v>0</v>
      </c>
      <c r="X810">
        <f t="shared" si="439"/>
        <v>0</v>
      </c>
      <c r="Y810">
        <f t="shared" si="440"/>
        <v>0</v>
      </c>
      <c r="Z810">
        <f t="shared" si="441"/>
        <v>0</v>
      </c>
      <c r="AA810">
        <f t="shared" si="442"/>
        <v>0</v>
      </c>
      <c r="AC810">
        <f t="shared" si="443"/>
        <v>1045.25</v>
      </c>
      <c r="AD810">
        <f t="shared" si="444"/>
        <v>0</v>
      </c>
      <c r="AE810">
        <f t="shared" si="445"/>
        <v>0</v>
      </c>
      <c r="AF810">
        <f t="shared" si="446"/>
        <v>0</v>
      </c>
      <c r="AG810">
        <f t="shared" si="447"/>
        <v>0</v>
      </c>
      <c r="AH810">
        <f t="shared" si="448"/>
        <v>0</v>
      </c>
      <c r="AJ810">
        <f t="shared" si="449"/>
        <v>1239.0100000000002</v>
      </c>
      <c r="AK810">
        <f t="shared" si="450"/>
        <v>0</v>
      </c>
      <c r="AL810">
        <f t="shared" si="451"/>
        <v>0</v>
      </c>
      <c r="AM810">
        <f t="shared" si="452"/>
        <v>0</v>
      </c>
      <c r="AN810">
        <f t="shared" si="453"/>
        <v>0</v>
      </c>
      <c r="AO810">
        <f t="shared" si="454"/>
        <v>0</v>
      </c>
    </row>
    <row r="811" spans="1:41" x14ac:dyDescent="0.45">
      <c r="A811">
        <v>42.90672893</v>
      </c>
      <c r="B811">
        <v>89.862453709999997</v>
      </c>
      <c r="C811">
        <v>27.577732090000001</v>
      </c>
      <c r="D811">
        <v>1.07205105</v>
      </c>
      <c r="E811">
        <f t="shared" si="420"/>
        <v>1.07205105</v>
      </c>
      <c r="F811">
        <f t="shared" si="421"/>
        <v>0</v>
      </c>
      <c r="G811">
        <f t="shared" si="422"/>
        <v>0</v>
      </c>
      <c r="H811">
        <f t="shared" si="423"/>
        <v>0</v>
      </c>
      <c r="I811">
        <f t="shared" si="424"/>
        <v>0</v>
      </c>
      <c r="J811">
        <f t="shared" si="425"/>
        <v>0</v>
      </c>
      <c r="K811" s="1">
        <f t="shared" si="426"/>
        <v>0</v>
      </c>
      <c r="L811" s="1">
        <f t="shared" si="427"/>
        <v>0</v>
      </c>
      <c r="M811" s="1">
        <f t="shared" si="428"/>
        <v>0</v>
      </c>
      <c r="N811" s="1">
        <f t="shared" si="429"/>
        <v>0</v>
      </c>
      <c r="O811" s="1">
        <f t="shared" si="430"/>
        <v>0</v>
      </c>
      <c r="P811" s="1">
        <f t="shared" si="431"/>
        <v>25</v>
      </c>
      <c r="Q811" s="1" t="e">
        <f t="shared" si="432"/>
        <v>#DIV/0!</v>
      </c>
      <c r="R811" s="1" t="e">
        <f t="shared" si="433"/>
        <v>#DIV/0!</v>
      </c>
      <c r="S811" s="1" t="e">
        <f t="shared" si="434"/>
        <v>#DIV/0!</v>
      </c>
      <c r="T811" s="1" t="e">
        <f t="shared" si="435"/>
        <v>#DIV/0!</v>
      </c>
      <c r="U811" s="1" t="e">
        <f t="shared" si="436"/>
        <v>#DIV/0!</v>
      </c>
      <c r="V811">
        <f t="shared" si="437"/>
        <v>851.48</v>
      </c>
      <c r="W811">
        <f t="shared" si="438"/>
        <v>0</v>
      </c>
      <c r="X811">
        <f t="shared" si="439"/>
        <v>0</v>
      </c>
      <c r="Y811">
        <f t="shared" si="440"/>
        <v>0</v>
      </c>
      <c r="Z811">
        <f t="shared" si="441"/>
        <v>0</v>
      </c>
      <c r="AA811">
        <f t="shared" si="442"/>
        <v>0</v>
      </c>
      <c r="AC811">
        <f t="shared" si="443"/>
        <v>1045.25</v>
      </c>
      <c r="AD811">
        <f t="shared" si="444"/>
        <v>0</v>
      </c>
      <c r="AE811">
        <f t="shared" si="445"/>
        <v>0</v>
      </c>
      <c r="AF811">
        <f t="shared" si="446"/>
        <v>0</v>
      </c>
      <c r="AG811">
        <f t="shared" si="447"/>
        <v>0</v>
      </c>
      <c r="AH811">
        <f t="shared" si="448"/>
        <v>0</v>
      </c>
      <c r="AJ811">
        <f t="shared" si="449"/>
        <v>1239.01</v>
      </c>
      <c r="AK811">
        <f t="shared" si="450"/>
        <v>0</v>
      </c>
      <c r="AL811">
        <f t="shared" si="451"/>
        <v>0</v>
      </c>
      <c r="AM811">
        <f t="shared" si="452"/>
        <v>0</v>
      </c>
      <c r="AN811">
        <f t="shared" si="453"/>
        <v>0</v>
      </c>
      <c r="AO811">
        <f t="shared" si="454"/>
        <v>0</v>
      </c>
    </row>
    <row r="812" spans="1:41" x14ac:dyDescent="0.45">
      <c r="A812">
        <v>42.921181009999998</v>
      </c>
      <c r="B812">
        <v>89.60779934</v>
      </c>
      <c r="C812">
        <v>9.2198610300000006</v>
      </c>
      <c r="D812">
        <v>5.3032989500000003</v>
      </c>
      <c r="E812">
        <f t="shared" si="420"/>
        <v>5.3032989500000003</v>
      </c>
      <c r="F812">
        <f t="shared" si="421"/>
        <v>0</v>
      </c>
      <c r="G812">
        <f t="shared" si="422"/>
        <v>0</v>
      </c>
      <c r="H812">
        <f t="shared" si="423"/>
        <v>0</v>
      </c>
      <c r="I812">
        <f t="shared" si="424"/>
        <v>0</v>
      </c>
      <c r="J812">
        <f t="shared" si="425"/>
        <v>0</v>
      </c>
      <c r="K812" s="1">
        <f t="shared" si="426"/>
        <v>0</v>
      </c>
      <c r="L812" s="1">
        <f t="shared" si="427"/>
        <v>0</v>
      </c>
      <c r="M812" s="1">
        <f t="shared" si="428"/>
        <v>0</v>
      </c>
      <c r="N812" s="1">
        <f t="shared" si="429"/>
        <v>0</v>
      </c>
      <c r="O812" s="1">
        <f t="shared" si="430"/>
        <v>0</v>
      </c>
      <c r="P812" s="1">
        <f t="shared" si="431"/>
        <v>25.000000000000004</v>
      </c>
      <c r="Q812" s="1" t="e">
        <f t="shared" si="432"/>
        <v>#DIV/0!</v>
      </c>
      <c r="R812" s="1" t="e">
        <f t="shared" si="433"/>
        <v>#DIV/0!</v>
      </c>
      <c r="S812" s="1" t="e">
        <f t="shared" si="434"/>
        <v>#DIV/0!</v>
      </c>
      <c r="T812" s="1" t="e">
        <f t="shared" si="435"/>
        <v>#DIV/0!</v>
      </c>
      <c r="U812" s="1" t="e">
        <f t="shared" si="436"/>
        <v>#DIV/0!</v>
      </c>
      <c r="V812">
        <f t="shared" si="437"/>
        <v>851.48000000000013</v>
      </c>
      <c r="W812">
        <f t="shared" si="438"/>
        <v>0</v>
      </c>
      <c r="X812">
        <f t="shared" si="439"/>
        <v>0</v>
      </c>
      <c r="Y812">
        <f t="shared" si="440"/>
        <v>0</v>
      </c>
      <c r="Z812">
        <f t="shared" si="441"/>
        <v>0</v>
      </c>
      <c r="AA812">
        <f t="shared" si="442"/>
        <v>0</v>
      </c>
      <c r="AC812">
        <f t="shared" si="443"/>
        <v>1045.25</v>
      </c>
      <c r="AD812">
        <f t="shared" si="444"/>
        <v>0</v>
      </c>
      <c r="AE812">
        <f t="shared" si="445"/>
        <v>0</v>
      </c>
      <c r="AF812">
        <f t="shared" si="446"/>
        <v>0</v>
      </c>
      <c r="AG812">
        <f t="shared" si="447"/>
        <v>0</v>
      </c>
      <c r="AH812">
        <f t="shared" si="448"/>
        <v>0</v>
      </c>
      <c r="AJ812">
        <f t="shared" si="449"/>
        <v>1239.0100000000002</v>
      </c>
      <c r="AK812">
        <f t="shared" si="450"/>
        <v>0</v>
      </c>
      <c r="AL812">
        <f t="shared" si="451"/>
        <v>0</v>
      </c>
      <c r="AM812">
        <f t="shared" si="452"/>
        <v>0</v>
      </c>
      <c r="AN812">
        <f t="shared" si="453"/>
        <v>0</v>
      </c>
      <c r="AO812">
        <f t="shared" si="454"/>
        <v>0</v>
      </c>
    </row>
    <row r="813" spans="1:41" x14ac:dyDescent="0.45">
      <c r="A813">
        <v>42.927339600000003</v>
      </c>
      <c r="B813">
        <v>89.291997890000005</v>
      </c>
      <c r="C813">
        <v>9.2198610300000006</v>
      </c>
      <c r="D813">
        <v>4.2390470499999999</v>
      </c>
      <c r="E813">
        <f t="shared" si="420"/>
        <v>4.2390470499999999</v>
      </c>
      <c r="F813">
        <f t="shared" si="421"/>
        <v>0</v>
      </c>
      <c r="G813">
        <f t="shared" si="422"/>
        <v>0</v>
      </c>
      <c r="H813">
        <f t="shared" si="423"/>
        <v>0</v>
      </c>
      <c r="I813">
        <f t="shared" si="424"/>
        <v>0</v>
      </c>
      <c r="J813">
        <f t="shared" si="425"/>
        <v>0</v>
      </c>
      <c r="K813" s="1">
        <f t="shared" si="426"/>
        <v>0</v>
      </c>
      <c r="L813" s="1">
        <f t="shared" si="427"/>
        <v>0</v>
      </c>
      <c r="M813" s="1">
        <f t="shared" si="428"/>
        <v>0</v>
      </c>
      <c r="N813" s="1">
        <f t="shared" si="429"/>
        <v>0</v>
      </c>
      <c r="O813" s="1">
        <f t="shared" si="430"/>
        <v>0</v>
      </c>
      <c r="P813" s="1">
        <f t="shared" si="431"/>
        <v>25</v>
      </c>
      <c r="Q813" s="1" t="e">
        <f t="shared" si="432"/>
        <v>#DIV/0!</v>
      </c>
      <c r="R813" s="1" t="e">
        <f t="shared" si="433"/>
        <v>#DIV/0!</v>
      </c>
      <c r="S813" s="1" t="e">
        <f t="shared" si="434"/>
        <v>#DIV/0!</v>
      </c>
      <c r="T813" s="1" t="e">
        <f t="shared" si="435"/>
        <v>#DIV/0!</v>
      </c>
      <c r="U813" s="1" t="e">
        <f t="shared" si="436"/>
        <v>#DIV/0!</v>
      </c>
      <c r="V813">
        <f t="shared" si="437"/>
        <v>851.48</v>
      </c>
      <c r="W813">
        <f t="shared" si="438"/>
        <v>0</v>
      </c>
      <c r="X813">
        <f t="shared" si="439"/>
        <v>0</v>
      </c>
      <c r="Y813">
        <f t="shared" si="440"/>
        <v>0</v>
      </c>
      <c r="Z813">
        <f t="shared" si="441"/>
        <v>0</v>
      </c>
      <c r="AA813">
        <f t="shared" si="442"/>
        <v>0</v>
      </c>
      <c r="AC813">
        <f t="shared" si="443"/>
        <v>1045.25</v>
      </c>
      <c r="AD813">
        <f t="shared" si="444"/>
        <v>0</v>
      </c>
      <c r="AE813">
        <f t="shared" si="445"/>
        <v>0</v>
      </c>
      <c r="AF813">
        <f t="shared" si="446"/>
        <v>0</v>
      </c>
      <c r="AG813">
        <f t="shared" si="447"/>
        <v>0</v>
      </c>
      <c r="AH813">
        <f t="shared" si="448"/>
        <v>0</v>
      </c>
      <c r="AJ813">
        <f t="shared" si="449"/>
        <v>1239.01</v>
      </c>
      <c r="AK813">
        <f t="shared" si="450"/>
        <v>0</v>
      </c>
      <c r="AL813">
        <f t="shared" si="451"/>
        <v>0</v>
      </c>
      <c r="AM813">
        <f t="shared" si="452"/>
        <v>0</v>
      </c>
      <c r="AN813">
        <f t="shared" si="453"/>
        <v>0</v>
      </c>
      <c r="AO813">
        <f t="shared" si="454"/>
        <v>0</v>
      </c>
    </row>
    <row r="814" spans="1:41" x14ac:dyDescent="0.45">
      <c r="A814">
        <v>42.93274134</v>
      </c>
      <c r="B814">
        <v>88.976145160000002</v>
      </c>
      <c r="C814">
        <v>6.7394113500000001</v>
      </c>
      <c r="D814">
        <v>8.2791271200000001</v>
      </c>
      <c r="E814">
        <f t="shared" si="420"/>
        <v>6.7394113500000001</v>
      </c>
      <c r="F814">
        <f t="shared" si="421"/>
        <v>0</v>
      </c>
      <c r="G814">
        <f t="shared" si="422"/>
        <v>0</v>
      </c>
      <c r="H814">
        <f t="shared" si="423"/>
        <v>0</v>
      </c>
      <c r="I814">
        <f t="shared" si="424"/>
        <v>0</v>
      </c>
      <c r="J814">
        <f t="shared" si="425"/>
        <v>0</v>
      </c>
      <c r="K814" s="1">
        <f t="shared" si="426"/>
        <v>0</v>
      </c>
      <c r="L814" s="1">
        <f t="shared" si="427"/>
        <v>0</v>
      </c>
      <c r="M814" s="1">
        <f t="shared" si="428"/>
        <v>0</v>
      </c>
      <c r="N814" s="1">
        <f t="shared" si="429"/>
        <v>0</v>
      </c>
      <c r="O814" s="1">
        <f t="shared" si="430"/>
        <v>0</v>
      </c>
      <c r="P814" s="1">
        <f t="shared" si="431"/>
        <v>20.350609588176006</v>
      </c>
      <c r="Q814" s="1" t="e">
        <f t="shared" si="432"/>
        <v>#DIV/0!</v>
      </c>
      <c r="R814" s="1" t="e">
        <f t="shared" si="433"/>
        <v>#DIV/0!</v>
      </c>
      <c r="S814" s="1" t="e">
        <f t="shared" si="434"/>
        <v>#DIV/0!</v>
      </c>
      <c r="T814" s="1" t="e">
        <f t="shared" si="435"/>
        <v>#DIV/0!</v>
      </c>
      <c r="U814" s="1" t="e">
        <f t="shared" si="436"/>
        <v>#DIV/0!</v>
      </c>
      <c r="V814">
        <f t="shared" si="437"/>
        <v>700.3748116157202</v>
      </c>
      <c r="W814">
        <f t="shared" si="438"/>
        <v>0</v>
      </c>
      <c r="X814">
        <f t="shared" si="439"/>
        <v>0</v>
      </c>
      <c r="Y814">
        <f t="shared" si="440"/>
        <v>0</v>
      </c>
      <c r="Z814">
        <f t="shared" si="441"/>
        <v>0</v>
      </c>
      <c r="AA814">
        <f t="shared" si="442"/>
        <v>0</v>
      </c>
      <c r="AC814">
        <f t="shared" si="443"/>
        <v>859.2743835270403</v>
      </c>
      <c r="AD814">
        <f t="shared" si="444"/>
        <v>0</v>
      </c>
      <c r="AE814">
        <f t="shared" si="445"/>
        <v>0</v>
      </c>
      <c r="AF814">
        <f t="shared" si="446"/>
        <v>0</v>
      </c>
      <c r="AG814">
        <f t="shared" si="447"/>
        <v>0</v>
      </c>
      <c r="AH814">
        <f t="shared" si="448"/>
        <v>0</v>
      </c>
      <c r="AJ814">
        <f t="shared" si="449"/>
        <v>1018.1639554383603</v>
      </c>
      <c r="AK814">
        <f t="shared" si="450"/>
        <v>0</v>
      </c>
      <c r="AL814">
        <f t="shared" si="451"/>
        <v>0</v>
      </c>
      <c r="AM814">
        <f t="shared" si="452"/>
        <v>0</v>
      </c>
      <c r="AN814">
        <f t="shared" si="453"/>
        <v>0</v>
      </c>
      <c r="AO814">
        <f t="shared" si="454"/>
        <v>0</v>
      </c>
    </row>
    <row r="815" spans="1:41" x14ac:dyDescent="0.45">
      <c r="A815">
        <v>42.964358670000003</v>
      </c>
      <c r="B815">
        <v>89.220287260000006</v>
      </c>
      <c r="C815">
        <v>9.2198610300000006</v>
      </c>
      <c r="D815">
        <v>4.90819502</v>
      </c>
      <c r="E815">
        <f t="shared" si="420"/>
        <v>4.90819502</v>
      </c>
      <c r="F815">
        <f t="shared" si="421"/>
        <v>0</v>
      </c>
      <c r="G815">
        <f t="shared" si="422"/>
        <v>0</v>
      </c>
      <c r="H815">
        <f t="shared" si="423"/>
        <v>0</v>
      </c>
      <c r="I815">
        <f t="shared" si="424"/>
        <v>0</v>
      </c>
      <c r="J815">
        <f t="shared" si="425"/>
        <v>0</v>
      </c>
      <c r="K815" s="1">
        <f t="shared" si="426"/>
        <v>0</v>
      </c>
      <c r="L815" s="1">
        <f t="shared" si="427"/>
        <v>0</v>
      </c>
      <c r="M815" s="1">
        <f t="shared" si="428"/>
        <v>0</v>
      </c>
      <c r="N815" s="1">
        <f t="shared" si="429"/>
        <v>0</v>
      </c>
      <c r="O815" s="1">
        <f t="shared" si="430"/>
        <v>0</v>
      </c>
      <c r="P815" s="1">
        <f t="shared" si="431"/>
        <v>25</v>
      </c>
      <c r="Q815" s="1" t="e">
        <f t="shared" si="432"/>
        <v>#DIV/0!</v>
      </c>
      <c r="R815" s="1" t="e">
        <f t="shared" si="433"/>
        <v>#DIV/0!</v>
      </c>
      <c r="S815" s="1" t="e">
        <f t="shared" si="434"/>
        <v>#DIV/0!</v>
      </c>
      <c r="T815" s="1" t="e">
        <f t="shared" si="435"/>
        <v>#DIV/0!</v>
      </c>
      <c r="U815" s="1" t="e">
        <f t="shared" si="436"/>
        <v>#DIV/0!</v>
      </c>
      <c r="V815">
        <f t="shared" si="437"/>
        <v>851.48</v>
      </c>
      <c r="W815">
        <f t="shared" si="438"/>
        <v>0</v>
      </c>
      <c r="X815">
        <f t="shared" si="439"/>
        <v>0</v>
      </c>
      <c r="Y815">
        <f t="shared" si="440"/>
        <v>0</v>
      </c>
      <c r="Z815">
        <f t="shared" si="441"/>
        <v>0</v>
      </c>
      <c r="AA815">
        <f t="shared" si="442"/>
        <v>0</v>
      </c>
      <c r="AC815">
        <f t="shared" si="443"/>
        <v>1045.25</v>
      </c>
      <c r="AD815">
        <f t="shared" si="444"/>
        <v>0</v>
      </c>
      <c r="AE815">
        <f t="shared" si="445"/>
        <v>0</v>
      </c>
      <c r="AF815">
        <f t="shared" si="446"/>
        <v>0</v>
      </c>
      <c r="AG815">
        <f t="shared" si="447"/>
        <v>0</v>
      </c>
      <c r="AH815">
        <f t="shared" si="448"/>
        <v>0</v>
      </c>
      <c r="AJ815">
        <f t="shared" si="449"/>
        <v>1239.01</v>
      </c>
      <c r="AK815">
        <f t="shared" si="450"/>
        <v>0</v>
      </c>
      <c r="AL815">
        <f t="shared" si="451"/>
        <v>0</v>
      </c>
      <c r="AM815">
        <f t="shared" si="452"/>
        <v>0</v>
      </c>
      <c r="AN815">
        <f t="shared" si="453"/>
        <v>0</v>
      </c>
      <c r="AO815">
        <f t="shared" si="454"/>
        <v>0</v>
      </c>
    </row>
    <row r="816" spans="1:41" x14ac:dyDescent="0.45">
      <c r="A816">
        <v>43.003240959999999</v>
      </c>
      <c r="B816">
        <v>89.525767689999995</v>
      </c>
      <c r="C816">
        <v>9.2198610300000006</v>
      </c>
      <c r="D816">
        <v>0.70706301999999999</v>
      </c>
      <c r="E816">
        <f t="shared" si="420"/>
        <v>0.70706301999999999</v>
      </c>
      <c r="F816">
        <f t="shared" si="421"/>
        <v>0</v>
      </c>
      <c r="G816">
        <f t="shared" si="422"/>
        <v>0</v>
      </c>
      <c r="H816">
        <f t="shared" si="423"/>
        <v>0</v>
      </c>
      <c r="I816">
        <f t="shared" si="424"/>
        <v>0</v>
      </c>
      <c r="J816">
        <f t="shared" si="425"/>
        <v>0</v>
      </c>
      <c r="K816" s="1">
        <f t="shared" si="426"/>
        <v>0</v>
      </c>
      <c r="L816" s="1">
        <f t="shared" si="427"/>
        <v>0</v>
      </c>
      <c r="M816" s="1">
        <f t="shared" si="428"/>
        <v>0</v>
      </c>
      <c r="N816" s="1">
        <f t="shared" si="429"/>
        <v>0</v>
      </c>
      <c r="O816" s="1">
        <f t="shared" si="430"/>
        <v>0</v>
      </c>
      <c r="P816" s="1">
        <f t="shared" si="431"/>
        <v>25</v>
      </c>
      <c r="Q816" s="1" t="e">
        <f t="shared" si="432"/>
        <v>#DIV/0!</v>
      </c>
      <c r="R816" s="1" t="e">
        <f t="shared" si="433"/>
        <v>#DIV/0!</v>
      </c>
      <c r="S816" s="1" t="e">
        <f t="shared" si="434"/>
        <v>#DIV/0!</v>
      </c>
      <c r="T816" s="1" t="e">
        <f t="shared" si="435"/>
        <v>#DIV/0!</v>
      </c>
      <c r="U816" s="1" t="e">
        <f t="shared" si="436"/>
        <v>#DIV/0!</v>
      </c>
      <c r="V816">
        <f t="shared" si="437"/>
        <v>851.48</v>
      </c>
      <c r="W816">
        <f t="shared" si="438"/>
        <v>0</v>
      </c>
      <c r="X816">
        <f t="shared" si="439"/>
        <v>0</v>
      </c>
      <c r="Y816">
        <f t="shared" si="440"/>
        <v>0</v>
      </c>
      <c r="Z816">
        <f t="shared" si="441"/>
        <v>0</v>
      </c>
      <c r="AA816">
        <f t="shared" si="442"/>
        <v>0</v>
      </c>
      <c r="AC816">
        <f t="shared" si="443"/>
        <v>1045.25</v>
      </c>
      <c r="AD816">
        <f t="shared" si="444"/>
        <v>0</v>
      </c>
      <c r="AE816">
        <f t="shared" si="445"/>
        <v>0</v>
      </c>
      <c r="AF816">
        <f t="shared" si="446"/>
        <v>0</v>
      </c>
      <c r="AG816">
        <f t="shared" si="447"/>
        <v>0</v>
      </c>
      <c r="AH816">
        <f t="shared" si="448"/>
        <v>0</v>
      </c>
      <c r="AJ816">
        <f t="shared" si="449"/>
        <v>1239.01</v>
      </c>
      <c r="AK816">
        <f t="shared" si="450"/>
        <v>0</v>
      </c>
      <c r="AL816">
        <f t="shared" si="451"/>
        <v>0</v>
      </c>
      <c r="AM816">
        <f t="shared" si="452"/>
        <v>0</v>
      </c>
      <c r="AN816">
        <f t="shared" si="453"/>
        <v>0</v>
      </c>
      <c r="AO816">
        <f t="shared" si="454"/>
        <v>0</v>
      </c>
    </row>
    <row r="817" spans="1:41" x14ac:dyDescent="0.45">
      <c r="A817">
        <v>43.024847870000002</v>
      </c>
      <c r="B817">
        <v>89.331821950000005</v>
      </c>
      <c r="C817">
        <v>9.2198610300000006</v>
      </c>
      <c r="D817">
        <v>3.8397440899999999</v>
      </c>
      <c r="E817">
        <f t="shared" si="420"/>
        <v>3.8397440899999999</v>
      </c>
      <c r="F817">
        <f t="shared" si="421"/>
        <v>0</v>
      </c>
      <c r="G817">
        <f t="shared" si="422"/>
        <v>0</v>
      </c>
      <c r="H817">
        <f t="shared" si="423"/>
        <v>0</v>
      </c>
      <c r="I817">
        <f t="shared" si="424"/>
        <v>0</v>
      </c>
      <c r="J817">
        <f t="shared" si="425"/>
        <v>0</v>
      </c>
      <c r="K817" s="1">
        <f t="shared" si="426"/>
        <v>0</v>
      </c>
      <c r="L817" s="1">
        <f t="shared" si="427"/>
        <v>0</v>
      </c>
      <c r="M817" s="1">
        <f t="shared" si="428"/>
        <v>0</v>
      </c>
      <c r="N817" s="1">
        <f t="shared" si="429"/>
        <v>0</v>
      </c>
      <c r="O817" s="1">
        <f t="shared" si="430"/>
        <v>0</v>
      </c>
      <c r="P817" s="1">
        <f t="shared" si="431"/>
        <v>25</v>
      </c>
      <c r="Q817" s="1" t="e">
        <f t="shared" si="432"/>
        <v>#DIV/0!</v>
      </c>
      <c r="R817" s="1" t="e">
        <f t="shared" si="433"/>
        <v>#DIV/0!</v>
      </c>
      <c r="S817" s="1" t="e">
        <f t="shared" si="434"/>
        <v>#DIV/0!</v>
      </c>
      <c r="T817" s="1" t="e">
        <f t="shared" si="435"/>
        <v>#DIV/0!</v>
      </c>
      <c r="U817" s="1" t="e">
        <f t="shared" si="436"/>
        <v>#DIV/0!</v>
      </c>
      <c r="V817">
        <f t="shared" si="437"/>
        <v>851.48</v>
      </c>
      <c r="W817">
        <f t="shared" si="438"/>
        <v>0</v>
      </c>
      <c r="X817">
        <f t="shared" si="439"/>
        <v>0</v>
      </c>
      <c r="Y817">
        <f t="shared" si="440"/>
        <v>0</v>
      </c>
      <c r="Z817">
        <f t="shared" si="441"/>
        <v>0</v>
      </c>
      <c r="AA817">
        <f t="shared" si="442"/>
        <v>0</v>
      </c>
      <c r="AC817">
        <f t="shared" si="443"/>
        <v>1045.25</v>
      </c>
      <c r="AD817">
        <f t="shared" si="444"/>
        <v>0</v>
      </c>
      <c r="AE817">
        <f t="shared" si="445"/>
        <v>0</v>
      </c>
      <c r="AF817">
        <f t="shared" si="446"/>
        <v>0</v>
      </c>
      <c r="AG817">
        <f t="shared" si="447"/>
        <v>0</v>
      </c>
      <c r="AH817">
        <f t="shared" si="448"/>
        <v>0</v>
      </c>
      <c r="AJ817">
        <f t="shared" si="449"/>
        <v>1239.01</v>
      </c>
      <c r="AK817">
        <f t="shared" si="450"/>
        <v>0</v>
      </c>
      <c r="AL817">
        <f t="shared" si="451"/>
        <v>0</v>
      </c>
      <c r="AM817">
        <f t="shared" si="452"/>
        <v>0</v>
      </c>
      <c r="AN817">
        <f t="shared" si="453"/>
        <v>0</v>
      </c>
      <c r="AO817">
        <f t="shared" si="454"/>
        <v>0</v>
      </c>
    </row>
    <row r="818" spans="1:41" x14ac:dyDescent="0.45">
      <c r="A818">
        <v>43.041411920000002</v>
      </c>
      <c r="B818">
        <v>89.831579399999995</v>
      </c>
      <c r="C818">
        <v>27.577732090000001</v>
      </c>
      <c r="D818">
        <v>1.2335959700000001</v>
      </c>
      <c r="E818">
        <f t="shared" si="420"/>
        <v>1.2335959700000001</v>
      </c>
      <c r="F818">
        <f t="shared" si="421"/>
        <v>0</v>
      </c>
      <c r="G818">
        <f t="shared" si="422"/>
        <v>0</v>
      </c>
      <c r="H818">
        <f t="shared" si="423"/>
        <v>0</v>
      </c>
      <c r="I818">
        <f t="shared" si="424"/>
        <v>0</v>
      </c>
      <c r="J818">
        <f t="shared" si="425"/>
        <v>0</v>
      </c>
      <c r="K818" s="1">
        <f t="shared" si="426"/>
        <v>0</v>
      </c>
      <c r="L818" s="1">
        <f t="shared" si="427"/>
        <v>0</v>
      </c>
      <c r="M818" s="1">
        <f t="shared" si="428"/>
        <v>0</v>
      </c>
      <c r="N818" s="1">
        <f t="shared" si="429"/>
        <v>0</v>
      </c>
      <c r="O818" s="1">
        <f t="shared" si="430"/>
        <v>0</v>
      </c>
      <c r="P818" s="1">
        <f t="shared" si="431"/>
        <v>25</v>
      </c>
      <c r="Q818" s="1" t="e">
        <f t="shared" si="432"/>
        <v>#DIV/0!</v>
      </c>
      <c r="R818" s="1" t="e">
        <f t="shared" si="433"/>
        <v>#DIV/0!</v>
      </c>
      <c r="S818" s="1" t="e">
        <f t="shared" si="434"/>
        <v>#DIV/0!</v>
      </c>
      <c r="T818" s="1" t="e">
        <f t="shared" si="435"/>
        <v>#DIV/0!</v>
      </c>
      <c r="U818" s="1" t="e">
        <f t="shared" si="436"/>
        <v>#DIV/0!</v>
      </c>
      <c r="V818">
        <f t="shared" si="437"/>
        <v>851.48</v>
      </c>
      <c r="W818">
        <f t="shared" si="438"/>
        <v>0</v>
      </c>
      <c r="X818">
        <f t="shared" si="439"/>
        <v>0</v>
      </c>
      <c r="Y818">
        <f t="shared" si="440"/>
        <v>0</v>
      </c>
      <c r="Z818">
        <f t="shared" si="441"/>
        <v>0</v>
      </c>
      <c r="AA818">
        <f t="shared" si="442"/>
        <v>0</v>
      </c>
      <c r="AC818">
        <f t="shared" si="443"/>
        <v>1045.25</v>
      </c>
      <c r="AD818">
        <f t="shared" si="444"/>
        <v>0</v>
      </c>
      <c r="AE818">
        <f t="shared" si="445"/>
        <v>0</v>
      </c>
      <c r="AF818">
        <f t="shared" si="446"/>
        <v>0</v>
      </c>
      <c r="AG818">
        <f t="shared" si="447"/>
        <v>0</v>
      </c>
      <c r="AH818">
        <f t="shared" si="448"/>
        <v>0</v>
      </c>
      <c r="AJ818">
        <f t="shared" si="449"/>
        <v>1239.01</v>
      </c>
      <c r="AK818">
        <f t="shared" si="450"/>
        <v>0</v>
      </c>
      <c r="AL818">
        <f t="shared" si="451"/>
        <v>0</v>
      </c>
      <c r="AM818">
        <f t="shared" si="452"/>
        <v>0</v>
      </c>
      <c r="AN818">
        <f t="shared" si="453"/>
        <v>0</v>
      </c>
      <c r="AO818">
        <f t="shared" si="454"/>
        <v>0</v>
      </c>
    </row>
    <row r="819" spans="1:41" x14ac:dyDescent="0.45">
      <c r="A819">
        <v>43.047436189999999</v>
      </c>
      <c r="B819">
        <v>90.647816449999993</v>
      </c>
      <c r="C819">
        <v>27.577732090000001</v>
      </c>
      <c r="D819">
        <v>24.61328125</v>
      </c>
      <c r="E819">
        <f t="shared" si="420"/>
        <v>24.61328125</v>
      </c>
      <c r="F819">
        <f t="shared" si="421"/>
        <v>0</v>
      </c>
      <c r="G819">
        <f t="shared" si="422"/>
        <v>0</v>
      </c>
      <c r="H819">
        <f t="shared" si="423"/>
        <v>0</v>
      </c>
      <c r="I819">
        <f t="shared" si="424"/>
        <v>0</v>
      </c>
      <c r="J819">
        <f t="shared" si="425"/>
        <v>0</v>
      </c>
      <c r="K819" s="1">
        <f t="shared" si="426"/>
        <v>0</v>
      </c>
      <c r="L819" s="1">
        <f t="shared" si="427"/>
        <v>0</v>
      </c>
      <c r="M819" s="1">
        <f t="shared" si="428"/>
        <v>0</v>
      </c>
      <c r="N819" s="1">
        <f t="shared" si="429"/>
        <v>0</v>
      </c>
      <c r="O819" s="1">
        <f t="shared" si="430"/>
        <v>0</v>
      </c>
      <c r="P819" s="1">
        <f t="shared" si="431"/>
        <v>25</v>
      </c>
      <c r="Q819" s="1" t="e">
        <f t="shared" si="432"/>
        <v>#DIV/0!</v>
      </c>
      <c r="R819" s="1" t="e">
        <f t="shared" si="433"/>
        <v>#DIV/0!</v>
      </c>
      <c r="S819" s="1" t="e">
        <f t="shared" si="434"/>
        <v>#DIV/0!</v>
      </c>
      <c r="T819" s="1" t="e">
        <f t="shared" si="435"/>
        <v>#DIV/0!</v>
      </c>
      <c r="U819" s="1" t="e">
        <f t="shared" si="436"/>
        <v>#DIV/0!</v>
      </c>
      <c r="V819">
        <f t="shared" si="437"/>
        <v>851.48</v>
      </c>
      <c r="W819">
        <f t="shared" si="438"/>
        <v>0</v>
      </c>
      <c r="X819">
        <f t="shared" si="439"/>
        <v>0</v>
      </c>
      <c r="Y819">
        <f t="shared" si="440"/>
        <v>0</v>
      </c>
      <c r="Z819">
        <f t="shared" si="441"/>
        <v>0</v>
      </c>
      <c r="AA819">
        <f t="shared" si="442"/>
        <v>0</v>
      </c>
      <c r="AC819">
        <f t="shared" si="443"/>
        <v>1045.25</v>
      </c>
      <c r="AD819">
        <f t="shared" si="444"/>
        <v>0</v>
      </c>
      <c r="AE819">
        <f t="shared" si="445"/>
        <v>0</v>
      </c>
      <c r="AF819">
        <f t="shared" si="446"/>
        <v>0</v>
      </c>
      <c r="AG819">
        <f t="shared" si="447"/>
        <v>0</v>
      </c>
      <c r="AH819">
        <f t="shared" si="448"/>
        <v>0</v>
      </c>
      <c r="AJ819">
        <f t="shared" si="449"/>
        <v>1239.01</v>
      </c>
      <c r="AK819">
        <f t="shared" si="450"/>
        <v>0</v>
      </c>
      <c r="AL819">
        <f t="shared" si="451"/>
        <v>0</v>
      </c>
      <c r="AM819">
        <f t="shared" si="452"/>
        <v>0</v>
      </c>
      <c r="AN819">
        <f t="shared" si="453"/>
        <v>0</v>
      </c>
      <c r="AO819">
        <f t="shared" si="454"/>
        <v>0</v>
      </c>
    </row>
    <row r="820" spans="1:41" x14ac:dyDescent="0.45">
      <c r="A820">
        <v>43.05403862</v>
      </c>
      <c r="B820">
        <v>89.198889570000006</v>
      </c>
      <c r="C820">
        <v>9.2198610300000006</v>
      </c>
      <c r="D820">
        <v>1.0483189799999999</v>
      </c>
      <c r="E820">
        <f t="shared" si="420"/>
        <v>1.0483189799999999</v>
      </c>
      <c r="F820">
        <f t="shared" si="421"/>
        <v>0</v>
      </c>
      <c r="G820">
        <f t="shared" si="422"/>
        <v>0</v>
      </c>
      <c r="H820">
        <f t="shared" si="423"/>
        <v>0</v>
      </c>
      <c r="I820">
        <f t="shared" si="424"/>
        <v>0</v>
      </c>
      <c r="J820">
        <f t="shared" si="425"/>
        <v>0</v>
      </c>
      <c r="K820" s="1">
        <f t="shared" si="426"/>
        <v>0</v>
      </c>
      <c r="L820" s="1">
        <f t="shared" si="427"/>
        <v>0</v>
      </c>
      <c r="M820" s="1">
        <f t="shared" si="428"/>
        <v>0</v>
      </c>
      <c r="N820" s="1">
        <f t="shared" si="429"/>
        <v>0</v>
      </c>
      <c r="O820" s="1">
        <f t="shared" si="430"/>
        <v>0</v>
      </c>
      <c r="P820" s="1">
        <f t="shared" si="431"/>
        <v>25</v>
      </c>
      <c r="Q820" s="1" t="e">
        <f t="shared" si="432"/>
        <v>#DIV/0!</v>
      </c>
      <c r="R820" s="1" t="e">
        <f t="shared" si="433"/>
        <v>#DIV/0!</v>
      </c>
      <c r="S820" s="1" t="e">
        <f t="shared" si="434"/>
        <v>#DIV/0!</v>
      </c>
      <c r="T820" s="1" t="e">
        <f t="shared" si="435"/>
        <v>#DIV/0!</v>
      </c>
      <c r="U820" s="1" t="e">
        <f t="shared" si="436"/>
        <v>#DIV/0!</v>
      </c>
      <c r="V820">
        <f t="shared" si="437"/>
        <v>851.48</v>
      </c>
      <c r="W820">
        <f t="shared" si="438"/>
        <v>0</v>
      </c>
      <c r="X820">
        <f t="shared" si="439"/>
        <v>0</v>
      </c>
      <c r="Y820">
        <f t="shared" si="440"/>
        <v>0</v>
      </c>
      <c r="Z820">
        <f t="shared" si="441"/>
        <v>0</v>
      </c>
      <c r="AA820">
        <f t="shared" si="442"/>
        <v>0</v>
      </c>
      <c r="AC820">
        <f t="shared" si="443"/>
        <v>1045.25</v>
      </c>
      <c r="AD820">
        <f t="shared" si="444"/>
        <v>0</v>
      </c>
      <c r="AE820">
        <f t="shared" si="445"/>
        <v>0</v>
      </c>
      <c r="AF820">
        <f t="shared" si="446"/>
        <v>0</v>
      </c>
      <c r="AG820">
        <f t="shared" si="447"/>
        <v>0</v>
      </c>
      <c r="AH820">
        <f t="shared" si="448"/>
        <v>0</v>
      </c>
      <c r="AJ820">
        <f t="shared" si="449"/>
        <v>1239.01</v>
      </c>
      <c r="AK820">
        <f t="shared" si="450"/>
        <v>0</v>
      </c>
      <c r="AL820">
        <f t="shared" si="451"/>
        <v>0</v>
      </c>
      <c r="AM820">
        <f t="shared" si="452"/>
        <v>0</v>
      </c>
      <c r="AN820">
        <f t="shared" si="453"/>
        <v>0</v>
      </c>
      <c r="AO820">
        <f t="shared" si="454"/>
        <v>0</v>
      </c>
    </row>
    <row r="821" spans="1:41" x14ac:dyDescent="0.45">
      <c r="A821">
        <v>43.056083209999997</v>
      </c>
      <c r="B821">
        <v>90.331556599999999</v>
      </c>
      <c r="C821">
        <v>27.577732090000001</v>
      </c>
      <c r="D821">
        <v>28.505289080000001</v>
      </c>
      <c r="E821">
        <f t="shared" si="420"/>
        <v>27.577732090000001</v>
      </c>
      <c r="F821">
        <f t="shared" si="421"/>
        <v>0</v>
      </c>
      <c r="G821">
        <f t="shared" si="422"/>
        <v>0</v>
      </c>
      <c r="H821">
        <f t="shared" si="423"/>
        <v>0</v>
      </c>
      <c r="I821">
        <f t="shared" si="424"/>
        <v>0</v>
      </c>
      <c r="J821">
        <f t="shared" si="425"/>
        <v>0</v>
      </c>
      <c r="K821" s="1">
        <f t="shared" si="426"/>
        <v>0</v>
      </c>
      <c r="L821" s="1">
        <f t="shared" si="427"/>
        <v>0</v>
      </c>
      <c r="M821" s="1">
        <f t="shared" si="428"/>
        <v>0</v>
      </c>
      <c r="N821" s="1">
        <f t="shared" si="429"/>
        <v>0</v>
      </c>
      <c r="O821" s="1">
        <f t="shared" si="430"/>
        <v>0</v>
      </c>
      <c r="P821" s="1">
        <f t="shared" si="431"/>
        <v>24.186504487468259</v>
      </c>
      <c r="Q821" s="1" t="e">
        <f t="shared" si="432"/>
        <v>#DIV/0!</v>
      </c>
      <c r="R821" s="1" t="e">
        <f t="shared" si="433"/>
        <v>#DIV/0!</v>
      </c>
      <c r="S821" s="1" t="e">
        <f t="shared" si="434"/>
        <v>#DIV/0!</v>
      </c>
      <c r="T821" s="1" t="e">
        <f t="shared" si="435"/>
        <v>#DIV/0!</v>
      </c>
      <c r="U821" s="1" t="e">
        <f t="shared" si="436"/>
        <v>#DIV/0!</v>
      </c>
      <c r="V821">
        <f t="shared" si="437"/>
        <v>825.04139584271843</v>
      </c>
      <c r="W821">
        <f t="shared" si="438"/>
        <v>0</v>
      </c>
      <c r="X821">
        <f t="shared" si="439"/>
        <v>0</v>
      </c>
      <c r="Y821">
        <f t="shared" si="440"/>
        <v>0</v>
      </c>
      <c r="Z821">
        <f t="shared" si="441"/>
        <v>0</v>
      </c>
      <c r="AA821">
        <f t="shared" si="442"/>
        <v>0</v>
      </c>
      <c r="AC821">
        <f t="shared" si="443"/>
        <v>1012.7101794987303</v>
      </c>
      <c r="AD821">
        <f t="shared" si="444"/>
        <v>0</v>
      </c>
      <c r="AE821">
        <f t="shared" si="445"/>
        <v>0</v>
      </c>
      <c r="AF821">
        <f t="shared" si="446"/>
        <v>0</v>
      </c>
      <c r="AG821">
        <f t="shared" si="447"/>
        <v>0</v>
      </c>
      <c r="AH821">
        <f t="shared" si="448"/>
        <v>0</v>
      </c>
      <c r="AJ821">
        <f t="shared" si="449"/>
        <v>1200.3689631547422</v>
      </c>
      <c r="AK821">
        <f t="shared" si="450"/>
        <v>0</v>
      </c>
      <c r="AL821">
        <f t="shared" si="451"/>
        <v>0</v>
      </c>
      <c r="AM821">
        <f t="shared" si="452"/>
        <v>0</v>
      </c>
      <c r="AN821">
        <f t="shared" si="453"/>
        <v>0</v>
      </c>
      <c r="AO821">
        <f t="shared" si="454"/>
        <v>0</v>
      </c>
    </row>
    <row r="822" spans="1:41" x14ac:dyDescent="0.45">
      <c r="A822">
        <v>43.063399879999999</v>
      </c>
      <c r="B822">
        <v>90.392823079999999</v>
      </c>
      <c r="C822">
        <v>27.577732090000001</v>
      </c>
      <c r="D822">
        <v>21.10395432</v>
      </c>
      <c r="E822">
        <f t="shared" si="420"/>
        <v>21.10395432</v>
      </c>
      <c r="F822">
        <f t="shared" si="421"/>
        <v>0</v>
      </c>
      <c r="G822">
        <f t="shared" si="422"/>
        <v>0</v>
      </c>
      <c r="H822">
        <f t="shared" si="423"/>
        <v>0</v>
      </c>
      <c r="I822">
        <f t="shared" si="424"/>
        <v>0</v>
      </c>
      <c r="J822">
        <f t="shared" si="425"/>
        <v>0</v>
      </c>
      <c r="K822" s="1">
        <f t="shared" si="426"/>
        <v>0</v>
      </c>
      <c r="L822" s="1">
        <f t="shared" si="427"/>
        <v>0</v>
      </c>
      <c r="M822" s="1">
        <f t="shared" si="428"/>
        <v>0</v>
      </c>
      <c r="N822" s="1">
        <f t="shared" si="429"/>
        <v>0</v>
      </c>
      <c r="O822" s="1">
        <f t="shared" si="430"/>
        <v>0</v>
      </c>
      <c r="P822" s="1">
        <f t="shared" si="431"/>
        <v>24.999999999999996</v>
      </c>
      <c r="Q822" s="1" t="e">
        <f t="shared" si="432"/>
        <v>#DIV/0!</v>
      </c>
      <c r="R822" s="1" t="e">
        <f t="shared" si="433"/>
        <v>#DIV/0!</v>
      </c>
      <c r="S822" s="1" t="e">
        <f t="shared" si="434"/>
        <v>#DIV/0!</v>
      </c>
      <c r="T822" s="1" t="e">
        <f t="shared" si="435"/>
        <v>#DIV/0!</v>
      </c>
      <c r="U822" s="1" t="e">
        <f t="shared" si="436"/>
        <v>#DIV/0!</v>
      </c>
      <c r="V822">
        <f t="shared" si="437"/>
        <v>851.4799999999999</v>
      </c>
      <c r="W822">
        <f t="shared" si="438"/>
        <v>0</v>
      </c>
      <c r="X822">
        <f t="shared" si="439"/>
        <v>0</v>
      </c>
      <c r="Y822">
        <f t="shared" si="440"/>
        <v>0</v>
      </c>
      <c r="Z822">
        <f t="shared" si="441"/>
        <v>0</v>
      </c>
      <c r="AA822">
        <f t="shared" si="442"/>
        <v>0</v>
      </c>
      <c r="AC822">
        <f t="shared" si="443"/>
        <v>1045.25</v>
      </c>
      <c r="AD822">
        <f t="shared" si="444"/>
        <v>0</v>
      </c>
      <c r="AE822">
        <f t="shared" si="445"/>
        <v>0</v>
      </c>
      <c r="AF822">
        <f t="shared" si="446"/>
        <v>0</v>
      </c>
      <c r="AG822">
        <f t="shared" si="447"/>
        <v>0</v>
      </c>
      <c r="AH822">
        <f t="shared" si="448"/>
        <v>0</v>
      </c>
      <c r="AJ822">
        <f t="shared" si="449"/>
        <v>1239.0099999999998</v>
      </c>
      <c r="AK822">
        <f t="shared" si="450"/>
        <v>0</v>
      </c>
      <c r="AL822">
        <f t="shared" si="451"/>
        <v>0</v>
      </c>
      <c r="AM822">
        <f t="shared" si="452"/>
        <v>0</v>
      </c>
      <c r="AN822">
        <f t="shared" si="453"/>
        <v>0</v>
      </c>
      <c r="AO822">
        <f t="shared" si="454"/>
        <v>0</v>
      </c>
    </row>
    <row r="823" spans="1:41" x14ac:dyDescent="0.45">
      <c r="A823">
        <v>43.069693299999997</v>
      </c>
      <c r="B823">
        <v>89.32119118</v>
      </c>
      <c r="C823">
        <v>9.2198610300000006</v>
      </c>
      <c r="D823">
        <v>4.2531800300000002</v>
      </c>
      <c r="E823">
        <f t="shared" si="420"/>
        <v>4.2531800300000002</v>
      </c>
      <c r="F823">
        <f t="shared" si="421"/>
        <v>0</v>
      </c>
      <c r="G823">
        <f t="shared" si="422"/>
        <v>0</v>
      </c>
      <c r="H823">
        <f t="shared" si="423"/>
        <v>0</v>
      </c>
      <c r="I823">
        <f t="shared" si="424"/>
        <v>0</v>
      </c>
      <c r="J823">
        <f t="shared" si="425"/>
        <v>0</v>
      </c>
      <c r="K823" s="1">
        <f t="shared" si="426"/>
        <v>0</v>
      </c>
      <c r="L823" s="1">
        <f t="shared" si="427"/>
        <v>0</v>
      </c>
      <c r="M823" s="1">
        <f t="shared" si="428"/>
        <v>0</v>
      </c>
      <c r="N823" s="1">
        <f t="shared" si="429"/>
        <v>0</v>
      </c>
      <c r="O823" s="1">
        <f t="shared" si="430"/>
        <v>0</v>
      </c>
      <c r="P823" s="1">
        <f t="shared" si="431"/>
        <v>25</v>
      </c>
      <c r="Q823" s="1" t="e">
        <f t="shared" si="432"/>
        <v>#DIV/0!</v>
      </c>
      <c r="R823" s="1" t="e">
        <f t="shared" si="433"/>
        <v>#DIV/0!</v>
      </c>
      <c r="S823" s="1" t="e">
        <f t="shared" si="434"/>
        <v>#DIV/0!</v>
      </c>
      <c r="T823" s="1" t="e">
        <f t="shared" si="435"/>
        <v>#DIV/0!</v>
      </c>
      <c r="U823" s="1" t="e">
        <f t="shared" si="436"/>
        <v>#DIV/0!</v>
      </c>
      <c r="V823">
        <f t="shared" si="437"/>
        <v>851.48</v>
      </c>
      <c r="W823">
        <f t="shared" si="438"/>
        <v>0</v>
      </c>
      <c r="X823">
        <f t="shared" si="439"/>
        <v>0</v>
      </c>
      <c r="Y823">
        <f t="shared" si="440"/>
        <v>0</v>
      </c>
      <c r="Z823">
        <f t="shared" si="441"/>
        <v>0</v>
      </c>
      <c r="AA823">
        <f t="shared" si="442"/>
        <v>0</v>
      </c>
      <c r="AC823">
        <f t="shared" si="443"/>
        <v>1045.25</v>
      </c>
      <c r="AD823">
        <f t="shared" si="444"/>
        <v>0</v>
      </c>
      <c r="AE823">
        <f t="shared" si="445"/>
        <v>0</v>
      </c>
      <c r="AF823">
        <f t="shared" si="446"/>
        <v>0</v>
      </c>
      <c r="AG823">
        <f t="shared" si="447"/>
        <v>0</v>
      </c>
      <c r="AH823">
        <f t="shared" si="448"/>
        <v>0</v>
      </c>
      <c r="AJ823">
        <f t="shared" si="449"/>
        <v>1239.01</v>
      </c>
      <c r="AK823">
        <f t="shared" si="450"/>
        <v>0</v>
      </c>
      <c r="AL823">
        <f t="shared" si="451"/>
        <v>0</v>
      </c>
      <c r="AM823">
        <f t="shared" si="452"/>
        <v>0</v>
      </c>
      <c r="AN823">
        <f t="shared" si="453"/>
        <v>0</v>
      </c>
      <c r="AO823">
        <f t="shared" si="454"/>
        <v>0</v>
      </c>
    </row>
    <row r="824" spans="1:41" x14ac:dyDescent="0.45">
      <c r="A824">
        <v>43.09238105</v>
      </c>
      <c r="B824">
        <v>90.638014519999999</v>
      </c>
      <c r="C824">
        <v>27.577732090000001</v>
      </c>
      <c r="D824">
        <v>0.115249</v>
      </c>
      <c r="E824">
        <f t="shared" si="420"/>
        <v>0.115249</v>
      </c>
      <c r="F824">
        <f t="shared" si="421"/>
        <v>0</v>
      </c>
      <c r="G824">
        <f t="shared" si="422"/>
        <v>0</v>
      </c>
      <c r="H824">
        <f t="shared" si="423"/>
        <v>0</v>
      </c>
      <c r="I824">
        <f t="shared" si="424"/>
        <v>0</v>
      </c>
      <c r="J824">
        <f t="shared" si="425"/>
        <v>0</v>
      </c>
      <c r="K824" s="1">
        <f t="shared" si="426"/>
        <v>0</v>
      </c>
      <c r="L824" s="1">
        <f t="shared" si="427"/>
        <v>0</v>
      </c>
      <c r="M824" s="1">
        <f t="shared" si="428"/>
        <v>0</v>
      </c>
      <c r="N824" s="1">
        <f t="shared" si="429"/>
        <v>0</v>
      </c>
      <c r="O824" s="1">
        <f t="shared" si="430"/>
        <v>0</v>
      </c>
      <c r="P824" s="1">
        <f t="shared" si="431"/>
        <v>25</v>
      </c>
      <c r="Q824" s="1" t="e">
        <f t="shared" si="432"/>
        <v>#DIV/0!</v>
      </c>
      <c r="R824" s="1" t="e">
        <f t="shared" si="433"/>
        <v>#DIV/0!</v>
      </c>
      <c r="S824" s="1" t="e">
        <f t="shared" si="434"/>
        <v>#DIV/0!</v>
      </c>
      <c r="T824" s="1" t="e">
        <f t="shared" si="435"/>
        <v>#DIV/0!</v>
      </c>
      <c r="U824" s="1" t="e">
        <f t="shared" si="436"/>
        <v>#DIV/0!</v>
      </c>
      <c r="V824">
        <f t="shared" si="437"/>
        <v>851.48</v>
      </c>
      <c r="W824">
        <f t="shared" si="438"/>
        <v>0</v>
      </c>
      <c r="X824">
        <f t="shared" si="439"/>
        <v>0</v>
      </c>
      <c r="Y824">
        <f t="shared" si="440"/>
        <v>0</v>
      </c>
      <c r="Z824">
        <f t="shared" si="441"/>
        <v>0</v>
      </c>
      <c r="AA824">
        <f t="shared" si="442"/>
        <v>0</v>
      </c>
      <c r="AC824">
        <f t="shared" si="443"/>
        <v>1045.25</v>
      </c>
      <c r="AD824">
        <f t="shared" si="444"/>
        <v>0</v>
      </c>
      <c r="AE824">
        <f t="shared" si="445"/>
        <v>0</v>
      </c>
      <c r="AF824">
        <f t="shared" si="446"/>
        <v>0</v>
      </c>
      <c r="AG824">
        <f t="shared" si="447"/>
        <v>0</v>
      </c>
      <c r="AH824">
        <f t="shared" si="448"/>
        <v>0</v>
      </c>
      <c r="AJ824">
        <f t="shared" si="449"/>
        <v>1239.01</v>
      </c>
      <c r="AK824">
        <f t="shared" si="450"/>
        <v>0</v>
      </c>
      <c r="AL824">
        <f t="shared" si="451"/>
        <v>0</v>
      </c>
      <c r="AM824">
        <f t="shared" si="452"/>
        <v>0</v>
      </c>
      <c r="AN824">
        <f t="shared" si="453"/>
        <v>0</v>
      </c>
      <c r="AO824">
        <f t="shared" si="454"/>
        <v>0</v>
      </c>
    </row>
    <row r="825" spans="1:41" x14ac:dyDescent="0.45">
      <c r="A825">
        <v>43.123773620000001</v>
      </c>
      <c r="B825">
        <v>90.127587590000005</v>
      </c>
      <c r="C825">
        <v>27.577732090000001</v>
      </c>
      <c r="D825">
        <v>2.2950410799999998</v>
      </c>
      <c r="E825">
        <f t="shared" si="420"/>
        <v>2.2950410799999998</v>
      </c>
      <c r="F825">
        <f t="shared" si="421"/>
        <v>0</v>
      </c>
      <c r="G825">
        <f t="shared" si="422"/>
        <v>0</v>
      </c>
      <c r="H825">
        <f t="shared" si="423"/>
        <v>0</v>
      </c>
      <c r="I825">
        <f t="shared" si="424"/>
        <v>0</v>
      </c>
      <c r="J825">
        <f t="shared" si="425"/>
        <v>0</v>
      </c>
      <c r="K825" s="1">
        <f t="shared" si="426"/>
        <v>0</v>
      </c>
      <c r="L825" s="1">
        <f t="shared" si="427"/>
        <v>0</v>
      </c>
      <c r="M825" s="1">
        <f t="shared" si="428"/>
        <v>0</v>
      </c>
      <c r="N825" s="1">
        <f t="shared" si="429"/>
        <v>0</v>
      </c>
      <c r="O825" s="1">
        <f t="shared" si="430"/>
        <v>0</v>
      </c>
      <c r="P825" s="1">
        <f t="shared" si="431"/>
        <v>25</v>
      </c>
      <c r="Q825" s="1" t="e">
        <f t="shared" si="432"/>
        <v>#DIV/0!</v>
      </c>
      <c r="R825" s="1" t="e">
        <f t="shared" si="433"/>
        <v>#DIV/0!</v>
      </c>
      <c r="S825" s="1" t="e">
        <f t="shared" si="434"/>
        <v>#DIV/0!</v>
      </c>
      <c r="T825" s="1" t="e">
        <f t="shared" si="435"/>
        <v>#DIV/0!</v>
      </c>
      <c r="U825" s="1" t="e">
        <f t="shared" si="436"/>
        <v>#DIV/0!</v>
      </c>
      <c r="V825">
        <f t="shared" si="437"/>
        <v>851.48</v>
      </c>
      <c r="W825">
        <f t="shared" si="438"/>
        <v>0</v>
      </c>
      <c r="X825">
        <f t="shared" si="439"/>
        <v>0</v>
      </c>
      <c r="Y825">
        <f t="shared" si="440"/>
        <v>0</v>
      </c>
      <c r="Z825">
        <f t="shared" si="441"/>
        <v>0</v>
      </c>
      <c r="AA825">
        <f t="shared" si="442"/>
        <v>0</v>
      </c>
      <c r="AC825">
        <f t="shared" si="443"/>
        <v>1045.25</v>
      </c>
      <c r="AD825">
        <f t="shared" si="444"/>
        <v>0</v>
      </c>
      <c r="AE825">
        <f t="shared" si="445"/>
        <v>0</v>
      </c>
      <c r="AF825">
        <f t="shared" si="446"/>
        <v>0</v>
      </c>
      <c r="AG825">
        <f t="shared" si="447"/>
        <v>0</v>
      </c>
      <c r="AH825">
        <f t="shared" si="448"/>
        <v>0</v>
      </c>
      <c r="AJ825">
        <f t="shared" si="449"/>
        <v>1239.01</v>
      </c>
      <c r="AK825">
        <f t="shared" si="450"/>
        <v>0</v>
      </c>
      <c r="AL825">
        <f t="shared" si="451"/>
        <v>0</v>
      </c>
      <c r="AM825">
        <f t="shared" si="452"/>
        <v>0</v>
      </c>
      <c r="AN825">
        <f t="shared" si="453"/>
        <v>0</v>
      </c>
      <c r="AO825">
        <f t="shared" si="454"/>
        <v>0</v>
      </c>
    </row>
    <row r="826" spans="1:41" x14ac:dyDescent="0.45">
      <c r="A826">
        <v>43.153242550000002</v>
      </c>
      <c r="B826">
        <v>90.372879310000002</v>
      </c>
      <c r="C826">
        <v>27.577732090000001</v>
      </c>
      <c r="D826">
        <v>2.35851312</v>
      </c>
      <c r="E826">
        <f t="shared" si="420"/>
        <v>2.35851312</v>
      </c>
      <c r="F826">
        <f t="shared" si="421"/>
        <v>0</v>
      </c>
      <c r="G826">
        <f t="shared" si="422"/>
        <v>0</v>
      </c>
      <c r="H826">
        <f t="shared" si="423"/>
        <v>0</v>
      </c>
      <c r="I826">
        <f t="shared" si="424"/>
        <v>0</v>
      </c>
      <c r="J826">
        <f t="shared" si="425"/>
        <v>0</v>
      </c>
      <c r="K826" s="1">
        <f t="shared" si="426"/>
        <v>0</v>
      </c>
      <c r="L826" s="1">
        <f t="shared" si="427"/>
        <v>0</v>
      </c>
      <c r="M826" s="1">
        <f t="shared" si="428"/>
        <v>0</v>
      </c>
      <c r="N826" s="1">
        <f t="shared" si="429"/>
        <v>0</v>
      </c>
      <c r="O826" s="1">
        <f t="shared" si="430"/>
        <v>0</v>
      </c>
      <c r="P826" s="1">
        <f t="shared" si="431"/>
        <v>25</v>
      </c>
      <c r="Q826" s="1" t="e">
        <f t="shared" si="432"/>
        <v>#DIV/0!</v>
      </c>
      <c r="R826" s="1" t="e">
        <f t="shared" si="433"/>
        <v>#DIV/0!</v>
      </c>
      <c r="S826" s="1" t="e">
        <f t="shared" si="434"/>
        <v>#DIV/0!</v>
      </c>
      <c r="T826" s="1" t="e">
        <f t="shared" si="435"/>
        <v>#DIV/0!</v>
      </c>
      <c r="U826" s="1" t="e">
        <f t="shared" si="436"/>
        <v>#DIV/0!</v>
      </c>
      <c r="V826">
        <f t="shared" si="437"/>
        <v>851.48</v>
      </c>
      <c r="W826">
        <f t="shared" si="438"/>
        <v>0</v>
      </c>
      <c r="X826">
        <f t="shared" si="439"/>
        <v>0</v>
      </c>
      <c r="Y826">
        <f t="shared" si="440"/>
        <v>0</v>
      </c>
      <c r="Z826">
        <f t="shared" si="441"/>
        <v>0</v>
      </c>
      <c r="AA826">
        <f t="shared" si="442"/>
        <v>0</v>
      </c>
      <c r="AC826">
        <f t="shared" si="443"/>
        <v>1045.25</v>
      </c>
      <c r="AD826">
        <f t="shared" si="444"/>
        <v>0</v>
      </c>
      <c r="AE826">
        <f t="shared" si="445"/>
        <v>0</v>
      </c>
      <c r="AF826">
        <f t="shared" si="446"/>
        <v>0</v>
      </c>
      <c r="AG826">
        <f t="shared" si="447"/>
        <v>0</v>
      </c>
      <c r="AH826">
        <f t="shared" si="448"/>
        <v>0</v>
      </c>
      <c r="AJ826">
        <f t="shared" si="449"/>
        <v>1239.01</v>
      </c>
      <c r="AK826">
        <f t="shared" si="450"/>
        <v>0</v>
      </c>
      <c r="AL826">
        <f t="shared" si="451"/>
        <v>0</v>
      </c>
      <c r="AM826">
        <f t="shared" si="452"/>
        <v>0</v>
      </c>
      <c r="AN826">
        <f t="shared" si="453"/>
        <v>0</v>
      </c>
      <c r="AO826">
        <f t="shared" si="454"/>
        <v>0</v>
      </c>
    </row>
    <row r="827" spans="1:41" x14ac:dyDescent="0.45">
      <c r="A827">
        <v>43.160838269999999</v>
      </c>
      <c r="B827">
        <v>89.677998099999996</v>
      </c>
      <c r="C827">
        <v>9.2198610300000006</v>
      </c>
      <c r="D827">
        <v>0.38656899</v>
      </c>
      <c r="E827">
        <f t="shared" si="420"/>
        <v>0.38656899</v>
      </c>
      <c r="F827">
        <f t="shared" si="421"/>
        <v>0</v>
      </c>
      <c r="G827">
        <f t="shared" si="422"/>
        <v>0</v>
      </c>
      <c r="H827">
        <f t="shared" si="423"/>
        <v>0</v>
      </c>
      <c r="I827">
        <f t="shared" si="424"/>
        <v>0</v>
      </c>
      <c r="J827">
        <f t="shared" si="425"/>
        <v>0</v>
      </c>
      <c r="K827" s="1">
        <f t="shared" si="426"/>
        <v>0</v>
      </c>
      <c r="L827" s="1">
        <f t="shared" si="427"/>
        <v>0</v>
      </c>
      <c r="M827" s="1">
        <f t="shared" si="428"/>
        <v>0</v>
      </c>
      <c r="N827" s="1">
        <f t="shared" si="429"/>
        <v>0</v>
      </c>
      <c r="O827" s="1">
        <f t="shared" si="430"/>
        <v>0</v>
      </c>
      <c r="P827" s="1">
        <f t="shared" si="431"/>
        <v>25</v>
      </c>
      <c r="Q827" s="1" t="e">
        <f t="shared" si="432"/>
        <v>#DIV/0!</v>
      </c>
      <c r="R827" s="1" t="e">
        <f t="shared" si="433"/>
        <v>#DIV/0!</v>
      </c>
      <c r="S827" s="1" t="e">
        <f t="shared" si="434"/>
        <v>#DIV/0!</v>
      </c>
      <c r="T827" s="1" t="e">
        <f t="shared" si="435"/>
        <v>#DIV/0!</v>
      </c>
      <c r="U827" s="1" t="e">
        <f t="shared" si="436"/>
        <v>#DIV/0!</v>
      </c>
      <c r="V827">
        <f t="shared" si="437"/>
        <v>851.48</v>
      </c>
      <c r="W827">
        <f t="shared" si="438"/>
        <v>0</v>
      </c>
      <c r="X827">
        <f t="shared" si="439"/>
        <v>0</v>
      </c>
      <c r="Y827">
        <f t="shared" si="440"/>
        <v>0</v>
      </c>
      <c r="Z827">
        <f t="shared" si="441"/>
        <v>0</v>
      </c>
      <c r="AA827">
        <f t="shared" si="442"/>
        <v>0</v>
      </c>
      <c r="AC827">
        <f t="shared" si="443"/>
        <v>1045.25</v>
      </c>
      <c r="AD827">
        <f t="shared" si="444"/>
        <v>0</v>
      </c>
      <c r="AE827">
        <f t="shared" si="445"/>
        <v>0</v>
      </c>
      <c r="AF827">
        <f t="shared" si="446"/>
        <v>0</v>
      </c>
      <c r="AG827">
        <f t="shared" si="447"/>
        <v>0</v>
      </c>
      <c r="AH827">
        <f t="shared" si="448"/>
        <v>0</v>
      </c>
      <c r="AJ827">
        <f t="shared" si="449"/>
        <v>1239.01</v>
      </c>
      <c r="AK827">
        <f t="shared" si="450"/>
        <v>0</v>
      </c>
      <c r="AL827">
        <f t="shared" si="451"/>
        <v>0</v>
      </c>
      <c r="AM827">
        <f t="shared" si="452"/>
        <v>0</v>
      </c>
      <c r="AN827">
        <f t="shared" si="453"/>
        <v>0</v>
      </c>
      <c r="AO827">
        <f t="shared" si="454"/>
        <v>0</v>
      </c>
    </row>
    <row r="828" spans="1:41" x14ac:dyDescent="0.45">
      <c r="A828">
        <v>43.182254280000002</v>
      </c>
      <c r="B828">
        <v>90.618373379999994</v>
      </c>
      <c r="C828">
        <v>27.577732090000001</v>
      </c>
      <c r="D828">
        <v>2.0868179800000002</v>
      </c>
      <c r="E828">
        <f t="shared" si="420"/>
        <v>2.0868179800000002</v>
      </c>
      <c r="F828">
        <f t="shared" si="421"/>
        <v>0</v>
      </c>
      <c r="G828">
        <f t="shared" si="422"/>
        <v>0</v>
      </c>
      <c r="H828">
        <f t="shared" si="423"/>
        <v>0</v>
      </c>
      <c r="I828">
        <f t="shared" si="424"/>
        <v>0</v>
      </c>
      <c r="J828">
        <f t="shared" si="425"/>
        <v>0</v>
      </c>
      <c r="K828" s="1">
        <f t="shared" si="426"/>
        <v>0</v>
      </c>
      <c r="L828" s="1">
        <f t="shared" si="427"/>
        <v>0</v>
      </c>
      <c r="M828" s="1">
        <f t="shared" si="428"/>
        <v>0</v>
      </c>
      <c r="N828" s="1">
        <f t="shared" si="429"/>
        <v>0</v>
      </c>
      <c r="O828" s="1">
        <f t="shared" si="430"/>
        <v>0</v>
      </c>
      <c r="P828" s="1">
        <f t="shared" si="431"/>
        <v>25</v>
      </c>
      <c r="Q828" s="1" t="e">
        <f t="shared" si="432"/>
        <v>#DIV/0!</v>
      </c>
      <c r="R828" s="1" t="e">
        <f t="shared" si="433"/>
        <v>#DIV/0!</v>
      </c>
      <c r="S828" s="1" t="e">
        <f t="shared" si="434"/>
        <v>#DIV/0!</v>
      </c>
      <c r="T828" s="1" t="e">
        <f t="shared" si="435"/>
        <v>#DIV/0!</v>
      </c>
      <c r="U828" s="1" t="e">
        <f t="shared" si="436"/>
        <v>#DIV/0!</v>
      </c>
      <c r="V828">
        <f t="shared" si="437"/>
        <v>851.48</v>
      </c>
      <c r="W828">
        <f t="shared" si="438"/>
        <v>0</v>
      </c>
      <c r="X828">
        <f t="shared" si="439"/>
        <v>0</v>
      </c>
      <c r="Y828">
        <f t="shared" si="440"/>
        <v>0</v>
      </c>
      <c r="Z828">
        <f t="shared" si="441"/>
        <v>0</v>
      </c>
      <c r="AA828">
        <f t="shared" si="442"/>
        <v>0</v>
      </c>
      <c r="AC828">
        <f t="shared" si="443"/>
        <v>1045.25</v>
      </c>
      <c r="AD828">
        <f t="shared" si="444"/>
        <v>0</v>
      </c>
      <c r="AE828">
        <f t="shared" si="445"/>
        <v>0</v>
      </c>
      <c r="AF828">
        <f t="shared" si="446"/>
        <v>0</v>
      </c>
      <c r="AG828">
        <f t="shared" si="447"/>
        <v>0</v>
      </c>
      <c r="AH828">
        <f t="shared" si="448"/>
        <v>0</v>
      </c>
      <c r="AJ828">
        <f t="shared" si="449"/>
        <v>1239.01</v>
      </c>
      <c r="AK828">
        <f t="shared" si="450"/>
        <v>0</v>
      </c>
      <c r="AL828">
        <f t="shared" si="451"/>
        <v>0</v>
      </c>
      <c r="AM828">
        <f t="shared" si="452"/>
        <v>0</v>
      </c>
      <c r="AN828">
        <f t="shared" si="453"/>
        <v>0</v>
      </c>
      <c r="AO828">
        <f t="shared" si="454"/>
        <v>0</v>
      </c>
    </row>
    <row r="829" spans="1:41" x14ac:dyDescent="0.45">
      <c r="A829">
        <v>43.188516579999998</v>
      </c>
      <c r="B829">
        <v>89.166691549999996</v>
      </c>
      <c r="C829">
        <v>9.2198610300000006</v>
      </c>
      <c r="D829">
        <v>1.2910440000000001</v>
      </c>
      <c r="E829">
        <f t="shared" si="420"/>
        <v>1.2910440000000001</v>
      </c>
      <c r="F829">
        <f t="shared" si="421"/>
        <v>0</v>
      </c>
      <c r="G829">
        <f t="shared" si="422"/>
        <v>0</v>
      </c>
      <c r="H829">
        <f t="shared" si="423"/>
        <v>0</v>
      </c>
      <c r="I829">
        <f t="shared" si="424"/>
        <v>0</v>
      </c>
      <c r="J829">
        <f t="shared" si="425"/>
        <v>0</v>
      </c>
      <c r="K829" s="1">
        <f t="shared" si="426"/>
        <v>0</v>
      </c>
      <c r="L829" s="1">
        <f t="shared" si="427"/>
        <v>0</v>
      </c>
      <c r="M829" s="1">
        <f t="shared" si="428"/>
        <v>0</v>
      </c>
      <c r="N829" s="1">
        <f t="shared" si="429"/>
        <v>0</v>
      </c>
      <c r="O829" s="1">
        <f t="shared" si="430"/>
        <v>0</v>
      </c>
      <c r="P829" s="1">
        <f t="shared" si="431"/>
        <v>24.999999999999996</v>
      </c>
      <c r="Q829" s="1" t="e">
        <f t="shared" si="432"/>
        <v>#DIV/0!</v>
      </c>
      <c r="R829" s="1" t="e">
        <f t="shared" si="433"/>
        <v>#DIV/0!</v>
      </c>
      <c r="S829" s="1" t="e">
        <f t="shared" si="434"/>
        <v>#DIV/0!</v>
      </c>
      <c r="T829" s="1" t="e">
        <f t="shared" si="435"/>
        <v>#DIV/0!</v>
      </c>
      <c r="U829" s="1" t="e">
        <f t="shared" si="436"/>
        <v>#DIV/0!</v>
      </c>
      <c r="V829">
        <f t="shared" si="437"/>
        <v>851.4799999999999</v>
      </c>
      <c r="W829">
        <f t="shared" si="438"/>
        <v>0</v>
      </c>
      <c r="X829">
        <f t="shared" si="439"/>
        <v>0</v>
      </c>
      <c r="Y829">
        <f t="shared" si="440"/>
        <v>0</v>
      </c>
      <c r="Z829">
        <f t="shared" si="441"/>
        <v>0</v>
      </c>
      <c r="AA829">
        <f t="shared" si="442"/>
        <v>0</v>
      </c>
      <c r="AC829">
        <f t="shared" si="443"/>
        <v>1045.25</v>
      </c>
      <c r="AD829">
        <f t="shared" si="444"/>
        <v>0</v>
      </c>
      <c r="AE829">
        <f t="shared" si="445"/>
        <v>0</v>
      </c>
      <c r="AF829">
        <f t="shared" si="446"/>
        <v>0</v>
      </c>
      <c r="AG829">
        <f t="shared" si="447"/>
        <v>0</v>
      </c>
      <c r="AH829">
        <f t="shared" si="448"/>
        <v>0</v>
      </c>
      <c r="AJ829">
        <f t="shared" si="449"/>
        <v>1239.0099999999998</v>
      </c>
      <c r="AK829">
        <f t="shared" si="450"/>
        <v>0</v>
      </c>
      <c r="AL829">
        <f t="shared" si="451"/>
        <v>0</v>
      </c>
      <c r="AM829">
        <f t="shared" si="452"/>
        <v>0</v>
      </c>
      <c r="AN829">
        <f t="shared" si="453"/>
        <v>0</v>
      </c>
      <c r="AO829">
        <f t="shared" si="454"/>
        <v>0</v>
      </c>
    </row>
    <row r="830" spans="1:41" x14ac:dyDescent="0.45">
      <c r="A830">
        <v>43.228397299999997</v>
      </c>
      <c r="B830">
        <v>91.426923599999995</v>
      </c>
      <c r="C830">
        <v>10.37234402</v>
      </c>
      <c r="D830">
        <v>1.0543090100000001</v>
      </c>
      <c r="E830">
        <f t="shared" si="420"/>
        <v>1.0543090100000001</v>
      </c>
      <c r="F830">
        <f t="shared" si="421"/>
        <v>0</v>
      </c>
      <c r="G830">
        <f t="shared" si="422"/>
        <v>0</v>
      </c>
      <c r="H830">
        <f t="shared" si="423"/>
        <v>0</v>
      </c>
      <c r="I830">
        <f t="shared" si="424"/>
        <v>0</v>
      </c>
      <c r="J830">
        <f t="shared" si="425"/>
        <v>0</v>
      </c>
      <c r="K830" s="1">
        <f t="shared" si="426"/>
        <v>0</v>
      </c>
      <c r="L830" s="1">
        <f t="shared" si="427"/>
        <v>0</v>
      </c>
      <c r="M830" s="1">
        <f t="shared" si="428"/>
        <v>0</v>
      </c>
      <c r="N830" s="1">
        <f t="shared" si="429"/>
        <v>0</v>
      </c>
      <c r="O830" s="1">
        <f t="shared" si="430"/>
        <v>0</v>
      </c>
      <c r="P830" s="1">
        <f t="shared" si="431"/>
        <v>25</v>
      </c>
      <c r="Q830" s="1" t="e">
        <f t="shared" si="432"/>
        <v>#DIV/0!</v>
      </c>
      <c r="R830" s="1" t="e">
        <f t="shared" si="433"/>
        <v>#DIV/0!</v>
      </c>
      <c r="S830" s="1" t="e">
        <f t="shared" si="434"/>
        <v>#DIV/0!</v>
      </c>
      <c r="T830" s="1" t="e">
        <f t="shared" si="435"/>
        <v>#DIV/0!</v>
      </c>
      <c r="U830" s="1" t="e">
        <f t="shared" si="436"/>
        <v>#DIV/0!</v>
      </c>
      <c r="V830">
        <f t="shared" si="437"/>
        <v>851.48</v>
      </c>
      <c r="W830">
        <f t="shared" si="438"/>
        <v>0</v>
      </c>
      <c r="X830">
        <f t="shared" si="439"/>
        <v>0</v>
      </c>
      <c r="Y830">
        <f t="shared" si="440"/>
        <v>0</v>
      </c>
      <c r="Z830">
        <f t="shared" si="441"/>
        <v>0</v>
      </c>
      <c r="AA830">
        <f t="shared" si="442"/>
        <v>0</v>
      </c>
      <c r="AC830">
        <f t="shared" si="443"/>
        <v>1045.25</v>
      </c>
      <c r="AD830">
        <f t="shared" si="444"/>
        <v>0</v>
      </c>
      <c r="AE830">
        <f t="shared" si="445"/>
        <v>0</v>
      </c>
      <c r="AF830">
        <f t="shared" si="446"/>
        <v>0</v>
      </c>
      <c r="AG830">
        <f t="shared" si="447"/>
        <v>0</v>
      </c>
      <c r="AH830">
        <f t="shared" si="448"/>
        <v>0</v>
      </c>
      <c r="AJ830">
        <f t="shared" si="449"/>
        <v>1239.01</v>
      </c>
      <c r="AK830">
        <f t="shared" si="450"/>
        <v>0</v>
      </c>
      <c r="AL830">
        <f t="shared" si="451"/>
        <v>0</v>
      </c>
      <c r="AM830">
        <f t="shared" si="452"/>
        <v>0</v>
      </c>
      <c r="AN830">
        <f t="shared" si="453"/>
        <v>0</v>
      </c>
      <c r="AO830">
        <f t="shared" si="454"/>
        <v>0</v>
      </c>
    </row>
    <row r="831" spans="1:41" x14ac:dyDescent="0.45">
      <c r="A831">
        <v>43.255924399999998</v>
      </c>
      <c r="B831">
        <v>121.9237152</v>
      </c>
      <c r="C831">
        <v>0.39520844999999999</v>
      </c>
      <c r="D831">
        <v>0.181954</v>
      </c>
      <c r="E831">
        <f t="shared" si="420"/>
        <v>0.181954</v>
      </c>
      <c r="F831">
        <f t="shared" si="421"/>
        <v>0</v>
      </c>
      <c r="G831">
        <f t="shared" si="422"/>
        <v>0</v>
      </c>
      <c r="H831">
        <f t="shared" si="423"/>
        <v>0</v>
      </c>
      <c r="I831">
        <f t="shared" si="424"/>
        <v>0</v>
      </c>
      <c r="J831">
        <f t="shared" si="425"/>
        <v>0</v>
      </c>
      <c r="K831" s="1">
        <f t="shared" si="426"/>
        <v>0</v>
      </c>
      <c r="L831" s="1">
        <f t="shared" si="427"/>
        <v>0</v>
      </c>
      <c r="M831" s="1">
        <f t="shared" si="428"/>
        <v>0</v>
      </c>
      <c r="N831" s="1">
        <f t="shared" si="429"/>
        <v>0</v>
      </c>
      <c r="O831" s="1">
        <f t="shared" si="430"/>
        <v>0</v>
      </c>
      <c r="P831" s="1">
        <f t="shared" si="431"/>
        <v>25</v>
      </c>
      <c r="Q831" s="1" t="e">
        <f t="shared" si="432"/>
        <v>#DIV/0!</v>
      </c>
      <c r="R831" s="1" t="e">
        <f t="shared" si="433"/>
        <v>#DIV/0!</v>
      </c>
      <c r="S831" s="1" t="e">
        <f t="shared" si="434"/>
        <v>#DIV/0!</v>
      </c>
      <c r="T831" s="1" t="e">
        <f t="shared" si="435"/>
        <v>#DIV/0!</v>
      </c>
      <c r="U831" s="1" t="e">
        <f t="shared" si="436"/>
        <v>#DIV/0!</v>
      </c>
      <c r="V831">
        <f t="shared" si="437"/>
        <v>851.48</v>
      </c>
      <c r="W831">
        <f t="shared" si="438"/>
        <v>0</v>
      </c>
      <c r="X831">
        <f t="shared" si="439"/>
        <v>0</v>
      </c>
      <c r="Y831">
        <f t="shared" si="440"/>
        <v>0</v>
      </c>
      <c r="Z831">
        <f t="shared" si="441"/>
        <v>0</v>
      </c>
      <c r="AA831">
        <f t="shared" si="442"/>
        <v>0</v>
      </c>
      <c r="AC831">
        <f t="shared" si="443"/>
        <v>1045.25</v>
      </c>
      <c r="AD831">
        <f t="shared" si="444"/>
        <v>0</v>
      </c>
      <c r="AE831">
        <f t="shared" si="445"/>
        <v>0</v>
      </c>
      <c r="AF831">
        <f t="shared" si="446"/>
        <v>0</v>
      </c>
      <c r="AG831">
        <f t="shared" si="447"/>
        <v>0</v>
      </c>
      <c r="AH831">
        <f t="shared" si="448"/>
        <v>0</v>
      </c>
      <c r="AJ831">
        <f t="shared" si="449"/>
        <v>1239.01</v>
      </c>
      <c r="AK831">
        <f t="shared" si="450"/>
        <v>0</v>
      </c>
      <c r="AL831">
        <f t="shared" si="451"/>
        <v>0</v>
      </c>
      <c r="AM831">
        <f t="shared" si="452"/>
        <v>0</v>
      </c>
      <c r="AN831">
        <f t="shared" si="453"/>
        <v>0</v>
      </c>
      <c r="AO831">
        <f t="shared" si="454"/>
        <v>0</v>
      </c>
    </row>
    <row r="832" spans="1:41" x14ac:dyDescent="0.45">
      <c r="A832">
        <v>43.303355600000003</v>
      </c>
      <c r="B832">
        <v>125.0371217</v>
      </c>
      <c r="C832">
        <v>3.370339E-2</v>
      </c>
      <c r="D832">
        <v>30.30833054</v>
      </c>
      <c r="E832">
        <f t="shared" si="420"/>
        <v>3.370339E-2</v>
      </c>
      <c r="F832">
        <f t="shared" si="421"/>
        <v>30.139813589999999</v>
      </c>
      <c r="G832">
        <f t="shared" si="422"/>
        <v>29.971296639999998</v>
      </c>
      <c r="H832">
        <f t="shared" si="423"/>
        <v>29.802779690000001</v>
      </c>
      <c r="I832">
        <f t="shared" si="424"/>
        <v>29.63426274</v>
      </c>
      <c r="J832">
        <f t="shared" si="425"/>
        <v>29.46574579</v>
      </c>
      <c r="K832" s="1">
        <f t="shared" si="426"/>
        <v>3.370339E-2</v>
      </c>
      <c r="L832" s="1">
        <f t="shared" si="427"/>
        <v>3.370339E-2</v>
      </c>
      <c r="M832" s="1">
        <f t="shared" si="428"/>
        <v>3.370339E-2</v>
      </c>
      <c r="N832" s="1">
        <f t="shared" si="429"/>
        <v>3.370339E-2</v>
      </c>
      <c r="O832" s="1">
        <f t="shared" si="430"/>
        <v>3.370339E-2</v>
      </c>
      <c r="P832" s="1">
        <f t="shared" si="431"/>
        <v>1</v>
      </c>
      <c r="Q832" s="1">
        <f t="shared" si="432"/>
        <v>1</v>
      </c>
      <c r="R832" s="1">
        <f t="shared" si="433"/>
        <v>1</v>
      </c>
      <c r="S832" s="1">
        <f t="shared" si="434"/>
        <v>1</v>
      </c>
      <c r="T832" s="1">
        <f t="shared" si="435"/>
        <v>1</v>
      </c>
      <c r="U832" s="1">
        <f t="shared" si="436"/>
        <v>1</v>
      </c>
      <c r="V832">
        <f t="shared" si="437"/>
        <v>71.48</v>
      </c>
      <c r="W832">
        <f t="shared" si="438"/>
        <v>76.489999999999995</v>
      </c>
      <c r="X832">
        <f t="shared" si="439"/>
        <v>52.14</v>
      </c>
      <c r="Y832">
        <f t="shared" si="440"/>
        <v>38.1</v>
      </c>
      <c r="Z832">
        <f t="shared" si="441"/>
        <v>32.120000000000005</v>
      </c>
      <c r="AA832">
        <f t="shared" si="442"/>
        <v>30.03</v>
      </c>
      <c r="AC832">
        <f t="shared" si="443"/>
        <v>85.25</v>
      </c>
      <c r="AD832">
        <f t="shared" si="444"/>
        <v>76.489999999999995</v>
      </c>
      <c r="AE832">
        <f t="shared" si="445"/>
        <v>64.17</v>
      </c>
      <c r="AF832">
        <f t="shared" si="446"/>
        <v>49.84</v>
      </c>
      <c r="AG832">
        <f t="shared" si="447"/>
        <v>48.34</v>
      </c>
      <c r="AH832">
        <f t="shared" si="448"/>
        <v>41.36</v>
      </c>
      <c r="AJ832">
        <f t="shared" si="449"/>
        <v>99.009999999999991</v>
      </c>
      <c r="AK832">
        <f t="shared" si="450"/>
        <v>90.94</v>
      </c>
      <c r="AL832">
        <f t="shared" si="451"/>
        <v>78.7</v>
      </c>
      <c r="AM832">
        <f t="shared" si="452"/>
        <v>67.430000000000007</v>
      </c>
      <c r="AN832">
        <f t="shared" si="453"/>
        <v>62.56</v>
      </c>
      <c r="AO832">
        <f t="shared" si="454"/>
        <v>55.19</v>
      </c>
    </row>
    <row r="833" spans="1:41" x14ac:dyDescent="0.45">
      <c r="A833">
        <v>43.402095070000001</v>
      </c>
      <c r="B833">
        <v>111.7836582</v>
      </c>
      <c r="C833">
        <v>5.9636301999999999</v>
      </c>
      <c r="D833">
        <v>2.4871919199999999</v>
      </c>
      <c r="E833">
        <f t="shared" si="420"/>
        <v>2.4871919199999999</v>
      </c>
      <c r="F833">
        <f t="shared" si="421"/>
        <v>0</v>
      </c>
      <c r="G833">
        <f t="shared" si="422"/>
        <v>0</v>
      </c>
      <c r="H833">
        <f t="shared" si="423"/>
        <v>0</v>
      </c>
      <c r="I833">
        <f t="shared" si="424"/>
        <v>0</v>
      </c>
      <c r="J833">
        <f t="shared" si="425"/>
        <v>0</v>
      </c>
      <c r="K833" s="1">
        <f t="shared" si="426"/>
        <v>0</v>
      </c>
      <c r="L833" s="1">
        <f t="shared" si="427"/>
        <v>0</v>
      </c>
      <c r="M833" s="1">
        <f t="shared" si="428"/>
        <v>0</v>
      </c>
      <c r="N833" s="1">
        <f t="shared" si="429"/>
        <v>0</v>
      </c>
      <c r="O833" s="1">
        <f t="shared" si="430"/>
        <v>0</v>
      </c>
      <c r="P833" s="1">
        <f t="shared" si="431"/>
        <v>25</v>
      </c>
      <c r="Q833" s="1" t="e">
        <f t="shared" si="432"/>
        <v>#DIV/0!</v>
      </c>
      <c r="R833" s="1" t="e">
        <f t="shared" si="433"/>
        <v>#DIV/0!</v>
      </c>
      <c r="S833" s="1" t="e">
        <f t="shared" si="434"/>
        <v>#DIV/0!</v>
      </c>
      <c r="T833" s="1" t="e">
        <f t="shared" si="435"/>
        <v>#DIV/0!</v>
      </c>
      <c r="U833" s="1" t="e">
        <f t="shared" si="436"/>
        <v>#DIV/0!</v>
      </c>
      <c r="V833">
        <f t="shared" si="437"/>
        <v>851.48</v>
      </c>
      <c r="W833">
        <f t="shared" si="438"/>
        <v>0</v>
      </c>
      <c r="X833">
        <f t="shared" si="439"/>
        <v>0</v>
      </c>
      <c r="Y833">
        <f t="shared" si="440"/>
        <v>0</v>
      </c>
      <c r="Z833">
        <f t="shared" si="441"/>
        <v>0</v>
      </c>
      <c r="AA833">
        <f t="shared" si="442"/>
        <v>0</v>
      </c>
      <c r="AC833">
        <f t="shared" si="443"/>
        <v>1045.25</v>
      </c>
      <c r="AD833">
        <f t="shared" si="444"/>
        <v>0</v>
      </c>
      <c r="AE833">
        <f t="shared" si="445"/>
        <v>0</v>
      </c>
      <c r="AF833">
        <f t="shared" si="446"/>
        <v>0</v>
      </c>
      <c r="AG833">
        <f t="shared" si="447"/>
        <v>0</v>
      </c>
      <c r="AH833">
        <f t="shared" si="448"/>
        <v>0</v>
      </c>
      <c r="AJ833">
        <f t="shared" si="449"/>
        <v>1239.01</v>
      </c>
      <c r="AK833">
        <f t="shared" si="450"/>
        <v>0</v>
      </c>
      <c r="AL833">
        <f t="shared" si="451"/>
        <v>0</v>
      </c>
      <c r="AM833">
        <f t="shared" si="452"/>
        <v>0</v>
      </c>
      <c r="AN833">
        <f t="shared" si="453"/>
        <v>0</v>
      </c>
      <c r="AO833">
        <f t="shared" si="454"/>
        <v>0</v>
      </c>
    </row>
    <row r="834" spans="1:41" x14ac:dyDescent="0.45">
      <c r="A834">
        <v>43.442001439999999</v>
      </c>
      <c r="B834">
        <v>111.9119796</v>
      </c>
      <c r="C834">
        <v>5.9636301999999999</v>
      </c>
      <c r="D834">
        <v>0.68049300000000001</v>
      </c>
      <c r="E834">
        <f t="shared" si="420"/>
        <v>0.68049300000000001</v>
      </c>
      <c r="F834">
        <f t="shared" si="421"/>
        <v>0</v>
      </c>
      <c r="G834">
        <f t="shared" si="422"/>
        <v>0</v>
      </c>
      <c r="H834">
        <f t="shared" si="423"/>
        <v>0</v>
      </c>
      <c r="I834">
        <f t="shared" si="424"/>
        <v>0</v>
      </c>
      <c r="J834">
        <f t="shared" si="425"/>
        <v>0</v>
      </c>
      <c r="K834" s="1">
        <f t="shared" si="426"/>
        <v>0</v>
      </c>
      <c r="L834" s="1">
        <f t="shared" si="427"/>
        <v>0</v>
      </c>
      <c r="M834" s="1">
        <f t="shared" si="428"/>
        <v>0</v>
      </c>
      <c r="N834" s="1">
        <f t="shared" si="429"/>
        <v>0</v>
      </c>
      <c r="O834" s="1">
        <f t="shared" si="430"/>
        <v>0</v>
      </c>
      <c r="P834" s="1">
        <f t="shared" si="431"/>
        <v>25</v>
      </c>
      <c r="Q834" s="1" t="e">
        <f t="shared" si="432"/>
        <v>#DIV/0!</v>
      </c>
      <c r="R834" s="1" t="e">
        <f t="shared" si="433"/>
        <v>#DIV/0!</v>
      </c>
      <c r="S834" s="1" t="e">
        <f t="shared" si="434"/>
        <v>#DIV/0!</v>
      </c>
      <c r="T834" s="1" t="e">
        <f t="shared" si="435"/>
        <v>#DIV/0!</v>
      </c>
      <c r="U834" s="1" t="e">
        <f t="shared" si="436"/>
        <v>#DIV/0!</v>
      </c>
      <c r="V834">
        <f t="shared" si="437"/>
        <v>851.48</v>
      </c>
      <c r="W834">
        <f t="shared" si="438"/>
        <v>0</v>
      </c>
      <c r="X834">
        <f t="shared" si="439"/>
        <v>0</v>
      </c>
      <c r="Y834">
        <f t="shared" si="440"/>
        <v>0</v>
      </c>
      <c r="Z834">
        <f t="shared" si="441"/>
        <v>0</v>
      </c>
      <c r="AA834">
        <f t="shared" si="442"/>
        <v>0</v>
      </c>
      <c r="AC834">
        <f t="shared" si="443"/>
        <v>1045.25</v>
      </c>
      <c r="AD834">
        <f t="shared" si="444"/>
        <v>0</v>
      </c>
      <c r="AE834">
        <f t="shared" si="445"/>
        <v>0</v>
      </c>
      <c r="AF834">
        <f t="shared" si="446"/>
        <v>0</v>
      </c>
      <c r="AG834">
        <f t="shared" si="447"/>
        <v>0</v>
      </c>
      <c r="AH834">
        <f t="shared" si="448"/>
        <v>0</v>
      </c>
      <c r="AJ834">
        <f t="shared" si="449"/>
        <v>1239.01</v>
      </c>
      <c r="AK834">
        <f t="shared" si="450"/>
        <v>0</v>
      </c>
      <c r="AL834">
        <f t="shared" si="451"/>
        <v>0</v>
      </c>
      <c r="AM834">
        <f t="shared" si="452"/>
        <v>0</v>
      </c>
      <c r="AN834">
        <f t="shared" si="453"/>
        <v>0</v>
      </c>
      <c r="AO834">
        <f t="shared" si="454"/>
        <v>0</v>
      </c>
    </row>
    <row r="835" spans="1:41" x14ac:dyDescent="0.45">
      <c r="A835">
        <v>43.523296950000002</v>
      </c>
      <c r="B835">
        <v>113.8606827</v>
      </c>
      <c r="C835">
        <v>6.3704409599999998</v>
      </c>
      <c r="D835">
        <v>0.40274099000000002</v>
      </c>
      <c r="E835">
        <f t="shared" ref="E835:E898" si="455">MIN(C835,D835)</f>
        <v>0.40274099000000002</v>
      </c>
      <c r="F835">
        <f t="shared" ref="F835:F898" si="456">MAX(0,(D835-(C835*(2030-2025))))</f>
        <v>0</v>
      </c>
      <c r="G835">
        <f t="shared" ref="G835:G898" si="457">MAX(0,(D835-(C835*(2035-2025))))</f>
        <v>0</v>
      </c>
      <c r="H835">
        <f t="shared" ref="H835:H898" si="458">MAX(0,(D835-(C835*(2040-2025))))</f>
        <v>0</v>
      </c>
      <c r="I835">
        <f t="shared" ref="I835:I898" si="459">MAX(0,(D835-(C835*(2045-2025))))</f>
        <v>0</v>
      </c>
      <c r="J835">
        <f t="shared" ref="J835:J898" si="460">MAX(0,(D835-(C835*(2050-2025))))</f>
        <v>0</v>
      </c>
      <c r="K835" s="1">
        <f t="shared" ref="K835:K898" si="461">MIN(E835,F835)</f>
        <v>0</v>
      </c>
      <c r="L835" s="1">
        <f t="shared" ref="L835:L898" si="462">MIN(E835,G835)</f>
        <v>0</v>
      </c>
      <c r="M835" s="1">
        <f t="shared" ref="M835:M898" si="463">MIN(E835,H835)</f>
        <v>0</v>
      </c>
      <c r="N835" s="1">
        <f t="shared" ref="N835:N898" si="464">MIN(E835,I835)</f>
        <v>0</v>
      </c>
      <c r="O835" s="1">
        <f t="shared" ref="O835:O898" si="465">MIN(E835,J835)</f>
        <v>0</v>
      </c>
      <c r="P835" s="1">
        <f t="shared" ref="P835:P898" si="466">MAX(1,((25*E835)/D835))</f>
        <v>25</v>
      </c>
      <c r="Q835" s="1" t="e">
        <f t="shared" ref="Q835:Q898" si="467">MAX(1, ((25*K835)/F835))</f>
        <v>#DIV/0!</v>
      </c>
      <c r="R835" s="1" t="e">
        <f t="shared" ref="R835:R898" si="468">MAX(1, ((25*L835)/G835))</f>
        <v>#DIV/0!</v>
      </c>
      <c r="S835" s="1" t="e">
        <f t="shared" ref="S835:S898" si="469">MAX(1, ((25*M835)/H835))</f>
        <v>#DIV/0!</v>
      </c>
      <c r="T835" s="1" t="e">
        <f t="shared" ref="T835:T898" si="470">MAX(1, ((25*N835)/I835))</f>
        <v>#DIV/0!</v>
      </c>
      <c r="U835" s="1" t="e">
        <f t="shared" ref="U835:U898" si="471">MAX(1, ((25*O835)/J835))</f>
        <v>#DIV/0!</v>
      </c>
      <c r="V835">
        <f t="shared" ref="V835:V898" si="472">(32.02+6.96+(0.13*250*P835))</f>
        <v>851.48</v>
      </c>
      <c r="W835">
        <f t="shared" ref="W835:W898" si="473">IF(F835&gt;0,(32.72+6.27+(0.15*250*Q835)),F835)</f>
        <v>0</v>
      </c>
      <c r="X835">
        <f t="shared" ref="X835:X898" si="474">IF(G835&gt;0,(22.27+4.87+(0.1*250*S835)),G835)</f>
        <v>0</v>
      </c>
      <c r="Y835">
        <f t="shared" ref="Y835:Y898" si="475">IF(H835&gt;0,(13.92+4.18+(0.08*250*S835)),H835)</f>
        <v>0</v>
      </c>
      <c r="Z835">
        <f t="shared" ref="Z835:Z898" si="476">IF(I835&gt;0,(11.14+3.48+(0.07*250*T835)),I835)</f>
        <v>0</v>
      </c>
      <c r="AA835">
        <f t="shared" ref="AA835:AA898" si="477">IF(J835&gt;0,(9.75+2.78+(0.07*250*U835)),J835)</f>
        <v>0</v>
      </c>
      <c r="AC835">
        <f t="shared" ref="AC835:AC898" si="478">IF(D835&gt;0,(37.59+7.66+(0.16*250*P835)),D835)</f>
        <v>1045.25</v>
      </c>
      <c r="AD835">
        <f t="shared" ref="AD835:AD898" si="479">IF(F835&gt;0,(32.72+6.27+(0.15*250*Q835)),F835)</f>
        <v>0</v>
      </c>
      <c r="AE835">
        <f t="shared" ref="AE835:AE898" si="480">IF(G835&gt;0,(26.45+5.22+(0.13*250*R835)),G835)</f>
        <v>0</v>
      </c>
      <c r="AF835">
        <f t="shared" ref="AF835:AF898" si="481">IF(H835&gt;0,(15.31+4.53+(0.12*250*S835)),H835)</f>
        <v>0</v>
      </c>
      <c r="AG835">
        <f t="shared" ref="AG835:AG898" si="482">IF(I835&gt;0,(16.01+3.83+(0.11*250+T835)),I835)</f>
        <v>0</v>
      </c>
      <c r="AH835">
        <f t="shared" ref="AH835:AH898" si="483">IF(J835,(13.23+3.13+(0.1*250*U835)),J835)</f>
        <v>0</v>
      </c>
      <c r="AJ835">
        <f t="shared" ref="AJ835:AJ898" si="484">(43.16+8.35+(0.19*250*P835))</f>
        <v>1239.01</v>
      </c>
      <c r="AK835">
        <f t="shared" ref="AK835:AK898" si="485">IF(F835&gt;0,(38.98+6.96+(0.18*250*Q835)),F835)</f>
        <v>0</v>
      </c>
      <c r="AL835">
        <f t="shared" ref="AL835:AL898" si="486">IF(G835&gt;0,(30.63+5.57+(0.17*250*R835)),G835)</f>
        <v>0</v>
      </c>
      <c r="AM835">
        <f t="shared" ref="AM835:AM898" si="487">IF(H835&gt;0,(25.06+4.87+(0.15*250*S835)),H835)</f>
        <v>0</v>
      </c>
      <c r="AN835">
        <f t="shared" ref="AN835:AN898" si="488">IF(I835&gt;0,(20.88+4.18+(0.15*250*T835)),I835)</f>
        <v>0</v>
      </c>
      <c r="AO835">
        <f t="shared" ref="AO835:AO898" si="489">IF(J835,(16.71+3.48+(0.14*250*U835)),J835)</f>
        <v>0</v>
      </c>
    </row>
    <row r="836" spans="1:41" x14ac:dyDescent="0.45">
      <c r="A836">
        <v>43.547668350000002</v>
      </c>
      <c r="B836">
        <v>120.5978284</v>
      </c>
      <c r="C836">
        <v>1.24208367</v>
      </c>
      <c r="D836">
        <v>0.67676800000000004</v>
      </c>
      <c r="E836">
        <f t="shared" si="455"/>
        <v>0.67676800000000004</v>
      </c>
      <c r="F836">
        <f t="shared" si="456"/>
        <v>0</v>
      </c>
      <c r="G836">
        <f t="shared" si="457"/>
        <v>0</v>
      </c>
      <c r="H836">
        <f t="shared" si="458"/>
        <v>0</v>
      </c>
      <c r="I836">
        <f t="shared" si="459"/>
        <v>0</v>
      </c>
      <c r="J836">
        <f t="shared" si="460"/>
        <v>0</v>
      </c>
      <c r="K836" s="1">
        <f t="shared" si="461"/>
        <v>0</v>
      </c>
      <c r="L836" s="1">
        <f t="shared" si="462"/>
        <v>0</v>
      </c>
      <c r="M836" s="1">
        <f t="shared" si="463"/>
        <v>0</v>
      </c>
      <c r="N836" s="1">
        <f t="shared" si="464"/>
        <v>0</v>
      </c>
      <c r="O836" s="1">
        <f t="shared" si="465"/>
        <v>0</v>
      </c>
      <c r="P836" s="1">
        <f t="shared" si="466"/>
        <v>25</v>
      </c>
      <c r="Q836" s="1" t="e">
        <f t="shared" si="467"/>
        <v>#DIV/0!</v>
      </c>
      <c r="R836" s="1" t="e">
        <f t="shared" si="468"/>
        <v>#DIV/0!</v>
      </c>
      <c r="S836" s="1" t="e">
        <f t="shared" si="469"/>
        <v>#DIV/0!</v>
      </c>
      <c r="T836" s="1" t="e">
        <f t="shared" si="470"/>
        <v>#DIV/0!</v>
      </c>
      <c r="U836" s="1" t="e">
        <f t="shared" si="471"/>
        <v>#DIV/0!</v>
      </c>
      <c r="V836">
        <f t="shared" si="472"/>
        <v>851.48</v>
      </c>
      <c r="W836">
        <f t="shared" si="473"/>
        <v>0</v>
      </c>
      <c r="X836">
        <f t="shared" si="474"/>
        <v>0</v>
      </c>
      <c r="Y836">
        <f t="shared" si="475"/>
        <v>0</v>
      </c>
      <c r="Z836">
        <f t="shared" si="476"/>
        <v>0</v>
      </c>
      <c r="AA836">
        <f t="shared" si="477"/>
        <v>0</v>
      </c>
      <c r="AC836">
        <f t="shared" si="478"/>
        <v>1045.25</v>
      </c>
      <c r="AD836">
        <f t="shared" si="479"/>
        <v>0</v>
      </c>
      <c r="AE836">
        <f t="shared" si="480"/>
        <v>0</v>
      </c>
      <c r="AF836">
        <f t="shared" si="481"/>
        <v>0</v>
      </c>
      <c r="AG836">
        <f t="shared" si="482"/>
        <v>0</v>
      </c>
      <c r="AH836">
        <f t="shared" si="483"/>
        <v>0</v>
      </c>
      <c r="AJ836">
        <f t="shared" si="484"/>
        <v>1239.01</v>
      </c>
      <c r="AK836">
        <f t="shared" si="485"/>
        <v>0</v>
      </c>
      <c r="AL836">
        <f t="shared" si="486"/>
        <v>0</v>
      </c>
      <c r="AM836">
        <f t="shared" si="487"/>
        <v>0</v>
      </c>
      <c r="AN836">
        <f t="shared" si="488"/>
        <v>0</v>
      </c>
      <c r="AO836">
        <f t="shared" si="489"/>
        <v>0</v>
      </c>
    </row>
    <row r="837" spans="1:41" x14ac:dyDescent="0.45">
      <c r="A837">
        <v>43.561503770000002</v>
      </c>
      <c r="B837">
        <v>125.49045150000001</v>
      </c>
      <c r="C837">
        <v>0</v>
      </c>
      <c r="D837">
        <v>3.6600000000000001E-3</v>
      </c>
      <c r="E837">
        <f t="shared" si="455"/>
        <v>0</v>
      </c>
      <c r="F837">
        <f t="shared" si="456"/>
        <v>3.6600000000000001E-3</v>
      </c>
      <c r="G837">
        <f t="shared" si="457"/>
        <v>3.6600000000000001E-3</v>
      </c>
      <c r="H837">
        <f t="shared" si="458"/>
        <v>3.6600000000000001E-3</v>
      </c>
      <c r="I837">
        <f t="shared" si="459"/>
        <v>3.6600000000000001E-3</v>
      </c>
      <c r="J837">
        <f t="shared" si="460"/>
        <v>3.6600000000000001E-3</v>
      </c>
      <c r="K837" s="1">
        <f t="shared" si="461"/>
        <v>0</v>
      </c>
      <c r="L837" s="1">
        <f t="shared" si="462"/>
        <v>0</v>
      </c>
      <c r="M837" s="1">
        <f t="shared" si="463"/>
        <v>0</v>
      </c>
      <c r="N837" s="1">
        <f t="shared" si="464"/>
        <v>0</v>
      </c>
      <c r="O837" s="1">
        <f t="shared" si="465"/>
        <v>0</v>
      </c>
      <c r="P837" s="1">
        <f t="shared" si="466"/>
        <v>1</v>
      </c>
      <c r="Q837" s="1">
        <f t="shared" si="467"/>
        <v>1</v>
      </c>
      <c r="R837" s="1">
        <f t="shared" si="468"/>
        <v>1</v>
      </c>
      <c r="S837" s="1">
        <f t="shared" si="469"/>
        <v>1</v>
      </c>
      <c r="T837" s="1">
        <f t="shared" si="470"/>
        <v>1</v>
      </c>
      <c r="U837" s="1">
        <f t="shared" si="471"/>
        <v>1</v>
      </c>
      <c r="V837">
        <f t="shared" si="472"/>
        <v>71.48</v>
      </c>
      <c r="W837">
        <f t="shared" si="473"/>
        <v>76.489999999999995</v>
      </c>
      <c r="X837">
        <f t="shared" si="474"/>
        <v>52.14</v>
      </c>
      <c r="Y837">
        <f t="shared" si="475"/>
        <v>38.1</v>
      </c>
      <c r="Z837">
        <f t="shared" si="476"/>
        <v>32.120000000000005</v>
      </c>
      <c r="AA837">
        <f t="shared" si="477"/>
        <v>30.03</v>
      </c>
      <c r="AC837">
        <f t="shared" si="478"/>
        <v>85.25</v>
      </c>
      <c r="AD837">
        <f t="shared" si="479"/>
        <v>76.489999999999995</v>
      </c>
      <c r="AE837">
        <f t="shared" si="480"/>
        <v>64.17</v>
      </c>
      <c r="AF837">
        <f t="shared" si="481"/>
        <v>49.84</v>
      </c>
      <c r="AG837">
        <f t="shared" si="482"/>
        <v>48.34</v>
      </c>
      <c r="AH837">
        <f t="shared" si="483"/>
        <v>41.36</v>
      </c>
      <c r="AJ837">
        <f t="shared" si="484"/>
        <v>99.009999999999991</v>
      </c>
      <c r="AK837">
        <f t="shared" si="485"/>
        <v>90.94</v>
      </c>
      <c r="AL837">
        <f t="shared" si="486"/>
        <v>78.7</v>
      </c>
      <c r="AM837">
        <f t="shared" si="487"/>
        <v>67.430000000000007</v>
      </c>
      <c r="AN837">
        <f t="shared" si="488"/>
        <v>62.56</v>
      </c>
      <c r="AO837">
        <f t="shared" si="489"/>
        <v>55.19</v>
      </c>
    </row>
    <row r="838" spans="1:41" x14ac:dyDescent="0.45">
      <c r="A838">
        <v>43.63233134</v>
      </c>
      <c r="B838">
        <v>125.63809809999999</v>
      </c>
      <c r="C838">
        <v>0</v>
      </c>
      <c r="D838">
        <v>3.88001204</v>
      </c>
      <c r="E838">
        <f t="shared" si="455"/>
        <v>0</v>
      </c>
      <c r="F838">
        <f t="shared" si="456"/>
        <v>3.88001204</v>
      </c>
      <c r="G838">
        <f t="shared" si="457"/>
        <v>3.88001204</v>
      </c>
      <c r="H838">
        <f t="shared" si="458"/>
        <v>3.88001204</v>
      </c>
      <c r="I838">
        <f t="shared" si="459"/>
        <v>3.88001204</v>
      </c>
      <c r="J838">
        <f t="shared" si="460"/>
        <v>3.88001204</v>
      </c>
      <c r="K838" s="1">
        <f t="shared" si="461"/>
        <v>0</v>
      </c>
      <c r="L838" s="1">
        <f t="shared" si="462"/>
        <v>0</v>
      </c>
      <c r="M838" s="1">
        <f t="shared" si="463"/>
        <v>0</v>
      </c>
      <c r="N838" s="1">
        <f t="shared" si="464"/>
        <v>0</v>
      </c>
      <c r="O838" s="1">
        <f t="shared" si="465"/>
        <v>0</v>
      </c>
      <c r="P838" s="1">
        <f t="shared" si="466"/>
        <v>1</v>
      </c>
      <c r="Q838" s="1">
        <f t="shared" si="467"/>
        <v>1</v>
      </c>
      <c r="R838" s="1">
        <f t="shared" si="468"/>
        <v>1</v>
      </c>
      <c r="S838" s="1">
        <f t="shared" si="469"/>
        <v>1</v>
      </c>
      <c r="T838" s="1">
        <f t="shared" si="470"/>
        <v>1</v>
      </c>
      <c r="U838" s="1">
        <f t="shared" si="471"/>
        <v>1</v>
      </c>
      <c r="V838">
        <f t="shared" si="472"/>
        <v>71.48</v>
      </c>
      <c r="W838">
        <f t="shared" si="473"/>
        <v>76.489999999999995</v>
      </c>
      <c r="X838">
        <f t="shared" si="474"/>
        <v>52.14</v>
      </c>
      <c r="Y838">
        <f t="shared" si="475"/>
        <v>38.1</v>
      </c>
      <c r="Z838">
        <f t="shared" si="476"/>
        <v>32.120000000000005</v>
      </c>
      <c r="AA838">
        <f t="shared" si="477"/>
        <v>30.03</v>
      </c>
      <c r="AC838">
        <f t="shared" si="478"/>
        <v>85.25</v>
      </c>
      <c r="AD838">
        <f t="shared" si="479"/>
        <v>76.489999999999995</v>
      </c>
      <c r="AE838">
        <f t="shared" si="480"/>
        <v>64.17</v>
      </c>
      <c r="AF838">
        <f t="shared" si="481"/>
        <v>49.84</v>
      </c>
      <c r="AG838">
        <f t="shared" si="482"/>
        <v>48.34</v>
      </c>
      <c r="AH838">
        <f t="shared" si="483"/>
        <v>41.36</v>
      </c>
      <c r="AJ838">
        <f t="shared" si="484"/>
        <v>99.009999999999991</v>
      </c>
      <c r="AK838">
        <f t="shared" si="485"/>
        <v>90.94</v>
      </c>
      <c r="AL838">
        <f t="shared" si="486"/>
        <v>78.7</v>
      </c>
      <c r="AM838">
        <f t="shared" si="487"/>
        <v>67.430000000000007</v>
      </c>
      <c r="AN838">
        <f t="shared" si="488"/>
        <v>62.56</v>
      </c>
      <c r="AO838">
        <f t="shared" si="489"/>
        <v>55.19</v>
      </c>
    </row>
    <row r="839" spans="1:41" x14ac:dyDescent="0.45">
      <c r="A839">
        <v>43.667678950000003</v>
      </c>
      <c r="B839">
        <v>125.7120329</v>
      </c>
      <c r="C839">
        <v>0</v>
      </c>
      <c r="D839">
        <v>5.0410000000000003E-3</v>
      </c>
      <c r="E839">
        <f t="shared" si="455"/>
        <v>0</v>
      </c>
      <c r="F839">
        <f t="shared" si="456"/>
        <v>5.0410000000000003E-3</v>
      </c>
      <c r="G839">
        <f t="shared" si="457"/>
        <v>5.0410000000000003E-3</v>
      </c>
      <c r="H839">
        <f t="shared" si="458"/>
        <v>5.0410000000000003E-3</v>
      </c>
      <c r="I839">
        <f t="shared" si="459"/>
        <v>5.0410000000000003E-3</v>
      </c>
      <c r="J839">
        <f t="shared" si="460"/>
        <v>5.0410000000000003E-3</v>
      </c>
      <c r="K839" s="1">
        <f t="shared" si="461"/>
        <v>0</v>
      </c>
      <c r="L839" s="1">
        <f t="shared" si="462"/>
        <v>0</v>
      </c>
      <c r="M839" s="1">
        <f t="shared" si="463"/>
        <v>0</v>
      </c>
      <c r="N839" s="1">
        <f t="shared" si="464"/>
        <v>0</v>
      </c>
      <c r="O839" s="1">
        <f t="shared" si="465"/>
        <v>0</v>
      </c>
      <c r="P839" s="1">
        <f t="shared" si="466"/>
        <v>1</v>
      </c>
      <c r="Q839" s="1">
        <f t="shared" si="467"/>
        <v>1</v>
      </c>
      <c r="R839" s="1">
        <f t="shared" si="468"/>
        <v>1</v>
      </c>
      <c r="S839" s="1">
        <f t="shared" si="469"/>
        <v>1</v>
      </c>
      <c r="T839" s="1">
        <f t="shared" si="470"/>
        <v>1</v>
      </c>
      <c r="U839" s="1">
        <f t="shared" si="471"/>
        <v>1</v>
      </c>
      <c r="V839">
        <f t="shared" si="472"/>
        <v>71.48</v>
      </c>
      <c r="W839">
        <f t="shared" si="473"/>
        <v>76.489999999999995</v>
      </c>
      <c r="X839">
        <f t="shared" si="474"/>
        <v>52.14</v>
      </c>
      <c r="Y839">
        <f t="shared" si="475"/>
        <v>38.1</v>
      </c>
      <c r="Z839">
        <f t="shared" si="476"/>
        <v>32.120000000000005</v>
      </c>
      <c r="AA839">
        <f t="shared" si="477"/>
        <v>30.03</v>
      </c>
      <c r="AC839">
        <f t="shared" si="478"/>
        <v>85.25</v>
      </c>
      <c r="AD839">
        <f t="shared" si="479"/>
        <v>76.489999999999995</v>
      </c>
      <c r="AE839">
        <f t="shared" si="480"/>
        <v>64.17</v>
      </c>
      <c r="AF839">
        <f t="shared" si="481"/>
        <v>49.84</v>
      </c>
      <c r="AG839">
        <f t="shared" si="482"/>
        <v>48.34</v>
      </c>
      <c r="AH839">
        <f t="shared" si="483"/>
        <v>41.36</v>
      </c>
      <c r="AJ839">
        <f t="shared" si="484"/>
        <v>99.009999999999991</v>
      </c>
      <c r="AK839">
        <f t="shared" si="485"/>
        <v>90.94</v>
      </c>
      <c r="AL839">
        <f t="shared" si="486"/>
        <v>78.7</v>
      </c>
      <c r="AM839">
        <f t="shared" si="487"/>
        <v>67.430000000000007</v>
      </c>
      <c r="AN839">
        <f t="shared" si="488"/>
        <v>62.56</v>
      </c>
      <c r="AO839">
        <f t="shared" si="489"/>
        <v>55.19</v>
      </c>
    </row>
    <row r="840" spans="1:41" x14ac:dyDescent="0.45">
      <c r="A840">
        <v>43.71367438</v>
      </c>
      <c r="B840">
        <v>120.7593359</v>
      </c>
      <c r="C840">
        <v>1.24208367</v>
      </c>
      <c r="D840">
        <v>5.5021271699999996</v>
      </c>
      <c r="E840">
        <f t="shared" si="455"/>
        <v>1.24208367</v>
      </c>
      <c r="F840">
        <f t="shared" si="456"/>
        <v>0</v>
      </c>
      <c r="G840">
        <f t="shared" si="457"/>
        <v>0</v>
      </c>
      <c r="H840">
        <f t="shared" si="458"/>
        <v>0</v>
      </c>
      <c r="I840">
        <f t="shared" si="459"/>
        <v>0</v>
      </c>
      <c r="J840">
        <f t="shared" si="460"/>
        <v>0</v>
      </c>
      <c r="K840" s="1">
        <f t="shared" si="461"/>
        <v>0</v>
      </c>
      <c r="L840" s="1">
        <f t="shared" si="462"/>
        <v>0</v>
      </c>
      <c r="M840" s="1">
        <f t="shared" si="463"/>
        <v>0</v>
      </c>
      <c r="N840" s="1">
        <f t="shared" si="464"/>
        <v>0</v>
      </c>
      <c r="O840" s="1">
        <f t="shared" si="465"/>
        <v>0</v>
      </c>
      <c r="P840" s="1">
        <f t="shared" si="466"/>
        <v>5.6436521349978177</v>
      </c>
      <c r="Q840" s="1" t="e">
        <f t="shared" si="467"/>
        <v>#DIV/0!</v>
      </c>
      <c r="R840" s="1" t="e">
        <f t="shared" si="468"/>
        <v>#DIV/0!</v>
      </c>
      <c r="S840" s="1" t="e">
        <f t="shared" si="469"/>
        <v>#DIV/0!</v>
      </c>
      <c r="T840" s="1" t="e">
        <f t="shared" si="470"/>
        <v>#DIV/0!</v>
      </c>
      <c r="U840" s="1" t="e">
        <f t="shared" si="471"/>
        <v>#DIV/0!</v>
      </c>
      <c r="V840">
        <f t="shared" si="472"/>
        <v>222.39869438742909</v>
      </c>
      <c r="W840">
        <f t="shared" si="473"/>
        <v>0</v>
      </c>
      <c r="X840">
        <f t="shared" si="474"/>
        <v>0</v>
      </c>
      <c r="Y840">
        <f t="shared" si="475"/>
        <v>0</v>
      </c>
      <c r="Z840">
        <f t="shared" si="476"/>
        <v>0</v>
      </c>
      <c r="AA840">
        <f t="shared" si="477"/>
        <v>0</v>
      </c>
      <c r="AC840">
        <f t="shared" si="478"/>
        <v>270.99608539991272</v>
      </c>
      <c r="AD840">
        <f t="shared" si="479"/>
        <v>0</v>
      </c>
      <c r="AE840">
        <f t="shared" si="480"/>
        <v>0</v>
      </c>
      <c r="AF840">
        <f t="shared" si="481"/>
        <v>0</v>
      </c>
      <c r="AG840">
        <f t="shared" si="482"/>
        <v>0</v>
      </c>
      <c r="AH840">
        <f t="shared" si="483"/>
        <v>0</v>
      </c>
      <c r="AJ840">
        <f t="shared" si="484"/>
        <v>319.58347641239635</v>
      </c>
      <c r="AK840">
        <f t="shared" si="485"/>
        <v>0</v>
      </c>
      <c r="AL840">
        <f t="shared" si="486"/>
        <v>0</v>
      </c>
      <c r="AM840">
        <f t="shared" si="487"/>
        <v>0</v>
      </c>
      <c r="AN840">
        <f t="shared" si="488"/>
        <v>0</v>
      </c>
      <c r="AO840">
        <f t="shared" si="489"/>
        <v>0</v>
      </c>
    </row>
    <row r="841" spans="1:41" x14ac:dyDescent="0.45">
      <c r="A841">
        <v>43.738241539999997</v>
      </c>
      <c r="B841">
        <v>125.8601254</v>
      </c>
      <c r="C841">
        <v>0</v>
      </c>
      <c r="D841">
        <v>2.1957890999999998</v>
      </c>
      <c r="E841">
        <f t="shared" si="455"/>
        <v>0</v>
      </c>
      <c r="F841">
        <f t="shared" si="456"/>
        <v>2.1957890999999998</v>
      </c>
      <c r="G841">
        <f t="shared" si="457"/>
        <v>2.1957890999999998</v>
      </c>
      <c r="H841">
        <f t="shared" si="458"/>
        <v>2.1957890999999998</v>
      </c>
      <c r="I841">
        <f t="shared" si="459"/>
        <v>2.1957890999999998</v>
      </c>
      <c r="J841">
        <f t="shared" si="460"/>
        <v>2.1957890999999998</v>
      </c>
      <c r="K841" s="1">
        <f t="shared" si="461"/>
        <v>0</v>
      </c>
      <c r="L841" s="1">
        <f t="shared" si="462"/>
        <v>0</v>
      </c>
      <c r="M841" s="1">
        <f t="shared" si="463"/>
        <v>0</v>
      </c>
      <c r="N841" s="1">
        <f t="shared" si="464"/>
        <v>0</v>
      </c>
      <c r="O841" s="1">
        <f t="shared" si="465"/>
        <v>0</v>
      </c>
      <c r="P841" s="1">
        <f t="shared" si="466"/>
        <v>1</v>
      </c>
      <c r="Q841" s="1">
        <f t="shared" si="467"/>
        <v>1</v>
      </c>
      <c r="R841" s="1">
        <f t="shared" si="468"/>
        <v>1</v>
      </c>
      <c r="S841" s="1">
        <f t="shared" si="469"/>
        <v>1</v>
      </c>
      <c r="T841" s="1">
        <f t="shared" si="470"/>
        <v>1</v>
      </c>
      <c r="U841" s="1">
        <f t="shared" si="471"/>
        <v>1</v>
      </c>
      <c r="V841">
        <f t="shared" si="472"/>
        <v>71.48</v>
      </c>
      <c r="W841">
        <f t="shared" si="473"/>
        <v>76.489999999999995</v>
      </c>
      <c r="X841">
        <f t="shared" si="474"/>
        <v>52.14</v>
      </c>
      <c r="Y841">
        <f t="shared" si="475"/>
        <v>38.1</v>
      </c>
      <c r="Z841">
        <f t="shared" si="476"/>
        <v>32.120000000000005</v>
      </c>
      <c r="AA841">
        <f t="shared" si="477"/>
        <v>30.03</v>
      </c>
      <c r="AC841">
        <f t="shared" si="478"/>
        <v>85.25</v>
      </c>
      <c r="AD841">
        <f t="shared" si="479"/>
        <v>76.489999999999995</v>
      </c>
      <c r="AE841">
        <f t="shared" si="480"/>
        <v>64.17</v>
      </c>
      <c r="AF841">
        <f t="shared" si="481"/>
        <v>49.84</v>
      </c>
      <c r="AG841">
        <f t="shared" si="482"/>
        <v>48.34</v>
      </c>
      <c r="AH841">
        <f t="shared" si="483"/>
        <v>41.36</v>
      </c>
      <c r="AJ841">
        <f t="shared" si="484"/>
        <v>99.009999999999991</v>
      </c>
      <c r="AK841">
        <f t="shared" si="485"/>
        <v>90.94</v>
      </c>
      <c r="AL841">
        <f t="shared" si="486"/>
        <v>78.7</v>
      </c>
      <c r="AM841">
        <f t="shared" si="487"/>
        <v>67.430000000000007</v>
      </c>
      <c r="AN841">
        <f t="shared" si="488"/>
        <v>62.56</v>
      </c>
      <c r="AO841">
        <f t="shared" si="489"/>
        <v>55.19</v>
      </c>
    </row>
    <row r="842" spans="1:41" x14ac:dyDescent="0.45">
      <c r="A842">
        <v>43.783813690000002</v>
      </c>
      <c r="B842">
        <v>124.593784</v>
      </c>
      <c r="C842">
        <v>0.30014151</v>
      </c>
      <c r="D842">
        <v>1.09819102</v>
      </c>
      <c r="E842">
        <f t="shared" si="455"/>
        <v>0.30014151</v>
      </c>
      <c r="F842">
        <f t="shared" si="456"/>
        <v>0</v>
      </c>
      <c r="G842">
        <f t="shared" si="457"/>
        <v>0</v>
      </c>
      <c r="H842">
        <f t="shared" si="458"/>
        <v>0</v>
      </c>
      <c r="I842">
        <f t="shared" si="459"/>
        <v>0</v>
      </c>
      <c r="J842">
        <f t="shared" si="460"/>
        <v>0</v>
      </c>
      <c r="K842" s="1">
        <f t="shared" si="461"/>
        <v>0</v>
      </c>
      <c r="L842" s="1">
        <f t="shared" si="462"/>
        <v>0</v>
      </c>
      <c r="M842" s="1">
        <f t="shared" si="463"/>
        <v>0</v>
      </c>
      <c r="N842" s="1">
        <f t="shared" si="464"/>
        <v>0</v>
      </c>
      <c r="O842" s="1">
        <f t="shared" si="465"/>
        <v>0</v>
      </c>
      <c r="P842" s="1">
        <f t="shared" si="466"/>
        <v>6.8326344081742718</v>
      </c>
      <c r="Q842" s="1" t="e">
        <f t="shared" si="467"/>
        <v>#DIV/0!</v>
      </c>
      <c r="R842" s="1" t="e">
        <f t="shared" si="468"/>
        <v>#DIV/0!</v>
      </c>
      <c r="S842" s="1" t="e">
        <f t="shared" si="469"/>
        <v>#DIV/0!</v>
      </c>
      <c r="T842" s="1" t="e">
        <f t="shared" si="470"/>
        <v>#DIV/0!</v>
      </c>
      <c r="U842" s="1" t="e">
        <f t="shared" si="471"/>
        <v>#DIV/0!</v>
      </c>
      <c r="V842">
        <f t="shared" si="472"/>
        <v>261.04061826566385</v>
      </c>
      <c r="W842">
        <f t="shared" si="473"/>
        <v>0</v>
      </c>
      <c r="X842">
        <f t="shared" si="474"/>
        <v>0</v>
      </c>
      <c r="Y842">
        <f t="shared" si="475"/>
        <v>0</v>
      </c>
      <c r="Z842">
        <f t="shared" si="476"/>
        <v>0</v>
      </c>
      <c r="AA842">
        <f t="shared" si="477"/>
        <v>0</v>
      </c>
      <c r="AC842">
        <f t="shared" si="478"/>
        <v>318.55537632697087</v>
      </c>
      <c r="AD842">
        <f t="shared" si="479"/>
        <v>0</v>
      </c>
      <c r="AE842">
        <f t="shared" si="480"/>
        <v>0</v>
      </c>
      <c r="AF842">
        <f t="shared" si="481"/>
        <v>0</v>
      </c>
      <c r="AG842">
        <f t="shared" si="482"/>
        <v>0</v>
      </c>
      <c r="AH842">
        <f t="shared" si="483"/>
        <v>0</v>
      </c>
      <c r="AJ842">
        <f t="shared" si="484"/>
        <v>376.0601343882779</v>
      </c>
      <c r="AK842">
        <f t="shared" si="485"/>
        <v>0</v>
      </c>
      <c r="AL842">
        <f t="shared" si="486"/>
        <v>0</v>
      </c>
      <c r="AM842">
        <f t="shared" si="487"/>
        <v>0</v>
      </c>
      <c r="AN842">
        <f t="shared" si="488"/>
        <v>0</v>
      </c>
      <c r="AO842">
        <f t="shared" si="489"/>
        <v>0</v>
      </c>
    </row>
    <row r="843" spans="1:41" x14ac:dyDescent="0.45">
      <c r="A843">
        <v>43.792467969999997</v>
      </c>
      <c r="B843">
        <v>124.53221480000001</v>
      </c>
      <c r="C843">
        <v>0.30014151</v>
      </c>
      <c r="D843">
        <v>2.9620139600000002</v>
      </c>
      <c r="E843">
        <f t="shared" si="455"/>
        <v>0.30014151</v>
      </c>
      <c r="F843">
        <f t="shared" si="456"/>
        <v>1.4613064100000002</v>
      </c>
      <c r="G843">
        <f t="shared" si="457"/>
        <v>0</v>
      </c>
      <c r="H843">
        <f t="shared" si="458"/>
        <v>0</v>
      </c>
      <c r="I843">
        <f t="shared" si="459"/>
        <v>0</v>
      </c>
      <c r="J843">
        <f t="shared" si="460"/>
        <v>0</v>
      </c>
      <c r="K843" s="1">
        <f t="shared" si="461"/>
        <v>0.30014151</v>
      </c>
      <c r="L843" s="1">
        <f t="shared" si="462"/>
        <v>0</v>
      </c>
      <c r="M843" s="1">
        <f t="shared" si="463"/>
        <v>0</v>
      </c>
      <c r="N843" s="1">
        <f t="shared" si="464"/>
        <v>0</v>
      </c>
      <c r="O843" s="1">
        <f t="shared" si="465"/>
        <v>0</v>
      </c>
      <c r="P843" s="1">
        <f t="shared" si="466"/>
        <v>2.5332553631853911</v>
      </c>
      <c r="Q843" s="1">
        <f t="shared" si="467"/>
        <v>5.1348147785104139</v>
      </c>
      <c r="R843" s="1" t="e">
        <f t="shared" si="468"/>
        <v>#DIV/0!</v>
      </c>
      <c r="S843" s="1" t="e">
        <f t="shared" si="469"/>
        <v>#DIV/0!</v>
      </c>
      <c r="T843" s="1" t="e">
        <f t="shared" si="470"/>
        <v>#DIV/0!</v>
      </c>
      <c r="U843" s="1" t="e">
        <f t="shared" si="471"/>
        <v>#DIV/0!</v>
      </c>
      <c r="V843">
        <f t="shared" si="472"/>
        <v>121.31079930352522</v>
      </c>
      <c r="W843">
        <f t="shared" si="473"/>
        <v>231.54555419414049</v>
      </c>
      <c r="X843">
        <f t="shared" si="474"/>
        <v>0</v>
      </c>
      <c r="Y843">
        <f t="shared" si="475"/>
        <v>0</v>
      </c>
      <c r="Z843">
        <f t="shared" si="476"/>
        <v>0</v>
      </c>
      <c r="AA843">
        <f t="shared" si="477"/>
        <v>0</v>
      </c>
      <c r="AC843">
        <f t="shared" si="478"/>
        <v>146.58021452741565</v>
      </c>
      <c r="AD843">
        <f t="shared" si="479"/>
        <v>231.54555419414049</v>
      </c>
      <c r="AE843">
        <f t="shared" si="480"/>
        <v>0</v>
      </c>
      <c r="AF843">
        <f t="shared" si="481"/>
        <v>0</v>
      </c>
      <c r="AG843">
        <f t="shared" si="482"/>
        <v>0</v>
      </c>
      <c r="AH843">
        <f t="shared" si="483"/>
        <v>0</v>
      </c>
      <c r="AJ843">
        <f t="shared" si="484"/>
        <v>171.83962975130606</v>
      </c>
      <c r="AK843">
        <f t="shared" si="485"/>
        <v>277.00666503296861</v>
      </c>
      <c r="AL843">
        <f t="shared" si="486"/>
        <v>0</v>
      </c>
      <c r="AM843">
        <f t="shared" si="487"/>
        <v>0</v>
      </c>
      <c r="AN843">
        <f t="shared" si="488"/>
        <v>0</v>
      </c>
      <c r="AO843">
        <f t="shared" si="489"/>
        <v>0</v>
      </c>
    </row>
    <row r="844" spans="1:41" x14ac:dyDescent="0.45">
      <c r="A844">
        <v>43.801093690000002</v>
      </c>
      <c r="B844">
        <v>124.4706304</v>
      </c>
      <c r="C844">
        <v>0.30014151</v>
      </c>
      <c r="D844">
        <v>4.74019718</v>
      </c>
      <c r="E844">
        <f t="shared" si="455"/>
        <v>0.30014151</v>
      </c>
      <c r="F844">
        <f t="shared" si="456"/>
        <v>3.23948963</v>
      </c>
      <c r="G844">
        <f t="shared" si="457"/>
        <v>1.73878208</v>
      </c>
      <c r="H844">
        <f t="shared" si="458"/>
        <v>0.23807452999999956</v>
      </c>
      <c r="I844">
        <f t="shared" si="459"/>
        <v>0</v>
      </c>
      <c r="J844">
        <f t="shared" si="460"/>
        <v>0</v>
      </c>
      <c r="K844" s="1">
        <f t="shared" si="461"/>
        <v>0.30014151</v>
      </c>
      <c r="L844" s="1">
        <f t="shared" si="462"/>
        <v>0.30014151</v>
      </c>
      <c r="M844" s="1">
        <f t="shared" si="463"/>
        <v>0.23807452999999956</v>
      </c>
      <c r="N844" s="1">
        <f t="shared" si="464"/>
        <v>0</v>
      </c>
      <c r="O844" s="1">
        <f t="shared" si="465"/>
        <v>0</v>
      </c>
      <c r="P844" s="1">
        <f t="shared" si="466"/>
        <v>1.5829589920139144</v>
      </c>
      <c r="Q844" s="1">
        <f t="shared" si="467"/>
        <v>2.3162715757790524</v>
      </c>
      <c r="R844" s="1">
        <f t="shared" si="468"/>
        <v>4.3153985978507432</v>
      </c>
      <c r="S844" s="1">
        <f t="shared" si="469"/>
        <v>25</v>
      </c>
      <c r="T844" s="1" t="e">
        <f t="shared" si="470"/>
        <v>#DIV/0!</v>
      </c>
      <c r="U844" s="1" t="e">
        <f t="shared" si="471"/>
        <v>#DIV/0!</v>
      </c>
      <c r="V844">
        <f t="shared" si="472"/>
        <v>90.42616724045223</v>
      </c>
      <c r="W844">
        <f t="shared" si="473"/>
        <v>125.85018409171445</v>
      </c>
      <c r="X844">
        <f t="shared" si="474"/>
        <v>652.14</v>
      </c>
      <c r="Y844">
        <f t="shared" si="475"/>
        <v>518.1</v>
      </c>
      <c r="Z844">
        <f t="shared" si="476"/>
        <v>0</v>
      </c>
      <c r="AA844">
        <f t="shared" si="477"/>
        <v>0</v>
      </c>
      <c r="AC844">
        <f t="shared" si="478"/>
        <v>108.56835968055657</v>
      </c>
      <c r="AD844">
        <f t="shared" si="479"/>
        <v>125.85018409171445</v>
      </c>
      <c r="AE844">
        <f t="shared" si="480"/>
        <v>171.92045443014914</v>
      </c>
      <c r="AF844">
        <f t="shared" si="481"/>
        <v>769.84</v>
      </c>
      <c r="AG844">
        <f t="shared" si="482"/>
        <v>0</v>
      </c>
      <c r="AH844">
        <f t="shared" si="483"/>
        <v>0</v>
      </c>
      <c r="AJ844">
        <f t="shared" si="484"/>
        <v>126.70055212066094</v>
      </c>
      <c r="AK844">
        <f t="shared" si="485"/>
        <v>150.17222091005738</v>
      </c>
      <c r="AL844">
        <f t="shared" si="486"/>
        <v>219.60444040865661</v>
      </c>
      <c r="AM844">
        <f t="shared" si="487"/>
        <v>967.43</v>
      </c>
      <c r="AN844">
        <f t="shared" si="488"/>
        <v>0</v>
      </c>
      <c r="AO844">
        <f t="shared" si="489"/>
        <v>0</v>
      </c>
    </row>
    <row r="845" spans="1:41" x14ac:dyDescent="0.45">
      <c r="A845">
        <v>43.843793759999997</v>
      </c>
      <c r="B845">
        <v>124.1624825</v>
      </c>
      <c r="C845">
        <v>0.30014151</v>
      </c>
      <c r="D845">
        <v>3.5052399599999999</v>
      </c>
      <c r="E845">
        <f t="shared" si="455"/>
        <v>0.30014151</v>
      </c>
      <c r="F845">
        <f t="shared" si="456"/>
        <v>2.0045324099999999</v>
      </c>
      <c r="G845">
        <f t="shared" si="457"/>
        <v>0.50382485999999993</v>
      </c>
      <c r="H845">
        <f t="shared" si="458"/>
        <v>0</v>
      </c>
      <c r="I845">
        <f t="shared" si="459"/>
        <v>0</v>
      </c>
      <c r="J845">
        <f t="shared" si="460"/>
        <v>0</v>
      </c>
      <c r="K845" s="1">
        <f t="shared" si="461"/>
        <v>0.30014151</v>
      </c>
      <c r="L845" s="1">
        <f t="shared" si="462"/>
        <v>0.30014151</v>
      </c>
      <c r="M845" s="1">
        <f t="shared" si="463"/>
        <v>0</v>
      </c>
      <c r="N845" s="1">
        <f t="shared" si="464"/>
        <v>0</v>
      </c>
      <c r="O845" s="1">
        <f t="shared" si="465"/>
        <v>0</v>
      </c>
      <c r="P845" s="1">
        <f t="shared" si="466"/>
        <v>2.1406630746044559</v>
      </c>
      <c r="Q845" s="1">
        <f t="shared" si="467"/>
        <v>3.7432858219538589</v>
      </c>
      <c r="R845" s="1">
        <f t="shared" si="468"/>
        <v>14.893147094805922</v>
      </c>
      <c r="S845" s="1" t="e">
        <f t="shared" si="469"/>
        <v>#DIV/0!</v>
      </c>
      <c r="T845" s="1" t="e">
        <f t="shared" si="470"/>
        <v>#DIV/0!</v>
      </c>
      <c r="U845" s="1" t="e">
        <f t="shared" si="471"/>
        <v>#DIV/0!</v>
      </c>
      <c r="V845">
        <f t="shared" si="472"/>
        <v>108.55154992464482</v>
      </c>
      <c r="W845">
        <f t="shared" si="473"/>
        <v>179.36321832326968</v>
      </c>
      <c r="X845" t="e">
        <f t="shared" si="474"/>
        <v>#DIV/0!</v>
      </c>
      <c r="Y845">
        <f t="shared" si="475"/>
        <v>0</v>
      </c>
      <c r="Z845">
        <f t="shared" si="476"/>
        <v>0</v>
      </c>
      <c r="AA845">
        <f t="shared" si="477"/>
        <v>0</v>
      </c>
      <c r="AC845">
        <f t="shared" si="478"/>
        <v>130.87652298417822</v>
      </c>
      <c r="AD845">
        <f t="shared" si="479"/>
        <v>179.36321832326968</v>
      </c>
      <c r="AE845">
        <f t="shared" si="480"/>
        <v>515.69728058119244</v>
      </c>
      <c r="AF845">
        <f t="shared" si="481"/>
        <v>0</v>
      </c>
      <c r="AG845">
        <f t="shared" si="482"/>
        <v>0</v>
      </c>
      <c r="AH845">
        <f t="shared" si="483"/>
        <v>0</v>
      </c>
      <c r="AJ845">
        <f t="shared" si="484"/>
        <v>153.19149604371165</v>
      </c>
      <c r="AK845">
        <f t="shared" si="485"/>
        <v>214.38786198792366</v>
      </c>
      <c r="AL845">
        <f t="shared" si="486"/>
        <v>669.15875152925173</v>
      </c>
      <c r="AM845">
        <f t="shared" si="487"/>
        <v>0</v>
      </c>
      <c r="AN845">
        <f t="shared" si="488"/>
        <v>0</v>
      </c>
      <c r="AO845">
        <f t="shared" si="489"/>
        <v>0</v>
      </c>
    </row>
    <row r="846" spans="1:41" x14ac:dyDescent="0.45">
      <c r="A846">
        <v>43.844202150000001</v>
      </c>
      <c r="B846">
        <v>121.2317297</v>
      </c>
      <c r="C846">
        <v>0.26926291000000002</v>
      </c>
      <c r="D846">
        <v>0.33158200999999998</v>
      </c>
      <c r="E846">
        <f t="shared" si="455"/>
        <v>0.26926291000000002</v>
      </c>
      <c r="F846">
        <f t="shared" si="456"/>
        <v>0</v>
      </c>
      <c r="G846">
        <f t="shared" si="457"/>
        <v>0</v>
      </c>
      <c r="H846">
        <f t="shared" si="458"/>
        <v>0</v>
      </c>
      <c r="I846">
        <f t="shared" si="459"/>
        <v>0</v>
      </c>
      <c r="J846">
        <f t="shared" si="460"/>
        <v>0</v>
      </c>
      <c r="K846" s="1">
        <f t="shared" si="461"/>
        <v>0</v>
      </c>
      <c r="L846" s="1">
        <f t="shared" si="462"/>
        <v>0</v>
      </c>
      <c r="M846" s="1">
        <f t="shared" si="463"/>
        <v>0</v>
      </c>
      <c r="N846" s="1">
        <f t="shared" si="464"/>
        <v>0</v>
      </c>
      <c r="O846" s="1">
        <f t="shared" si="465"/>
        <v>0</v>
      </c>
      <c r="P846" s="1">
        <f t="shared" si="466"/>
        <v>20.301381097243489</v>
      </c>
      <c r="Q846" s="1" t="e">
        <f t="shared" si="467"/>
        <v>#DIV/0!</v>
      </c>
      <c r="R846" s="1" t="e">
        <f t="shared" si="468"/>
        <v>#DIV/0!</v>
      </c>
      <c r="S846" s="1" t="e">
        <f t="shared" si="469"/>
        <v>#DIV/0!</v>
      </c>
      <c r="T846" s="1" t="e">
        <f t="shared" si="470"/>
        <v>#DIV/0!</v>
      </c>
      <c r="U846" s="1" t="e">
        <f t="shared" si="471"/>
        <v>#DIV/0!</v>
      </c>
      <c r="V846">
        <f t="shared" si="472"/>
        <v>698.77488566041336</v>
      </c>
      <c r="W846">
        <f t="shared" si="473"/>
        <v>0</v>
      </c>
      <c r="X846">
        <f t="shared" si="474"/>
        <v>0</v>
      </c>
      <c r="Y846">
        <f t="shared" si="475"/>
        <v>0</v>
      </c>
      <c r="Z846">
        <f t="shared" si="476"/>
        <v>0</v>
      </c>
      <c r="AA846">
        <f t="shared" si="477"/>
        <v>0</v>
      </c>
      <c r="AC846">
        <f t="shared" si="478"/>
        <v>857.30524388973959</v>
      </c>
      <c r="AD846">
        <f t="shared" si="479"/>
        <v>0</v>
      </c>
      <c r="AE846">
        <f t="shared" si="480"/>
        <v>0</v>
      </c>
      <c r="AF846">
        <f t="shared" si="481"/>
        <v>0</v>
      </c>
      <c r="AG846">
        <f t="shared" si="482"/>
        <v>0</v>
      </c>
      <c r="AH846">
        <f t="shared" si="483"/>
        <v>0</v>
      </c>
      <c r="AJ846">
        <f t="shared" si="484"/>
        <v>1015.8256021190657</v>
      </c>
      <c r="AK846">
        <f t="shared" si="485"/>
        <v>0</v>
      </c>
      <c r="AL846">
        <f t="shared" si="486"/>
        <v>0</v>
      </c>
      <c r="AM846">
        <f t="shared" si="487"/>
        <v>0</v>
      </c>
      <c r="AN846">
        <f t="shared" si="488"/>
        <v>0</v>
      </c>
      <c r="AO846">
        <f t="shared" si="489"/>
        <v>0</v>
      </c>
    </row>
    <row r="847" spans="1:41" x14ac:dyDescent="0.45">
      <c r="A847">
        <v>43.854302089999997</v>
      </c>
      <c r="B847">
        <v>124.4208904</v>
      </c>
      <c r="C847">
        <v>0.30014151</v>
      </c>
      <c r="D847">
        <v>1.9081999999999998E-2</v>
      </c>
      <c r="E847">
        <f t="shared" si="455"/>
        <v>1.9081999999999998E-2</v>
      </c>
      <c r="F847">
        <f t="shared" si="456"/>
        <v>0</v>
      </c>
      <c r="G847">
        <f t="shared" si="457"/>
        <v>0</v>
      </c>
      <c r="H847">
        <f t="shared" si="458"/>
        <v>0</v>
      </c>
      <c r="I847">
        <f t="shared" si="459"/>
        <v>0</v>
      </c>
      <c r="J847">
        <f t="shared" si="460"/>
        <v>0</v>
      </c>
      <c r="K847" s="1">
        <f t="shared" si="461"/>
        <v>0</v>
      </c>
      <c r="L847" s="1">
        <f t="shared" si="462"/>
        <v>0</v>
      </c>
      <c r="M847" s="1">
        <f t="shared" si="463"/>
        <v>0</v>
      </c>
      <c r="N847" s="1">
        <f t="shared" si="464"/>
        <v>0</v>
      </c>
      <c r="O847" s="1">
        <f t="shared" si="465"/>
        <v>0</v>
      </c>
      <c r="P847" s="1">
        <f t="shared" si="466"/>
        <v>25</v>
      </c>
      <c r="Q847" s="1" t="e">
        <f t="shared" si="467"/>
        <v>#DIV/0!</v>
      </c>
      <c r="R847" s="1" t="e">
        <f t="shared" si="468"/>
        <v>#DIV/0!</v>
      </c>
      <c r="S847" s="1" t="e">
        <f t="shared" si="469"/>
        <v>#DIV/0!</v>
      </c>
      <c r="T847" s="1" t="e">
        <f t="shared" si="470"/>
        <v>#DIV/0!</v>
      </c>
      <c r="U847" s="1" t="e">
        <f t="shared" si="471"/>
        <v>#DIV/0!</v>
      </c>
      <c r="V847">
        <f t="shared" si="472"/>
        <v>851.48</v>
      </c>
      <c r="W847">
        <f t="shared" si="473"/>
        <v>0</v>
      </c>
      <c r="X847">
        <f t="shared" si="474"/>
        <v>0</v>
      </c>
      <c r="Y847">
        <f t="shared" si="475"/>
        <v>0</v>
      </c>
      <c r="Z847">
        <f t="shared" si="476"/>
        <v>0</v>
      </c>
      <c r="AA847">
        <f t="shared" si="477"/>
        <v>0</v>
      </c>
      <c r="AC847">
        <f t="shared" si="478"/>
        <v>1045.25</v>
      </c>
      <c r="AD847">
        <f t="shared" si="479"/>
        <v>0</v>
      </c>
      <c r="AE847">
        <f t="shared" si="480"/>
        <v>0</v>
      </c>
      <c r="AF847">
        <f t="shared" si="481"/>
        <v>0</v>
      </c>
      <c r="AG847">
        <f t="shared" si="482"/>
        <v>0</v>
      </c>
      <c r="AH847">
        <f t="shared" si="483"/>
        <v>0</v>
      </c>
      <c r="AJ847">
        <f t="shared" si="484"/>
        <v>1239.01</v>
      </c>
      <c r="AK847">
        <f t="shared" si="485"/>
        <v>0</v>
      </c>
      <c r="AL847">
        <f t="shared" si="486"/>
        <v>0</v>
      </c>
      <c r="AM847">
        <f t="shared" si="487"/>
        <v>0</v>
      </c>
      <c r="AN847">
        <f t="shared" si="488"/>
        <v>0</v>
      </c>
      <c r="AO847">
        <f t="shared" si="489"/>
        <v>0</v>
      </c>
    </row>
    <row r="848" spans="1:41" x14ac:dyDescent="0.45">
      <c r="A848">
        <v>43.858933749999998</v>
      </c>
      <c r="B848">
        <v>86.639677750000004</v>
      </c>
      <c r="C848">
        <v>1.1536998700000001</v>
      </c>
      <c r="D848">
        <v>0.51573597999999998</v>
      </c>
      <c r="E848">
        <f t="shared" si="455"/>
        <v>0.51573597999999998</v>
      </c>
      <c r="F848">
        <f t="shared" si="456"/>
        <v>0</v>
      </c>
      <c r="G848">
        <f t="shared" si="457"/>
        <v>0</v>
      </c>
      <c r="H848">
        <f t="shared" si="458"/>
        <v>0</v>
      </c>
      <c r="I848">
        <f t="shared" si="459"/>
        <v>0</v>
      </c>
      <c r="J848">
        <f t="shared" si="460"/>
        <v>0</v>
      </c>
      <c r="K848" s="1">
        <f t="shared" si="461"/>
        <v>0</v>
      </c>
      <c r="L848" s="1">
        <f t="shared" si="462"/>
        <v>0</v>
      </c>
      <c r="M848" s="1">
        <f t="shared" si="463"/>
        <v>0</v>
      </c>
      <c r="N848" s="1">
        <f t="shared" si="464"/>
        <v>0</v>
      </c>
      <c r="O848" s="1">
        <f t="shared" si="465"/>
        <v>0</v>
      </c>
      <c r="P848" s="1">
        <f t="shared" si="466"/>
        <v>25</v>
      </c>
      <c r="Q848" s="1" t="e">
        <f t="shared" si="467"/>
        <v>#DIV/0!</v>
      </c>
      <c r="R848" s="1" t="e">
        <f t="shared" si="468"/>
        <v>#DIV/0!</v>
      </c>
      <c r="S848" s="1" t="e">
        <f t="shared" si="469"/>
        <v>#DIV/0!</v>
      </c>
      <c r="T848" s="1" t="e">
        <f t="shared" si="470"/>
        <v>#DIV/0!</v>
      </c>
      <c r="U848" s="1" t="e">
        <f t="shared" si="471"/>
        <v>#DIV/0!</v>
      </c>
      <c r="V848">
        <f t="shared" si="472"/>
        <v>851.48</v>
      </c>
      <c r="W848">
        <f t="shared" si="473"/>
        <v>0</v>
      </c>
      <c r="X848">
        <f t="shared" si="474"/>
        <v>0</v>
      </c>
      <c r="Y848">
        <f t="shared" si="475"/>
        <v>0</v>
      </c>
      <c r="Z848">
        <f t="shared" si="476"/>
        <v>0</v>
      </c>
      <c r="AA848">
        <f t="shared" si="477"/>
        <v>0</v>
      </c>
      <c r="AC848">
        <f t="shared" si="478"/>
        <v>1045.25</v>
      </c>
      <c r="AD848">
        <f t="shared" si="479"/>
        <v>0</v>
      </c>
      <c r="AE848">
        <f t="shared" si="480"/>
        <v>0</v>
      </c>
      <c r="AF848">
        <f t="shared" si="481"/>
        <v>0</v>
      </c>
      <c r="AG848">
        <f t="shared" si="482"/>
        <v>0</v>
      </c>
      <c r="AH848">
        <f t="shared" si="483"/>
        <v>0</v>
      </c>
      <c r="AJ848">
        <f t="shared" si="484"/>
        <v>1239.01</v>
      </c>
      <c r="AK848">
        <f t="shared" si="485"/>
        <v>0</v>
      </c>
      <c r="AL848">
        <f t="shared" si="486"/>
        <v>0</v>
      </c>
      <c r="AM848">
        <f t="shared" si="487"/>
        <v>0</v>
      </c>
      <c r="AN848">
        <f t="shared" si="488"/>
        <v>0</v>
      </c>
      <c r="AO848">
        <f t="shared" si="489"/>
        <v>0</v>
      </c>
    </row>
    <row r="849" spans="1:41" x14ac:dyDescent="0.45">
      <c r="A849">
        <v>43.881666250000002</v>
      </c>
      <c r="B849">
        <v>124.55609990000001</v>
      </c>
      <c r="C849">
        <v>0.30014151</v>
      </c>
      <c r="D849">
        <v>0.96980703000000001</v>
      </c>
      <c r="E849">
        <f t="shared" si="455"/>
        <v>0.30014151</v>
      </c>
      <c r="F849">
        <f t="shared" si="456"/>
        <v>0</v>
      </c>
      <c r="G849">
        <f t="shared" si="457"/>
        <v>0</v>
      </c>
      <c r="H849">
        <f t="shared" si="458"/>
        <v>0</v>
      </c>
      <c r="I849">
        <f t="shared" si="459"/>
        <v>0</v>
      </c>
      <c r="J849">
        <f t="shared" si="460"/>
        <v>0</v>
      </c>
      <c r="K849" s="1">
        <f t="shared" si="461"/>
        <v>0</v>
      </c>
      <c r="L849" s="1">
        <f t="shared" si="462"/>
        <v>0</v>
      </c>
      <c r="M849" s="1">
        <f t="shared" si="463"/>
        <v>0</v>
      </c>
      <c r="N849" s="1">
        <f t="shared" si="464"/>
        <v>0</v>
      </c>
      <c r="O849" s="1">
        <f t="shared" si="465"/>
        <v>0</v>
      </c>
      <c r="P849" s="1">
        <f t="shared" si="466"/>
        <v>7.7371451411318386</v>
      </c>
      <c r="Q849" s="1" t="e">
        <f t="shared" si="467"/>
        <v>#DIV/0!</v>
      </c>
      <c r="R849" s="1" t="e">
        <f t="shared" si="468"/>
        <v>#DIV/0!</v>
      </c>
      <c r="S849" s="1" t="e">
        <f t="shared" si="469"/>
        <v>#DIV/0!</v>
      </c>
      <c r="T849" s="1" t="e">
        <f t="shared" si="470"/>
        <v>#DIV/0!</v>
      </c>
      <c r="U849" s="1" t="e">
        <f t="shared" si="471"/>
        <v>#DIV/0!</v>
      </c>
      <c r="V849">
        <f t="shared" si="472"/>
        <v>290.43721708678476</v>
      </c>
      <c r="W849">
        <f t="shared" si="473"/>
        <v>0</v>
      </c>
      <c r="X849">
        <f t="shared" si="474"/>
        <v>0</v>
      </c>
      <c r="Y849">
        <f t="shared" si="475"/>
        <v>0</v>
      </c>
      <c r="Z849">
        <f t="shared" si="476"/>
        <v>0</v>
      </c>
      <c r="AA849">
        <f t="shared" si="477"/>
        <v>0</v>
      </c>
      <c r="AC849">
        <f t="shared" si="478"/>
        <v>354.73580564527356</v>
      </c>
      <c r="AD849">
        <f t="shared" si="479"/>
        <v>0</v>
      </c>
      <c r="AE849">
        <f t="shared" si="480"/>
        <v>0</v>
      </c>
      <c r="AF849">
        <f t="shared" si="481"/>
        <v>0</v>
      </c>
      <c r="AG849">
        <f t="shared" si="482"/>
        <v>0</v>
      </c>
      <c r="AH849">
        <f t="shared" si="483"/>
        <v>0</v>
      </c>
      <c r="AJ849">
        <f t="shared" si="484"/>
        <v>419.02439420376231</v>
      </c>
      <c r="AK849">
        <f t="shared" si="485"/>
        <v>0</v>
      </c>
      <c r="AL849">
        <f t="shared" si="486"/>
        <v>0</v>
      </c>
      <c r="AM849">
        <f t="shared" si="487"/>
        <v>0</v>
      </c>
      <c r="AN849">
        <f t="shared" si="488"/>
        <v>0</v>
      </c>
      <c r="AO849">
        <f t="shared" si="489"/>
        <v>0</v>
      </c>
    </row>
    <row r="850" spans="1:41" x14ac:dyDescent="0.45">
      <c r="A850">
        <v>43.919624300000002</v>
      </c>
      <c r="B850">
        <v>121.3755304</v>
      </c>
      <c r="C850">
        <v>0.26926291000000002</v>
      </c>
      <c r="D850">
        <v>0.88668000999999996</v>
      </c>
      <c r="E850">
        <f t="shared" si="455"/>
        <v>0.26926291000000002</v>
      </c>
      <c r="F850">
        <f t="shared" si="456"/>
        <v>0</v>
      </c>
      <c r="G850">
        <f t="shared" si="457"/>
        <v>0</v>
      </c>
      <c r="H850">
        <f t="shared" si="458"/>
        <v>0</v>
      </c>
      <c r="I850">
        <f t="shared" si="459"/>
        <v>0</v>
      </c>
      <c r="J850">
        <f t="shared" si="460"/>
        <v>0</v>
      </c>
      <c r="K850" s="1">
        <f t="shared" si="461"/>
        <v>0</v>
      </c>
      <c r="L850" s="1">
        <f t="shared" si="462"/>
        <v>0</v>
      </c>
      <c r="M850" s="1">
        <f t="shared" si="463"/>
        <v>0</v>
      </c>
      <c r="N850" s="1">
        <f t="shared" si="464"/>
        <v>0</v>
      </c>
      <c r="O850" s="1">
        <f t="shared" si="465"/>
        <v>0</v>
      </c>
      <c r="P850" s="1">
        <f t="shared" si="466"/>
        <v>7.5918850927968942</v>
      </c>
      <c r="Q850" s="1" t="e">
        <f t="shared" si="467"/>
        <v>#DIV/0!</v>
      </c>
      <c r="R850" s="1" t="e">
        <f t="shared" si="468"/>
        <v>#DIV/0!</v>
      </c>
      <c r="S850" s="1" t="e">
        <f t="shared" si="469"/>
        <v>#DIV/0!</v>
      </c>
      <c r="T850" s="1" t="e">
        <f t="shared" si="470"/>
        <v>#DIV/0!</v>
      </c>
      <c r="U850" s="1" t="e">
        <f t="shared" si="471"/>
        <v>#DIV/0!</v>
      </c>
      <c r="V850">
        <f t="shared" si="472"/>
        <v>285.71626551589907</v>
      </c>
      <c r="W850">
        <f t="shared" si="473"/>
        <v>0</v>
      </c>
      <c r="X850">
        <f t="shared" si="474"/>
        <v>0</v>
      </c>
      <c r="Y850">
        <f t="shared" si="475"/>
        <v>0</v>
      </c>
      <c r="Z850">
        <f t="shared" si="476"/>
        <v>0</v>
      </c>
      <c r="AA850">
        <f t="shared" si="477"/>
        <v>0</v>
      </c>
      <c r="AC850">
        <f t="shared" si="478"/>
        <v>348.92540371187579</v>
      </c>
      <c r="AD850">
        <f t="shared" si="479"/>
        <v>0</v>
      </c>
      <c r="AE850">
        <f t="shared" si="480"/>
        <v>0</v>
      </c>
      <c r="AF850">
        <f t="shared" si="481"/>
        <v>0</v>
      </c>
      <c r="AG850">
        <f t="shared" si="482"/>
        <v>0</v>
      </c>
      <c r="AH850">
        <f t="shared" si="483"/>
        <v>0</v>
      </c>
      <c r="AJ850">
        <f t="shared" si="484"/>
        <v>412.12454190785246</v>
      </c>
      <c r="AK850">
        <f t="shared" si="485"/>
        <v>0</v>
      </c>
      <c r="AL850">
        <f t="shared" si="486"/>
        <v>0</v>
      </c>
      <c r="AM850">
        <f t="shared" si="487"/>
        <v>0</v>
      </c>
      <c r="AN850">
        <f t="shared" si="488"/>
        <v>0</v>
      </c>
      <c r="AO850">
        <f t="shared" si="489"/>
        <v>0</v>
      </c>
    </row>
    <row r="851" spans="1:41" x14ac:dyDescent="0.45">
      <c r="A851">
        <v>44.00553996</v>
      </c>
      <c r="B851">
        <v>116.7593581</v>
      </c>
      <c r="C851">
        <v>6.8444890999999997</v>
      </c>
      <c r="D851">
        <v>8.6077000000000001E-2</v>
      </c>
      <c r="E851">
        <f t="shared" si="455"/>
        <v>8.6077000000000001E-2</v>
      </c>
      <c r="F851">
        <f t="shared" si="456"/>
        <v>0</v>
      </c>
      <c r="G851">
        <f t="shared" si="457"/>
        <v>0</v>
      </c>
      <c r="H851">
        <f t="shared" si="458"/>
        <v>0</v>
      </c>
      <c r="I851">
        <f t="shared" si="459"/>
        <v>0</v>
      </c>
      <c r="J851">
        <f t="shared" si="460"/>
        <v>0</v>
      </c>
      <c r="K851" s="1">
        <f t="shared" si="461"/>
        <v>0</v>
      </c>
      <c r="L851" s="1">
        <f t="shared" si="462"/>
        <v>0</v>
      </c>
      <c r="M851" s="1">
        <f t="shared" si="463"/>
        <v>0</v>
      </c>
      <c r="N851" s="1">
        <f t="shared" si="464"/>
        <v>0</v>
      </c>
      <c r="O851" s="1">
        <f t="shared" si="465"/>
        <v>0</v>
      </c>
      <c r="P851" s="1">
        <f t="shared" si="466"/>
        <v>25</v>
      </c>
      <c r="Q851" s="1" t="e">
        <f t="shared" si="467"/>
        <v>#DIV/0!</v>
      </c>
      <c r="R851" s="1" t="e">
        <f t="shared" si="468"/>
        <v>#DIV/0!</v>
      </c>
      <c r="S851" s="1" t="e">
        <f t="shared" si="469"/>
        <v>#DIV/0!</v>
      </c>
      <c r="T851" s="1" t="e">
        <f t="shared" si="470"/>
        <v>#DIV/0!</v>
      </c>
      <c r="U851" s="1" t="e">
        <f t="shared" si="471"/>
        <v>#DIV/0!</v>
      </c>
      <c r="V851">
        <f t="shared" si="472"/>
        <v>851.48</v>
      </c>
      <c r="W851">
        <f t="shared" si="473"/>
        <v>0</v>
      </c>
      <c r="X851">
        <f t="shared" si="474"/>
        <v>0</v>
      </c>
      <c r="Y851">
        <f t="shared" si="475"/>
        <v>0</v>
      </c>
      <c r="Z851">
        <f t="shared" si="476"/>
        <v>0</v>
      </c>
      <c r="AA851">
        <f t="shared" si="477"/>
        <v>0</v>
      </c>
      <c r="AC851">
        <f t="shared" si="478"/>
        <v>1045.25</v>
      </c>
      <c r="AD851">
        <f t="shared" si="479"/>
        <v>0</v>
      </c>
      <c r="AE851">
        <f t="shared" si="480"/>
        <v>0</v>
      </c>
      <c r="AF851">
        <f t="shared" si="481"/>
        <v>0</v>
      </c>
      <c r="AG851">
        <f t="shared" si="482"/>
        <v>0</v>
      </c>
      <c r="AH851">
        <f t="shared" si="483"/>
        <v>0</v>
      </c>
      <c r="AJ851">
        <f t="shared" si="484"/>
        <v>1239.01</v>
      </c>
      <c r="AK851">
        <f t="shared" si="485"/>
        <v>0</v>
      </c>
      <c r="AL851">
        <f t="shared" si="486"/>
        <v>0</v>
      </c>
      <c r="AM851">
        <f t="shared" si="487"/>
        <v>0</v>
      </c>
      <c r="AN851">
        <f t="shared" si="488"/>
        <v>0</v>
      </c>
      <c r="AO851">
        <f t="shared" si="489"/>
        <v>0</v>
      </c>
    </row>
    <row r="852" spans="1:41" x14ac:dyDescent="0.45">
      <c r="A852">
        <v>44.078221569999997</v>
      </c>
      <c r="B852">
        <v>87.861687259999997</v>
      </c>
      <c r="C852">
        <v>0.57684994000000001</v>
      </c>
      <c r="D852">
        <v>0.24584900000000001</v>
      </c>
      <c r="E852">
        <f t="shared" si="455"/>
        <v>0.24584900000000001</v>
      </c>
      <c r="F852">
        <f t="shared" si="456"/>
        <v>0</v>
      </c>
      <c r="G852">
        <f t="shared" si="457"/>
        <v>0</v>
      </c>
      <c r="H852">
        <f t="shared" si="458"/>
        <v>0</v>
      </c>
      <c r="I852">
        <f t="shared" si="459"/>
        <v>0</v>
      </c>
      <c r="J852">
        <f t="shared" si="460"/>
        <v>0</v>
      </c>
      <c r="K852" s="1">
        <f t="shared" si="461"/>
        <v>0</v>
      </c>
      <c r="L852" s="1">
        <f t="shared" si="462"/>
        <v>0</v>
      </c>
      <c r="M852" s="1">
        <f t="shared" si="463"/>
        <v>0</v>
      </c>
      <c r="N852" s="1">
        <f t="shared" si="464"/>
        <v>0</v>
      </c>
      <c r="O852" s="1">
        <f t="shared" si="465"/>
        <v>0</v>
      </c>
      <c r="P852" s="1">
        <f t="shared" si="466"/>
        <v>25</v>
      </c>
      <c r="Q852" s="1" t="e">
        <f t="shared" si="467"/>
        <v>#DIV/0!</v>
      </c>
      <c r="R852" s="1" t="e">
        <f t="shared" si="468"/>
        <v>#DIV/0!</v>
      </c>
      <c r="S852" s="1" t="e">
        <f t="shared" si="469"/>
        <v>#DIV/0!</v>
      </c>
      <c r="T852" s="1" t="e">
        <f t="shared" si="470"/>
        <v>#DIV/0!</v>
      </c>
      <c r="U852" s="1" t="e">
        <f t="shared" si="471"/>
        <v>#DIV/0!</v>
      </c>
      <c r="V852">
        <f t="shared" si="472"/>
        <v>851.48</v>
      </c>
      <c r="W852">
        <f t="shared" si="473"/>
        <v>0</v>
      </c>
      <c r="X852">
        <f t="shared" si="474"/>
        <v>0</v>
      </c>
      <c r="Y852">
        <f t="shared" si="475"/>
        <v>0</v>
      </c>
      <c r="Z852">
        <f t="shared" si="476"/>
        <v>0</v>
      </c>
      <c r="AA852">
        <f t="shared" si="477"/>
        <v>0</v>
      </c>
      <c r="AC852">
        <f t="shared" si="478"/>
        <v>1045.25</v>
      </c>
      <c r="AD852">
        <f t="shared" si="479"/>
        <v>0</v>
      </c>
      <c r="AE852">
        <f t="shared" si="480"/>
        <v>0</v>
      </c>
      <c r="AF852">
        <f t="shared" si="481"/>
        <v>0</v>
      </c>
      <c r="AG852">
        <f t="shared" si="482"/>
        <v>0</v>
      </c>
      <c r="AH852">
        <f t="shared" si="483"/>
        <v>0</v>
      </c>
      <c r="AJ852">
        <f t="shared" si="484"/>
        <v>1239.01</v>
      </c>
      <c r="AK852">
        <f t="shared" si="485"/>
        <v>0</v>
      </c>
      <c r="AL852">
        <f t="shared" si="486"/>
        <v>0</v>
      </c>
      <c r="AM852">
        <f t="shared" si="487"/>
        <v>0</v>
      </c>
      <c r="AN852">
        <f t="shared" si="488"/>
        <v>0</v>
      </c>
      <c r="AO852">
        <f t="shared" si="489"/>
        <v>0</v>
      </c>
    </row>
    <row r="853" spans="1:41" x14ac:dyDescent="0.45">
      <c r="A853">
        <v>44.094809570000002</v>
      </c>
      <c r="B853">
        <v>116.2028961</v>
      </c>
      <c r="C853">
        <v>6.8444890999999997</v>
      </c>
      <c r="D853">
        <v>0.14443099000000001</v>
      </c>
      <c r="E853">
        <f t="shared" si="455"/>
        <v>0.14443099000000001</v>
      </c>
      <c r="F853">
        <f t="shared" si="456"/>
        <v>0</v>
      </c>
      <c r="G853">
        <f t="shared" si="457"/>
        <v>0</v>
      </c>
      <c r="H853">
        <f t="shared" si="458"/>
        <v>0</v>
      </c>
      <c r="I853">
        <f t="shared" si="459"/>
        <v>0</v>
      </c>
      <c r="J853">
        <f t="shared" si="460"/>
        <v>0</v>
      </c>
      <c r="K853" s="1">
        <f t="shared" si="461"/>
        <v>0</v>
      </c>
      <c r="L853" s="1">
        <f t="shared" si="462"/>
        <v>0</v>
      </c>
      <c r="M853" s="1">
        <f t="shared" si="463"/>
        <v>0</v>
      </c>
      <c r="N853" s="1">
        <f t="shared" si="464"/>
        <v>0</v>
      </c>
      <c r="O853" s="1">
        <f t="shared" si="465"/>
        <v>0</v>
      </c>
      <c r="P853" s="1">
        <f t="shared" si="466"/>
        <v>25</v>
      </c>
      <c r="Q853" s="1" t="e">
        <f t="shared" si="467"/>
        <v>#DIV/0!</v>
      </c>
      <c r="R853" s="1" t="e">
        <f t="shared" si="468"/>
        <v>#DIV/0!</v>
      </c>
      <c r="S853" s="1" t="e">
        <f t="shared" si="469"/>
        <v>#DIV/0!</v>
      </c>
      <c r="T853" s="1" t="e">
        <f t="shared" si="470"/>
        <v>#DIV/0!</v>
      </c>
      <c r="U853" s="1" t="e">
        <f t="shared" si="471"/>
        <v>#DIV/0!</v>
      </c>
      <c r="V853">
        <f t="shared" si="472"/>
        <v>851.48</v>
      </c>
      <c r="W853">
        <f t="shared" si="473"/>
        <v>0</v>
      </c>
      <c r="X853">
        <f t="shared" si="474"/>
        <v>0</v>
      </c>
      <c r="Y853">
        <f t="shared" si="475"/>
        <v>0</v>
      </c>
      <c r="Z853">
        <f t="shared" si="476"/>
        <v>0</v>
      </c>
      <c r="AA853">
        <f t="shared" si="477"/>
        <v>0</v>
      </c>
      <c r="AC853">
        <f t="shared" si="478"/>
        <v>1045.25</v>
      </c>
      <c r="AD853">
        <f t="shared" si="479"/>
        <v>0</v>
      </c>
      <c r="AE853">
        <f t="shared" si="480"/>
        <v>0</v>
      </c>
      <c r="AF853">
        <f t="shared" si="481"/>
        <v>0</v>
      </c>
      <c r="AG853">
        <f t="shared" si="482"/>
        <v>0</v>
      </c>
      <c r="AH853">
        <f t="shared" si="483"/>
        <v>0</v>
      </c>
      <c r="AJ853">
        <f t="shared" si="484"/>
        <v>1239.01</v>
      </c>
      <c r="AK853">
        <f t="shared" si="485"/>
        <v>0</v>
      </c>
      <c r="AL853">
        <f t="shared" si="486"/>
        <v>0</v>
      </c>
      <c r="AM853">
        <f t="shared" si="487"/>
        <v>0</v>
      </c>
      <c r="AN853">
        <f t="shared" si="488"/>
        <v>0</v>
      </c>
      <c r="AO853">
        <f t="shared" si="489"/>
        <v>0</v>
      </c>
    </row>
    <row r="854" spans="1:41" x14ac:dyDescent="0.45">
      <c r="A854">
        <v>44.098680109999997</v>
      </c>
      <c r="B854">
        <v>86.379403190000005</v>
      </c>
      <c r="C854">
        <v>1.1536998700000001</v>
      </c>
      <c r="D854">
        <v>5.8879990600000003</v>
      </c>
      <c r="E854">
        <f t="shared" si="455"/>
        <v>1.1536998700000001</v>
      </c>
      <c r="F854">
        <f t="shared" si="456"/>
        <v>0.11949970999999948</v>
      </c>
      <c r="G854">
        <f t="shared" si="457"/>
        <v>0</v>
      </c>
      <c r="H854">
        <f t="shared" si="458"/>
        <v>0</v>
      </c>
      <c r="I854">
        <f t="shared" si="459"/>
        <v>0</v>
      </c>
      <c r="J854">
        <f t="shared" si="460"/>
        <v>0</v>
      </c>
      <c r="K854" s="1">
        <f t="shared" si="461"/>
        <v>0.11949970999999948</v>
      </c>
      <c r="L854" s="1">
        <f t="shared" si="462"/>
        <v>0</v>
      </c>
      <c r="M854" s="1">
        <f t="shared" si="463"/>
        <v>0</v>
      </c>
      <c r="N854" s="1">
        <f t="shared" si="464"/>
        <v>0</v>
      </c>
      <c r="O854" s="1">
        <f t="shared" si="465"/>
        <v>0</v>
      </c>
      <c r="P854" s="1">
        <f t="shared" si="466"/>
        <v>4.89852264854132</v>
      </c>
      <c r="Q854" s="1">
        <f t="shared" si="467"/>
        <v>25</v>
      </c>
      <c r="R854" s="1" t="e">
        <f t="shared" si="468"/>
        <v>#DIV/0!</v>
      </c>
      <c r="S854" s="1" t="e">
        <f t="shared" si="469"/>
        <v>#DIV/0!</v>
      </c>
      <c r="T854" s="1" t="e">
        <f t="shared" si="470"/>
        <v>#DIV/0!</v>
      </c>
      <c r="U854" s="1" t="e">
        <f t="shared" si="471"/>
        <v>#DIV/0!</v>
      </c>
      <c r="V854">
        <f t="shared" si="472"/>
        <v>198.18198607759291</v>
      </c>
      <c r="W854">
        <f t="shared" si="473"/>
        <v>976.49</v>
      </c>
      <c r="X854">
        <f t="shared" si="474"/>
        <v>0</v>
      </c>
      <c r="Y854">
        <f t="shared" si="475"/>
        <v>0</v>
      </c>
      <c r="Z854">
        <f t="shared" si="476"/>
        <v>0</v>
      </c>
      <c r="AA854">
        <f t="shared" si="477"/>
        <v>0</v>
      </c>
      <c r="AC854">
        <f t="shared" si="478"/>
        <v>241.1909059416528</v>
      </c>
      <c r="AD854">
        <f t="shared" si="479"/>
        <v>976.49</v>
      </c>
      <c r="AE854">
        <f t="shared" si="480"/>
        <v>0</v>
      </c>
      <c r="AF854">
        <f t="shared" si="481"/>
        <v>0</v>
      </c>
      <c r="AG854">
        <f t="shared" si="482"/>
        <v>0</v>
      </c>
      <c r="AH854">
        <f t="shared" si="483"/>
        <v>0</v>
      </c>
      <c r="AJ854">
        <f t="shared" si="484"/>
        <v>284.1898258057127</v>
      </c>
      <c r="AK854">
        <f t="shared" si="485"/>
        <v>1170.94</v>
      </c>
      <c r="AL854">
        <f t="shared" si="486"/>
        <v>0</v>
      </c>
      <c r="AM854">
        <f t="shared" si="487"/>
        <v>0</v>
      </c>
      <c r="AN854">
        <f t="shared" si="488"/>
        <v>0</v>
      </c>
      <c r="AO854">
        <f t="shared" si="489"/>
        <v>0</v>
      </c>
    </row>
    <row r="855" spans="1:41" x14ac:dyDescent="0.45">
      <c r="A855">
        <v>44.108479469999999</v>
      </c>
      <c r="B855">
        <v>88.430553840000002</v>
      </c>
      <c r="C855">
        <v>0.99019259000000004</v>
      </c>
      <c r="D855">
        <v>0.60714900000000005</v>
      </c>
      <c r="E855">
        <f t="shared" si="455"/>
        <v>0.60714900000000005</v>
      </c>
      <c r="F855">
        <f t="shared" si="456"/>
        <v>0</v>
      </c>
      <c r="G855">
        <f t="shared" si="457"/>
        <v>0</v>
      </c>
      <c r="H855">
        <f t="shared" si="458"/>
        <v>0</v>
      </c>
      <c r="I855">
        <f t="shared" si="459"/>
        <v>0</v>
      </c>
      <c r="J855">
        <f t="shared" si="460"/>
        <v>0</v>
      </c>
      <c r="K855" s="1">
        <f t="shared" si="461"/>
        <v>0</v>
      </c>
      <c r="L855" s="1">
        <f t="shared" si="462"/>
        <v>0</v>
      </c>
      <c r="M855" s="1">
        <f t="shared" si="463"/>
        <v>0</v>
      </c>
      <c r="N855" s="1">
        <f t="shared" si="464"/>
        <v>0</v>
      </c>
      <c r="O855" s="1">
        <f t="shared" si="465"/>
        <v>0</v>
      </c>
      <c r="P855" s="1">
        <f t="shared" si="466"/>
        <v>25</v>
      </c>
      <c r="Q855" s="1" t="e">
        <f t="shared" si="467"/>
        <v>#DIV/0!</v>
      </c>
      <c r="R855" s="1" t="e">
        <f t="shared" si="468"/>
        <v>#DIV/0!</v>
      </c>
      <c r="S855" s="1" t="e">
        <f t="shared" si="469"/>
        <v>#DIV/0!</v>
      </c>
      <c r="T855" s="1" t="e">
        <f t="shared" si="470"/>
        <v>#DIV/0!</v>
      </c>
      <c r="U855" s="1" t="e">
        <f t="shared" si="471"/>
        <v>#DIV/0!</v>
      </c>
      <c r="V855">
        <f t="shared" si="472"/>
        <v>851.48</v>
      </c>
      <c r="W855">
        <f t="shared" si="473"/>
        <v>0</v>
      </c>
      <c r="X855">
        <f t="shared" si="474"/>
        <v>0</v>
      </c>
      <c r="Y855">
        <f t="shared" si="475"/>
        <v>0</v>
      </c>
      <c r="Z855">
        <f t="shared" si="476"/>
        <v>0</v>
      </c>
      <c r="AA855">
        <f t="shared" si="477"/>
        <v>0</v>
      </c>
      <c r="AC855">
        <f t="shared" si="478"/>
        <v>1045.25</v>
      </c>
      <c r="AD855">
        <f t="shared" si="479"/>
        <v>0</v>
      </c>
      <c r="AE855">
        <f t="shared" si="480"/>
        <v>0</v>
      </c>
      <c r="AF855">
        <f t="shared" si="481"/>
        <v>0</v>
      </c>
      <c r="AG855">
        <f t="shared" si="482"/>
        <v>0</v>
      </c>
      <c r="AH855">
        <f t="shared" si="483"/>
        <v>0</v>
      </c>
      <c r="AJ855">
        <f t="shared" si="484"/>
        <v>1239.01</v>
      </c>
      <c r="AK855">
        <f t="shared" si="485"/>
        <v>0</v>
      </c>
      <c r="AL855">
        <f t="shared" si="486"/>
        <v>0</v>
      </c>
      <c r="AM855">
        <f t="shared" si="487"/>
        <v>0</v>
      </c>
      <c r="AN855">
        <f t="shared" si="488"/>
        <v>0</v>
      </c>
      <c r="AO855">
        <f t="shared" si="489"/>
        <v>0</v>
      </c>
    </row>
    <row r="856" spans="1:41" x14ac:dyDescent="0.45">
      <c r="A856">
        <v>44.123084720000001</v>
      </c>
      <c r="B856">
        <v>89.259099410000005</v>
      </c>
      <c r="C856">
        <v>4.0650010099999996</v>
      </c>
      <c r="D856">
        <v>4.7651238400000002</v>
      </c>
      <c r="E856">
        <f t="shared" si="455"/>
        <v>4.0650010099999996</v>
      </c>
      <c r="F856">
        <f t="shared" si="456"/>
        <v>0</v>
      </c>
      <c r="G856">
        <f t="shared" si="457"/>
        <v>0</v>
      </c>
      <c r="H856">
        <f t="shared" si="458"/>
        <v>0</v>
      </c>
      <c r="I856">
        <f t="shared" si="459"/>
        <v>0</v>
      </c>
      <c r="J856">
        <f t="shared" si="460"/>
        <v>0</v>
      </c>
      <c r="K856" s="1">
        <f t="shared" si="461"/>
        <v>0</v>
      </c>
      <c r="L856" s="1">
        <f t="shared" si="462"/>
        <v>0</v>
      </c>
      <c r="M856" s="1">
        <f t="shared" si="463"/>
        <v>0</v>
      </c>
      <c r="N856" s="1">
        <f t="shared" si="464"/>
        <v>0</v>
      </c>
      <c r="O856" s="1">
        <f t="shared" si="465"/>
        <v>0</v>
      </c>
      <c r="P856" s="1">
        <f t="shared" si="466"/>
        <v>21.326838223369236</v>
      </c>
      <c r="Q856" s="1" t="e">
        <f t="shared" si="467"/>
        <v>#DIV/0!</v>
      </c>
      <c r="R856" s="1" t="e">
        <f t="shared" si="468"/>
        <v>#DIV/0!</v>
      </c>
      <c r="S856" s="1" t="e">
        <f t="shared" si="469"/>
        <v>#DIV/0!</v>
      </c>
      <c r="T856" s="1" t="e">
        <f t="shared" si="470"/>
        <v>#DIV/0!</v>
      </c>
      <c r="U856" s="1" t="e">
        <f t="shared" si="471"/>
        <v>#DIV/0!</v>
      </c>
      <c r="V856">
        <f t="shared" si="472"/>
        <v>732.10224225950014</v>
      </c>
      <c r="W856">
        <f t="shared" si="473"/>
        <v>0</v>
      </c>
      <c r="X856">
        <f t="shared" si="474"/>
        <v>0</v>
      </c>
      <c r="Y856">
        <f t="shared" si="475"/>
        <v>0</v>
      </c>
      <c r="Z856">
        <f t="shared" si="476"/>
        <v>0</v>
      </c>
      <c r="AA856">
        <f t="shared" si="477"/>
        <v>0</v>
      </c>
      <c r="AC856">
        <f t="shared" si="478"/>
        <v>898.32352893476946</v>
      </c>
      <c r="AD856">
        <f t="shared" si="479"/>
        <v>0</v>
      </c>
      <c r="AE856">
        <f t="shared" si="480"/>
        <v>0</v>
      </c>
      <c r="AF856">
        <f t="shared" si="481"/>
        <v>0</v>
      </c>
      <c r="AG856">
        <f t="shared" si="482"/>
        <v>0</v>
      </c>
      <c r="AH856">
        <f t="shared" si="483"/>
        <v>0</v>
      </c>
      <c r="AJ856">
        <f t="shared" si="484"/>
        <v>1064.5348156100388</v>
      </c>
      <c r="AK856">
        <f t="shared" si="485"/>
        <v>0</v>
      </c>
      <c r="AL856">
        <f t="shared" si="486"/>
        <v>0</v>
      </c>
      <c r="AM856">
        <f t="shared" si="487"/>
        <v>0</v>
      </c>
      <c r="AN856">
        <f t="shared" si="488"/>
        <v>0</v>
      </c>
      <c r="AO856">
        <f t="shared" si="489"/>
        <v>0</v>
      </c>
    </row>
    <row r="857" spans="1:41" x14ac:dyDescent="0.45">
      <c r="A857">
        <v>44.180376420000002</v>
      </c>
      <c r="B857">
        <v>85.389232899999996</v>
      </c>
      <c r="C857">
        <v>0.72106236000000001</v>
      </c>
      <c r="D857">
        <v>1.8795649999999999</v>
      </c>
      <c r="E857">
        <f t="shared" si="455"/>
        <v>0.72106236000000001</v>
      </c>
      <c r="F857">
        <f t="shared" si="456"/>
        <v>0</v>
      </c>
      <c r="G857">
        <f t="shared" si="457"/>
        <v>0</v>
      </c>
      <c r="H857">
        <f t="shared" si="458"/>
        <v>0</v>
      </c>
      <c r="I857">
        <f t="shared" si="459"/>
        <v>0</v>
      </c>
      <c r="J857">
        <f t="shared" si="460"/>
        <v>0</v>
      </c>
      <c r="K857" s="1">
        <f t="shared" si="461"/>
        <v>0</v>
      </c>
      <c r="L857" s="1">
        <f t="shared" si="462"/>
        <v>0</v>
      </c>
      <c r="M857" s="1">
        <f t="shared" si="463"/>
        <v>0</v>
      </c>
      <c r="N857" s="1">
        <f t="shared" si="464"/>
        <v>0</v>
      </c>
      <c r="O857" s="1">
        <f t="shared" si="465"/>
        <v>0</v>
      </c>
      <c r="P857" s="1">
        <f t="shared" si="466"/>
        <v>9.5908143639618739</v>
      </c>
      <c r="Q857" s="1" t="e">
        <f t="shared" si="467"/>
        <v>#DIV/0!</v>
      </c>
      <c r="R857" s="1" t="e">
        <f t="shared" si="468"/>
        <v>#DIV/0!</v>
      </c>
      <c r="S857" s="1" t="e">
        <f t="shared" si="469"/>
        <v>#DIV/0!</v>
      </c>
      <c r="T857" s="1" t="e">
        <f t="shared" si="470"/>
        <v>#DIV/0!</v>
      </c>
      <c r="U857" s="1" t="e">
        <f t="shared" si="471"/>
        <v>#DIV/0!</v>
      </c>
      <c r="V857">
        <f t="shared" si="472"/>
        <v>350.6814668287609</v>
      </c>
      <c r="W857">
        <f t="shared" si="473"/>
        <v>0</v>
      </c>
      <c r="X857">
        <f t="shared" si="474"/>
        <v>0</v>
      </c>
      <c r="Y857">
        <f t="shared" si="475"/>
        <v>0</v>
      </c>
      <c r="Z857">
        <f t="shared" si="476"/>
        <v>0</v>
      </c>
      <c r="AA857">
        <f t="shared" si="477"/>
        <v>0</v>
      </c>
      <c r="AC857">
        <f t="shared" si="478"/>
        <v>428.88257455847497</v>
      </c>
      <c r="AD857">
        <f t="shared" si="479"/>
        <v>0</v>
      </c>
      <c r="AE857">
        <f t="shared" si="480"/>
        <v>0</v>
      </c>
      <c r="AF857">
        <f t="shared" si="481"/>
        <v>0</v>
      </c>
      <c r="AG857">
        <f t="shared" si="482"/>
        <v>0</v>
      </c>
      <c r="AH857">
        <f t="shared" si="483"/>
        <v>0</v>
      </c>
      <c r="AJ857">
        <f t="shared" si="484"/>
        <v>507.07368228818899</v>
      </c>
      <c r="AK857">
        <f t="shared" si="485"/>
        <v>0</v>
      </c>
      <c r="AL857">
        <f t="shared" si="486"/>
        <v>0</v>
      </c>
      <c r="AM857">
        <f t="shared" si="487"/>
        <v>0</v>
      </c>
      <c r="AN857">
        <f t="shared" si="488"/>
        <v>0</v>
      </c>
      <c r="AO857">
        <f t="shared" si="489"/>
        <v>0</v>
      </c>
    </row>
    <row r="858" spans="1:41" x14ac:dyDescent="0.45">
      <c r="A858">
        <v>44.183477359999998</v>
      </c>
      <c r="B858">
        <v>114.25170679999999</v>
      </c>
      <c r="C858">
        <v>6.3704409599999998</v>
      </c>
      <c r="D858">
        <v>0.43200701000000002</v>
      </c>
      <c r="E858">
        <f t="shared" si="455"/>
        <v>0.43200701000000002</v>
      </c>
      <c r="F858">
        <f t="shared" si="456"/>
        <v>0</v>
      </c>
      <c r="G858">
        <f t="shared" si="457"/>
        <v>0</v>
      </c>
      <c r="H858">
        <f t="shared" si="458"/>
        <v>0</v>
      </c>
      <c r="I858">
        <f t="shared" si="459"/>
        <v>0</v>
      </c>
      <c r="J858">
        <f t="shared" si="460"/>
        <v>0</v>
      </c>
      <c r="K858" s="1">
        <f t="shared" si="461"/>
        <v>0</v>
      </c>
      <c r="L858" s="1">
        <f t="shared" si="462"/>
        <v>0</v>
      </c>
      <c r="M858" s="1">
        <f t="shared" si="463"/>
        <v>0</v>
      </c>
      <c r="N858" s="1">
        <f t="shared" si="464"/>
        <v>0</v>
      </c>
      <c r="O858" s="1">
        <f t="shared" si="465"/>
        <v>0</v>
      </c>
      <c r="P858" s="1">
        <f t="shared" si="466"/>
        <v>25</v>
      </c>
      <c r="Q858" s="1" t="e">
        <f t="shared" si="467"/>
        <v>#DIV/0!</v>
      </c>
      <c r="R858" s="1" t="e">
        <f t="shared" si="468"/>
        <v>#DIV/0!</v>
      </c>
      <c r="S858" s="1" t="e">
        <f t="shared" si="469"/>
        <v>#DIV/0!</v>
      </c>
      <c r="T858" s="1" t="e">
        <f t="shared" si="470"/>
        <v>#DIV/0!</v>
      </c>
      <c r="U858" s="1" t="e">
        <f t="shared" si="471"/>
        <v>#DIV/0!</v>
      </c>
      <c r="V858">
        <f t="shared" si="472"/>
        <v>851.48</v>
      </c>
      <c r="W858">
        <f t="shared" si="473"/>
        <v>0</v>
      </c>
      <c r="X858">
        <f t="shared" si="474"/>
        <v>0</v>
      </c>
      <c r="Y858">
        <f t="shared" si="475"/>
        <v>0</v>
      </c>
      <c r="Z858">
        <f t="shared" si="476"/>
        <v>0</v>
      </c>
      <c r="AA858">
        <f t="shared" si="477"/>
        <v>0</v>
      </c>
      <c r="AC858">
        <f t="shared" si="478"/>
        <v>1045.25</v>
      </c>
      <c r="AD858">
        <f t="shared" si="479"/>
        <v>0</v>
      </c>
      <c r="AE858">
        <f t="shared" si="480"/>
        <v>0</v>
      </c>
      <c r="AF858">
        <f t="shared" si="481"/>
        <v>0</v>
      </c>
      <c r="AG858">
        <f t="shared" si="482"/>
        <v>0</v>
      </c>
      <c r="AH858">
        <f t="shared" si="483"/>
        <v>0</v>
      </c>
      <c r="AJ858">
        <f t="shared" si="484"/>
        <v>1239.01</v>
      </c>
      <c r="AK858">
        <f t="shared" si="485"/>
        <v>0</v>
      </c>
      <c r="AL858">
        <f t="shared" si="486"/>
        <v>0</v>
      </c>
      <c r="AM858">
        <f t="shared" si="487"/>
        <v>0</v>
      </c>
      <c r="AN858">
        <f t="shared" si="488"/>
        <v>0</v>
      </c>
      <c r="AO858">
        <f t="shared" si="489"/>
        <v>0</v>
      </c>
    </row>
    <row r="859" spans="1:41" x14ac:dyDescent="0.45">
      <c r="A859">
        <v>44.185672109999999</v>
      </c>
      <c r="B859">
        <v>88.667336309999996</v>
      </c>
      <c r="C859">
        <v>0.99019259000000004</v>
      </c>
      <c r="D859">
        <v>2.80169201</v>
      </c>
      <c r="E859">
        <f t="shared" si="455"/>
        <v>0.99019259000000004</v>
      </c>
      <c r="F859">
        <f t="shared" si="456"/>
        <v>0</v>
      </c>
      <c r="G859">
        <f t="shared" si="457"/>
        <v>0</v>
      </c>
      <c r="H859">
        <f t="shared" si="458"/>
        <v>0</v>
      </c>
      <c r="I859">
        <f t="shared" si="459"/>
        <v>0</v>
      </c>
      <c r="J859">
        <f t="shared" si="460"/>
        <v>0</v>
      </c>
      <c r="K859" s="1">
        <f t="shared" si="461"/>
        <v>0</v>
      </c>
      <c r="L859" s="1">
        <f t="shared" si="462"/>
        <v>0</v>
      </c>
      <c r="M859" s="1">
        <f t="shared" si="463"/>
        <v>0</v>
      </c>
      <c r="N859" s="1">
        <f t="shared" si="464"/>
        <v>0</v>
      </c>
      <c r="O859" s="1">
        <f t="shared" si="465"/>
        <v>0</v>
      </c>
      <c r="P859" s="1">
        <f t="shared" si="466"/>
        <v>8.8356659695795763</v>
      </c>
      <c r="Q859" s="1" t="e">
        <f t="shared" si="467"/>
        <v>#DIV/0!</v>
      </c>
      <c r="R859" s="1" t="e">
        <f t="shared" si="468"/>
        <v>#DIV/0!</v>
      </c>
      <c r="S859" s="1" t="e">
        <f t="shared" si="469"/>
        <v>#DIV/0!</v>
      </c>
      <c r="T859" s="1" t="e">
        <f t="shared" si="470"/>
        <v>#DIV/0!</v>
      </c>
      <c r="U859" s="1" t="e">
        <f t="shared" si="471"/>
        <v>#DIV/0!</v>
      </c>
      <c r="V859">
        <f t="shared" si="472"/>
        <v>326.13914401133627</v>
      </c>
      <c r="W859">
        <f t="shared" si="473"/>
        <v>0</v>
      </c>
      <c r="X859">
        <f t="shared" si="474"/>
        <v>0</v>
      </c>
      <c r="Y859">
        <f t="shared" si="475"/>
        <v>0</v>
      </c>
      <c r="Z859">
        <f t="shared" si="476"/>
        <v>0</v>
      </c>
      <c r="AA859">
        <f t="shared" si="477"/>
        <v>0</v>
      </c>
      <c r="AC859">
        <f t="shared" si="478"/>
        <v>398.67663878318308</v>
      </c>
      <c r="AD859">
        <f t="shared" si="479"/>
        <v>0</v>
      </c>
      <c r="AE859">
        <f t="shared" si="480"/>
        <v>0</v>
      </c>
      <c r="AF859">
        <f t="shared" si="481"/>
        <v>0</v>
      </c>
      <c r="AG859">
        <f t="shared" si="482"/>
        <v>0</v>
      </c>
      <c r="AH859">
        <f t="shared" si="483"/>
        <v>0</v>
      </c>
      <c r="AJ859">
        <f t="shared" si="484"/>
        <v>471.20413355502984</v>
      </c>
      <c r="AK859">
        <f t="shared" si="485"/>
        <v>0</v>
      </c>
      <c r="AL859">
        <f t="shared" si="486"/>
        <v>0</v>
      </c>
      <c r="AM859">
        <f t="shared" si="487"/>
        <v>0</v>
      </c>
      <c r="AN859">
        <f t="shared" si="488"/>
        <v>0</v>
      </c>
      <c r="AO859">
        <f t="shared" si="489"/>
        <v>0</v>
      </c>
    </row>
    <row r="860" spans="1:41" x14ac:dyDescent="0.45">
      <c r="A860">
        <v>44.242405609999999</v>
      </c>
      <c r="B860">
        <v>88.396390510000003</v>
      </c>
      <c r="C860">
        <v>0.99019259000000004</v>
      </c>
      <c r="D860">
        <v>4.9582000000000001E-2</v>
      </c>
      <c r="E860">
        <f t="shared" si="455"/>
        <v>4.9582000000000001E-2</v>
      </c>
      <c r="F860">
        <f t="shared" si="456"/>
        <v>0</v>
      </c>
      <c r="G860">
        <f t="shared" si="457"/>
        <v>0</v>
      </c>
      <c r="H860">
        <f t="shared" si="458"/>
        <v>0</v>
      </c>
      <c r="I860">
        <f t="shared" si="459"/>
        <v>0</v>
      </c>
      <c r="J860">
        <f t="shared" si="460"/>
        <v>0</v>
      </c>
      <c r="K860" s="1">
        <f t="shared" si="461"/>
        <v>0</v>
      </c>
      <c r="L860" s="1">
        <f t="shared" si="462"/>
        <v>0</v>
      </c>
      <c r="M860" s="1">
        <f t="shared" si="463"/>
        <v>0</v>
      </c>
      <c r="N860" s="1">
        <f t="shared" si="464"/>
        <v>0</v>
      </c>
      <c r="O860" s="1">
        <f t="shared" si="465"/>
        <v>0</v>
      </c>
      <c r="P860" s="1">
        <f t="shared" si="466"/>
        <v>24.999999999999996</v>
      </c>
      <c r="Q860" s="1" t="e">
        <f t="shared" si="467"/>
        <v>#DIV/0!</v>
      </c>
      <c r="R860" s="1" t="e">
        <f t="shared" si="468"/>
        <v>#DIV/0!</v>
      </c>
      <c r="S860" s="1" t="e">
        <f t="shared" si="469"/>
        <v>#DIV/0!</v>
      </c>
      <c r="T860" s="1" t="e">
        <f t="shared" si="470"/>
        <v>#DIV/0!</v>
      </c>
      <c r="U860" s="1" t="e">
        <f t="shared" si="471"/>
        <v>#DIV/0!</v>
      </c>
      <c r="V860">
        <f t="shared" si="472"/>
        <v>851.4799999999999</v>
      </c>
      <c r="W860">
        <f t="shared" si="473"/>
        <v>0</v>
      </c>
      <c r="X860">
        <f t="shared" si="474"/>
        <v>0</v>
      </c>
      <c r="Y860">
        <f t="shared" si="475"/>
        <v>0</v>
      </c>
      <c r="Z860">
        <f t="shared" si="476"/>
        <v>0</v>
      </c>
      <c r="AA860">
        <f t="shared" si="477"/>
        <v>0</v>
      </c>
      <c r="AC860">
        <f t="shared" si="478"/>
        <v>1045.25</v>
      </c>
      <c r="AD860">
        <f t="shared" si="479"/>
        <v>0</v>
      </c>
      <c r="AE860">
        <f t="shared" si="480"/>
        <v>0</v>
      </c>
      <c r="AF860">
        <f t="shared" si="481"/>
        <v>0</v>
      </c>
      <c r="AG860">
        <f t="shared" si="482"/>
        <v>0</v>
      </c>
      <c r="AH860">
        <f t="shared" si="483"/>
        <v>0</v>
      </c>
      <c r="AJ860">
        <f t="shared" si="484"/>
        <v>1239.0099999999998</v>
      </c>
      <c r="AK860">
        <f t="shared" si="485"/>
        <v>0</v>
      </c>
      <c r="AL860">
        <f t="shared" si="486"/>
        <v>0</v>
      </c>
      <c r="AM860">
        <f t="shared" si="487"/>
        <v>0</v>
      </c>
      <c r="AN860">
        <f t="shared" si="488"/>
        <v>0</v>
      </c>
      <c r="AO860">
        <f t="shared" si="489"/>
        <v>0</v>
      </c>
    </row>
    <row r="861" spans="1:41" x14ac:dyDescent="0.45">
      <c r="A861">
        <v>44.257211079999998</v>
      </c>
      <c r="B861">
        <v>89.22652377</v>
      </c>
      <c r="C861">
        <v>4.0650010099999996</v>
      </c>
      <c r="D861">
        <v>7.7794241900000003</v>
      </c>
      <c r="E861">
        <f t="shared" si="455"/>
        <v>4.0650010099999996</v>
      </c>
      <c r="F861">
        <f t="shared" si="456"/>
        <v>0</v>
      </c>
      <c r="G861">
        <f t="shared" si="457"/>
        <v>0</v>
      </c>
      <c r="H861">
        <f t="shared" si="458"/>
        <v>0</v>
      </c>
      <c r="I861">
        <f t="shared" si="459"/>
        <v>0</v>
      </c>
      <c r="J861">
        <f t="shared" si="460"/>
        <v>0</v>
      </c>
      <c r="K861" s="1">
        <f t="shared" si="461"/>
        <v>0</v>
      </c>
      <c r="L861" s="1">
        <f t="shared" si="462"/>
        <v>0</v>
      </c>
      <c r="M861" s="1">
        <f t="shared" si="463"/>
        <v>0</v>
      </c>
      <c r="N861" s="1">
        <f t="shared" si="464"/>
        <v>0</v>
      </c>
      <c r="O861" s="1">
        <f t="shared" si="465"/>
        <v>0</v>
      </c>
      <c r="P861" s="1">
        <f t="shared" si="466"/>
        <v>13.063309413135368</v>
      </c>
      <c r="Q861" s="1" t="e">
        <f t="shared" si="467"/>
        <v>#DIV/0!</v>
      </c>
      <c r="R861" s="1" t="e">
        <f t="shared" si="468"/>
        <v>#DIV/0!</v>
      </c>
      <c r="S861" s="1" t="e">
        <f t="shared" si="469"/>
        <v>#DIV/0!</v>
      </c>
      <c r="T861" s="1" t="e">
        <f t="shared" si="470"/>
        <v>#DIV/0!</v>
      </c>
      <c r="U861" s="1" t="e">
        <f t="shared" si="471"/>
        <v>#DIV/0!</v>
      </c>
      <c r="V861">
        <f t="shared" si="472"/>
        <v>463.53755592689947</v>
      </c>
      <c r="W861">
        <f t="shared" si="473"/>
        <v>0</v>
      </c>
      <c r="X861">
        <f t="shared" si="474"/>
        <v>0</v>
      </c>
      <c r="Y861">
        <f t="shared" si="475"/>
        <v>0</v>
      </c>
      <c r="Z861">
        <f t="shared" si="476"/>
        <v>0</v>
      </c>
      <c r="AA861">
        <f t="shared" si="477"/>
        <v>0</v>
      </c>
      <c r="AC861">
        <f t="shared" si="478"/>
        <v>567.78237652541475</v>
      </c>
      <c r="AD861">
        <f t="shared" si="479"/>
        <v>0</v>
      </c>
      <c r="AE861">
        <f t="shared" si="480"/>
        <v>0</v>
      </c>
      <c r="AF861">
        <f t="shared" si="481"/>
        <v>0</v>
      </c>
      <c r="AG861">
        <f t="shared" si="482"/>
        <v>0</v>
      </c>
      <c r="AH861">
        <f t="shared" si="483"/>
        <v>0</v>
      </c>
      <c r="AJ861">
        <f t="shared" si="484"/>
        <v>672.01719712392992</v>
      </c>
      <c r="AK861">
        <f t="shared" si="485"/>
        <v>0</v>
      </c>
      <c r="AL861">
        <f t="shared" si="486"/>
        <v>0</v>
      </c>
      <c r="AM861">
        <f t="shared" si="487"/>
        <v>0</v>
      </c>
      <c r="AN861">
        <f t="shared" si="488"/>
        <v>0</v>
      </c>
      <c r="AO861">
        <f t="shared" si="489"/>
        <v>0</v>
      </c>
    </row>
    <row r="862" spans="1:41" x14ac:dyDescent="0.45">
      <c r="A862">
        <v>44.280025479999999</v>
      </c>
      <c r="B862">
        <v>84.841987630000006</v>
      </c>
      <c r="C862">
        <v>9.2245469999999996E-2</v>
      </c>
      <c r="D862">
        <v>0.44358301</v>
      </c>
      <c r="E862">
        <f t="shared" si="455"/>
        <v>9.2245469999999996E-2</v>
      </c>
      <c r="F862">
        <f t="shared" si="456"/>
        <v>0</v>
      </c>
      <c r="G862">
        <f t="shared" si="457"/>
        <v>0</v>
      </c>
      <c r="H862">
        <f t="shared" si="458"/>
        <v>0</v>
      </c>
      <c r="I862">
        <f t="shared" si="459"/>
        <v>0</v>
      </c>
      <c r="J862">
        <f t="shared" si="460"/>
        <v>0</v>
      </c>
      <c r="K862" s="1">
        <f t="shared" si="461"/>
        <v>0</v>
      </c>
      <c r="L862" s="1">
        <f t="shared" si="462"/>
        <v>0</v>
      </c>
      <c r="M862" s="1">
        <f t="shared" si="463"/>
        <v>0</v>
      </c>
      <c r="N862" s="1">
        <f t="shared" si="464"/>
        <v>0</v>
      </c>
      <c r="O862" s="1">
        <f t="shared" si="465"/>
        <v>0</v>
      </c>
      <c r="P862" s="1">
        <f t="shared" si="466"/>
        <v>5.1988843080351517</v>
      </c>
      <c r="Q862" s="1" t="e">
        <f t="shared" si="467"/>
        <v>#DIV/0!</v>
      </c>
      <c r="R862" s="1" t="e">
        <f t="shared" si="468"/>
        <v>#DIV/0!</v>
      </c>
      <c r="S862" s="1" t="e">
        <f t="shared" si="469"/>
        <v>#DIV/0!</v>
      </c>
      <c r="T862" s="1" t="e">
        <f t="shared" si="470"/>
        <v>#DIV/0!</v>
      </c>
      <c r="U862" s="1" t="e">
        <f t="shared" si="471"/>
        <v>#DIV/0!</v>
      </c>
      <c r="V862">
        <f t="shared" si="472"/>
        <v>207.94374001114244</v>
      </c>
      <c r="W862">
        <f t="shared" si="473"/>
        <v>0</v>
      </c>
      <c r="X862">
        <f t="shared" si="474"/>
        <v>0</v>
      </c>
      <c r="Y862">
        <f t="shared" si="475"/>
        <v>0</v>
      </c>
      <c r="Z862">
        <f t="shared" si="476"/>
        <v>0</v>
      </c>
      <c r="AA862">
        <f t="shared" si="477"/>
        <v>0</v>
      </c>
      <c r="AC862">
        <f t="shared" si="478"/>
        <v>253.20537232140606</v>
      </c>
      <c r="AD862">
        <f t="shared" si="479"/>
        <v>0</v>
      </c>
      <c r="AE862">
        <f t="shared" si="480"/>
        <v>0</v>
      </c>
      <c r="AF862">
        <f t="shared" si="481"/>
        <v>0</v>
      </c>
      <c r="AG862">
        <f t="shared" si="482"/>
        <v>0</v>
      </c>
      <c r="AH862">
        <f t="shared" si="483"/>
        <v>0</v>
      </c>
      <c r="AJ862">
        <f t="shared" si="484"/>
        <v>298.45700463166969</v>
      </c>
      <c r="AK862">
        <f t="shared" si="485"/>
        <v>0</v>
      </c>
      <c r="AL862">
        <f t="shared" si="486"/>
        <v>0</v>
      </c>
      <c r="AM862">
        <f t="shared" si="487"/>
        <v>0</v>
      </c>
      <c r="AN862">
        <f t="shared" si="488"/>
        <v>0</v>
      </c>
      <c r="AO862">
        <f t="shared" si="489"/>
        <v>0</v>
      </c>
    </row>
    <row r="863" spans="1:41" x14ac:dyDescent="0.45">
      <c r="A863">
        <v>44.28906096</v>
      </c>
      <c r="B863">
        <v>112.30044650000001</v>
      </c>
      <c r="C863">
        <v>6.3704409599999998</v>
      </c>
      <c r="D863">
        <v>1.4415719499999999</v>
      </c>
      <c r="E863">
        <f t="shared" si="455"/>
        <v>1.4415719499999999</v>
      </c>
      <c r="F863">
        <f t="shared" si="456"/>
        <v>0</v>
      </c>
      <c r="G863">
        <f t="shared" si="457"/>
        <v>0</v>
      </c>
      <c r="H863">
        <f t="shared" si="458"/>
        <v>0</v>
      </c>
      <c r="I863">
        <f t="shared" si="459"/>
        <v>0</v>
      </c>
      <c r="J863">
        <f t="shared" si="460"/>
        <v>0</v>
      </c>
      <c r="K863" s="1">
        <f t="shared" si="461"/>
        <v>0</v>
      </c>
      <c r="L863" s="1">
        <f t="shared" si="462"/>
        <v>0</v>
      </c>
      <c r="M863" s="1">
        <f t="shared" si="463"/>
        <v>0</v>
      </c>
      <c r="N863" s="1">
        <f t="shared" si="464"/>
        <v>0</v>
      </c>
      <c r="O863" s="1">
        <f t="shared" si="465"/>
        <v>0</v>
      </c>
      <c r="P863" s="1">
        <f t="shared" si="466"/>
        <v>25</v>
      </c>
      <c r="Q863" s="1" t="e">
        <f t="shared" si="467"/>
        <v>#DIV/0!</v>
      </c>
      <c r="R863" s="1" t="e">
        <f t="shared" si="468"/>
        <v>#DIV/0!</v>
      </c>
      <c r="S863" s="1" t="e">
        <f t="shared" si="469"/>
        <v>#DIV/0!</v>
      </c>
      <c r="T863" s="1" t="e">
        <f t="shared" si="470"/>
        <v>#DIV/0!</v>
      </c>
      <c r="U863" s="1" t="e">
        <f t="shared" si="471"/>
        <v>#DIV/0!</v>
      </c>
      <c r="V863">
        <f t="shared" si="472"/>
        <v>851.48</v>
      </c>
      <c r="W863">
        <f t="shared" si="473"/>
        <v>0</v>
      </c>
      <c r="X863">
        <f t="shared" si="474"/>
        <v>0</v>
      </c>
      <c r="Y863">
        <f t="shared" si="475"/>
        <v>0</v>
      </c>
      <c r="Z863">
        <f t="shared" si="476"/>
        <v>0</v>
      </c>
      <c r="AA863">
        <f t="shared" si="477"/>
        <v>0</v>
      </c>
      <c r="AC863">
        <f t="shared" si="478"/>
        <v>1045.25</v>
      </c>
      <c r="AD863">
        <f t="shared" si="479"/>
        <v>0</v>
      </c>
      <c r="AE863">
        <f t="shared" si="480"/>
        <v>0</v>
      </c>
      <c r="AF863">
        <f t="shared" si="481"/>
        <v>0</v>
      </c>
      <c r="AG863">
        <f t="shared" si="482"/>
        <v>0</v>
      </c>
      <c r="AH863">
        <f t="shared" si="483"/>
        <v>0</v>
      </c>
      <c r="AJ863">
        <f t="shared" si="484"/>
        <v>1239.01</v>
      </c>
      <c r="AK863">
        <f t="shared" si="485"/>
        <v>0</v>
      </c>
      <c r="AL863">
        <f t="shared" si="486"/>
        <v>0</v>
      </c>
      <c r="AM863">
        <f t="shared" si="487"/>
        <v>0</v>
      </c>
      <c r="AN863">
        <f t="shared" si="488"/>
        <v>0</v>
      </c>
      <c r="AO863">
        <f t="shared" si="489"/>
        <v>0</v>
      </c>
    </row>
    <row r="864" spans="1:41" x14ac:dyDescent="0.45">
      <c r="A864">
        <v>44.319629630000001</v>
      </c>
      <c r="B864">
        <v>88.633591010000004</v>
      </c>
      <c r="C864">
        <v>0.99019259000000004</v>
      </c>
      <c r="D864">
        <v>2.0048689799999999</v>
      </c>
      <c r="E864">
        <f t="shared" si="455"/>
        <v>0.99019259000000004</v>
      </c>
      <c r="F864">
        <f t="shared" si="456"/>
        <v>0</v>
      </c>
      <c r="G864">
        <f t="shared" si="457"/>
        <v>0</v>
      </c>
      <c r="H864">
        <f t="shared" si="458"/>
        <v>0</v>
      </c>
      <c r="I864">
        <f t="shared" si="459"/>
        <v>0</v>
      </c>
      <c r="J864">
        <f t="shared" si="460"/>
        <v>0</v>
      </c>
      <c r="K864" s="1">
        <f t="shared" si="461"/>
        <v>0</v>
      </c>
      <c r="L864" s="1">
        <f t="shared" si="462"/>
        <v>0</v>
      </c>
      <c r="M864" s="1">
        <f t="shared" si="463"/>
        <v>0</v>
      </c>
      <c r="N864" s="1">
        <f t="shared" si="464"/>
        <v>0</v>
      </c>
      <c r="O864" s="1">
        <f t="shared" si="465"/>
        <v>0</v>
      </c>
      <c r="P864" s="1">
        <f t="shared" si="466"/>
        <v>12.347347880059475</v>
      </c>
      <c r="Q864" s="1" t="e">
        <f t="shared" si="467"/>
        <v>#DIV/0!</v>
      </c>
      <c r="R864" s="1" t="e">
        <f t="shared" si="468"/>
        <v>#DIV/0!</v>
      </c>
      <c r="S864" s="1" t="e">
        <f t="shared" si="469"/>
        <v>#DIV/0!</v>
      </c>
      <c r="T864" s="1" t="e">
        <f t="shared" si="470"/>
        <v>#DIV/0!</v>
      </c>
      <c r="U864" s="1" t="e">
        <f t="shared" si="471"/>
        <v>#DIV/0!</v>
      </c>
      <c r="V864">
        <f t="shared" si="472"/>
        <v>440.26880610193297</v>
      </c>
      <c r="W864">
        <f t="shared" si="473"/>
        <v>0</v>
      </c>
      <c r="X864">
        <f t="shared" si="474"/>
        <v>0</v>
      </c>
      <c r="Y864">
        <f t="shared" si="475"/>
        <v>0</v>
      </c>
      <c r="Z864">
        <f t="shared" si="476"/>
        <v>0</v>
      </c>
      <c r="AA864">
        <f t="shared" si="477"/>
        <v>0</v>
      </c>
      <c r="AC864">
        <f t="shared" si="478"/>
        <v>539.14391520237905</v>
      </c>
      <c r="AD864">
        <f t="shared" si="479"/>
        <v>0</v>
      </c>
      <c r="AE864">
        <f t="shared" si="480"/>
        <v>0</v>
      </c>
      <c r="AF864">
        <f t="shared" si="481"/>
        <v>0</v>
      </c>
      <c r="AG864">
        <f t="shared" si="482"/>
        <v>0</v>
      </c>
      <c r="AH864">
        <f t="shared" si="483"/>
        <v>0</v>
      </c>
      <c r="AJ864">
        <f t="shared" si="484"/>
        <v>638.00902430282508</v>
      </c>
      <c r="AK864">
        <f t="shared" si="485"/>
        <v>0</v>
      </c>
      <c r="AL864">
        <f t="shared" si="486"/>
        <v>0</v>
      </c>
      <c r="AM864">
        <f t="shared" si="487"/>
        <v>0</v>
      </c>
      <c r="AN864">
        <f t="shared" si="488"/>
        <v>0</v>
      </c>
      <c r="AO864">
        <f t="shared" si="489"/>
        <v>0</v>
      </c>
    </row>
    <row r="865" spans="1:41" x14ac:dyDescent="0.45">
      <c r="A865">
        <v>44.335754029999997</v>
      </c>
      <c r="B865">
        <v>88.757986759999994</v>
      </c>
      <c r="C865">
        <v>4.0650010099999996</v>
      </c>
      <c r="D865">
        <v>3.2373490299999998</v>
      </c>
      <c r="E865">
        <f t="shared" si="455"/>
        <v>3.2373490299999998</v>
      </c>
      <c r="F865">
        <f t="shared" si="456"/>
        <v>0</v>
      </c>
      <c r="G865">
        <f t="shared" si="457"/>
        <v>0</v>
      </c>
      <c r="H865">
        <f t="shared" si="458"/>
        <v>0</v>
      </c>
      <c r="I865">
        <f t="shared" si="459"/>
        <v>0</v>
      </c>
      <c r="J865">
        <f t="shared" si="460"/>
        <v>0</v>
      </c>
      <c r="K865" s="1">
        <f t="shared" si="461"/>
        <v>0</v>
      </c>
      <c r="L865" s="1">
        <f t="shared" si="462"/>
        <v>0</v>
      </c>
      <c r="M865" s="1">
        <f t="shared" si="463"/>
        <v>0</v>
      </c>
      <c r="N865" s="1">
        <f t="shared" si="464"/>
        <v>0</v>
      </c>
      <c r="O865" s="1">
        <f t="shared" si="465"/>
        <v>0</v>
      </c>
      <c r="P865" s="1">
        <f t="shared" si="466"/>
        <v>25</v>
      </c>
      <c r="Q865" s="1" t="e">
        <f t="shared" si="467"/>
        <v>#DIV/0!</v>
      </c>
      <c r="R865" s="1" t="e">
        <f t="shared" si="468"/>
        <v>#DIV/0!</v>
      </c>
      <c r="S865" s="1" t="e">
        <f t="shared" si="469"/>
        <v>#DIV/0!</v>
      </c>
      <c r="T865" s="1" t="e">
        <f t="shared" si="470"/>
        <v>#DIV/0!</v>
      </c>
      <c r="U865" s="1" t="e">
        <f t="shared" si="471"/>
        <v>#DIV/0!</v>
      </c>
      <c r="V865">
        <f t="shared" si="472"/>
        <v>851.48</v>
      </c>
      <c r="W865">
        <f t="shared" si="473"/>
        <v>0</v>
      </c>
      <c r="X865">
        <f t="shared" si="474"/>
        <v>0</v>
      </c>
      <c r="Y865">
        <f t="shared" si="475"/>
        <v>0</v>
      </c>
      <c r="Z865">
        <f t="shared" si="476"/>
        <v>0</v>
      </c>
      <c r="AA865">
        <f t="shared" si="477"/>
        <v>0</v>
      </c>
      <c r="AC865">
        <f t="shared" si="478"/>
        <v>1045.25</v>
      </c>
      <c r="AD865">
        <f t="shared" si="479"/>
        <v>0</v>
      </c>
      <c r="AE865">
        <f t="shared" si="480"/>
        <v>0</v>
      </c>
      <c r="AF865">
        <f t="shared" si="481"/>
        <v>0</v>
      </c>
      <c r="AG865">
        <f t="shared" si="482"/>
        <v>0</v>
      </c>
      <c r="AH865">
        <f t="shared" si="483"/>
        <v>0</v>
      </c>
      <c r="AJ865">
        <f t="shared" si="484"/>
        <v>1239.01</v>
      </c>
      <c r="AK865">
        <f t="shared" si="485"/>
        <v>0</v>
      </c>
      <c r="AL865">
        <f t="shared" si="486"/>
        <v>0</v>
      </c>
      <c r="AM865">
        <f t="shared" si="487"/>
        <v>0</v>
      </c>
      <c r="AN865">
        <f t="shared" si="488"/>
        <v>0</v>
      </c>
      <c r="AO865">
        <f t="shared" si="489"/>
        <v>0</v>
      </c>
    </row>
    <row r="866" spans="1:41" x14ac:dyDescent="0.45">
      <c r="A866">
        <v>44.416933999999998</v>
      </c>
      <c r="B866">
        <v>125.0233862</v>
      </c>
      <c r="C866">
        <v>14.23618984</v>
      </c>
      <c r="D866">
        <v>4.8970000000000003E-3</v>
      </c>
      <c r="E866">
        <f t="shared" si="455"/>
        <v>4.8970000000000003E-3</v>
      </c>
      <c r="F866">
        <f t="shared" si="456"/>
        <v>0</v>
      </c>
      <c r="G866">
        <f t="shared" si="457"/>
        <v>0</v>
      </c>
      <c r="H866">
        <f t="shared" si="458"/>
        <v>0</v>
      </c>
      <c r="I866">
        <f t="shared" si="459"/>
        <v>0</v>
      </c>
      <c r="J866">
        <f t="shared" si="460"/>
        <v>0</v>
      </c>
      <c r="K866" s="1">
        <f t="shared" si="461"/>
        <v>0</v>
      </c>
      <c r="L866" s="1">
        <f t="shared" si="462"/>
        <v>0</v>
      </c>
      <c r="M866" s="1">
        <f t="shared" si="463"/>
        <v>0</v>
      </c>
      <c r="N866" s="1">
        <f t="shared" si="464"/>
        <v>0</v>
      </c>
      <c r="O866" s="1">
        <f t="shared" si="465"/>
        <v>0</v>
      </c>
      <c r="P866" s="1">
        <f t="shared" si="466"/>
        <v>25</v>
      </c>
      <c r="Q866" s="1" t="e">
        <f t="shared" si="467"/>
        <v>#DIV/0!</v>
      </c>
      <c r="R866" s="1" t="e">
        <f t="shared" si="468"/>
        <v>#DIV/0!</v>
      </c>
      <c r="S866" s="1" t="e">
        <f t="shared" si="469"/>
        <v>#DIV/0!</v>
      </c>
      <c r="T866" s="1" t="e">
        <f t="shared" si="470"/>
        <v>#DIV/0!</v>
      </c>
      <c r="U866" s="1" t="e">
        <f t="shared" si="471"/>
        <v>#DIV/0!</v>
      </c>
      <c r="V866">
        <f t="shared" si="472"/>
        <v>851.48</v>
      </c>
      <c r="W866">
        <f t="shared" si="473"/>
        <v>0</v>
      </c>
      <c r="X866">
        <f t="shared" si="474"/>
        <v>0</v>
      </c>
      <c r="Y866">
        <f t="shared" si="475"/>
        <v>0</v>
      </c>
      <c r="Z866">
        <f t="shared" si="476"/>
        <v>0</v>
      </c>
      <c r="AA866">
        <f t="shared" si="477"/>
        <v>0</v>
      </c>
      <c r="AC866">
        <f t="shared" si="478"/>
        <v>1045.25</v>
      </c>
      <c r="AD866">
        <f t="shared" si="479"/>
        <v>0</v>
      </c>
      <c r="AE866">
        <f t="shared" si="480"/>
        <v>0</v>
      </c>
      <c r="AF866">
        <f t="shared" si="481"/>
        <v>0</v>
      </c>
      <c r="AG866">
        <f t="shared" si="482"/>
        <v>0</v>
      </c>
      <c r="AH866">
        <f t="shared" si="483"/>
        <v>0</v>
      </c>
      <c r="AJ866">
        <f t="shared" si="484"/>
        <v>1239.01</v>
      </c>
      <c r="AK866">
        <f t="shared" si="485"/>
        <v>0</v>
      </c>
      <c r="AL866">
        <f t="shared" si="486"/>
        <v>0</v>
      </c>
      <c r="AM866">
        <f t="shared" si="487"/>
        <v>0</v>
      </c>
      <c r="AN866">
        <f t="shared" si="488"/>
        <v>0</v>
      </c>
      <c r="AO866">
        <f t="shared" si="489"/>
        <v>0</v>
      </c>
    </row>
    <row r="867" spans="1:41" x14ac:dyDescent="0.45">
      <c r="A867">
        <v>44.514306560000001</v>
      </c>
      <c r="B867">
        <v>88.713100159999996</v>
      </c>
      <c r="C867">
        <v>0.99019259000000004</v>
      </c>
      <c r="D867">
        <v>4.4148359299999997</v>
      </c>
      <c r="E867">
        <f t="shared" si="455"/>
        <v>0.99019259000000004</v>
      </c>
      <c r="F867">
        <f t="shared" si="456"/>
        <v>0</v>
      </c>
      <c r="G867">
        <f t="shared" si="457"/>
        <v>0</v>
      </c>
      <c r="H867">
        <f t="shared" si="458"/>
        <v>0</v>
      </c>
      <c r="I867">
        <f t="shared" si="459"/>
        <v>0</v>
      </c>
      <c r="J867">
        <f t="shared" si="460"/>
        <v>0</v>
      </c>
      <c r="K867" s="1">
        <f t="shared" si="461"/>
        <v>0</v>
      </c>
      <c r="L867" s="1">
        <f t="shared" si="462"/>
        <v>0</v>
      </c>
      <c r="M867" s="1">
        <f t="shared" si="463"/>
        <v>0</v>
      </c>
      <c r="N867" s="1">
        <f t="shared" si="464"/>
        <v>0</v>
      </c>
      <c r="O867" s="1">
        <f t="shared" si="465"/>
        <v>0</v>
      </c>
      <c r="P867" s="1">
        <f t="shared" si="466"/>
        <v>5.6071879323497313</v>
      </c>
      <c r="Q867" s="1" t="e">
        <f t="shared" si="467"/>
        <v>#DIV/0!</v>
      </c>
      <c r="R867" s="1" t="e">
        <f t="shared" si="468"/>
        <v>#DIV/0!</v>
      </c>
      <c r="S867" s="1" t="e">
        <f t="shared" si="469"/>
        <v>#DIV/0!</v>
      </c>
      <c r="T867" s="1" t="e">
        <f t="shared" si="470"/>
        <v>#DIV/0!</v>
      </c>
      <c r="U867" s="1" t="e">
        <f t="shared" si="471"/>
        <v>#DIV/0!</v>
      </c>
      <c r="V867">
        <f t="shared" si="472"/>
        <v>221.21360780136627</v>
      </c>
      <c r="W867">
        <f t="shared" si="473"/>
        <v>0</v>
      </c>
      <c r="X867">
        <f t="shared" si="474"/>
        <v>0</v>
      </c>
      <c r="Y867">
        <f t="shared" si="475"/>
        <v>0</v>
      </c>
      <c r="Z867">
        <f t="shared" si="476"/>
        <v>0</v>
      </c>
      <c r="AA867">
        <f t="shared" si="477"/>
        <v>0</v>
      </c>
      <c r="AC867">
        <f t="shared" si="478"/>
        <v>269.53751729398925</v>
      </c>
      <c r="AD867">
        <f t="shared" si="479"/>
        <v>0</v>
      </c>
      <c r="AE867">
        <f t="shared" si="480"/>
        <v>0</v>
      </c>
      <c r="AF867">
        <f t="shared" si="481"/>
        <v>0</v>
      </c>
      <c r="AG867">
        <f t="shared" si="482"/>
        <v>0</v>
      </c>
      <c r="AH867">
        <f t="shared" si="483"/>
        <v>0</v>
      </c>
      <c r="AJ867">
        <f t="shared" si="484"/>
        <v>317.85142678661225</v>
      </c>
      <c r="AK867">
        <f t="shared" si="485"/>
        <v>0</v>
      </c>
      <c r="AL867">
        <f t="shared" si="486"/>
        <v>0</v>
      </c>
      <c r="AM867">
        <f t="shared" si="487"/>
        <v>0</v>
      </c>
      <c r="AN867">
        <f t="shared" si="488"/>
        <v>0</v>
      </c>
      <c r="AO867">
        <f t="shared" si="489"/>
        <v>0</v>
      </c>
    </row>
    <row r="868" spans="1:41" x14ac:dyDescent="0.45">
      <c r="A868">
        <v>44.557088030000003</v>
      </c>
      <c r="B868">
        <v>124.3516212</v>
      </c>
      <c r="C868">
        <v>14.23618984</v>
      </c>
      <c r="D868">
        <v>1.58841503</v>
      </c>
      <c r="E868">
        <f t="shared" si="455"/>
        <v>1.58841503</v>
      </c>
      <c r="F868">
        <f t="shared" si="456"/>
        <v>0</v>
      </c>
      <c r="G868">
        <f t="shared" si="457"/>
        <v>0</v>
      </c>
      <c r="H868">
        <f t="shared" si="458"/>
        <v>0</v>
      </c>
      <c r="I868">
        <f t="shared" si="459"/>
        <v>0</v>
      </c>
      <c r="J868">
        <f t="shared" si="460"/>
        <v>0</v>
      </c>
      <c r="K868" s="1">
        <f t="shared" si="461"/>
        <v>0</v>
      </c>
      <c r="L868" s="1">
        <f t="shared" si="462"/>
        <v>0</v>
      </c>
      <c r="M868" s="1">
        <f t="shared" si="463"/>
        <v>0</v>
      </c>
      <c r="N868" s="1">
        <f t="shared" si="464"/>
        <v>0</v>
      </c>
      <c r="O868" s="1">
        <f t="shared" si="465"/>
        <v>0</v>
      </c>
      <c r="P868" s="1">
        <f t="shared" si="466"/>
        <v>25</v>
      </c>
      <c r="Q868" s="1" t="e">
        <f t="shared" si="467"/>
        <v>#DIV/0!</v>
      </c>
      <c r="R868" s="1" t="e">
        <f t="shared" si="468"/>
        <v>#DIV/0!</v>
      </c>
      <c r="S868" s="1" t="e">
        <f t="shared" si="469"/>
        <v>#DIV/0!</v>
      </c>
      <c r="T868" s="1" t="e">
        <f t="shared" si="470"/>
        <v>#DIV/0!</v>
      </c>
      <c r="U868" s="1" t="e">
        <f t="shared" si="471"/>
        <v>#DIV/0!</v>
      </c>
      <c r="V868">
        <f t="shared" si="472"/>
        <v>851.48</v>
      </c>
      <c r="W868">
        <f t="shared" si="473"/>
        <v>0</v>
      </c>
      <c r="X868">
        <f t="shared" si="474"/>
        <v>0</v>
      </c>
      <c r="Y868">
        <f t="shared" si="475"/>
        <v>0</v>
      </c>
      <c r="Z868">
        <f t="shared" si="476"/>
        <v>0</v>
      </c>
      <c r="AA868">
        <f t="shared" si="477"/>
        <v>0</v>
      </c>
      <c r="AC868">
        <f t="shared" si="478"/>
        <v>1045.25</v>
      </c>
      <c r="AD868">
        <f t="shared" si="479"/>
        <v>0</v>
      </c>
      <c r="AE868">
        <f t="shared" si="480"/>
        <v>0</v>
      </c>
      <c r="AF868">
        <f t="shared" si="481"/>
        <v>0</v>
      </c>
      <c r="AG868">
        <f t="shared" si="482"/>
        <v>0</v>
      </c>
      <c r="AH868">
        <f t="shared" si="483"/>
        <v>0</v>
      </c>
      <c r="AJ868">
        <f t="shared" si="484"/>
        <v>1239.01</v>
      </c>
      <c r="AK868">
        <f t="shared" si="485"/>
        <v>0</v>
      </c>
      <c r="AL868">
        <f t="shared" si="486"/>
        <v>0</v>
      </c>
      <c r="AM868">
        <f t="shared" si="487"/>
        <v>0</v>
      </c>
      <c r="AN868">
        <f t="shared" si="488"/>
        <v>0</v>
      </c>
      <c r="AO868">
        <f t="shared" si="489"/>
        <v>0</v>
      </c>
    </row>
    <row r="869" spans="1:41" x14ac:dyDescent="0.45">
      <c r="A869">
        <v>44.624476280000003</v>
      </c>
      <c r="B869">
        <v>123.8529071</v>
      </c>
      <c r="C869">
        <v>14.23618984</v>
      </c>
      <c r="D869">
        <v>2.1936790899999998</v>
      </c>
      <c r="E869">
        <f t="shared" si="455"/>
        <v>2.1936790899999998</v>
      </c>
      <c r="F869">
        <f t="shared" si="456"/>
        <v>0</v>
      </c>
      <c r="G869">
        <f t="shared" si="457"/>
        <v>0</v>
      </c>
      <c r="H869">
        <f t="shared" si="458"/>
        <v>0</v>
      </c>
      <c r="I869">
        <f t="shared" si="459"/>
        <v>0</v>
      </c>
      <c r="J869">
        <f t="shared" si="460"/>
        <v>0</v>
      </c>
      <c r="K869" s="1">
        <f t="shared" si="461"/>
        <v>0</v>
      </c>
      <c r="L869" s="1">
        <f t="shared" si="462"/>
        <v>0</v>
      </c>
      <c r="M869" s="1">
        <f t="shared" si="463"/>
        <v>0</v>
      </c>
      <c r="N869" s="1">
        <f t="shared" si="464"/>
        <v>0</v>
      </c>
      <c r="O869" s="1">
        <f t="shared" si="465"/>
        <v>0</v>
      </c>
      <c r="P869" s="1">
        <f t="shared" si="466"/>
        <v>25</v>
      </c>
      <c r="Q869" s="1" t="e">
        <f t="shared" si="467"/>
        <v>#DIV/0!</v>
      </c>
      <c r="R869" s="1" t="e">
        <f t="shared" si="468"/>
        <v>#DIV/0!</v>
      </c>
      <c r="S869" s="1" t="e">
        <f t="shared" si="469"/>
        <v>#DIV/0!</v>
      </c>
      <c r="T869" s="1" t="e">
        <f t="shared" si="470"/>
        <v>#DIV/0!</v>
      </c>
      <c r="U869" s="1" t="e">
        <f t="shared" si="471"/>
        <v>#DIV/0!</v>
      </c>
      <c r="V869">
        <f t="shared" si="472"/>
        <v>851.48</v>
      </c>
      <c r="W869">
        <f t="shared" si="473"/>
        <v>0</v>
      </c>
      <c r="X869">
        <f t="shared" si="474"/>
        <v>0</v>
      </c>
      <c r="Y869">
        <f t="shared" si="475"/>
        <v>0</v>
      </c>
      <c r="Z869">
        <f t="shared" si="476"/>
        <v>0</v>
      </c>
      <c r="AA869">
        <f t="shared" si="477"/>
        <v>0</v>
      </c>
      <c r="AC869">
        <f t="shared" si="478"/>
        <v>1045.25</v>
      </c>
      <c r="AD869">
        <f t="shared" si="479"/>
        <v>0</v>
      </c>
      <c r="AE869">
        <f t="shared" si="480"/>
        <v>0</v>
      </c>
      <c r="AF869">
        <f t="shared" si="481"/>
        <v>0</v>
      </c>
      <c r="AG869">
        <f t="shared" si="482"/>
        <v>0</v>
      </c>
      <c r="AH869">
        <f t="shared" si="483"/>
        <v>0</v>
      </c>
      <c r="AJ869">
        <f t="shared" si="484"/>
        <v>1239.01</v>
      </c>
      <c r="AK869">
        <f t="shared" si="485"/>
        <v>0</v>
      </c>
      <c r="AL869">
        <f t="shared" si="486"/>
        <v>0</v>
      </c>
      <c r="AM869">
        <f t="shared" si="487"/>
        <v>0</v>
      </c>
      <c r="AN869">
        <f t="shared" si="488"/>
        <v>0</v>
      </c>
      <c r="AO869">
        <f t="shared" si="489"/>
        <v>0</v>
      </c>
    </row>
    <row r="870" spans="1:41" x14ac:dyDescent="0.45">
      <c r="A870">
        <v>44.643969089999999</v>
      </c>
      <c r="B870">
        <v>124.0517957</v>
      </c>
      <c r="C870">
        <v>14.23618984</v>
      </c>
      <c r="D870">
        <v>1.3392569999999999</v>
      </c>
      <c r="E870">
        <f t="shared" si="455"/>
        <v>1.3392569999999999</v>
      </c>
      <c r="F870">
        <f t="shared" si="456"/>
        <v>0</v>
      </c>
      <c r="G870">
        <f t="shared" si="457"/>
        <v>0</v>
      </c>
      <c r="H870">
        <f t="shared" si="458"/>
        <v>0</v>
      </c>
      <c r="I870">
        <f t="shared" si="459"/>
        <v>0</v>
      </c>
      <c r="J870">
        <f t="shared" si="460"/>
        <v>0</v>
      </c>
      <c r="K870" s="1">
        <f t="shared" si="461"/>
        <v>0</v>
      </c>
      <c r="L870" s="1">
        <f t="shared" si="462"/>
        <v>0</v>
      </c>
      <c r="M870" s="1">
        <f t="shared" si="463"/>
        <v>0</v>
      </c>
      <c r="N870" s="1">
        <f t="shared" si="464"/>
        <v>0</v>
      </c>
      <c r="O870" s="1">
        <f t="shared" si="465"/>
        <v>0</v>
      </c>
      <c r="P870" s="1">
        <f t="shared" si="466"/>
        <v>25.000000000000004</v>
      </c>
      <c r="Q870" s="1" t="e">
        <f t="shared" si="467"/>
        <v>#DIV/0!</v>
      </c>
      <c r="R870" s="1" t="e">
        <f t="shared" si="468"/>
        <v>#DIV/0!</v>
      </c>
      <c r="S870" s="1" t="e">
        <f t="shared" si="469"/>
        <v>#DIV/0!</v>
      </c>
      <c r="T870" s="1" t="e">
        <f t="shared" si="470"/>
        <v>#DIV/0!</v>
      </c>
      <c r="U870" s="1" t="e">
        <f t="shared" si="471"/>
        <v>#DIV/0!</v>
      </c>
      <c r="V870">
        <f t="shared" si="472"/>
        <v>851.48000000000013</v>
      </c>
      <c r="W870">
        <f t="shared" si="473"/>
        <v>0</v>
      </c>
      <c r="X870">
        <f t="shared" si="474"/>
        <v>0</v>
      </c>
      <c r="Y870">
        <f t="shared" si="475"/>
        <v>0</v>
      </c>
      <c r="Z870">
        <f t="shared" si="476"/>
        <v>0</v>
      </c>
      <c r="AA870">
        <f t="shared" si="477"/>
        <v>0</v>
      </c>
      <c r="AC870">
        <f t="shared" si="478"/>
        <v>1045.25</v>
      </c>
      <c r="AD870">
        <f t="shared" si="479"/>
        <v>0</v>
      </c>
      <c r="AE870">
        <f t="shared" si="480"/>
        <v>0</v>
      </c>
      <c r="AF870">
        <f t="shared" si="481"/>
        <v>0</v>
      </c>
      <c r="AG870">
        <f t="shared" si="482"/>
        <v>0</v>
      </c>
      <c r="AH870">
        <f t="shared" si="483"/>
        <v>0</v>
      </c>
      <c r="AJ870">
        <f t="shared" si="484"/>
        <v>1239.0100000000002</v>
      </c>
      <c r="AK870">
        <f t="shared" si="485"/>
        <v>0</v>
      </c>
      <c r="AL870">
        <f t="shared" si="486"/>
        <v>0</v>
      </c>
      <c r="AM870">
        <f t="shared" si="487"/>
        <v>0</v>
      </c>
      <c r="AN870">
        <f t="shared" si="488"/>
        <v>0</v>
      </c>
      <c r="AO870">
        <f t="shared" si="489"/>
        <v>0</v>
      </c>
    </row>
    <row r="871" spans="1:41" x14ac:dyDescent="0.45">
      <c r="A871">
        <v>44.673621660000002</v>
      </c>
      <c r="B871">
        <v>115.7776944</v>
      </c>
      <c r="C871">
        <v>6.8444890999999997</v>
      </c>
      <c r="D871">
        <v>4.4870867700000003</v>
      </c>
      <c r="E871">
        <f t="shared" si="455"/>
        <v>4.4870867700000003</v>
      </c>
      <c r="F871">
        <f t="shared" si="456"/>
        <v>0</v>
      </c>
      <c r="G871">
        <f t="shared" si="457"/>
        <v>0</v>
      </c>
      <c r="H871">
        <f t="shared" si="458"/>
        <v>0</v>
      </c>
      <c r="I871">
        <f t="shared" si="459"/>
        <v>0</v>
      </c>
      <c r="J871">
        <f t="shared" si="460"/>
        <v>0</v>
      </c>
      <c r="K871" s="1">
        <f t="shared" si="461"/>
        <v>0</v>
      </c>
      <c r="L871" s="1">
        <f t="shared" si="462"/>
        <v>0</v>
      </c>
      <c r="M871" s="1">
        <f t="shared" si="463"/>
        <v>0</v>
      </c>
      <c r="N871" s="1">
        <f t="shared" si="464"/>
        <v>0</v>
      </c>
      <c r="O871" s="1">
        <f t="shared" si="465"/>
        <v>0</v>
      </c>
      <c r="P871" s="1">
        <f t="shared" si="466"/>
        <v>25</v>
      </c>
      <c r="Q871" s="1" t="e">
        <f t="shared" si="467"/>
        <v>#DIV/0!</v>
      </c>
      <c r="R871" s="1" t="e">
        <f t="shared" si="468"/>
        <v>#DIV/0!</v>
      </c>
      <c r="S871" s="1" t="e">
        <f t="shared" si="469"/>
        <v>#DIV/0!</v>
      </c>
      <c r="T871" s="1" t="e">
        <f t="shared" si="470"/>
        <v>#DIV/0!</v>
      </c>
      <c r="U871" s="1" t="e">
        <f t="shared" si="471"/>
        <v>#DIV/0!</v>
      </c>
      <c r="V871">
        <f t="shared" si="472"/>
        <v>851.48</v>
      </c>
      <c r="W871">
        <f t="shared" si="473"/>
        <v>0</v>
      </c>
      <c r="X871">
        <f t="shared" si="474"/>
        <v>0</v>
      </c>
      <c r="Y871">
        <f t="shared" si="475"/>
        <v>0</v>
      </c>
      <c r="Z871">
        <f t="shared" si="476"/>
        <v>0</v>
      </c>
      <c r="AA871">
        <f t="shared" si="477"/>
        <v>0</v>
      </c>
      <c r="AC871">
        <f t="shared" si="478"/>
        <v>1045.25</v>
      </c>
      <c r="AD871">
        <f t="shared" si="479"/>
        <v>0</v>
      </c>
      <c r="AE871">
        <f t="shared" si="480"/>
        <v>0</v>
      </c>
      <c r="AF871">
        <f t="shared" si="481"/>
        <v>0</v>
      </c>
      <c r="AG871">
        <f t="shared" si="482"/>
        <v>0</v>
      </c>
      <c r="AH871">
        <f t="shared" si="483"/>
        <v>0</v>
      </c>
      <c r="AJ871">
        <f t="shared" si="484"/>
        <v>1239.01</v>
      </c>
      <c r="AK871">
        <f t="shared" si="485"/>
        <v>0</v>
      </c>
      <c r="AL871">
        <f t="shared" si="486"/>
        <v>0</v>
      </c>
      <c r="AM871">
        <f t="shared" si="487"/>
        <v>0</v>
      </c>
      <c r="AN871">
        <f t="shared" si="488"/>
        <v>0</v>
      </c>
      <c r="AO871">
        <f t="shared" si="489"/>
        <v>0</v>
      </c>
    </row>
    <row r="872" spans="1:41" x14ac:dyDescent="0.45">
      <c r="A872">
        <v>44.704869719999998</v>
      </c>
      <c r="B872">
        <v>115.9737743</v>
      </c>
      <c r="C872">
        <v>6.8444890999999997</v>
      </c>
      <c r="D872">
        <v>0.65827298000000001</v>
      </c>
      <c r="E872">
        <f t="shared" si="455"/>
        <v>0.65827298000000001</v>
      </c>
      <c r="F872">
        <f t="shared" si="456"/>
        <v>0</v>
      </c>
      <c r="G872">
        <f t="shared" si="457"/>
        <v>0</v>
      </c>
      <c r="H872">
        <f t="shared" si="458"/>
        <v>0</v>
      </c>
      <c r="I872">
        <f t="shared" si="459"/>
        <v>0</v>
      </c>
      <c r="J872">
        <f t="shared" si="460"/>
        <v>0</v>
      </c>
      <c r="K872" s="1">
        <f t="shared" si="461"/>
        <v>0</v>
      </c>
      <c r="L872" s="1">
        <f t="shared" si="462"/>
        <v>0</v>
      </c>
      <c r="M872" s="1">
        <f t="shared" si="463"/>
        <v>0</v>
      </c>
      <c r="N872" s="1">
        <f t="shared" si="464"/>
        <v>0</v>
      </c>
      <c r="O872" s="1">
        <f t="shared" si="465"/>
        <v>0</v>
      </c>
      <c r="P872" s="1">
        <f t="shared" si="466"/>
        <v>25</v>
      </c>
      <c r="Q872" s="1" t="e">
        <f t="shared" si="467"/>
        <v>#DIV/0!</v>
      </c>
      <c r="R872" s="1" t="e">
        <f t="shared" si="468"/>
        <v>#DIV/0!</v>
      </c>
      <c r="S872" s="1" t="e">
        <f t="shared" si="469"/>
        <v>#DIV/0!</v>
      </c>
      <c r="T872" s="1" t="e">
        <f t="shared" si="470"/>
        <v>#DIV/0!</v>
      </c>
      <c r="U872" s="1" t="e">
        <f t="shared" si="471"/>
        <v>#DIV/0!</v>
      </c>
      <c r="V872">
        <f t="shared" si="472"/>
        <v>851.48</v>
      </c>
      <c r="W872">
        <f t="shared" si="473"/>
        <v>0</v>
      </c>
      <c r="X872">
        <f t="shared" si="474"/>
        <v>0</v>
      </c>
      <c r="Y872">
        <f t="shared" si="475"/>
        <v>0</v>
      </c>
      <c r="Z872">
        <f t="shared" si="476"/>
        <v>0</v>
      </c>
      <c r="AA872">
        <f t="shared" si="477"/>
        <v>0</v>
      </c>
      <c r="AC872">
        <f t="shared" si="478"/>
        <v>1045.25</v>
      </c>
      <c r="AD872">
        <f t="shared" si="479"/>
        <v>0</v>
      </c>
      <c r="AE872">
        <f t="shared" si="480"/>
        <v>0</v>
      </c>
      <c r="AF872">
        <f t="shared" si="481"/>
        <v>0</v>
      </c>
      <c r="AG872">
        <f t="shared" si="482"/>
        <v>0</v>
      </c>
      <c r="AH872">
        <f t="shared" si="483"/>
        <v>0</v>
      </c>
      <c r="AJ872">
        <f t="shared" si="484"/>
        <v>1239.01</v>
      </c>
      <c r="AK872">
        <f t="shared" si="485"/>
        <v>0</v>
      </c>
      <c r="AL872">
        <f t="shared" si="486"/>
        <v>0</v>
      </c>
      <c r="AM872">
        <f t="shared" si="487"/>
        <v>0</v>
      </c>
      <c r="AN872">
        <f t="shared" si="488"/>
        <v>0</v>
      </c>
      <c r="AO872">
        <f t="shared" si="489"/>
        <v>0</v>
      </c>
    </row>
    <row r="873" spans="1:41" x14ac:dyDescent="0.45">
      <c r="A873">
        <v>44.730164240000001</v>
      </c>
      <c r="B873">
        <v>123.7512189</v>
      </c>
      <c r="C873">
        <v>1.70243645</v>
      </c>
      <c r="D873">
        <v>0.16887700999999999</v>
      </c>
      <c r="E873">
        <f t="shared" si="455"/>
        <v>0.16887700999999999</v>
      </c>
      <c r="F873">
        <f t="shared" si="456"/>
        <v>0</v>
      </c>
      <c r="G873">
        <f t="shared" si="457"/>
        <v>0</v>
      </c>
      <c r="H873">
        <f t="shared" si="458"/>
        <v>0</v>
      </c>
      <c r="I873">
        <f t="shared" si="459"/>
        <v>0</v>
      </c>
      <c r="J873">
        <f t="shared" si="460"/>
        <v>0</v>
      </c>
      <c r="K873" s="1">
        <f t="shared" si="461"/>
        <v>0</v>
      </c>
      <c r="L873" s="1">
        <f t="shared" si="462"/>
        <v>0</v>
      </c>
      <c r="M873" s="1">
        <f t="shared" si="463"/>
        <v>0</v>
      </c>
      <c r="N873" s="1">
        <f t="shared" si="464"/>
        <v>0</v>
      </c>
      <c r="O873" s="1">
        <f t="shared" si="465"/>
        <v>0</v>
      </c>
      <c r="P873" s="1">
        <f t="shared" si="466"/>
        <v>25</v>
      </c>
      <c r="Q873" s="1" t="e">
        <f t="shared" si="467"/>
        <v>#DIV/0!</v>
      </c>
      <c r="R873" s="1" t="e">
        <f t="shared" si="468"/>
        <v>#DIV/0!</v>
      </c>
      <c r="S873" s="1" t="e">
        <f t="shared" si="469"/>
        <v>#DIV/0!</v>
      </c>
      <c r="T873" s="1" t="e">
        <f t="shared" si="470"/>
        <v>#DIV/0!</v>
      </c>
      <c r="U873" s="1" t="e">
        <f t="shared" si="471"/>
        <v>#DIV/0!</v>
      </c>
      <c r="V873">
        <f t="shared" si="472"/>
        <v>851.48</v>
      </c>
      <c r="W873">
        <f t="shared" si="473"/>
        <v>0</v>
      </c>
      <c r="X873">
        <f t="shared" si="474"/>
        <v>0</v>
      </c>
      <c r="Y873">
        <f t="shared" si="475"/>
        <v>0</v>
      </c>
      <c r="Z873">
        <f t="shared" si="476"/>
        <v>0</v>
      </c>
      <c r="AA873">
        <f t="shared" si="477"/>
        <v>0</v>
      </c>
      <c r="AC873">
        <f t="shared" si="478"/>
        <v>1045.25</v>
      </c>
      <c r="AD873">
        <f t="shared" si="479"/>
        <v>0</v>
      </c>
      <c r="AE873">
        <f t="shared" si="480"/>
        <v>0</v>
      </c>
      <c r="AF873">
        <f t="shared" si="481"/>
        <v>0</v>
      </c>
      <c r="AG873">
        <f t="shared" si="482"/>
        <v>0</v>
      </c>
      <c r="AH873">
        <f t="shared" si="483"/>
        <v>0</v>
      </c>
      <c r="AJ873">
        <f t="shared" si="484"/>
        <v>1239.01</v>
      </c>
      <c r="AK873">
        <f t="shared" si="485"/>
        <v>0</v>
      </c>
      <c r="AL873">
        <f t="shared" si="486"/>
        <v>0</v>
      </c>
      <c r="AM873">
        <f t="shared" si="487"/>
        <v>0</v>
      </c>
      <c r="AN873">
        <f t="shared" si="488"/>
        <v>0</v>
      </c>
      <c r="AO873">
        <f t="shared" si="489"/>
        <v>0</v>
      </c>
    </row>
    <row r="874" spans="1:41" x14ac:dyDescent="0.45">
      <c r="A874">
        <v>44.754593020000002</v>
      </c>
      <c r="B874">
        <v>115.9170534</v>
      </c>
      <c r="C874">
        <v>6.8444890999999997</v>
      </c>
      <c r="D874">
        <v>4.1065659500000002</v>
      </c>
      <c r="E874">
        <f t="shared" si="455"/>
        <v>4.1065659500000002</v>
      </c>
      <c r="F874">
        <f t="shared" si="456"/>
        <v>0</v>
      </c>
      <c r="G874">
        <f t="shared" si="457"/>
        <v>0</v>
      </c>
      <c r="H874">
        <f t="shared" si="458"/>
        <v>0</v>
      </c>
      <c r="I874">
        <f t="shared" si="459"/>
        <v>0</v>
      </c>
      <c r="J874">
        <f t="shared" si="460"/>
        <v>0</v>
      </c>
      <c r="K874" s="1">
        <f t="shared" si="461"/>
        <v>0</v>
      </c>
      <c r="L874" s="1">
        <f t="shared" si="462"/>
        <v>0</v>
      </c>
      <c r="M874" s="1">
        <f t="shared" si="463"/>
        <v>0</v>
      </c>
      <c r="N874" s="1">
        <f t="shared" si="464"/>
        <v>0</v>
      </c>
      <c r="O874" s="1">
        <f t="shared" si="465"/>
        <v>0</v>
      </c>
      <c r="P874" s="1">
        <f t="shared" si="466"/>
        <v>25</v>
      </c>
      <c r="Q874" s="1" t="e">
        <f t="shared" si="467"/>
        <v>#DIV/0!</v>
      </c>
      <c r="R874" s="1" t="e">
        <f t="shared" si="468"/>
        <v>#DIV/0!</v>
      </c>
      <c r="S874" s="1" t="e">
        <f t="shared" si="469"/>
        <v>#DIV/0!</v>
      </c>
      <c r="T874" s="1" t="e">
        <f t="shared" si="470"/>
        <v>#DIV/0!</v>
      </c>
      <c r="U874" s="1" t="e">
        <f t="shared" si="471"/>
        <v>#DIV/0!</v>
      </c>
      <c r="V874">
        <f t="shared" si="472"/>
        <v>851.48</v>
      </c>
      <c r="W874">
        <f t="shared" si="473"/>
        <v>0</v>
      </c>
      <c r="X874">
        <f t="shared" si="474"/>
        <v>0</v>
      </c>
      <c r="Y874">
        <f t="shared" si="475"/>
        <v>0</v>
      </c>
      <c r="Z874">
        <f t="shared" si="476"/>
        <v>0</v>
      </c>
      <c r="AA874">
        <f t="shared" si="477"/>
        <v>0</v>
      </c>
      <c r="AC874">
        <f t="shared" si="478"/>
        <v>1045.25</v>
      </c>
      <c r="AD874">
        <f t="shared" si="479"/>
        <v>0</v>
      </c>
      <c r="AE874">
        <f t="shared" si="480"/>
        <v>0</v>
      </c>
      <c r="AF874">
        <f t="shared" si="481"/>
        <v>0</v>
      </c>
      <c r="AG874">
        <f t="shared" si="482"/>
        <v>0</v>
      </c>
      <c r="AH874">
        <f t="shared" si="483"/>
        <v>0</v>
      </c>
      <c r="AJ874">
        <f t="shared" si="484"/>
        <v>1239.01</v>
      </c>
      <c r="AK874">
        <f t="shared" si="485"/>
        <v>0</v>
      </c>
      <c r="AL874">
        <f t="shared" si="486"/>
        <v>0</v>
      </c>
      <c r="AM874">
        <f t="shared" si="487"/>
        <v>0</v>
      </c>
      <c r="AN874">
        <f t="shared" si="488"/>
        <v>0</v>
      </c>
      <c r="AO874">
        <f t="shared" si="489"/>
        <v>0</v>
      </c>
    </row>
    <row r="875" spans="1:41" x14ac:dyDescent="0.45">
      <c r="A875">
        <v>44.758135209999999</v>
      </c>
      <c r="B875">
        <v>123.8878746</v>
      </c>
      <c r="C875">
        <v>14.23618984</v>
      </c>
      <c r="D875">
        <v>47.46687317</v>
      </c>
      <c r="E875">
        <f t="shared" si="455"/>
        <v>14.23618984</v>
      </c>
      <c r="F875">
        <f t="shared" si="456"/>
        <v>0</v>
      </c>
      <c r="G875">
        <f t="shared" si="457"/>
        <v>0</v>
      </c>
      <c r="H875">
        <f t="shared" si="458"/>
        <v>0</v>
      </c>
      <c r="I875">
        <f t="shared" si="459"/>
        <v>0</v>
      </c>
      <c r="J875">
        <f t="shared" si="460"/>
        <v>0</v>
      </c>
      <c r="K875" s="1">
        <f t="shared" si="461"/>
        <v>0</v>
      </c>
      <c r="L875" s="1">
        <f t="shared" si="462"/>
        <v>0</v>
      </c>
      <c r="M875" s="1">
        <f t="shared" si="463"/>
        <v>0</v>
      </c>
      <c r="N875" s="1">
        <f t="shared" si="464"/>
        <v>0</v>
      </c>
      <c r="O875" s="1">
        <f t="shared" si="465"/>
        <v>0</v>
      </c>
      <c r="P875" s="1">
        <f t="shared" si="466"/>
        <v>7.4979606245675106</v>
      </c>
      <c r="Q875" s="1" t="e">
        <f t="shared" si="467"/>
        <v>#DIV/0!</v>
      </c>
      <c r="R875" s="1" t="e">
        <f t="shared" si="468"/>
        <v>#DIV/0!</v>
      </c>
      <c r="S875" s="1" t="e">
        <f t="shared" si="469"/>
        <v>#DIV/0!</v>
      </c>
      <c r="T875" s="1" t="e">
        <f t="shared" si="470"/>
        <v>#DIV/0!</v>
      </c>
      <c r="U875" s="1" t="e">
        <f t="shared" si="471"/>
        <v>#DIV/0!</v>
      </c>
      <c r="V875">
        <f t="shared" si="472"/>
        <v>282.6637202984441</v>
      </c>
      <c r="W875">
        <f t="shared" si="473"/>
        <v>0</v>
      </c>
      <c r="X875">
        <f t="shared" si="474"/>
        <v>0</v>
      </c>
      <c r="Y875">
        <f t="shared" si="475"/>
        <v>0</v>
      </c>
      <c r="Z875">
        <f t="shared" si="476"/>
        <v>0</v>
      </c>
      <c r="AA875">
        <f t="shared" si="477"/>
        <v>0</v>
      </c>
      <c r="AC875">
        <f t="shared" si="478"/>
        <v>345.1684249827004</v>
      </c>
      <c r="AD875">
        <f t="shared" si="479"/>
        <v>0</v>
      </c>
      <c r="AE875">
        <f t="shared" si="480"/>
        <v>0</v>
      </c>
      <c r="AF875">
        <f t="shared" si="481"/>
        <v>0</v>
      </c>
      <c r="AG875">
        <f t="shared" si="482"/>
        <v>0</v>
      </c>
      <c r="AH875">
        <f t="shared" si="483"/>
        <v>0</v>
      </c>
      <c r="AJ875">
        <f t="shared" si="484"/>
        <v>407.66312966695676</v>
      </c>
      <c r="AK875">
        <f t="shared" si="485"/>
        <v>0</v>
      </c>
      <c r="AL875">
        <f t="shared" si="486"/>
        <v>0</v>
      </c>
      <c r="AM875">
        <f t="shared" si="487"/>
        <v>0</v>
      </c>
      <c r="AN875">
        <f t="shared" si="488"/>
        <v>0</v>
      </c>
      <c r="AO875">
        <f t="shared" si="489"/>
        <v>0</v>
      </c>
    </row>
    <row r="876" spans="1:41" x14ac:dyDescent="0.45">
      <c r="A876">
        <v>44.799666369999997</v>
      </c>
      <c r="B876">
        <v>115.9235575</v>
      </c>
      <c r="C876">
        <v>6.8444890999999997</v>
      </c>
      <c r="D876">
        <v>14.67003345</v>
      </c>
      <c r="E876">
        <f t="shared" si="455"/>
        <v>6.8444890999999997</v>
      </c>
      <c r="F876">
        <f t="shared" si="456"/>
        <v>0</v>
      </c>
      <c r="G876">
        <f t="shared" si="457"/>
        <v>0</v>
      </c>
      <c r="H876">
        <f t="shared" si="458"/>
        <v>0</v>
      </c>
      <c r="I876">
        <f t="shared" si="459"/>
        <v>0</v>
      </c>
      <c r="J876">
        <f t="shared" si="460"/>
        <v>0</v>
      </c>
      <c r="K876" s="1">
        <f t="shared" si="461"/>
        <v>0</v>
      </c>
      <c r="L876" s="1">
        <f t="shared" si="462"/>
        <v>0</v>
      </c>
      <c r="M876" s="1">
        <f t="shared" si="463"/>
        <v>0</v>
      </c>
      <c r="N876" s="1">
        <f t="shared" si="464"/>
        <v>0</v>
      </c>
      <c r="O876" s="1">
        <f t="shared" si="465"/>
        <v>0</v>
      </c>
      <c r="P876" s="1">
        <f t="shared" si="466"/>
        <v>11.664065258147042</v>
      </c>
      <c r="Q876" s="1" t="e">
        <f t="shared" si="467"/>
        <v>#DIV/0!</v>
      </c>
      <c r="R876" s="1" t="e">
        <f t="shared" si="468"/>
        <v>#DIV/0!</v>
      </c>
      <c r="S876" s="1" t="e">
        <f t="shared" si="469"/>
        <v>#DIV/0!</v>
      </c>
      <c r="T876" s="1" t="e">
        <f t="shared" si="470"/>
        <v>#DIV/0!</v>
      </c>
      <c r="U876" s="1" t="e">
        <f t="shared" si="471"/>
        <v>#DIV/0!</v>
      </c>
      <c r="V876">
        <f t="shared" si="472"/>
        <v>418.0621208897789</v>
      </c>
      <c r="W876">
        <f t="shared" si="473"/>
        <v>0</v>
      </c>
      <c r="X876">
        <f t="shared" si="474"/>
        <v>0</v>
      </c>
      <c r="Y876">
        <f t="shared" si="475"/>
        <v>0</v>
      </c>
      <c r="Z876">
        <f t="shared" si="476"/>
        <v>0</v>
      </c>
      <c r="AA876">
        <f t="shared" si="477"/>
        <v>0</v>
      </c>
      <c r="AC876">
        <f t="shared" si="478"/>
        <v>511.81261032588168</v>
      </c>
      <c r="AD876">
        <f t="shared" si="479"/>
        <v>0</v>
      </c>
      <c r="AE876">
        <f t="shared" si="480"/>
        <v>0</v>
      </c>
      <c r="AF876">
        <f t="shared" si="481"/>
        <v>0</v>
      </c>
      <c r="AG876">
        <f t="shared" si="482"/>
        <v>0</v>
      </c>
      <c r="AH876">
        <f t="shared" si="483"/>
        <v>0</v>
      </c>
      <c r="AJ876">
        <f t="shared" si="484"/>
        <v>605.55309976198453</v>
      </c>
      <c r="AK876">
        <f t="shared" si="485"/>
        <v>0</v>
      </c>
      <c r="AL876">
        <f t="shared" si="486"/>
        <v>0</v>
      </c>
      <c r="AM876">
        <f t="shared" si="487"/>
        <v>0</v>
      </c>
      <c r="AN876">
        <f t="shared" si="488"/>
        <v>0</v>
      </c>
      <c r="AO876">
        <f t="shared" si="489"/>
        <v>0</v>
      </c>
    </row>
    <row r="877" spans="1:41" x14ac:dyDescent="0.45">
      <c r="A877">
        <v>44.818424319999998</v>
      </c>
      <c r="B877">
        <v>88.571356649999998</v>
      </c>
      <c r="C877">
        <v>0.99019259000000004</v>
      </c>
      <c r="D877">
        <v>1.6505880399999999</v>
      </c>
      <c r="E877">
        <f t="shared" si="455"/>
        <v>0.99019259000000004</v>
      </c>
      <c r="F877">
        <f t="shared" si="456"/>
        <v>0</v>
      </c>
      <c r="G877">
        <f t="shared" si="457"/>
        <v>0</v>
      </c>
      <c r="H877">
        <f t="shared" si="458"/>
        <v>0</v>
      </c>
      <c r="I877">
        <f t="shared" si="459"/>
        <v>0</v>
      </c>
      <c r="J877">
        <f t="shared" si="460"/>
        <v>0</v>
      </c>
      <c r="K877" s="1">
        <f t="shared" si="461"/>
        <v>0</v>
      </c>
      <c r="L877" s="1">
        <f t="shared" si="462"/>
        <v>0</v>
      </c>
      <c r="M877" s="1">
        <f t="shared" si="463"/>
        <v>0</v>
      </c>
      <c r="N877" s="1">
        <f t="shared" si="464"/>
        <v>0</v>
      </c>
      <c r="O877" s="1">
        <f t="shared" si="465"/>
        <v>0</v>
      </c>
      <c r="P877" s="1">
        <f t="shared" si="466"/>
        <v>14.997573077047138</v>
      </c>
      <c r="Q877" s="1" t="e">
        <f t="shared" si="467"/>
        <v>#DIV/0!</v>
      </c>
      <c r="R877" s="1" t="e">
        <f t="shared" si="468"/>
        <v>#DIV/0!</v>
      </c>
      <c r="S877" s="1" t="e">
        <f t="shared" si="469"/>
        <v>#DIV/0!</v>
      </c>
      <c r="T877" s="1" t="e">
        <f t="shared" si="470"/>
        <v>#DIV/0!</v>
      </c>
      <c r="U877" s="1" t="e">
        <f t="shared" si="471"/>
        <v>#DIV/0!</v>
      </c>
      <c r="V877">
        <f t="shared" si="472"/>
        <v>526.401125004032</v>
      </c>
      <c r="W877">
        <f t="shared" si="473"/>
        <v>0</v>
      </c>
      <c r="X877">
        <f t="shared" si="474"/>
        <v>0</v>
      </c>
      <c r="Y877">
        <f t="shared" si="475"/>
        <v>0</v>
      </c>
      <c r="Z877">
        <f t="shared" si="476"/>
        <v>0</v>
      </c>
      <c r="AA877">
        <f t="shared" si="477"/>
        <v>0</v>
      </c>
      <c r="AC877">
        <f t="shared" si="478"/>
        <v>645.15292308188555</v>
      </c>
      <c r="AD877">
        <f t="shared" si="479"/>
        <v>0</v>
      </c>
      <c r="AE877">
        <f t="shared" si="480"/>
        <v>0</v>
      </c>
      <c r="AF877">
        <f t="shared" si="481"/>
        <v>0</v>
      </c>
      <c r="AG877">
        <f t="shared" si="482"/>
        <v>0</v>
      </c>
      <c r="AH877">
        <f t="shared" si="483"/>
        <v>0</v>
      </c>
      <c r="AJ877">
        <f t="shared" si="484"/>
        <v>763.89472115973899</v>
      </c>
      <c r="AK877">
        <f t="shared" si="485"/>
        <v>0</v>
      </c>
      <c r="AL877">
        <f t="shared" si="486"/>
        <v>0</v>
      </c>
      <c r="AM877">
        <f t="shared" si="487"/>
        <v>0</v>
      </c>
      <c r="AN877">
        <f t="shared" si="488"/>
        <v>0</v>
      </c>
      <c r="AO877">
        <f t="shared" si="489"/>
        <v>0</v>
      </c>
    </row>
    <row r="878" spans="1:41" x14ac:dyDescent="0.45">
      <c r="A878">
        <v>44.851422579999998</v>
      </c>
      <c r="B878">
        <v>124.5606665</v>
      </c>
      <c r="C878">
        <v>14.23618984</v>
      </c>
      <c r="D878">
        <v>0.97934401000000004</v>
      </c>
      <c r="E878">
        <f t="shared" si="455"/>
        <v>0.97934401000000004</v>
      </c>
      <c r="F878">
        <f t="shared" si="456"/>
        <v>0</v>
      </c>
      <c r="G878">
        <f t="shared" si="457"/>
        <v>0</v>
      </c>
      <c r="H878">
        <f t="shared" si="458"/>
        <v>0</v>
      </c>
      <c r="I878">
        <f t="shared" si="459"/>
        <v>0</v>
      </c>
      <c r="J878">
        <f t="shared" si="460"/>
        <v>0</v>
      </c>
      <c r="K878" s="1">
        <f t="shared" si="461"/>
        <v>0</v>
      </c>
      <c r="L878" s="1">
        <f t="shared" si="462"/>
        <v>0</v>
      </c>
      <c r="M878" s="1">
        <f t="shared" si="463"/>
        <v>0</v>
      </c>
      <c r="N878" s="1">
        <f t="shared" si="464"/>
        <v>0</v>
      </c>
      <c r="O878" s="1">
        <f t="shared" si="465"/>
        <v>0</v>
      </c>
      <c r="P878" s="1">
        <f t="shared" si="466"/>
        <v>25</v>
      </c>
      <c r="Q878" s="1" t="e">
        <f t="shared" si="467"/>
        <v>#DIV/0!</v>
      </c>
      <c r="R878" s="1" t="e">
        <f t="shared" si="468"/>
        <v>#DIV/0!</v>
      </c>
      <c r="S878" s="1" t="e">
        <f t="shared" si="469"/>
        <v>#DIV/0!</v>
      </c>
      <c r="T878" s="1" t="e">
        <f t="shared" si="470"/>
        <v>#DIV/0!</v>
      </c>
      <c r="U878" s="1" t="e">
        <f t="shared" si="471"/>
        <v>#DIV/0!</v>
      </c>
      <c r="V878">
        <f t="shared" si="472"/>
        <v>851.48</v>
      </c>
      <c r="W878">
        <f t="shared" si="473"/>
        <v>0</v>
      </c>
      <c r="X878">
        <f t="shared" si="474"/>
        <v>0</v>
      </c>
      <c r="Y878">
        <f t="shared" si="475"/>
        <v>0</v>
      </c>
      <c r="Z878">
        <f t="shared" si="476"/>
        <v>0</v>
      </c>
      <c r="AA878">
        <f t="shared" si="477"/>
        <v>0</v>
      </c>
      <c r="AC878">
        <f t="shared" si="478"/>
        <v>1045.25</v>
      </c>
      <c r="AD878">
        <f t="shared" si="479"/>
        <v>0</v>
      </c>
      <c r="AE878">
        <f t="shared" si="480"/>
        <v>0</v>
      </c>
      <c r="AF878">
        <f t="shared" si="481"/>
        <v>0</v>
      </c>
      <c r="AG878">
        <f t="shared" si="482"/>
        <v>0</v>
      </c>
      <c r="AH878">
        <f t="shared" si="483"/>
        <v>0</v>
      </c>
      <c r="AJ878">
        <f t="shared" si="484"/>
        <v>1239.01</v>
      </c>
      <c r="AK878">
        <f t="shared" si="485"/>
        <v>0</v>
      </c>
      <c r="AL878">
        <f t="shared" si="486"/>
        <v>0</v>
      </c>
      <c r="AM878">
        <f t="shared" si="487"/>
        <v>0</v>
      </c>
      <c r="AN878">
        <f t="shared" si="488"/>
        <v>0</v>
      </c>
      <c r="AO878">
        <f t="shared" si="489"/>
        <v>0</v>
      </c>
    </row>
    <row r="879" spans="1:41" x14ac:dyDescent="0.45">
      <c r="A879">
        <v>44.899499050000003</v>
      </c>
      <c r="B879">
        <v>84.648643669999998</v>
      </c>
      <c r="C879">
        <v>10.58811188</v>
      </c>
      <c r="D879">
        <v>5.7098188399999996</v>
      </c>
      <c r="E879">
        <f t="shared" si="455"/>
        <v>5.7098188399999996</v>
      </c>
      <c r="F879">
        <f t="shared" si="456"/>
        <v>0</v>
      </c>
      <c r="G879">
        <f t="shared" si="457"/>
        <v>0</v>
      </c>
      <c r="H879">
        <f t="shared" si="458"/>
        <v>0</v>
      </c>
      <c r="I879">
        <f t="shared" si="459"/>
        <v>0</v>
      </c>
      <c r="J879">
        <f t="shared" si="460"/>
        <v>0</v>
      </c>
      <c r="K879" s="1">
        <f t="shared" si="461"/>
        <v>0</v>
      </c>
      <c r="L879" s="1">
        <f t="shared" si="462"/>
        <v>0</v>
      </c>
      <c r="M879" s="1">
        <f t="shared" si="463"/>
        <v>0</v>
      </c>
      <c r="N879" s="1">
        <f t="shared" si="464"/>
        <v>0</v>
      </c>
      <c r="O879" s="1">
        <f t="shared" si="465"/>
        <v>0</v>
      </c>
      <c r="P879" s="1">
        <f t="shared" si="466"/>
        <v>25</v>
      </c>
      <c r="Q879" s="1" t="e">
        <f t="shared" si="467"/>
        <v>#DIV/0!</v>
      </c>
      <c r="R879" s="1" t="e">
        <f t="shared" si="468"/>
        <v>#DIV/0!</v>
      </c>
      <c r="S879" s="1" t="e">
        <f t="shared" si="469"/>
        <v>#DIV/0!</v>
      </c>
      <c r="T879" s="1" t="e">
        <f t="shared" si="470"/>
        <v>#DIV/0!</v>
      </c>
      <c r="U879" s="1" t="e">
        <f t="shared" si="471"/>
        <v>#DIV/0!</v>
      </c>
      <c r="V879">
        <f t="shared" si="472"/>
        <v>851.48</v>
      </c>
      <c r="W879">
        <f t="shared" si="473"/>
        <v>0</v>
      </c>
      <c r="X879">
        <f t="shared" si="474"/>
        <v>0</v>
      </c>
      <c r="Y879">
        <f t="shared" si="475"/>
        <v>0</v>
      </c>
      <c r="Z879">
        <f t="shared" si="476"/>
        <v>0</v>
      </c>
      <c r="AA879">
        <f t="shared" si="477"/>
        <v>0</v>
      </c>
      <c r="AC879">
        <f t="shared" si="478"/>
        <v>1045.25</v>
      </c>
      <c r="AD879">
        <f t="shared" si="479"/>
        <v>0</v>
      </c>
      <c r="AE879">
        <f t="shared" si="480"/>
        <v>0</v>
      </c>
      <c r="AF879">
        <f t="shared" si="481"/>
        <v>0</v>
      </c>
      <c r="AG879">
        <f t="shared" si="482"/>
        <v>0</v>
      </c>
      <c r="AH879">
        <f t="shared" si="483"/>
        <v>0</v>
      </c>
      <c r="AJ879">
        <f t="shared" si="484"/>
        <v>1239.01</v>
      </c>
      <c r="AK879">
        <f t="shared" si="485"/>
        <v>0</v>
      </c>
      <c r="AL879">
        <f t="shared" si="486"/>
        <v>0</v>
      </c>
      <c r="AM879">
        <f t="shared" si="487"/>
        <v>0</v>
      </c>
      <c r="AN879">
        <f t="shared" si="488"/>
        <v>0</v>
      </c>
      <c r="AO879">
        <f t="shared" si="489"/>
        <v>0</v>
      </c>
    </row>
    <row r="880" spans="1:41" x14ac:dyDescent="0.45">
      <c r="A880">
        <v>44.93143809</v>
      </c>
      <c r="B880">
        <v>83.984664339999995</v>
      </c>
      <c r="C880">
        <v>0.81119478</v>
      </c>
      <c r="D880">
        <v>3.6082000000000003E-2</v>
      </c>
      <c r="E880">
        <f t="shared" si="455"/>
        <v>3.6082000000000003E-2</v>
      </c>
      <c r="F880">
        <f t="shared" si="456"/>
        <v>0</v>
      </c>
      <c r="G880">
        <f t="shared" si="457"/>
        <v>0</v>
      </c>
      <c r="H880">
        <f t="shared" si="458"/>
        <v>0</v>
      </c>
      <c r="I880">
        <f t="shared" si="459"/>
        <v>0</v>
      </c>
      <c r="J880">
        <f t="shared" si="460"/>
        <v>0</v>
      </c>
      <c r="K880" s="1">
        <f t="shared" si="461"/>
        <v>0</v>
      </c>
      <c r="L880" s="1">
        <f t="shared" si="462"/>
        <v>0</v>
      </c>
      <c r="M880" s="1">
        <f t="shared" si="463"/>
        <v>0</v>
      </c>
      <c r="N880" s="1">
        <f t="shared" si="464"/>
        <v>0</v>
      </c>
      <c r="O880" s="1">
        <f t="shared" si="465"/>
        <v>0</v>
      </c>
      <c r="P880" s="1">
        <f t="shared" si="466"/>
        <v>25</v>
      </c>
      <c r="Q880" s="1" t="e">
        <f t="shared" si="467"/>
        <v>#DIV/0!</v>
      </c>
      <c r="R880" s="1" t="e">
        <f t="shared" si="468"/>
        <v>#DIV/0!</v>
      </c>
      <c r="S880" s="1" t="e">
        <f t="shared" si="469"/>
        <v>#DIV/0!</v>
      </c>
      <c r="T880" s="1" t="e">
        <f t="shared" si="470"/>
        <v>#DIV/0!</v>
      </c>
      <c r="U880" s="1" t="e">
        <f t="shared" si="471"/>
        <v>#DIV/0!</v>
      </c>
      <c r="V880">
        <f t="shared" si="472"/>
        <v>851.48</v>
      </c>
      <c r="W880">
        <f t="shared" si="473"/>
        <v>0</v>
      </c>
      <c r="X880">
        <f t="shared" si="474"/>
        <v>0</v>
      </c>
      <c r="Y880">
        <f t="shared" si="475"/>
        <v>0</v>
      </c>
      <c r="Z880">
        <f t="shared" si="476"/>
        <v>0</v>
      </c>
      <c r="AA880">
        <f t="shared" si="477"/>
        <v>0</v>
      </c>
      <c r="AC880">
        <f t="shared" si="478"/>
        <v>1045.25</v>
      </c>
      <c r="AD880">
        <f t="shared" si="479"/>
        <v>0</v>
      </c>
      <c r="AE880">
        <f t="shared" si="480"/>
        <v>0</v>
      </c>
      <c r="AF880">
        <f t="shared" si="481"/>
        <v>0</v>
      </c>
      <c r="AG880">
        <f t="shared" si="482"/>
        <v>0</v>
      </c>
      <c r="AH880">
        <f t="shared" si="483"/>
        <v>0</v>
      </c>
      <c r="AJ880">
        <f t="shared" si="484"/>
        <v>1239.01</v>
      </c>
      <c r="AK880">
        <f t="shared" si="485"/>
        <v>0</v>
      </c>
      <c r="AL880">
        <f t="shared" si="486"/>
        <v>0</v>
      </c>
      <c r="AM880">
        <f t="shared" si="487"/>
        <v>0</v>
      </c>
      <c r="AN880">
        <f t="shared" si="488"/>
        <v>0</v>
      </c>
      <c r="AO880">
        <f t="shared" si="489"/>
        <v>0</v>
      </c>
    </row>
    <row r="881" spans="1:41" x14ac:dyDescent="0.45">
      <c r="A881">
        <v>44.961134770000001</v>
      </c>
      <c r="B881">
        <v>123.7466235</v>
      </c>
      <c r="C881">
        <v>1.70243645</v>
      </c>
      <c r="D881">
        <v>3.3127219700000001</v>
      </c>
      <c r="E881">
        <f t="shared" si="455"/>
        <v>1.70243645</v>
      </c>
      <c r="F881">
        <f t="shared" si="456"/>
        <v>0</v>
      </c>
      <c r="G881">
        <f t="shared" si="457"/>
        <v>0</v>
      </c>
      <c r="H881">
        <f t="shared" si="458"/>
        <v>0</v>
      </c>
      <c r="I881">
        <f t="shared" si="459"/>
        <v>0</v>
      </c>
      <c r="J881">
        <f t="shared" si="460"/>
        <v>0</v>
      </c>
      <c r="K881" s="1">
        <f t="shared" si="461"/>
        <v>0</v>
      </c>
      <c r="L881" s="1">
        <f t="shared" si="462"/>
        <v>0</v>
      </c>
      <c r="M881" s="1">
        <f t="shared" si="463"/>
        <v>0</v>
      </c>
      <c r="N881" s="1">
        <f t="shared" si="464"/>
        <v>0</v>
      </c>
      <c r="O881" s="1">
        <f t="shared" si="465"/>
        <v>0</v>
      </c>
      <c r="P881" s="1">
        <f t="shared" si="466"/>
        <v>12.847716058103117</v>
      </c>
      <c r="Q881" s="1" t="e">
        <f t="shared" si="467"/>
        <v>#DIV/0!</v>
      </c>
      <c r="R881" s="1" t="e">
        <f t="shared" si="468"/>
        <v>#DIV/0!</v>
      </c>
      <c r="S881" s="1" t="e">
        <f t="shared" si="469"/>
        <v>#DIV/0!</v>
      </c>
      <c r="T881" s="1" t="e">
        <f t="shared" si="470"/>
        <v>#DIV/0!</v>
      </c>
      <c r="U881" s="1" t="e">
        <f t="shared" si="471"/>
        <v>#DIV/0!</v>
      </c>
      <c r="V881">
        <f t="shared" si="472"/>
        <v>456.5307718883513</v>
      </c>
      <c r="W881">
        <f t="shared" si="473"/>
        <v>0</v>
      </c>
      <c r="X881">
        <f t="shared" si="474"/>
        <v>0</v>
      </c>
      <c r="Y881">
        <f t="shared" si="475"/>
        <v>0</v>
      </c>
      <c r="Z881">
        <f t="shared" si="476"/>
        <v>0</v>
      </c>
      <c r="AA881">
        <f t="shared" si="477"/>
        <v>0</v>
      </c>
      <c r="AC881">
        <f t="shared" si="478"/>
        <v>559.15864232412468</v>
      </c>
      <c r="AD881">
        <f t="shared" si="479"/>
        <v>0</v>
      </c>
      <c r="AE881">
        <f t="shared" si="480"/>
        <v>0</v>
      </c>
      <c r="AF881">
        <f t="shared" si="481"/>
        <v>0</v>
      </c>
      <c r="AG881">
        <f t="shared" si="482"/>
        <v>0</v>
      </c>
      <c r="AH881">
        <f t="shared" si="483"/>
        <v>0</v>
      </c>
      <c r="AJ881">
        <f t="shared" si="484"/>
        <v>661.77651275989808</v>
      </c>
      <c r="AK881">
        <f t="shared" si="485"/>
        <v>0</v>
      </c>
      <c r="AL881">
        <f t="shared" si="486"/>
        <v>0</v>
      </c>
      <c r="AM881">
        <f t="shared" si="487"/>
        <v>0</v>
      </c>
      <c r="AN881">
        <f t="shared" si="488"/>
        <v>0</v>
      </c>
      <c r="AO881">
        <f t="shared" si="489"/>
        <v>0</v>
      </c>
    </row>
    <row r="882" spans="1:41" x14ac:dyDescent="0.45">
      <c r="A882">
        <v>44.97155996</v>
      </c>
      <c r="B882">
        <v>89.050645549999999</v>
      </c>
      <c r="C882">
        <v>4.0650010099999996</v>
      </c>
      <c r="D882">
        <v>6.6617870300000002</v>
      </c>
      <c r="E882">
        <f t="shared" si="455"/>
        <v>4.0650010099999996</v>
      </c>
      <c r="F882">
        <f t="shared" si="456"/>
        <v>0</v>
      </c>
      <c r="G882">
        <f t="shared" si="457"/>
        <v>0</v>
      </c>
      <c r="H882">
        <f t="shared" si="458"/>
        <v>0</v>
      </c>
      <c r="I882">
        <f t="shared" si="459"/>
        <v>0</v>
      </c>
      <c r="J882">
        <f t="shared" si="460"/>
        <v>0</v>
      </c>
      <c r="K882" s="1">
        <f t="shared" si="461"/>
        <v>0</v>
      </c>
      <c r="L882" s="1">
        <f t="shared" si="462"/>
        <v>0</v>
      </c>
      <c r="M882" s="1">
        <f t="shared" si="463"/>
        <v>0</v>
      </c>
      <c r="N882" s="1">
        <f t="shared" si="464"/>
        <v>0</v>
      </c>
      <c r="O882" s="1">
        <f t="shared" si="465"/>
        <v>0</v>
      </c>
      <c r="P882" s="1">
        <f t="shared" si="466"/>
        <v>15.25491955722277</v>
      </c>
      <c r="Q882" s="1" t="e">
        <f t="shared" si="467"/>
        <v>#DIV/0!</v>
      </c>
      <c r="R882" s="1" t="e">
        <f t="shared" si="468"/>
        <v>#DIV/0!</v>
      </c>
      <c r="S882" s="1" t="e">
        <f t="shared" si="469"/>
        <v>#DIV/0!</v>
      </c>
      <c r="T882" s="1" t="e">
        <f t="shared" si="470"/>
        <v>#DIV/0!</v>
      </c>
      <c r="U882" s="1" t="e">
        <f t="shared" si="471"/>
        <v>#DIV/0!</v>
      </c>
      <c r="V882">
        <f t="shared" si="472"/>
        <v>534.76488560974008</v>
      </c>
      <c r="W882">
        <f t="shared" si="473"/>
        <v>0</v>
      </c>
      <c r="X882">
        <f t="shared" si="474"/>
        <v>0</v>
      </c>
      <c r="Y882">
        <f t="shared" si="475"/>
        <v>0</v>
      </c>
      <c r="Z882">
        <f t="shared" si="476"/>
        <v>0</v>
      </c>
      <c r="AA882">
        <f t="shared" si="477"/>
        <v>0</v>
      </c>
      <c r="AC882">
        <f t="shared" si="478"/>
        <v>655.44678228891075</v>
      </c>
      <c r="AD882">
        <f t="shared" si="479"/>
        <v>0</v>
      </c>
      <c r="AE882">
        <f t="shared" si="480"/>
        <v>0</v>
      </c>
      <c r="AF882">
        <f t="shared" si="481"/>
        <v>0</v>
      </c>
      <c r="AG882">
        <f t="shared" si="482"/>
        <v>0</v>
      </c>
      <c r="AH882">
        <f t="shared" si="483"/>
        <v>0</v>
      </c>
      <c r="AJ882">
        <f t="shared" si="484"/>
        <v>776.11867896808155</v>
      </c>
      <c r="AK882">
        <f t="shared" si="485"/>
        <v>0</v>
      </c>
      <c r="AL882">
        <f t="shared" si="486"/>
        <v>0</v>
      </c>
      <c r="AM882">
        <f t="shared" si="487"/>
        <v>0</v>
      </c>
      <c r="AN882">
        <f t="shared" si="488"/>
        <v>0</v>
      </c>
      <c r="AO882">
        <f t="shared" si="489"/>
        <v>0</v>
      </c>
    </row>
    <row r="883" spans="1:41" x14ac:dyDescent="0.45">
      <c r="A883">
        <v>44.980356919999998</v>
      </c>
      <c r="B883">
        <v>88.400135579999997</v>
      </c>
      <c r="C883">
        <v>0.99019259000000004</v>
      </c>
      <c r="D883">
        <v>33.434310910000001</v>
      </c>
      <c r="E883">
        <f t="shared" si="455"/>
        <v>0.99019259000000004</v>
      </c>
      <c r="F883">
        <f t="shared" si="456"/>
        <v>28.48334796</v>
      </c>
      <c r="G883">
        <f t="shared" si="457"/>
        <v>23.532385009999999</v>
      </c>
      <c r="H883">
        <f t="shared" si="458"/>
        <v>18.581422060000001</v>
      </c>
      <c r="I883">
        <f t="shared" si="459"/>
        <v>13.63045911</v>
      </c>
      <c r="J883">
        <f t="shared" si="460"/>
        <v>8.6794961599999993</v>
      </c>
      <c r="K883" s="1">
        <f t="shared" si="461"/>
        <v>0.99019259000000004</v>
      </c>
      <c r="L883" s="1">
        <f t="shared" si="462"/>
        <v>0.99019259000000004</v>
      </c>
      <c r="M883" s="1">
        <f t="shared" si="463"/>
        <v>0.99019259000000004</v>
      </c>
      <c r="N883" s="1">
        <f t="shared" si="464"/>
        <v>0.99019259000000004</v>
      </c>
      <c r="O883" s="1">
        <f t="shared" si="465"/>
        <v>0.99019259000000004</v>
      </c>
      <c r="P883" s="1">
        <f t="shared" si="466"/>
        <v>1</v>
      </c>
      <c r="Q883" s="1">
        <f t="shared" si="467"/>
        <v>1</v>
      </c>
      <c r="R883" s="1">
        <f t="shared" si="468"/>
        <v>1.0519466998130675</v>
      </c>
      <c r="S883" s="1">
        <f t="shared" si="469"/>
        <v>1.332234673431663</v>
      </c>
      <c r="T883" s="1">
        <f t="shared" si="470"/>
        <v>1.8161394675135047</v>
      </c>
      <c r="U883" s="1">
        <f t="shared" si="471"/>
        <v>2.8521027365717511</v>
      </c>
      <c r="V883">
        <f t="shared" si="472"/>
        <v>71.48</v>
      </c>
      <c r="W883">
        <f t="shared" si="473"/>
        <v>76.489999999999995</v>
      </c>
      <c r="X883">
        <f t="shared" si="474"/>
        <v>60.445866835791577</v>
      </c>
      <c r="Y883">
        <f t="shared" si="475"/>
        <v>44.744693468633258</v>
      </c>
      <c r="Z883">
        <f t="shared" si="476"/>
        <v>46.402440681486333</v>
      </c>
      <c r="AA883">
        <f t="shared" si="477"/>
        <v>62.441797890005645</v>
      </c>
      <c r="AC883">
        <f t="shared" si="478"/>
        <v>85.25</v>
      </c>
      <c r="AD883">
        <f t="shared" si="479"/>
        <v>76.489999999999995</v>
      </c>
      <c r="AE883">
        <f t="shared" si="480"/>
        <v>65.858267743924699</v>
      </c>
      <c r="AF883">
        <f t="shared" si="481"/>
        <v>59.807040202949892</v>
      </c>
      <c r="AG883">
        <f t="shared" si="482"/>
        <v>49.156139467513512</v>
      </c>
      <c r="AH883">
        <f t="shared" si="483"/>
        <v>87.662568414293773</v>
      </c>
      <c r="AJ883">
        <f t="shared" si="484"/>
        <v>99.009999999999991</v>
      </c>
      <c r="AK883">
        <f t="shared" si="485"/>
        <v>90.94</v>
      </c>
      <c r="AL883">
        <f t="shared" si="486"/>
        <v>80.907734742055368</v>
      </c>
      <c r="AM883">
        <f t="shared" si="487"/>
        <v>79.888800253687364</v>
      </c>
      <c r="AN883">
        <f t="shared" si="488"/>
        <v>93.165230031756437</v>
      </c>
      <c r="AO883">
        <f t="shared" si="489"/>
        <v>120.01359578001129</v>
      </c>
    </row>
    <row r="884" spans="1:41" x14ac:dyDescent="0.45">
      <c r="A884">
        <v>44.991649610000003</v>
      </c>
      <c r="B884">
        <v>124.2090982</v>
      </c>
      <c r="C884">
        <v>1.70243645</v>
      </c>
      <c r="D884">
        <v>11.0540266</v>
      </c>
      <c r="E884">
        <f t="shared" si="455"/>
        <v>1.70243645</v>
      </c>
      <c r="F884">
        <f t="shared" si="456"/>
        <v>2.5418443499999999</v>
      </c>
      <c r="G884">
        <f t="shared" si="457"/>
        <v>0</v>
      </c>
      <c r="H884">
        <f t="shared" si="458"/>
        <v>0</v>
      </c>
      <c r="I884">
        <f t="shared" si="459"/>
        <v>0</v>
      </c>
      <c r="J884">
        <f t="shared" si="460"/>
        <v>0</v>
      </c>
      <c r="K884" s="1">
        <f t="shared" si="461"/>
        <v>1.70243645</v>
      </c>
      <c r="L884" s="1">
        <f t="shared" si="462"/>
        <v>0</v>
      </c>
      <c r="M884" s="1">
        <f t="shared" si="463"/>
        <v>0</v>
      </c>
      <c r="N884" s="1">
        <f t="shared" si="464"/>
        <v>0</v>
      </c>
      <c r="O884" s="1">
        <f t="shared" si="465"/>
        <v>0</v>
      </c>
      <c r="P884" s="1">
        <f t="shared" si="466"/>
        <v>3.8502631475484232</v>
      </c>
      <c r="Q884" s="1">
        <f t="shared" si="467"/>
        <v>16.744106007120379</v>
      </c>
      <c r="R884" s="1" t="e">
        <f t="shared" si="468"/>
        <v>#DIV/0!</v>
      </c>
      <c r="S884" s="1" t="e">
        <f t="shared" si="469"/>
        <v>#DIV/0!</v>
      </c>
      <c r="T884" s="1" t="e">
        <f t="shared" si="470"/>
        <v>#DIV/0!</v>
      </c>
      <c r="U884" s="1" t="e">
        <f t="shared" si="471"/>
        <v>#DIV/0!</v>
      </c>
      <c r="V884">
        <f t="shared" si="472"/>
        <v>164.11355229532376</v>
      </c>
      <c r="W884">
        <f t="shared" si="473"/>
        <v>666.89397526701418</v>
      </c>
      <c r="X884">
        <f t="shared" si="474"/>
        <v>0</v>
      </c>
      <c r="Y884">
        <f t="shared" si="475"/>
        <v>0</v>
      </c>
      <c r="Z884">
        <f t="shared" si="476"/>
        <v>0</v>
      </c>
      <c r="AA884">
        <f t="shared" si="477"/>
        <v>0</v>
      </c>
      <c r="AC884">
        <f t="shared" si="478"/>
        <v>199.26052590193694</v>
      </c>
      <c r="AD884">
        <f t="shared" si="479"/>
        <v>666.89397526701418</v>
      </c>
      <c r="AE884">
        <f t="shared" si="480"/>
        <v>0</v>
      </c>
      <c r="AF884">
        <f t="shared" si="481"/>
        <v>0</v>
      </c>
      <c r="AG884">
        <f t="shared" si="482"/>
        <v>0</v>
      </c>
      <c r="AH884">
        <f t="shared" si="483"/>
        <v>0</v>
      </c>
      <c r="AJ884">
        <f t="shared" si="484"/>
        <v>234.39749950855008</v>
      </c>
      <c r="AK884">
        <f t="shared" si="485"/>
        <v>799.42477032041711</v>
      </c>
      <c r="AL884">
        <f t="shared" si="486"/>
        <v>0</v>
      </c>
      <c r="AM884">
        <f t="shared" si="487"/>
        <v>0</v>
      </c>
      <c r="AN884">
        <f t="shared" si="488"/>
        <v>0</v>
      </c>
      <c r="AO884">
        <f t="shared" si="489"/>
        <v>0</v>
      </c>
    </row>
    <row r="885" spans="1:41" x14ac:dyDescent="0.45">
      <c r="A885">
        <v>44.994440089999998</v>
      </c>
      <c r="B885">
        <v>124.85987609999999</v>
      </c>
      <c r="C885">
        <v>14.23618984</v>
      </c>
      <c r="D885">
        <v>1.4729590400000001</v>
      </c>
      <c r="E885">
        <f t="shared" si="455"/>
        <v>1.4729590400000001</v>
      </c>
      <c r="F885">
        <f t="shared" si="456"/>
        <v>0</v>
      </c>
      <c r="G885">
        <f t="shared" si="457"/>
        <v>0</v>
      </c>
      <c r="H885">
        <f t="shared" si="458"/>
        <v>0</v>
      </c>
      <c r="I885">
        <f t="shared" si="459"/>
        <v>0</v>
      </c>
      <c r="J885">
        <f t="shared" si="460"/>
        <v>0</v>
      </c>
      <c r="K885" s="1">
        <f t="shared" si="461"/>
        <v>0</v>
      </c>
      <c r="L885" s="1">
        <f t="shared" si="462"/>
        <v>0</v>
      </c>
      <c r="M885" s="1">
        <f t="shared" si="463"/>
        <v>0</v>
      </c>
      <c r="N885" s="1">
        <f t="shared" si="464"/>
        <v>0</v>
      </c>
      <c r="O885" s="1">
        <f t="shared" si="465"/>
        <v>0</v>
      </c>
      <c r="P885" s="1">
        <f t="shared" si="466"/>
        <v>25</v>
      </c>
      <c r="Q885" s="1" t="e">
        <f t="shared" si="467"/>
        <v>#DIV/0!</v>
      </c>
      <c r="R885" s="1" t="e">
        <f t="shared" si="468"/>
        <v>#DIV/0!</v>
      </c>
      <c r="S885" s="1" t="e">
        <f t="shared" si="469"/>
        <v>#DIV/0!</v>
      </c>
      <c r="T885" s="1" t="e">
        <f t="shared" si="470"/>
        <v>#DIV/0!</v>
      </c>
      <c r="U885" s="1" t="e">
        <f t="shared" si="471"/>
        <v>#DIV/0!</v>
      </c>
      <c r="V885">
        <f t="shared" si="472"/>
        <v>851.48</v>
      </c>
      <c r="W885">
        <f t="shared" si="473"/>
        <v>0</v>
      </c>
      <c r="X885">
        <f t="shared" si="474"/>
        <v>0</v>
      </c>
      <c r="Y885">
        <f t="shared" si="475"/>
        <v>0</v>
      </c>
      <c r="Z885">
        <f t="shared" si="476"/>
        <v>0</v>
      </c>
      <c r="AA885">
        <f t="shared" si="477"/>
        <v>0</v>
      </c>
      <c r="AC885">
        <f t="shared" si="478"/>
        <v>1045.25</v>
      </c>
      <c r="AD885">
        <f t="shared" si="479"/>
        <v>0</v>
      </c>
      <c r="AE885">
        <f t="shared" si="480"/>
        <v>0</v>
      </c>
      <c r="AF885">
        <f t="shared" si="481"/>
        <v>0</v>
      </c>
      <c r="AG885">
        <f t="shared" si="482"/>
        <v>0</v>
      </c>
      <c r="AH885">
        <f t="shared" si="483"/>
        <v>0</v>
      </c>
      <c r="AJ885">
        <f t="shared" si="484"/>
        <v>1239.01</v>
      </c>
      <c r="AK885">
        <f t="shared" si="485"/>
        <v>0</v>
      </c>
      <c r="AL885">
        <f t="shared" si="486"/>
        <v>0</v>
      </c>
      <c r="AM885">
        <f t="shared" si="487"/>
        <v>0</v>
      </c>
      <c r="AN885">
        <f t="shared" si="488"/>
        <v>0</v>
      </c>
      <c r="AO885">
        <f t="shared" si="489"/>
        <v>0</v>
      </c>
    </row>
    <row r="886" spans="1:41" x14ac:dyDescent="0.45">
      <c r="A886">
        <v>45.002743680000002</v>
      </c>
      <c r="B886">
        <v>115.6322199</v>
      </c>
      <c r="C886">
        <v>6.3704409599999998</v>
      </c>
      <c r="D886">
        <v>1.5682519699999999</v>
      </c>
      <c r="E886">
        <f t="shared" si="455"/>
        <v>1.5682519699999999</v>
      </c>
      <c r="F886">
        <f t="shared" si="456"/>
        <v>0</v>
      </c>
      <c r="G886">
        <f t="shared" si="457"/>
        <v>0</v>
      </c>
      <c r="H886">
        <f t="shared" si="458"/>
        <v>0</v>
      </c>
      <c r="I886">
        <f t="shared" si="459"/>
        <v>0</v>
      </c>
      <c r="J886">
        <f t="shared" si="460"/>
        <v>0</v>
      </c>
      <c r="K886" s="1">
        <f t="shared" si="461"/>
        <v>0</v>
      </c>
      <c r="L886" s="1">
        <f t="shared" si="462"/>
        <v>0</v>
      </c>
      <c r="M886" s="1">
        <f t="shared" si="463"/>
        <v>0</v>
      </c>
      <c r="N886" s="1">
        <f t="shared" si="464"/>
        <v>0</v>
      </c>
      <c r="O886" s="1">
        <f t="shared" si="465"/>
        <v>0</v>
      </c>
      <c r="P886" s="1">
        <f t="shared" si="466"/>
        <v>25</v>
      </c>
      <c r="Q886" s="1" t="e">
        <f t="shared" si="467"/>
        <v>#DIV/0!</v>
      </c>
      <c r="R886" s="1" t="e">
        <f t="shared" si="468"/>
        <v>#DIV/0!</v>
      </c>
      <c r="S886" s="1" t="e">
        <f t="shared" si="469"/>
        <v>#DIV/0!</v>
      </c>
      <c r="T886" s="1" t="e">
        <f t="shared" si="470"/>
        <v>#DIV/0!</v>
      </c>
      <c r="U886" s="1" t="e">
        <f t="shared" si="471"/>
        <v>#DIV/0!</v>
      </c>
      <c r="V886">
        <f t="shared" si="472"/>
        <v>851.48</v>
      </c>
      <c r="W886">
        <f t="shared" si="473"/>
        <v>0</v>
      </c>
      <c r="X886">
        <f t="shared" si="474"/>
        <v>0</v>
      </c>
      <c r="Y886">
        <f t="shared" si="475"/>
        <v>0</v>
      </c>
      <c r="Z886">
        <f t="shared" si="476"/>
        <v>0</v>
      </c>
      <c r="AA886">
        <f t="shared" si="477"/>
        <v>0</v>
      </c>
      <c r="AC886">
        <f t="shared" si="478"/>
        <v>1045.25</v>
      </c>
      <c r="AD886">
        <f t="shared" si="479"/>
        <v>0</v>
      </c>
      <c r="AE886">
        <f t="shared" si="480"/>
        <v>0</v>
      </c>
      <c r="AF886">
        <f t="shared" si="481"/>
        <v>0</v>
      </c>
      <c r="AG886">
        <f t="shared" si="482"/>
        <v>0</v>
      </c>
      <c r="AH886">
        <f t="shared" si="483"/>
        <v>0</v>
      </c>
      <c r="AJ886">
        <f t="shared" si="484"/>
        <v>1239.01</v>
      </c>
      <c r="AK886">
        <f t="shared" si="485"/>
        <v>0</v>
      </c>
      <c r="AL886">
        <f t="shared" si="486"/>
        <v>0</v>
      </c>
      <c r="AM886">
        <f t="shared" si="487"/>
        <v>0</v>
      </c>
      <c r="AN886">
        <f t="shared" si="488"/>
        <v>0</v>
      </c>
      <c r="AO886">
        <f t="shared" si="489"/>
        <v>0</v>
      </c>
    </row>
    <row r="887" spans="1:41" x14ac:dyDescent="0.45">
      <c r="A887">
        <v>45.041965920000003</v>
      </c>
      <c r="B887">
        <v>84.669068929999995</v>
      </c>
      <c r="C887">
        <v>10.58811188</v>
      </c>
      <c r="D887">
        <v>0.49581598999999998</v>
      </c>
      <c r="E887">
        <f t="shared" si="455"/>
        <v>0.49581598999999998</v>
      </c>
      <c r="F887">
        <f t="shared" si="456"/>
        <v>0</v>
      </c>
      <c r="G887">
        <f t="shared" si="457"/>
        <v>0</v>
      </c>
      <c r="H887">
        <f t="shared" si="458"/>
        <v>0</v>
      </c>
      <c r="I887">
        <f t="shared" si="459"/>
        <v>0</v>
      </c>
      <c r="J887">
        <f t="shared" si="460"/>
        <v>0</v>
      </c>
      <c r="K887" s="1">
        <f t="shared" si="461"/>
        <v>0</v>
      </c>
      <c r="L887" s="1">
        <f t="shared" si="462"/>
        <v>0</v>
      </c>
      <c r="M887" s="1">
        <f t="shared" si="463"/>
        <v>0</v>
      </c>
      <c r="N887" s="1">
        <f t="shared" si="464"/>
        <v>0</v>
      </c>
      <c r="O887" s="1">
        <f t="shared" si="465"/>
        <v>0</v>
      </c>
      <c r="P887" s="1">
        <f t="shared" si="466"/>
        <v>25</v>
      </c>
      <c r="Q887" s="1" t="e">
        <f t="shared" si="467"/>
        <v>#DIV/0!</v>
      </c>
      <c r="R887" s="1" t="e">
        <f t="shared" si="468"/>
        <v>#DIV/0!</v>
      </c>
      <c r="S887" s="1" t="e">
        <f t="shared" si="469"/>
        <v>#DIV/0!</v>
      </c>
      <c r="T887" s="1" t="e">
        <f t="shared" si="470"/>
        <v>#DIV/0!</v>
      </c>
      <c r="U887" s="1" t="e">
        <f t="shared" si="471"/>
        <v>#DIV/0!</v>
      </c>
      <c r="V887">
        <f t="shared" si="472"/>
        <v>851.48</v>
      </c>
      <c r="W887">
        <f t="shared" si="473"/>
        <v>0</v>
      </c>
      <c r="X887">
        <f t="shared" si="474"/>
        <v>0</v>
      </c>
      <c r="Y887">
        <f t="shared" si="475"/>
        <v>0</v>
      </c>
      <c r="Z887">
        <f t="shared" si="476"/>
        <v>0</v>
      </c>
      <c r="AA887">
        <f t="shared" si="477"/>
        <v>0</v>
      </c>
      <c r="AC887">
        <f t="shared" si="478"/>
        <v>1045.25</v>
      </c>
      <c r="AD887">
        <f t="shared" si="479"/>
        <v>0</v>
      </c>
      <c r="AE887">
        <f t="shared" si="480"/>
        <v>0</v>
      </c>
      <c r="AF887">
        <f t="shared" si="481"/>
        <v>0</v>
      </c>
      <c r="AG887">
        <f t="shared" si="482"/>
        <v>0</v>
      </c>
      <c r="AH887">
        <f t="shared" si="483"/>
        <v>0</v>
      </c>
      <c r="AJ887">
        <f t="shared" si="484"/>
        <v>1239.01</v>
      </c>
      <c r="AK887">
        <f t="shared" si="485"/>
        <v>0</v>
      </c>
      <c r="AL887">
        <f t="shared" si="486"/>
        <v>0</v>
      </c>
      <c r="AM887">
        <f t="shared" si="487"/>
        <v>0</v>
      </c>
      <c r="AN887">
        <f t="shared" si="488"/>
        <v>0</v>
      </c>
      <c r="AO887">
        <f t="shared" si="489"/>
        <v>0</v>
      </c>
    </row>
    <row r="888" spans="1:41" x14ac:dyDescent="0.45">
      <c r="A888">
        <v>45.063602920000001</v>
      </c>
      <c r="B888">
        <v>124.35848559999999</v>
      </c>
      <c r="C888">
        <v>1.70243645</v>
      </c>
      <c r="D888">
        <v>7.0518097900000001</v>
      </c>
      <c r="E888">
        <f t="shared" si="455"/>
        <v>1.70243645</v>
      </c>
      <c r="F888">
        <f t="shared" si="456"/>
        <v>0</v>
      </c>
      <c r="G888">
        <f t="shared" si="457"/>
        <v>0</v>
      </c>
      <c r="H888">
        <f t="shared" si="458"/>
        <v>0</v>
      </c>
      <c r="I888">
        <f t="shared" si="459"/>
        <v>0</v>
      </c>
      <c r="J888">
        <f t="shared" si="460"/>
        <v>0</v>
      </c>
      <c r="K888" s="1">
        <f t="shared" si="461"/>
        <v>0</v>
      </c>
      <c r="L888" s="1">
        <f t="shared" si="462"/>
        <v>0</v>
      </c>
      <c r="M888" s="1">
        <f t="shared" si="463"/>
        <v>0</v>
      </c>
      <c r="N888" s="1">
        <f t="shared" si="464"/>
        <v>0</v>
      </c>
      <c r="O888" s="1">
        <f t="shared" si="465"/>
        <v>0</v>
      </c>
      <c r="P888" s="1">
        <f t="shared" si="466"/>
        <v>6.0354593384459392</v>
      </c>
      <c r="Q888" s="1" t="e">
        <f t="shared" si="467"/>
        <v>#DIV/0!</v>
      </c>
      <c r="R888" s="1" t="e">
        <f t="shared" si="468"/>
        <v>#DIV/0!</v>
      </c>
      <c r="S888" s="1" t="e">
        <f t="shared" si="469"/>
        <v>#DIV/0!</v>
      </c>
      <c r="T888" s="1" t="e">
        <f t="shared" si="470"/>
        <v>#DIV/0!</v>
      </c>
      <c r="U888" s="1" t="e">
        <f t="shared" si="471"/>
        <v>#DIV/0!</v>
      </c>
      <c r="V888">
        <f t="shared" si="472"/>
        <v>235.13242849949302</v>
      </c>
      <c r="W888">
        <f t="shared" si="473"/>
        <v>0</v>
      </c>
      <c r="X888">
        <f t="shared" si="474"/>
        <v>0</v>
      </c>
      <c r="Y888">
        <f t="shared" si="475"/>
        <v>0</v>
      </c>
      <c r="Z888">
        <f t="shared" si="476"/>
        <v>0</v>
      </c>
      <c r="AA888">
        <f t="shared" si="477"/>
        <v>0</v>
      </c>
      <c r="AC888">
        <f t="shared" si="478"/>
        <v>286.66837353783757</v>
      </c>
      <c r="AD888">
        <f t="shared" si="479"/>
        <v>0</v>
      </c>
      <c r="AE888">
        <f t="shared" si="480"/>
        <v>0</v>
      </c>
      <c r="AF888">
        <f t="shared" si="481"/>
        <v>0</v>
      </c>
      <c r="AG888">
        <f t="shared" si="482"/>
        <v>0</v>
      </c>
      <c r="AH888">
        <f t="shared" si="483"/>
        <v>0</v>
      </c>
      <c r="AJ888">
        <f t="shared" si="484"/>
        <v>338.19431857618213</v>
      </c>
      <c r="AK888">
        <f t="shared" si="485"/>
        <v>0</v>
      </c>
      <c r="AL888">
        <f t="shared" si="486"/>
        <v>0</v>
      </c>
      <c r="AM888">
        <f t="shared" si="487"/>
        <v>0</v>
      </c>
      <c r="AN888">
        <f t="shared" si="488"/>
        <v>0</v>
      </c>
      <c r="AO888">
        <f t="shared" si="489"/>
        <v>0</v>
      </c>
    </row>
    <row r="889" spans="1:41" x14ac:dyDescent="0.45">
      <c r="A889">
        <v>45.12794444</v>
      </c>
      <c r="B889">
        <v>87.776367629999996</v>
      </c>
      <c r="C889">
        <v>2.0064427899999999</v>
      </c>
      <c r="D889">
        <v>0.71719801000000005</v>
      </c>
      <c r="E889">
        <f t="shared" si="455"/>
        <v>0.71719801000000005</v>
      </c>
      <c r="F889">
        <f t="shared" si="456"/>
        <v>0</v>
      </c>
      <c r="G889">
        <f t="shared" si="457"/>
        <v>0</v>
      </c>
      <c r="H889">
        <f t="shared" si="458"/>
        <v>0</v>
      </c>
      <c r="I889">
        <f t="shared" si="459"/>
        <v>0</v>
      </c>
      <c r="J889">
        <f t="shared" si="460"/>
        <v>0</v>
      </c>
      <c r="K889" s="1">
        <f t="shared" si="461"/>
        <v>0</v>
      </c>
      <c r="L889" s="1">
        <f t="shared" si="462"/>
        <v>0</v>
      </c>
      <c r="M889" s="1">
        <f t="shared" si="463"/>
        <v>0</v>
      </c>
      <c r="N889" s="1">
        <f t="shared" si="464"/>
        <v>0</v>
      </c>
      <c r="O889" s="1">
        <f t="shared" si="465"/>
        <v>0</v>
      </c>
      <c r="P889" s="1">
        <f t="shared" si="466"/>
        <v>25</v>
      </c>
      <c r="Q889" s="1" t="e">
        <f t="shared" si="467"/>
        <v>#DIV/0!</v>
      </c>
      <c r="R889" s="1" t="e">
        <f t="shared" si="468"/>
        <v>#DIV/0!</v>
      </c>
      <c r="S889" s="1" t="e">
        <f t="shared" si="469"/>
        <v>#DIV/0!</v>
      </c>
      <c r="T889" s="1" t="e">
        <f t="shared" si="470"/>
        <v>#DIV/0!</v>
      </c>
      <c r="U889" s="1" t="e">
        <f t="shared" si="471"/>
        <v>#DIV/0!</v>
      </c>
      <c r="V889">
        <f t="shared" si="472"/>
        <v>851.48</v>
      </c>
      <c r="W889">
        <f t="shared" si="473"/>
        <v>0</v>
      </c>
      <c r="X889">
        <f t="shared" si="474"/>
        <v>0</v>
      </c>
      <c r="Y889">
        <f t="shared" si="475"/>
        <v>0</v>
      </c>
      <c r="Z889">
        <f t="shared" si="476"/>
        <v>0</v>
      </c>
      <c r="AA889">
        <f t="shared" si="477"/>
        <v>0</v>
      </c>
      <c r="AC889">
        <f t="shared" si="478"/>
        <v>1045.25</v>
      </c>
      <c r="AD889">
        <f t="shared" si="479"/>
        <v>0</v>
      </c>
      <c r="AE889">
        <f t="shared" si="480"/>
        <v>0</v>
      </c>
      <c r="AF889">
        <f t="shared" si="481"/>
        <v>0</v>
      </c>
      <c r="AG889">
        <f t="shared" si="482"/>
        <v>0</v>
      </c>
      <c r="AH889">
        <f t="shared" si="483"/>
        <v>0</v>
      </c>
      <c r="AJ889">
        <f t="shared" si="484"/>
        <v>1239.01</v>
      </c>
      <c r="AK889">
        <f t="shared" si="485"/>
        <v>0</v>
      </c>
      <c r="AL889">
        <f t="shared" si="486"/>
        <v>0</v>
      </c>
      <c r="AM889">
        <f t="shared" si="487"/>
        <v>0</v>
      </c>
      <c r="AN889">
        <f t="shared" si="488"/>
        <v>0</v>
      </c>
      <c r="AO889">
        <f t="shared" si="489"/>
        <v>0</v>
      </c>
    </row>
    <row r="890" spans="1:41" x14ac:dyDescent="0.45">
      <c r="A890">
        <v>45.176844449999997</v>
      </c>
      <c r="B890">
        <v>116.9437776</v>
      </c>
      <c r="C890">
        <v>6.3704409599999998</v>
      </c>
      <c r="D890">
        <v>1.74567294</v>
      </c>
      <c r="E890">
        <f t="shared" si="455"/>
        <v>1.74567294</v>
      </c>
      <c r="F890">
        <f t="shared" si="456"/>
        <v>0</v>
      </c>
      <c r="G890">
        <f t="shared" si="457"/>
        <v>0</v>
      </c>
      <c r="H890">
        <f t="shared" si="458"/>
        <v>0</v>
      </c>
      <c r="I890">
        <f t="shared" si="459"/>
        <v>0</v>
      </c>
      <c r="J890">
        <f t="shared" si="460"/>
        <v>0</v>
      </c>
      <c r="K890" s="1">
        <f t="shared" si="461"/>
        <v>0</v>
      </c>
      <c r="L890" s="1">
        <f t="shared" si="462"/>
        <v>0</v>
      </c>
      <c r="M890" s="1">
        <f t="shared" si="463"/>
        <v>0</v>
      </c>
      <c r="N890" s="1">
        <f t="shared" si="464"/>
        <v>0</v>
      </c>
      <c r="O890" s="1">
        <f t="shared" si="465"/>
        <v>0</v>
      </c>
      <c r="P890" s="1">
        <f t="shared" si="466"/>
        <v>25</v>
      </c>
      <c r="Q890" s="1" t="e">
        <f t="shared" si="467"/>
        <v>#DIV/0!</v>
      </c>
      <c r="R890" s="1" t="e">
        <f t="shared" si="468"/>
        <v>#DIV/0!</v>
      </c>
      <c r="S890" s="1" t="e">
        <f t="shared" si="469"/>
        <v>#DIV/0!</v>
      </c>
      <c r="T890" s="1" t="e">
        <f t="shared" si="470"/>
        <v>#DIV/0!</v>
      </c>
      <c r="U890" s="1" t="e">
        <f t="shared" si="471"/>
        <v>#DIV/0!</v>
      </c>
      <c r="V890">
        <f t="shared" si="472"/>
        <v>851.48</v>
      </c>
      <c r="W890">
        <f t="shared" si="473"/>
        <v>0</v>
      </c>
      <c r="X890">
        <f t="shared" si="474"/>
        <v>0</v>
      </c>
      <c r="Y890">
        <f t="shared" si="475"/>
        <v>0</v>
      </c>
      <c r="Z890">
        <f t="shared" si="476"/>
        <v>0</v>
      </c>
      <c r="AA890">
        <f t="shared" si="477"/>
        <v>0</v>
      </c>
      <c r="AC890">
        <f t="shared" si="478"/>
        <v>1045.25</v>
      </c>
      <c r="AD890">
        <f t="shared" si="479"/>
        <v>0</v>
      </c>
      <c r="AE890">
        <f t="shared" si="480"/>
        <v>0</v>
      </c>
      <c r="AF890">
        <f t="shared" si="481"/>
        <v>0</v>
      </c>
      <c r="AG890">
        <f t="shared" si="482"/>
        <v>0</v>
      </c>
      <c r="AH890">
        <f t="shared" si="483"/>
        <v>0</v>
      </c>
      <c r="AJ890">
        <f t="shared" si="484"/>
        <v>1239.01</v>
      </c>
      <c r="AK890">
        <f t="shared" si="485"/>
        <v>0</v>
      </c>
      <c r="AL890">
        <f t="shared" si="486"/>
        <v>0</v>
      </c>
      <c r="AM890">
        <f t="shared" si="487"/>
        <v>0</v>
      </c>
      <c r="AN890">
        <f t="shared" si="488"/>
        <v>0</v>
      </c>
      <c r="AO890">
        <f t="shared" si="489"/>
        <v>0</v>
      </c>
    </row>
    <row r="891" spans="1:41" x14ac:dyDescent="0.45">
      <c r="A891">
        <v>45.198293409999998</v>
      </c>
      <c r="B891">
        <v>124.7210225</v>
      </c>
      <c r="C891">
        <v>14.23618984</v>
      </c>
      <c r="D891">
        <v>5.1105141600000001</v>
      </c>
      <c r="E891">
        <f t="shared" si="455"/>
        <v>5.1105141600000001</v>
      </c>
      <c r="F891">
        <f t="shared" si="456"/>
        <v>0</v>
      </c>
      <c r="G891">
        <f t="shared" si="457"/>
        <v>0</v>
      </c>
      <c r="H891">
        <f t="shared" si="458"/>
        <v>0</v>
      </c>
      <c r="I891">
        <f t="shared" si="459"/>
        <v>0</v>
      </c>
      <c r="J891">
        <f t="shared" si="460"/>
        <v>0</v>
      </c>
      <c r="K891" s="1">
        <f t="shared" si="461"/>
        <v>0</v>
      </c>
      <c r="L891" s="1">
        <f t="shared" si="462"/>
        <v>0</v>
      </c>
      <c r="M891" s="1">
        <f t="shared" si="463"/>
        <v>0</v>
      </c>
      <c r="N891" s="1">
        <f t="shared" si="464"/>
        <v>0</v>
      </c>
      <c r="O891" s="1">
        <f t="shared" si="465"/>
        <v>0</v>
      </c>
      <c r="P891" s="1">
        <f t="shared" si="466"/>
        <v>25</v>
      </c>
      <c r="Q891" s="1" t="e">
        <f t="shared" si="467"/>
        <v>#DIV/0!</v>
      </c>
      <c r="R891" s="1" t="e">
        <f t="shared" si="468"/>
        <v>#DIV/0!</v>
      </c>
      <c r="S891" s="1" t="e">
        <f t="shared" si="469"/>
        <v>#DIV/0!</v>
      </c>
      <c r="T891" s="1" t="e">
        <f t="shared" si="470"/>
        <v>#DIV/0!</v>
      </c>
      <c r="U891" s="1" t="e">
        <f t="shared" si="471"/>
        <v>#DIV/0!</v>
      </c>
      <c r="V891">
        <f t="shared" si="472"/>
        <v>851.48</v>
      </c>
      <c r="W891">
        <f t="shared" si="473"/>
        <v>0</v>
      </c>
      <c r="X891">
        <f t="shared" si="474"/>
        <v>0</v>
      </c>
      <c r="Y891">
        <f t="shared" si="475"/>
        <v>0</v>
      </c>
      <c r="Z891">
        <f t="shared" si="476"/>
        <v>0</v>
      </c>
      <c r="AA891">
        <f t="shared" si="477"/>
        <v>0</v>
      </c>
      <c r="AC891">
        <f t="shared" si="478"/>
        <v>1045.25</v>
      </c>
      <c r="AD891">
        <f t="shared" si="479"/>
        <v>0</v>
      </c>
      <c r="AE891">
        <f t="shared" si="480"/>
        <v>0</v>
      </c>
      <c r="AF891">
        <f t="shared" si="481"/>
        <v>0</v>
      </c>
      <c r="AG891">
        <f t="shared" si="482"/>
        <v>0</v>
      </c>
      <c r="AH891">
        <f t="shared" si="483"/>
        <v>0</v>
      </c>
      <c r="AJ891">
        <f t="shared" si="484"/>
        <v>1239.01</v>
      </c>
      <c r="AK891">
        <f t="shared" si="485"/>
        <v>0</v>
      </c>
      <c r="AL891">
        <f t="shared" si="486"/>
        <v>0</v>
      </c>
      <c r="AM891">
        <f t="shared" si="487"/>
        <v>0</v>
      </c>
      <c r="AN891">
        <f t="shared" si="488"/>
        <v>0</v>
      </c>
      <c r="AO891">
        <f t="shared" si="489"/>
        <v>0</v>
      </c>
    </row>
    <row r="892" spans="1:41" x14ac:dyDescent="0.45">
      <c r="A892">
        <v>45.223644090000001</v>
      </c>
      <c r="B892">
        <v>84.939525459999999</v>
      </c>
      <c r="C892">
        <v>10.58811188</v>
      </c>
      <c r="D892">
        <v>26.16229057</v>
      </c>
      <c r="E892">
        <f t="shared" si="455"/>
        <v>10.58811188</v>
      </c>
      <c r="F892">
        <f t="shared" si="456"/>
        <v>0</v>
      </c>
      <c r="G892">
        <f t="shared" si="457"/>
        <v>0</v>
      </c>
      <c r="H892">
        <f t="shared" si="458"/>
        <v>0</v>
      </c>
      <c r="I892">
        <f t="shared" si="459"/>
        <v>0</v>
      </c>
      <c r="J892">
        <f t="shared" si="460"/>
        <v>0</v>
      </c>
      <c r="K892" s="1">
        <f t="shared" si="461"/>
        <v>0</v>
      </c>
      <c r="L892" s="1">
        <f t="shared" si="462"/>
        <v>0</v>
      </c>
      <c r="M892" s="1">
        <f t="shared" si="463"/>
        <v>0</v>
      </c>
      <c r="N892" s="1">
        <f t="shared" si="464"/>
        <v>0</v>
      </c>
      <c r="O892" s="1">
        <f t="shared" si="465"/>
        <v>0</v>
      </c>
      <c r="P892" s="1">
        <f t="shared" si="466"/>
        <v>10.117722540071918</v>
      </c>
      <c r="Q892" s="1" t="e">
        <f t="shared" si="467"/>
        <v>#DIV/0!</v>
      </c>
      <c r="R892" s="1" t="e">
        <f t="shared" si="468"/>
        <v>#DIV/0!</v>
      </c>
      <c r="S892" s="1" t="e">
        <f t="shared" si="469"/>
        <v>#DIV/0!</v>
      </c>
      <c r="T892" s="1" t="e">
        <f t="shared" si="470"/>
        <v>#DIV/0!</v>
      </c>
      <c r="U892" s="1" t="e">
        <f t="shared" si="471"/>
        <v>#DIV/0!</v>
      </c>
      <c r="V892">
        <f t="shared" si="472"/>
        <v>367.80598255233735</v>
      </c>
      <c r="W892">
        <f t="shared" si="473"/>
        <v>0</v>
      </c>
      <c r="X892">
        <f t="shared" si="474"/>
        <v>0</v>
      </c>
      <c r="Y892">
        <f t="shared" si="475"/>
        <v>0</v>
      </c>
      <c r="Z892">
        <f t="shared" si="476"/>
        <v>0</v>
      </c>
      <c r="AA892">
        <f t="shared" si="477"/>
        <v>0</v>
      </c>
      <c r="AC892">
        <f t="shared" si="478"/>
        <v>449.95890160287672</v>
      </c>
      <c r="AD892">
        <f t="shared" si="479"/>
        <v>0</v>
      </c>
      <c r="AE892">
        <f t="shared" si="480"/>
        <v>0</v>
      </c>
      <c r="AF892">
        <f t="shared" si="481"/>
        <v>0</v>
      </c>
      <c r="AG892">
        <f t="shared" si="482"/>
        <v>0</v>
      </c>
      <c r="AH892">
        <f t="shared" si="483"/>
        <v>0</v>
      </c>
      <c r="AJ892">
        <f t="shared" si="484"/>
        <v>532.1018206534161</v>
      </c>
      <c r="AK892">
        <f t="shared" si="485"/>
        <v>0</v>
      </c>
      <c r="AL892">
        <f t="shared" si="486"/>
        <v>0</v>
      </c>
      <c r="AM892">
        <f t="shared" si="487"/>
        <v>0</v>
      </c>
      <c r="AN892">
        <f t="shared" si="488"/>
        <v>0</v>
      </c>
      <c r="AO892">
        <f t="shared" si="489"/>
        <v>0</v>
      </c>
    </row>
    <row r="893" spans="1:41" x14ac:dyDescent="0.45">
      <c r="A893">
        <v>45.225318799999997</v>
      </c>
      <c r="B893">
        <v>87.815316890000005</v>
      </c>
      <c r="C893">
        <v>2.0064427899999999</v>
      </c>
      <c r="D893">
        <v>0.25060901000000002</v>
      </c>
      <c r="E893">
        <f t="shared" si="455"/>
        <v>0.25060901000000002</v>
      </c>
      <c r="F893">
        <f t="shared" si="456"/>
        <v>0</v>
      </c>
      <c r="G893">
        <f t="shared" si="457"/>
        <v>0</v>
      </c>
      <c r="H893">
        <f t="shared" si="458"/>
        <v>0</v>
      </c>
      <c r="I893">
        <f t="shared" si="459"/>
        <v>0</v>
      </c>
      <c r="J893">
        <f t="shared" si="460"/>
        <v>0</v>
      </c>
      <c r="K893" s="1">
        <f t="shared" si="461"/>
        <v>0</v>
      </c>
      <c r="L893" s="1">
        <f t="shared" si="462"/>
        <v>0</v>
      </c>
      <c r="M893" s="1">
        <f t="shared" si="463"/>
        <v>0</v>
      </c>
      <c r="N893" s="1">
        <f t="shared" si="464"/>
        <v>0</v>
      </c>
      <c r="O893" s="1">
        <f t="shared" si="465"/>
        <v>0</v>
      </c>
      <c r="P893" s="1">
        <f t="shared" si="466"/>
        <v>25</v>
      </c>
      <c r="Q893" s="1" t="e">
        <f t="shared" si="467"/>
        <v>#DIV/0!</v>
      </c>
      <c r="R893" s="1" t="e">
        <f t="shared" si="468"/>
        <v>#DIV/0!</v>
      </c>
      <c r="S893" s="1" t="e">
        <f t="shared" si="469"/>
        <v>#DIV/0!</v>
      </c>
      <c r="T893" s="1" t="e">
        <f t="shared" si="470"/>
        <v>#DIV/0!</v>
      </c>
      <c r="U893" s="1" t="e">
        <f t="shared" si="471"/>
        <v>#DIV/0!</v>
      </c>
      <c r="V893">
        <f t="shared" si="472"/>
        <v>851.48</v>
      </c>
      <c r="W893">
        <f t="shared" si="473"/>
        <v>0</v>
      </c>
      <c r="X893">
        <f t="shared" si="474"/>
        <v>0</v>
      </c>
      <c r="Y893">
        <f t="shared" si="475"/>
        <v>0</v>
      </c>
      <c r="Z893">
        <f t="shared" si="476"/>
        <v>0</v>
      </c>
      <c r="AA893">
        <f t="shared" si="477"/>
        <v>0</v>
      </c>
      <c r="AC893">
        <f t="shared" si="478"/>
        <v>1045.25</v>
      </c>
      <c r="AD893">
        <f t="shared" si="479"/>
        <v>0</v>
      </c>
      <c r="AE893">
        <f t="shared" si="480"/>
        <v>0</v>
      </c>
      <c r="AF893">
        <f t="shared" si="481"/>
        <v>0</v>
      </c>
      <c r="AG893">
        <f t="shared" si="482"/>
        <v>0</v>
      </c>
      <c r="AH893">
        <f t="shared" si="483"/>
        <v>0</v>
      </c>
      <c r="AJ893">
        <f t="shared" si="484"/>
        <v>1239.01</v>
      </c>
      <c r="AK893">
        <f t="shared" si="485"/>
        <v>0</v>
      </c>
      <c r="AL893">
        <f t="shared" si="486"/>
        <v>0</v>
      </c>
      <c r="AM893">
        <f t="shared" si="487"/>
        <v>0</v>
      </c>
      <c r="AN893">
        <f t="shared" si="488"/>
        <v>0</v>
      </c>
      <c r="AO893">
        <f t="shared" si="489"/>
        <v>0</v>
      </c>
    </row>
    <row r="894" spans="1:41" x14ac:dyDescent="0.45">
      <c r="A894">
        <v>45.232829580000001</v>
      </c>
      <c r="B894">
        <v>124.4696376</v>
      </c>
      <c r="C894">
        <v>1.70243645</v>
      </c>
      <c r="D894">
        <v>21.820411679999999</v>
      </c>
      <c r="E894">
        <f t="shared" si="455"/>
        <v>1.70243645</v>
      </c>
      <c r="F894">
        <f t="shared" si="456"/>
        <v>13.308229429999999</v>
      </c>
      <c r="G894">
        <f t="shared" si="457"/>
        <v>4.7960471799999986</v>
      </c>
      <c r="H894">
        <f t="shared" si="458"/>
        <v>0</v>
      </c>
      <c r="I894">
        <f t="shared" si="459"/>
        <v>0</v>
      </c>
      <c r="J894">
        <f t="shared" si="460"/>
        <v>0</v>
      </c>
      <c r="K894" s="1">
        <f t="shared" si="461"/>
        <v>1.70243645</v>
      </c>
      <c r="L894" s="1">
        <f t="shared" si="462"/>
        <v>1.70243645</v>
      </c>
      <c r="M894" s="1">
        <f t="shared" si="463"/>
        <v>0</v>
      </c>
      <c r="N894" s="1">
        <f t="shared" si="464"/>
        <v>0</v>
      </c>
      <c r="O894" s="1">
        <f t="shared" si="465"/>
        <v>0</v>
      </c>
      <c r="P894" s="1">
        <f t="shared" si="466"/>
        <v>1.9505090863620222</v>
      </c>
      <c r="Q894" s="1">
        <f t="shared" si="467"/>
        <v>3.1980896838205473</v>
      </c>
      <c r="R894" s="1">
        <f t="shared" si="468"/>
        <v>8.8741644217937008</v>
      </c>
      <c r="S894" s="1" t="e">
        <f t="shared" si="469"/>
        <v>#DIV/0!</v>
      </c>
      <c r="T894" s="1" t="e">
        <f t="shared" si="470"/>
        <v>#DIV/0!</v>
      </c>
      <c r="U894" s="1" t="e">
        <f t="shared" si="471"/>
        <v>#DIV/0!</v>
      </c>
      <c r="V894">
        <f t="shared" si="472"/>
        <v>102.37154530676573</v>
      </c>
      <c r="W894">
        <f t="shared" si="473"/>
        <v>158.91836314327051</v>
      </c>
      <c r="X894" t="e">
        <f t="shared" si="474"/>
        <v>#DIV/0!</v>
      </c>
      <c r="Y894">
        <f t="shared" si="475"/>
        <v>0</v>
      </c>
      <c r="Z894">
        <f t="shared" si="476"/>
        <v>0</v>
      </c>
      <c r="AA894">
        <f t="shared" si="477"/>
        <v>0</v>
      </c>
      <c r="AC894">
        <f t="shared" si="478"/>
        <v>123.27036345448089</v>
      </c>
      <c r="AD894">
        <f t="shared" si="479"/>
        <v>158.91836314327051</v>
      </c>
      <c r="AE894">
        <f t="shared" si="480"/>
        <v>320.08034370829529</v>
      </c>
      <c r="AF894">
        <f t="shared" si="481"/>
        <v>0</v>
      </c>
      <c r="AG894">
        <f t="shared" si="482"/>
        <v>0</v>
      </c>
      <c r="AH894">
        <f t="shared" si="483"/>
        <v>0</v>
      </c>
      <c r="AJ894">
        <f t="shared" si="484"/>
        <v>144.15918160219604</v>
      </c>
      <c r="AK894">
        <f t="shared" si="485"/>
        <v>189.85403577192463</v>
      </c>
      <c r="AL894">
        <f t="shared" si="486"/>
        <v>413.35198792623225</v>
      </c>
      <c r="AM894">
        <f t="shared" si="487"/>
        <v>0</v>
      </c>
      <c r="AN894">
        <f t="shared" si="488"/>
        <v>0</v>
      </c>
      <c r="AO894">
        <f t="shared" si="489"/>
        <v>0</v>
      </c>
    </row>
    <row r="895" spans="1:41" x14ac:dyDescent="0.45">
      <c r="A895">
        <v>45.237475719999999</v>
      </c>
      <c r="B895">
        <v>85.328552040000005</v>
      </c>
      <c r="C895">
        <v>0.72106236000000001</v>
      </c>
      <c r="D895">
        <v>1.06621802</v>
      </c>
      <c r="E895">
        <f t="shared" si="455"/>
        <v>0.72106236000000001</v>
      </c>
      <c r="F895">
        <f t="shared" si="456"/>
        <v>0</v>
      </c>
      <c r="G895">
        <f t="shared" si="457"/>
        <v>0</v>
      </c>
      <c r="H895">
        <f t="shared" si="458"/>
        <v>0</v>
      </c>
      <c r="I895">
        <f t="shared" si="459"/>
        <v>0</v>
      </c>
      <c r="J895">
        <f t="shared" si="460"/>
        <v>0</v>
      </c>
      <c r="K895" s="1">
        <f t="shared" si="461"/>
        <v>0</v>
      </c>
      <c r="L895" s="1">
        <f t="shared" si="462"/>
        <v>0</v>
      </c>
      <c r="M895" s="1">
        <f t="shared" si="463"/>
        <v>0</v>
      </c>
      <c r="N895" s="1">
        <f t="shared" si="464"/>
        <v>0</v>
      </c>
      <c r="O895" s="1">
        <f t="shared" si="465"/>
        <v>0</v>
      </c>
      <c r="P895" s="1">
        <f t="shared" si="466"/>
        <v>16.907010256682774</v>
      </c>
      <c r="Q895" s="1" t="e">
        <f t="shared" si="467"/>
        <v>#DIV/0!</v>
      </c>
      <c r="R895" s="1" t="e">
        <f t="shared" si="468"/>
        <v>#DIV/0!</v>
      </c>
      <c r="S895" s="1" t="e">
        <f t="shared" si="469"/>
        <v>#DIV/0!</v>
      </c>
      <c r="T895" s="1" t="e">
        <f t="shared" si="470"/>
        <v>#DIV/0!</v>
      </c>
      <c r="U895" s="1" t="e">
        <f t="shared" si="471"/>
        <v>#DIV/0!</v>
      </c>
      <c r="V895">
        <f t="shared" si="472"/>
        <v>588.45783334219016</v>
      </c>
      <c r="W895">
        <f t="shared" si="473"/>
        <v>0</v>
      </c>
      <c r="X895">
        <f t="shared" si="474"/>
        <v>0</v>
      </c>
      <c r="Y895">
        <f t="shared" si="475"/>
        <v>0</v>
      </c>
      <c r="Z895">
        <f t="shared" si="476"/>
        <v>0</v>
      </c>
      <c r="AA895">
        <f t="shared" si="477"/>
        <v>0</v>
      </c>
      <c r="AC895">
        <f t="shared" si="478"/>
        <v>721.53041026731103</v>
      </c>
      <c r="AD895">
        <f t="shared" si="479"/>
        <v>0</v>
      </c>
      <c r="AE895">
        <f t="shared" si="480"/>
        <v>0</v>
      </c>
      <c r="AF895">
        <f t="shared" si="481"/>
        <v>0</v>
      </c>
      <c r="AG895">
        <f t="shared" si="482"/>
        <v>0</v>
      </c>
      <c r="AH895">
        <f t="shared" si="483"/>
        <v>0</v>
      </c>
      <c r="AJ895">
        <f t="shared" si="484"/>
        <v>854.59298719243179</v>
      </c>
      <c r="AK895">
        <f t="shared" si="485"/>
        <v>0</v>
      </c>
      <c r="AL895">
        <f t="shared" si="486"/>
        <v>0</v>
      </c>
      <c r="AM895">
        <f t="shared" si="487"/>
        <v>0</v>
      </c>
      <c r="AN895">
        <f t="shared" si="488"/>
        <v>0</v>
      </c>
      <c r="AO895">
        <f t="shared" si="489"/>
        <v>0</v>
      </c>
    </row>
    <row r="896" spans="1:41" x14ac:dyDescent="0.45">
      <c r="A896">
        <v>45.256039530000002</v>
      </c>
      <c r="B896">
        <v>123.95430020000001</v>
      </c>
      <c r="C896">
        <v>0.44901341</v>
      </c>
      <c r="D896">
        <v>12.56952763</v>
      </c>
      <c r="E896">
        <f t="shared" si="455"/>
        <v>0.44901341</v>
      </c>
      <c r="F896">
        <f t="shared" si="456"/>
        <v>10.32446058</v>
      </c>
      <c r="G896">
        <f t="shared" si="457"/>
        <v>8.0793935300000008</v>
      </c>
      <c r="H896">
        <f t="shared" si="458"/>
        <v>5.8343264799999996</v>
      </c>
      <c r="I896">
        <f t="shared" si="459"/>
        <v>3.5892594300000003</v>
      </c>
      <c r="J896">
        <f t="shared" si="460"/>
        <v>1.3441923799999991</v>
      </c>
      <c r="K896" s="1">
        <f t="shared" si="461"/>
        <v>0.44901341</v>
      </c>
      <c r="L896" s="1">
        <f t="shared" si="462"/>
        <v>0.44901341</v>
      </c>
      <c r="M896" s="1">
        <f t="shared" si="463"/>
        <v>0.44901341</v>
      </c>
      <c r="N896" s="1">
        <f t="shared" si="464"/>
        <v>0.44901341</v>
      </c>
      <c r="O896" s="1">
        <f t="shared" si="465"/>
        <v>0.44901341</v>
      </c>
      <c r="P896" s="1">
        <f t="shared" si="466"/>
        <v>1</v>
      </c>
      <c r="Q896" s="1">
        <f t="shared" si="467"/>
        <v>1.0872563426456514</v>
      </c>
      <c r="R896" s="1">
        <f t="shared" si="468"/>
        <v>1.3893784488054266</v>
      </c>
      <c r="S896" s="1">
        <f t="shared" si="469"/>
        <v>1.9240156149095038</v>
      </c>
      <c r="T896" s="1">
        <f t="shared" si="470"/>
        <v>3.1274794895502995</v>
      </c>
      <c r="U896" s="1">
        <f t="shared" si="471"/>
        <v>8.3509886062588805</v>
      </c>
      <c r="V896">
        <f t="shared" si="472"/>
        <v>71.48</v>
      </c>
      <c r="W896">
        <f t="shared" si="473"/>
        <v>79.762112849211917</v>
      </c>
      <c r="X896">
        <f t="shared" si="474"/>
        <v>75.240390372737593</v>
      </c>
      <c r="Y896">
        <f t="shared" si="475"/>
        <v>56.58031229819008</v>
      </c>
      <c r="Z896">
        <f t="shared" si="476"/>
        <v>69.350891067130249</v>
      </c>
      <c r="AA896">
        <f t="shared" si="477"/>
        <v>158.67230060953042</v>
      </c>
      <c r="AC896">
        <f t="shared" si="478"/>
        <v>85.25</v>
      </c>
      <c r="AD896">
        <f t="shared" si="479"/>
        <v>79.762112849211917</v>
      </c>
      <c r="AE896">
        <f t="shared" si="480"/>
        <v>76.824799586176368</v>
      </c>
      <c r="AF896">
        <f t="shared" si="481"/>
        <v>77.560468447285118</v>
      </c>
      <c r="AG896">
        <f t="shared" si="482"/>
        <v>50.4674794895503</v>
      </c>
      <c r="AH896">
        <f t="shared" si="483"/>
        <v>225.134715156472</v>
      </c>
      <c r="AJ896">
        <f t="shared" si="484"/>
        <v>99.009999999999991</v>
      </c>
      <c r="AK896">
        <f t="shared" si="485"/>
        <v>94.866535419054316</v>
      </c>
      <c r="AL896">
        <f t="shared" si="486"/>
        <v>95.248584074230635</v>
      </c>
      <c r="AM896">
        <f t="shared" si="487"/>
        <v>102.0805855591064</v>
      </c>
      <c r="AN896">
        <f t="shared" si="488"/>
        <v>142.34048085813623</v>
      </c>
      <c r="AO896">
        <f t="shared" si="489"/>
        <v>312.47460121906084</v>
      </c>
    </row>
    <row r="897" spans="1:41" x14ac:dyDescent="0.45">
      <c r="A897">
        <v>45.277576609999997</v>
      </c>
      <c r="B897">
        <v>84.988273559999996</v>
      </c>
      <c r="C897">
        <v>10.58811188</v>
      </c>
      <c r="D897">
        <v>3.4324939300000001</v>
      </c>
      <c r="E897">
        <f t="shared" si="455"/>
        <v>3.4324939300000001</v>
      </c>
      <c r="F897">
        <f t="shared" si="456"/>
        <v>0</v>
      </c>
      <c r="G897">
        <f t="shared" si="457"/>
        <v>0</v>
      </c>
      <c r="H897">
        <f t="shared" si="458"/>
        <v>0</v>
      </c>
      <c r="I897">
        <f t="shared" si="459"/>
        <v>0</v>
      </c>
      <c r="J897">
        <f t="shared" si="460"/>
        <v>0</v>
      </c>
      <c r="K897" s="1">
        <f t="shared" si="461"/>
        <v>0</v>
      </c>
      <c r="L897" s="1">
        <f t="shared" si="462"/>
        <v>0</v>
      </c>
      <c r="M897" s="1">
        <f t="shared" si="463"/>
        <v>0</v>
      </c>
      <c r="N897" s="1">
        <f t="shared" si="464"/>
        <v>0</v>
      </c>
      <c r="O897" s="1">
        <f t="shared" si="465"/>
        <v>0</v>
      </c>
      <c r="P897" s="1">
        <f t="shared" si="466"/>
        <v>25</v>
      </c>
      <c r="Q897" s="1" t="e">
        <f t="shared" si="467"/>
        <v>#DIV/0!</v>
      </c>
      <c r="R897" s="1" t="e">
        <f t="shared" si="468"/>
        <v>#DIV/0!</v>
      </c>
      <c r="S897" s="1" t="e">
        <f t="shared" si="469"/>
        <v>#DIV/0!</v>
      </c>
      <c r="T897" s="1" t="e">
        <f t="shared" si="470"/>
        <v>#DIV/0!</v>
      </c>
      <c r="U897" s="1" t="e">
        <f t="shared" si="471"/>
        <v>#DIV/0!</v>
      </c>
      <c r="V897">
        <f t="shared" si="472"/>
        <v>851.48</v>
      </c>
      <c r="W897">
        <f t="shared" si="473"/>
        <v>0</v>
      </c>
      <c r="X897">
        <f t="shared" si="474"/>
        <v>0</v>
      </c>
      <c r="Y897">
        <f t="shared" si="475"/>
        <v>0</v>
      </c>
      <c r="Z897">
        <f t="shared" si="476"/>
        <v>0</v>
      </c>
      <c r="AA897">
        <f t="shared" si="477"/>
        <v>0</v>
      </c>
      <c r="AC897">
        <f t="shared" si="478"/>
        <v>1045.25</v>
      </c>
      <c r="AD897">
        <f t="shared" si="479"/>
        <v>0</v>
      </c>
      <c r="AE897">
        <f t="shared" si="480"/>
        <v>0</v>
      </c>
      <c r="AF897">
        <f t="shared" si="481"/>
        <v>0</v>
      </c>
      <c r="AG897">
        <f t="shared" si="482"/>
        <v>0</v>
      </c>
      <c r="AH897">
        <f t="shared" si="483"/>
        <v>0</v>
      </c>
      <c r="AJ897">
        <f t="shared" si="484"/>
        <v>1239.01</v>
      </c>
      <c r="AK897">
        <f t="shared" si="485"/>
        <v>0</v>
      </c>
      <c r="AL897">
        <f t="shared" si="486"/>
        <v>0</v>
      </c>
      <c r="AM897">
        <f t="shared" si="487"/>
        <v>0</v>
      </c>
      <c r="AN897">
        <f t="shared" si="488"/>
        <v>0</v>
      </c>
      <c r="AO897">
        <f t="shared" si="489"/>
        <v>0</v>
      </c>
    </row>
    <row r="898" spans="1:41" x14ac:dyDescent="0.45">
      <c r="A898">
        <v>45.295050510000003</v>
      </c>
      <c r="B898">
        <v>115.9956667</v>
      </c>
      <c r="C898">
        <v>6.3704409599999998</v>
      </c>
      <c r="D898">
        <v>6.3535819099999999</v>
      </c>
      <c r="E898">
        <f t="shared" si="455"/>
        <v>6.3535819099999999</v>
      </c>
      <c r="F898">
        <f t="shared" si="456"/>
        <v>0</v>
      </c>
      <c r="G898">
        <f t="shared" si="457"/>
        <v>0</v>
      </c>
      <c r="H898">
        <f t="shared" si="458"/>
        <v>0</v>
      </c>
      <c r="I898">
        <f t="shared" si="459"/>
        <v>0</v>
      </c>
      <c r="J898">
        <f t="shared" si="460"/>
        <v>0</v>
      </c>
      <c r="K898" s="1">
        <f t="shared" si="461"/>
        <v>0</v>
      </c>
      <c r="L898" s="1">
        <f t="shared" si="462"/>
        <v>0</v>
      </c>
      <c r="M898" s="1">
        <f t="shared" si="463"/>
        <v>0</v>
      </c>
      <c r="N898" s="1">
        <f t="shared" si="464"/>
        <v>0</v>
      </c>
      <c r="O898" s="1">
        <f t="shared" si="465"/>
        <v>0</v>
      </c>
      <c r="P898" s="1">
        <f t="shared" si="466"/>
        <v>25</v>
      </c>
      <c r="Q898" s="1" t="e">
        <f t="shared" si="467"/>
        <v>#DIV/0!</v>
      </c>
      <c r="R898" s="1" t="e">
        <f t="shared" si="468"/>
        <v>#DIV/0!</v>
      </c>
      <c r="S898" s="1" t="e">
        <f t="shared" si="469"/>
        <v>#DIV/0!</v>
      </c>
      <c r="T898" s="1" t="e">
        <f t="shared" si="470"/>
        <v>#DIV/0!</v>
      </c>
      <c r="U898" s="1" t="e">
        <f t="shared" si="471"/>
        <v>#DIV/0!</v>
      </c>
      <c r="V898">
        <f t="shared" si="472"/>
        <v>851.48</v>
      </c>
      <c r="W898">
        <f t="shared" si="473"/>
        <v>0</v>
      </c>
      <c r="X898">
        <f t="shared" si="474"/>
        <v>0</v>
      </c>
      <c r="Y898">
        <f t="shared" si="475"/>
        <v>0</v>
      </c>
      <c r="Z898">
        <f t="shared" si="476"/>
        <v>0</v>
      </c>
      <c r="AA898">
        <f t="shared" si="477"/>
        <v>0</v>
      </c>
      <c r="AC898">
        <f t="shared" si="478"/>
        <v>1045.25</v>
      </c>
      <c r="AD898">
        <f t="shared" si="479"/>
        <v>0</v>
      </c>
      <c r="AE898">
        <f t="shared" si="480"/>
        <v>0</v>
      </c>
      <c r="AF898">
        <f t="shared" si="481"/>
        <v>0</v>
      </c>
      <c r="AG898">
        <f t="shared" si="482"/>
        <v>0</v>
      </c>
      <c r="AH898">
        <f t="shared" si="483"/>
        <v>0</v>
      </c>
      <c r="AJ898">
        <f t="shared" si="484"/>
        <v>1239.01</v>
      </c>
      <c r="AK898">
        <f t="shared" si="485"/>
        <v>0</v>
      </c>
      <c r="AL898">
        <f t="shared" si="486"/>
        <v>0</v>
      </c>
      <c r="AM898">
        <f t="shared" si="487"/>
        <v>0</v>
      </c>
      <c r="AN898">
        <f t="shared" si="488"/>
        <v>0</v>
      </c>
      <c r="AO898">
        <f t="shared" si="489"/>
        <v>0</v>
      </c>
    </row>
    <row r="899" spans="1:41" x14ac:dyDescent="0.45">
      <c r="A899">
        <v>45.310043559999997</v>
      </c>
      <c r="B899">
        <v>126.191456</v>
      </c>
      <c r="C899">
        <v>0.75035375000000004</v>
      </c>
      <c r="D899">
        <v>0.34505299</v>
      </c>
      <c r="E899">
        <f t="shared" ref="E899:E962" si="490">MIN(C899,D899)</f>
        <v>0.34505299</v>
      </c>
      <c r="F899">
        <f t="shared" ref="F899:F962" si="491">MAX(0,(D899-(C899*(2030-2025))))</f>
        <v>0</v>
      </c>
      <c r="G899">
        <f t="shared" ref="G899:G962" si="492">MAX(0,(D899-(C899*(2035-2025))))</f>
        <v>0</v>
      </c>
      <c r="H899">
        <f t="shared" ref="H899:H962" si="493">MAX(0,(D899-(C899*(2040-2025))))</f>
        <v>0</v>
      </c>
      <c r="I899">
        <f t="shared" ref="I899:I962" si="494">MAX(0,(D899-(C899*(2045-2025))))</f>
        <v>0</v>
      </c>
      <c r="J899">
        <f t="shared" ref="J899:J962" si="495">MAX(0,(D899-(C899*(2050-2025))))</f>
        <v>0</v>
      </c>
      <c r="K899" s="1">
        <f t="shared" ref="K899:K962" si="496">MIN(E899,F899)</f>
        <v>0</v>
      </c>
      <c r="L899" s="1">
        <f t="shared" ref="L899:L962" si="497">MIN(E899,G899)</f>
        <v>0</v>
      </c>
      <c r="M899" s="1">
        <f t="shared" ref="M899:M962" si="498">MIN(E899,H899)</f>
        <v>0</v>
      </c>
      <c r="N899" s="1">
        <f t="shared" ref="N899:N962" si="499">MIN(E899,I899)</f>
        <v>0</v>
      </c>
      <c r="O899" s="1">
        <f t="shared" ref="O899:O962" si="500">MIN(E899,J899)</f>
        <v>0</v>
      </c>
      <c r="P899" s="1">
        <f t="shared" ref="P899:P962" si="501">MAX(1,((25*E899)/D899))</f>
        <v>25</v>
      </c>
      <c r="Q899" s="1" t="e">
        <f t="shared" ref="Q899:Q962" si="502">MAX(1, ((25*K899)/F899))</f>
        <v>#DIV/0!</v>
      </c>
      <c r="R899" s="1" t="e">
        <f t="shared" ref="R899:R962" si="503">MAX(1, ((25*L899)/G899))</f>
        <v>#DIV/0!</v>
      </c>
      <c r="S899" s="1" t="e">
        <f t="shared" ref="S899:S962" si="504">MAX(1, ((25*M899)/H899))</f>
        <v>#DIV/0!</v>
      </c>
      <c r="T899" s="1" t="e">
        <f t="shared" ref="T899:T962" si="505">MAX(1, ((25*N899)/I899))</f>
        <v>#DIV/0!</v>
      </c>
      <c r="U899" s="1" t="e">
        <f t="shared" ref="U899:U962" si="506">MAX(1, ((25*O899)/J899))</f>
        <v>#DIV/0!</v>
      </c>
      <c r="V899">
        <f t="shared" ref="V899:V962" si="507">(32.02+6.96+(0.13*250*P899))</f>
        <v>851.48</v>
      </c>
      <c r="W899">
        <f t="shared" ref="W899:W962" si="508">IF(F899&gt;0,(32.72+6.27+(0.15*250*Q899)),F899)</f>
        <v>0</v>
      </c>
      <c r="X899">
        <f t="shared" ref="X899:X962" si="509">IF(G899&gt;0,(22.27+4.87+(0.1*250*S899)),G899)</f>
        <v>0</v>
      </c>
      <c r="Y899">
        <f t="shared" ref="Y899:Y962" si="510">IF(H899&gt;0,(13.92+4.18+(0.08*250*S899)),H899)</f>
        <v>0</v>
      </c>
      <c r="Z899">
        <f t="shared" ref="Z899:Z962" si="511">IF(I899&gt;0,(11.14+3.48+(0.07*250*T899)),I899)</f>
        <v>0</v>
      </c>
      <c r="AA899">
        <f t="shared" ref="AA899:AA962" si="512">IF(J899&gt;0,(9.75+2.78+(0.07*250*U899)),J899)</f>
        <v>0</v>
      </c>
      <c r="AC899">
        <f t="shared" ref="AC899:AC962" si="513">IF(D899&gt;0,(37.59+7.66+(0.16*250*P899)),D899)</f>
        <v>1045.25</v>
      </c>
      <c r="AD899">
        <f t="shared" ref="AD899:AD962" si="514">IF(F899&gt;0,(32.72+6.27+(0.15*250*Q899)),F899)</f>
        <v>0</v>
      </c>
      <c r="AE899">
        <f t="shared" ref="AE899:AE962" si="515">IF(G899&gt;0,(26.45+5.22+(0.13*250*R899)),G899)</f>
        <v>0</v>
      </c>
      <c r="AF899">
        <f t="shared" ref="AF899:AF962" si="516">IF(H899&gt;0,(15.31+4.53+(0.12*250*S899)),H899)</f>
        <v>0</v>
      </c>
      <c r="AG899">
        <f t="shared" ref="AG899:AG962" si="517">IF(I899&gt;0,(16.01+3.83+(0.11*250+T899)),I899)</f>
        <v>0</v>
      </c>
      <c r="AH899">
        <f t="shared" ref="AH899:AH962" si="518">IF(J899,(13.23+3.13+(0.1*250*U899)),J899)</f>
        <v>0</v>
      </c>
      <c r="AJ899">
        <f t="shared" ref="AJ899:AJ962" si="519">(43.16+8.35+(0.19*250*P899))</f>
        <v>1239.01</v>
      </c>
      <c r="AK899">
        <f t="shared" ref="AK899:AK962" si="520">IF(F899&gt;0,(38.98+6.96+(0.18*250*Q899)),F899)</f>
        <v>0</v>
      </c>
      <c r="AL899">
        <f t="shared" ref="AL899:AL962" si="521">IF(G899&gt;0,(30.63+5.57+(0.17*250*R899)),G899)</f>
        <v>0</v>
      </c>
      <c r="AM899">
        <f t="shared" ref="AM899:AM962" si="522">IF(H899&gt;0,(25.06+4.87+(0.15*250*S899)),H899)</f>
        <v>0</v>
      </c>
      <c r="AN899">
        <f t="shared" ref="AN899:AN962" si="523">IF(I899&gt;0,(20.88+4.18+(0.15*250*T899)),I899)</f>
        <v>0</v>
      </c>
      <c r="AO899">
        <f t="shared" ref="AO899:AO962" si="524">IF(J899,(16.71+3.48+(0.14*250*U899)),J899)</f>
        <v>0</v>
      </c>
    </row>
    <row r="900" spans="1:41" x14ac:dyDescent="0.45">
      <c r="A900">
        <v>45.316456049999999</v>
      </c>
      <c r="B900">
        <v>88.508215860000007</v>
      </c>
      <c r="C900">
        <v>2.0064427899999999</v>
      </c>
      <c r="D900">
        <v>0.97312200000000004</v>
      </c>
      <c r="E900">
        <f t="shared" si="490"/>
        <v>0.97312200000000004</v>
      </c>
      <c r="F900">
        <f t="shared" si="491"/>
        <v>0</v>
      </c>
      <c r="G900">
        <f t="shared" si="492"/>
        <v>0</v>
      </c>
      <c r="H900">
        <f t="shared" si="493"/>
        <v>0</v>
      </c>
      <c r="I900">
        <f t="shared" si="494"/>
        <v>0</v>
      </c>
      <c r="J900">
        <f t="shared" si="495"/>
        <v>0</v>
      </c>
      <c r="K900" s="1">
        <f t="shared" si="496"/>
        <v>0</v>
      </c>
      <c r="L900" s="1">
        <f t="shared" si="497"/>
        <v>0</v>
      </c>
      <c r="M900" s="1">
        <f t="shared" si="498"/>
        <v>0</v>
      </c>
      <c r="N900" s="1">
        <f t="shared" si="499"/>
        <v>0</v>
      </c>
      <c r="O900" s="1">
        <f t="shared" si="500"/>
        <v>0</v>
      </c>
      <c r="P900" s="1">
        <f t="shared" si="501"/>
        <v>25</v>
      </c>
      <c r="Q900" s="1" t="e">
        <f t="shared" si="502"/>
        <v>#DIV/0!</v>
      </c>
      <c r="R900" s="1" t="e">
        <f t="shared" si="503"/>
        <v>#DIV/0!</v>
      </c>
      <c r="S900" s="1" t="e">
        <f t="shared" si="504"/>
        <v>#DIV/0!</v>
      </c>
      <c r="T900" s="1" t="e">
        <f t="shared" si="505"/>
        <v>#DIV/0!</v>
      </c>
      <c r="U900" s="1" t="e">
        <f t="shared" si="506"/>
        <v>#DIV/0!</v>
      </c>
      <c r="V900">
        <f t="shared" si="507"/>
        <v>851.48</v>
      </c>
      <c r="W900">
        <f t="shared" si="508"/>
        <v>0</v>
      </c>
      <c r="X900">
        <f t="shared" si="509"/>
        <v>0</v>
      </c>
      <c r="Y900">
        <f t="shared" si="510"/>
        <v>0</v>
      </c>
      <c r="Z900">
        <f t="shared" si="511"/>
        <v>0</v>
      </c>
      <c r="AA900">
        <f t="shared" si="512"/>
        <v>0</v>
      </c>
      <c r="AC900">
        <f t="shared" si="513"/>
        <v>1045.25</v>
      </c>
      <c r="AD900">
        <f t="shared" si="514"/>
        <v>0</v>
      </c>
      <c r="AE900">
        <f t="shared" si="515"/>
        <v>0</v>
      </c>
      <c r="AF900">
        <f t="shared" si="516"/>
        <v>0</v>
      </c>
      <c r="AG900">
        <f t="shared" si="517"/>
        <v>0</v>
      </c>
      <c r="AH900">
        <f t="shared" si="518"/>
        <v>0</v>
      </c>
      <c r="AJ900">
        <f t="shared" si="519"/>
        <v>1239.01</v>
      </c>
      <c r="AK900">
        <f t="shared" si="520"/>
        <v>0</v>
      </c>
      <c r="AL900">
        <f t="shared" si="521"/>
        <v>0</v>
      </c>
      <c r="AM900">
        <f t="shared" si="522"/>
        <v>0</v>
      </c>
      <c r="AN900">
        <f t="shared" si="523"/>
        <v>0</v>
      </c>
      <c r="AO900">
        <f t="shared" si="524"/>
        <v>0</v>
      </c>
    </row>
    <row r="901" spans="1:41" x14ac:dyDescent="0.45">
      <c r="A901">
        <v>45.321671799999997</v>
      </c>
      <c r="B901">
        <v>124.49394359999999</v>
      </c>
      <c r="C901">
        <v>14.23618984</v>
      </c>
      <c r="D901">
        <v>7.6229448299999998</v>
      </c>
      <c r="E901">
        <f t="shared" si="490"/>
        <v>7.6229448299999998</v>
      </c>
      <c r="F901">
        <f t="shared" si="491"/>
        <v>0</v>
      </c>
      <c r="G901">
        <f t="shared" si="492"/>
        <v>0</v>
      </c>
      <c r="H901">
        <f t="shared" si="493"/>
        <v>0</v>
      </c>
      <c r="I901">
        <f t="shared" si="494"/>
        <v>0</v>
      </c>
      <c r="J901">
        <f t="shared" si="495"/>
        <v>0</v>
      </c>
      <c r="K901" s="1">
        <f t="shared" si="496"/>
        <v>0</v>
      </c>
      <c r="L901" s="1">
        <f t="shared" si="497"/>
        <v>0</v>
      </c>
      <c r="M901" s="1">
        <f t="shared" si="498"/>
        <v>0</v>
      </c>
      <c r="N901" s="1">
        <f t="shared" si="499"/>
        <v>0</v>
      </c>
      <c r="O901" s="1">
        <f t="shared" si="500"/>
        <v>0</v>
      </c>
      <c r="P901" s="1">
        <f t="shared" si="501"/>
        <v>25</v>
      </c>
      <c r="Q901" s="1" t="e">
        <f t="shared" si="502"/>
        <v>#DIV/0!</v>
      </c>
      <c r="R901" s="1" t="e">
        <f t="shared" si="503"/>
        <v>#DIV/0!</v>
      </c>
      <c r="S901" s="1" t="e">
        <f t="shared" si="504"/>
        <v>#DIV/0!</v>
      </c>
      <c r="T901" s="1" t="e">
        <f t="shared" si="505"/>
        <v>#DIV/0!</v>
      </c>
      <c r="U901" s="1" t="e">
        <f t="shared" si="506"/>
        <v>#DIV/0!</v>
      </c>
      <c r="V901">
        <f t="shared" si="507"/>
        <v>851.48</v>
      </c>
      <c r="W901">
        <f t="shared" si="508"/>
        <v>0</v>
      </c>
      <c r="X901">
        <f t="shared" si="509"/>
        <v>0</v>
      </c>
      <c r="Y901">
        <f t="shared" si="510"/>
        <v>0</v>
      </c>
      <c r="Z901">
        <f t="shared" si="511"/>
        <v>0</v>
      </c>
      <c r="AA901">
        <f t="shared" si="512"/>
        <v>0</v>
      </c>
      <c r="AC901">
        <f t="shared" si="513"/>
        <v>1045.25</v>
      </c>
      <c r="AD901">
        <f t="shared" si="514"/>
        <v>0</v>
      </c>
      <c r="AE901">
        <f t="shared" si="515"/>
        <v>0</v>
      </c>
      <c r="AF901">
        <f t="shared" si="516"/>
        <v>0</v>
      </c>
      <c r="AG901">
        <f t="shared" si="517"/>
        <v>0</v>
      </c>
      <c r="AH901">
        <f t="shared" si="518"/>
        <v>0</v>
      </c>
      <c r="AJ901">
        <f t="shared" si="519"/>
        <v>1239.01</v>
      </c>
      <c r="AK901">
        <f t="shared" si="520"/>
        <v>0</v>
      </c>
      <c r="AL901">
        <f t="shared" si="521"/>
        <v>0</v>
      </c>
      <c r="AM901">
        <f t="shared" si="522"/>
        <v>0</v>
      </c>
      <c r="AN901">
        <f t="shared" si="523"/>
        <v>0</v>
      </c>
      <c r="AO901">
        <f t="shared" si="524"/>
        <v>0</v>
      </c>
    </row>
    <row r="902" spans="1:41" x14ac:dyDescent="0.45">
      <c r="A902">
        <v>45.322772880000002</v>
      </c>
      <c r="B902">
        <v>124.82090100000001</v>
      </c>
      <c r="C902">
        <v>0.35140180999999998</v>
      </c>
      <c r="D902">
        <v>19.3736496</v>
      </c>
      <c r="E902">
        <f t="shared" si="490"/>
        <v>0.35140180999999998</v>
      </c>
      <c r="F902">
        <f t="shared" si="491"/>
        <v>17.61664055</v>
      </c>
      <c r="G902">
        <f t="shared" si="492"/>
        <v>15.859631500000001</v>
      </c>
      <c r="H902">
        <f t="shared" si="493"/>
        <v>14.10262245</v>
      </c>
      <c r="I902">
        <f t="shared" si="494"/>
        <v>12.345613400000001</v>
      </c>
      <c r="J902">
        <f t="shared" si="495"/>
        <v>10.588604350000001</v>
      </c>
      <c r="K902" s="1">
        <f t="shared" si="496"/>
        <v>0.35140180999999998</v>
      </c>
      <c r="L902" s="1">
        <f t="shared" si="497"/>
        <v>0.35140180999999998</v>
      </c>
      <c r="M902" s="1">
        <f t="shared" si="498"/>
        <v>0.35140180999999998</v>
      </c>
      <c r="N902" s="1">
        <f t="shared" si="499"/>
        <v>0.35140180999999998</v>
      </c>
      <c r="O902" s="1">
        <f t="shared" si="500"/>
        <v>0.35140180999999998</v>
      </c>
      <c r="P902" s="1">
        <f t="shared" si="501"/>
        <v>1</v>
      </c>
      <c r="Q902" s="1">
        <f t="shared" si="502"/>
        <v>1</v>
      </c>
      <c r="R902" s="1">
        <f t="shared" si="503"/>
        <v>1</v>
      </c>
      <c r="S902" s="1">
        <f t="shared" si="504"/>
        <v>1</v>
      </c>
      <c r="T902" s="1">
        <f t="shared" si="505"/>
        <v>1</v>
      </c>
      <c r="U902" s="1">
        <f t="shared" si="506"/>
        <v>1</v>
      </c>
      <c r="V902">
        <f t="shared" si="507"/>
        <v>71.48</v>
      </c>
      <c r="W902">
        <f t="shared" si="508"/>
        <v>76.489999999999995</v>
      </c>
      <c r="X902">
        <f t="shared" si="509"/>
        <v>52.14</v>
      </c>
      <c r="Y902">
        <f t="shared" si="510"/>
        <v>38.1</v>
      </c>
      <c r="Z902">
        <f t="shared" si="511"/>
        <v>32.120000000000005</v>
      </c>
      <c r="AA902">
        <f t="shared" si="512"/>
        <v>30.03</v>
      </c>
      <c r="AC902">
        <f t="shared" si="513"/>
        <v>85.25</v>
      </c>
      <c r="AD902">
        <f t="shared" si="514"/>
        <v>76.489999999999995</v>
      </c>
      <c r="AE902">
        <f t="shared" si="515"/>
        <v>64.17</v>
      </c>
      <c r="AF902">
        <f t="shared" si="516"/>
        <v>49.84</v>
      </c>
      <c r="AG902">
        <f t="shared" si="517"/>
        <v>48.34</v>
      </c>
      <c r="AH902">
        <f t="shared" si="518"/>
        <v>41.36</v>
      </c>
      <c r="AJ902">
        <f t="shared" si="519"/>
        <v>99.009999999999991</v>
      </c>
      <c r="AK902">
        <f t="shared" si="520"/>
        <v>90.94</v>
      </c>
      <c r="AL902">
        <f t="shared" si="521"/>
        <v>78.7</v>
      </c>
      <c r="AM902">
        <f t="shared" si="522"/>
        <v>67.430000000000007</v>
      </c>
      <c r="AN902">
        <f t="shared" si="523"/>
        <v>62.56</v>
      </c>
      <c r="AO902">
        <f t="shared" si="524"/>
        <v>55.19</v>
      </c>
    </row>
    <row r="903" spans="1:41" x14ac:dyDescent="0.45">
      <c r="A903">
        <v>45.325903420000003</v>
      </c>
      <c r="B903">
        <v>85.301388529999997</v>
      </c>
      <c r="C903">
        <v>0.72106236000000001</v>
      </c>
      <c r="D903">
        <v>9.02046013</v>
      </c>
      <c r="E903">
        <f t="shared" si="490"/>
        <v>0.72106236000000001</v>
      </c>
      <c r="F903">
        <f t="shared" si="491"/>
        <v>5.4151483300000001</v>
      </c>
      <c r="G903">
        <f t="shared" si="492"/>
        <v>1.8098365300000001</v>
      </c>
      <c r="H903">
        <f t="shared" si="493"/>
        <v>0</v>
      </c>
      <c r="I903">
        <f t="shared" si="494"/>
        <v>0</v>
      </c>
      <c r="J903">
        <f t="shared" si="495"/>
        <v>0</v>
      </c>
      <c r="K903" s="1">
        <f t="shared" si="496"/>
        <v>0.72106236000000001</v>
      </c>
      <c r="L903" s="1">
        <f t="shared" si="497"/>
        <v>0.72106236000000001</v>
      </c>
      <c r="M903" s="1">
        <f t="shared" si="498"/>
        <v>0</v>
      </c>
      <c r="N903" s="1">
        <f t="shared" si="499"/>
        <v>0</v>
      </c>
      <c r="O903" s="1">
        <f t="shared" si="500"/>
        <v>0</v>
      </c>
      <c r="P903" s="1">
        <f t="shared" si="501"/>
        <v>1.9984079237873644</v>
      </c>
      <c r="Q903" s="1">
        <f t="shared" si="502"/>
        <v>3.3289132451151158</v>
      </c>
      <c r="R903" s="1">
        <f t="shared" si="503"/>
        <v>9.9603244277537026</v>
      </c>
      <c r="S903" s="1" t="e">
        <f t="shared" si="504"/>
        <v>#DIV/0!</v>
      </c>
      <c r="T903" s="1" t="e">
        <f t="shared" si="505"/>
        <v>#DIV/0!</v>
      </c>
      <c r="U903" s="1" t="e">
        <f t="shared" si="506"/>
        <v>#DIV/0!</v>
      </c>
      <c r="V903">
        <f t="shared" si="507"/>
        <v>103.92825752308934</v>
      </c>
      <c r="W903">
        <f t="shared" si="508"/>
        <v>163.82424669181682</v>
      </c>
      <c r="X903" t="e">
        <f t="shared" si="509"/>
        <v>#DIV/0!</v>
      </c>
      <c r="Y903">
        <f t="shared" si="510"/>
        <v>0</v>
      </c>
      <c r="Z903">
        <f t="shared" si="511"/>
        <v>0</v>
      </c>
      <c r="AA903">
        <f t="shared" si="512"/>
        <v>0</v>
      </c>
      <c r="AC903">
        <f t="shared" si="513"/>
        <v>125.18631695149458</v>
      </c>
      <c r="AD903">
        <f t="shared" si="514"/>
        <v>163.82424669181682</v>
      </c>
      <c r="AE903">
        <f t="shared" si="515"/>
        <v>355.38054390199534</v>
      </c>
      <c r="AF903">
        <f t="shared" si="516"/>
        <v>0</v>
      </c>
      <c r="AG903">
        <f t="shared" si="517"/>
        <v>0</v>
      </c>
      <c r="AH903">
        <f t="shared" si="518"/>
        <v>0</v>
      </c>
      <c r="AJ903">
        <f t="shared" si="519"/>
        <v>146.43437637989982</v>
      </c>
      <c r="AK903">
        <f t="shared" si="520"/>
        <v>195.74109603018022</v>
      </c>
      <c r="AL903">
        <f t="shared" si="521"/>
        <v>459.51378817953236</v>
      </c>
      <c r="AM903">
        <f t="shared" si="522"/>
        <v>0</v>
      </c>
      <c r="AN903">
        <f t="shared" si="523"/>
        <v>0</v>
      </c>
      <c r="AO903">
        <f t="shared" si="524"/>
        <v>0</v>
      </c>
    </row>
    <row r="904" spans="1:41" x14ac:dyDescent="0.45">
      <c r="A904">
        <v>45.365925279999999</v>
      </c>
      <c r="B904">
        <v>84.960653699999995</v>
      </c>
      <c r="C904">
        <v>10.58811188</v>
      </c>
      <c r="D904">
        <v>16.370607379999999</v>
      </c>
      <c r="E904">
        <f t="shared" si="490"/>
        <v>10.58811188</v>
      </c>
      <c r="F904">
        <f t="shared" si="491"/>
        <v>0</v>
      </c>
      <c r="G904">
        <f t="shared" si="492"/>
        <v>0</v>
      </c>
      <c r="H904">
        <f t="shared" si="493"/>
        <v>0</v>
      </c>
      <c r="I904">
        <f t="shared" si="494"/>
        <v>0</v>
      </c>
      <c r="J904">
        <f t="shared" si="495"/>
        <v>0</v>
      </c>
      <c r="K904" s="1">
        <f t="shared" si="496"/>
        <v>0</v>
      </c>
      <c r="L904" s="1">
        <f t="shared" si="497"/>
        <v>0</v>
      </c>
      <c r="M904" s="1">
        <f t="shared" si="498"/>
        <v>0</v>
      </c>
      <c r="N904" s="1">
        <f t="shared" si="499"/>
        <v>0</v>
      </c>
      <c r="O904" s="1">
        <f t="shared" si="500"/>
        <v>0</v>
      </c>
      <c r="P904" s="1">
        <f t="shared" si="501"/>
        <v>16.169393771143021</v>
      </c>
      <c r="Q904" s="1" t="e">
        <f t="shared" si="502"/>
        <v>#DIV/0!</v>
      </c>
      <c r="R904" s="1" t="e">
        <f t="shared" si="503"/>
        <v>#DIV/0!</v>
      </c>
      <c r="S904" s="1" t="e">
        <f t="shared" si="504"/>
        <v>#DIV/0!</v>
      </c>
      <c r="T904" s="1" t="e">
        <f t="shared" si="505"/>
        <v>#DIV/0!</v>
      </c>
      <c r="U904" s="1" t="e">
        <f t="shared" si="506"/>
        <v>#DIV/0!</v>
      </c>
      <c r="V904">
        <f t="shared" si="507"/>
        <v>564.48529756214816</v>
      </c>
      <c r="W904">
        <f t="shared" si="508"/>
        <v>0</v>
      </c>
      <c r="X904">
        <f t="shared" si="509"/>
        <v>0</v>
      </c>
      <c r="Y904">
        <f t="shared" si="510"/>
        <v>0</v>
      </c>
      <c r="Z904">
        <f t="shared" si="511"/>
        <v>0</v>
      </c>
      <c r="AA904">
        <f t="shared" si="512"/>
        <v>0</v>
      </c>
      <c r="AC904">
        <f t="shared" si="513"/>
        <v>692.02575084572084</v>
      </c>
      <c r="AD904">
        <f t="shared" si="514"/>
        <v>0</v>
      </c>
      <c r="AE904">
        <f t="shared" si="515"/>
        <v>0</v>
      </c>
      <c r="AF904">
        <f t="shared" si="516"/>
        <v>0</v>
      </c>
      <c r="AG904">
        <f t="shared" si="517"/>
        <v>0</v>
      </c>
      <c r="AH904">
        <f t="shared" si="518"/>
        <v>0</v>
      </c>
      <c r="AJ904">
        <f t="shared" si="519"/>
        <v>819.55620412929352</v>
      </c>
      <c r="AK904">
        <f t="shared" si="520"/>
        <v>0</v>
      </c>
      <c r="AL904">
        <f t="shared" si="521"/>
        <v>0</v>
      </c>
      <c r="AM904">
        <f t="shared" si="522"/>
        <v>0</v>
      </c>
      <c r="AN904">
        <f t="shared" si="523"/>
        <v>0</v>
      </c>
      <c r="AO904">
        <f t="shared" si="524"/>
        <v>0</v>
      </c>
    </row>
    <row r="905" spans="1:41" x14ac:dyDescent="0.45">
      <c r="A905">
        <v>45.380355219999998</v>
      </c>
      <c r="B905">
        <v>116.0727244</v>
      </c>
      <c r="C905">
        <v>6.3704409599999998</v>
      </c>
      <c r="D905">
        <v>5.5550441700000004</v>
      </c>
      <c r="E905">
        <f t="shared" si="490"/>
        <v>5.5550441700000004</v>
      </c>
      <c r="F905">
        <f t="shared" si="491"/>
        <v>0</v>
      </c>
      <c r="G905">
        <f t="shared" si="492"/>
        <v>0</v>
      </c>
      <c r="H905">
        <f t="shared" si="493"/>
        <v>0</v>
      </c>
      <c r="I905">
        <f t="shared" si="494"/>
        <v>0</v>
      </c>
      <c r="J905">
        <f t="shared" si="495"/>
        <v>0</v>
      </c>
      <c r="K905" s="1">
        <f t="shared" si="496"/>
        <v>0</v>
      </c>
      <c r="L905" s="1">
        <f t="shared" si="497"/>
        <v>0</v>
      </c>
      <c r="M905" s="1">
        <f t="shared" si="498"/>
        <v>0</v>
      </c>
      <c r="N905" s="1">
        <f t="shared" si="499"/>
        <v>0</v>
      </c>
      <c r="O905" s="1">
        <f t="shared" si="500"/>
        <v>0</v>
      </c>
      <c r="P905" s="1">
        <f t="shared" si="501"/>
        <v>24.999999999999996</v>
      </c>
      <c r="Q905" s="1" t="e">
        <f t="shared" si="502"/>
        <v>#DIV/0!</v>
      </c>
      <c r="R905" s="1" t="e">
        <f t="shared" si="503"/>
        <v>#DIV/0!</v>
      </c>
      <c r="S905" s="1" t="e">
        <f t="shared" si="504"/>
        <v>#DIV/0!</v>
      </c>
      <c r="T905" s="1" t="e">
        <f t="shared" si="505"/>
        <v>#DIV/0!</v>
      </c>
      <c r="U905" s="1" t="e">
        <f t="shared" si="506"/>
        <v>#DIV/0!</v>
      </c>
      <c r="V905">
        <f t="shared" si="507"/>
        <v>851.4799999999999</v>
      </c>
      <c r="W905">
        <f t="shared" si="508"/>
        <v>0</v>
      </c>
      <c r="X905">
        <f t="shared" si="509"/>
        <v>0</v>
      </c>
      <c r="Y905">
        <f t="shared" si="510"/>
        <v>0</v>
      </c>
      <c r="Z905">
        <f t="shared" si="511"/>
        <v>0</v>
      </c>
      <c r="AA905">
        <f t="shared" si="512"/>
        <v>0</v>
      </c>
      <c r="AC905">
        <f t="shared" si="513"/>
        <v>1045.25</v>
      </c>
      <c r="AD905">
        <f t="shared" si="514"/>
        <v>0</v>
      </c>
      <c r="AE905">
        <f t="shared" si="515"/>
        <v>0</v>
      </c>
      <c r="AF905">
        <f t="shared" si="516"/>
        <v>0</v>
      </c>
      <c r="AG905">
        <f t="shared" si="517"/>
        <v>0</v>
      </c>
      <c r="AH905">
        <f t="shared" si="518"/>
        <v>0</v>
      </c>
      <c r="AJ905">
        <f t="shared" si="519"/>
        <v>1239.0099999999998</v>
      </c>
      <c r="AK905">
        <f t="shared" si="520"/>
        <v>0</v>
      </c>
      <c r="AL905">
        <f t="shared" si="521"/>
        <v>0</v>
      </c>
      <c r="AM905">
        <f t="shared" si="522"/>
        <v>0</v>
      </c>
      <c r="AN905">
        <f t="shared" si="523"/>
        <v>0</v>
      </c>
      <c r="AO905">
        <f t="shared" si="524"/>
        <v>0</v>
      </c>
    </row>
    <row r="906" spans="1:41" x14ac:dyDescent="0.45">
      <c r="A906">
        <v>45.480542980000003</v>
      </c>
      <c r="B906">
        <v>124.34122499999999</v>
      </c>
      <c r="C906">
        <v>0.44901341</v>
      </c>
      <c r="D906">
        <v>0.65264398000000001</v>
      </c>
      <c r="E906">
        <f t="shared" si="490"/>
        <v>0.44901341</v>
      </c>
      <c r="F906">
        <f t="shared" si="491"/>
        <v>0</v>
      </c>
      <c r="G906">
        <f t="shared" si="492"/>
        <v>0</v>
      </c>
      <c r="H906">
        <f t="shared" si="493"/>
        <v>0</v>
      </c>
      <c r="I906">
        <f t="shared" si="494"/>
        <v>0</v>
      </c>
      <c r="J906">
        <f t="shared" si="495"/>
        <v>0</v>
      </c>
      <c r="K906" s="1">
        <f t="shared" si="496"/>
        <v>0</v>
      </c>
      <c r="L906" s="1">
        <f t="shared" si="497"/>
        <v>0</v>
      </c>
      <c r="M906" s="1">
        <f t="shared" si="498"/>
        <v>0</v>
      </c>
      <c r="N906" s="1">
        <f t="shared" si="499"/>
        <v>0</v>
      </c>
      <c r="O906" s="1">
        <f t="shared" si="500"/>
        <v>0</v>
      </c>
      <c r="P906" s="1">
        <f t="shared" si="501"/>
        <v>17.19978364007893</v>
      </c>
      <c r="Q906" s="1" t="e">
        <f t="shared" si="502"/>
        <v>#DIV/0!</v>
      </c>
      <c r="R906" s="1" t="e">
        <f t="shared" si="503"/>
        <v>#DIV/0!</v>
      </c>
      <c r="S906" s="1" t="e">
        <f t="shared" si="504"/>
        <v>#DIV/0!</v>
      </c>
      <c r="T906" s="1" t="e">
        <f t="shared" si="505"/>
        <v>#DIV/0!</v>
      </c>
      <c r="U906" s="1" t="e">
        <f t="shared" si="506"/>
        <v>#DIV/0!</v>
      </c>
      <c r="V906">
        <f t="shared" si="507"/>
        <v>597.97296830256528</v>
      </c>
      <c r="W906">
        <f t="shared" si="508"/>
        <v>0</v>
      </c>
      <c r="X906">
        <f t="shared" si="509"/>
        <v>0</v>
      </c>
      <c r="Y906">
        <f t="shared" si="510"/>
        <v>0</v>
      </c>
      <c r="Z906">
        <f t="shared" si="511"/>
        <v>0</v>
      </c>
      <c r="AA906">
        <f t="shared" si="512"/>
        <v>0</v>
      </c>
      <c r="AC906">
        <f t="shared" si="513"/>
        <v>733.24134560315724</v>
      </c>
      <c r="AD906">
        <f t="shared" si="514"/>
        <v>0</v>
      </c>
      <c r="AE906">
        <f t="shared" si="515"/>
        <v>0</v>
      </c>
      <c r="AF906">
        <f t="shared" si="516"/>
        <v>0</v>
      </c>
      <c r="AG906">
        <f t="shared" si="517"/>
        <v>0</v>
      </c>
      <c r="AH906">
        <f t="shared" si="518"/>
        <v>0</v>
      </c>
      <c r="AJ906">
        <f t="shared" si="519"/>
        <v>868.49972290374922</v>
      </c>
      <c r="AK906">
        <f t="shared" si="520"/>
        <v>0</v>
      </c>
      <c r="AL906">
        <f t="shared" si="521"/>
        <v>0</v>
      </c>
      <c r="AM906">
        <f t="shared" si="522"/>
        <v>0</v>
      </c>
      <c r="AN906">
        <f t="shared" si="523"/>
        <v>0</v>
      </c>
      <c r="AO906">
        <f t="shared" si="524"/>
        <v>0</v>
      </c>
    </row>
    <row r="907" spans="1:41" x14ac:dyDescent="0.45">
      <c r="A907">
        <v>45.48268917</v>
      </c>
      <c r="B907">
        <v>124.9966706</v>
      </c>
      <c r="C907">
        <v>0.35140180999999998</v>
      </c>
      <c r="D907">
        <v>1.0390789499999999</v>
      </c>
      <c r="E907">
        <f t="shared" si="490"/>
        <v>0.35140180999999998</v>
      </c>
      <c r="F907">
        <f t="shared" si="491"/>
        <v>0</v>
      </c>
      <c r="G907">
        <f t="shared" si="492"/>
        <v>0</v>
      </c>
      <c r="H907">
        <f t="shared" si="493"/>
        <v>0</v>
      </c>
      <c r="I907">
        <f t="shared" si="494"/>
        <v>0</v>
      </c>
      <c r="J907">
        <f t="shared" si="495"/>
        <v>0</v>
      </c>
      <c r="K907" s="1">
        <f t="shared" si="496"/>
        <v>0</v>
      </c>
      <c r="L907" s="1">
        <f t="shared" si="497"/>
        <v>0</v>
      </c>
      <c r="M907" s="1">
        <f t="shared" si="498"/>
        <v>0</v>
      </c>
      <c r="N907" s="1">
        <f t="shared" si="499"/>
        <v>0</v>
      </c>
      <c r="O907" s="1">
        <f t="shared" si="500"/>
        <v>0</v>
      </c>
      <c r="P907" s="1">
        <f t="shared" si="501"/>
        <v>8.4546465405732647</v>
      </c>
      <c r="Q907" s="1" t="e">
        <f t="shared" si="502"/>
        <v>#DIV/0!</v>
      </c>
      <c r="R907" s="1" t="e">
        <f t="shared" si="503"/>
        <v>#DIV/0!</v>
      </c>
      <c r="S907" s="1" t="e">
        <f t="shared" si="504"/>
        <v>#DIV/0!</v>
      </c>
      <c r="T907" s="1" t="e">
        <f t="shared" si="505"/>
        <v>#DIV/0!</v>
      </c>
      <c r="U907" s="1" t="e">
        <f t="shared" si="506"/>
        <v>#DIV/0!</v>
      </c>
      <c r="V907">
        <f t="shared" si="507"/>
        <v>313.75601256863115</v>
      </c>
      <c r="W907">
        <f t="shared" si="508"/>
        <v>0</v>
      </c>
      <c r="X907">
        <f t="shared" si="509"/>
        <v>0</v>
      </c>
      <c r="Y907">
        <f t="shared" si="510"/>
        <v>0</v>
      </c>
      <c r="Z907">
        <f t="shared" si="511"/>
        <v>0</v>
      </c>
      <c r="AA907">
        <f t="shared" si="512"/>
        <v>0</v>
      </c>
      <c r="AC907">
        <f t="shared" si="513"/>
        <v>383.43586162293059</v>
      </c>
      <c r="AD907">
        <f t="shared" si="514"/>
        <v>0</v>
      </c>
      <c r="AE907">
        <f t="shared" si="515"/>
        <v>0</v>
      </c>
      <c r="AF907">
        <f t="shared" si="516"/>
        <v>0</v>
      </c>
      <c r="AG907">
        <f t="shared" si="517"/>
        <v>0</v>
      </c>
      <c r="AH907">
        <f t="shared" si="518"/>
        <v>0</v>
      </c>
      <c r="AJ907">
        <f t="shared" si="519"/>
        <v>453.10571067723004</v>
      </c>
      <c r="AK907">
        <f t="shared" si="520"/>
        <v>0</v>
      </c>
      <c r="AL907">
        <f t="shared" si="521"/>
        <v>0</v>
      </c>
      <c r="AM907">
        <f t="shared" si="522"/>
        <v>0</v>
      </c>
      <c r="AN907">
        <f t="shared" si="523"/>
        <v>0</v>
      </c>
      <c r="AO907">
        <f t="shared" si="524"/>
        <v>0</v>
      </c>
    </row>
    <row r="908" spans="1:41" x14ac:dyDescent="0.45">
      <c r="A908">
        <v>45.49496181</v>
      </c>
      <c r="B908">
        <v>123.8871724</v>
      </c>
      <c r="C908">
        <v>0.44901341</v>
      </c>
      <c r="D908">
        <v>11.41964531</v>
      </c>
      <c r="E908">
        <f t="shared" si="490"/>
        <v>0.44901341</v>
      </c>
      <c r="F908">
        <f t="shared" si="491"/>
        <v>9.1745782600000005</v>
      </c>
      <c r="G908">
        <f t="shared" si="492"/>
        <v>6.9295112100000003</v>
      </c>
      <c r="H908">
        <f t="shared" si="493"/>
        <v>4.68444416</v>
      </c>
      <c r="I908">
        <f t="shared" si="494"/>
        <v>2.4393771100000006</v>
      </c>
      <c r="J908">
        <f t="shared" si="495"/>
        <v>0.1943100599999994</v>
      </c>
      <c r="K908" s="1">
        <f t="shared" si="496"/>
        <v>0.44901341</v>
      </c>
      <c r="L908" s="1">
        <f t="shared" si="497"/>
        <v>0.44901341</v>
      </c>
      <c r="M908" s="1">
        <f t="shared" si="498"/>
        <v>0.44901341</v>
      </c>
      <c r="N908" s="1">
        <f t="shared" si="499"/>
        <v>0.44901341</v>
      </c>
      <c r="O908" s="1">
        <f t="shared" si="500"/>
        <v>0.1943100599999994</v>
      </c>
      <c r="P908" s="1">
        <f t="shared" si="501"/>
        <v>1</v>
      </c>
      <c r="Q908" s="1">
        <f t="shared" si="502"/>
        <v>1.2235260228735572</v>
      </c>
      <c r="R908" s="1">
        <f t="shared" si="503"/>
        <v>1.6199317541763527</v>
      </c>
      <c r="S908" s="1">
        <f t="shared" si="504"/>
        <v>2.3963003649081815</v>
      </c>
      <c r="T908" s="1">
        <f t="shared" si="505"/>
        <v>4.6017219740165549</v>
      </c>
      <c r="U908" s="1">
        <f t="shared" si="506"/>
        <v>25</v>
      </c>
      <c r="V908">
        <f t="shared" si="507"/>
        <v>71.48</v>
      </c>
      <c r="W908">
        <f t="shared" si="508"/>
        <v>84.872225857758394</v>
      </c>
      <c r="X908">
        <f t="shared" si="509"/>
        <v>87.04750912270454</v>
      </c>
      <c r="Y908">
        <f t="shared" si="510"/>
        <v>66.026007298163634</v>
      </c>
      <c r="Z908">
        <f t="shared" si="511"/>
        <v>95.150134545289717</v>
      </c>
      <c r="AA908">
        <f t="shared" si="512"/>
        <v>450.03</v>
      </c>
      <c r="AC908">
        <f t="shared" si="513"/>
        <v>85.25</v>
      </c>
      <c r="AD908">
        <f t="shared" si="514"/>
        <v>84.872225857758394</v>
      </c>
      <c r="AE908">
        <f t="shared" si="515"/>
        <v>84.317782010731463</v>
      </c>
      <c r="AF908">
        <f t="shared" si="516"/>
        <v>91.729010947245456</v>
      </c>
      <c r="AG908">
        <f t="shared" si="517"/>
        <v>51.941721974016559</v>
      </c>
      <c r="AH908">
        <f t="shared" si="518"/>
        <v>641.36</v>
      </c>
      <c r="AJ908">
        <f t="shared" si="519"/>
        <v>99.009999999999991</v>
      </c>
      <c r="AK908">
        <f t="shared" si="520"/>
        <v>100.99867102931006</v>
      </c>
      <c r="AL908">
        <f t="shared" si="521"/>
        <v>105.047099552495</v>
      </c>
      <c r="AM908">
        <f t="shared" si="522"/>
        <v>119.79126368405682</v>
      </c>
      <c r="AN908">
        <f t="shared" si="523"/>
        <v>197.6245740256208</v>
      </c>
      <c r="AO908">
        <f t="shared" si="524"/>
        <v>895.19</v>
      </c>
    </row>
    <row r="909" spans="1:41" x14ac:dyDescent="0.45">
      <c r="A909">
        <v>45.518201929999996</v>
      </c>
      <c r="B909">
        <v>125.072276</v>
      </c>
      <c r="C909">
        <v>5.49817467</v>
      </c>
      <c r="D909">
        <v>2.6035790400000001</v>
      </c>
      <c r="E909">
        <f t="shared" si="490"/>
        <v>2.6035790400000001</v>
      </c>
      <c r="F909">
        <f t="shared" si="491"/>
        <v>0</v>
      </c>
      <c r="G909">
        <f t="shared" si="492"/>
        <v>0</v>
      </c>
      <c r="H909">
        <f t="shared" si="493"/>
        <v>0</v>
      </c>
      <c r="I909">
        <f t="shared" si="494"/>
        <v>0</v>
      </c>
      <c r="J909">
        <f t="shared" si="495"/>
        <v>0</v>
      </c>
      <c r="K909" s="1">
        <f t="shared" si="496"/>
        <v>0</v>
      </c>
      <c r="L909" s="1">
        <f t="shared" si="497"/>
        <v>0</v>
      </c>
      <c r="M909" s="1">
        <f t="shared" si="498"/>
        <v>0</v>
      </c>
      <c r="N909" s="1">
        <f t="shared" si="499"/>
        <v>0</v>
      </c>
      <c r="O909" s="1">
        <f t="shared" si="500"/>
        <v>0</v>
      </c>
      <c r="P909" s="1">
        <f t="shared" si="501"/>
        <v>25</v>
      </c>
      <c r="Q909" s="1" t="e">
        <f t="shared" si="502"/>
        <v>#DIV/0!</v>
      </c>
      <c r="R909" s="1" t="e">
        <f t="shared" si="503"/>
        <v>#DIV/0!</v>
      </c>
      <c r="S909" s="1" t="e">
        <f t="shared" si="504"/>
        <v>#DIV/0!</v>
      </c>
      <c r="T909" s="1" t="e">
        <f t="shared" si="505"/>
        <v>#DIV/0!</v>
      </c>
      <c r="U909" s="1" t="e">
        <f t="shared" si="506"/>
        <v>#DIV/0!</v>
      </c>
      <c r="V909">
        <f t="shared" si="507"/>
        <v>851.48</v>
      </c>
      <c r="W909">
        <f t="shared" si="508"/>
        <v>0</v>
      </c>
      <c r="X909">
        <f t="shared" si="509"/>
        <v>0</v>
      </c>
      <c r="Y909">
        <f t="shared" si="510"/>
        <v>0</v>
      </c>
      <c r="Z909">
        <f t="shared" si="511"/>
        <v>0</v>
      </c>
      <c r="AA909">
        <f t="shared" si="512"/>
        <v>0</v>
      </c>
      <c r="AC909">
        <f t="shared" si="513"/>
        <v>1045.25</v>
      </c>
      <c r="AD909">
        <f t="shared" si="514"/>
        <v>0</v>
      </c>
      <c r="AE909">
        <f t="shared" si="515"/>
        <v>0</v>
      </c>
      <c r="AF909">
        <f t="shared" si="516"/>
        <v>0</v>
      </c>
      <c r="AG909">
        <f t="shared" si="517"/>
        <v>0</v>
      </c>
      <c r="AH909">
        <f t="shared" si="518"/>
        <v>0</v>
      </c>
      <c r="AJ909">
        <f t="shared" si="519"/>
        <v>1239.01</v>
      </c>
      <c r="AK909">
        <f t="shared" si="520"/>
        <v>0</v>
      </c>
      <c r="AL909">
        <f t="shared" si="521"/>
        <v>0</v>
      </c>
      <c r="AM909">
        <f t="shared" si="522"/>
        <v>0</v>
      </c>
      <c r="AN909">
        <f t="shared" si="523"/>
        <v>0</v>
      </c>
      <c r="AO909">
        <f t="shared" si="524"/>
        <v>0</v>
      </c>
    </row>
    <row r="910" spans="1:41" x14ac:dyDescent="0.45">
      <c r="A910">
        <v>45.520647179999997</v>
      </c>
      <c r="B910">
        <v>87.277038869999998</v>
      </c>
      <c r="C910">
        <v>18.492280959999999</v>
      </c>
      <c r="D910">
        <v>30.983476639999999</v>
      </c>
      <c r="E910">
        <f t="shared" si="490"/>
        <v>18.492280959999999</v>
      </c>
      <c r="F910">
        <f t="shared" si="491"/>
        <v>0</v>
      </c>
      <c r="G910">
        <f t="shared" si="492"/>
        <v>0</v>
      </c>
      <c r="H910">
        <f t="shared" si="493"/>
        <v>0</v>
      </c>
      <c r="I910">
        <f t="shared" si="494"/>
        <v>0</v>
      </c>
      <c r="J910">
        <f t="shared" si="495"/>
        <v>0</v>
      </c>
      <c r="K910" s="1">
        <f t="shared" si="496"/>
        <v>0</v>
      </c>
      <c r="L910" s="1">
        <f t="shared" si="497"/>
        <v>0</v>
      </c>
      <c r="M910" s="1">
        <f t="shared" si="498"/>
        <v>0</v>
      </c>
      <c r="N910" s="1">
        <f t="shared" si="499"/>
        <v>0</v>
      </c>
      <c r="O910" s="1">
        <f t="shared" si="500"/>
        <v>0</v>
      </c>
      <c r="P910" s="1">
        <f t="shared" si="501"/>
        <v>14.921082916923424</v>
      </c>
      <c r="Q910" s="1" t="e">
        <f t="shared" si="502"/>
        <v>#DIV/0!</v>
      </c>
      <c r="R910" s="1" t="e">
        <f t="shared" si="503"/>
        <v>#DIV/0!</v>
      </c>
      <c r="S910" s="1" t="e">
        <f t="shared" si="504"/>
        <v>#DIV/0!</v>
      </c>
      <c r="T910" s="1" t="e">
        <f t="shared" si="505"/>
        <v>#DIV/0!</v>
      </c>
      <c r="U910" s="1" t="e">
        <f t="shared" si="506"/>
        <v>#DIV/0!</v>
      </c>
      <c r="V910">
        <f t="shared" si="507"/>
        <v>523.91519480001125</v>
      </c>
      <c r="W910">
        <f t="shared" si="508"/>
        <v>0</v>
      </c>
      <c r="X910">
        <f t="shared" si="509"/>
        <v>0</v>
      </c>
      <c r="Y910">
        <f t="shared" si="510"/>
        <v>0</v>
      </c>
      <c r="Z910">
        <f t="shared" si="511"/>
        <v>0</v>
      </c>
      <c r="AA910">
        <f t="shared" si="512"/>
        <v>0</v>
      </c>
      <c r="AC910">
        <f t="shared" si="513"/>
        <v>642.09331667693698</v>
      </c>
      <c r="AD910">
        <f t="shared" si="514"/>
        <v>0</v>
      </c>
      <c r="AE910">
        <f t="shared" si="515"/>
        <v>0</v>
      </c>
      <c r="AF910">
        <f t="shared" si="516"/>
        <v>0</v>
      </c>
      <c r="AG910">
        <f t="shared" si="517"/>
        <v>0</v>
      </c>
      <c r="AH910">
        <f t="shared" si="518"/>
        <v>0</v>
      </c>
      <c r="AJ910">
        <f t="shared" si="519"/>
        <v>760.2614385538626</v>
      </c>
      <c r="AK910">
        <f t="shared" si="520"/>
        <v>0</v>
      </c>
      <c r="AL910">
        <f t="shared" si="521"/>
        <v>0</v>
      </c>
      <c r="AM910">
        <f t="shared" si="522"/>
        <v>0</v>
      </c>
      <c r="AN910">
        <f t="shared" si="523"/>
        <v>0</v>
      </c>
      <c r="AO910">
        <f t="shared" si="524"/>
        <v>0</v>
      </c>
    </row>
    <row r="911" spans="1:41" x14ac:dyDescent="0.45">
      <c r="A911">
        <v>45.53502855</v>
      </c>
      <c r="B911">
        <v>124.618132</v>
      </c>
      <c r="C911">
        <v>5.49817467</v>
      </c>
      <c r="D911">
        <v>4.4334039699999996</v>
      </c>
      <c r="E911">
        <f t="shared" si="490"/>
        <v>4.4334039699999996</v>
      </c>
      <c r="F911">
        <f t="shared" si="491"/>
        <v>0</v>
      </c>
      <c r="G911">
        <f t="shared" si="492"/>
        <v>0</v>
      </c>
      <c r="H911">
        <f t="shared" si="493"/>
        <v>0</v>
      </c>
      <c r="I911">
        <f t="shared" si="494"/>
        <v>0</v>
      </c>
      <c r="J911">
        <f t="shared" si="495"/>
        <v>0</v>
      </c>
      <c r="K911" s="1">
        <f t="shared" si="496"/>
        <v>0</v>
      </c>
      <c r="L911" s="1">
        <f t="shared" si="497"/>
        <v>0</v>
      </c>
      <c r="M911" s="1">
        <f t="shared" si="498"/>
        <v>0</v>
      </c>
      <c r="N911" s="1">
        <f t="shared" si="499"/>
        <v>0</v>
      </c>
      <c r="O911" s="1">
        <f t="shared" si="500"/>
        <v>0</v>
      </c>
      <c r="P911" s="1">
        <f t="shared" si="501"/>
        <v>25</v>
      </c>
      <c r="Q911" s="1" t="e">
        <f t="shared" si="502"/>
        <v>#DIV/0!</v>
      </c>
      <c r="R911" s="1" t="e">
        <f t="shared" si="503"/>
        <v>#DIV/0!</v>
      </c>
      <c r="S911" s="1" t="e">
        <f t="shared" si="504"/>
        <v>#DIV/0!</v>
      </c>
      <c r="T911" s="1" t="e">
        <f t="shared" si="505"/>
        <v>#DIV/0!</v>
      </c>
      <c r="U911" s="1" t="e">
        <f t="shared" si="506"/>
        <v>#DIV/0!</v>
      </c>
      <c r="V911">
        <f t="shared" si="507"/>
        <v>851.48</v>
      </c>
      <c r="W911">
        <f t="shared" si="508"/>
        <v>0</v>
      </c>
      <c r="X911">
        <f t="shared" si="509"/>
        <v>0</v>
      </c>
      <c r="Y911">
        <f t="shared" si="510"/>
        <v>0</v>
      </c>
      <c r="Z911">
        <f t="shared" si="511"/>
        <v>0</v>
      </c>
      <c r="AA911">
        <f t="shared" si="512"/>
        <v>0</v>
      </c>
      <c r="AC911">
        <f t="shared" si="513"/>
        <v>1045.25</v>
      </c>
      <c r="AD911">
        <f t="shared" si="514"/>
        <v>0</v>
      </c>
      <c r="AE911">
        <f t="shared" si="515"/>
        <v>0</v>
      </c>
      <c r="AF911">
        <f t="shared" si="516"/>
        <v>0</v>
      </c>
      <c r="AG911">
        <f t="shared" si="517"/>
        <v>0</v>
      </c>
      <c r="AH911">
        <f t="shared" si="518"/>
        <v>0</v>
      </c>
      <c r="AJ911">
        <f t="shared" si="519"/>
        <v>1239.01</v>
      </c>
      <c r="AK911">
        <f t="shared" si="520"/>
        <v>0</v>
      </c>
      <c r="AL911">
        <f t="shared" si="521"/>
        <v>0</v>
      </c>
      <c r="AM911">
        <f t="shared" si="522"/>
        <v>0</v>
      </c>
      <c r="AN911">
        <f t="shared" si="523"/>
        <v>0</v>
      </c>
      <c r="AO911">
        <f t="shared" si="524"/>
        <v>0</v>
      </c>
    </row>
    <row r="912" spans="1:41" x14ac:dyDescent="0.45">
      <c r="A912">
        <v>45.542531969999999</v>
      </c>
      <c r="B912">
        <v>84.905199030000006</v>
      </c>
      <c r="C912">
        <v>10.58811188</v>
      </c>
      <c r="D912">
        <v>267.20285030000002</v>
      </c>
      <c r="E912">
        <f t="shared" si="490"/>
        <v>10.58811188</v>
      </c>
      <c r="F912">
        <f t="shared" si="491"/>
        <v>214.26229090000004</v>
      </c>
      <c r="G912">
        <f t="shared" si="492"/>
        <v>161.32173150000003</v>
      </c>
      <c r="H912">
        <f t="shared" si="493"/>
        <v>108.38117210000001</v>
      </c>
      <c r="I912">
        <f t="shared" si="494"/>
        <v>55.440612700000031</v>
      </c>
      <c r="J912">
        <f t="shared" si="495"/>
        <v>2.5000533000000473</v>
      </c>
      <c r="K912" s="1">
        <f t="shared" si="496"/>
        <v>10.58811188</v>
      </c>
      <c r="L912" s="1">
        <f t="shared" si="497"/>
        <v>10.58811188</v>
      </c>
      <c r="M912" s="1">
        <f t="shared" si="498"/>
        <v>10.58811188</v>
      </c>
      <c r="N912" s="1">
        <f t="shared" si="499"/>
        <v>10.58811188</v>
      </c>
      <c r="O912" s="1">
        <f t="shared" si="500"/>
        <v>2.5000533000000473</v>
      </c>
      <c r="P912" s="1">
        <f t="shared" si="501"/>
        <v>1</v>
      </c>
      <c r="Q912" s="1">
        <f t="shared" si="502"/>
        <v>1.2354147614502142</v>
      </c>
      <c r="R912" s="1">
        <f t="shared" si="503"/>
        <v>1.6408378123563589</v>
      </c>
      <c r="S912" s="1">
        <f t="shared" si="504"/>
        <v>2.4423319278718147</v>
      </c>
      <c r="T912" s="1">
        <f t="shared" si="505"/>
        <v>4.7745287093481172</v>
      </c>
      <c r="U912" s="1">
        <f t="shared" si="506"/>
        <v>25</v>
      </c>
      <c r="V912">
        <f t="shared" si="507"/>
        <v>71.48</v>
      </c>
      <c r="W912">
        <f t="shared" si="508"/>
        <v>85.318053554383027</v>
      </c>
      <c r="X912">
        <f t="shared" si="509"/>
        <v>88.198298196795378</v>
      </c>
      <c r="Y912">
        <f t="shared" si="510"/>
        <v>66.946638557436302</v>
      </c>
      <c r="Z912">
        <f t="shared" si="511"/>
        <v>98.174252413592058</v>
      </c>
      <c r="AA912">
        <f t="shared" si="512"/>
        <v>450.03</v>
      </c>
      <c r="AC912">
        <f t="shared" si="513"/>
        <v>85.25</v>
      </c>
      <c r="AD912">
        <f t="shared" si="514"/>
        <v>85.318053554383027</v>
      </c>
      <c r="AE912">
        <f t="shared" si="515"/>
        <v>84.997228901581664</v>
      </c>
      <c r="AF912">
        <f t="shared" si="516"/>
        <v>93.10995783615445</v>
      </c>
      <c r="AG912">
        <f t="shared" si="517"/>
        <v>52.114528709348122</v>
      </c>
      <c r="AH912">
        <f t="shared" si="518"/>
        <v>641.36</v>
      </c>
      <c r="AJ912">
        <f t="shared" si="519"/>
        <v>99.009999999999991</v>
      </c>
      <c r="AK912">
        <f t="shared" si="520"/>
        <v>101.53366426525963</v>
      </c>
      <c r="AL912">
        <f t="shared" si="521"/>
        <v>105.93560702514526</v>
      </c>
      <c r="AM912">
        <f t="shared" si="522"/>
        <v>121.51744729519305</v>
      </c>
      <c r="AN912">
        <f t="shared" si="523"/>
        <v>204.10482660055439</v>
      </c>
      <c r="AO912">
        <f t="shared" si="524"/>
        <v>895.19</v>
      </c>
    </row>
    <row r="913" spans="1:41" x14ac:dyDescent="0.45">
      <c r="A913">
        <v>45.547002030000002</v>
      </c>
      <c r="B913">
        <v>88.513729260000005</v>
      </c>
      <c r="C913">
        <v>2.0064427899999999</v>
      </c>
      <c r="D913">
        <v>1.4844E-2</v>
      </c>
      <c r="E913">
        <f t="shared" si="490"/>
        <v>1.4844E-2</v>
      </c>
      <c r="F913">
        <f t="shared" si="491"/>
        <v>0</v>
      </c>
      <c r="G913">
        <f t="shared" si="492"/>
        <v>0</v>
      </c>
      <c r="H913">
        <f t="shared" si="493"/>
        <v>0</v>
      </c>
      <c r="I913">
        <f t="shared" si="494"/>
        <v>0</v>
      </c>
      <c r="J913">
        <f t="shared" si="495"/>
        <v>0</v>
      </c>
      <c r="K913" s="1">
        <f t="shared" si="496"/>
        <v>0</v>
      </c>
      <c r="L913" s="1">
        <f t="shared" si="497"/>
        <v>0</v>
      </c>
      <c r="M913" s="1">
        <f t="shared" si="498"/>
        <v>0</v>
      </c>
      <c r="N913" s="1">
        <f t="shared" si="499"/>
        <v>0</v>
      </c>
      <c r="O913" s="1">
        <f t="shared" si="500"/>
        <v>0</v>
      </c>
      <c r="P913" s="1">
        <f t="shared" si="501"/>
        <v>25</v>
      </c>
      <c r="Q913" s="1" t="e">
        <f t="shared" si="502"/>
        <v>#DIV/0!</v>
      </c>
      <c r="R913" s="1" t="e">
        <f t="shared" si="503"/>
        <v>#DIV/0!</v>
      </c>
      <c r="S913" s="1" t="e">
        <f t="shared" si="504"/>
        <v>#DIV/0!</v>
      </c>
      <c r="T913" s="1" t="e">
        <f t="shared" si="505"/>
        <v>#DIV/0!</v>
      </c>
      <c r="U913" s="1" t="e">
        <f t="shared" si="506"/>
        <v>#DIV/0!</v>
      </c>
      <c r="V913">
        <f t="shared" si="507"/>
        <v>851.48</v>
      </c>
      <c r="W913">
        <f t="shared" si="508"/>
        <v>0</v>
      </c>
      <c r="X913">
        <f t="shared" si="509"/>
        <v>0</v>
      </c>
      <c r="Y913">
        <f t="shared" si="510"/>
        <v>0</v>
      </c>
      <c r="Z913">
        <f t="shared" si="511"/>
        <v>0</v>
      </c>
      <c r="AA913">
        <f t="shared" si="512"/>
        <v>0</v>
      </c>
      <c r="AC913">
        <f t="shared" si="513"/>
        <v>1045.25</v>
      </c>
      <c r="AD913">
        <f t="shared" si="514"/>
        <v>0</v>
      </c>
      <c r="AE913">
        <f t="shared" si="515"/>
        <v>0</v>
      </c>
      <c r="AF913">
        <f t="shared" si="516"/>
        <v>0</v>
      </c>
      <c r="AG913">
        <f t="shared" si="517"/>
        <v>0</v>
      </c>
      <c r="AH913">
        <f t="shared" si="518"/>
        <v>0</v>
      </c>
      <c r="AJ913">
        <f t="shared" si="519"/>
        <v>1239.01</v>
      </c>
      <c r="AK913">
        <f t="shared" si="520"/>
        <v>0</v>
      </c>
      <c r="AL913">
        <f t="shared" si="521"/>
        <v>0</v>
      </c>
      <c r="AM913">
        <f t="shared" si="522"/>
        <v>0</v>
      </c>
      <c r="AN913">
        <f t="shared" si="523"/>
        <v>0</v>
      </c>
      <c r="AO913">
        <f t="shared" si="524"/>
        <v>0</v>
      </c>
    </row>
    <row r="914" spans="1:41" x14ac:dyDescent="0.45">
      <c r="A914">
        <v>45.550357150000004</v>
      </c>
      <c r="B914">
        <v>124.1637734</v>
      </c>
      <c r="C914">
        <v>0.44901341</v>
      </c>
      <c r="D914">
        <v>55.28937912</v>
      </c>
      <c r="E914">
        <f t="shared" si="490"/>
        <v>0.44901341</v>
      </c>
      <c r="F914">
        <f t="shared" si="491"/>
        <v>53.044312069999997</v>
      </c>
      <c r="G914">
        <f t="shared" si="492"/>
        <v>50.799245020000001</v>
      </c>
      <c r="H914">
        <f t="shared" si="493"/>
        <v>48.554177969999998</v>
      </c>
      <c r="I914">
        <f t="shared" si="494"/>
        <v>46.309110920000002</v>
      </c>
      <c r="J914">
        <f t="shared" si="495"/>
        <v>44.064043869999999</v>
      </c>
      <c r="K914" s="1">
        <f t="shared" si="496"/>
        <v>0.44901341</v>
      </c>
      <c r="L914" s="1">
        <f t="shared" si="497"/>
        <v>0.44901341</v>
      </c>
      <c r="M914" s="1">
        <f t="shared" si="498"/>
        <v>0.44901341</v>
      </c>
      <c r="N914" s="1">
        <f t="shared" si="499"/>
        <v>0.44901341</v>
      </c>
      <c r="O914" s="1">
        <f t="shared" si="500"/>
        <v>0.44901341</v>
      </c>
      <c r="P914" s="1">
        <f t="shared" si="501"/>
        <v>1</v>
      </c>
      <c r="Q914" s="1">
        <f t="shared" si="502"/>
        <v>1</v>
      </c>
      <c r="R914" s="1">
        <f t="shared" si="503"/>
        <v>1</v>
      </c>
      <c r="S914" s="1">
        <f t="shared" si="504"/>
        <v>1</v>
      </c>
      <c r="T914" s="1">
        <f t="shared" si="505"/>
        <v>1</v>
      </c>
      <c r="U914" s="1">
        <f t="shared" si="506"/>
        <v>1</v>
      </c>
      <c r="V914">
        <f t="shared" si="507"/>
        <v>71.48</v>
      </c>
      <c r="W914">
        <f t="shared" si="508"/>
        <v>76.489999999999995</v>
      </c>
      <c r="X914">
        <f t="shared" si="509"/>
        <v>52.14</v>
      </c>
      <c r="Y914">
        <f t="shared" si="510"/>
        <v>38.1</v>
      </c>
      <c r="Z914">
        <f t="shared" si="511"/>
        <v>32.120000000000005</v>
      </c>
      <c r="AA914">
        <f t="shared" si="512"/>
        <v>30.03</v>
      </c>
      <c r="AC914">
        <f t="shared" si="513"/>
        <v>85.25</v>
      </c>
      <c r="AD914">
        <f t="shared" si="514"/>
        <v>76.489999999999995</v>
      </c>
      <c r="AE914">
        <f t="shared" si="515"/>
        <v>64.17</v>
      </c>
      <c r="AF914">
        <f t="shared" si="516"/>
        <v>49.84</v>
      </c>
      <c r="AG914">
        <f t="shared" si="517"/>
        <v>48.34</v>
      </c>
      <c r="AH914">
        <f t="shared" si="518"/>
        <v>41.36</v>
      </c>
      <c r="AJ914">
        <f t="shared" si="519"/>
        <v>99.009999999999991</v>
      </c>
      <c r="AK914">
        <f t="shared" si="520"/>
        <v>90.94</v>
      </c>
      <c r="AL914">
        <f t="shared" si="521"/>
        <v>78.7</v>
      </c>
      <c r="AM914">
        <f t="shared" si="522"/>
        <v>67.430000000000007</v>
      </c>
      <c r="AN914">
        <f t="shared" si="523"/>
        <v>62.56</v>
      </c>
      <c r="AO914">
        <f t="shared" si="524"/>
        <v>55.19</v>
      </c>
    </row>
    <row r="915" spans="1:41" x14ac:dyDescent="0.45">
      <c r="A915">
        <v>45.594181570000003</v>
      </c>
      <c r="B915">
        <v>126.1454263</v>
      </c>
      <c r="C915">
        <v>0.82538909000000005</v>
      </c>
      <c r="D915">
        <v>0.11821</v>
      </c>
      <c r="E915">
        <f t="shared" si="490"/>
        <v>0.11821</v>
      </c>
      <c r="F915">
        <f t="shared" si="491"/>
        <v>0</v>
      </c>
      <c r="G915">
        <f t="shared" si="492"/>
        <v>0</v>
      </c>
      <c r="H915">
        <f t="shared" si="493"/>
        <v>0</v>
      </c>
      <c r="I915">
        <f t="shared" si="494"/>
        <v>0</v>
      </c>
      <c r="J915">
        <f t="shared" si="495"/>
        <v>0</v>
      </c>
      <c r="K915" s="1">
        <f t="shared" si="496"/>
        <v>0</v>
      </c>
      <c r="L915" s="1">
        <f t="shared" si="497"/>
        <v>0</v>
      </c>
      <c r="M915" s="1">
        <f t="shared" si="498"/>
        <v>0</v>
      </c>
      <c r="N915" s="1">
        <f t="shared" si="499"/>
        <v>0</v>
      </c>
      <c r="O915" s="1">
        <f t="shared" si="500"/>
        <v>0</v>
      </c>
      <c r="P915" s="1">
        <f t="shared" si="501"/>
        <v>25</v>
      </c>
      <c r="Q915" s="1" t="e">
        <f t="shared" si="502"/>
        <v>#DIV/0!</v>
      </c>
      <c r="R915" s="1" t="e">
        <f t="shared" si="503"/>
        <v>#DIV/0!</v>
      </c>
      <c r="S915" s="1" t="e">
        <f t="shared" si="504"/>
        <v>#DIV/0!</v>
      </c>
      <c r="T915" s="1" t="e">
        <f t="shared" si="505"/>
        <v>#DIV/0!</v>
      </c>
      <c r="U915" s="1" t="e">
        <f t="shared" si="506"/>
        <v>#DIV/0!</v>
      </c>
      <c r="V915">
        <f t="shared" si="507"/>
        <v>851.48</v>
      </c>
      <c r="W915">
        <f t="shared" si="508"/>
        <v>0</v>
      </c>
      <c r="X915">
        <f t="shared" si="509"/>
        <v>0</v>
      </c>
      <c r="Y915">
        <f t="shared" si="510"/>
        <v>0</v>
      </c>
      <c r="Z915">
        <f t="shared" si="511"/>
        <v>0</v>
      </c>
      <c r="AA915">
        <f t="shared" si="512"/>
        <v>0</v>
      </c>
      <c r="AC915">
        <f t="shared" si="513"/>
        <v>1045.25</v>
      </c>
      <c r="AD915">
        <f t="shared" si="514"/>
        <v>0</v>
      </c>
      <c r="AE915">
        <f t="shared" si="515"/>
        <v>0</v>
      </c>
      <c r="AF915">
        <f t="shared" si="516"/>
        <v>0</v>
      </c>
      <c r="AG915">
        <f t="shared" si="517"/>
        <v>0</v>
      </c>
      <c r="AH915">
        <f t="shared" si="518"/>
        <v>0</v>
      </c>
      <c r="AJ915">
        <f t="shared" si="519"/>
        <v>1239.01</v>
      </c>
      <c r="AK915">
        <f t="shared" si="520"/>
        <v>0</v>
      </c>
      <c r="AL915">
        <f t="shared" si="521"/>
        <v>0</v>
      </c>
      <c r="AM915">
        <f t="shared" si="522"/>
        <v>0</v>
      </c>
      <c r="AN915">
        <f t="shared" si="523"/>
        <v>0</v>
      </c>
      <c r="AO915">
        <f t="shared" si="524"/>
        <v>0</v>
      </c>
    </row>
    <row r="916" spans="1:41" x14ac:dyDescent="0.45">
      <c r="A916">
        <v>45.597694160000003</v>
      </c>
      <c r="B916">
        <v>124.8323194</v>
      </c>
      <c r="C916">
        <v>5.49817467</v>
      </c>
      <c r="D916">
        <v>7.5514178300000001</v>
      </c>
      <c r="E916">
        <f t="shared" si="490"/>
        <v>5.49817467</v>
      </c>
      <c r="F916">
        <f t="shared" si="491"/>
        <v>0</v>
      </c>
      <c r="G916">
        <f t="shared" si="492"/>
        <v>0</v>
      </c>
      <c r="H916">
        <f t="shared" si="493"/>
        <v>0</v>
      </c>
      <c r="I916">
        <f t="shared" si="494"/>
        <v>0</v>
      </c>
      <c r="J916">
        <f t="shared" si="495"/>
        <v>0</v>
      </c>
      <c r="K916" s="1">
        <f t="shared" si="496"/>
        <v>0</v>
      </c>
      <c r="L916" s="1">
        <f t="shared" si="497"/>
        <v>0</v>
      </c>
      <c r="M916" s="1">
        <f t="shared" si="498"/>
        <v>0</v>
      </c>
      <c r="N916" s="1">
        <f t="shared" si="499"/>
        <v>0</v>
      </c>
      <c r="O916" s="1">
        <f t="shared" si="500"/>
        <v>0</v>
      </c>
      <c r="P916" s="1">
        <f t="shared" si="501"/>
        <v>18.202458113750009</v>
      </c>
      <c r="Q916" s="1" t="e">
        <f t="shared" si="502"/>
        <v>#DIV/0!</v>
      </c>
      <c r="R916" s="1" t="e">
        <f t="shared" si="503"/>
        <v>#DIV/0!</v>
      </c>
      <c r="S916" s="1" t="e">
        <f t="shared" si="504"/>
        <v>#DIV/0!</v>
      </c>
      <c r="T916" s="1" t="e">
        <f t="shared" si="505"/>
        <v>#DIV/0!</v>
      </c>
      <c r="U916" s="1" t="e">
        <f t="shared" si="506"/>
        <v>#DIV/0!</v>
      </c>
      <c r="V916">
        <f t="shared" si="507"/>
        <v>630.5598886968753</v>
      </c>
      <c r="W916">
        <f t="shared" si="508"/>
        <v>0</v>
      </c>
      <c r="X916">
        <f t="shared" si="509"/>
        <v>0</v>
      </c>
      <c r="Y916">
        <f t="shared" si="510"/>
        <v>0</v>
      </c>
      <c r="Z916">
        <f t="shared" si="511"/>
        <v>0</v>
      </c>
      <c r="AA916">
        <f t="shared" si="512"/>
        <v>0</v>
      </c>
      <c r="AC916">
        <f t="shared" si="513"/>
        <v>773.34832455000037</v>
      </c>
      <c r="AD916">
        <f t="shared" si="514"/>
        <v>0</v>
      </c>
      <c r="AE916">
        <f t="shared" si="515"/>
        <v>0</v>
      </c>
      <c r="AF916">
        <f t="shared" si="516"/>
        <v>0</v>
      </c>
      <c r="AG916">
        <f t="shared" si="517"/>
        <v>0</v>
      </c>
      <c r="AH916">
        <f t="shared" si="518"/>
        <v>0</v>
      </c>
      <c r="AJ916">
        <f t="shared" si="519"/>
        <v>916.12676040312545</v>
      </c>
      <c r="AK916">
        <f t="shared" si="520"/>
        <v>0</v>
      </c>
      <c r="AL916">
        <f t="shared" si="521"/>
        <v>0</v>
      </c>
      <c r="AM916">
        <f t="shared" si="522"/>
        <v>0</v>
      </c>
      <c r="AN916">
        <f t="shared" si="523"/>
        <v>0</v>
      </c>
      <c r="AO916">
        <f t="shared" si="524"/>
        <v>0</v>
      </c>
    </row>
    <row r="917" spans="1:41" x14ac:dyDescent="0.45">
      <c r="A917">
        <v>45.603180899999998</v>
      </c>
      <c r="B917">
        <v>124.1125186</v>
      </c>
      <c r="C917">
        <v>0.44901341</v>
      </c>
      <c r="D917">
        <v>8.2838401800000003</v>
      </c>
      <c r="E917">
        <f t="shared" si="490"/>
        <v>0.44901341</v>
      </c>
      <c r="F917">
        <f t="shared" si="491"/>
        <v>6.0387731300000009</v>
      </c>
      <c r="G917">
        <f t="shared" si="492"/>
        <v>3.7937060800000006</v>
      </c>
      <c r="H917">
        <f t="shared" si="493"/>
        <v>1.5486390300000004</v>
      </c>
      <c r="I917">
        <f t="shared" si="494"/>
        <v>0</v>
      </c>
      <c r="J917">
        <f t="shared" si="495"/>
        <v>0</v>
      </c>
      <c r="K917" s="1">
        <f t="shared" si="496"/>
        <v>0.44901341</v>
      </c>
      <c r="L917" s="1">
        <f t="shared" si="497"/>
        <v>0.44901341</v>
      </c>
      <c r="M917" s="1">
        <f t="shared" si="498"/>
        <v>0.44901341</v>
      </c>
      <c r="N917" s="1">
        <f t="shared" si="499"/>
        <v>0</v>
      </c>
      <c r="O917" s="1">
        <f t="shared" si="500"/>
        <v>0</v>
      </c>
      <c r="P917" s="1">
        <f t="shared" si="501"/>
        <v>1.3550883414073784</v>
      </c>
      <c r="Q917" s="1">
        <f t="shared" si="502"/>
        <v>1.8588767963866195</v>
      </c>
      <c r="R917" s="1">
        <f t="shared" si="503"/>
        <v>2.9589364629955726</v>
      </c>
      <c r="S917" s="1">
        <f t="shared" si="504"/>
        <v>7.2485162988562921</v>
      </c>
      <c r="T917" s="1" t="e">
        <f t="shared" si="505"/>
        <v>#DIV/0!</v>
      </c>
      <c r="U917" s="1" t="e">
        <f t="shared" si="506"/>
        <v>#DIV/0!</v>
      </c>
      <c r="V917">
        <f t="shared" si="507"/>
        <v>83.020371095739804</v>
      </c>
      <c r="W917">
        <f t="shared" si="508"/>
        <v>108.69787986449823</v>
      </c>
      <c r="X917">
        <f t="shared" si="509"/>
        <v>208.35290747140732</v>
      </c>
      <c r="Y917">
        <f t="shared" si="510"/>
        <v>163.07032597712583</v>
      </c>
      <c r="Z917">
        <f t="shared" si="511"/>
        <v>0</v>
      </c>
      <c r="AA917">
        <f t="shared" si="512"/>
        <v>0</v>
      </c>
      <c r="AC917">
        <f t="shared" si="513"/>
        <v>99.453533656295136</v>
      </c>
      <c r="AD917">
        <f t="shared" si="514"/>
        <v>108.69787986449823</v>
      </c>
      <c r="AE917">
        <f t="shared" si="515"/>
        <v>127.83543504735611</v>
      </c>
      <c r="AF917">
        <f t="shared" si="516"/>
        <v>237.29548896568878</v>
      </c>
      <c r="AG917">
        <f t="shared" si="517"/>
        <v>0</v>
      </c>
      <c r="AH917">
        <f t="shared" si="518"/>
        <v>0</v>
      </c>
      <c r="AJ917">
        <f t="shared" si="519"/>
        <v>115.87669621685046</v>
      </c>
      <c r="AK917">
        <f t="shared" si="520"/>
        <v>129.58945583739788</v>
      </c>
      <c r="AL917">
        <f t="shared" si="521"/>
        <v>161.95479967731183</v>
      </c>
      <c r="AM917">
        <f t="shared" si="522"/>
        <v>301.74936120711095</v>
      </c>
      <c r="AN917">
        <f t="shared" si="523"/>
        <v>0</v>
      </c>
      <c r="AO917">
        <f t="shared" si="524"/>
        <v>0</v>
      </c>
    </row>
    <row r="918" spans="1:41" x14ac:dyDescent="0.45">
      <c r="A918">
        <v>45.624503560000001</v>
      </c>
      <c r="B918">
        <v>124.97115100000001</v>
      </c>
      <c r="C918">
        <v>5.49817467</v>
      </c>
      <c r="D918">
        <v>30.03130913</v>
      </c>
      <c r="E918">
        <f t="shared" si="490"/>
        <v>5.49817467</v>
      </c>
      <c r="F918">
        <f t="shared" si="491"/>
        <v>2.5404357799999993</v>
      </c>
      <c r="G918">
        <f t="shared" si="492"/>
        <v>0</v>
      </c>
      <c r="H918">
        <f t="shared" si="493"/>
        <v>0</v>
      </c>
      <c r="I918">
        <f t="shared" si="494"/>
        <v>0</v>
      </c>
      <c r="J918">
        <f t="shared" si="495"/>
        <v>0</v>
      </c>
      <c r="K918" s="1">
        <f t="shared" si="496"/>
        <v>2.5404357799999993</v>
      </c>
      <c r="L918" s="1">
        <f t="shared" si="497"/>
        <v>0</v>
      </c>
      <c r="M918" s="1">
        <f t="shared" si="498"/>
        <v>0</v>
      </c>
      <c r="N918" s="1">
        <f t="shared" si="499"/>
        <v>0</v>
      </c>
      <c r="O918" s="1">
        <f t="shared" si="500"/>
        <v>0</v>
      </c>
      <c r="P918" s="1">
        <f t="shared" si="501"/>
        <v>4.5770354583939508</v>
      </c>
      <c r="Q918" s="1">
        <f t="shared" si="502"/>
        <v>25</v>
      </c>
      <c r="R918" s="1" t="e">
        <f t="shared" si="503"/>
        <v>#DIV/0!</v>
      </c>
      <c r="S918" s="1" t="e">
        <f t="shared" si="504"/>
        <v>#DIV/0!</v>
      </c>
      <c r="T918" s="1" t="e">
        <f t="shared" si="505"/>
        <v>#DIV/0!</v>
      </c>
      <c r="U918" s="1" t="e">
        <f t="shared" si="506"/>
        <v>#DIV/0!</v>
      </c>
      <c r="V918">
        <f t="shared" si="507"/>
        <v>187.73365239780338</v>
      </c>
      <c r="W918">
        <f t="shared" si="508"/>
        <v>976.49</v>
      </c>
      <c r="X918">
        <f t="shared" si="509"/>
        <v>0</v>
      </c>
      <c r="Y918">
        <f t="shared" si="510"/>
        <v>0</v>
      </c>
      <c r="Z918">
        <f t="shared" si="511"/>
        <v>0</v>
      </c>
      <c r="AA918">
        <f t="shared" si="512"/>
        <v>0</v>
      </c>
      <c r="AC918">
        <f t="shared" si="513"/>
        <v>228.33141833575803</v>
      </c>
      <c r="AD918">
        <f t="shared" si="514"/>
        <v>976.49</v>
      </c>
      <c r="AE918">
        <f t="shared" si="515"/>
        <v>0</v>
      </c>
      <c r="AF918">
        <f t="shared" si="516"/>
        <v>0</v>
      </c>
      <c r="AG918">
        <f t="shared" si="517"/>
        <v>0</v>
      </c>
      <c r="AH918">
        <f t="shared" si="518"/>
        <v>0</v>
      </c>
      <c r="AJ918">
        <f t="shared" si="519"/>
        <v>268.91918427371269</v>
      </c>
      <c r="AK918">
        <f t="shared" si="520"/>
        <v>1170.94</v>
      </c>
      <c r="AL918">
        <f t="shared" si="521"/>
        <v>0</v>
      </c>
      <c r="AM918">
        <f t="shared" si="522"/>
        <v>0</v>
      </c>
      <c r="AN918">
        <f t="shared" si="523"/>
        <v>0</v>
      </c>
      <c r="AO918">
        <f t="shared" si="524"/>
        <v>0</v>
      </c>
    </row>
    <row r="919" spans="1:41" x14ac:dyDescent="0.45">
      <c r="A919">
        <v>45.627500269999999</v>
      </c>
      <c r="B919">
        <v>86.721858560000001</v>
      </c>
      <c r="C919">
        <v>18.492280959999999</v>
      </c>
      <c r="D919">
        <v>22.56075478</v>
      </c>
      <c r="E919">
        <f t="shared" si="490"/>
        <v>18.492280959999999</v>
      </c>
      <c r="F919">
        <f t="shared" si="491"/>
        <v>0</v>
      </c>
      <c r="G919">
        <f t="shared" si="492"/>
        <v>0</v>
      </c>
      <c r="H919">
        <f t="shared" si="493"/>
        <v>0</v>
      </c>
      <c r="I919">
        <f t="shared" si="494"/>
        <v>0</v>
      </c>
      <c r="J919">
        <f t="shared" si="495"/>
        <v>0</v>
      </c>
      <c r="K919" s="1">
        <f t="shared" si="496"/>
        <v>0</v>
      </c>
      <c r="L919" s="1">
        <f t="shared" si="497"/>
        <v>0</v>
      </c>
      <c r="M919" s="1">
        <f t="shared" si="498"/>
        <v>0</v>
      </c>
      <c r="N919" s="1">
        <f t="shared" si="499"/>
        <v>0</v>
      </c>
      <c r="O919" s="1">
        <f t="shared" si="500"/>
        <v>0</v>
      </c>
      <c r="P919" s="1">
        <f t="shared" si="501"/>
        <v>20.491647044088829</v>
      </c>
      <c r="Q919" s="1" t="e">
        <f t="shared" si="502"/>
        <v>#DIV/0!</v>
      </c>
      <c r="R919" s="1" t="e">
        <f t="shared" si="503"/>
        <v>#DIV/0!</v>
      </c>
      <c r="S919" s="1" t="e">
        <f t="shared" si="504"/>
        <v>#DIV/0!</v>
      </c>
      <c r="T919" s="1" t="e">
        <f t="shared" si="505"/>
        <v>#DIV/0!</v>
      </c>
      <c r="U919" s="1" t="e">
        <f t="shared" si="506"/>
        <v>#DIV/0!</v>
      </c>
      <c r="V919">
        <f t="shared" si="507"/>
        <v>704.95852893288691</v>
      </c>
      <c r="W919">
        <f t="shared" si="508"/>
        <v>0</v>
      </c>
      <c r="X919">
        <f t="shared" si="509"/>
        <v>0</v>
      </c>
      <c r="Y919">
        <f t="shared" si="510"/>
        <v>0</v>
      </c>
      <c r="Z919">
        <f t="shared" si="511"/>
        <v>0</v>
      </c>
      <c r="AA919">
        <f t="shared" si="512"/>
        <v>0</v>
      </c>
      <c r="AC919">
        <f t="shared" si="513"/>
        <v>864.91588176355322</v>
      </c>
      <c r="AD919">
        <f t="shared" si="514"/>
        <v>0</v>
      </c>
      <c r="AE919">
        <f t="shared" si="515"/>
        <v>0</v>
      </c>
      <c r="AF919">
        <f t="shared" si="516"/>
        <v>0</v>
      </c>
      <c r="AG919">
        <f t="shared" si="517"/>
        <v>0</v>
      </c>
      <c r="AH919">
        <f t="shared" si="518"/>
        <v>0</v>
      </c>
      <c r="AJ919">
        <f t="shared" si="519"/>
        <v>1024.8632345942194</v>
      </c>
      <c r="AK919">
        <f t="shared" si="520"/>
        <v>0</v>
      </c>
      <c r="AL919">
        <f t="shared" si="521"/>
        <v>0</v>
      </c>
      <c r="AM919">
        <f t="shared" si="522"/>
        <v>0</v>
      </c>
      <c r="AN919">
        <f t="shared" si="523"/>
        <v>0</v>
      </c>
      <c r="AO919">
        <f t="shared" si="524"/>
        <v>0</v>
      </c>
    </row>
    <row r="920" spans="1:41" x14ac:dyDescent="0.45">
      <c r="A920">
        <v>45.63339714</v>
      </c>
      <c r="B920">
        <v>125.2364243</v>
      </c>
      <c r="C920">
        <v>5.49817467</v>
      </c>
      <c r="D920">
        <v>24.151086809999999</v>
      </c>
      <c r="E920">
        <f t="shared" si="490"/>
        <v>5.49817467</v>
      </c>
      <c r="F920">
        <f t="shared" si="491"/>
        <v>0</v>
      </c>
      <c r="G920">
        <f t="shared" si="492"/>
        <v>0</v>
      </c>
      <c r="H920">
        <f t="shared" si="493"/>
        <v>0</v>
      </c>
      <c r="I920">
        <f t="shared" si="494"/>
        <v>0</v>
      </c>
      <c r="J920">
        <f t="shared" si="495"/>
        <v>0</v>
      </c>
      <c r="K920" s="1">
        <f t="shared" si="496"/>
        <v>0</v>
      </c>
      <c r="L920" s="1">
        <f t="shared" si="497"/>
        <v>0</v>
      </c>
      <c r="M920" s="1">
        <f t="shared" si="498"/>
        <v>0</v>
      </c>
      <c r="N920" s="1">
        <f t="shared" si="499"/>
        <v>0</v>
      </c>
      <c r="O920" s="1">
        <f t="shared" si="500"/>
        <v>0</v>
      </c>
      <c r="P920" s="1">
        <f t="shared" si="501"/>
        <v>5.6914360762053011</v>
      </c>
      <c r="Q920" s="1" t="e">
        <f t="shared" si="502"/>
        <v>#DIV/0!</v>
      </c>
      <c r="R920" s="1" t="e">
        <f t="shared" si="503"/>
        <v>#DIV/0!</v>
      </c>
      <c r="S920" s="1" t="e">
        <f t="shared" si="504"/>
        <v>#DIV/0!</v>
      </c>
      <c r="T920" s="1" t="e">
        <f t="shared" si="505"/>
        <v>#DIV/0!</v>
      </c>
      <c r="U920" s="1" t="e">
        <f t="shared" si="506"/>
        <v>#DIV/0!</v>
      </c>
      <c r="V920">
        <f t="shared" si="507"/>
        <v>223.95167247667229</v>
      </c>
      <c r="W920">
        <f t="shared" si="508"/>
        <v>0</v>
      </c>
      <c r="X920">
        <f t="shared" si="509"/>
        <v>0</v>
      </c>
      <c r="Y920">
        <f t="shared" si="510"/>
        <v>0</v>
      </c>
      <c r="Z920">
        <f t="shared" si="511"/>
        <v>0</v>
      </c>
      <c r="AA920">
        <f t="shared" si="512"/>
        <v>0</v>
      </c>
      <c r="AC920">
        <f t="shared" si="513"/>
        <v>272.90744304821203</v>
      </c>
      <c r="AD920">
        <f t="shared" si="514"/>
        <v>0</v>
      </c>
      <c r="AE920">
        <f t="shared" si="515"/>
        <v>0</v>
      </c>
      <c r="AF920">
        <f t="shared" si="516"/>
        <v>0</v>
      </c>
      <c r="AG920">
        <f t="shared" si="517"/>
        <v>0</v>
      </c>
      <c r="AH920">
        <f t="shared" si="518"/>
        <v>0</v>
      </c>
      <c r="AJ920">
        <f t="shared" si="519"/>
        <v>321.85321361975178</v>
      </c>
      <c r="AK920">
        <f t="shared" si="520"/>
        <v>0</v>
      </c>
      <c r="AL920">
        <f t="shared" si="521"/>
        <v>0</v>
      </c>
      <c r="AM920">
        <f t="shared" si="522"/>
        <v>0</v>
      </c>
      <c r="AN920">
        <f t="shared" si="523"/>
        <v>0</v>
      </c>
      <c r="AO920">
        <f t="shared" si="524"/>
        <v>0</v>
      </c>
    </row>
    <row r="921" spans="1:41" x14ac:dyDescent="0.45">
      <c r="A921">
        <v>45.636384159999999</v>
      </c>
      <c r="B921">
        <v>116.88839059999999</v>
      </c>
      <c r="C921">
        <v>6.3704409599999998</v>
      </c>
      <c r="D921">
        <v>3.6107790500000001</v>
      </c>
      <c r="E921">
        <f t="shared" si="490"/>
        <v>3.6107790500000001</v>
      </c>
      <c r="F921">
        <f t="shared" si="491"/>
        <v>0</v>
      </c>
      <c r="G921">
        <f t="shared" si="492"/>
        <v>0</v>
      </c>
      <c r="H921">
        <f t="shared" si="493"/>
        <v>0</v>
      </c>
      <c r="I921">
        <f t="shared" si="494"/>
        <v>0</v>
      </c>
      <c r="J921">
        <f t="shared" si="495"/>
        <v>0</v>
      </c>
      <c r="K921" s="1">
        <f t="shared" si="496"/>
        <v>0</v>
      </c>
      <c r="L921" s="1">
        <f t="shared" si="497"/>
        <v>0</v>
      </c>
      <c r="M921" s="1">
        <f t="shared" si="498"/>
        <v>0</v>
      </c>
      <c r="N921" s="1">
        <f t="shared" si="499"/>
        <v>0</v>
      </c>
      <c r="O921" s="1">
        <f t="shared" si="500"/>
        <v>0</v>
      </c>
      <c r="P921" s="1">
        <f t="shared" si="501"/>
        <v>25</v>
      </c>
      <c r="Q921" s="1" t="e">
        <f t="shared" si="502"/>
        <v>#DIV/0!</v>
      </c>
      <c r="R921" s="1" t="e">
        <f t="shared" si="503"/>
        <v>#DIV/0!</v>
      </c>
      <c r="S921" s="1" t="e">
        <f t="shared" si="504"/>
        <v>#DIV/0!</v>
      </c>
      <c r="T921" s="1" t="e">
        <f t="shared" si="505"/>
        <v>#DIV/0!</v>
      </c>
      <c r="U921" s="1" t="e">
        <f t="shared" si="506"/>
        <v>#DIV/0!</v>
      </c>
      <c r="V921">
        <f t="shared" si="507"/>
        <v>851.48</v>
      </c>
      <c r="W921">
        <f t="shared" si="508"/>
        <v>0</v>
      </c>
      <c r="X921">
        <f t="shared" si="509"/>
        <v>0</v>
      </c>
      <c r="Y921">
        <f t="shared" si="510"/>
        <v>0</v>
      </c>
      <c r="Z921">
        <f t="shared" si="511"/>
        <v>0</v>
      </c>
      <c r="AA921">
        <f t="shared" si="512"/>
        <v>0</v>
      </c>
      <c r="AC921">
        <f t="shared" si="513"/>
        <v>1045.25</v>
      </c>
      <c r="AD921">
        <f t="shared" si="514"/>
        <v>0</v>
      </c>
      <c r="AE921">
        <f t="shared" si="515"/>
        <v>0</v>
      </c>
      <c r="AF921">
        <f t="shared" si="516"/>
        <v>0</v>
      </c>
      <c r="AG921">
        <f t="shared" si="517"/>
        <v>0</v>
      </c>
      <c r="AH921">
        <f t="shared" si="518"/>
        <v>0</v>
      </c>
      <c r="AJ921">
        <f t="shared" si="519"/>
        <v>1239.01</v>
      </c>
      <c r="AK921">
        <f t="shared" si="520"/>
        <v>0</v>
      </c>
      <c r="AL921">
        <f t="shared" si="521"/>
        <v>0</v>
      </c>
      <c r="AM921">
        <f t="shared" si="522"/>
        <v>0</v>
      </c>
      <c r="AN921">
        <f t="shared" si="523"/>
        <v>0</v>
      </c>
      <c r="AO921">
        <f t="shared" si="524"/>
        <v>0</v>
      </c>
    </row>
    <row r="922" spans="1:41" x14ac:dyDescent="0.45">
      <c r="A922">
        <v>45.663914779999999</v>
      </c>
      <c r="B922">
        <v>85.394656389999994</v>
      </c>
      <c r="C922">
        <v>13.102680210000001</v>
      </c>
      <c r="D922">
        <v>0.12565599</v>
      </c>
      <c r="E922">
        <f t="shared" si="490"/>
        <v>0.12565599</v>
      </c>
      <c r="F922">
        <f t="shared" si="491"/>
        <v>0</v>
      </c>
      <c r="G922">
        <f t="shared" si="492"/>
        <v>0</v>
      </c>
      <c r="H922">
        <f t="shared" si="493"/>
        <v>0</v>
      </c>
      <c r="I922">
        <f t="shared" si="494"/>
        <v>0</v>
      </c>
      <c r="J922">
        <f t="shared" si="495"/>
        <v>0</v>
      </c>
      <c r="K922" s="1">
        <f t="shared" si="496"/>
        <v>0</v>
      </c>
      <c r="L922" s="1">
        <f t="shared" si="497"/>
        <v>0</v>
      </c>
      <c r="M922" s="1">
        <f t="shared" si="498"/>
        <v>0</v>
      </c>
      <c r="N922" s="1">
        <f t="shared" si="499"/>
        <v>0</v>
      </c>
      <c r="O922" s="1">
        <f t="shared" si="500"/>
        <v>0</v>
      </c>
      <c r="P922" s="1">
        <f t="shared" si="501"/>
        <v>25</v>
      </c>
      <c r="Q922" s="1" t="e">
        <f t="shared" si="502"/>
        <v>#DIV/0!</v>
      </c>
      <c r="R922" s="1" t="e">
        <f t="shared" si="503"/>
        <v>#DIV/0!</v>
      </c>
      <c r="S922" s="1" t="e">
        <f t="shared" si="504"/>
        <v>#DIV/0!</v>
      </c>
      <c r="T922" s="1" t="e">
        <f t="shared" si="505"/>
        <v>#DIV/0!</v>
      </c>
      <c r="U922" s="1" t="e">
        <f t="shared" si="506"/>
        <v>#DIV/0!</v>
      </c>
      <c r="V922">
        <f t="shared" si="507"/>
        <v>851.48</v>
      </c>
      <c r="W922">
        <f t="shared" si="508"/>
        <v>0</v>
      </c>
      <c r="X922">
        <f t="shared" si="509"/>
        <v>0</v>
      </c>
      <c r="Y922">
        <f t="shared" si="510"/>
        <v>0</v>
      </c>
      <c r="Z922">
        <f t="shared" si="511"/>
        <v>0</v>
      </c>
      <c r="AA922">
        <f t="shared" si="512"/>
        <v>0</v>
      </c>
      <c r="AC922">
        <f t="shared" si="513"/>
        <v>1045.25</v>
      </c>
      <c r="AD922">
        <f t="shared" si="514"/>
        <v>0</v>
      </c>
      <c r="AE922">
        <f t="shared" si="515"/>
        <v>0</v>
      </c>
      <c r="AF922">
        <f t="shared" si="516"/>
        <v>0</v>
      </c>
      <c r="AG922">
        <f t="shared" si="517"/>
        <v>0</v>
      </c>
      <c r="AH922">
        <f t="shared" si="518"/>
        <v>0</v>
      </c>
      <c r="AJ922">
        <f t="shared" si="519"/>
        <v>1239.01</v>
      </c>
      <c r="AK922">
        <f t="shared" si="520"/>
        <v>0</v>
      </c>
      <c r="AL922">
        <f t="shared" si="521"/>
        <v>0</v>
      </c>
      <c r="AM922">
        <f t="shared" si="522"/>
        <v>0</v>
      </c>
      <c r="AN922">
        <f t="shared" si="523"/>
        <v>0</v>
      </c>
      <c r="AO922">
        <f t="shared" si="524"/>
        <v>0</v>
      </c>
    </row>
    <row r="923" spans="1:41" x14ac:dyDescent="0.45">
      <c r="A923">
        <v>45.666617119999998</v>
      </c>
      <c r="B923">
        <v>124.3264528</v>
      </c>
      <c r="C923">
        <v>5.49817467</v>
      </c>
      <c r="D923">
        <v>14.995493890000001</v>
      </c>
      <c r="E923">
        <f t="shared" si="490"/>
        <v>5.49817467</v>
      </c>
      <c r="F923">
        <f t="shared" si="491"/>
        <v>0</v>
      </c>
      <c r="G923">
        <f t="shared" si="492"/>
        <v>0</v>
      </c>
      <c r="H923">
        <f t="shared" si="493"/>
        <v>0</v>
      </c>
      <c r="I923">
        <f t="shared" si="494"/>
        <v>0</v>
      </c>
      <c r="J923">
        <f t="shared" si="495"/>
        <v>0</v>
      </c>
      <c r="K923" s="1">
        <f t="shared" si="496"/>
        <v>0</v>
      </c>
      <c r="L923" s="1">
        <f t="shared" si="497"/>
        <v>0</v>
      </c>
      <c r="M923" s="1">
        <f t="shared" si="498"/>
        <v>0</v>
      </c>
      <c r="N923" s="1">
        <f t="shared" si="499"/>
        <v>0</v>
      </c>
      <c r="O923" s="1">
        <f t="shared" si="500"/>
        <v>0</v>
      </c>
      <c r="P923" s="1">
        <f t="shared" si="501"/>
        <v>9.1663780972005036</v>
      </c>
      <c r="Q923" s="1" t="e">
        <f t="shared" si="502"/>
        <v>#DIV/0!</v>
      </c>
      <c r="R923" s="1" t="e">
        <f t="shared" si="503"/>
        <v>#DIV/0!</v>
      </c>
      <c r="S923" s="1" t="e">
        <f t="shared" si="504"/>
        <v>#DIV/0!</v>
      </c>
      <c r="T923" s="1" t="e">
        <f t="shared" si="505"/>
        <v>#DIV/0!</v>
      </c>
      <c r="U923" s="1" t="e">
        <f t="shared" si="506"/>
        <v>#DIV/0!</v>
      </c>
      <c r="V923">
        <f t="shared" si="507"/>
        <v>336.88728815901641</v>
      </c>
      <c r="W923">
        <f t="shared" si="508"/>
        <v>0</v>
      </c>
      <c r="X923">
        <f t="shared" si="509"/>
        <v>0</v>
      </c>
      <c r="Y923">
        <f t="shared" si="510"/>
        <v>0</v>
      </c>
      <c r="Z923">
        <f t="shared" si="511"/>
        <v>0</v>
      </c>
      <c r="AA923">
        <f t="shared" si="512"/>
        <v>0</v>
      </c>
      <c r="AC923">
        <f t="shared" si="513"/>
        <v>411.90512388802017</v>
      </c>
      <c r="AD923">
        <f t="shared" si="514"/>
        <v>0</v>
      </c>
      <c r="AE923">
        <f t="shared" si="515"/>
        <v>0</v>
      </c>
      <c r="AF923">
        <f t="shared" si="516"/>
        <v>0</v>
      </c>
      <c r="AG923">
        <f t="shared" si="517"/>
        <v>0</v>
      </c>
      <c r="AH923">
        <f t="shared" si="518"/>
        <v>0</v>
      </c>
      <c r="AJ923">
        <f t="shared" si="519"/>
        <v>486.91295961702389</v>
      </c>
      <c r="AK923">
        <f t="shared" si="520"/>
        <v>0</v>
      </c>
      <c r="AL923">
        <f t="shared" si="521"/>
        <v>0</v>
      </c>
      <c r="AM923">
        <f t="shared" si="522"/>
        <v>0</v>
      </c>
      <c r="AN923">
        <f t="shared" si="523"/>
        <v>0</v>
      </c>
      <c r="AO923">
        <f t="shared" si="524"/>
        <v>0</v>
      </c>
    </row>
    <row r="924" spans="1:41" x14ac:dyDescent="0.45">
      <c r="A924">
        <v>45.799722469999999</v>
      </c>
      <c r="B924">
        <v>124.36288759999999</v>
      </c>
      <c r="C924">
        <v>5.49817467</v>
      </c>
      <c r="D924">
        <v>15.894377710000001</v>
      </c>
      <c r="E924">
        <f t="shared" si="490"/>
        <v>5.49817467</v>
      </c>
      <c r="F924">
        <f t="shared" si="491"/>
        <v>0</v>
      </c>
      <c r="G924">
        <f t="shared" si="492"/>
        <v>0</v>
      </c>
      <c r="H924">
        <f t="shared" si="493"/>
        <v>0</v>
      </c>
      <c r="I924">
        <f t="shared" si="494"/>
        <v>0</v>
      </c>
      <c r="J924">
        <f t="shared" si="495"/>
        <v>0</v>
      </c>
      <c r="K924" s="1">
        <f t="shared" si="496"/>
        <v>0</v>
      </c>
      <c r="L924" s="1">
        <f t="shared" si="497"/>
        <v>0</v>
      </c>
      <c r="M924" s="1">
        <f t="shared" si="498"/>
        <v>0</v>
      </c>
      <c r="N924" s="1">
        <f t="shared" si="499"/>
        <v>0</v>
      </c>
      <c r="O924" s="1">
        <f t="shared" si="500"/>
        <v>0</v>
      </c>
      <c r="P924" s="1">
        <f t="shared" si="501"/>
        <v>8.6479866817006688</v>
      </c>
      <c r="Q924" s="1" t="e">
        <f t="shared" si="502"/>
        <v>#DIV/0!</v>
      </c>
      <c r="R924" s="1" t="e">
        <f t="shared" si="503"/>
        <v>#DIV/0!</v>
      </c>
      <c r="S924" s="1" t="e">
        <f t="shared" si="504"/>
        <v>#DIV/0!</v>
      </c>
      <c r="T924" s="1" t="e">
        <f t="shared" si="505"/>
        <v>#DIV/0!</v>
      </c>
      <c r="U924" s="1" t="e">
        <f t="shared" si="506"/>
        <v>#DIV/0!</v>
      </c>
      <c r="V924">
        <f t="shared" si="507"/>
        <v>320.03956715527175</v>
      </c>
      <c r="W924">
        <f t="shared" si="508"/>
        <v>0</v>
      </c>
      <c r="X924">
        <f t="shared" si="509"/>
        <v>0</v>
      </c>
      <c r="Y924">
        <f t="shared" si="510"/>
        <v>0</v>
      </c>
      <c r="Z924">
        <f t="shared" si="511"/>
        <v>0</v>
      </c>
      <c r="AA924">
        <f t="shared" si="512"/>
        <v>0</v>
      </c>
      <c r="AC924">
        <f t="shared" si="513"/>
        <v>391.16946726802678</v>
      </c>
      <c r="AD924">
        <f t="shared" si="514"/>
        <v>0</v>
      </c>
      <c r="AE924">
        <f t="shared" si="515"/>
        <v>0</v>
      </c>
      <c r="AF924">
        <f t="shared" si="516"/>
        <v>0</v>
      </c>
      <c r="AG924">
        <f t="shared" si="517"/>
        <v>0</v>
      </c>
      <c r="AH924">
        <f t="shared" si="518"/>
        <v>0</v>
      </c>
      <c r="AJ924">
        <f t="shared" si="519"/>
        <v>462.28936738078175</v>
      </c>
      <c r="AK924">
        <f t="shared" si="520"/>
        <v>0</v>
      </c>
      <c r="AL924">
        <f t="shared" si="521"/>
        <v>0</v>
      </c>
      <c r="AM924">
        <f t="shared" si="522"/>
        <v>0</v>
      </c>
      <c r="AN924">
        <f t="shared" si="523"/>
        <v>0</v>
      </c>
      <c r="AO924">
        <f t="shared" si="524"/>
        <v>0</v>
      </c>
    </row>
    <row r="925" spans="1:41" x14ac:dyDescent="0.45">
      <c r="A925">
        <v>45.800658110000001</v>
      </c>
      <c r="B925">
        <v>125.6799609</v>
      </c>
      <c r="C925">
        <v>1.9456416400000001</v>
      </c>
      <c r="D925">
        <v>42.116260529999998</v>
      </c>
      <c r="E925">
        <f t="shared" si="490"/>
        <v>1.9456416400000001</v>
      </c>
      <c r="F925">
        <f t="shared" si="491"/>
        <v>32.388052329999994</v>
      </c>
      <c r="G925">
        <f t="shared" si="492"/>
        <v>22.659844129999996</v>
      </c>
      <c r="H925">
        <f t="shared" si="493"/>
        <v>12.931635929999999</v>
      </c>
      <c r="I925">
        <f t="shared" si="494"/>
        <v>3.2034277299999943</v>
      </c>
      <c r="J925">
        <f t="shared" si="495"/>
        <v>0</v>
      </c>
      <c r="K925" s="1">
        <f t="shared" si="496"/>
        <v>1.9456416400000001</v>
      </c>
      <c r="L925" s="1">
        <f t="shared" si="497"/>
        <v>1.9456416400000001</v>
      </c>
      <c r="M925" s="1">
        <f t="shared" si="498"/>
        <v>1.9456416400000001</v>
      </c>
      <c r="N925" s="1">
        <f t="shared" si="499"/>
        <v>1.9456416400000001</v>
      </c>
      <c r="O925" s="1">
        <f t="shared" si="500"/>
        <v>0</v>
      </c>
      <c r="P925" s="1">
        <f t="shared" si="501"/>
        <v>1.1549230721790296</v>
      </c>
      <c r="Q925" s="1">
        <f t="shared" si="502"/>
        <v>1.5018205017207964</v>
      </c>
      <c r="R925" s="1">
        <f t="shared" si="503"/>
        <v>2.1465743859907129</v>
      </c>
      <c r="S925" s="1">
        <f t="shared" si="504"/>
        <v>3.7613988874491926</v>
      </c>
      <c r="T925" s="1">
        <f t="shared" si="505"/>
        <v>15.184060668663841</v>
      </c>
      <c r="U925" s="1" t="e">
        <f t="shared" si="506"/>
        <v>#DIV/0!</v>
      </c>
      <c r="V925">
        <f t="shared" si="507"/>
        <v>76.514999845818465</v>
      </c>
      <c r="W925">
        <f t="shared" si="508"/>
        <v>95.308268814529868</v>
      </c>
      <c r="X925">
        <f t="shared" si="509"/>
        <v>121.17497218622981</v>
      </c>
      <c r="Y925">
        <f t="shared" si="510"/>
        <v>93.327977748983841</v>
      </c>
      <c r="Z925">
        <f t="shared" si="511"/>
        <v>280.34106170161721</v>
      </c>
      <c r="AA925">
        <f t="shared" si="512"/>
        <v>0</v>
      </c>
      <c r="AC925">
        <f t="shared" si="513"/>
        <v>91.446922887161179</v>
      </c>
      <c r="AD925">
        <f t="shared" si="514"/>
        <v>95.308268814529868</v>
      </c>
      <c r="AE925">
        <f t="shared" si="515"/>
        <v>101.43366754469817</v>
      </c>
      <c r="AF925">
        <f t="shared" si="516"/>
        <v>132.68196662347577</v>
      </c>
      <c r="AG925">
        <f t="shared" si="517"/>
        <v>62.524060668663843</v>
      </c>
      <c r="AH925">
        <f t="shared" si="518"/>
        <v>0</v>
      </c>
      <c r="AJ925">
        <f t="shared" si="519"/>
        <v>106.3688459285039</v>
      </c>
      <c r="AK925">
        <f t="shared" si="520"/>
        <v>113.52192257743583</v>
      </c>
      <c r="AL925">
        <f t="shared" si="521"/>
        <v>127.4294114046053</v>
      </c>
      <c r="AM925">
        <f t="shared" si="522"/>
        <v>170.98245827934474</v>
      </c>
      <c r="AN925">
        <f t="shared" si="523"/>
        <v>594.46227507489402</v>
      </c>
      <c r="AO925">
        <f t="shared" si="524"/>
        <v>0</v>
      </c>
    </row>
    <row r="926" spans="1:41" x14ac:dyDescent="0.45">
      <c r="A926">
        <v>45.801130729999997</v>
      </c>
      <c r="B926">
        <v>124.6921487</v>
      </c>
      <c r="C926">
        <v>1.10745227</v>
      </c>
      <c r="D926">
        <v>20.73853111</v>
      </c>
      <c r="E926">
        <f t="shared" si="490"/>
        <v>1.10745227</v>
      </c>
      <c r="F926">
        <f t="shared" si="491"/>
        <v>15.201269760000001</v>
      </c>
      <c r="G926">
        <f t="shared" si="492"/>
        <v>9.664008410000001</v>
      </c>
      <c r="H926">
        <f t="shared" si="493"/>
        <v>4.1267470599999996</v>
      </c>
      <c r="I926">
        <f t="shared" si="494"/>
        <v>0</v>
      </c>
      <c r="J926">
        <f t="shared" si="495"/>
        <v>0</v>
      </c>
      <c r="K926" s="1">
        <f t="shared" si="496"/>
        <v>1.10745227</v>
      </c>
      <c r="L926" s="1">
        <f t="shared" si="497"/>
        <v>1.10745227</v>
      </c>
      <c r="M926" s="1">
        <f t="shared" si="498"/>
        <v>1.10745227</v>
      </c>
      <c r="N926" s="1">
        <f t="shared" si="499"/>
        <v>0</v>
      </c>
      <c r="O926" s="1">
        <f t="shared" si="500"/>
        <v>0</v>
      </c>
      <c r="P926" s="1">
        <f t="shared" si="501"/>
        <v>1.3350177311569489</v>
      </c>
      <c r="Q926" s="1">
        <f t="shared" si="502"/>
        <v>1.8213154024049105</v>
      </c>
      <c r="R926" s="1">
        <f t="shared" si="503"/>
        <v>2.864888519897304</v>
      </c>
      <c r="S926" s="1">
        <f t="shared" si="504"/>
        <v>6.7089904826878346</v>
      </c>
      <c r="T926" s="1" t="e">
        <f t="shared" si="505"/>
        <v>#DIV/0!</v>
      </c>
      <c r="U926" s="1" t="e">
        <f t="shared" si="506"/>
        <v>#DIV/0!</v>
      </c>
      <c r="V926">
        <f t="shared" si="507"/>
        <v>82.368076262600852</v>
      </c>
      <c r="W926">
        <f t="shared" si="508"/>
        <v>107.28932759018414</v>
      </c>
      <c r="X926">
        <f t="shared" si="509"/>
        <v>194.86476206719584</v>
      </c>
      <c r="Y926">
        <f t="shared" si="510"/>
        <v>152.2798096537567</v>
      </c>
      <c r="Z926">
        <f t="shared" si="511"/>
        <v>0</v>
      </c>
      <c r="AA926">
        <f t="shared" si="512"/>
        <v>0</v>
      </c>
      <c r="AC926">
        <f t="shared" si="513"/>
        <v>98.650709246277955</v>
      </c>
      <c r="AD926">
        <f t="shared" si="514"/>
        <v>107.28932759018414</v>
      </c>
      <c r="AE926">
        <f t="shared" si="515"/>
        <v>124.77887689666238</v>
      </c>
      <c r="AF926">
        <f t="shared" si="516"/>
        <v>221.10971448063503</v>
      </c>
      <c r="AG926">
        <f t="shared" si="517"/>
        <v>0</v>
      </c>
      <c r="AH926">
        <f t="shared" si="518"/>
        <v>0</v>
      </c>
      <c r="AJ926">
        <f t="shared" si="519"/>
        <v>114.92334222995507</v>
      </c>
      <c r="AK926">
        <f t="shared" si="520"/>
        <v>127.89919310822097</v>
      </c>
      <c r="AL926">
        <f t="shared" si="521"/>
        <v>157.95776209563542</v>
      </c>
      <c r="AM926">
        <f t="shared" si="522"/>
        <v>281.51714310079382</v>
      </c>
      <c r="AN926">
        <f t="shared" si="523"/>
        <v>0</v>
      </c>
      <c r="AO926">
        <f t="shared" si="524"/>
        <v>0</v>
      </c>
    </row>
    <row r="927" spans="1:41" x14ac:dyDescent="0.45">
      <c r="A927">
        <v>45.818372619999998</v>
      </c>
      <c r="B927">
        <v>85.809332510000004</v>
      </c>
      <c r="C927">
        <v>18.492280959999999</v>
      </c>
      <c r="D927">
        <v>7.4918289199999997</v>
      </c>
      <c r="E927">
        <f t="shared" si="490"/>
        <v>7.4918289199999997</v>
      </c>
      <c r="F927">
        <f t="shared" si="491"/>
        <v>0</v>
      </c>
      <c r="G927">
        <f t="shared" si="492"/>
        <v>0</v>
      </c>
      <c r="H927">
        <f t="shared" si="493"/>
        <v>0</v>
      </c>
      <c r="I927">
        <f t="shared" si="494"/>
        <v>0</v>
      </c>
      <c r="J927">
        <f t="shared" si="495"/>
        <v>0</v>
      </c>
      <c r="K927" s="1">
        <f t="shared" si="496"/>
        <v>0</v>
      </c>
      <c r="L927" s="1">
        <f t="shared" si="497"/>
        <v>0</v>
      </c>
      <c r="M927" s="1">
        <f t="shared" si="498"/>
        <v>0</v>
      </c>
      <c r="N927" s="1">
        <f t="shared" si="499"/>
        <v>0</v>
      </c>
      <c r="O927" s="1">
        <f t="shared" si="500"/>
        <v>0</v>
      </c>
      <c r="P927" s="1">
        <f t="shared" si="501"/>
        <v>25</v>
      </c>
      <c r="Q927" s="1" t="e">
        <f t="shared" si="502"/>
        <v>#DIV/0!</v>
      </c>
      <c r="R927" s="1" t="e">
        <f t="shared" si="503"/>
        <v>#DIV/0!</v>
      </c>
      <c r="S927" s="1" t="e">
        <f t="shared" si="504"/>
        <v>#DIV/0!</v>
      </c>
      <c r="T927" s="1" t="e">
        <f t="shared" si="505"/>
        <v>#DIV/0!</v>
      </c>
      <c r="U927" s="1" t="e">
        <f t="shared" si="506"/>
        <v>#DIV/0!</v>
      </c>
      <c r="V927">
        <f t="shared" si="507"/>
        <v>851.48</v>
      </c>
      <c r="W927">
        <f t="shared" si="508"/>
        <v>0</v>
      </c>
      <c r="X927">
        <f t="shared" si="509"/>
        <v>0</v>
      </c>
      <c r="Y927">
        <f t="shared" si="510"/>
        <v>0</v>
      </c>
      <c r="Z927">
        <f t="shared" si="511"/>
        <v>0</v>
      </c>
      <c r="AA927">
        <f t="shared" si="512"/>
        <v>0</v>
      </c>
      <c r="AC927">
        <f t="shared" si="513"/>
        <v>1045.25</v>
      </c>
      <c r="AD927">
        <f t="shared" si="514"/>
        <v>0</v>
      </c>
      <c r="AE927">
        <f t="shared" si="515"/>
        <v>0</v>
      </c>
      <c r="AF927">
        <f t="shared" si="516"/>
        <v>0</v>
      </c>
      <c r="AG927">
        <f t="shared" si="517"/>
        <v>0</v>
      </c>
      <c r="AH927">
        <f t="shared" si="518"/>
        <v>0</v>
      </c>
      <c r="AJ927">
        <f t="shared" si="519"/>
        <v>1239.01</v>
      </c>
      <c r="AK927">
        <f t="shared" si="520"/>
        <v>0</v>
      </c>
      <c r="AL927">
        <f t="shared" si="521"/>
        <v>0</v>
      </c>
      <c r="AM927">
        <f t="shared" si="522"/>
        <v>0</v>
      </c>
      <c r="AN927">
        <f t="shared" si="523"/>
        <v>0</v>
      </c>
      <c r="AO927">
        <f t="shared" si="524"/>
        <v>0</v>
      </c>
    </row>
    <row r="928" spans="1:41" x14ac:dyDescent="0.45">
      <c r="A928">
        <v>45.836879979999999</v>
      </c>
      <c r="B928">
        <v>125.4268392</v>
      </c>
      <c r="C928">
        <v>1.9456416400000001</v>
      </c>
      <c r="D928">
        <v>0.23003501000000001</v>
      </c>
      <c r="E928">
        <f t="shared" si="490"/>
        <v>0.23003501000000001</v>
      </c>
      <c r="F928">
        <f t="shared" si="491"/>
        <v>0</v>
      </c>
      <c r="G928">
        <f t="shared" si="492"/>
        <v>0</v>
      </c>
      <c r="H928">
        <f t="shared" si="493"/>
        <v>0</v>
      </c>
      <c r="I928">
        <f t="shared" si="494"/>
        <v>0</v>
      </c>
      <c r="J928">
        <f t="shared" si="495"/>
        <v>0</v>
      </c>
      <c r="K928" s="1">
        <f t="shared" si="496"/>
        <v>0</v>
      </c>
      <c r="L928" s="1">
        <f t="shared" si="497"/>
        <v>0</v>
      </c>
      <c r="M928" s="1">
        <f t="shared" si="498"/>
        <v>0</v>
      </c>
      <c r="N928" s="1">
        <f t="shared" si="499"/>
        <v>0</v>
      </c>
      <c r="O928" s="1">
        <f t="shared" si="500"/>
        <v>0</v>
      </c>
      <c r="P928" s="1">
        <f t="shared" si="501"/>
        <v>25</v>
      </c>
      <c r="Q928" s="1" t="e">
        <f t="shared" si="502"/>
        <v>#DIV/0!</v>
      </c>
      <c r="R928" s="1" t="e">
        <f t="shared" si="503"/>
        <v>#DIV/0!</v>
      </c>
      <c r="S928" s="1" t="e">
        <f t="shared" si="504"/>
        <v>#DIV/0!</v>
      </c>
      <c r="T928" s="1" t="e">
        <f t="shared" si="505"/>
        <v>#DIV/0!</v>
      </c>
      <c r="U928" s="1" t="e">
        <f t="shared" si="506"/>
        <v>#DIV/0!</v>
      </c>
      <c r="V928">
        <f t="shared" si="507"/>
        <v>851.48</v>
      </c>
      <c r="W928">
        <f t="shared" si="508"/>
        <v>0</v>
      </c>
      <c r="X928">
        <f t="shared" si="509"/>
        <v>0</v>
      </c>
      <c r="Y928">
        <f t="shared" si="510"/>
        <v>0</v>
      </c>
      <c r="Z928">
        <f t="shared" si="511"/>
        <v>0</v>
      </c>
      <c r="AA928">
        <f t="shared" si="512"/>
        <v>0</v>
      </c>
      <c r="AC928">
        <f t="shared" si="513"/>
        <v>1045.25</v>
      </c>
      <c r="AD928">
        <f t="shared" si="514"/>
        <v>0</v>
      </c>
      <c r="AE928">
        <f t="shared" si="515"/>
        <v>0</v>
      </c>
      <c r="AF928">
        <f t="shared" si="516"/>
        <v>0</v>
      </c>
      <c r="AG928">
        <f t="shared" si="517"/>
        <v>0</v>
      </c>
      <c r="AH928">
        <f t="shared" si="518"/>
        <v>0</v>
      </c>
      <c r="AJ928">
        <f t="shared" si="519"/>
        <v>1239.01</v>
      </c>
      <c r="AK928">
        <f t="shared" si="520"/>
        <v>0</v>
      </c>
      <c r="AL928">
        <f t="shared" si="521"/>
        <v>0</v>
      </c>
      <c r="AM928">
        <f t="shared" si="522"/>
        <v>0</v>
      </c>
      <c r="AN928">
        <f t="shared" si="523"/>
        <v>0</v>
      </c>
      <c r="AO928">
        <f t="shared" si="524"/>
        <v>0</v>
      </c>
    </row>
    <row r="929" spans="1:41" x14ac:dyDescent="0.45">
      <c r="A929">
        <v>45.870812559999997</v>
      </c>
      <c r="B929">
        <v>125.8326725</v>
      </c>
      <c r="C929">
        <v>2.93583441</v>
      </c>
      <c r="D929">
        <v>7.633E-3</v>
      </c>
      <c r="E929">
        <f t="shared" si="490"/>
        <v>7.633E-3</v>
      </c>
      <c r="F929">
        <f t="shared" si="491"/>
        <v>0</v>
      </c>
      <c r="G929">
        <f t="shared" si="492"/>
        <v>0</v>
      </c>
      <c r="H929">
        <f t="shared" si="493"/>
        <v>0</v>
      </c>
      <c r="I929">
        <f t="shared" si="494"/>
        <v>0</v>
      </c>
      <c r="J929">
        <f t="shared" si="495"/>
        <v>0</v>
      </c>
      <c r="K929" s="1">
        <f t="shared" si="496"/>
        <v>0</v>
      </c>
      <c r="L929" s="1">
        <f t="shared" si="497"/>
        <v>0</v>
      </c>
      <c r="M929" s="1">
        <f t="shared" si="498"/>
        <v>0</v>
      </c>
      <c r="N929" s="1">
        <f t="shared" si="499"/>
        <v>0</v>
      </c>
      <c r="O929" s="1">
        <f t="shared" si="500"/>
        <v>0</v>
      </c>
      <c r="P929" s="1">
        <f t="shared" si="501"/>
        <v>25</v>
      </c>
      <c r="Q929" s="1" t="e">
        <f t="shared" si="502"/>
        <v>#DIV/0!</v>
      </c>
      <c r="R929" s="1" t="e">
        <f t="shared" si="503"/>
        <v>#DIV/0!</v>
      </c>
      <c r="S929" s="1" t="e">
        <f t="shared" si="504"/>
        <v>#DIV/0!</v>
      </c>
      <c r="T929" s="1" t="e">
        <f t="shared" si="505"/>
        <v>#DIV/0!</v>
      </c>
      <c r="U929" s="1" t="e">
        <f t="shared" si="506"/>
        <v>#DIV/0!</v>
      </c>
      <c r="V929">
        <f t="shared" si="507"/>
        <v>851.48</v>
      </c>
      <c r="W929">
        <f t="shared" si="508"/>
        <v>0</v>
      </c>
      <c r="X929">
        <f t="shared" si="509"/>
        <v>0</v>
      </c>
      <c r="Y929">
        <f t="shared" si="510"/>
        <v>0</v>
      </c>
      <c r="Z929">
        <f t="shared" si="511"/>
        <v>0</v>
      </c>
      <c r="AA929">
        <f t="shared" si="512"/>
        <v>0</v>
      </c>
      <c r="AC929">
        <f t="shared" si="513"/>
        <v>1045.25</v>
      </c>
      <c r="AD929">
        <f t="shared" si="514"/>
        <v>0</v>
      </c>
      <c r="AE929">
        <f t="shared" si="515"/>
        <v>0</v>
      </c>
      <c r="AF929">
        <f t="shared" si="516"/>
        <v>0</v>
      </c>
      <c r="AG929">
        <f t="shared" si="517"/>
        <v>0</v>
      </c>
      <c r="AH929">
        <f t="shared" si="518"/>
        <v>0</v>
      </c>
      <c r="AJ929">
        <f t="shared" si="519"/>
        <v>1239.01</v>
      </c>
      <c r="AK929">
        <f t="shared" si="520"/>
        <v>0</v>
      </c>
      <c r="AL929">
        <f t="shared" si="521"/>
        <v>0</v>
      </c>
      <c r="AM929">
        <f t="shared" si="522"/>
        <v>0</v>
      </c>
      <c r="AN929">
        <f t="shared" si="523"/>
        <v>0</v>
      </c>
      <c r="AO929">
        <f t="shared" si="524"/>
        <v>0</v>
      </c>
    </row>
    <row r="930" spans="1:41" x14ac:dyDescent="0.45">
      <c r="A930">
        <v>45.884502079999997</v>
      </c>
      <c r="B930">
        <v>86.911455160000003</v>
      </c>
      <c r="C930">
        <v>18.492280959999999</v>
      </c>
      <c r="D930">
        <v>11.509568209999999</v>
      </c>
      <c r="E930">
        <f t="shared" si="490"/>
        <v>11.509568209999999</v>
      </c>
      <c r="F930">
        <f t="shared" si="491"/>
        <v>0</v>
      </c>
      <c r="G930">
        <f t="shared" si="492"/>
        <v>0</v>
      </c>
      <c r="H930">
        <f t="shared" si="493"/>
        <v>0</v>
      </c>
      <c r="I930">
        <f t="shared" si="494"/>
        <v>0</v>
      </c>
      <c r="J930">
        <f t="shared" si="495"/>
        <v>0</v>
      </c>
      <c r="K930" s="1">
        <f t="shared" si="496"/>
        <v>0</v>
      </c>
      <c r="L930" s="1">
        <f t="shared" si="497"/>
        <v>0</v>
      </c>
      <c r="M930" s="1">
        <f t="shared" si="498"/>
        <v>0</v>
      </c>
      <c r="N930" s="1">
        <f t="shared" si="499"/>
        <v>0</v>
      </c>
      <c r="O930" s="1">
        <f t="shared" si="500"/>
        <v>0</v>
      </c>
      <c r="P930" s="1">
        <f t="shared" si="501"/>
        <v>25</v>
      </c>
      <c r="Q930" s="1" t="e">
        <f t="shared" si="502"/>
        <v>#DIV/0!</v>
      </c>
      <c r="R930" s="1" t="e">
        <f t="shared" si="503"/>
        <v>#DIV/0!</v>
      </c>
      <c r="S930" s="1" t="e">
        <f t="shared" si="504"/>
        <v>#DIV/0!</v>
      </c>
      <c r="T930" s="1" t="e">
        <f t="shared" si="505"/>
        <v>#DIV/0!</v>
      </c>
      <c r="U930" s="1" t="e">
        <f t="shared" si="506"/>
        <v>#DIV/0!</v>
      </c>
      <c r="V930">
        <f t="shared" si="507"/>
        <v>851.48</v>
      </c>
      <c r="W930">
        <f t="shared" si="508"/>
        <v>0</v>
      </c>
      <c r="X930">
        <f t="shared" si="509"/>
        <v>0</v>
      </c>
      <c r="Y930">
        <f t="shared" si="510"/>
        <v>0</v>
      </c>
      <c r="Z930">
        <f t="shared" si="511"/>
        <v>0</v>
      </c>
      <c r="AA930">
        <f t="shared" si="512"/>
        <v>0</v>
      </c>
      <c r="AC930">
        <f t="shared" si="513"/>
        <v>1045.25</v>
      </c>
      <c r="AD930">
        <f t="shared" si="514"/>
        <v>0</v>
      </c>
      <c r="AE930">
        <f t="shared" si="515"/>
        <v>0</v>
      </c>
      <c r="AF930">
        <f t="shared" si="516"/>
        <v>0</v>
      </c>
      <c r="AG930">
        <f t="shared" si="517"/>
        <v>0</v>
      </c>
      <c r="AH930">
        <f t="shared" si="518"/>
        <v>0</v>
      </c>
      <c r="AJ930">
        <f t="shared" si="519"/>
        <v>1239.01</v>
      </c>
      <c r="AK930">
        <f t="shared" si="520"/>
        <v>0</v>
      </c>
      <c r="AL930">
        <f t="shared" si="521"/>
        <v>0</v>
      </c>
      <c r="AM930">
        <f t="shared" si="522"/>
        <v>0</v>
      </c>
      <c r="AN930">
        <f t="shared" si="523"/>
        <v>0</v>
      </c>
      <c r="AO930">
        <f t="shared" si="524"/>
        <v>0</v>
      </c>
    </row>
    <row r="931" spans="1:41" x14ac:dyDescent="0.45">
      <c r="A931">
        <v>45.890336689999998</v>
      </c>
      <c r="B931">
        <v>125.0466528</v>
      </c>
      <c r="C931">
        <v>1.9456416400000001</v>
      </c>
      <c r="D931">
        <v>0.53997302000000003</v>
      </c>
      <c r="E931">
        <f t="shared" si="490"/>
        <v>0.53997302000000003</v>
      </c>
      <c r="F931">
        <f t="shared" si="491"/>
        <v>0</v>
      </c>
      <c r="G931">
        <f t="shared" si="492"/>
        <v>0</v>
      </c>
      <c r="H931">
        <f t="shared" si="493"/>
        <v>0</v>
      </c>
      <c r="I931">
        <f t="shared" si="494"/>
        <v>0</v>
      </c>
      <c r="J931">
        <f t="shared" si="495"/>
        <v>0</v>
      </c>
      <c r="K931" s="1">
        <f t="shared" si="496"/>
        <v>0</v>
      </c>
      <c r="L931" s="1">
        <f t="shared" si="497"/>
        <v>0</v>
      </c>
      <c r="M931" s="1">
        <f t="shared" si="498"/>
        <v>0</v>
      </c>
      <c r="N931" s="1">
        <f t="shared" si="499"/>
        <v>0</v>
      </c>
      <c r="O931" s="1">
        <f t="shared" si="500"/>
        <v>0</v>
      </c>
      <c r="P931" s="1">
        <f t="shared" si="501"/>
        <v>25</v>
      </c>
      <c r="Q931" s="1" t="e">
        <f t="shared" si="502"/>
        <v>#DIV/0!</v>
      </c>
      <c r="R931" s="1" t="e">
        <f t="shared" si="503"/>
        <v>#DIV/0!</v>
      </c>
      <c r="S931" s="1" t="e">
        <f t="shared" si="504"/>
        <v>#DIV/0!</v>
      </c>
      <c r="T931" s="1" t="e">
        <f t="shared" si="505"/>
        <v>#DIV/0!</v>
      </c>
      <c r="U931" s="1" t="e">
        <f t="shared" si="506"/>
        <v>#DIV/0!</v>
      </c>
      <c r="V931">
        <f t="shared" si="507"/>
        <v>851.48</v>
      </c>
      <c r="W931">
        <f t="shared" si="508"/>
        <v>0</v>
      </c>
      <c r="X931">
        <f t="shared" si="509"/>
        <v>0</v>
      </c>
      <c r="Y931">
        <f t="shared" si="510"/>
        <v>0</v>
      </c>
      <c r="Z931">
        <f t="shared" si="511"/>
        <v>0</v>
      </c>
      <c r="AA931">
        <f t="shared" si="512"/>
        <v>0</v>
      </c>
      <c r="AC931">
        <f t="shared" si="513"/>
        <v>1045.25</v>
      </c>
      <c r="AD931">
        <f t="shared" si="514"/>
        <v>0</v>
      </c>
      <c r="AE931">
        <f t="shared" si="515"/>
        <v>0</v>
      </c>
      <c r="AF931">
        <f t="shared" si="516"/>
        <v>0</v>
      </c>
      <c r="AG931">
        <f t="shared" si="517"/>
        <v>0</v>
      </c>
      <c r="AH931">
        <f t="shared" si="518"/>
        <v>0</v>
      </c>
      <c r="AJ931">
        <f t="shared" si="519"/>
        <v>1239.01</v>
      </c>
      <c r="AK931">
        <f t="shared" si="520"/>
        <v>0</v>
      </c>
      <c r="AL931">
        <f t="shared" si="521"/>
        <v>0</v>
      </c>
      <c r="AM931">
        <f t="shared" si="522"/>
        <v>0</v>
      </c>
      <c r="AN931">
        <f t="shared" si="523"/>
        <v>0</v>
      </c>
      <c r="AO931">
        <f t="shared" si="524"/>
        <v>0</v>
      </c>
    </row>
    <row r="932" spans="1:41" x14ac:dyDescent="0.45">
      <c r="A932">
        <v>45.89051766</v>
      </c>
      <c r="B932">
        <v>128.95339670000001</v>
      </c>
      <c r="C932">
        <v>0</v>
      </c>
      <c r="D932">
        <v>7.6337000000000002E-2</v>
      </c>
      <c r="E932">
        <f t="shared" si="490"/>
        <v>0</v>
      </c>
      <c r="F932">
        <f t="shared" si="491"/>
        <v>7.6337000000000002E-2</v>
      </c>
      <c r="G932">
        <f t="shared" si="492"/>
        <v>7.6337000000000002E-2</v>
      </c>
      <c r="H932">
        <f t="shared" si="493"/>
        <v>7.6337000000000002E-2</v>
      </c>
      <c r="I932">
        <f t="shared" si="494"/>
        <v>7.6337000000000002E-2</v>
      </c>
      <c r="J932">
        <f t="shared" si="495"/>
        <v>7.6337000000000002E-2</v>
      </c>
      <c r="K932" s="1">
        <f t="shared" si="496"/>
        <v>0</v>
      </c>
      <c r="L932" s="1">
        <f t="shared" si="497"/>
        <v>0</v>
      </c>
      <c r="M932" s="1">
        <f t="shared" si="498"/>
        <v>0</v>
      </c>
      <c r="N932" s="1">
        <f t="shared" si="499"/>
        <v>0</v>
      </c>
      <c r="O932" s="1">
        <f t="shared" si="500"/>
        <v>0</v>
      </c>
      <c r="P932" s="1">
        <f t="shared" si="501"/>
        <v>1</v>
      </c>
      <c r="Q932" s="1">
        <f t="shared" si="502"/>
        <v>1</v>
      </c>
      <c r="R932" s="1">
        <f t="shared" si="503"/>
        <v>1</v>
      </c>
      <c r="S932" s="1">
        <f t="shared" si="504"/>
        <v>1</v>
      </c>
      <c r="T932" s="1">
        <f t="shared" si="505"/>
        <v>1</v>
      </c>
      <c r="U932" s="1">
        <f t="shared" si="506"/>
        <v>1</v>
      </c>
      <c r="V932">
        <f t="shared" si="507"/>
        <v>71.48</v>
      </c>
      <c r="W932">
        <f t="shared" si="508"/>
        <v>76.489999999999995</v>
      </c>
      <c r="X932">
        <f t="shared" si="509"/>
        <v>52.14</v>
      </c>
      <c r="Y932">
        <f t="shared" si="510"/>
        <v>38.1</v>
      </c>
      <c r="Z932">
        <f t="shared" si="511"/>
        <v>32.120000000000005</v>
      </c>
      <c r="AA932">
        <f t="shared" si="512"/>
        <v>30.03</v>
      </c>
      <c r="AC932">
        <f t="shared" si="513"/>
        <v>85.25</v>
      </c>
      <c r="AD932">
        <f t="shared" si="514"/>
        <v>76.489999999999995</v>
      </c>
      <c r="AE932">
        <f t="shared" si="515"/>
        <v>64.17</v>
      </c>
      <c r="AF932">
        <f t="shared" si="516"/>
        <v>49.84</v>
      </c>
      <c r="AG932">
        <f t="shared" si="517"/>
        <v>48.34</v>
      </c>
      <c r="AH932">
        <f t="shared" si="518"/>
        <v>41.36</v>
      </c>
      <c r="AJ932">
        <f t="shared" si="519"/>
        <v>99.009999999999991</v>
      </c>
      <c r="AK932">
        <f t="shared" si="520"/>
        <v>90.94</v>
      </c>
      <c r="AL932">
        <f t="shared" si="521"/>
        <v>78.7</v>
      </c>
      <c r="AM932">
        <f t="shared" si="522"/>
        <v>67.430000000000007</v>
      </c>
      <c r="AN932">
        <f t="shared" si="523"/>
        <v>62.56</v>
      </c>
      <c r="AO932">
        <f t="shared" si="524"/>
        <v>55.19</v>
      </c>
    </row>
    <row r="933" spans="1:41" x14ac:dyDescent="0.45">
      <c r="A933">
        <v>45.902968299999998</v>
      </c>
      <c r="B933">
        <v>123.9304772</v>
      </c>
      <c r="C933">
        <v>55.767822270000003</v>
      </c>
      <c r="D933">
        <v>23.341514589999999</v>
      </c>
      <c r="E933">
        <f t="shared" si="490"/>
        <v>23.341514589999999</v>
      </c>
      <c r="F933">
        <f t="shared" si="491"/>
        <v>0</v>
      </c>
      <c r="G933">
        <f t="shared" si="492"/>
        <v>0</v>
      </c>
      <c r="H933">
        <f t="shared" si="493"/>
        <v>0</v>
      </c>
      <c r="I933">
        <f t="shared" si="494"/>
        <v>0</v>
      </c>
      <c r="J933">
        <f t="shared" si="495"/>
        <v>0</v>
      </c>
      <c r="K933" s="1">
        <f t="shared" si="496"/>
        <v>0</v>
      </c>
      <c r="L933" s="1">
        <f t="shared" si="497"/>
        <v>0</v>
      </c>
      <c r="M933" s="1">
        <f t="shared" si="498"/>
        <v>0</v>
      </c>
      <c r="N933" s="1">
        <f t="shared" si="499"/>
        <v>0</v>
      </c>
      <c r="O933" s="1">
        <f t="shared" si="500"/>
        <v>0</v>
      </c>
      <c r="P933" s="1">
        <f t="shared" si="501"/>
        <v>24.999999999999996</v>
      </c>
      <c r="Q933" s="1" t="e">
        <f t="shared" si="502"/>
        <v>#DIV/0!</v>
      </c>
      <c r="R933" s="1" t="e">
        <f t="shared" si="503"/>
        <v>#DIV/0!</v>
      </c>
      <c r="S933" s="1" t="e">
        <f t="shared" si="504"/>
        <v>#DIV/0!</v>
      </c>
      <c r="T933" s="1" t="e">
        <f t="shared" si="505"/>
        <v>#DIV/0!</v>
      </c>
      <c r="U933" s="1" t="e">
        <f t="shared" si="506"/>
        <v>#DIV/0!</v>
      </c>
      <c r="V933">
        <f t="shared" si="507"/>
        <v>851.4799999999999</v>
      </c>
      <c r="W933">
        <f t="shared" si="508"/>
        <v>0</v>
      </c>
      <c r="X933">
        <f t="shared" si="509"/>
        <v>0</v>
      </c>
      <c r="Y933">
        <f t="shared" si="510"/>
        <v>0</v>
      </c>
      <c r="Z933">
        <f t="shared" si="511"/>
        <v>0</v>
      </c>
      <c r="AA933">
        <f t="shared" si="512"/>
        <v>0</v>
      </c>
      <c r="AC933">
        <f t="shared" si="513"/>
        <v>1045.25</v>
      </c>
      <c r="AD933">
        <f t="shared" si="514"/>
        <v>0</v>
      </c>
      <c r="AE933">
        <f t="shared" si="515"/>
        <v>0</v>
      </c>
      <c r="AF933">
        <f t="shared" si="516"/>
        <v>0</v>
      </c>
      <c r="AG933">
        <f t="shared" si="517"/>
        <v>0</v>
      </c>
      <c r="AH933">
        <f t="shared" si="518"/>
        <v>0</v>
      </c>
      <c r="AJ933">
        <f t="shared" si="519"/>
        <v>1239.0099999999998</v>
      </c>
      <c r="AK933">
        <f t="shared" si="520"/>
        <v>0</v>
      </c>
      <c r="AL933">
        <f t="shared" si="521"/>
        <v>0</v>
      </c>
      <c r="AM933">
        <f t="shared" si="522"/>
        <v>0</v>
      </c>
      <c r="AN933">
        <f t="shared" si="523"/>
        <v>0</v>
      </c>
      <c r="AO933">
        <f t="shared" si="524"/>
        <v>0</v>
      </c>
    </row>
    <row r="934" spans="1:41" x14ac:dyDescent="0.45">
      <c r="A934">
        <v>45.90372816</v>
      </c>
      <c r="B934">
        <v>85.452814250000003</v>
      </c>
      <c r="C934">
        <v>0.57684994000000001</v>
      </c>
      <c r="D934">
        <v>33.699977869999998</v>
      </c>
      <c r="E934">
        <f t="shared" si="490"/>
        <v>0.57684994000000001</v>
      </c>
      <c r="F934">
        <f t="shared" si="491"/>
        <v>30.81572817</v>
      </c>
      <c r="G934">
        <f t="shared" si="492"/>
        <v>27.931478469999998</v>
      </c>
      <c r="H934">
        <f t="shared" si="493"/>
        <v>25.047228769999997</v>
      </c>
      <c r="I934">
        <f t="shared" si="494"/>
        <v>22.162979069999999</v>
      </c>
      <c r="J934">
        <f t="shared" si="495"/>
        <v>19.278729369999997</v>
      </c>
      <c r="K934" s="1">
        <f t="shared" si="496"/>
        <v>0.57684994000000001</v>
      </c>
      <c r="L934" s="1">
        <f t="shared" si="497"/>
        <v>0.57684994000000001</v>
      </c>
      <c r="M934" s="1">
        <f t="shared" si="498"/>
        <v>0.57684994000000001</v>
      </c>
      <c r="N934" s="1">
        <f t="shared" si="499"/>
        <v>0.57684994000000001</v>
      </c>
      <c r="O934" s="1">
        <f t="shared" si="500"/>
        <v>0.57684994000000001</v>
      </c>
      <c r="P934" s="1">
        <f t="shared" si="501"/>
        <v>1</v>
      </c>
      <c r="Q934" s="1">
        <f t="shared" si="502"/>
        <v>1</v>
      </c>
      <c r="R934" s="1">
        <f t="shared" si="503"/>
        <v>1</v>
      </c>
      <c r="S934" s="1">
        <f t="shared" si="504"/>
        <v>1</v>
      </c>
      <c r="T934" s="1">
        <f t="shared" si="505"/>
        <v>1</v>
      </c>
      <c r="U934" s="1">
        <f t="shared" si="506"/>
        <v>1</v>
      </c>
      <c r="V934">
        <f t="shared" si="507"/>
        <v>71.48</v>
      </c>
      <c r="W934">
        <f t="shared" si="508"/>
        <v>76.489999999999995</v>
      </c>
      <c r="X934">
        <f t="shared" si="509"/>
        <v>52.14</v>
      </c>
      <c r="Y934">
        <f t="shared" si="510"/>
        <v>38.1</v>
      </c>
      <c r="Z934">
        <f t="shared" si="511"/>
        <v>32.120000000000005</v>
      </c>
      <c r="AA934">
        <f t="shared" si="512"/>
        <v>30.03</v>
      </c>
      <c r="AC934">
        <f t="shared" si="513"/>
        <v>85.25</v>
      </c>
      <c r="AD934">
        <f t="shared" si="514"/>
        <v>76.489999999999995</v>
      </c>
      <c r="AE934">
        <f t="shared" si="515"/>
        <v>64.17</v>
      </c>
      <c r="AF934">
        <f t="shared" si="516"/>
        <v>49.84</v>
      </c>
      <c r="AG934">
        <f t="shared" si="517"/>
        <v>48.34</v>
      </c>
      <c r="AH934">
        <f t="shared" si="518"/>
        <v>41.36</v>
      </c>
      <c r="AJ934">
        <f t="shared" si="519"/>
        <v>99.009999999999991</v>
      </c>
      <c r="AK934">
        <f t="shared" si="520"/>
        <v>90.94</v>
      </c>
      <c r="AL934">
        <f t="shared" si="521"/>
        <v>78.7</v>
      </c>
      <c r="AM934">
        <f t="shared" si="522"/>
        <v>67.430000000000007</v>
      </c>
      <c r="AN934">
        <f t="shared" si="523"/>
        <v>62.56</v>
      </c>
      <c r="AO934">
        <f t="shared" si="524"/>
        <v>55.19</v>
      </c>
    </row>
    <row r="935" spans="1:41" x14ac:dyDescent="0.45">
      <c r="A935">
        <v>45.942740350000001</v>
      </c>
      <c r="B935">
        <v>124.6658709</v>
      </c>
      <c r="C935">
        <v>1.10745227</v>
      </c>
      <c r="D935">
        <v>104.183548</v>
      </c>
      <c r="E935">
        <f t="shared" si="490"/>
        <v>1.10745227</v>
      </c>
      <c r="F935">
        <f t="shared" si="491"/>
        <v>98.646286650000008</v>
      </c>
      <c r="G935">
        <f t="shared" si="492"/>
        <v>93.109025299999999</v>
      </c>
      <c r="H935">
        <f t="shared" si="493"/>
        <v>87.571763950000005</v>
      </c>
      <c r="I935">
        <f t="shared" si="494"/>
        <v>82.034502599999996</v>
      </c>
      <c r="J935">
        <f t="shared" si="495"/>
        <v>76.497241250000002</v>
      </c>
      <c r="K935" s="1">
        <f t="shared" si="496"/>
        <v>1.10745227</v>
      </c>
      <c r="L935" s="1">
        <f t="shared" si="497"/>
        <v>1.10745227</v>
      </c>
      <c r="M935" s="1">
        <f t="shared" si="498"/>
        <v>1.10745227</v>
      </c>
      <c r="N935" s="1">
        <f t="shared" si="499"/>
        <v>1.10745227</v>
      </c>
      <c r="O935" s="1">
        <f t="shared" si="500"/>
        <v>1.10745227</v>
      </c>
      <c r="P935" s="1">
        <f t="shared" si="501"/>
        <v>1</v>
      </c>
      <c r="Q935" s="1">
        <f t="shared" si="502"/>
        <v>1</v>
      </c>
      <c r="R935" s="1">
        <f t="shared" si="503"/>
        <v>1</v>
      </c>
      <c r="S935" s="1">
        <f t="shared" si="504"/>
        <v>1</v>
      </c>
      <c r="T935" s="1">
        <f t="shared" si="505"/>
        <v>1</v>
      </c>
      <c r="U935" s="1">
        <f t="shared" si="506"/>
        <v>1</v>
      </c>
      <c r="V935">
        <f t="shared" si="507"/>
        <v>71.48</v>
      </c>
      <c r="W935">
        <f t="shared" si="508"/>
        <v>76.489999999999995</v>
      </c>
      <c r="X935">
        <f t="shared" si="509"/>
        <v>52.14</v>
      </c>
      <c r="Y935">
        <f t="shared" si="510"/>
        <v>38.1</v>
      </c>
      <c r="Z935">
        <f t="shared" si="511"/>
        <v>32.120000000000005</v>
      </c>
      <c r="AA935">
        <f t="shared" si="512"/>
        <v>30.03</v>
      </c>
      <c r="AC935">
        <f t="shared" si="513"/>
        <v>85.25</v>
      </c>
      <c r="AD935">
        <f t="shared" si="514"/>
        <v>76.489999999999995</v>
      </c>
      <c r="AE935">
        <f t="shared" si="515"/>
        <v>64.17</v>
      </c>
      <c r="AF935">
        <f t="shared" si="516"/>
        <v>49.84</v>
      </c>
      <c r="AG935">
        <f t="shared" si="517"/>
        <v>48.34</v>
      </c>
      <c r="AH935">
        <f t="shared" si="518"/>
        <v>41.36</v>
      </c>
      <c r="AJ935">
        <f t="shared" si="519"/>
        <v>99.009999999999991</v>
      </c>
      <c r="AK935">
        <f t="shared" si="520"/>
        <v>90.94</v>
      </c>
      <c r="AL935">
        <f t="shared" si="521"/>
        <v>78.7</v>
      </c>
      <c r="AM935">
        <f t="shared" si="522"/>
        <v>67.430000000000007</v>
      </c>
      <c r="AN935">
        <f t="shared" si="523"/>
        <v>62.56</v>
      </c>
      <c r="AO935">
        <f t="shared" si="524"/>
        <v>55.19</v>
      </c>
    </row>
    <row r="936" spans="1:41" x14ac:dyDescent="0.45">
      <c r="A936">
        <v>45.969611800000003</v>
      </c>
      <c r="B936">
        <v>125.4655302</v>
      </c>
      <c r="C936">
        <v>2.93583441</v>
      </c>
      <c r="D936">
        <v>17.71791267</v>
      </c>
      <c r="E936">
        <f t="shared" si="490"/>
        <v>2.93583441</v>
      </c>
      <c r="F936">
        <f t="shared" si="491"/>
        <v>3.0387406200000004</v>
      </c>
      <c r="G936">
        <f t="shared" si="492"/>
        <v>0</v>
      </c>
      <c r="H936">
        <f t="shared" si="493"/>
        <v>0</v>
      </c>
      <c r="I936">
        <f t="shared" si="494"/>
        <v>0</v>
      </c>
      <c r="J936">
        <f t="shared" si="495"/>
        <v>0</v>
      </c>
      <c r="K936" s="1">
        <f t="shared" si="496"/>
        <v>2.93583441</v>
      </c>
      <c r="L936" s="1">
        <f t="shared" si="497"/>
        <v>0</v>
      </c>
      <c r="M936" s="1">
        <f t="shared" si="498"/>
        <v>0</v>
      </c>
      <c r="N936" s="1">
        <f t="shared" si="499"/>
        <v>0</v>
      </c>
      <c r="O936" s="1">
        <f t="shared" si="500"/>
        <v>0</v>
      </c>
      <c r="P936" s="1">
        <f t="shared" si="501"/>
        <v>4.1424665318660248</v>
      </c>
      <c r="Q936" s="1">
        <f t="shared" si="502"/>
        <v>24.153381097067768</v>
      </c>
      <c r="R936" s="1" t="e">
        <f t="shared" si="503"/>
        <v>#DIV/0!</v>
      </c>
      <c r="S936" s="1" t="e">
        <f t="shared" si="504"/>
        <v>#DIV/0!</v>
      </c>
      <c r="T936" s="1" t="e">
        <f t="shared" si="505"/>
        <v>#DIV/0!</v>
      </c>
      <c r="U936" s="1" t="e">
        <f t="shared" si="506"/>
        <v>#DIV/0!</v>
      </c>
      <c r="V936">
        <f t="shared" si="507"/>
        <v>173.6101622856458</v>
      </c>
      <c r="W936">
        <f t="shared" si="508"/>
        <v>944.7417911400413</v>
      </c>
      <c r="X936">
        <f t="shared" si="509"/>
        <v>0</v>
      </c>
      <c r="Y936">
        <f t="shared" si="510"/>
        <v>0</v>
      </c>
      <c r="Z936">
        <f t="shared" si="511"/>
        <v>0</v>
      </c>
      <c r="AA936">
        <f t="shared" si="512"/>
        <v>0</v>
      </c>
      <c r="AC936">
        <f t="shared" si="513"/>
        <v>210.94866127464098</v>
      </c>
      <c r="AD936">
        <f t="shared" si="514"/>
        <v>944.7417911400413</v>
      </c>
      <c r="AE936">
        <f t="shared" si="515"/>
        <v>0</v>
      </c>
      <c r="AF936">
        <f t="shared" si="516"/>
        <v>0</v>
      </c>
      <c r="AG936">
        <f t="shared" si="517"/>
        <v>0</v>
      </c>
      <c r="AH936">
        <f t="shared" si="518"/>
        <v>0</v>
      </c>
      <c r="AJ936">
        <f t="shared" si="519"/>
        <v>248.27716026363618</v>
      </c>
      <c r="AK936">
        <f t="shared" si="520"/>
        <v>1132.8421493680496</v>
      </c>
      <c r="AL936">
        <f t="shared" si="521"/>
        <v>0</v>
      </c>
      <c r="AM936">
        <f t="shared" si="522"/>
        <v>0</v>
      </c>
      <c r="AN936">
        <f t="shared" si="523"/>
        <v>0</v>
      </c>
      <c r="AO936">
        <f t="shared" si="524"/>
        <v>0</v>
      </c>
    </row>
    <row r="937" spans="1:41" x14ac:dyDescent="0.45">
      <c r="A937">
        <v>45.978886510000002</v>
      </c>
      <c r="B937">
        <v>125.0719521</v>
      </c>
      <c r="C937">
        <v>1.9456416400000001</v>
      </c>
      <c r="D937">
        <v>32.767604830000003</v>
      </c>
      <c r="E937">
        <f t="shared" si="490"/>
        <v>1.9456416400000001</v>
      </c>
      <c r="F937">
        <f t="shared" si="491"/>
        <v>23.039396630000002</v>
      </c>
      <c r="G937">
        <f t="shared" si="492"/>
        <v>13.311188430000001</v>
      </c>
      <c r="H937">
        <f t="shared" si="493"/>
        <v>3.582980230000004</v>
      </c>
      <c r="I937">
        <f t="shared" si="494"/>
        <v>0</v>
      </c>
      <c r="J937">
        <f t="shared" si="495"/>
        <v>0</v>
      </c>
      <c r="K937" s="1">
        <f t="shared" si="496"/>
        <v>1.9456416400000001</v>
      </c>
      <c r="L937" s="1">
        <f t="shared" si="497"/>
        <v>1.9456416400000001</v>
      </c>
      <c r="M937" s="1">
        <f t="shared" si="498"/>
        <v>1.9456416400000001</v>
      </c>
      <c r="N937" s="1">
        <f t="shared" si="499"/>
        <v>0</v>
      </c>
      <c r="O937" s="1">
        <f t="shared" si="500"/>
        <v>0</v>
      </c>
      <c r="P937" s="1">
        <f t="shared" si="501"/>
        <v>1.4844246704131165</v>
      </c>
      <c r="Q937" s="1">
        <f t="shared" si="502"/>
        <v>2.1112115816723973</v>
      </c>
      <c r="R937" s="1">
        <f t="shared" si="503"/>
        <v>3.6541471301221748</v>
      </c>
      <c r="S937" s="1">
        <f t="shared" si="504"/>
        <v>13.575581744139276</v>
      </c>
      <c r="T937" s="1" t="e">
        <f t="shared" si="505"/>
        <v>#DIV/0!</v>
      </c>
      <c r="U937" s="1" t="e">
        <f t="shared" si="506"/>
        <v>#DIV/0!</v>
      </c>
      <c r="V937">
        <f t="shared" si="507"/>
        <v>87.2238017884263</v>
      </c>
      <c r="W937">
        <f t="shared" si="508"/>
        <v>118.1604343127149</v>
      </c>
      <c r="X937">
        <f t="shared" si="509"/>
        <v>366.5295436034819</v>
      </c>
      <c r="Y937">
        <f t="shared" si="510"/>
        <v>289.61163488278555</v>
      </c>
      <c r="Z937">
        <f t="shared" si="511"/>
        <v>0</v>
      </c>
      <c r="AA937">
        <f t="shared" si="512"/>
        <v>0</v>
      </c>
      <c r="AC937">
        <f t="shared" si="513"/>
        <v>104.62698681652466</v>
      </c>
      <c r="AD937">
        <f t="shared" si="514"/>
        <v>118.1604343127149</v>
      </c>
      <c r="AE937">
        <f t="shared" si="515"/>
        <v>150.42978172897068</v>
      </c>
      <c r="AF937">
        <f t="shared" si="516"/>
        <v>427.10745232417827</v>
      </c>
      <c r="AG937">
        <f t="shared" si="517"/>
        <v>0</v>
      </c>
      <c r="AH937">
        <f t="shared" si="518"/>
        <v>0</v>
      </c>
      <c r="AJ937">
        <f t="shared" si="519"/>
        <v>122.02017184462304</v>
      </c>
      <c r="AK937">
        <f t="shared" si="520"/>
        <v>140.94452117525788</v>
      </c>
      <c r="AL937">
        <f t="shared" si="521"/>
        <v>191.50125303019246</v>
      </c>
      <c r="AM937">
        <f t="shared" si="522"/>
        <v>539.01431540522287</v>
      </c>
      <c r="AN937">
        <f t="shared" si="523"/>
        <v>0</v>
      </c>
      <c r="AO937">
        <f t="shared" si="524"/>
        <v>0</v>
      </c>
    </row>
    <row r="938" spans="1:41" x14ac:dyDescent="0.45">
      <c r="A938">
        <v>45.985604260000002</v>
      </c>
      <c r="B938">
        <v>124.3481053</v>
      </c>
      <c r="C938">
        <v>4.5470686000000002</v>
      </c>
      <c r="D938">
        <v>20.09030533</v>
      </c>
      <c r="E938">
        <f t="shared" si="490"/>
        <v>4.5470686000000002</v>
      </c>
      <c r="F938">
        <f t="shared" si="491"/>
        <v>0</v>
      </c>
      <c r="G938">
        <f t="shared" si="492"/>
        <v>0</v>
      </c>
      <c r="H938">
        <f t="shared" si="493"/>
        <v>0</v>
      </c>
      <c r="I938">
        <f t="shared" si="494"/>
        <v>0</v>
      </c>
      <c r="J938">
        <f t="shared" si="495"/>
        <v>0</v>
      </c>
      <c r="K938" s="1">
        <f t="shared" si="496"/>
        <v>0</v>
      </c>
      <c r="L938" s="1">
        <f t="shared" si="497"/>
        <v>0</v>
      </c>
      <c r="M938" s="1">
        <f t="shared" si="498"/>
        <v>0</v>
      </c>
      <c r="N938" s="1">
        <f t="shared" si="499"/>
        <v>0</v>
      </c>
      <c r="O938" s="1">
        <f t="shared" si="500"/>
        <v>0</v>
      </c>
      <c r="P938" s="1">
        <f t="shared" si="501"/>
        <v>5.6582870759187216</v>
      </c>
      <c r="Q938" s="1" t="e">
        <f t="shared" si="502"/>
        <v>#DIV/0!</v>
      </c>
      <c r="R938" s="1" t="e">
        <f t="shared" si="503"/>
        <v>#DIV/0!</v>
      </c>
      <c r="S938" s="1" t="e">
        <f t="shared" si="504"/>
        <v>#DIV/0!</v>
      </c>
      <c r="T938" s="1" t="e">
        <f t="shared" si="505"/>
        <v>#DIV/0!</v>
      </c>
      <c r="U938" s="1" t="e">
        <f t="shared" si="506"/>
        <v>#DIV/0!</v>
      </c>
      <c r="V938">
        <f t="shared" si="507"/>
        <v>222.87432996735845</v>
      </c>
      <c r="W938">
        <f t="shared" si="508"/>
        <v>0</v>
      </c>
      <c r="X938">
        <f t="shared" si="509"/>
        <v>0</v>
      </c>
      <c r="Y938">
        <f t="shared" si="510"/>
        <v>0</v>
      </c>
      <c r="Z938">
        <f t="shared" si="511"/>
        <v>0</v>
      </c>
      <c r="AA938">
        <f t="shared" si="512"/>
        <v>0</v>
      </c>
      <c r="AC938">
        <f t="shared" si="513"/>
        <v>271.58148303674886</v>
      </c>
      <c r="AD938">
        <f t="shared" si="514"/>
        <v>0</v>
      </c>
      <c r="AE938">
        <f t="shared" si="515"/>
        <v>0</v>
      </c>
      <c r="AF938">
        <f t="shared" si="516"/>
        <v>0</v>
      </c>
      <c r="AG938">
        <f t="shared" si="517"/>
        <v>0</v>
      </c>
      <c r="AH938">
        <f t="shared" si="518"/>
        <v>0</v>
      </c>
      <c r="AJ938">
        <f t="shared" si="519"/>
        <v>320.27863610613929</v>
      </c>
      <c r="AK938">
        <f t="shared" si="520"/>
        <v>0</v>
      </c>
      <c r="AL938">
        <f t="shared" si="521"/>
        <v>0</v>
      </c>
      <c r="AM938">
        <f t="shared" si="522"/>
        <v>0</v>
      </c>
      <c r="AN938">
        <f t="shared" si="523"/>
        <v>0</v>
      </c>
      <c r="AO938">
        <f t="shared" si="524"/>
        <v>0</v>
      </c>
    </row>
    <row r="939" spans="1:41" x14ac:dyDescent="0.45">
      <c r="A939">
        <v>45.996512510000002</v>
      </c>
      <c r="B939">
        <v>125.27515390000001</v>
      </c>
      <c r="C939">
        <v>2.93583441</v>
      </c>
      <c r="D939">
        <v>10.17576504</v>
      </c>
      <c r="E939">
        <f t="shared" si="490"/>
        <v>2.93583441</v>
      </c>
      <c r="F939">
        <f t="shared" si="491"/>
        <v>0</v>
      </c>
      <c r="G939">
        <f t="shared" si="492"/>
        <v>0</v>
      </c>
      <c r="H939">
        <f t="shared" si="493"/>
        <v>0</v>
      </c>
      <c r="I939">
        <f t="shared" si="494"/>
        <v>0</v>
      </c>
      <c r="J939">
        <f t="shared" si="495"/>
        <v>0</v>
      </c>
      <c r="K939" s="1">
        <f t="shared" si="496"/>
        <v>0</v>
      </c>
      <c r="L939" s="1">
        <f t="shared" si="497"/>
        <v>0</v>
      </c>
      <c r="M939" s="1">
        <f t="shared" si="498"/>
        <v>0</v>
      </c>
      <c r="N939" s="1">
        <f t="shared" si="499"/>
        <v>0</v>
      </c>
      <c r="O939" s="1">
        <f t="shared" si="500"/>
        <v>0</v>
      </c>
      <c r="P939" s="1">
        <f t="shared" si="501"/>
        <v>7.2128100404723963</v>
      </c>
      <c r="Q939" s="1" t="e">
        <f t="shared" si="502"/>
        <v>#DIV/0!</v>
      </c>
      <c r="R939" s="1" t="e">
        <f t="shared" si="503"/>
        <v>#DIV/0!</v>
      </c>
      <c r="S939" s="1" t="e">
        <f t="shared" si="504"/>
        <v>#DIV/0!</v>
      </c>
      <c r="T939" s="1" t="e">
        <f t="shared" si="505"/>
        <v>#DIV/0!</v>
      </c>
      <c r="U939" s="1" t="e">
        <f t="shared" si="506"/>
        <v>#DIV/0!</v>
      </c>
      <c r="V939">
        <f t="shared" si="507"/>
        <v>273.39632631535289</v>
      </c>
      <c r="W939">
        <f t="shared" si="508"/>
        <v>0</v>
      </c>
      <c r="X939">
        <f t="shared" si="509"/>
        <v>0</v>
      </c>
      <c r="Y939">
        <f t="shared" si="510"/>
        <v>0</v>
      </c>
      <c r="Z939">
        <f t="shared" si="511"/>
        <v>0</v>
      </c>
      <c r="AA939">
        <f t="shared" si="512"/>
        <v>0</v>
      </c>
      <c r="AC939">
        <f t="shared" si="513"/>
        <v>333.76240161889586</v>
      </c>
      <c r="AD939">
        <f t="shared" si="514"/>
        <v>0</v>
      </c>
      <c r="AE939">
        <f t="shared" si="515"/>
        <v>0</v>
      </c>
      <c r="AF939">
        <f t="shared" si="516"/>
        <v>0</v>
      </c>
      <c r="AG939">
        <f t="shared" si="517"/>
        <v>0</v>
      </c>
      <c r="AH939">
        <f t="shared" si="518"/>
        <v>0</v>
      </c>
      <c r="AJ939">
        <f t="shared" si="519"/>
        <v>394.11847692243879</v>
      </c>
      <c r="AK939">
        <f t="shared" si="520"/>
        <v>0</v>
      </c>
      <c r="AL939">
        <f t="shared" si="521"/>
        <v>0</v>
      </c>
      <c r="AM939">
        <f t="shared" si="522"/>
        <v>0</v>
      </c>
      <c r="AN939">
        <f t="shared" si="523"/>
        <v>0</v>
      </c>
      <c r="AO939">
        <f t="shared" si="524"/>
        <v>0</v>
      </c>
    </row>
    <row r="940" spans="1:41" x14ac:dyDescent="0.45">
      <c r="A940">
        <v>46.073958040000001</v>
      </c>
      <c r="B940">
        <v>85.665393989999998</v>
      </c>
      <c r="C940">
        <v>0.57684994000000001</v>
      </c>
      <c r="D940">
        <v>14.413458820000001</v>
      </c>
      <c r="E940">
        <f t="shared" si="490"/>
        <v>0.57684994000000001</v>
      </c>
      <c r="F940">
        <f t="shared" si="491"/>
        <v>11.529209120000001</v>
      </c>
      <c r="G940">
        <f t="shared" si="492"/>
        <v>8.6449594200000011</v>
      </c>
      <c r="H940">
        <f t="shared" si="493"/>
        <v>5.7607097200000013</v>
      </c>
      <c r="I940">
        <f t="shared" si="494"/>
        <v>2.8764600200000014</v>
      </c>
      <c r="J940">
        <f t="shared" si="495"/>
        <v>0</v>
      </c>
      <c r="K940" s="1">
        <f t="shared" si="496"/>
        <v>0.57684994000000001</v>
      </c>
      <c r="L940" s="1">
        <f t="shared" si="497"/>
        <v>0.57684994000000001</v>
      </c>
      <c r="M940" s="1">
        <f t="shared" si="498"/>
        <v>0.57684994000000001</v>
      </c>
      <c r="N940" s="1">
        <f t="shared" si="499"/>
        <v>0.57684994000000001</v>
      </c>
      <c r="O940" s="1">
        <f t="shared" si="500"/>
        <v>0</v>
      </c>
      <c r="P940" s="1">
        <f t="shared" si="501"/>
        <v>1.0005404448784487</v>
      </c>
      <c r="Q940" s="1">
        <f t="shared" si="502"/>
        <v>1.2508445592320039</v>
      </c>
      <c r="R940" s="1">
        <f t="shared" si="503"/>
        <v>1.6681684435252095</v>
      </c>
      <c r="S940" s="1">
        <f t="shared" si="504"/>
        <v>2.5033805209681694</v>
      </c>
      <c r="T940" s="1">
        <f t="shared" si="505"/>
        <v>5.0135403933060729</v>
      </c>
      <c r="U940" s="1" t="e">
        <f t="shared" si="506"/>
        <v>#DIV/0!</v>
      </c>
      <c r="V940">
        <f t="shared" si="507"/>
        <v>71.49756445854959</v>
      </c>
      <c r="W940">
        <f t="shared" si="508"/>
        <v>85.896670971200138</v>
      </c>
      <c r="X940">
        <f t="shared" si="509"/>
        <v>89.724513024204242</v>
      </c>
      <c r="Y940">
        <f t="shared" si="510"/>
        <v>68.167610419363399</v>
      </c>
      <c r="Z940">
        <f t="shared" si="511"/>
        <v>102.35695688285628</v>
      </c>
      <c r="AA940">
        <f t="shared" si="512"/>
        <v>0</v>
      </c>
      <c r="AC940">
        <f t="shared" si="513"/>
        <v>85.271617795137956</v>
      </c>
      <c r="AD940">
        <f t="shared" si="514"/>
        <v>85.896670971200138</v>
      </c>
      <c r="AE940">
        <f t="shared" si="515"/>
        <v>85.885474414569302</v>
      </c>
      <c r="AF940">
        <f t="shared" si="516"/>
        <v>94.941415629045082</v>
      </c>
      <c r="AG940">
        <f t="shared" si="517"/>
        <v>52.353540393306076</v>
      </c>
      <c r="AH940">
        <f t="shared" si="518"/>
        <v>0</v>
      </c>
      <c r="AJ940">
        <f t="shared" si="519"/>
        <v>99.035671131726303</v>
      </c>
      <c r="AK940">
        <f t="shared" si="520"/>
        <v>102.22800516544018</v>
      </c>
      <c r="AL940">
        <f t="shared" si="521"/>
        <v>107.09715884982141</v>
      </c>
      <c r="AM940">
        <f t="shared" si="522"/>
        <v>123.80676953630635</v>
      </c>
      <c r="AN940">
        <f t="shared" si="523"/>
        <v>213.06776474897774</v>
      </c>
      <c r="AO940">
        <f t="shared" si="524"/>
        <v>0</v>
      </c>
    </row>
    <row r="941" spans="1:41" x14ac:dyDescent="0.45">
      <c r="A941">
        <v>46.088737729999998</v>
      </c>
      <c r="B941">
        <v>123.9144805</v>
      </c>
      <c r="C941">
        <v>55.767822270000003</v>
      </c>
      <c r="D941">
        <v>6.3751602199999997</v>
      </c>
      <c r="E941">
        <f t="shared" si="490"/>
        <v>6.3751602199999997</v>
      </c>
      <c r="F941">
        <f t="shared" si="491"/>
        <v>0</v>
      </c>
      <c r="G941">
        <f t="shared" si="492"/>
        <v>0</v>
      </c>
      <c r="H941">
        <f t="shared" si="493"/>
        <v>0</v>
      </c>
      <c r="I941">
        <f t="shared" si="494"/>
        <v>0</v>
      </c>
      <c r="J941">
        <f t="shared" si="495"/>
        <v>0</v>
      </c>
      <c r="K941" s="1">
        <f t="shared" si="496"/>
        <v>0</v>
      </c>
      <c r="L941" s="1">
        <f t="shared" si="497"/>
        <v>0</v>
      </c>
      <c r="M941" s="1">
        <f t="shared" si="498"/>
        <v>0</v>
      </c>
      <c r="N941" s="1">
        <f t="shared" si="499"/>
        <v>0</v>
      </c>
      <c r="O941" s="1">
        <f t="shared" si="500"/>
        <v>0</v>
      </c>
      <c r="P941" s="1">
        <f t="shared" si="501"/>
        <v>25.000000000000004</v>
      </c>
      <c r="Q941" s="1" t="e">
        <f t="shared" si="502"/>
        <v>#DIV/0!</v>
      </c>
      <c r="R941" s="1" t="e">
        <f t="shared" si="503"/>
        <v>#DIV/0!</v>
      </c>
      <c r="S941" s="1" t="e">
        <f t="shared" si="504"/>
        <v>#DIV/0!</v>
      </c>
      <c r="T941" s="1" t="e">
        <f t="shared" si="505"/>
        <v>#DIV/0!</v>
      </c>
      <c r="U941" s="1" t="e">
        <f t="shared" si="506"/>
        <v>#DIV/0!</v>
      </c>
      <c r="V941">
        <f t="shared" si="507"/>
        <v>851.48000000000013</v>
      </c>
      <c r="W941">
        <f t="shared" si="508"/>
        <v>0</v>
      </c>
      <c r="X941">
        <f t="shared" si="509"/>
        <v>0</v>
      </c>
      <c r="Y941">
        <f t="shared" si="510"/>
        <v>0</v>
      </c>
      <c r="Z941">
        <f t="shared" si="511"/>
        <v>0</v>
      </c>
      <c r="AA941">
        <f t="shared" si="512"/>
        <v>0</v>
      </c>
      <c r="AC941">
        <f t="shared" si="513"/>
        <v>1045.25</v>
      </c>
      <c r="AD941">
        <f t="shared" si="514"/>
        <v>0</v>
      </c>
      <c r="AE941">
        <f t="shared" si="515"/>
        <v>0</v>
      </c>
      <c r="AF941">
        <f t="shared" si="516"/>
        <v>0</v>
      </c>
      <c r="AG941">
        <f t="shared" si="517"/>
        <v>0</v>
      </c>
      <c r="AH941">
        <f t="shared" si="518"/>
        <v>0</v>
      </c>
      <c r="AJ941">
        <f t="shared" si="519"/>
        <v>1239.0100000000002</v>
      </c>
      <c r="AK941">
        <f t="shared" si="520"/>
        <v>0</v>
      </c>
      <c r="AL941">
        <f t="shared" si="521"/>
        <v>0</v>
      </c>
      <c r="AM941">
        <f t="shared" si="522"/>
        <v>0</v>
      </c>
      <c r="AN941">
        <f t="shared" si="523"/>
        <v>0</v>
      </c>
      <c r="AO941">
        <f t="shared" si="524"/>
        <v>0</v>
      </c>
    </row>
    <row r="942" spans="1:41" x14ac:dyDescent="0.45">
      <c r="A942">
        <v>46.093234449999997</v>
      </c>
      <c r="B942">
        <v>125.5679181</v>
      </c>
      <c r="C942">
        <v>2.93583441</v>
      </c>
      <c r="D942">
        <v>0.44828200000000001</v>
      </c>
      <c r="E942">
        <f t="shared" si="490"/>
        <v>0.44828200000000001</v>
      </c>
      <c r="F942">
        <f t="shared" si="491"/>
        <v>0</v>
      </c>
      <c r="G942">
        <f t="shared" si="492"/>
        <v>0</v>
      </c>
      <c r="H942">
        <f t="shared" si="493"/>
        <v>0</v>
      </c>
      <c r="I942">
        <f t="shared" si="494"/>
        <v>0</v>
      </c>
      <c r="J942">
        <f t="shared" si="495"/>
        <v>0</v>
      </c>
      <c r="K942" s="1">
        <f t="shared" si="496"/>
        <v>0</v>
      </c>
      <c r="L942" s="1">
        <f t="shared" si="497"/>
        <v>0</v>
      </c>
      <c r="M942" s="1">
        <f t="shared" si="498"/>
        <v>0</v>
      </c>
      <c r="N942" s="1">
        <f t="shared" si="499"/>
        <v>0</v>
      </c>
      <c r="O942" s="1">
        <f t="shared" si="500"/>
        <v>0</v>
      </c>
      <c r="P942" s="1">
        <f t="shared" si="501"/>
        <v>25</v>
      </c>
      <c r="Q942" s="1" t="e">
        <f t="shared" si="502"/>
        <v>#DIV/0!</v>
      </c>
      <c r="R942" s="1" t="e">
        <f t="shared" si="503"/>
        <v>#DIV/0!</v>
      </c>
      <c r="S942" s="1" t="e">
        <f t="shared" si="504"/>
        <v>#DIV/0!</v>
      </c>
      <c r="T942" s="1" t="e">
        <f t="shared" si="505"/>
        <v>#DIV/0!</v>
      </c>
      <c r="U942" s="1" t="e">
        <f t="shared" si="506"/>
        <v>#DIV/0!</v>
      </c>
      <c r="V942">
        <f t="shared" si="507"/>
        <v>851.48</v>
      </c>
      <c r="W942">
        <f t="shared" si="508"/>
        <v>0</v>
      </c>
      <c r="X942">
        <f t="shared" si="509"/>
        <v>0</v>
      </c>
      <c r="Y942">
        <f t="shared" si="510"/>
        <v>0</v>
      </c>
      <c r="Z942">
        <f t="shared" si="511"/>
        <v>0</v>
      </c>
      <c r="AA942">
        <f t="shared" si="512"/>
        <v>0</v>
      </c>
      <c r="AC942">
        <f t="shared" si="513"/>
        <v>1045.25</v>
      </c>
      <c r="AD942">
        <f t="shared" si="514"/>
        <v>0</v>
      </c>
      <c r="AE942">
        <f t="shared" si="515"/>
        <v>0</v>
      </c>
      <c r="AF942">
        <f t="shared" si="516"/>
        <v>0</v>
      </c>
      <c r="AG942">
        <f t="shared" si="517"/>
        <v>0</v>
      </c>
      <c r="AH942">
        <f t="shared" si="518"/>
        <v>0</v>
      </c>
      <c r="AJ942">
        <f t="shared" si="519"/>
        <v>1239.01</v>
      </c>
      <c r="AK942">
        <f t="shared" si="520"/>
        <v>0</v>
      </c>
      <c r="AL942">
        <f t="shared" si="521"/>
        <v>0</v>
      </c>
      <c r="AM942">
        <f t="shared" si="522"/>
        <v>0</v>
      </c>
      <c r="AN942">
        <f t="shared" si="523"/>
        <v>0</v>
      </c>
      <c r="AO942">
        <f t="shared" si="524"/>
        <v>0</v>
      </c>
    </row>
    <row r="943" spans="1:41" x14ac:dyDescent="0.45">
      <c r="A943">
        <v>46.09702102</v>
      </c>
      <c r="B943">
        <v>123.850728</v>
      </c>
      <c r="C943">
        <v>55.767822270000003</v>
      </c>
      <c r="D943">
        <v>1.5969489800000001</v>
      </c>
      <c r="E943">
        <f t="shared" si="490"/>
        <v>1.5969489800000001</v>
      </c>
      <c r="F943">
        <f t="shared" si="491"/>
        <v>0</v>
      </c>
      <c r="G943">
        <f t="shared" si="492"/>
        <v>0</v>
      </c>
      <c r="H943">
        <f t="shared" si="493"/>
        <v>0</v>
      </c>
      <c r="I943">
        <f t="shared" si="494"/>
        <v>0</v>
      </c>
      <c r="J943">
        <f t="shared" si="495"/>
        <v>0</v>
      </c>
      <c r="K943" s="1">
        <f t="shared" si="496"/>
        <v>0</v>
      </c>
      <c r="L943" s="1">
        <f t="shared" si="497"/>
        <v>0</v>
      </c>
      <c r="M943" s="1">
        <f t="shared" si="498"/>
        <v>0</v>
      </c>
      <c r="N943" s="1">
        <f t="shared" si="499"/>
        <v>0</v>
      </c>
      <c r="O943" s="1">
        <f t="shared" si="500"/>
        <v>0</v>
      </c>
      <c r="P943" s="1">
        <f t="shared" si="501"/>
        <v>24.999999999999996</v>
      </c>
      <c r="Q943" s="1" t="e">
        <f t="shared" si="502"/>
        <v>#DIV/0!</v>
      </c>
      <c r="R943" s="1" t="e">
        <f t="shared" si="503"/>
        <v>#DIV/0!</v>
      </c>
      <c r="S943" s="1" t="e">
        <f t="shared" si="504"/>
        <v>#DIV/0!</v>
      </c>
      <c r="T943" s="1" t="e">
        <f t="shared" si="505"/>
        <v>#DIV/0!</v>
      </c>
      <c r="U943" s="1" t="e">
        <f t="shared" si="506"/>
        <v>#DIV/0!</v>
      </c>
      <c r="V943">
        <f t="shared" si="507"/>
        <v>851.4799999999999</v>
      </c>
      <c r="W943">
        <f t="shared" si="508"/>
        <v>0</v>
      </c>
      <c r="X943">
        <f t="shared" si="509"/>
        <v>0</v>
      </c>
      <c r="Y943">
        <f t="shared" si="510"/>
        <v>0</v>
      </c>
      <c r="Z943">
        <f t="shared" si="511"/>
        <v>0</v>
      </c>
      <c r="AA943">
        <f t="shared" si="512"/>
        <v>0</v>
      </c>
      <c r="AC943">
        <f t="shared" si="513"/>
        <v>1045.25</v>
      </c>
      <c r="AD943">
        <f t="shared" si="514"/>
        <v>0</v>
      </c>
      <c r="AE943">
        <f t="shared" si="515"/>
        <v>0</v>
      </c>
      <c r="AF943">
        <f t="shared" si="516"/>
        <v>0</v>
      </c>
      <c r="AG943">
        <f t="shared" si="517"/>
        <v>0</v>
      </c>
      <c r="AH943">
        <f t="shared" si="518"/>
        <v>0</v>
      </c>
      <c r="AJ943">
        <f t="shared" si="519"/>
        <v>1239.0099999999998</v>
      </c>
      <c r="AK943">
        <f t="shared" si="520"/>
        <v>0</v>
      </c>
      <c r="AL943">
        <f t="shared" si="521"/>
        <v>0</v>
      </c>
      <c r="AM943">
        <f t="shared" si="522"/>
        <v>0</v>
      </c>
      <c r="AN943">
        <f t="shared" si="523"/>
        <v>0</v>
      </c>
      <c r="AO943">
        <f t="shared" si="524"/>
        <v>0</v>
      </c>
    </row>
    <row r="944" spans="1:41" x14ac:dyDescent="0.45">
      <c r="A944">
        <v>46.101478749999998</v>
      </c>
      <c r="B944">
        <v>124.51215139999999</v>
      </c>
      <c r="C944">
        <v>1.10745227</v>
      </c>
      <c r="D944">
        <v>0.93863600000000003</v>
      </c>
      <c r="E944">
        <f t="shared" si="490"/>
        <v>0.93863600000000003</v>
      </c>
      <c r="F944">
        <f t="shared" si="491"/>
        <v>0</v>
      </c>
      <c r="G944">
        <f t="shared" si="492"/>
        <v>0</v>
      </c>
      <c r="H944">
        <f t="shared" si="493"/>
        <v>0</v>
      </c>
      <c r="I944">
        <f t="shared" si="494"/>
        <v>0</v>
      </c>
      <c r="J944">
        <f t="shared" si="495"/>
        <v>0</v>
      </c>
      <c r="K944" s="1">
        <f t="shared" si="496"/>
        <v>0</v>
      </c>
      <c r="L944" s="1">
        <f t="shared" si="497"/>
        <v>0</v>
      </c>
      <c r="M944" s="1">
        <f t="shared" si="498"/>
        <v>0</v>
      </c>
      <c r="N944" s="1">
        <f t="shared" si="499"/>
        <v>0</v>
      </c>
      <c r="O944" s="1">
        <f t="shared" si="500"/>
        <v>0</v>
      </c>
      <c r="P944" s="1">
        <f t="shared" si="501"/>
        <v>25</v>
      </c>
      <c r="Q944" s="1" t="e">
        <f t="shared" si="502"/>
        <v>#DIV/0!</v>
      </c>
      <c r="R944" s="1" t="e">
        <f t="shared" si="503"/>
        <v>#DIV/0!</v>
      </c>
      <c r="S944" s="1" t="e">
        <f t="shared" si="504"/>
        <v>#DIV/0!</v>
      </c>
      <c r="T944" s="1" t="e">
        <f t="shared" si="505"/>
        <v>#DIV/0!</v>
      </c>
      <c r="U944" s="1" t="e">
        <f t="shared" si="506"/>
        <v>#DIV/0!</v>
      </c>
      <c r="V944">
        <f t="shared" si="507"/>
        <v>851.48</v>
      </c>
      <c r="W944">
        <f t="shared" si="508"/>
        <v>0</v>
      </c>
      <c r="X944">
        <f t="shared" si="509"/>
        <v>0</v>
      </c>
      <c r="Y944">
        <f t="shared" si="510"/>
        <v>0</v>
      </c>
      <c r="Z944">
        <f t="shared" si="511"/>
        <v>0</v>
      </c>
      <c r="AA944">
        <f t="shared" si="512"/>
        <v>0</v>
      </c>
      <c r="AC944">
        <f t="shared" si="513"/>
        <v>1045.25</v>
      </c>
      <c r="AD944">
        <f t="shared" si="514"/>
        <v>0</v>
      </c>
      <c r="AE944">
        <f t="shared" si="515"/>
        <v>0</v>
      </c>
      <c r="AF944">
        <f t="shared" si="516"/>
        <v>0</v>
      </c>
      <c r="AG944">
        <f t="shared" si="517"/>
        <v>0</v>
      </c>
      <c r="AH944">
        <f t="shared" si="518"/>
        <v>0</v>
      </c>
      <c r="AJ944">
        <f t="shared" si="519"/>
        <v>1239.01</v>
      </c>
      <c r="AK944">
        <f t="shared" si="520"/>
        <v>0</v>
      </c>
      <c r="AL944">
        <f t="shared" si="521"/>
        <v>0</v>
      </c>
      <c r="AM944">
        <f t="shared" si="522"/>
        <v>0</v>
      </c>
      <c r="AN944">
        <f t="shared" si="523"/>
        <v>0</v>
      </c>
      <c r="AO944">
        <f t="shared" si="524"/>
        <v>0</v>
      </c>
    </row>
    <row r="945" spans="1:41" x14ac:dyDescent="0.45">
      <c r="A945">
        <v>46.111236929999997</v>
      </c>
      <c r="B945">
        <v>124.7792395</v>
      </c>
      <c r="C945">
        <v>1.10745227</v>
      </c>
      <c r="D945">
        <v>29.126134870000001</v>
      </c>
      <c r="E945">
        <f t="shared" si="490"/>
        <v>1.10745227</v>
      </c>
      <c r="F945">
        <f t="shared" si="491"/>
        <v>23.58887352</v>
      </c>
      <c r="G945">
        <f t="shared" si="492"/>
        <v>18.051612170000002</v>
      </c>
      <c r="H945">
        <f t="shared" si="493"/>
        <v>12.514350820000001</v>
      </c>
      <c r="I945">
        <f t="shared" si="494"/>
        <v>6.9770894700000028</v>
      </c>
      <c r="J945">
        <f t="shared" si="495"/>
        <v>1.4398281200000014</v>
      </c>
      <c r="K945" s="1">
        <f t="shared" si="496"/>
        <v>1.10745227</v>
      </c>
      <c r="L945" s="1">
        <f t="shared" si="497"/>
        <v>1.10745227</v>
      </c>
      <c r="M945" s="1">
        <f t="shared" si="498"/>
        <v>1.10745227</v>
      </c>
      <c r="N945" s="1">
        <f t="shared" si="499"/>
        <v>1.10745227</v>
      </c>
      <c r="O945" s="1">
        <f t="shared" si="500"/>
        <v>1.10745227</v>
      </c>
      <c r="P945" s="1">
        <f t="shared" si="501"/>
        <v>1</v>
      </c>
      <c r="Q945" s="1">
        <f t="shared" si="502"/>
        <v>1.1737019458146638</v>
      </c>
      <c r="R945" s="1">
        <f t="shared" si="503"/>
        <v>1.5337304219294003</v>
      </c>
      <c r="S945" s="1">
        <f t="shared" si="504"/>
        <v>2.2123646003077289</v>
      </c>
      <c r="T945" s="1">
        <f t="shared" si="505"/>
        <v>3.9681742464454866</v>
      </c>
      <c r="U945" s="1">
        <f t="shared" si="506"/>
        <v>19.228897092244576</v>
      </c>
      <c r="V945">
        <f t="shared" si="507"/>
        <v>71.48</v>
      </c>
      <c r="W945">
        <f t="shared" si="508"/>
        <v>83.003822968049889</v>
      </c>
      <c r="X945">
        <f t="shared" si="509"/>
        <v>82.449115007693223</v>
      </c>
      <c r="Y945">
        <f t="shared" si="510"/>
        <v>62.347292006154582</v>
      </c>
      <c r="Z945">
        <f t="shared" si="511"/>
        <v>84.063049312796025</v>
      </c>
      <c r="AA945">
        <f t="shared" si="512"/>
        <v>349.03569911428008</v>
      </c>
      <c r="AC945">
        <f t="shared" si="513"/>
        <v>85.25</v>
      </c>
      <c r="AD945">
        <f t="shared" si="514"/>
        <v>83.003822968049889</v>
      </c>
      <c r="AE945">
        <f t="shared" si="515"/>
        <v>81.516238712705515</v>
      </c>
      <c r="AF945">
        <f t="shared" si="516"/>
        <v>86.210938009231867</v>
      </c>
      <c r="AG945">
        <f t="shared" si="517"/>
        <v>51.308174246445489</v>
      </c>
      <c r="AH945">
        <f t="shared" si="518"/>
        <v>497.08242730611443</v>
      </c>
      <c r="AJ945">
        <f t="shared" si="519"/>
        <v>99.009999999999991</v>
      </c>
      <c r="AK945">
        <f t="shared" si="520"/>
        <v>98.75658756165987</v>
      </c>
      <c r="AL945">
        <f t="shared" si="521"/>
        <v>101.38354293199951</v>
      </c>
      <c r="AM945">
        <f t="shared" si="522"/>
        <v>112.89367251153982</v>
      </c>
      <c r="AN945">
        <f t="shared" si="523"/>
        <v>173.86653424170575</v>
      </c>
      <c r="AO945">
        <f t="shared" si="524"/>
        <v>693.20139822856027</v>
      </c>
    </row>
    <row r="946" spans="1:41" x14ac:dyDescent="0.45">
      <c r="A946">
        <v>46.119915229999997</v>
      </c>
      <c r="B946">
        <v>124.71557439999999</v>
      </c>
      <c r="C946">
        <v>1.10745227</v>
      </c>
      <c r="D946">
        <v>15.110604289999999</v>
      </c>
      <c r="E946">
        <f t="shared" si="490"/>
        <v>1.10745227</v>
      </c>
      <c r="F946">
        <f t="shared" si="491"/>
        <v>9.5733429399999999</v>
      </c>
      <c r="G946">
        <f t="shared" si="492"/>
        <v>4.0360815900000002</v>
      </c>
      <c r="H946">
        <f t="shared" si="493"/>
        <v>0</v>
      </c>
      <c r="I946">
        <f t="shared" si="494"/>
        <v>0</v>
      </c>
      <c r="J946">
        <f t="shared" si="495"/>
        <v>0</v>
      </c>
      <c r="K946" s="1">
        <f t="shared" si="496"/>
        <v>1.10745227</v>
      </c>
      <c r="L946" s="1">
        <f t="shared" si="497"/>
        <v>1.10745227</v>
      </c>
      <c r="M946" s="1">
        <f t="shared" si="498"/>
        <v>0</v>
      </c>
      <c r="N946" s="1">
        <f t="shared" si="499"/>
        <v>0</v>
      </c>
      <c r="O946" s="1">
        <f t="shared" si="500"/>
        <v>0</v>
      </c>
      <c r="P946" s="1">
        <f t="shared" si="501"/>
        <v>1.8322435171121803</v>
      </c>
      <c r="Q946" s="1">
        <f t="shared" si="502"/>
        <v>2.8920207834944645</v>
      </c>
      <c r="R946" s="1">
        <f t="shared" si="503"/>
        <v>6.859699471536203</v>
      </c>
      <c r="S946" s="1" t="e">
        <f t="shared" si="504"/>
        <v>#DIV/0!</v>
      </c>
      <c r="T946" s="1" t="e">
        <f t="shared" si="505"/>
        <v>#DIV/0!</v>
      </c>
      <c r="U946" s="1" t="e">
        <f t="shared" si="506"/>
        <v>#DIV/0!</v>
      </c>
      <c r="V946">
        <f t="shared" si="507"/>
        <v>98.52791430614586</v>
      </c>
      <c r="W946">
        <f t="shared" si="508"/>
        <v>147.44077938104243</v>
      </c>
      <c r="X946" t="e">
        <f t="shared" si="509"/>
        <v>#DIV/0!</v>
      </c>
      <c r="Y946">
        <f t="shared" si="510"/>
        <v>0</v>
      </c>
      <c r="Z946">
        <f t="shared" si="511"/>
        <v>0</v>
      </c>
      <c r="AA946">
        <f t="shared" si="512"/>
        <v>0</v>
      </c>
      <c r="AC946">
        <f t="shared" si="513"/>
        <v>118.53974068448721</v>
      </c>
      <c r="AD946">
        <f t="shared" si="514"/>
        <v>147.44077938104243</v>
      </c>
      <c r="AE946">
        <f t="shared" si="515"/>
        <v>254.61023282492658</v>
      </c>
      <c r="AF946">
        <f t="shared" si="516"/>
        <v>0</v>
      </c>
      <c r="AG946">
        <f t="shared" si="517"/>
        <v>0</v>
      </c>
      <c r="AH946">
        <f t="shared" si="518"/>
        <v>0</v>
      </c>
      <c r="AJ946">
        <f t="shared" si="519"/>
        <v>138.54156706282856</v>
      </c>
      <c r="AK946">
        <f t="shared" si="520"/>
        <v>176.0809352572509</v>
      </c>
      <c r="AL946">
        <f t="shared" si="521"/>
        <v>327.73722754028864</v>
      </c>
      <c r="AM946">
        <f t="shared" si="522"/>
        <v>0</v>
      </c>
      <c r="AN946">
        <f t="shared" si="523"/>
        <v>0</v>
      </c>
      <c r="AO946">
        <f t="shared" si="524"/>
        <v>0</v>
      </c>
    </row>
    <row r="947" spans="1:41" x14ac:dyDescent="0.45">
      <c r="A947">
        <v>46.14825467</v>
      </c>
      <c r="B947">
        <v>86.173259569999999</v>
      </c>
      <c r="C947">
        <v>18.492280959999999</v>
      </c>
      <c r="D947">
        <v>5.0437970200000004</v>
      </c>
      <c r="E947">
        <f t="shared" si="490"/>
        <v>5.0437970200000004</v>
      </c>
      <c r="F947">
        <f t="shared" si="491"/>
        <v>0</v>
      </c>
      <c r="G947">
        <f t="shared" si="492"/>
        <v>0</v>
      </c>
      <c r="H947">
        <f t="shared" si="493"/>
        <v>0</v>
      </c>
      <c r="I947">
        <f t="shared" si="494"/>
        <v>0</v>
      </c>
      <c r="J947">
        <f t="shared" si="495"/>
        <v>0</v>
      </c>
      <c r="K947" s="1">
        <f t="shared" si="496"/>
        <v>0</v>
      </c>
      <c r="L947" s="1">
        <f t="shared" si="497"/>
        <v>0</v>
      </c>
      <c r="M947" s="1">
        <f t="shared" si="498"/>
        <v>0</v>
      </c>
      <c r="N947" s="1">
        <f t="shared" si="499"/>
        <v>0</v>
      </c>
      <c r="O947" s="1">
        <f t="shared" si="500"/>
        <v>0</v>
      </c>
      <c r="P947" s="1">
        <f t="shared" si="501"/>
        <v>25</v>
      </c>
      <c r="Q947" s="1" t="e">
        <f t="shared" si="502"/>
        <v>#DIV/0!</v>
      </c>
      <c r="R947" s="1" t="e">
        <f t="shared" si="503"/>
        <v>#DIV/0!</v>
      </c>
      <c r="S947" s="1" t="e">
        <f t="shared" si="504"/>
        <v>#DIV/0!</v>
      </c>
      <c r="T947" s="1" t="e">
        <f t="shared" si="505"/>
        <v>#DIV/0!</v>
      </c>
      <c r="U947" s="1" t="e">
        <f t="shared" si="506"/>
        <v>#DIV/0!</v>
      </c>
      <c r="V947">
        <f t="shared" si="507"/>
        <v>851.48</v>
      </c>
      <c r="W947">
        <f t="shared" si="508"/>
        <v>0</v>
      </c>
      <c r="X947">
        <f t="shared" si="509"/>
        <v>0</v>
      </c>
      <c r="Y947">
        <f t="shared" si="510"/>
        <v>0</v>
      </c>
      <c r="Z947">
        <f t="shared" si="511"/>
        <v>0</v>
      </c>
      <c r="AA947">
        <f t="shared" si="512"/>
        <v>0</v>
      </c>
      <c r="AC947">
        <f t="shared" si="513"/>
        <v>1045.25</v>
      </c>
      <c r="AD947">
        <f t="shared" si="514"/>
        <v>0</v>
      </c>
      <c r="AE947">
        <f t="shared" si="515"/>
        <v>0</v>
      </c>
      <c r="AF947">
        <f t="shared" si="516"/>
        <v>0</v>
      </c>
      <c r="AG947">
        <f t="shared" si="517"/>
        <v>0</v>
      </c>
      <c r="AH947">
        <f t="shared" si="518"/>
        <v>0</v>
      </c>
      <c r="AJ947">
        <f t="shared" si="519"/>
        <v>1239.01</v>
      </c>
      <c r="AK947">
        <f t="shared" si="520"/>
        <v>0</v>
      </c>
      <c r="AL947">
        <f t="shared" si="521"/>
        <v>0</v>
      </c>
      <c r="AM947">
        <f t="shared" si="522"/>
        <v>0</v>
      </c>
      <c r="AN947">
        <f t="shared" si="523"/>
        <v>0</v>
      </c>
      <c r="AO947">
        <f t="shared" si="524"/>
        <v>0</v>
      </c>
    </row>
    <row r="948" spans="1:41" x14ac:dyDescent="0.45">
      <c r="A948">
        <v>46.164726729999998</v>
      </c>
      <c r="B948">
        <v>125.0590874</v>
      </c>
      <c r="C948">
        <v>4.2213473300000004</v>
      </c>
      <c r="D948">
        <v>12.268920899999999</v>
      </c>
      <c r="E948">
        <f t="shared" si="490"/>
        <v>4.2213473300000004</v>
      </c>
      <c r="F948">
        <f t="shared" si="491"/>
        <v>0</v>
      </c>
      <c r="G948">
        <f t="shared" si="492"/>
        <v>0</v>
      </c>
      <c r="H948">
        <f t="shared" si="493"/>
        <v>0</v>
      </c>
      <c r="I948">
        <f t="shared" si="494"/>
        <v>0</v>
      </c>
      <c r="J948">
        <f t="shared" si="495"/>
        <v>0</v>
      </c>
      <c r="K948" s="1">
        <f t="shared" si="496"/>
        <v>0</v>
      </c>
      <c r="L948" s="1">
        <f t="shared" si="497"/>
        <v>0</v>
      </c>
      <c r="M948" s="1">
        <f t="shared" si="498"/>
        <v>0</v>
      </c>
      <c r="N948" s="1">
        <f t="shared" si="499"/>
        <v>0</v>
      </c>
      <c r="O948" s="1">
        <f t="shared" si="500"/>
        <v>0</v>
      </c>
      <c r="P948" s="1">
        <f t="shared" si="501"/>
        <v>8.6017086677932699</v>
      </c>
      <c r="Q948" s="1" t="e">
        <f t="shared" si="502"/>
        <v>#DIV/0!</v>
      </c>
      <c r="R948" s="1" t="e">
        <f t="shared" si="503"/>
        <v>#DIV/0!</v>
      </c>
      <c r="S948" s="1" t="e">
        <f t="shared" si="504"/>
        <v>#DIV/0!</v>
      </c>
      <c r="T948" s="1" t="e">
        <f t="shared" si="505"/>
        <v>#DIV/0!</v>
      </c>
      <c r="U948" s="1" t="e">
        <f t="shared" si="506"/>
        <v>#DIV/0!</v>
      </c>
      <c r="V948">
        <f t="shared" si="507"/>
        <v>318.53553170328126</v>
      </c>
      <c r="W948">
        <f t="shared" si="508"/>
        <v>0</v>
      </c>
      <c r="X948">
        <f t="shared" si="509"/>
        <v>0</v>
      </c>
      <c r="Y948">
        <f t="shared" si="510"/>
        <v>0</v>
      </c>
      <c r="Z948">
        <f t="shared" si="511"/>
        <v>0</v>
      </c>
      <c r="AA948">
        <f t="shared" si="512"/>
        <v>0</v>
      </c>
      <c r="AC948">
        <f t="shared" si="513"/>
        <v>389.31834671173078</v>
      </c>
      <c r="AD948">
        <f t="shared" si="514"/>
        <v>0</v>
      </c>
      <c r="AE948">
        <f t="shared" si="515"/>
        <v>0</v>
      </c>
      <c r="AF948">
        <f t="shared" si="516"/>
        <v>0</v>
      </c>
      <c r="AG948">
        <f t="shared" si="517"/>
        <v>0</v>
      </c>
      <c r="AH948">
        <f t="shared" si="518"/>
        <v>0</v>
      </c>
      <c r="AJ948">
        <f t="shared" si="519"/>
        <v>460.09116172018031</v>
      </c>
      <c r="AK948">
        <f t="shared" si="520"/>
        <v>0</v>
      </c>
      <c r="AL948">
        <f t="shared" si="521"/>
        <v>0</v>
      </c>
      <c r="AM948">
        <f t="shared" si="522"/>
        <v>0</v>
      </c>
      <c r="AN948">
        <f t="shared" si="523"/>
        <v>0</v>
      </c>
      <c r="AO948">
        <f t="shared" si="524"/>
        <v>0</v>
      </c>
    </row>
    <row r="949" spans="1:41" x14ac:dyDescent="0.45">
      <c r="A949">
        <v>46.17984062</v>
      </c>
      <c r="B949">
        <v>124.2694626</v>
      </c>
      <c r="C949">
        <v>4.5470686000000002</v>
      </c>
      <c r="D949">
        <v>23.28520966</v>
      </c>
      <c r="E949">
        <f t="shared" si="490"/>
        <v>4.5470686000000002</v>
      </c>
      <c r="F949">
        <f t="shared" si="491"/>
        <v>0.54986665999999929</v>
      </c>
      <c r="G949">
        <f t="shared" si="492"/>
        <v>0</v>
      </c>
      <c r="H949">
        <f t="shared" si="493"/>
        <v>0</v>
      </c>
      <c r="I949">
        <f t="shared" si="494"/>
        <v>0</v>
      </c>
      <c r="J949">
        <f t="shared" si="495"/>
        <v>0</v>
      </c>
      <c r="K949" s="1">
        <f t="shared" si="496"/>
        <v>0.54986665999999929</v>
      </c>
      <c r="L949" s="1">
        <f t="shared" si="497"/>
        <v>0</v>
      </c>
      <c r="M949" s="1">
        <f t="shared" si="498"/>
        <v>0</v>
      </c>
      <c r="N949" s="1">
        <f t="shared" si="499"/>
        <v>0</v>
      </c>
      <c r="O949" s="1">
        <f t="shared" si="500"/>
        <v>0</v>
      </c>
      <c r="P949" s="1">
        <f t="shared" si="501"/>
        <v>4.8819279130338744</v>
      </c>
      <c r="Q949" s="1">
        <f t="shared" si="502"/>
        <v>25</v>
      </c>
      <c r="R949" s="1" t="e">
        <f t="shared" si="503"/>
        <v>#DIV/0!</v>
      </c>
      <c r="S949" s="1" t="e">
        <f t="shared" si="504"/>
        <v>#DIV/0!</v>
      </c>
      <c r="T949" s="1" t="e">
        <f t="shared" si="505"/>
        <v>#DIV/0!</v>
      </c>
      <c r="U949" s="1" t="e">
        <f t="shared" si="506"/>
        <v>#DIV/0!</v>
      </c>
      <c r="V949">
        <f t="shared" si="507"/>
        <v>197.64265717360092</v>
      </c>
      <c r="W949">
        <f t="shared" si="508"/>
        <v>976.49</v>
      </c>
      <c r="X949">
        <f t="shared" si="509"/>
        <v>0</v>
      </c>
      <c r="Y949">
        <f t="shared" si="510"/>
        <v>0</v>
      </c>
      <c r="Z949">
        <f t="shared" si="511"/>
        <v>0</v>
      </c>
      <c r="AA949">
        <f t="shared" si="512"/>
        <v>0</v>
      </c>
      <c r="AC949">
        <f t="shared" si="513"/>
        <v>240.52711652135497</v>
      </c>
      <c r="AD949">
        <f t="shared" si="514"/>
        <v>976.49</v>
      </c>
      <c r="AE949">
        <f t="shared" si="515"/>
        <v>0</v>
      </c>
      <c r="AF949">
        <f t="shared" si="516"/>
        <v>0</v>
      </c>
      <c r="AG949">
        <f t="shared" si="517"/>
        <v>0</v>
      </c>
      <c r="AH949">
        <f t="shared" si="518"/>
        <v>0</v>
      </c>
      <c r="AJ949">
        <f t="shared" si="519"/>
        <v>283.40157586910902</v>
      </c>
      <c r="AK949">
        <f t="shared" si="520"/>
        <v>1170.94</v>
      </c>
      <c r="AL949">
        <f t="shared" si="521"/>
        <v>0</v>
      </c>
      <c r="AM949">
        <f t="shared" si="522"/>
        <v>0</v>
      </c>
      <c r="AN949">
        <f t="shared" si="523"/>
        <v>0</v>
      </c>
      <c r="AO949">
        <f t="shared" si="524"/>
        <v>0</v>
      </c>
    </row>
    <row r="950" spans="1:41" x14ac:dyDescent="0.45">
      <c r="A950">
        <v>46.18571996</v>
      </c>
      <c r="B950">
        <v>123.8745303</v>
      </c>
      <c r="C950">
        <v>55.767822270000003</v>
      </c>
      <c r="D950">
        <v>0.23644799999999999</v>
      </c>
      <c r="E950">
        <f t="shared" si="490"/>
        <v>0.23644799999999999</v>
      </c>
      <c r="F950">
        <f t="shared" si="491"/>
        <v>0</v>
      </c>
      <c r="G950">
        <f t="shared" si="492"/>
        <v>0</v>
      </c>
      <c r="H950">
        <f t="shared" si="493"/>
        <v>0</v>
      </c>
      <c r="I950">
        <f t="shared" si="494"/>
        <v>0</v>
      </c>
      <c r="J950">
        <f t="shared" si="495"/>
        <v>0</v>
      </c>
      <c r="K950" s="1">
        <f t="shared" si="496"/>
        <v>0</v>
      </c>
      <c r="L950" s="1">
        <f t="shared" si="497"/>
        <v>0</v>
      </c>
      <c r="M950" s="1">
        <f t="shared" si="498"/>
        <v>0</v>
      </c>
      <c r="N950" s="1">
        <f t="shared" si="499"/>
        <v>0</v>
      </c>
      <c r="O950" s="1">
        <f t="shared" si="500"/>
        <v>0</v>
      </c>
      <c r="P950" s="1">
        <f t="shared" si="501"/>
        <v>25</v>
      </c>
      <c r="Q950" s="1" t="e">
        <f t="shared" si="502"/>
        <v>#DIV/0!</v>
      </c>
      <c r="R950" s="1" t="e">
        <f t="shared" si="503"/>
        <v>#DIV/0!</v>
      </c>
      <c r="S950" s="1" t="e">
        <f t="shared" si="504"/>
        <v>#DIV/0!</v>
      </c>
      <c r="T950" s="1" t="e">
        <f t="shared" si="505"/>
        <v>#DIV/0!</v>
      </c>
      <c r="U950" s="1" t="e">
        <f t="shared" si="506"/>
        <v>#DIV/0!</v>
      </c>
      <c r="V950">
        <f t="shared" si="507"/>
        <v>851.48</v>
      </c>
      <c r="W950">
        <f t="shared" si="508"/>
        <v>0</v>
      </c>
      <c r="X950">
        <f t="shared" si="509"/>
        <v>0</v>
      </c>
      <c r="Y950">
        <f t="shared" si="510"/>
        <v>0</v>
      </c>
      <c r="Z950">
        <f t="shared" si="511"/>
        <v>0</v>
      </c>
      <c r="AA950">
        <f t="shared" si="512"/>
        <v>0</v>
      </c>
      <c r="AC950">
        <f t="shared" si="513"/>
        <v>1045.25</v>
      </c>
      <c r="AD950">
        <f t="shared" si="514"/>
        <v>0</v>
      </c>
      <c r="AE950">
        <f t="shared" si="515"/>
        <v>0</v>
      </c>
      <c r="AF950">
        <f t="shared" si="516"/>
        <v>0</v>
      </c>
      <c r="AG950">
        <f t="shared" si="517"/>
        <v>0</v>
      </c>
      <c r="AH950">
        <f t="shared" si="518"/>
        <v>0</v>
      </c>
      <c r="AJ950">
        <f t="shared" si="519"/>
        <v>1239.01</v>
      </c>
      <c r="AK950">
        <f t="shared" si="520"/>
        <v>0</v>
      </c>
      <c r="AL950">
        <f t="shared" si="521"/>
        <v>0</v>
      </c>
      <c r="AM950">
        <f t="shared" si="522"/>
        <v>0</v>
      </c>
      <c r="AN950">
        <f t="shared" si="523"/>
        <v>0</v>
      </c>
      <c r="AO950">
        <f t="shared" si="524"/>
        <v>0</v>
      </c>
    </row>
    <row r="951" spans="1:41" x14ac:dyDescent="0.45">
      <c r="A951">
        <v>46.191257049999997</v>
      </c>
      <c r="B951">
        <v>125.1991776</v>
      </c>
      <c r="C951">
        <v>4.2213473300000004</v>
      </c>
      <c r="D951">
        <v>9.2068357499999998</v>
      </c>
      <c r="E951">
        <f t="shared" si="490"/>
        <v>4.2213473300000004</v>
      </c>
      <c r="F951">
        <f t="shared" si="491"/>
        <v>0</v>
      </c>
      <c r="G951">
        <f t="shared" si="492"/>
        <v>0</v>
      </c>
      <c r="H951">
        <f t="shared" si="493"/>
        <v>0</v>
      </c>
      <c r="I951">
        <f t="shared" si="494"/>
        <v>0</v>
      </c>
      <c r="J951">
        <f t="shared" si="495"/>
        <v>0</v>
      </c>
      <c r="K951" s="1">
        <f t="shared" si="496"/>
        <v>0</v>
      </c>
      <c r="L951" s="1">
        <f t="shared" si="497"/>
        <v>0</v>
      </c>
      <c r="M951" s="1">
        <f t="shared" si="498"/>
        <v>0</v>
      </c>
      <c r="N951" s="1">
        <f t="shared" si="499"/>
        <v>0</v>
      </c>
      <c r="O951" s="1">
        <f t="shared" si="500"/>
        <v>0</v>
      </c>
      <c r="P951" s="1">
        <f t="shared" si="501"/>
        <v>11.462535676277271</v>
      </c>
      <c r="Q951" s="1" t="e">
        <f t="shared" si="502"/>
        <v>#DIV/0!</v>
      </c>
      <c r="R951" s="1" t="e">
        <f t="shared" si="503"/>
        <v>#DIV/0!</v>
      </c>
      <c r="S951" s="1" t="e">
        <f t="shared" si="504"/>
        <v>#DIV/0!</v>
      </c>
      <c r="T951" s="1" t="e">
        <f t="shared" si="505"/>
        <v>#DIV/0!</v>
      </c>
      <c r="U951" s="1" t="e">
        <f t="shared" si="506"/>
        <v>#DIV/0!</v>
      </c>
      <c r="V951">
        <f t="shared" si="507"/>
        <v>411.51240947901135</v>
      </c>
      <c r="W951">
        <f t="shared" si="508"/>
        <v>0</v>
      </c>
      <c r="X951">
        <f t="shared" si="509"/>
        <v>0</v>
      </c>
      <c r="Y951">
        <f t="shared" si="510"/>
        <v>0</v>
      </c>
      <c r="Z951">
        <f t="shared" si="511"/>
        <v>0</v>
      </c>
      <c r="AA951">
        <f t="shared" si="512"/>
        <v>0</v>
      </c>
      <c r="AC951">
        <f t="shared" si="513"/>
        <v>503.75142705109084</v>
      </c>
      <c r="AD951">
        <f t="shared" si="514"/>
        <v>0</v>
      </c>
      <c r="AE951">
        <f t="shared" si="515"/>
        <v>0</v>
      </c>
      <c r="AF951">
        <f t="shared" si="516"/>
        <v>0</v>
      </c>
      <c r="AG951">
        <f t="shared" si="517"/>
        <v>0</v>
      </c>
      <c r="AH951">
        <f t="shared" si="518"/>
        <v>0</v>
      </c>
      <c r="AJ951">
        <f t="shared" si="519"/>
        <v>595.98044462317034</v>
      </c>
      <c r="AK951">
        <f t="shared" si="520"/>
        <v>0</v>
      </c>
      <c r="AL951">
        <f t="shared" si="521"/>
        <v>0</v>
      </c>
      <c r="AM951">
        <f t="shared" si="522"/>
        <v>0</v>
      </c>
      <c r="AN951">
        <f t="shared" si="523"/>
        <v>0</v>
      </c>
      <c r="AO951">
        <f t="shared" si="524"/>
        <v>0</v>
      </c>
    </row>
    <row r="952" spans="1:41" x14ac:dyDescent="0.45">
      <c r="A952">
        <v>46.196697460000003</v>
      </c>
      <c r="B952">
        <v>124.141857</v>
      </c>
      <c r="C952">
        <v>55.767822270000003</v>
      </c>
      <c r="D952">
        <v>2.4134340299999999</v>
      </c>
      <c r="E952">
        <f t="shared" si="490"/>
        <v>2.4134340299999999</v>
      </c>
      <c r="F952">
        <f t="shared" si="491"/>
        <v>0</v>
      </c>
      <c r="G952">
        <f t="shared" si="492"/>
        <v>0</v>
      </c>
      <c r="H952">
        <f t="shared" si="493"/>
        <v>0</v>
      </c>
      <c r="I952">
        <f t="shared" si="494"/>
        <v>0</v>
      </c>
      <c r="J952">
        <f t="shared" si="495"/>
        <v>0</v>
      </c>
      <c r="K952" s="1">
        <f t="shared" si="496"/>
        <v>0</v>
      </c>
      <c r="L952" s="1">
        <f t="shared" si="497"/>
        <v>0</v>
      </c>
      <c r="M952" s="1">
        <f t="shared" si="498"/>
        <v>0</v>
      </c>
      <c r="N952" s="1">
        <f t="shared" si="499"/>
        <v>0</v>
      </c>
      <c r="O952" s="1">
        <f t="shared" si="500"/>
        <v>0</v>
      </c>
      <c r="P952" s="1">
        <f t="shared" si="501"/>
        <v>25</v>
      </c>
      <c r="Q952" s="1" t="e">
        <f t="shared" si="502"/>
        <v>#DIV/0!</v>
      </c>
      <c r="R952" s="1" t="e">
        <f t="shared" si="503"/>
        <v>#DIV/0!</v>
      </c>
      <c r="S952" s="1" t="e">
        <f t="shared" si="504"/>
        <v>#DIV/0!</v>
      </c>
      <c r="T952" s="1" t="e">
        <f t="shared" si="505"/>
        <v>#DIV/0!</v>
      </c>
      <c r="U952" s="1" t="e">
        <f t="shared" si="506"/>
        <v>#DIV/0!</v>
      </c>
      <c r="V952">
        <f t="shared" si="507"/>
        <v>851.48</v>
      </c>
      <c r="W952">
        <f t="shared" si="508"/>
        <v>0</v>
      </c>
      <c r="X952">
        <f t="shared" si="509"/>
        <v>0</v>
      </c>
      <c r="Y952">
        <f t="shared" si="510"/>
        <v>0</v>
      </c>
      <c r="Z952">
        <f t="shared" si="511"/>
        <v>0</v>
      </c>
      <c r="AA952">
        <f t="shared" si="512"/>
        <v>0</v>
      </c>
      <c r="AC952">
        <f t="shared" si="513"/>
        <v>1045.25</v>
      </c>
      <c r="AD952">
        <f t="shared" si="514"/>
        <v>0</v>
      </c>
      <c r="AE952">
        <f t="shared" si="515"/>
        <v>0</v>
      </c>
      <c r="AF952">
        <f t="shared" si="516"/>
        <v>0</v>
      </c>
      <c r="AG952">
        <f t="shared" si="517"/>
        <v>0</v>
      </c>
      <c r="AH952">
        <f t="shared" si="518"/>
        <v>0</v>
      </c>
      <c r="AJ952">
        <f t="shared" si="519"/>
        <v>1239.01</v>
      </c>
      <c r="AK952">
        <f t="shared" si="520"/>
        <v>0</v>
      </c>
      <c r="AL952">
        <f t="shared" si="521"/>
        <v>0</v>
      </c>
      <c r="AM952">
        <f t="shared" si="522"/>
        <v>0</v>
      </c>
      <c r="AN952">
        <f t="shared" si="523"/>
        <v>0</v>
      </c>
      <c r="AO952">
        <f t="shared" si="524"/>
        <v>0</v>
      </c>
    </row>
    <row r="953" spans="1:41" x14ac:dyDescent="0.45">
      <c r="A953">
        <v>46.204805280000002</v>
      </c>
      <c r="B953">
        <v>116.58852210000001</v>
      </c>
      <c r="C953">
        <v>6.3704409599999998</v>
      </c>
      <c r="D953">
        <v>8.8339090299999992</v>
      </c>
      <c r="E953">
        <f t="shared" si="490"/>
        <v>6.3704409599999998</v>
      </c>
      <c r="F953">
        <f t="shared" si="491"/>
        <v>0</v>
      </c>
      <c r="G953">
        <f t="shared" si="492"/>
        <v>0</v>
      </c>
      <c r="H953">
        <f t="shared" si="493"/>
        <v>0</v>
      </c>
      <c r="I953">
        <f t="shared" si="494"/>
        <v>0</v>
      </c>
      <c r="J953">
        <f t="shared" si="495"/>
        <v>0</v>
      </c>
      <c r="K953" s="1">
        <f t="shared" si="496"/>
        <v>0</v>
      </c>
      <c r="L953" s="1">
        <f t="shared" si="497"/>
        <v>0</v>
      </c>
      <c r="M953" s="1">
        <f t="shared" si="498"/>
        <v>0</v>
      </c>
      <c r="N953" s="1">
        <f t="shared" si="499"/>
        <v>0</v>
      </c>
      <c r="O953" s="1">
        <f t="shared" si="500"/>
        <v>0</v>
      </c>
      <c r="P953" s="1">
        <f t="shared" si="501"/>
        <v>18.02837491977207</v>
      </c>
      <c r="Q953" s="1" t="e">
        <f t="shared" si="502"/>
        <v>#DIV/0!</v>
      </c>
      <c r="R953" s="1" t="e">
        <f t="shared" si="503"/>
        <v>#DIV/0!</v>
      </c>
      <c r="S953" s="1" t="e">
        <f t="shared" si="504"/>
        <v>#DIV/0!</v>
      </c>
      <c r="T953" s="1" t="e">
        <f t="shared" si="505"/>
        <v>#DIV/0!</v>
      </c>
      <c r="U953" s="1" t="e">
        <f t="shared" si="506"/>
        <v>#DIV/0!</v>
      </c>
      <c r="V953">
        <f t="shared" si="507"/>
        <v>624.90218489259223</v>
      </c>
      <c r="W953">
        <f t="shared" si="508"/>
        <v>0</v>
      </c>
      <c r="X953">
        <f t="shared" si="509"/>
        <v>0</v>
      </c>
      <c r="Y953">
        <f t="shared" si="510"/>
        <v>0</v>
      </c>
      <c r="Z953">
        <f t="shared" si="511"/>
        <v>0</v>
      </c>
      <c r="AA953">
        <f t="shared" si="512"/>
        <v>0</v>
      </c>
      <c r="AC953">
        <f t="shared" si="513"/>
        <v>766.38499679088272</v>
      </c>
      <c r="AD953">
        <f t="shared" si="514"/>
        <v>0</v>
      </c>
      <c r="AE953">
        <f t="shared" si="515"/>
        <v>0</v>
      </c>
      <c r="AF953">
        <f t="shared" si="516"/>
        <v>0</v>
      </c>
      <c r="AG953">
        <f t="shared" si="517"/>
        <v>0</v>
      </c>
      <c r="AH953">
        <f t="shared" si="518"/>
        <v>0</v>
      </c>
      <c r="AJ953">
        <f t="shared" si="519"/>
        <v>907.85780868917334</v>
      </c>
      <c r="AK953">
        <f t="shared" si="520"/>
        <v>0</v>
      </c>
      <c r="AL953">
        <f t="shared" si="521"/>
        <v>0</v>
      </c>
      <c r="AM953">
        <f t="shared" si="522"/>
        <v>0</v>
      </c>
      <c r="AN953">
        <f t="shared" si="523"/>
        <v>0</v>
      </c>
      <c r="AO953">
        <f t="shared" si="524"/>
        <v>0</v>
      </c>
    </row>
    <row r="954" spans="1:41" x14ac:dyDescent="0.45">
      <c r="A954">
        <v>46.221761890000003</v>
      </c>
      <c r="B954">
        <v>123.9503292</v>
      </c>
      <c r="C954">
        <v>55.767822270000003</v>
      </c>
      <c r="D954">
        <v>9.5080999999999999E-2</v>
      </c>
      <c r="E954">
        <f t="shared" si="490"/>
        <v>9.5080999999999999E-2</v>
      </c>
      <c r="F954">
        <f t="shared" si="491"/>
        <v>0</v>
      </c>
      <c r="G954">
        <f t="shared" si="492"/>
        <v>0</v>
      </c>
      <c r="H954">
        <f t="shared" si="493"/>
        <v>0</v>
      </c>
      <c r="I954">
        <f t="shared" si="494"/>
        <v>0</v>
      </c>
      <c r="J954">
        <f t="shared" si="495"/>
        <v>0</v>
      </c>
      <c r="K954" s="1">
        <f t="shared" si="496"/>
        <v>0</v>
      </c>
      <c r="L954" s="1">
        <f t="shared" si="497"/>
        <v>0</v>
      </c>
      <c r="M954" s="1">
        <f t="shared" si="498"/>
        <v>0</v>
      </c>
      <c r="N954" s="1">
        <f t="shared" si="499"/>
        <v>0</v>
      </c>
      <c r="O954" s="1">
        <f t="shared" si="500"/>
        <v>0</v>
      </c>
      <c r="P954" s="1">
        <f t="shared" si="501"/>
        <v>25.000000000000004</v>
      </c>
      <c r="Q954" s="1" t="e">
        <f t="shared" si="502"/>
        <v>#DIV/0!</v>
      </c>
      <c r="R954" s="1" t="e">
        <f t="shared" si="503"/>
        <v>#DIV/0!</v>
      </c>
      <c r="S954" s="1" t="e">
        <f t="shared" si="504"/>
        <v>#DIV/0!</v>
      </c>
      <c r="T954" s="1" t="e">
        <f t="shared" si="505"/>
        <v>#DIV/0!</v>
      </c>
      <c r="U954" s="1" t="e">
        <f t="shared" si="506"/>
        <v>#DIV/0!</v>
      </c>
      <c r="V954">
        <f t="shared" si="507"/>
        <v>851.48000000000013</v>
      </c>
      <c r="W954">
        <f t="shared" si="508"/>
        <v>0</v>
      </c>
      <c r="X954">
        <f t="shared" si="509"/>
        <v>0</v>
      </c>
      <c r="Y954">
        <f t="shared" si="510"/>
        <v>0</v>
      </c>
      <c r="Z954">
        <f t="shared" si="511"/>
        <v>0</v>
      </c>
      <c r="AA954">
        <f t="shared" si="512"/>
        <v>0</v>
      </c>
      <c r="AC954">
        <f t="shared" si="513"/>
        <v>1045.25</v>
      </c>
      <c r="AD954">
        <f t="shared" si="514"/>
        <v>0</v>
      </c>
      <c r="AE954">
        <f t="shared" si="515"/>
        <v>0</v>
      </c>
      <c r="AF954">
        <f t="shared" si="516"/>
        <v>0</v>
      </c>
      <c r="AG954">
        <f t="shared" si="517"/>
        <v>0</v>
      </c>
      <c r="AH954">
        <f t="shared" si="518"/>
        <v>0</v>
      </c>
      <c r="AJ954">
        <f t="shared" si="519"/>
        <v>1239.0100000000002</v>
      </c>
      <c r="AK954">
        <f t="shared" si="520"/>
        <v>0</v>
      </c>
      <c r="AL954">
        <f t="shared" si="521"/>
        <v>0</v>
      </c>
      <c r="AM954">
        <f t="shared" si="522"/>
        <v>0</v>
      </c>
      <c r="AN954">
        <f t="shared" si="523"/>
        <v>0</v>
      </c>
      <c r="AO954">
        <f t="shared" si="524"/>
        <v>0</v>
      </c>
    </row>
    <row r="955" spans="1:41" x14ac:dyDescent="0.45">
      <c r="A955">
        <v>46.25145019</v>
      </c>
      <c r="B955">
        <v>124.4215501</v>
      </c>
      <c r="C955">
        <v>4.5470686000000002</v>
      </c>
      <c r="D955">
        <v>4.3015918700000002</v>
      </c>
      <c r="E955">
        <f t="shared" si="490"/>
        <v>4.3015918700000002</v>
      </c>
      <c r="F955">
        <f t="shared" si="491"/>
        <v>0</v>
      </c>
      <c r="G955">
        <f t="shared" si="492"/>
        <v>0</v>
      </c>
      <c r="H955">
        <f t="shared" si="493"/>
        <v>0</v>
      </c>
      <c r="I955">
        <f t="shared" si="494"/>
        <v>0</v>
      </c>
      <c r="J955">
        <f t="shared" si="495"/>
        <v>0</v>
      </c>
      <c r="K955" s="1">
        <f t="shared" si="496"/>
        <v>0</v>
      </c>
      <c r="L955" s="1">
        <f t="shared" si="497"/>
        <v>0</v>
      </c>
      <c r="M955" s="1">
        <f t="shared" si="498"/>
        <v>0</v>
      </c>
      <c r="N955" s="1">
        <f t="shared" si="499"/>
        <v>0</v>
      </c>
      <c r="O955" s="1">
        <f t="shared" si="500"/>
        <v>0</v>
      </c>
      <c r="P955" s="1">
        <f t="shared" si="501"/>
        <v>25</v>
      </c>
      <c r="Q955" s="1" t="e">
        <f t="shared" si="502"/>
        <v>#DIV/0!</v>
      </c>
      <c r="R955" s="1" t="e">
        <f t="shared" si="503"/>
        <v>#DIV/0!</v>
      </c>
      <c r="S955" s="1" t="e">
        <f t="shared" si="504"/>
        <v>#DIV/0!</v>
      </c>
      <c r="T955" s="1" t="e">
        <f t="shared" si="505"/>
        <v>#DIV/0!</v>
      </c>
      <c r="U955" s="1" t="e">
        <f t="shared" si="506"/>
        <v>#DIV/0!</v>
      </c>
      <c r="V955">
        <f t="shared" si="507"/>
        <v>851.48</v>
      </c>
      <c r="W955">
        <f t="shared" si="508"/>
        <v>0</v>
      </c>
      <c r="X955">
        <f t="shared" si="509"/>
        <v>0</v>
      </c>
      <c r="Y955">
        <f t="shared" si="510"/>
        <v>0</v>
      </c>
      <c r="Z955">
        <f t="shared" si="511"/>
        <v>0</v>
      </c>
      <c r="AA955">
        <f t="shared" si="512"/>
        <v>0</v>
      </c>
      <c r="AC955">
        <f t="shared" si="513"/>
        <v>1045.25</v>
      </c>
      <c r="AD955">
        <f t="shared" si="514"/>
        <v>0</v>
      </c>
      <c r="AE955">
        <f t="shared" si="515"/>
        <v>0</v>
      </c>
      <c r="AF955">
        <f t="shared" si="516"/>
        <v>0</v>
      </c>
      <c r="AG955">
        <f t="shared" si="517"/>
        <v>0</v>
      </c>
      <c r="AH955">
        <f t="shared" si="518"/>
        <v>0</v>
      </c>
      <c r="AJ955">
        <f t="shared" si="519"/>
        <v>1239.01</v>
      </c>
      <c r="AK955">
        <f t="shared" si="520"/>
        <v>0</v>
      </c>
      <c r="AL955">
        <f t="shared" si="521"/>
        <v>0</v>
      </c>
      <c r="AM955">
        <f t="shared" si="522"/>
        <v>0</v>
      </c>
      <c r="AN955">
        <f t="shared" si="523"/>
        <v>0</v>
      </c>
      <c r="AO955">
        <f t="shared" si="524"/>
        <v>0</v>
      </c>
    </row>
    <row r="956" spans="1:41" x14ac:dyDescent="0.45">
      <c r="A956">
        <v>46.312730739999999</v>
      </c>
      <c r="B956">
        <v>124.30606280000001</v>
      </c>
      <c r="C956">
        <v>4.5470686000000002</v>
      </c>
      <c r="D956">
        <v>40.58763123</v>
      </c>
      <c r="E956">
        <f t="shared" si="490"/>
        <v>4.5470686000000002</v>
      </c>
      <c r="F956">
        <f t="shared" si="491"/>
        <v>17.852288229999999</v>
      </c>
      <c r="G956">
        <f t="shared" si="492"/>
        <v>0</v>
      </c>
      <c r="H956">
        <f t="shared" si="493"/>
        <v>0</v>
      </c>
      <c r="I956">
        <f t="shared" si="494"/>
        <v>0</v>
      </c>
      <c r="J956">
        <f t="shared" si="495"/>
        <v>0</v>
      </c>
      <c r="K956" s="1">
        <f t="shared" si="496"/>
        <v>4.5470686000000002</v>
      </c>
      <c r="L956" s="1">
        <f t="shared" si="497"/>
        <v>0</v>
      </c>
      <c r="M956" s="1">
        <f t="shared" si="498"/>
        <v>0</v>
      </c>
      <c r="N956" s="1">
        <f t="shared" si="499"/>
        <v>0</v>
      </c>
      <c r="O956" s="1">
        <f t="shared" si="500"/>
        <v>0</v>
      </c>
      <c r="P956" s="1">
        <f t="shared" si="501"/>
        <v>2.8007723425844282</v>
      </c>
      <c r="Q956" s="1">
        <f t="shared" si="502"/>
        <v>6.3676271375100919</v>
      </c>
      <c r="R956" s="1" t="e">
        <f t="shared" si="503"/>
        <v>#DIV/0!</v>
      </c>
      <c r="S956" s="1" t="e">
        <f t="shared" si="504"/>
        <v>#DIV/0!</v>
      </c>
      <c r="T956" s="1" t="e">
        <f t="shared" si="505"/>
        <v>#DIV/0!</v>
      </c>
      <c r="U956" s="1" t="e">
        <f t="shared" si="506"/>
        <v>#DIV/0!</v>
      </c>
      <c r="V956">
        <f t="shared" si="507"/>
        <v>130.00510113399392</v>
      </c>
      <c r="W956">
        <f t="shared" si="508"/>
        <v>277.77601765662843</v>
      </c>
      <c r="X956">
        <f t="shared" si="509"/>
        <v>0</v>
      </c>
      <c r="Y956">
        <f t="shared" si="510"/>
        <v>0</v>
      </c>
      <c r="Z956">
        <f t="shared" si="511"/>
        <v>0</v>
      </c>
      <c r="AA956">
        <f t="shared" si="512"/>
        <v>0</v>
      </c>
      <c r="AC956">
        <f t="shared" si="513"/>
        <v>157.28089370337713</v>
      </c>
      <c r="AD956">
        <f t="shared" si="514"/>
        <v>277.77601765662843</v>
      </c>
      <c r="AE956">
        <f t="shared" si="515"/>
        <v>0</v>
      </c>
      <c r="AF956">
        <f t="shared" si="516"/>
        <v>0</v>
      </c>
      <c r="AG956">
        <f t="shared" si="517"/>
        <v>0</v>
      </c>
      <c r="AH956">
        <f t="shared" si="518"/>
        <v>0</v>
      </c>
      <c r="AJ956">
        <f t="shared" si="519"/>
        <v>184.54668627276033</v>
      </c>
      <c r="AK956">
        <f t="shared" si="520"/>
        <v>332.48322118795414</v>
      </c>
      <c r="AL956">
        <f t="shared" si="521"/>
        <v>0</v>
      </c>
      <c r="AM956">
        <f t="shared" si="522"/>
        <v>0</v>
      </c>
      <c r="AN956">
        <f t="shared" si="523"/>
        <v>0</v>
      </c>
      <c r="AO956">
        <f t="shared" si="524"/>
        <v>0</v>
      </c>
    </row>
    <row r="957" spans="1:41" x14ac:dyDescent="0.45">
      <c r="A957">
        <v>46.332507409999998</v>
      </c>
      <c r="B957">
        <v>124.8419394</v>
      </c>
      <c r="C957">
        <v>5.3287997200000001</v>
      </c>
      <c r="D957">
        <v>211.63348389999999</v>
      </c>
      <c r="E957">
        <f t="shared" si="490"/>
        <v>5.3287997200000001</v>
      </c>
      <c r="F957">
        <f t="shared" si="491"/>
        <v>184.98948529999998</v>
      </c>
      <c r="G957">
        <f t="shared" si="492"/>
        <v>158.34548669999998</v>
      </c>
      <c r="H957">
        <f t="shared" si="493"/>
        <v>131.70148810000001</v>
      </c>
      <c r="I957">
        <f t="shared" si="494"/>
        <v>105.05748949999999</v>
      </c>
      <c r="J957">
        <f t="shared" si="495"/>
        <v>78.413490899999971</v>
      </c>
      <c r="K957" s="1">
        <f t="shared" si="496"/>
        <v>5.3287997200000001</v>
      </c>
      <c r="L957" s="1">
        <f t="shared" si="497"/>
        <v>5.3287997200000001</v>
      </c>
      <c r="M957" s="1">
        <f t="shared" si="498"/>
        <v>5.3287997200000001</v>
      </c>
      <c r="N957" s="1">
        <f t="shared" si="499"/>
        <v>5.3287997200000001</v>
      </c>
      <c r="O957" s="1">
        <f t="shared" si="500"/>
        <v>5.3287997200000001</v>
      </c>
      <c r="P957" s="1">
        <f t="shared" si="501"/>
        <v>1</v>
      </c>
      <c r="Q957" s="1">
        <f t="shared" si="502"/>
        <v>1</v>
      </c>
      <c r="R957" s="1">
        <f t="shared" si="503"/>
        <v>1</v>
      </c>
      <c r="S957" s="1">
        <f t="shared" si="504"/>
        <v>1.0115298993345241</v>
      </c>
      <c r="T957" s="1">
        <f t="shared" si="505"/>
        <v>1.2680675469596105</v>
      </c>
      <c r="U957" s="1">
        <f t="shared" si="506"/>
        <v>1.6989422543359827</v>
      </c>
      <c r="V957">
        <f t="shared" si="507"/>
        <v>71.48</v>
      </c>
      <c r="W957">
        <f t="shared" si="508"/>
        <v>76.489999999999995</v>
      </c>
      <c r="X957">
        <f t="shared" si="509"/>
        <v>52.428247483363101</v>
      </c>
      <c r="Y957">
        <f t="shared" si="510"/>
        <v>38.330597986690485</v>
      </c>
      <c r="Z957">
        <f t="shared" si="511"/>
        <v>36.811182071793183</v>
      </c>
      <c r="AA957">
        <f t="shared" si="512"/>
        <v>42.261489450879694</v>
      </c>
      <c r="AC957">
        <f t="shared" si="513"/>
        <v>85.25</v>
      </c>
      <c r="AD957">
        <f t="shared" si="514"/>
        <v>76.489999999999995</v>
      </c>
      <c r="AE957">
        <f t="shared" si="515"/>
        <v>64.17</v>
      </c>
      <c r="AF957">
        <f t="shared" si="516"/>
        <v>50.185896980035722</v>
      </c>
      <c r="AG957">
        <f t="shared" si="517"/>
        <v>48.608067546959617</v>
      </c>
      <c r="AH957">
        <f t="shared" si="518"/>
        <v>58.833556358399569</v>
      </c>
      <c r="AJ957">
        <f t="shared" si="519"/>
        <v>99.009999999999991</v>
      </c>
      <c r="AK957">
        <f t="shared" si="520"/>
        <v>90.94</v>
      </c>
      <c r="AL957">
        <f t="shared" si="521"/>
        <v>78.7</v>
      </c>
      <c r="AM957">
        <f t="shared" si="522"/>
        <v>67.862371225044654</v>
      </c>
      <c r="AN957">
        <f t="shared" si="523"/>
        <v>72.612533010985388</v>
      </c>
      <c r="AO957">
        <f t="shared" si="524"/>
        <v>79.652978901759397</v>
      </c>
    </row>
    <row r="958" spans="1:41" x14ac:dyDescent="0.45">
      <c r="A958">
        <v>46.396265270000001</v>
      </c>
      <c r="B958">
        <v>117.60257540000001</v>
      </c>
      <c r="C958">
        <v>6.3704409599999998</v>
      </c>
      <c r="D958">
        <v>2.6204099699999999</v>
      </c>
      <c r="E958">
        <f t="shared" si="490"/>
        <v>2.6204099699999999</v>
      </c>
      <c r="F958">
        <f t="shared" si="491"/>
        <v>0</v>
      </c>
      <c r="G958">
        <f t="shared" si="492"/>
        <v>0</v>
      </c>
      <c r="H958">
        <f t="shared" si="493"/>
        <v>0</v>
      </c>
      <c r="I958">
        <f t="shared" si="494"/>
        <v>0</v>
      </c>
      <c r="J958">
        <f t="shared" si="495"/>
        <v>0</v>
      </c>
      <c r="K958" s="1">
        <f t="shared" si="496"/>
        <v>0</v>
      </c>
      <c r="L958" s="1">
        <f t="shared" si="497"/>
        <v>0</v>
      </c>
      <c r="M958" s="1">
        <f t="shared" si="498"/>
        <v>0</v>
      </c>
      <c r="N958" s="1">
        <f t="shared" si="499"/>
        <v>0</v>
      </c>
      <c r="O958" s="1">
        <f t="shared" si="500"/>
        <v>0</v>
      </c>
      <c r="P958" s="1">
        <f t="shared" si="501"/>
        <v>25</v>
      </c>
      <c r="Q958" s="1" t="e">
        <f t="shared" si="502"/>
        <v>#DIV/0!</v>
      </c>
      <c r="R958" s="1" t="e">
        <f t="shared" si="503"/>
        <v>#DIV/0!</v>
      </c>
      <c r="S958" s="1" t="e">
        <f t="shared" si="504"/>
        <v>#DIV/0!</v>
      </c>
      <c r="T958" s="1" t="e">
        <f t="shared" si="505"/>
        <v>#DIV/0!</v>
      </c>
      <c r="U958" s="1" t="e">
        <f t="shared" si="506"/>
        <v>#DIV/0!</v>
      </c>
      <c r="V958">
        <f t="shared" si="507"/>
        <v>851.48</v>
      </c>
      <c r="W958">
        <f t="shared" si="508"/>
        <v>0</v>
      </c>
      <c r="X958">
        <f t="shared" si="509"/>
        <v>0</v>
      </c>
      <c r="Y958">
        <f t="shared" si="510"/>
        <v>0</v>
      </c>
      <c r="Z958">
        <f t="shared" si="511"/>
        <v>0</v>
      </c>
      <c r="AA958">
        <f t="shared" si="512"/>
        <v>0</v>
      </c>
      <c r="AC958">
        <f t="shared" si="513"/>
        <v>1045.25</v>
      </c>
      <c r="AD958">
        <f t="shared" si="514"/>
        <v>0</v>
      </c>
      <c r="AE958">
        <f t="shared" si="515"/>
        <v>0</v>
      </c>
      <c r="AF958">
        <f t="shared" si="516"/>
        <v>0</v>
      </c>
      <c r="AG958">
        <f t="shared" si="517"/>
        <v>0</v>
      </c>
      <c r="AH958">
        <f t="shared" si="518"/>
        <v>0</v>
      </c>
      <c r="AJ958">
        <f t="shared" si="519"/>
        <v>1239.01</v>
      </c>
      <c r="AK958">
        <f t="shared" si="520"/>
        <v>0</v>
      </c>
      <c r="AL958">
        <f t="shared" si="521"/>
        <v>0</v>
      </c>
      <c r="AM958">
        <f t="shared" si="522"/>
        <v>0</v>
      </c>
      <c r="AN958">
        <f t="shared" si="523"/>
        <v>0</v>
      </c>
      <c r="AO958">
        <f t="shared" si="524"/>
        <v>0</v>
      </c>
    </row>
    <row r="959" spans="1:41" x14ac:dyDescent="0.45">
      <c r="A959">
        <v>46.455619259999999</v>
      </c>
      <c r="B959">
        <v>124.61124390000001</v>
      </c>
      <c r="C959">
        <v>4.5470686000000002</v>
      </c>
      <c r="D959">
        <v>1.38860798</v>
      </c>
      <c r="E959">
        <f t="shared" si="490"/>
        <v>1.38860798</v>
      </c>
      <c r="F959">
        <f t="shared" si="491"/>
        <v>0</v>
      </c>
      <c r="G959">
        <f t="shared" si="492"/>
        <v>0</v>
      </c>
      <c r="H959">
        <f t="shared" si="493"/>
        <v>0</v>
      </c>
      <c r="I959">
        <f t="shared" si="494"/>
        <v>0</v>
      </c>
      <c r="J959">
        <f t="shared" si="495"/>
        <v>0</v>
      </c>
      <c r="K959" s="1">
        <f t="shared" si="496"/>
        <v>0</v>
      </c>
      <c r="L959" s="1">
        <f t="shared" si="497"/>
        <v>0</v>
      </c>
      <c r="M959" s="1">
        <f t="shared" si="498"/>
        <v>0</v>
      </c>
      <c r="N959" s="1">
        <f t="shared" si="499"/>
        <v>0</v>
      </c>
      <c r="O959" s="1">
        <f t="shared" si="500"/>
        <v>0</v>
      </c>
      <c r="P959" s="1">
        <f t="shared" si="501"/>
        <v>25</v>
      </c>
      <c r="Q959" s="1" t="e">
        <f t="shared" si="502"/>
        <v>#DIV/0!</v>
      </c>
      <c r="R959" s="1" t="e">
        <f t="shared" si="503"/>
        <v>#DIV/0!</v>
      </c>
      <c r="S959" s="1" t="e">
        <f t="shared" si="504"/>
        <v>#DIV/0!</v>
      </c>
      <c r="T959" s="1" t="e">
        <f t="shared" si="505"/>
        <v>#DIV/0!</v>
      </c>
      <c r="U959" s="1" t="e">
        <f t="shared" si="506"/>
        <v>#DIV/0!</v>
      </c>
      <c r="V959">
        <f t="shared" si="507"/>
        <v>851.48</v>
      </c>
      <c r="W959">
        <f t="shared" si="508"/>
        <v>0</v>
      </c>
      <c r="X959">
        <f t="shared" si="509"/>
        <v>0</v>
      </c>
      <c r="Y959">
        <f t="shared" si="510"/>
        <v>0</v>
      </c>
      <c r="Z959">
        <f t="shared" si="511"/>
        <v>0</v>
      </c>
      <c r="AA959">
        <f t="shared" si="512"/>
        <v>0</v>
      </c>
      <c r="AC959">
        <f t="shared" si="513"/>
        <v>1045.25</v>
      </c>
      <c r="AD959">
        <f t="shared" si="514"/>
        <v>0</v>
      </c>
      <c r="AE959">
        <f t="shared" si="515"/>
        <v>0</v>
      </c>
      <c r="AF959">
        <f t="shared" si="516"/>
        <v>0</v>
      </c>
      <c r="AG959">
        <f t="shared" si="517"/>
        <v>0</v>
      </c>
      <c r="AH959">
        <f t="shared" si="518"/>
        <v>0</v>
      </c>
      <c r="AJ959">
        <f t="shared" si="519"/>
        <v>1239.01</v>
      </c>
      <c r="AK959">
        <f t="shared" si="520"/>
        <v>0</v>
      </c>
      <c r="AL959">
        <f t="shared" si="521"/>
        <v>0</v>
      </c>
      <c r="AM959">
        <f t="shared" si="522"/>
        <v>0</v>
      </c>
      <c r="AN959">
        <f t="shared" si="523"/>
        <v>0</v>
      </c>
      <c r="AO959">
        <f t="shared" si="524"/>
        <v>0</v>
      </c>
    </row>
    <row r="960" spans="1:41" x14ac:dyDescent="0.45">
      <c r="A960">
        <v>46.499850989999999</v>
      </c>
      <c r="B960">
        <v>124.62370420000001</v>
      </c>
      <c r="C960">
        <v>3.6697926500000002</v>
      </c>
      <c r="D960">
        <v>0.20250398999999999</v>
      </c>
      <c r="E960">
        <f t="shared" si="490"/>
        <v>0.20250398999999999</v>
      </c>
      <c r="F960">
        <f t="shared" si="491"/>
        <v>0</v>
      </c>
      <c r="G960">
        <f t="shared" si="492"/>
        <v>0</v>
      </c>
      <c r="H960">
        <f t="shared" si="493"/>
        <v>0</v>
      </c>
      <c r="I960">
        <f t="shared" si="494"/>
        <v>0</v>
      </c>
      <c r="J960">
        <f t="shared" si="495"/>
        <v>0</v>
      </c>
      <c r="K960" s="1">
        <f t="shared" si="496"/>
        <v>0</v>
      </c>
      <c r="L960" s="1">
        <f t="shared" si="497"/>
        <v>0</v>
      </c>
      <c r="M960" s="1">
        <f t="shared" si="498"/>
        <v>0</v>
      </c>
      <c r="N960" s="1">
        <f t="shared" si="499"/>
        <v>0</v>
      </c>
      <c r="O960" s="1">
        <f t="shared" si="500"/>
        <v>0</v>
      </c>
      <c r="P960" s="1">
        <f t="shared" si="501"/>
        <v>24.999999999999996</v>
      </c>
      <c r="Q960" s="1" t="e">
        <f t="shared" si="502"/>
        <v>#DIV/0!</v>
      </c>
      <c r="R960" s="1" t="e">
        <f t="shared" si="503"/>
        <v>#DIV/0!</v>
      </c>
      <c r="S960" s="1" t="e">
        <f t="shared" si="504"/>
        <v>#DIV/0!</v>
      </c>
      <c r="T960" s="1" t="e">
        <f t="shared" si="505"/>
        <v>#DIV/0!</v>
      </c>
      <c r="U960" s="1" t="e">
        <f t="shared" si="506"/>
        <v>#DIV/0!</v>
      </c>
      <c r="V960">
        <f t="shared" si="507"/>
        <v>851.4799999999999</v>
      </c>
      <c r="W960">
        <f t="shared" si="508"/>
        <v>0</v>
      </c>
      <c r="X960">
        <f t="shared" si="509"/>
        <v>0</v>
      </c>
      <c r="Y960">
        <f t="shared" si="510"/>
        <v>0</v>
      </c>
      <c r="Z960">
        <f t="shared" si="511"/>
        <v>0</v>
      </c>
      <c r="AA960">
        <f t="shared" si="512"/>
        <v>0</v>
      </c>
      <c r="AC960">
        <f t="shared" si="513"/>
        <v>1045.25</v>
      </c>
      <c r="AD960">
        <f t="shared" si="514"/>
        <v>0</v>
      </c>
      <c r="AE960">
        <f t="shared" si="515"/>
        <v>0</v>
      </c>
      <c r="AF960">
        <f t="shared" si="516"/>
        <v>0</v>
      </c>
      <c r="AG960">
        <f t="shared" si="517"/>
        <v>0</v>
      </c>
      <c r="AH960">
        <f t="shared" si="518"/>
        <v>0</v>
      </c>
      <c r="AJ960">
        <f t="shared" si="519"/>
        <v>1239.0099999999998</v>
      </c>
      <c r="AK960">
        <f t="shared" si="520"/>
        <v>0</v>
      </c>
      <c r="AL960">
        <f t="shared" si="521"/>
        <v>0</v>
      </c>
      <c r="AM960">
        <f t="shared" si="522"/>
        <v>0</v>
      </c>
      <c r="AN960">
        <f t="shared" si="523"/>
        <v>0</v>
      </c>
      <c r="AO960">
        <f t="shared" si="524"/>
        <v>0</v>
      </c>
    </row>
    <row r="961" spans="1:41" x14ac:dyDescent="0.45">
      <c r="A961">
        <v>46.508446419999999</v>
      </c>
      <c r="B961">
        <v>124.5596493</v>
      </c>
      <c r="C961">
        <v>3.6697926500000002</v>
      </c>
      <c r="D961">
        <v>4.9010999999999999E-2</v>
      </c>
      <c r="E961">
        <f t="shared" si="490"/>
        <v>4.9010999999999999E-2</v>
      </c>
      <c r="F961">
        <f t="shared" si="491"/>
        <v>0</v>
      </c>
      <c r="G961">
        <f t="shared" si="492"/>
        <v>0</v>
      </c>
      <c r="H961">
        <f t="shared" si="493"/>
        <v>0</v>
      </c>
      <c r="I961">
        <f t="shared" si="494"/>
        <v>0</v>
      </c>
      <c r="J961">
        <f t="shared" si="495"/>
        <v>0</v>
      </c>
      <c r="K961" s="1">
        <f t="shared" si="496"/>
        <v>0</v>
      </c>
      <c r="L961" s="1">
        <f t="shared" si="497"/>
        <v>0</v>
      </c>
      <c r="M961" s="1">
        <f t="shared" si="498"/>
        <v>0</v>
      </c>
      <c r="N961" s="1">
        <f t="shared" si="499"/>
        <v>0</v>
      </c>
      <c r="O961" s="1">
        <f t="shared" si="500"/>
        <v>0</v>
      </c>
      <c r="P961" s="1">
        <f t="shared" si="501"/>
        <v>25</v>
      </c>
      <c r="Q961" s="1" t="e">
        <f t="shared" si="502"/>
        <v>#DIV/0!</v>
      </c>
      <c r="R961" s="1" t="e">
        <f t="shared" si="503"/>
        <v>#DIV/0!</v>
      </c>
      <c r="S961" s="1" t="e">
        <f t="shared" si="504"/>
        <v>#DIV/0!</v>
      </c>
      <c r="T961" s="1" t="e">
        <f t="shared" si="505"/>
        <v>#DIV/0!</v>
      </c>
      <c r="U961" s="1" t="e">
        <f t="shared" si="506"/>
        <v>#DIV/0!</v>
      </c>
      <c r="V961">
        <f t="shared" si="507"/>
        <v>851.48</v>
      </c>
      <c r="W961">
        <f t="shared" si="508"/>
        <v>0</v>
      </c>
      <c r="X961">
        <f t="shared" si="509"/>
        <v>0</v>
      </c>
      <c r="Y961">
        <f t="shared" si="510"/>
        <v>0</v>
      </c>
      <c r="Z961">
        <f t="shared" si="511"/>
        <v>0</v>
      </c>
      <c r="AA961">
        <f t="shared" si="512"/>
        <v>0</v>
      </c>
      <c r="AC961">
        <f t="shared" si="513"/>
        <v>1045.25</v>
      </c>
      <c r="AD961">
        <f t="shared" si="514"/>
        <v>0</v>
      </c>
      <c r="AE961">
        <f t="shared" si="515"/>
        <v>0</v>
      </c>
      <c r="AF961">
        <f t="shared" si="516"/>
        <v>0</v>
      </c>
      <c r="AG961">
        <f t="shared" si="517"/>
        <v>0</v>
      </c>
      <c r="AH961">
        <f t="shared" si="518"/>
        <v>0</v>
      </c>
      <c r="AJ961">
        <f t="shared" si="519"/>
        <v>1239.01</v>
      </c>
      <c r="AK961">
        <f t="shared" si="520"/>
        <v>0</v>
      </c>
      <c r="AL961">
        <f t="shared" si="521"/>
        <v>0</v>
      </c>
      <c r="AM961">
        <f t="shared" si="522"/>
        <v>0</v>
      </c>
      <c r="AN961">
        <f t="shared" si="523"/>
        <v>0</v>
      </c>
      <c r="AO961">
        <f t="shared" si="524"/>
        <v>0</v>
      </c>
    </row>
    <row r="962" spans="1:41" x14ac:dyDescent="0.45">
      <c r="A962">
        <v>46.515137160000002</v>
      </c>
      <c r="B962">
        <v>124.1628022</v>
      </c>
      <c r="C962">
        <v>4.5470686000000002</v>
      </c>
      <c r="D962">
        <v>1.7568229399999999</v>
      </c>
      <c r="E962">
        <f t="shared" si="490"/>
        <v>1.7568229399999999</v>
      </c>
      <c r="F962">
        <f t="shared" si="491"/>
        <v>0</v>
      </c>
      <c r="G962">
        <f t="shared" si="492"/>
        <v>0</v>
      </c>
      <c r="H962">
        <f t="shared" si="493"/>
        <v>0</v>
      </c>
      <c r="I962">
        <f t="shared" si="494"/>
        <v>0</v>
      </c>
      <c r="J962">
        <f t="shared" si="495"/>
        <v>0</v>
      </c>
      <c r="K962" s="1">
        <f t="shared" si="496"/>
        <v>0</v>
      </c>
      <c r="L962" s="1">
        <f t="shared" si="497"/>
        <v>0</v>
      </c>
      <c r="M962" s="1">
        <f t="shared" si="498"/>
        <v>0</v>
      </c>
      <c r="N962" s="1">
        <f t="shared" si="499"/>
        <v>0</v>
      </c>
      <c r="O962" s="1">
        <f t="shared" si="500"/>
        <v>0</v>
      </c>
      <c r="P962" s="1">
        <f t="shared" si="501"/>
        <v>25</v>
      </c>
      <c r="Q962" s="1" t="e">
        <f t="shared" si="502"/>
        <v>#DIV/0!</v>
      </c>
      <c r="R962" s="1" t="e">
        <f t="shared" si="503"/>
        <v>#DIV/0!</v>
      </c>
      <c r="S962" s="1" t="e">
        <f t="shared" si="504"/>
        <v>#DIV/0!</v>
      </c>
      <c r="T962" s="1" t="e">
        <f t="shared" si="505"/>
        <v>#DIV/0!</v>
      </c>
      <c r="U962" s="1" t="e">
        <f t="shared" si="506"/>
        <v>#DIV/0!</v>
      </c>
      <c r="V962">
        <f t="shared" si="507"/>
        <v>851.48</v>
      </c>
      <c r="W962">
        <f t="shared" si="508"/>
        <v>0</v>
      </c>
      <c r="X962">
        <f t="shared" si="509"/>
        <v>0</v>
      </c>
      <c r="Y962">
        <f t="shared" si="510"/>
        <v>0</v>
      </c>
      <c r="Z962">
        <f t="shared" si="511"/>
        <v>0</v>
      </c>
      <c r="AA962">
        <f t="shared" si="512"/>
        <v>0</v>
      </c>
      <c r="AC962">
        <f t="shared" si="513"/>
        <v>1045.25</v>
      </c>
      <c r="AD962">
        <f t="shared" si="514"/>
        <v>0</v>
      </c>
      <c r="AE962">
        <f t="shared" si="515"/>
        <v>0</v>
      </c>
      <c r="AF962">
        <f t="shared" si="516"/>
        <v>0</v>
      </c>
      <c r="AG962">
        <f t="shared" si="517"/>
        <v>0</v>
      </c>
      <c r="AH962">
        <f t="shared" si="518"/>
        <v>0</v>
      </c>
      <c r="AJ962">
        <f t="shared" si="519"/>
        <v>1239.01</v>
      </c>
      <c r="AK962">
        <f t="shared" si="520"/>
        <v>0</v>
      </c>
      <c r="AL962">
        <f t="shared" si="521"/>
        <v>0</v>
      </c>
      <c r="AM962">
        <f t="shared" si="522"/>
        <v>0</v>
      </c>
      <c r="AN962">
        <f t="shared" si="523"/>
        <v>0</v>
      </c>
      <c r="AO962">
        <f t="shared" si="524"/>
        <v>0</v>
      </c>
    </row>
    <row r="963" spans="1:41" x14ac:dyDescent="0.45">
      <c r="A963">
        <v>46.544826810000004</v>
      </c>
      <c r="B963">
        <v>124.9691073</v>
      </c>
      <c r="C963">
        <v>5.3287997200000001</v>
      </c>
      <c r="D963">
        <v>612.26196289999996</v>
      </c>
      <c r="E963">
        <f t="shared" ref="E963:E981" si="525">MIN(C963,D963)</f>
        <v>5.3287997200000001</v>
      </c>
      <c r="F963">
        <f t="shared" ref="F963:F981" si="526">MAX(0,(D963-(C963*(2030-2025))))</f>
        <v>585.61796429999993</v>
      </c>
      <c r="G963">
        <f t="shared" ref="G963:G981" si="527">MAX(0,(D963-(C963*(2035-2025))))</f>
        <v>558.97396570000001</v>
      </c>
      <c r="H963">
        <f t="shared" ref="H963:H981" si="528">MAX(0,(D963-(C963*(2040-2025))))</f>
        <v>532.32996709999998</v>
      </c>
      <c r="I963">
        <f t="shared" ref="I963:I981" si="529">MAX(0,(D963-(C963*(2045-2025))))</f>
        <v>505.68596849999994</v>
      </c>
      <c r="J963">
        <f t="shared" ref="J963:J981" si="530">MAX(0,(D963-(C963*(2050-2025))))</f>
        <v>479.04196989999991</v>
      </c>
      <c r="K963" s="1">
        <f t="shared" ref="K963:K981" si="531">MIN(E963,F963)</f>
        <v>5.3287997200000001</v>
      </c>
      <c r="L963" s="1">
        <f t="shared" ref="L963:L981" si="532">MIN(E963,G963)</f>
        <v>5.3287997200000001</v>
      </c>
      <c r="M963" s="1">
        <f t="shared" ref="M963:M981" si="533">MIN(E963,H963)</f>
        <v>5.3287997200000001</v>
      </c>
      <c r="N963" s="1">
        <f t="shared" ref="N963:N981" si="534">MIN(E963,I963)</f>
        <v>5.3287997200000001</v>
      </c>
      <c r="O963" s="1">
        <f t="shared" ref="O963:O981" si="535">MIN(E963,J963)</f>
        <v>5.3287997200000001</v>
      </c>
      <c r="P963" s="1">
        <f t="shared" ref="P963:P981" si="536">MAX(1,((25*E963)/D963))</f>
        <v>1</v>
      </c>
      <c r="Q963" s="1">
        <f t="shared" ref="Q963:Q981" si="537">MAX(1, ((25*K963)/F963))</f>
        <v>1</v>
      </c>
      <c r="R963" s="1">
        <f t="shared" ref="R963:R981" si="538">MAX(1, ((25*L963)/G963))</f>
        <v>1</v>
      </c>
      <c r="S963" s="1">
        <f t="shared" ref="S963:S981" si="539">MAX(1, ((25*M963)/H963))</f>
        <v>1</v>
      </c>
      <c r="T963" s="1">
        <f t="shared" ref="T963:T981" si="540">MAX(1, ((25*N963)/I963))</f>
        <v>1</v>
      </c>
      <c r="U963" s="1">
        <f t="shared" ref="U963:U981" si="541">MAX(1, ((25*O963)/J963))</f>
        <v>1</v>
      </c>
      <c r="V963">
        <f t="shared" ref="V963:V981" si="542">(32.02+6.96+(0.13*250*P963))</f>
        <v>71.48</v>
      </c>
      <c r="W963">
        <f t="shared" ref="W963:W981" si="543">IF(F963&gt;0,(32.72+6.27+(0.15*250*Q963)),F963)</f>
        <v>76.489999999999995</v>
      </c>
      <c r="X963">
        <f t="shared" ref="X963:X981" si="544">IF(G963&gt;0,(22.27+4.87+(0.1*250*S963)),G963)</f>
        <v>52.14</v>
      </c>
      <c r="Y963">
        <f t="shared" ref="Y963:Y981" si="545">IF(H963&gt;0,(13.92+4.18+(0.08*250*S963)),H963)</f>
        <v>38.1</v>
      </c>
      <c r="Z963">
        <f t="shared" ref="Z963:Z981" si="546">IF(I963&gt;0,(11.14+3.48+(0.07*250*T963)),I963)</f>
        <v>32.120000000000005</v>
      </c>
      <c r="AA963">
        <f t="shared" ref="AA963:AA981" si="547">IF(J963&gt;0,(9.75+2.78+(0.07*250*U963)),J963)</f>
        <v>30.03</v>
      </c>
      <c r="AC963">
        <f t="shared" ref="AC963:AC981" si="548">IF(D963&gt;0,(37.59+7.66+(0.16*250*P963)),D963)</f>
        <v>85.25</v>
      </c>
      <c r="AD963">
        <f t="shared" ref="AD963:AD981" si="549">IF(F963&gt;0,(32.72+6.27+(0.15*250*Q963)),F963)</f>
        <v>76.489999999999995</v>
      </c>
      <c r="AE963">
        <f t="shared" ref="AE963:AE981" si="550">IF(G963&gt;0,(26.45+5.22+(0.13*250*R963)),G963)</f>
        <v>64.17</v>
      </c>
      <c r="AF963">
        <f t="shared" ref="AF963:AF981" si="551">IF(H963&gt;0,(15.31+4.53+(0.12*250*S963)),H963)</f>
        <v>49.84</v>
      </c>
      <c r="AG963">
        <f t="shared" ref="AG963:AG981" si="552">IF(I963&gt;0,(16.01+3.83+(0.11*250+T963)),I963)</f>
        <v>48.34</v>
      </c>
      <c r="AH963">
        <f t="shared" ref="AH963:AH981" si="553">IF(J963,(13.23+3.13+(0.1*250*U963)),J963)</f>
        <v>41.36</v>
      </c>
      <c r="AJ963">
        <f t="shared" ref="AJ963:AJ981" si="554">(43.16+8.35+(0.19*250*P963))</f>
        <v>99.009999999999991</v>
      </c>
      <c r="AK963">
        <f t="shared" ref="AK963:AK981" si="555">IF(F963&gt;0,(38.98+6.96+(0.18*250*Q963)),F963)</f>
        <v>90.94</v>
      </c>
      <c r="AL963">
        <f t="shared" ref="AL963:AL981" si="556">IF(G963&gt;0,(30.63+5.57+(0.17*250*R963)),G963)</f>
        <v>78.7</v>
      </c>
      <c r="AM963">
        <f t="shared" ref="AM963:AM981" si="557">IF(H963&gt;0,(25.06+4.87+(0.15*250*S963)),H963)</f>
        <v>67.430000000000007</v>
      </c>
      <c r="AN963">
        <f t="shared" ref="AN963:AN981" si="558">IF(I963&gt;0,(20.88+4.18+(0.15*250*T963)),I963)</f>
        <v>62.56</v>
      </c>
      <c r="AO963">
        <f t="shared" ref="AO963:AO981" si="559">IF(J963,(16.71+3.48+(0.14*250*U963)),J963)</f>
        <v>55.19</v>
      </c>
    </row>
    <row r="964" spans="1:41" x14ac:dyDescent="0.45">
      <c r="A964">
        <v>46.620408670000003</v>
      </c>
      <c r="B964">
        <v>124.0587314</v>
      </c>
      <c r="C964">
        <v>4.5470686000000002</v>
      </c>
      <c r="D964">
        <v>0.184725</v>
      </c>
      <c r="E964">
        <f t="shared" si="525"/>
        <v>0.184725</v>
      </c>
      <c r="F964">
        <f t="shared" si="526"/>
        <v>0</v>
      </c>
      <c r="G964">
        <f t="shared" si="527"/>
        <v>0</v>
      </c>
      <c r="H964">
        <f t="shared" si="528"/>
        <v>0</v>
      </c>
      <c r="I964">
        <f t="shared" si="529"/>
        <v>0</v>
      </c>
      <c r="J964">
        <f t="shared" si="530"/>
        <v>0</v>
      </c>
      <c r="K964" s="1">
        <f t="shared" si="531"/>
        <v>0</v>
      </c>
      <c r="L964" s="1">
        <f t="shared" si="532"/>
        <v>0</v>
      </c>
      <c r="M964" s="1">
        <f t="shared" si="533"/>
        <v>0</v>
      </c>
      <c r="N964" s="1">
        <f t="shared" si="534"/>
        <v>0</v>
      </c>
      <c r="O964" s="1">
        <f t="shared" si="535"/>
        <v>0</v>
      </c>
      <c r="P964" s="1">
        <f t="shared" si="536"/>
        <v>25</v>
      </c>
      <c r="Q964" s="1" t="e">
        <f t="shared" si="537"/>
        <v>#DIV/0!</v>
      </c>
      <c r="R964" s="1" t="e">
        <f t="shared" si="538"/>
        <v>#DIV/0!</v>
      </c>
      <c r="S964" s="1" t="e">
        <f t="shared" si="539"/>
        <v>#DIV/0!</v>
      </c>
      <c r="T964" s="1" t="e">
        <f t="shared" si="540"/>
        <v>#DIV/0!</v>
      </c>
      <c r="U964" s="1" t="e">
        <f t="shared" si="541"/>
        <v>#DIV/0!</v>
      </c>
      <c r="V964">
        <f t="shared" si="542"/>
        <v>851.48</v>
      </c>
      <c r="W964">
        <f t="shared" si="543"/>
        <v>0</v>
      </c>
      <c r="X964">
        <f t="shared" si="544"/>
        <v>0</v>
      </c>
      <c r="Y964">
        <f t="shared" si="545"/>
        <v>0</v>
      </c>
      <c r="Z964">
        <f t="shared" si="546"/>
        <v>0</v>
      </c>
      <c r="AA964">
        <f t="shared" si="547"/>
        <v>0</v>
      </c>
      <c r="AC964">
        <f t="shared" si="548"/>
        <v>1045.25</v>
      </c>
      <c r="AD964">
        <f t="shared" si="549"/>
        <v>0</v>
      </c>
      <c r="AE964">
        <f t="shared" si="550"/>
        <v>0</v>
      </c>
      <c r="AF964">
        <f t="shared" si="551"/>
        <v>0</v>
      </c>
      <c r="AG964">
        <f t="shared" si="552"/>
        <v>0</v>
      </c>
      <c r="AH964">
        <f t="shared" si="553"/>
        <v>0</v>
      </c>
      <c r="AJ964">
        <f t="shared" si="554"/>
        <v>1239.01</v>
      </c>
      <c r="AK964">
        <f t="shared" si="555"/>
        <v>0</v>
      </c>
      <c r="AL964">
        <f t="shared" si="556"/>
        <v>0</v>
      </c>
      <c r="AM964">
        <f t="shared" si="557"/>
        <v>0</v>
      </c>
      <c r="AN964">
        <f t="shared" si="558"/>
        <v>0</v>
      </c>
      <c r="AO964">
        <f t="shared" si="559"/>
        <v>0</v>
      </c>
    </row>
    <row r="965" spans="1:41" x14ac:dyDescent="0.45">
      <c r="A965">
        <v>46.622529270000001</v>
      </c>
      <c r="B965">
        <v>124.39202950000001</v>
      </c>
      <c r="C965">
        <v>4.5470686000000002</v>
      </c>
      <c r="D965">
        <v>0.31957500999999999</v>
      </c>
      <c r="E965">
        <f t="shared" si="525"/>
        <v>0.31957500999999999</v>
      </c>
      <c r="F965">
        <f t="shared" si="526"/>
        <v>0</v>
      </c>
      <c r="G965">
        <f t="shared" si="527"/>
        <v>0</v>
      </c>
      <c r="H965">
        <f t="shared" si="528"/>
        <v>0</v>
      </c>
      <c r="I965">
        <f t="shared" si="529"/>
        <v>0</v>
      </c>
      <c r="J965">
        <f t="shared" si="530"/>
        <v>0</v>
      </c>
      <c r="K965" s="1">
        <f t="shared" si="531"/>
        <v>0</v>
      </c>
      <c r="L965" s="1">
        <f t="shared" si="532"/>
        <v>0</v>
      </c>
      <c r="M965" s="1">
        <f t="shared" si="533"/>
        <v>0</v>
      </c>
      <c r="N965" s="1">
        <f t="shared" si="534"/>
        <v>0</v>
      </c>
      <c r="O965" s="1">
        <f t="shared" si="535"/>
        <v>0</v>
      </c>
      <c r="P965" s="1">
        <f t="shared" si="536"/>
        <v>25</v>
      </c>
      <c r="Q965" s="1" t="e">
        <f t="shared" si="537"/>
        <v>#DIV/0!</v>
      </c>
      <c r="R965" s="1" t="e">
        <f t="shared" si="538"/>
        <v>#DIV/0!</v>
      </c>
      <c r="S965" s="1" t="e">
        <f t="shared" si="539"/>
        <v>#DIV/0!</v>
      </c>
      <c r="T965" s="1" t="e">
        <f t="shared" si="540"/>
        <v>#DIV/0!</v>
      </c>
      <c r="U965" s="1" t="e">
        <f t="shared" si="541"/>
        <v>#DIV/0!</v>
      </c>
      <c r="V965">
        <f t="shared" si="542"/>
        <v>851.48</v>
      </c>
      <c r="W965">
        <f t="shared" si="543"/>
        <v>0</v>
      </c>
      <c r="X965">
        <f t="shared" si="544"/>
        <v>0</v>
      </c>
      <c r="Y965">
        <f t="shared" si="545"/>
        <v>0</v>
      </c>
      <c r="Z965">
        <f t="shared" si="546"/>
        <v>0</v>
      </c>
      <c r="AA965">
        <f t="shared" si="547"/>
        <v>0</v>
      </c>
      <c r="AC965">
        <f t="shared" si="548"/>
        <v>1045.25</v>
      </c>
      <c r="AD965">
        <f t="shared" si="549"/>
        <v>0</v>
      </c>
      <c r="AE965">
        <f t="shared" si="550"/>
        <v>0</v>
      </c>
      <c r="AF965">
        <f t="shared" si="551"/>
        <v>0</v>
      </c>
      <c r="AG965">
        <f t="shared" si="552"/>
        <v>0</v>
      </c>
      <c r="AH965">
        <f t="shared" si="553"/>
        <v>0</v>
      </c>
      <c r="AJ965">
        <f t="shared" si="554"/>
        <v>1239.01</v>
      </c>
      <c r="AK965">
        <f t="shared" si="555"/>
        <v>0</v>
      </c>
      <c r="AL965">
        <f t="shared" si="556"/>
        <v>0</v>
      </c>
      <c r="AM965">
        <f t="shared" si="557"/>
        <v>0</v>
      </c>
      <c r="AN965">
        <f t="shared" si="558"/>
        <v>0</v>
      </c>
      <c r="AO965">
        <f t="shared" si="559"/>
        <v>0</v>
      </c>
    </row>
    <row r="966" spans="1:41" x14ac:dyDescent="0.45">
      <c r="A966">
        <v>46.639471409999999</v>
      </c>
      <c r="B966">
        <v>124.2636088</v>
      </c>
      <c r="C966">
        <v>4.5470686000000002</v>
      </c>
      <c r="D966">
        <v>0.58188403</v>
      </c>
      <c r="E966">
        <f t="shared" si="525"/>
        <v>0.58188403</v>
      </c>
      <c r="F966">
        <f t="shared" si="526"/>
        <v>0</v>
      </c>
      <c r="G966">
        <f t="shared" si="527"/>
        <v>0</v>
      </c>
      <c r="H966">
        <f t="shared" si="528"/>
        <v>0</v>
      </c>
      <c r="I966">
        <f t="shared" si="529"/>
        <v>0</v>
      </c>
      <c r="J966">
        <f t="shared" si="530"/>
        <v>0</v>
      </c>
      <c r="K966" s="1">
        <f t="shared" si="531"/>
        <v>0</v>
      </c>
      <c r="L966" s="1">
        <f t="shared" si="532"/>
        <v>0</v>
      </c>
      <c r="M966" s="1">
        <f t="shared" si="533"/>
        <v>0</v>
      </c>
      <c r="N966" s="1">
        <f t="shared" si="534"/>
        <v>0</v>
      </c>
      <c r="O966" s="1">
        <f t="shared" si="535"/>
        <v>0</v>
      </c>
      <c r="P966" s="1">
        <f t="shared" si="536"/>
        <v>25</v>
      </c>
      <c r="Q966" s="1" t="e">
        <f t="shared" si="537"/>
        <v>#DIV/0!</v>
      </c>
      <c r="R966" s="1" t="e">
        <f t="shared" si="538"/>
        <v>#DIV/0!</v>
      </c>
      <c r="S966" s="1" t="e">
        <f t="shared" si="539"/>
        <v>#DIV/0!</v>
      </c>
      <c r="T966" s="1" t="e">
        <f t="shared" si="540"/>
        <v>#DIV/0!</v>
      </c>
      <c r="U966" s="1" t="e">
        <f t="shared" si="541"/>
        <v>#DIV/0!</v>
      </c>
      <c r="V966">
        <f t="shared" si="542"/>
        <v>851.48</v>
      </c>
      <c r="W966">
        <f t="shared" si="543"/>
        <v>0</v>
      </c>
      <c r="X966">
        <f t="shared" si="544"/>
        <v>0</v>
      </c>
      <c r="Y966">
        <f t="shared" si="545"/>
        <v>0</v>
      </c>
      <c r="Z966">
        <f t="shared" si="546"/>
        <v>0</v>
      </c>
      <c r="AA966">
        <f t="shared" si="547"/>
        <v>0</v>
      </c>
      <c r="AC966">
        <f t="shared" si="548"/>
        <v>1045.25</v>
      </c>
      <c r="AD966">
        <f t="shared" si="549"/>
        <v>0</v>
      </c>
      <c r="AE966">
        <f t="shared" si="550"/>
        <v>0</v>
      </c>
      <c r="AF966">
        <f t="shared" si="551"/>
        <v>0</v>
      </c>
      <c r="AG966">
        <f t="shared" si="552"/>
        <v>0</v>
      </c>
      <c r="AH966">
        <f t="shared" si="553"/>
        <v>0</v>
      </c>
      <c r="AJ966">
        <f t="shared" si="554"/>
        <v>1239.01</v>
      </c>
      <c r="AK966">
        <f t="shared" si="555"/>
        <v>0</v>
      </c>
      <c r="AL966">
        <f t="shared" si="556"/>
        <v>0</v>
      </c>
      <c r="AM966">
        <f t="shared" si="557"/>
        <v>0</v>
      </c>
      <c r="AN966">
        <f t="shared" si="558"/>
        <v>0</v>
      </c>
      <c r="AO966">
        <f t="shared" si="559"/>
        <v>0</v>
      </c>
    </row>
    <row r="967" spans="1:41" x14ac:dyDescent="0.45">
      <c r="A967">
        <v>46.738092530000003</v>
      </c>
      <c r="B967">
        <v>124.5577184</v>
      </c>
      <c r="C967">
        <v>4.5470686000000002</v>
      </c>
      <c r="D967">
        <v>3.4366679200000001</v>
      </c>
      <c r="E967">
        <f t="shared" si="525"/>
        <v>3.4366679200000001</v>
      </c>
      <c r="F967">
        <f t="shared" si="526"/>
        <v>0</v>
      </c>
      <c r="G967">
        <f t="shared" si="527"/>
        <v>0</v>
      </c>
      <c r="H967">
        <f t="shared" si="528"/>
        <v>0</v>
      </c>
      <c r="I967">
        <f t="shared" si="529"/>
        <v>0</v>
      </c>
      <c r="J967">
        <f t="shared" si="530"/>
        <v>0</v>
      </c>
      <c r="K967" s="1">
        <f t="shared" si="531"/>
        <v>0</v>
      </c>
      <c r="L967" s="1">
        <f t="shared" si="532"/>
        <v>0</v>
      </c>
      <c r="M967" s="1">
        <f t="shared" si="533"/>
        <v>0</v>
      </c>
      <c r="N967" s="1">
        <f t="shared" si="534"/>
        <v>0</v>
      </c>
      <c r="O967" s="1">
        <f t="shared" si="535"/>
        <v>0</v>
      </c>
      <c r="P967" s="1">
        <f t="shared" si="536"/>
        <v>25</v>
      </c>
      <c r="Q967" s="1" t="e">
        <f t="shared" si="537"/>
        <v>#DIV/0!</v>
      </c>
      <c r="R967" s="1" t="e">
        <f t="shared" si="538"/>
        <v>#DIV/0!</v>
      </c>
      <c r="S967" s="1" t="e">
        <f t="shared" si="539"/>
        <v>#DIV/0!</v>
      </c>
      <c r="T967" s="1" t="e">
        <f t="shared" si="540"/>
        <v>#DIV/0!</v>
      </c>
      <c r="U967" s="1" t="e">
        <f t="shared" si="541"/>
        <v>#DIV/0!</v>
      </c>
      <c r="V967">
        <f t="shared" si="542"/>
        <v>851.48</v>
      </c>
      <c r="W967">
        <f t="shared" si="543"/>
        <v>0</v>
      </c>
      <c r="X967">
        <f t="shared" si="544"/>
        <v>0</v>
      </c>
      <c r="Y967">
        <f t="shared" si="545"/>
        <v>0</v>
      </c>
      <c r="Z967">
        <f t="shared" si="546"/>
        <v>0</v>
      </c>
      <c r="AA967">
        <f t="shared" si="547"/>
        <v>0</v>
      </c>
      <c r="AC967">
        <f t="shared" si="548"/>
        <v>1045.25</v>
      </c>
      <c r="AD967">
        <f t="shared" si="549"/>
        <v>0</v>
      </c>
      <c r="AE967">
        <f t="shared" si="550"/>
        <v>0</v>
      </c>
      <c r="AF967">
        <f t="shared" si="551"/>
        <v>0</v>
      </c>
      <c r="AG967">
        <f t="shared" si="552"/>
        <v>0</v>
      </c>
      <c r="AH967">
        <f t="shared" si="553"/>
        <v>0</v>
      </c>
      <c r="AJ967">
        <f t="shared" si="554"/>
        <v>1239.01</v>
      </c>
      <c r="AK967">
        <f t="shared" si="555"/>
        <v>0</v>
      </c>
      <c r="AL967">
        <f t="shared" si="556"/>
        <v>0</v>
      </c>
      <c r="AM967">
        <f t="shared" si="557"/>
        <v>0</v>
      </c>
      <c r="AN967">
        <f t="shared" si="558"/>
        <v>0</v>
      </c>
      <c r="AO967">
        <f t="shared" si="559"/>
        <v>0</v>
      </c>
    </row>
    <row r="968" spans="1:41" x14ac:dyDescent="0.45">
      <c r="A968">
        <v>46.73902897</v>
      </c>
      <c r="B968">
        <v>124.8916139</v>
      </c>
      <c r="C968">
        <v>3.6697926500000002</v>
      </c>
      <c r="D968">
        <v>78.619300839999994</v>
      </c>
      <c r="E968">
        <f t="shared" si="525"/>
        <v>3.6697926500000002</v>
      </c>
      <c r="F968">
        <f t="shared" si="526"/>
        <v>60.270337589999997</v>
      </c>
      <c r="G968">
        <f t="shared" si="527"/>
        <v>41.921374339999993</v>
      </c>
      <c r="H968">
        <f t="shared" si="528"/>
        <v>23.572411089999989</v>
      </c>
      <c r="I968">
        <f t="shared" si="529"/>
        <v>5.2234478399999915</v>
      </c>
      <c r="J968">
        <f t="shared" si="530"/>
        <v>0</v>
      </c>
      <c r="K968" s="1">
        <f t="shared" si="531"/>
        <v>3.6697926500000002</v>
      </c>
      <c r="L968" s="1">
        <f t="shared" si="532"/>
        <v>3.6697926500000002</v>
      </c>
      <c r="M968" s="1">
        <f t="shared" si="533"/>
        <v>3.6697926500000002</v>
      </c>
      <c r="N968" s="1">
        <f t="shared" si="534"/>
        <v>3.6697926500000002</v>
      </c>
      <c r="O968" s="1">
        <f t="shared" si="535"/>
        <v>0</v>
      </c>
      <c r="P968" s="1">
        <f t="shared" si="536"/>
        <v>1.1669502942631358</v>
      </c>
      <c r="Q968" s="1">
        <f t="shared" si="537"/>
        <v>1.5222217083652476</v>
      </c>
      <c r="R968" s="1">
        <f t="shared" si="538"/>
        <v>2.1884973404237877</v>
      </c>
      <c r="S968" s="1">
        <f t="shared" si="539"/>
        <v>3.8920420953001478</v>
      </c>
      <c r="T968" s="1">
        <f t="shared" si="540"/>
        <v>17.564034151435145</v>
      </c>
      <c r="U968" s="1" t="e">
        <f t="shared" si="541"/>
        <v>#DIV/0!</v>
      </c>
      <c r="V968">
        <f t="shared" si="542"/>
        <v>76.905884563551922</v>
      </c>
      <c r="W968">
        <f t="shared" si="543"/>
        <v>96.073314063696785</v>
      </c>
      <c r="X968">
        <f t="shared" si="544"/>
        <v>124.4410523825037</v>
      </c>
      <c r="Y968">
        <f t="shared" si="545"/>
        <v>95.940841906002959</v>
      </c>
      <c r="Z968">
        <f t="shared" si="546"/>
        <v>321.99059765011503</v>
      </c>
      <c r="AA968">
        <f t="shared" si="547"/>
        <v>0</v>
      </c>
      <c r="AC968">
        <f t="shared" si="548"/>
        <v>91.92801177052543</v>
      </c>
      <c r="AD968">
        <f t="shared" si="549"/>
        <v>96.073314063696785</v>
      </c>
      <c r="AE968">
        <f t="shared" si="550"/>
        <v>102.79616356377311</v>
      </c>
      <c r="AF968">
        <f t="shared" si="551"/>
        <v>136.60126285900444</v>
      </c>
      <c r="AG968">
        <f t="shared" si="552"/>
        <v>64.904034151435155</v>
      </c>
      <c r="AH968">
        <f t="shared" si="553"/>
        <v>0</v>
      </c>
      <c r="AJ968">
        <f t="shared" si="554"/>
        <v>106.94013897749895</v>
      </c>
      <c r="AK968">
        <f t="shared" si="555"/>
        <v>114.43997687643613</v>
      </c>
      <c r="AL968">
        <f t="shared" si="556"/>
        <v>129.21113696801098</v>
      </c>
      <c r="AM968">
        <f t="shared" si="557"/>
        <v>175.88157857375555</v>
      </c>
      <c r="AN968">
        <f t="shared" si="558"/>
        <v>683.71128067881784</v>
      </c>
      <c r="AO968">
        <f t="shared" si="559"/>
        <v>0</v>
      </c>
    </row>
    <row r="969" spans="1:41" x14ac:dyDescent="0.45">
      <c r="A969">
        <v>46.758516159999999</v>
      </c>
      <c r="B969">
        <v>123.6968102</v>
      </c>
      <c r="C969">
        <v>5.9802422499999999</v>
      </c>
      <c r="D969">
        <v>0.57160699000000004</v>
      </c>
      <c r="E969">
        <f t="shared" si="525"/>
        <v>0.57160699000000004</v>
      </c>
      <c r="F969">
        <f t="shared" si="526"/>
        <v>0</v>
      </c>
      <c r="G969">
        <f t="shared" si="527"/>
        <v>0</v>
      </c>
      <c r="H969">
        <f t="shared" si="528"/>
        <v>0</v>
      </c>
      <c r="I969">
        <f t="shared" si="529"/>
        <v>0</v>
      </c>
      <c r="J969">
        <f t="shared" si="530"/>
        <v>0</v>
      </c>
      <c r="K969" s="1">
        <f t="shared" si="531"/>
        <v>0</v>
      </c>
      <c r="L969" s="1">
        <f t="shared" si="532"/>
        <v>0</v>
      </c>
      <c r="M969" s="1">
        <f t="shared" si="533"/>
        <v>0</v>
      </c>
      <c r="N969" s="1">
        <f t="shared" si="534"/>
        <v>0</v>
      </c>
      <c r="O969" s="1">
        <f t="shared" si="535"/>
        <v>0</v>
      </c>
      <c r="P969" s="1">
        <f t="shared" si="536"/>
        <v>25</v>
      </c>
      <c r="Q969" s="1" t="e">
        <f t="shared" si="537"/>
        <v>#DIV/0!</v>
      </c>
      <c r="R969" s="1" t="e">
        <f t="shared" si="538"/>
        <v>#DIV/0!</v>
      </c>
      <c r="S969" s="1" t="e">
        <f t="shared" si="539"/>
        <v>#DIV/0!</v>
      </c>
      <c r="T969" s="1" t="e">
        <f t="shared" si="540"/>
        <v>#DIV/0!</v>
      </c>
      <c r="U969" s="1" t="e">
        <f t="shared" si="541"/>
        <v>#DIV/0!</v>
      </c>
      <c r="V969">
        <f t="shared" si="542"/>
        <v>851.48</v>
      </c>
      <c r="W969">
        <f t="shared" si="543"/>
        <v>0</v>
      </c>
      <c r="X969">
        <f t="shared" si="544"/>
        <v>0</v>
      </c>
      <c r="Y969">
        <f t="shared" si="545"/>
        <v>0</v>
      </c>
      <c r="Z969">
        <f t="shared" si="546"/>
        <v>0</v>
      </c>
      <c r="AA969">
        <f t="shared" si="547"/>
        <v>0</v>
      </c>
      <c r="AC969">
        <f t="shared" si="548"/>
        <v>1045.25</v>
      </c>
      <c r="AD969">
        <f t="shared" si="549"/>
        <v>0</v>
      </c>
      <c r="AE969">
        <f t="shared" si="550"/>
        <v>0</v>
      </c>
      <c r="AF969">
        <f t="shared" si="551"/>
        <v>0</v>
      </c>
      <c r="AG969">
        <f t="shared" si="552"/>
        <v>0</v>
      </c>
      <c r="AH969">
        <f t="shared" si="553"/>
        <v>0</v>
      </c>
      <c r="AJ969">
        <f t="shared" si="554"/>
        <v>1239.01</v>
      </c>
      <c r="AK969">
        <f t="shared" si="555"/>
        <v>0</v>
      </c>
      <c r="AL969">
        <f t="shared" si="556"/>
        <v>0</v>
      </c>
      <c r="AM969">
        <f t="shared" si="557"/>
        <v>0</v>
      </c>
      <c r="AN969">
        <f t="shared" si="558"/>
        <v>0</v>
      </c>
      <c r="AO969">
        <f t="shared" si="559"/>
        <v>0</v>
      </c>
    </row>
    <row r="970" spans="1:41" x14ac:dyDescent="0.45">
      <c r="A970">
        <v>46.80059</v>
      </c>
      <c r="B970">
        <v>124.7757143</v>
      </c>
      <c r="C970">
        <v>3.6697926500000002</v>
      </c>
      <c r="D970">
        <v>15.609274859999999</v>
      </c>
      <c r="E970">
        <f t="shared" si="525"/>
        <v>3.6697926500000002</v>
      </c>
      <c r="F970">
        <f t="shared" si="526"/>
        <v>0</v>
      </c>
      <c r="G970">
        <f t="shared" si="527"/>
        <v>0</v>
      </c>
      <c r="H970">
        <f t="shared" si="528"/>
        <v>0</v>
      </c>
      <c r="I970">
        <f t="shared" si="529"/>
        <v>0</v>
      </c>
      <c r="J970">
        <f t="shared" si="530"/>
        <v>0</v>
      </c>
      <c r="K970" s="1">
        <f t="shared" si="531"/>
        <v>0</v>
      </c>
      <c r="L970" s="1">
        <f t="shared" si="532"/>
        <v>0</v>
      </c>
      <c r="M970" s="1">
        <f t="shared" si="533"/>
        <v>0</v>
      </c>
      <c r="N970" s="1">
        <f t="shared" si="534"/>
        <v>0</v>
      </c>
      <c r="O970" s="1">
        <f t="shared" si="535"/>
        <v>0</v>
      </c>
      <c r="P970" s="1">
        <f t="shared" si="536"/>
        <v>5.8775834926901913</v>
      </c>
      <c r="Q970" s="1" t="e">
        <f t="shared" si="537"/>
        <v>#DIV/0!</v>
      </c>
      <c r="R970" s="1" t="e">
        <f t="shared" si="538"/>
        <v>#DIV/0!</v>
      </c>
      <c r="S970" s="1" t="e">
        <f t="shared" si="539"/>
        <v>#DIV/0!</v>
      </c>
      <c r="T970" s="1" t="e">
        <f t="shared" si="540"/>
        <v>#DIV/0!</v>
      </c>
      <c r="U970" s="1" t="e">
        <f t="shared" si="541"/>
        <v>#DIV/0!</v>
      </c>
      <c r="V970">
        <f t="shared" si="542"/>
        <v>230.0014635124312</v>
      </c>
      <c r="W970">
        <f t="shared" si="543"/>
        <v>0</v>
      </c>
      <c r="X970">
        <f t="shared" si="544"/>
        <v>0</v>
      </c>
      <c r="Y970">
        <f t="shared" si="545"/>
        <v>0</v>
      </c>
      <c r="Z970">
        <f t="shared" si="546"/>
        <v>0</v>
      </c>
      <c r="AA970">
        <f t="shared" si="547"/>
        <v>0</v>
      </c>
      <c r="AC970">
        <f t="shared" si="548"/>
        <v>280.35333970760769</v>
      </c>
      <c r="AD970">
        <f t="shared" si="549"/>
        <v>0</v>
      </c>
      <c r="AE970">
        <f t="shared" si="550"/>
        <v>0</v>
      </c>
      <c r="AF970">
        <f t="shared" si="551"/>
        <v>0</v>
      </c>
      <c r="AG970">
        <f t="shared" si="552"/>
        <v>0</v>
      </c>
      <c r="AH970">
        <f t="shared" si="553"/>
        <v>0</v>
      </c>
      <c r="AJ970">
        <f t="shared" si="554"/>
        <v>330.69521590278407</v>
      </c>
      <c r="AK970">
        <f t="shared" si="555"/>
        <v>0</v>
      </c>
      <c r="AL970">
        <f t="shared" si="556"/>
        <v>0</v>
      </c>
      <c r="AM970">
        <f t="shared" si="557"/>
        <v>0</v>
      </c>
      <c r="AN970">
        <f t="shared" si="558"/>
        <v>0</v>
      </c>
      <c r="AO970">
        <f t="shared" si="559"/>
        <v>0</v>
      </c>
    </row>
    <row r="971" spans="1:41" x14ac:dyDescent="0.45">
      <c r="A971">
        <v>46.807881739999999</v>
      </c>
      <c r="B971">
        <v>124.37714579999999</v>
      </c>
      <c r="C971">
        <v>4.5470686000000002</v>
      </c>
      <c r="D971">
        <v>0.92362601</v>
      </c>
      <c r="E971">
        <f t="shared" si="525"/>
        <v>0.92362601</v>
      </c>
      <c r="F971">
        <f t="shared" si="526"/>
        <v>0</v>
      </c>
      <c r="G971">
        <f t="shared" si="527"/>
        <v>0</v>
      </c>
      <c r="H971">
        <f t="shared" si="528"/>
        <v>0</v>
      </c>
      <c r="I971">
        <f t="shared" si="529"/>
        <v>0</v>
      </c>
      <c r="J971">
        <f t="shared" si="530"/>
        <v>0</v>
      </c>
      <c r="K971" s="1">
        <f t="shared" si="531"/>
        <v>0</v>
      </c>
      <c r="L971" s="1">
        <f t="shared" si="532"/>
        <v>0</v>
      </c>
      <c r="M971" s="1">
        <f t="shared" si="533"/>
        <v>0</v>
      </c>
      <c r="N971" s="1">
        <f t="shared" si="534"/>
        <v>0</v>
      </c>
      <c r="O971" s="1">
        <f t="shared" si="535"/>
        <v>0</v>
      </c>
      <c r="P971" s="1">
        <f t="shared" si="536"/>
        <v>25</v>
      </c>
      <c r="Q971" s="1" t="e">
        <f t="shared" si="537"/>
        <v>#DIV/0!</v>
      </c>
      <c r="R971" s="1" t="e">
        <f t="shared" si="538"/>
        <v>#DIV/0!</v>
      </c>
      <c r="S971" s="1" t="e">
        <f t="shared" si="539"/>
        <v>#DIV/0!</v>
      </c>
      <c r="T971" s="1" t="e">
        <f t="shared" si="540"/>
        <v>#DIV/0!</v>
      </c>
      <c r="U971" s="1" t="e">
        <f t="shared" si="541"/>
        <v>#DIV/0!</v>
      </c>
      <c r="V971">
        <f t="shared" si="542"/>
        <v>851.48</v>
      </c>
      <c r="W971">
        <f t="shared" si="543"/>
        <v>0</v>
      </c>
      <c r="X971">
        <f t="shared" si="544"/>
        <v>0</v>
      </c>
      <c r="Y971">
        <f t="shared" si="545"/>
        <v>0</v>
      </c>
      <c r="Z971">
        <f t="shared" si="546"/>
        <v>0</v>
      </c>
      <c r="AA971">
        <f t="shared" si="547"/>
        <v>0</v>
      </c>
      <c r="AC971">
        <f t="shared" si="548"/>
        <v>1045.25</v>
      </c>
      <c r="AD971">
        <f t="shared" si="549"/>
        <v>0</v>
      </c>
      <c r="AE971">
        <f t="shared" si="550"/>
        <v>0</v>
      </c>
      <c r="AF971">
        <f t="shared" si="551"/>
        <v>0</v>
      </c>
      <c r="AG971">
        <f t="shared" si="552"/>
        <v>0</v>
      </c>
      <c r="AH971">
        <f t="shared" si="553"/>
        <v>0</v>
      </c>
      <c r="AJ971">
        <f t="shared" si="554"/>
        <v>1239.01</v>
      </c>
      <c r="AK971">
        <f t="shared" si="555"/>
        <v>0</v>
      </c>
      <c r="AL971">
        <f t="shared" si="556"/>
        <v>0</v>
      </c>
      <c r="AM971">
        <f t="shared" si="557"/>
        <v>0</v>
      </c>
      <c r="AN971">
        <f t="shared" si="558"/>
        <v>0</v>
      </c>
      <c r="AO971">
        <f t="shared" si="559"/>
        <v>0</v>
      </c>
    </row>
    <row r="972" spans="1:41" x14ac:dyDescent="0.45">
      <c r="A972">
        <v>46.83883127</v>
      </c>
      <c r="B972">
        <v>123.7851312</v>
      </c>
      <c r="C972">
        <v>5.9802422499999999</v>
      </c>
      <c r="D972">
        <v>0.11275399999999999</v>
      </c>
      <c r="E972">
        <f t="shared" si="525"/>
        <v>0.11275399999999999</v>
      </c>
      <c r="F972">
        <f t="shared" si="526"/>
        <v>0</v>
      </c>
      <c r="G972">
        <f t="shared" si="527"/>
        <v>0</v>
      </c>
      <c r="H972">
        <f t="shared" si="528"/>
        <v>0</v>
      </c>
      <c r="I972">
        <f t="shared" si="529"/>
        <v>0</v>
      </c>
      <c r="J972">
        <f t="shared" si="530"/>
        <v>0</v>
      </c>
      <c r="K972" s="1">
        <f t="shared" si="531"/>
        <v>0</v>
      </c>
      <c r="L972" s="1">
        <f t="shared" si="532"/>
        <v>0</v>
      </c>
      <c r="M972" s="1">
        <f t="shared" si="533"/>
        <v>0</v>
      </c>
      <c r="N972" s="1">
        <f t="shared" si="534"/>
        <v>0</v>
      </c>
      <c r="O972" s="1">
        <f t="shared" si="535"/>
        <v>0</v>
      </c>
      <c r="P972" s="1">
        <f t="shared" si="536"/>
        <v>25</v>
      </c>
      <c r="Q972" s="1" t="e">
        <f t="shared" si="537"/>
        <v>#DIV/0!</v>
      </c>
      <c r="R972" s="1" t="e">
        <f t="shared" si="538"/>
        <v>#DIV/0!</v>
      </c>
      <c r="S972" s="1" t="e">
        <f t="shared" si="539"/>
        <v>#DIV/0!</v>
      </c>
      <c r="T972" s="1" t="e">
        <f t="shared" si="540"/>
        <v>#DIV/0!</v>
      </c>
      <c r="U972" s="1" t="e">
        <f t="shared" si="541"/>
        <v>#DIV/0!</v>
      </c>
      <c r="V972">
        <f t="shared" si="542"/>
        <v>851.48</v>
      </c>
      <c r="W972">
        <f t="shared" si="543"/>
        <v>0</v>
      </c>
      <c r="X972">
        <f t="shared" si="544"/>
        <v>0</v>
      </c>
      <c r="Y972">
        <f t="shared" si="545"/>
        <v>0</v>
      </c>
      <c r="Z972">
        <f t="shared" si="546"/>
        <v>0</v>
      </c>
      <c r="AA972">
        <f t="shared" si="547"/>
        <v>0</v>
      </c>
      <c r="AC972">
        <f t="shared" si="548"/>
        <v>1045.25</v>
      </c>
      <c r="AD972">
        <f t="shared" si="549"/>
        <v>0</v>
      </c>
      <c r="AE972">
        <f t="shared" si="550"/>
        <v>0</v>
      </c>
      <c r="AF972">
        <f t="shared" si="551"/>
        <v>0</v>
      </c>
      <c r="AG972">
        <f t="shared" si="552"/>
        <v>0</v>
      </c>
      <c r="AH972">
        <f t="shared" si="553"/>
        <v>0</v>
      </c>
      <c r="AJ972">
        <f t="shared" si="554"/>
        <v>1239.01</v>
      </c>
      <c r="AK972">
        <f t="shared" si="555"/>
        <v>0</v>
      </c>
      <c r="AL972">
        <f t="shared" si="556"/>
        <v>0</v>
      </c>
      <c r="AM972">
        <f t="shared" si="557"/>
        <v>0</v>
      </c>
      <c r="AN972">
        <f t="shared" si="558"/>
        <v>0</v>
      </c>
      <c r="AO972">
        <f t="shared" si="559"/>
        <v>0</v>
      </c>
    </row>
    <row r="973" spans="1:41" x14ac:dyDescent="0.45">
      <c r="A973">
        <v>47.838156040000001</v>
      </c>
      <c r="B973">
        <v>117.12205489999999</v>
      </c>
      <c r="C973">
        <v>0.88161886</v>
      </c>
      <c r="D973">
        <v>48.136058810000002</v>
      </c>
      <c r="E973">
        <f t="shared" si="525"/>
        <v>0.88161886</v>
      </c>
      <c r="F973">
        <f t="shared" si="526"/>
        <v>43.72796451</v>
      </c>
      <c r="G973">
        <f t="shared" si="527"/>
        <v>39.319870210000005</v>
      </c>
      <c r="H973">
        <f t="shared" si="528"/>
        <v>34.911775910000003</v>
      </c>
      <c r="I973">
        <f t="shared" si="529"/>
        <v>30.503681610000001</v>
      </c>
      <c r="J973">
        <f t="shared" si="530"/>
        <v>26.095587310000003</v>
      </c>
      <c r="K973" s="1">
        <f t="shared" si="531"/>
        <v>0.88161886</v>
      </c>
      <c r="L973" s="1">
        <f t="shared" si="532"/>
        <v>0.88161886</v>
      </c>
      <c r="M973" s="1">
        <f t="shared" si="533"/>
        <v>0.88161886</v>
      </c>
      <c r="N973" s="1">
        <f t="shared" si="534"/>
        <v>0.88161886</v>
      </c>
      <c r="O973" s="1">
        <f t="shared" si="535"/>
        <v>0.88161886</v>
      </c>
      <c r="P973" s="1">
        <f t="shared" si="536"/>
        <v>1</v>
      </c>
      <c r="Q973" s="1">
        <f t="shared" si="537"/>
        <v>1</v>
      </c>
      <c r="R973" s="1">
        <f t="shared" si="538"/>
        <v>1</v>
      </c>
      <c r="S973" s="1">
        <f t="shared" si="539"/>
        <v>1</v>
      </c>
      <c r="T973" s="1">
        <f t="shared" si="540"/>
        <v>1</v>
      </c>
      <c r="U973" s="1">
        <f t="shared" si="541"/>
        <v>1</v>
      </c>
      <c r="V973">
        <f t="shared" si="542"/>
        <v>71.48</v>
      </c>
      <c r="W973">
        <f t="shared" si="543"/>
        <v>76.489999999999995</v>
      </c>
      <c r="X973">
        <f t="shared" si="544"/>
        <v>52.14</v>
      </c>
      <c r="Y973">
        <f t="shared" si="545"/>
        <v>38.1</v>
      </c>
      <c r="Z973">
        <f t="shared" si="546"/>
        <v>32.120000000000005</v>
      </c>
      <c r="AA973">
        <f t="shared" si="547"/>
        <v>30.03</v>
      </c>
      <c r="AC973">
        <f t="shared" si="548"/>
        <v>85.25</v>
      </c>
      <c r="AD973">
        <f t="shared" si="549"/>
        <v>76.489999999999995</v>
      </c>
      <c r="AE973">
        <f t="shared" si="550"/>
        <v>64.17</v>
      </c>
      <c r="AF973">
        <f t="shared" si="551"/>
        <v>49.84</v>
      </c>
      <c r="AG973">
        <f t="shared" si="552"/>
        <v>48.34</v>
      </c>
      <c r="AH973">
        <f t="shared" si="553"/>
        <v>41.36</v>
      </c>
      <c r="AJ973">
        <f t="shared" si="554"/>
        <v>99.009999999999991</v>
      </c>
      <c r="AK973">
        <f t="shared" si="555"/>
        <v>90.94</v>
      </c>
      <c r="AL973">
        <f t="shared" si="556"/>
        <v>78.7</v>
      </c>
      <c r="AM973">
        <f t="shared" si="557"/>
        <v>67.430000000000007</v>
      </c>
      <c r="AN973">
        <f t="shared" si="558"/>
        <v>62.56</v>
      </c>
      <c r="AO973">
        <f t="shared" si="559"/>
        <v>55.19</v>
      </c>
    </row>
    <row r="974" spans="1:41" x14ac:dyDescent="0.45">
      <c r="A974">
        <v>47.937428519999997</v>
      </c>
      <c r="B974">
        <v>117.00484179999999</v>
      </c>
      <c r="C974">
        <v>0.88161886</v>
      </c>
      <c r="D974">
        <v>8.9706563900000003</v>
      </c>
      <c r="E974">
        <f t="shared" si="525"/>
        <v>0.88161886</v>
      </c>
      <c r="F974">
        <f t="shared" si="526"/>
        <v>4.5625620900000001</v>
      </c>
      <c r="G974">
        <f t="shared" si="527"/>
        <v>0.15446778999999999</v>
      </c>
      <c r="H974">
        <f t="shared" si="528"/>
        <v>0</v>
      </c>
      <c r="I974">
        <f t="shared" si="529"/>
        <v>0</v>
      </c>
      <c r="J974">
        <f t="shared" si="530"/>
        <v>0</v>
      </c>
      <c r="K974" s="1">
        <f t="shared" si="531"/>
        <v>0.88161886</v>
      </c>
      <c r="L974" s="1">
        <f t="shared" si="532"/>
        <v>0.15446778999999999</v>
      </c>
      <c r="M974" s="1">
        <f t="shared" si="533"/>
        <v>0</v>
      </c>
      <c r="N974" s="1">
        <f t="shared" si="534"/>
        <v>0</v>
      </c>
      <c r="O974" s="1">
        <f t="shared" si="535"/>
        <v>0</v>
      </c>
      <c r="P974" s="1">
        <f t="shared" si="536"/>
        <v>2.45695192656911</v>
      </c>
      <c r="Q974" s="1">
        <f t="shared" si="537"/>
        <v>4.8307225337946029</v>
      </c>
      <c r="R974" s="1">
        <f t="shared" si="538"/>
        <v>25</v>
      </c>
      <c r="S974" s="1" t="e">
        <f t="shared" si="539"/>
        <v>#DIV/0!</v>
      </c>
      <c r="T974" s="1" t="e">
        <f t="shared" si="540"/>
        <v>#DIV/0!</v>
      </c>
      <c r="U974" s="1" t="e">
        <f t="shared" si="541"/>
        <v>#DIV/0!</v>
      </c>
      <c r="V974">
        <f t="shared" si="542"/>
        <v>118.83093761349608</v>
      </c>
      <c r="W974">
        <f t="shared" si="543"/>
        <v>220.14209501729761</v>
      </c>
      <c r="X974" t="e">
        <f t="shared" si="544"/>
        <v>#DIV/0!</v>
      </c>
      <c r="Y974">
        <f t="shared" si="545"/>
        <v>0</v>
      </c>
      <c r="Z974">
        <f t="shared" si="546"/>
        <v>0</v>
      </c>
      <c r="AA974">
        <f t="shared" si="547"/>
        <v>0</v>
      </c>
      <c r="AC974">
        <f t="shared" si="548"/>
        <v>143.5280770627644</v>
      </c>
      <c r="AD974">
        <f t="shared" si="549"/>
        <v>220.14209501729761</v>
      </c>
      <c r="AE974">
        <f t="shared" si="550"/>
        <v>844.17</v>
      </c>
      <c r="AF974">
        <f t="shared" si="551"/>
        <v>0</v>
      </c>
      <c r="AG974">
        <f t="shared" si="552"/>
        <v>0</v>
      </c>
      <c r="AH974">
        <f t="shared" si="553"/>
        <v>0</v>
      </c>
      <c r="AJ974">
        <f t="shared" si="554"/>
        <v>168.21521651203273</v>
      </c>
      <c r="AK974">
        <f t="shared" si="555"/>
        <v>263.32251402075713</v>
      </c>
      <c r="AL974">
        <f t="shared" si="556"/>
        <v>1098.7</v>
      </c>
      <c r="AM974">
        <f t="shared" si="557"/>
        <v>0</v>
      </c>
      <c r="AN974">
        <f t="shared" si="558"/>
        <v>0</v>
      </c>
      <c r="AO974">
        <f t="shared" si="559"/>
        <v>0</v>
      </c>
    </row>
    <row r="975" spans="1:41" x14ac:dyDescent="0.45">
      <c r="A975">
        <v>48.016223619999998</v>
      </c>
      <c r="B975">
        <v>117.1526538</v>
      </c>
      <c r="C975">
        <v>0.88161886</v>
      </c>
      <c r="D975">
        <v>10.97902393</v>
      </c>
      <c r="E975">
        <f t="shared" si="525"/>
        <v>0.88161886</v>
      </c>
      <c r="F975">
        <f t="shared" si="526"/>
        <v>6.5709296300000002</v>
      </c>
      <c r="G975">
        <f t="shared" si="527"/>
        <v>2.1628353300000001</v>
      </c>
      <c r="H975">
        <f t="shared" si="528"/>
        <v>0</v>
      </c>
      <c r="I975">
        <f t="shared" si="529"/>
        <v>0</v>
      </c>
      <c r="J975">
        <f t="shared" si="530"/>
        <v>0</v>
      </c>
      <c r="K975" s="1">
        <f t="shared" si="531"/>
        <v>0.88161886</v>
      </c>
      <c r="L975" s="1">
        <f t="shared" si="532"/>
        <v>0.88161886</v>
      </c>
      <c r="M975" s="1">
        <f t="shared" si="533"/>
        <v>0</v>
      </c>
      <c r="N975" s="1">
        <f t="shared" si="534"/>
        <v>0</v>
      </c>
      <c r="O975" s="1">
        <f t="shared" si="535"/>
        <v>0</v>
      </c>
      <c r="P975" s="1">
        <f t="shared" si="536"/>
        <v>2.0075073741095304</v>
      </c>
      <c r="Q975" s="1">
        <f t="shared" si="537"/>
        <v>3.3542394670265248</v>
      </c>
      <c r="R975" s="1">
        <f t="shared" si="538"/>
        <v>10.190545343089063</v>
      </c>
      <c r="S975" s="1" t="e">
        <f t="shared" si="539"/>
        <v>#DIV/0!</v>
      </c>
      <c r="T975" s="1" t="e">
        <f t="shared" si="540"/>
        <v>#DIV/0!</v>
      </c>
      <c r="U975" s="1" t="e">
        <f t="shared" si="541"/>
        <v>#DIV/0!</v>
      </c>
      <c r="V975">
        <f t="shared" si="542"/>
        <v>104.22398965855974</v>
      </c>
      <c r="W975">
        <f t="shared" si="543"/>
        <v>164.77398001349468</v>
      </c>
      <c r="X975" t="e">
        <f t="shared" si="544"/>
        <v>#DIV/0!</v>
      </c>
      <c r="Y975">
        <f t="shared" si="545"/>
        <v>0</v>
      </c>
      <c r="Z975">
        <f t="shared" si="546"/>
        <v>0</v>
      </c>
      <c r="AA975">
        <f t="shared" si="547"/>
        <v>0</v>
      </c>
      <c r="AC975">
        <f t="shared" si="548"/>
        <v>125.55029496438121</v>
      </c>
      <c r="AD975">
        <f t="shared" si="549"/>
        <v>164.77398001349468</v>
      </c>
      <c r="AE975">
        <f t="shared" si="550"/>
        <v>362.86272365039457</v>
      </c>
      <c r="AF975">
        <f t="shared" si="551"/>
        <v>0</v>
      </c>
      <c r="AG975">
        <f t="shared" si="552"/>
        <v>0</v>
      </c>
      <c r="AH975">
        <f t="shared" si="553"/>
        <v>0</v>
      </c>
      <c r="AJ975">
        <f t="shared" si="554"/>
        <v>146.8666002702027</v>
      </c>
      <c r="AK975">
        <f t="shared" si="555"/>
        <v>196.88077601619361</v>
      </c>
      <c r="AL975">
        <f t="shared" si="556"/>
        <v>469.29817708128519</v>
      </c>
      <c r="AM975">
        <f t="shared" si="557"/>
        <v>0</v>
      </c>
      <c r="AN975">
        <f t="shared" si="558"/>
        <v>0</v>
      </c>
      <c r="AO975">
        <f t="shared" si="559"/>
        <v>0</v>
      </c>
    </row>
    <row r="976" spans="1:41" x14ac:dyDescent="0.45">
      <c r="A976">
        <v>48.157305569999998</v>
      </c>
      <c r="B976">
        <v>117.64868989999999</v>
      </c>
      <c r="C976">
        <v>1.6503210100000001</v>
      </c>
      <c r="D976">
        <v>22.796184539999999</v>
      </c>
      <c r="E976">
        <f t="shared" si="525"/>
        <v>1.6503210100000001</v>
      </c>
      <c r="F976">
        <f t="shared" si="526"/>
        <v>14.544579489999999</v>
      </c>
      <c r="G976">
        <f t="shared" si="527"/>
        <v>6.2929744399999983</v>
      </c>
      <c r="H976">
        <f t="shared" si="528"/>
        <v>0</v>
      </c>
      <c r="I976">
        <f t="shared" si="529"/>
        <v>0</v>
      </c>
      <c r="J976">
        <f t="shared" si="530"/>
        <v>0</v>
      </c>
      <c r="K976" s="1">
        <f t="shared" si="531"/>
        <v>1.6503210100000001</v>
      </c>
      <c r="L976" s="1">
        <f t="shared" si="532"/>
        <v>1.6503210100000001</v>
      </c>
      <c r="M976" s="1">
        <f t="shared" si="533"/>
        <v>0</v>
      </c>
      <c r="N976" s="1">
        <f t="shared" si="534"/>
        <v>0</v>
      </c>
      <c r="O976" s="1">
        <f t="shared" si="535"/>
        <v>0</v>
      </c>
      <c r="P976" s="1">
        <f t="shared" si="536"/>
        <v>1.8098653824110518</v>
      </c>
      <c r="Q976" s="1">
        <f t="shared" si="537"/>
        <v>2.8366598895737485</v>
      </c>
      <c r="R976" s="1">
        <f t="shared" si="538"/>
        <v>6.5562041675796179</v>
      </c>
      <c r="S976" s="1" t="e">
        <f t="shared" si="539"/>
        <v>#DIV/0!</v>
      </c>
      <c r="T976" s="1" t="e">
        <f t="shared" si="540"/>
        <v>#DIV/0!</v>
      </c>
      <c r="U976" s="1" t="e">
        <f t="shared" si="541"/>
        <v>#DIV/0!</v>
      </c>
      <c r="V976">
        <f t="shared" si="542"/>
        <v>97.800624928359184</v>
      </c>
      <c r="W976">
        <f t="shared" si="543"/>
        <v>145.36474585901556</v>
      </c>
      <c r="X976" t="e">
        <f t="shared" si="544"/>
        <v>#DIV/0!</v>
      </c>
      <c r="Y976">
        <f t="shared" si="545"/>
        <v>0</v>
      </c>
      <c r="Z976">
        <f t="shared" si="546"/>
        <v>0</v>
      </c>
      <c r="AA976">
        <f t="shared" si="547"/>
        <v>0</v>
      </c>
      <c r="AC976">
        <f t="shared" si="548"/>
        <v>117.64461529644207</v>
      </c>
      <c r="AD976">
        <f t="shared" si="549"/>
        <v>145.36474585901556</v>
      </c>
      <c r="AE976">
        <f t="shared" si="550"/>
        <v>244.74663544633756</v>
      </c>
      <c r="AF976">
        <f t="shared" si="551"/>
        <v>0</v>
      </c>
      <c r="AG976">
        <f t="shared" si="552"/>
        <v>0</v>
      </c>
      <c r="AH976">
        <f t="shared" si="553"/>
        <v>0</v>
      </c>
      <c r="AJ976">
        <f t="shared" si="554"/>
        <v>137.47860566452496</v>
      </c>
      <c r="AK976">
        <f t="shared" si="555"/>
        <v>173.58969503081869</v>
      </c>
      <c r="AL976">
        <f t="shared" si="556"/>
        <v>314.83867712213373</v>
      </c>
      <c r="AM976">
        <f t="shared" si="557"/>
        <v>0</v>
      </c>
      <c r="AN976">
        <f t="shared" si="558"/>
        <v>0</v>
      </c>
      <c r="AO976">
        <f t="shared" si="559"/>
        <v>0</v>
      </c>
    </row>
    <row r="977" spans="1:41" x14ac:dyDescent="0.45">
      <c r="A977">
        <v>48.188981839999997</v>
      </c>
      <c r="B977">
        <v>117.24992</v>
      </c>
      <c r="C977">
        <v>0.88161886</v>
      </c>
      <c r="D977">
        <v>0.17926601</v>
      </c>
      <c r="E977">
        <f t="shared" si="525"/>
        <v>0.17926601</v>
      </c>
      <c r="F977">
        <f t="shared" si="526"/>
        <v>0</v>
      </c>
      <c r="G977">
        <f t="shared" si="527"/>
        <v>0</v>
      </c>
      <c r="H977">
        <f t="shared" si="528"/>
        <v>0</v>
      </c>
      <c r="I977">
        <f t="shared" si="529"/>
        <v>0</v>
      </c>
      <c r="J977">
        <f t="shared" si="530"/>
        <v>0</v>
      </c>
      <c r="K977" s="1">
        <f t="shared" si="531"/>
        <v>0</v>
      </c>
      <c r="L977" s="1">
        <f t="shared" si="532"/>
        <v>0</v>
      </c>
      <c r="M977" s="1">
        <f t="shared" si="533"/>
        <v>0</v>
      </c>
      <c r="N977" s="1">
        <f t="shared" si="534"/>
        <v>0</v>
      </c>
      <c r="O977" s="1">
        <f t="shared" si="535"/>
        <v>0</v>
      </c>
      <c r="P977" s="1">
        <f t="shared" si="536"/>
        <v>25</v>
      </c>
      <c r="Q977" s="1" t="e">
        <f t="shared" si="537"/>
        <v>#DIV/0!</v>
      </c>
      <c r="R977" s="1" t="e">
        <f t="shared" si="538"/>
        <v>#DIV/0!</v>
      </c>
      <c r="S977" s="1" t="e">
        <f t="shared" si="539"/>
        <v>#DIV/0!</v>
      </c>
      <c r="T977" s="1" t="e">
        <f t="shared" si="540"/>
        <v>#DIV/0!</v>
      </c>
      <c r="U977" s="1" t="e">
        <f t="shared" si="541"/>
        <v>#DIV/0!</v>
      </c>
      <c r="V977">
        <f t="shared" si="542"/>
        <v>851.48</v>
      </c>
      <c r="W977">
        <f t="shared" si="543"/>
        <v>0</v>
      </c>
      <c r="X977">
        <f t="shared" si="544"/>
        <v>0</v>
      </c>
      <c r="Y977">
        <f t="shared" si="545"/>
        <v>0</v>
      </c>
      <c r="Z977">
        <f t="shared" si="546"/>
        <v>0</v>
      </c>
      <c r="AA977">
        <f t="shared" si="547"/>
        <v>0</v>
      </c>
      <c r="AC977">
        <f t="shared" si="548"/>
        <v>1045.25</v>
      </c>
      <c r="AD977">
        <f t="shared" si="549"/>
        <v>0</v>
      </c>
      <c r="AE977">
        <f t="shared" si="550"/>
        <v>0</v>
      </c>
      <c r="AF977">
        <f t="shared" si="551"/>
        <v>0</v>
      </c>
      <c r="AG977">
        <f t="shared" si="552"/>
        <v>0</v>
      </c>
      <c r="AH977">
        <f t="shared" si="553"/>
        <v>0</v>
      </c>
      <c r="AJ977">
        <f t="shared" si="554"/>
        <v>1239.01</v>
      </c>
      <c r="AK977">
        <f t="shared" si="555"/>
        <v>0</v>
      </c>
      <c r="AL977">
        <f t="shared" si="556"/>
        <v>0</v>
      </c>
      <c r="AM977">
        <f t="shared" si="557"/>
        <v>0</v>
      </c>
      <c r="AN977">
        <f t="shared" si="558"/>
        <v>0</v>
      </c>
      <c r="AO977">
        <f t="shared" si="559"/>
        <v>0</v>
      </c>
    </row>
    <row r="978" spans="1:41" x14ac:dyDescent="0.45">
      <c r="A978">
        <v>48.401524360000003</v>
      </c>
      <c r="B978">
        <v>116.2058425</v>
      </c>
      <c r="C978">
        <v>0.88161886</v>
      </c>
      <c r="D978">
        <v>0.24129701000000001</v>
      </c>
      <c r="E978">
        <f t="shared" si="525"/>
        <v>0.24129701000000001</v>
      </c>
      <c r="F978">
        <f t="shared" si="526"/>
        <v>0</v>
      </c>
      <c r="G978">
        <f t="shared" si="527"/>
        <v>0</v>
      </c>
      <c r="H978">
        <f t="shared" si="528"/>
        <v>0</v>
      </c>
      <c r="I978">
        <f t="shared" si="529"/>
        <v>0</v>
      </c>
      <c r="J978">
        <f t="shared" si="530"/>
        <v>0</v>
      </c>
      <c r="K978" s="1">
        <f t="shared" si="531"/>
        <v>0</v>
      </c>
      <c r="L978" s="1">
        <f t="shared" si="532"/>
        <v>0</v>
      </c>
      <c r="M978" s="1">
        <f t="shared" si="533"/>
        <v>0</v>
      </c>
      <c r="N978" s="1">
        <f t="shared" si="534"/>
        <v>0</v>
      </c>
      <c r="O978" s="1">
        <f t="shared" si="535"/>
        <v>0</v>
      </c>
      <c r="P978" s="1">
        <f t="shared" si="536"/>
        <v>25</v>
      </c>
      <c r="Q978" s="1" t="e">
        <f t="shared" si="537"/>
        <v>#DIV/0!</v>
      </c>
      <c r="R978" s="1" t="e">
        <f t="shared" si="538"/>
        <v>#DIV/0!</v>
      </c>
      <c r="S978" s="1" t="e">
        <f t="shared" si="539"/>
        <v>#DIV/0!</v>
      </c>
      <c r="T978" s="1" t="e">
        <f t="shared" si="540"/>
        <v>#DIV/0!</v>
      </c>
      <c r="U978" s="1" t="e">
        <f t="shared" si="541"/>
        <v>#DIV/0!</v>
      </c>
      <c r="V978">
        <f t="shared" si="542"/>
        <v>851.48</v>
      </c>
      <c r="W978">
        <f t="shared" si="543"/>
        <v>0</v>
      </c>
      <c r="X978">
        <f t="shared" si="544"/>
        <v>0</v>
      </c>
      <c r="Y978">
        <f t="shared" si="545"/>
        <v>0</v>
      </c>
      <c r="Z978">
        <f t="shared" si="546"/>
        <v>0</v>
      </c>
      <c r="AA978">
        <f t="shared" si="547"/>
        <v>0</v>
      </c>
      <c r="AC978">
        <f t="shared" si="548"/>
        <v>1045.25</v>
      </c>
      <c r="AD978">
        <f t="shared" si="549"/>
        <v>0</v>
      </c>
      <c r="AE978">
        <f t="shared" si="550"/>
        <v>0</v>
      </c>
      <c r="AF978">
        <f t="shared" si="551"/>
        <v>0</v>
      </c>
      <c r="AG978">
        <f t="shared" si="552"/>
        <v>0</v>
      </c>
      <c r="AH978">
        <f t="shared" si="553"/>
        <v>0</v>
      </c>
      <c r="AJ978">
        <f t="shared" si="554"/>
        <v>1239.01</v>
      </c>
      <c r="AK978">
        <f t="shared" si="555"/>
        <v>0</v>
      </c>
      <c r="AL978">
        <f t="shared" si="556"/>
        <v>0</v>
      </c>
      <c r="AM978">
        <f t="shared" si="557"/>
        <v>0</v>
      </c>
      <c r="AN978">
        <f t="shared" si="558"/>
        <v>0</v>
      </c>
      <c r="AO978">
        <f t="shared" si="559"/>
        <v>0</v>
      </c>
    </row>
    <row r="979" spans="1:41" x14ac:dyDescent="0.45">
      <c r="A979">
        <v>48.546118939999999</v>
      </c>
      <c r="B979">
        <v>117.855036</v>
      </c>
      <c r="C979">
        <v>1.6503210100000001</v>
      </c>
      <c r="D979">
        <v>6.0265269300000002</v>
      </c>
      <c r="E979">
        <f t="shared" si="525"/>
        <v>1.6503210100000001</v>
      </c>
      <c r="F979">
        <f t="shared" si="526"/>
        <v>0</v>
      </c>
      <c r="G979">
        <f t="shared" si="527"/>
        <v>0</v>
      </c>
      <c r="H979">
        <f t="shared" si="528"/>
        <v>0</v>
      </c>
      <c r="I979">
        <f t="shared" si="529"/>
        <v>0</v>
      </c>
      <c r="J979">
        <f t="shared" si="530"/>
        <v>0</v>
      </c>
      <c r="K979" s="1">
        <f t="shared" si="531"/>
        <v>0</v>
      </c>
      <c r="L979" s="1">
        <f t="shared" si="532"/>
        <v>0</v>
      </c>
      <c r="M979" s="1">
        <f t="shared" si="533"/>
        <v>0</v>
      </c>
      <c r="N979" s="1">
        <f t="shared" si="534"/>
        <v>0</v>
      </c>
      <c r="O979" s="1">
        <f t="shared" si="535"/>
        <v>0</v>
      </c>
      <c r="P979" s="1">
        <f t="shared" si="536"/>
        <v>6.846070005033563</v>
      </c>
      <c r="Q979" s="1" t="e">
        <f t="shared" si="537"/>
        <v>#DIV/0!</v>
      </c>
      <c r="R979" s="1" t="e">
        <f t="shared" si="538"/>
        <v>#DIV/0!</v>
      </c>
      <c r="S979" s="1" t="e">
        <f t="shared" si="539"/>
        <v>#DIV/0!</v>
      </c>
      <c r="T979" s="1" t="e">
        <f t="shared" si="540"/>
        <v>#DIV/0!</v>
      </c>
      <c r="U979" s="1" t="e">
        <f t="shared" si="541"/>
        <v>#DIV/0!</v>
      </c>
      <c r="V979">
        <f t="shared" si="542"/>
        <v>261.47727516359078</v>
      </c>
      <c r="W979">
        <f t="shared" si="543"/>
        <v>0</v>
      </c>
      <c r="X979">
        <f t="shared" si="544"/>
        <v>0</v>
      </c>
      <c r="Y979">
        <f t="shared" si="545"/>
        <v>0</v>
      </c>
      <c r="Z979">
        <f t="shared" si="546"/>
        <v>0</v>
      </c>
      <c r="AA979">
        <f t="shared" si="547"/>
        <v>0</v>
      </c>
      <c r="AC979">
        <f t="shared" si="548"/>
        <v>319.09280020134253</v>
      </c>
      <c r="AD979">
        <f t="shared" si="549"/>
        <v>0</v>
      </c>
      <c r="AE979">
        <f t="shared" si="550"/>
        <v>0</v>
      </c>
      <c r="AF979">
        <f t="shared" si="551"/>
        <v>0</v>
      </c>
      <c r="AG979">
        <f t="shared" si="552"/>
        <v>0</v>
      </c>
      <c r="AH979">
        <f t="shared" si="553"/>
        <v>0</v>
      </c>
      <c r="AJ979">
        <f t="shared" si="554"/>
        <v>376.69832523909423</v>
      </c>
      <c r="AK979">
        <f t="shared" si="555"/>
        <v>0</v>
      </c>
      <c r="AL979">
        <f t="shared" si="556"/>
        <v>0</v>
      </c>
      <c r="AM979">
        <f t="shared" si="557"/>
        <v>0</v>
      </c>
      <c r="AN979">
        <f t="shared" si="558"/>
        <v>0</v>
      </c>
      <c r="AO979">
        <f t="shared" si="559"/>
        <v>0</v>
      </c>
    </row>
    <row r="980" spans="1:41" x14ac:dyDescent="0.45">
      <c r="A980">
        <v>48.551560440000003</v>
      </c>
      <c r="B980">
        <v>117.7882175</v>
      </c>
      <c r="C980">
        <v>1.6503210100000001</v>
      </c>
      <c r="D980">
        <v>1.28356504</v>
      </c>
      <c r="E980">
        <f t="shared" si="525"/>
        <v>1.28356504</v>
      </c>
      <c r="F980">
        <f t="shared" si="526"/>
        <v>0</v>
      </c>
      <c r="G980">
        <f t="shared" si="527"/>
        <v>0</v>
      </c>
      <c r="H980">
        <f t="shared" si="528"/>
        <v>0</v>
      </c>
      <c r="I980">
        <f t="shared" si="529"/>
        <v>0</v>
      </c>
      <c r="J980">
        <f t="shared" si="530"/>
        <v>0</v>
      </c>
      <c r="K980" s="1">
        <f t="shared" si="531"/>
        <v>0</v>
      </c>
      <c r="L980" s="1">
        <f t="shared" si="532"/>
        <v>0</v>
      </c>
      <c r="M980" s="1">
        <f t="shared" si="533"/>
        <v>0</v>
      </c>
      <c r="N980" s="1">
        <f t="shared" si="534"/>
        <v>0</v>
      </c>
      <c r="O980" s="1">
        <f t="shared" si="535"/>
        <v>0</v>
      </c>
      <c r="P980" s="1">
        <f t="shared" si="536"/>
        <v>25</v>
      </c>
      <c r="Q980" s="1" t="e">
        <f t="shared" si="537"/>
        <v>#DIV/0!</v>
      </c>
      <c r="R980" s="1" t="e">
        <f t="shared" si="538"/>
        <v>#DIV/0!</v>
      </c>
      <c r="S980" s="1" t="e">
        <f t="shared" si="539"/>
        <v>#DIV/0!</v>
      </c>
      <c r="T980" s="1" t="e">
        <f t="shared" si="540"/>
        <v>#DIV/0!</v>
      </c>
      <c r="U980" s="1" t="e">
        <f t="shared" si="541"/>
        <v>#DIV/0!</v>
      </c>
      <c r="V980">
        <f t="shared" si="542"/>
        <v>851.48</v>
      </c>
      <c r="W980">
        <f t="shared" si="543"/>
        <v>0</v>
      </c>
      <c r="X980">
        <f t="shared" si="544"/>
        <v>0</v>
      </c>
      <c r="Y980">
        <f t="shared" si="545"/>
        <v>0</v>
      </c>
      <c r="Z980">
        <f t="shared" si="546"/>
        <v>0</v>
      </c>
      <c r="AA980">
        <f t="shared" si="547"/>
        <v>0</v>
      </c>
      <c r="AC980">
        <f t="shared" si="548"/>
        <v>1045.25</v>
      </c>
      <c r="AD980">
        <f t="shared" si="549"/>
        <v>0</v>
      </c>
      <c r="AE980">
        <f t="shared" si="550"/>
        <v>0</v>
      </c>
      <c r="AF980">
        <f t="shared" si="551"/>
        <v>0</v>
      </c>
      <c r="AG980">
        <f t="shared" si="552"/>
        <v>0</v>
      </c>
      <c r="AH980">
        <f t="shared" si="553"/>
        <v>0</v>
      </c>
      <c r="AJ980">
        <f t="shared" si="554"/>
        <v>1239.01</v>
      </c>
      <c r="AK980">
        <f t="shared" si="555"/>
        <v>0</v>
      </c>
      <c r="AL980">
        <f t="shared" si="556"/>
        <v>0</v>
      </c>
      <c r="AM980">
        <f t="shared" si="557"/>
        <v>0</v>
      </c>
      <c r="AN980">
        <f t="shared" si="558"/>
        <v>0</v>
      </c>
      <c r="AO980">
        <f t="shared" si="559"/>
        <v>0</v>
      </c>
    </row>
    <row r="981" spans="1:41" x14ac:dyDescent="0.45">
      <c r="A981">
        <v>48.579495710000003</v>
      </c>
      <c r="B981">
        <v>117.996954</v>
      </c>
      <c r="C981">
        <v>1.6503210100000001</v>
      </c>
      <c r="D981">
        <v>0.23902100000000001</v>
      </c>
      <c r="E981">
        <f t="shared" si="525"/>
        <v>0.23902100000000001</v>
      </c>
      <c r="F981">
        <f t="shared" si="526"/>
        <v>0</v>
      </c>
      <c r="G981">
        <f t="shared" si="527"/>
        <v>0</v>
      </c>
      <c r="H981">
        <f t="shared" si="528"/>
        <v>0</v>
      </c>
      <c r="I981">
        <f t="shared" si="529"/>
        <v>0</v>
      </c>
      <c r="J981">
        <f t="shared" si="530"/>
        <v>0</v>
      </c>
      <c r="K981" s="1">
        <f t="shared" si="531"/>
        <v>0</v>
      </c>
      <c r="L981" s="1">
        <f t="shared" si="532"/>
        <v>0</v>
      </c>
      <c r="M981" s="1">
        <f t="shared" si="533"/>
        <v>0</v>
      </c>
      <c r="N981" s="1">
        <f t="shared" si="534"/>
        <v>0</v>
      </c>
      <c r="O981" s="1">
        <f t="shared" si="535"/>
        <v>0</v>
      </c>
      <c r="P981" s="1">
        <f t="shared" si="536"/>
        <v>25</v>
      </c>
      <c r="Q981" s="1" t="e">
        <f t="shared" si="537"/>
        <v>#DIV/0!</v>
      </c>
      <c r="R981" s="1" t="e">
        <f t="shared" si="538"/>
        <v>#DIV/0!</v>
      </c>
      <c r="S981" s="1" t="e">
        <f t="shared" si="539"/>
        <v>#DIV/0!</v>
      </c>
      <c r="T981" s="1" t="e">
        <f t="shared" si="540"/>
        <v>#DIV/0!</v>
      </c>
      <c r="U981" s="1" t="e">
        <f t="shared" si="541"/>
        <v>#DIV/0!</v>
      </c>
      <c r="V981">
        <f t="shared" si="542"/>
        <v>851.48</v>
      </c>
      <c r="W981">
        <f t="shared" si="543"/>
        <v>0</v>
      </c>
      <c r="X981">
        <f t="shared" si="544"/>
        <v>0</v>
      </c>
      <c r="Y981">
        <f t="shared" si="545"/>
        <v>0</v>
      </c>
      <c r="Z981">
        <f t="shared" si="546"/>
        <v>0</v>
      </c>
      <c r="AA981">
        <f t="shared" si="547"/>
        <v>0</v>
      </c>
      <c r="AC981">
        <f t="shared" si="548"/>
        <v>1045.25</v>
      </c>
      <c r="AD981">
        <f t="shared" si="549"/>
        <v>0</v>
      </c>
      <c r="AE981">
        <f t="shared" si="550"/>
        <v>0</v>
      </c>
      <c r="AF981">
        <f t="shared" si="551"/>
        <v>0</v>
      </c>
      <c r="AG981">
        <f t="shared" si="552"/>
        <v>0</v>
      </c>
      <c r="AH981">
        <f t="shared" si="553"/>
        <v>0</v>
      </c>
      <c r="AJ981">
        <f t="shared" si="554"/>
        <v>1239.01</v>
      </c>
      <c r="AK981">
        <f t="shared" si="555"/>
        <v>0</v>
      </c>
      <c r="AL981">
        <f t="shared" si="556"/>
        <v>0</v>
      </c>
      <c r="AM981">
        <f t="shared" si="557"/>
        <v>0</v>
      </c>
      <c r="AN981">
        <f t="shared" si="558"/>
        <v>0</v>
      </c>
      <c r="AO981">
        <f t="shared" si="559"/>
        <v>0</v>
      </c>
    </row>
  </sheetData>
  <sortState xmlns:xlrd2="http://schemas.microsoft.com/office/spreadsheetml/2017/richdata2" ref="A2:C981">
    <sortCondition ref="A1:A98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ACEN</dc:creator>
  <cp:lastModifiedBy>CAROLINE ACEN</cp:lastModifiedBy>
  <dcterms:created xsi:type="dcterms:W3CDTF">2025-07-18T17:28:50Z</dcterms:created>
  <dcterms:modified xsi:type="dcterms:W3CDTF">2026-08-12T13:06:48Z</dcterms:modified>
</cp:coreProperties>
</file>