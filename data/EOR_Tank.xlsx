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CS\1\"/>
    </mc:Choice>
  </mc:AlternateContent>
  <xr:revisionPtr revIDLastSave="0" documentId="13_ncr:1_{D130721F-F049-4375-89C2-F178AEC0D1D1}" xr6:coauthVersionLast="47" xr6:coauthVersionMax="47" xr10:uidLastSave="{00000000-0000-0000-0000-000000000000}"/>
  <bookViews>
    <workbookView xWindow="-120" yWindow="-120" windowWidth="29040" windowHeight="15840" xr2:uid="{DD3A6B1A-B09F-4147-AEBB-1ACB044CDBA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3" i="1" l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914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934" i="1"/>
  <c r="AA935" i="1"/>
  <c r="AA936" i="1"/>
  <c r="AA937" i="1"/>
  <c r="AA938" i="1"/>
  <c r="AA939" i="1"/>
  <c r="AA940" i="1"/>
  <c r="AA941" i="1"/>
  <c r="AA942" i="1"/>
  <c r="AA943" i="1"/>
  <c r="AA944" i="1"/>
  <c r="AA945" i="1"/>
  <c r="AA946" i="1"/>
  <c r="AA947" i="1"/>
  <c r="AA948" i="1"/>
  <c r="AA949" i="1"/>
  <c r="AA950" i="1"/>
  <c r="AA951" i="1"/>
  <c r="AA952" i="1"/>
  <c r="AA953" i="1"/>
  <c r="AA954" i="1"/>
  <c r="AA955" i="1"/>
  <c r="AA956" i="1"/>
  <c r="AA957" i="1"/>
  <c r="AA958" i="1"/>
  <c r="AA959" i="1"/>
  <c r="AA960" i="1"/>
  <c r="AA961" i="1"/>
  <c r="AA962" i="1"/>
  <c r="AA963" i="1"/>
  <c r="AA964" i="1"/>
  <c r="AA965" i="1"/>
  <c r="AA966" i="1"/>
  <c r="AA967" i="1"/>
  <c r="AA968" i="1"/>
  <c r="AA969" i="1"/>
  <c r="AA970" i="1"/>
  <c r="AA971" i="1"/>
  <c r="AA972" i="1"/>
  <c r="AA973" i="1"/>
  <c r="AA974" i="1"/>
  <c r="AA975" i="1"/>
  <c r="AA976" i="1"/>
  <c r="AA977" i="1"/>
  <c r="AA978" i="1"/>
  <c r="AA979" i="1"/>
  <c r="AA980" i="1"/>
  <c r="AA981" i="1"/>
  <c r="AA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2" i="1"/>
  <c r="E40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2" i="1"/>
</calcChain>
</file>

<file path=xl/sharedStrings.xml><?xml version="1.0" encoding="utf-8"?>
<sst xmlns="http://schemas.openxmlformats.org/spreadsheetml/2006/main" count="27" uniqueCount="27">
  <si>
    <t>Y</t>
  </si>
  <si>
    <t>X</t>
  </si>
  <si>
    <t>Injection Rate</t>
  </si>
  <si>
    <t>Storage Potential</t>
  </si>
  <si>
    <t>S_2030 (t-1)</t>
  </si>
  <si>
    <t>S_2035 (t-1)</t>
  </si>
  <si>
    <t>S_2040 (t-1)</t>
  </si>
  <si>
    <t>S_2045 (t-1)</t>
  </si>
  <si>
    <t>S_2050 (t-1)</t>
  </si>
  <si>
    <t>Cost_min_2025</t>
  </si>
  <si>
    <t>Cost_min_2030</t>
  </si>
  <si>
    <t>Cost_min_2035</t>
  </si>
  <si>
    <t>Cost_min_2040</t>
  </si>
  <si>
    <t>Cost_min_2045</t>
  </si>
  <si>
    <t>Cost_min_2050</t>
  </si>
  <si>
    <t>Cost_avg_2025</t>
  </si>
  <si>
    <t>Cost_avg_2030</t>
  </si>
  <si>
    <t>Cost_avg_2035</t>
  </si>
  <si>
    <t>Cost_avg_2040</t>
  </si>
  <si>
    <t>Cost_avg_2045</t>
  </si>
  <si>
    <t>Cost_avg_2050</t>
  </si>
  <si>
    <t>Cost_max_2025</t>
  </si>
  <si>
    <t>Cost_max_2030</t>
  </si>
  <si>
    <t>Cost_max_2035</t>
  </si>
  <si>
    <t>Cost_max_2040</t>
  </si>
  <si>
    <t>Cost_max_2045</t>
  </si>
  <si>
    <t>Cost_max_2050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</si>
</sst>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1D196-02A4-44EB-BACF-4E4EC61D6024}">
  <dimension ref="A1:AE981"/>
  <sheetViews>
    <sheetView tabSelected="1" workbookViewId="0">
      <selection activeCell="AB17" sqref="AB17"/>
    </sheetView>
  </sheetViews>
  <sheetFormatPr defaultRowHeight="15" x14ac:dyDescent="0.25"/>
  <cols>
    <col min="1" max="1" width="14.5703125" customWidth="1"/>
    <col min="2" max="2" width="12.42578125" customWidth="1"/>
    <col min="3" max="3" width="16.5703125" customWidth="1"/>
    <col min="4" max="5" width="15.140625" customWidth="1"/>
    <col min="6" max="6" width="17.5703125" customWidth="1"/>
    <col min="7" max="7" width="17.28515625" customWidth="1"/>
    <col min="8" max="9" width="19.28515625" customWidth="1"/>
    <col min="10" max="10" width="14.7109375" customWidth="1"/>
    <col min="11" max="11" width="9" style="1" customWidth="1"/>
    <col min="12" max="12" width="16" customWidth="1"/>
    <col min="13" max="14" width="17" customWidth="1"/>
    <col min="15" max="15" width="18.5703125" customWidth="1"/>
    <col min="16" max="16" width="16.85546875" customWidth="1"/>
    <col min="17" max="17" width="15.85546875" customWidth="1"/>
    <col min="18" max="18" width="9.140625" style="1"/>
    <col min="19" max="19" width="14.140625" customWidth="1"/>
    <col min="20" max="20" width="16.5703125" customWidth="1"/>
    <col min="21" max="22" width="15.140625" customWidth="1"/>
    <col min="23" max="23" width="17.5703125" customWidth="1"/>
    <col min="24" max="24" width="16.140625" customWidth="1"/>
    <col min="26" max="27" width="15.28515625" customWidth="1"/>
    <col min="28" max="28" width="14.7109375" customWidth="1"/>
    <col min="29" max="29" width="14.85546875" customWidth="1"/>
    <col min="30" max="30" width="15" customWidth="1"/>
    <col min="31" max="31" width="15.140625" customWidth="1"/>
  </cols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</row>
    <row r="2" spans="1:31" x14ac:dyDescent="0.25">
      <c r="A2">
        <v>17.247992409999998</v>
      </c>
      <c r="B2">
        <v>108.6683958</v>
      </c>
      <c r="C2">
        <v>0.60592902000000004</v>
      </c>
      <c r="D2">
        <v>0.47579800999999999</v>
      </c>
      <c r="E2" t="b">
        <f>D2&gt;C2</f>
        <v>0</v>
      </c>
      <c r="F2">
        <f>D2-(C2*(2030-2025))</f>
        <v>-2.5538470900000001</v>
      </c>
      <c r="G2">
        <f>D2-(C2*(2035-2025))</f>
        <v>-5.5834921900000003</v>
      </c>
      <c r="H2">
        <f>D2-(C2*(2040-2025))</f>
        <v>-8.6131372900000009</v>
      </c>
      <c r="I2">
        <f>D2-(C2*(2045-2025))</f>
        <v>-11.642782390000001</v>
      </c>
      <c r="J2">
        <f>D2-(C2*(2050-2025))</f>
        <v>-14.67242749</v>
      </c>
      <c r="L2">
        <f>MIN(C2,D2)*1000000*((280/250)+0.9)</f>
        <v>961111.98019999999</v>
      </c>
      <c r="M2">
        <f>MIN(C2,F2)*1000000*((230/250)+0.8)</f>
        <v>-4392616.9948000014</v>
      </c>
      <c r="N2">
        <f>MIN(C2,G2)*1000000*((195/250)+0.7)</f>
        <v>-8263568.4412000002</v>
      </c>
      <c r="O2">
        <f>MIN(C2,H2)*1000000*((130/250)+0.6)</f>
        <v>-9646713.7648000028</v>
      </c>
      <c r="P2">
        <f>MIN(C2,I2)*1000000*((105/250)+0.5)</f>
        <v>-10711359.798799999</v>
      </c>
      <c r="Q2">
        <f>MIN(C2,J2)*1000000*((90/250)+0.5)</f>
        <v>-12618287.6414</v>
      </c>
      <c r="S2">
        <f>MIN(C2,D2)*1000000*((325/250)+1.15)</f>
        <v>1165705.1245000002</v>
      </c>
      <c r="T2">
        <f>MIN(C2,G2)*1000000*((280/250)+1.05)</f>
        <v>-12116178.052300001</v>
      </c>
      <c r="U2">
        <f>MIN(C2,G2)*1000000*((227.5/250)+0.95)</f>
        <v>-10385295.4734</v>
      </c>
      <c r="V2">
        <f>MIN(C2,H2)*1000000*((142.5/250)+0.85)</f>
        <v>-12230654.9518</v>
      </c>
      <c r="W2">
        <f>MIN(C2,I2)*1000000*((142.5/250)+0.8)</f>
        <v>-15950611.874300001</v>
      </c>
      <c r="X2">
        <f>MIN(C2,J2)*1000000*((117.5/250)+0.75)</f>
        <v>-17900361.537799999</v>
      </c>
      <c r="Z2">
        <f>MIN(C2,D2)*1000000*((370/250)+1.4)</f>
        <v>1370298.2688</v>
      </c>
      <c r="AA2">
        <f>MIN(C2,F2)*1000000*((330/250)+1.3)</f>
        <v>-6691079.3758000014</v>
      </c>
      <c r="AB2">
        <f>MIN(C2,G2)*1000000*((260/250)+1.2)</f>
        <v>-12507022.505600002</v>
      </c>
      <c r="AC2">
        <f>MIN(C2,H2)*1000000*((215/250)+1.1)</f>
        <v>-16881749.088400003</v>
      </c>
      <c r="AD2">
        <f>MIN(C2,I2)*1000000*((180/250)+1.1)</f>
        <v>-21189863.949800003</v>
      </c>
      <c r="AE2">
        <f>MIN(C2,J2)*1000000*((145/250)+1)</f>
        <v>-23182435.4342</v>
      </c>
    </row>
    <row r="3" spans="1:31" x14ac:dyDescent="0.25">
      <c r="A3">
        <v>18.06815937</v>
      </c>
      <c r="B3">
        <v>110.29891689999999</v>
      </c>
      <c r="C3">
        <v>38.298469539999999</v>
      </c>
      <c r="D3">
        <v>0.48972300000000002</v>
      </c>
      <c r="E3" t="b">
        <f t="shared" ref="E3:E66" si="0">D3&gt;C3</f>
        <v>0</v>
      </c>
      <c r="F3">
        <f t="shared" ref="F3:F66" si="1">D3-(C3*(2030-2025))</f>
        <v>-191.00262469999998</v>
      </c>
      <c r="G3">
        <f t="shared" ref="G3:G66" si="2">D3-(C3*(2035-2025))</f>
        <v>-382.49497239999994</v>
      </c>
      <c r="H3">
        <f t="shared" ref="H3:H66" si="3">D3-(C3*(2040-2025))</f>
        <v>-573.98732009999992</v>
      </c>
      <c r="I3">
        <f t="shared" ref="I3:I66" si="4">D3-(C3*(2045-2025))</f>
        <v>-765.4796677999999</v>
      </c>
      <c r="J3">
        <f t="shared" ref="J3:J66" si="5">D3-(C3*(2050-2025))</f>
        <v>-956.9720155</v>
      </c>
      <c r="L3">
        <f t="shared" ref="L3:L66" si="6">MIN(C3,D3)*1000000*((280/250)+0.9)</f>
        <v>989240.46</v>
      </c>
      <c r="M3">
        <f t="shared" ref="M3:M66" si="7">MIN(C3,F3)*1000000*((230/250)+0.8)</f>
        <v>-328524514.48400003</v>
      </c>
      <c r="N3">
        <f t="shared" ref="N3:N66" si="8">MIN(C3,G3)*1000000*((195/250)+0.7)</f>
        <v>-566092559.15199983</v>
      </c>
      <c r="O3">
        <f t="shared" ref="O3:O66" si="9">MIN(C3,H3)*1000000*((130/250)+0.6)</f>
        <v>-642865798.51199996</v>
      </c>
      <c r="P3">
        <f t="shared" ref="P3:P66" si="10">MIN(C3,I3)*1000000*((105/250)+0.5)</f>
        <v>-704241294.37599993</v>
      </c>
      <c r="Q3">
        <f t="shared" ref="Q3:Q66" si="11">MIN(C3,J3)*1000000*((90/250)+0.5)</f>
        <v>-822995933.33000004</v>
      </c>
      <c r="S3">
        <f t="shared" ref="S3:S66" si="12">MIN(C3,D3)*1000000*((325/250)+1.15)</f>
        <v>1199821.3500000001</v>
      </c>
      <c r="T3">
        <f t="shared" ref="T3:T66" si="13">MIN(C3,G3)*1000000*((280/250)+1.05)</f>
        <v>-830014090.1079998</v>
      </c>
      <c r="U3">
        <f t="shared" ref="U3:U66" si="14">MIN(C3,G3)*1000000*((227.5/250)+0.95)</f>
        <v>-711440648.6639998</v>
      </c>
      <c r="V3">
        <f t="shared" ref="V3:V66" si="15">MIN(C3,H3)*1000000*((142.5/250)+0.85)</f>
        <v>-815061994.54199982</v>
      </c>
      <c r="W3">
        <f t="shared" ref="W3:W66" si="16">MIN(C3,I3)*1000000*((142.5/250)+0.8)</f>
        <v>-1048707144.886</v>
      </c>
      <c r="X3">
        <f t="shared" ref="X3:X66" si="17">MIN(C3,J3)*1000000*((117.5/250)+0.75)</f>
        <v>-1167505858.9100001</v>
      </c>
      <c r="Z3">
        <f t="shared" ref="Z3:Z66" si="18">MIN(C3,D3)*1000000*((370/250)+1.4)</f>
        <v>1410402.24</v>
      </c>
      <c r="AA3">
        <f t="shared" ref="AA3:AA66" si="19">MIN(C3,F3)*1000000*((330/250)+1.3)</f>
        <v>-500426876.71399999</v>
      </c>
      <c r="AB3">
        <f t="shared" ref="AB3:AB66" si="20">MIN(C3,G3)*1000000*((260/250)+1.2)</f>
        <v>-856788738.17599988</v>
      </c>
      <c r="AC3">
        <f t="shared" ref="AC3:AC66" si="21">MIN(C3,H3)*1000000*((215/250)+1.1)</f>
        <v>-1125015147.3959999</v>
      </c>
      <c r="AD3">
        <f t="shared" ref="AD3:AD66" si="22">MIN(C3,I3)*1000000*((180/250)+1.1)</f>
        <v>-1393172995.3959999</v>
      </c>
      <c r="AE3">
        <f t="shared" ref="AE3:AE66" si="23">MIN(C3,J3)*1000000*((145/250)+1)</f>
        <v>-1512015784.49</v>
      </c>
    </row>
    <row r="4" spans="1:31" x14ac:dyDescent="0.25">
      <c r="A4">
        <v>19.42620406</v>
      </c>
      <c r="B4">
        <v>112.1812419</v>
      </c>
      <c r="C4">
        <v>1.69117999</v>
      </c>
      <c r="D4">
        <v>1.83645999</v>
      </c>
      <c r="E4" t="b">
        <f t="shared" si="0"/>
        <v>1</v>
      </c>
      <c r="F4">
        <f t="shared" si="1"/>
        <v>-6.6194399599999993</v>
      </c>
      <c r="G4">
        <f t="shared" si="2"/>
        <v>-15.075339909999999</v>
      </c>
      <c r="H4">
        <f t="shared" si="3"/>
        <v>-23.531239859999999</v>
      </c>
      <c r="I4">
        <f t="shared" si="4"/>
        <v>-31.987139809999995</v>
      </c>
      <c r="J4">
        <f t="shared" si="5"/>
        <v>-40.443039759999998</v>
      </c>
      <c r="L4">
        <f t="shared" si="6"/>
        <v>3416183.5797999999</v>
      </c>
      <c r="M4">
        <f t="shared" si="7"/>
        <v>-11385436.7312</v>
      </c>
      <c r="N4">
        <f t="shared" si="8"/>
        <v>-22311503.066799998</v>
      </c>
      <c r="O4">
        <f t="shared" si="9"/>
        <v>-26354988.643200003</v>
      </c>
      <c r="P4">
        <f t="shared" si="10"/>
        <v>-29428168.625199992</v>
      </c>
      <c r="Q4">
        <f t="shared" si="11"/>
        <v>-34781014.193599999</v>
      </c>
      <c r="S4">
        <f t="shared" si="12"/>
        <v>4143390.9755000002</v>
      </c>
      <c r="T4">
        <f t="shared" si="13"/>
        <v>-32713487.604699995</v>
      </c>
      <c r="U4">
        <f t="shared" si="14"/>
        <v>-28040132.232599996</v>
      </c>
      <c r="V4">
        <f t="shared" si="15"/>
        <v>-33414360.601199996</v>
      </c>
      <c r="W4">
        <f t="shared" si="16"/>
        <v>-43822381.539699994</v>
      </c>
      <c r="X4">
        <f t="shared" si="17"/>
        <v>-49340508.507199995</v>
      </c>
      <c r="Z4">
        <f t="shared" si="18"/>
        <v>4870598.3711999999</v>
      </c>
      <c r="AA4">
        <f t="shared" si="19"/>
        <v>-17342932.6952</v>
      </c>
      <c r="AB4">
        <f t="shared" si="20"/>
        <v>-33768761.398400001</v>
      </c>
      <c r="AC4">
        <f t="shared" si="21"/>
        <v>-46121230.125599995</v>
      </c>
      <c r="AD4">
        <f t="shared" si="22"/>
        <v>-58216594.454199992</v>
      </c>
      <c r="AE4">
        <f t="shared" si="23"/>
        <v>-63900002.820799999</v>
      </c>
    </row>
    <row r="5" spans="1:31" x14ac:dyDescent="0.25">
      <c r="A5">
        <v>19.42901049</v>
      </c>
      <c r="B5">
        <v>112.13477570000001</v>
      </c>
      <c r="C5">
        <v>2.11266708</v>
      </c>
      <c r="D5">
        <v>18.783309939999999</v>
      </c>
      <c r="E5" t="b">
        <f t="shared" si="0"/>
        <v>1</v>
      </c>
      <c r="F5">
        <f t="shared" si="1"/>
        <v>8.2199745399999991</v>
      </c>
      <c r="G5">
        <f t="shared" si="2"/>
        <v>-2.3433608600000007</v>
      </c>
      <c r="H5">
        <f t="shared" si="3"/>
        <v>-12.90669626</v>
      </c>
      <c r="I5">
        <f t="shared" si="4"/>
        <v>-23.47003166</v>
      </c>
      <c r="J5">
        <f t="shared" si="5"/>
        <v>-34.033367060000003</v>
      </c>
      <c r="L5">
        <f t="shared" si="6"/>
        <v>4267587.5016000001</v>
      </c>
      <c r="M5">
        <f t="shared" si="7"/>
        <v>3633787.3776000007</v>
      </c>
      <c r="N5">
        <f t="shared" si="8"/>
        <v>-3468174.0728000011</v>
      </c>
      <c r="O5">
        <f t="shared" si="9"/>
        <v>-14455499.8112</v>
      </c>
      <c r="P5">
        <f t="shared" si="10"/>
        <v>-21592429.1272</v>
      </c>
      <c r="Q5">
        <f t="shared" si="11"/>
        <v>-29268695.671600003</v>
      </c>
      <c r="S5">
        <f t="shared" si="12"/>
        <v>5176034.3460000008</v>
      </c>
      <c r="T5">
        <f t="shared" si="13"/>
        <v>-5085093.0662000012</v>
      </c>
      <c r="U5">
        <f t="shared" si="14"/>
        <v>-4358651.1996000009</v>
      </c>
      <c r="V5">
        <f t="shared" si="15"/>
        <v>-18327508.689199999</v>
      </c>
      <c r="W5">
        <f t="shared" si="16"/>
        <v>-32153943.374200001</v>
      </c>
      <c r="X5">
        <f t="shared" si="17"/>
        <v>-41520707.813200004</v>
      </c>
      <c r="Z5">
        <f t="shared" si="18"/>
        <v>6084481.1903999997</v>
      </c>
      <c r="AA5">
        <f t="shared" si="19"/>
        <v>5535187.7496000007</v>
      </c>
      <c r="AB5">
        <f t="shared" si="20"/>
        <v>-5249128.3264000025</v>
      </c>
      <c r="AC5">
        <f t="shared" si="21"/>
        <v>-25297124.669599999</v>
      </c>
      <c r="AD5">
        <f t="shared" si="22"/>
        <v>-42715457.621200003</v>
      </c>
      <c r="AE5">
        <f t="shared" si="23"/>
        <v>-53772719.95480001</v>
      </c>
    </row>
    <row r="6" spans="1:31" x14ac:dyDescent="0.25">
      <c r="A6">
        <v>19.4317958</v>
      </c>
      <c r="B6">
        <v>112.0883066</v>
      </c>
      <c r="C6">
        <v>1.69117999</v>
      </c>
      <c r="D6">
        <v>1.83645999</v>
      </c>
      <c r="E6" t="b">
        <f t="shared" si="0"/>
        <v>1</v>
      </c>
      <c r="F6">
        <f t="shared" si="1"/>
        <v>-6.6194399599999993</v>
      </c>
      <c r="G6">
        <f t="shared" si="2"/>
        <v>-15.075339909999999</v>
      </c>
      <c r="H6">
        <f t="shared" si="3"/>
        <v>-23.531239859999999</v>
      </c>
      <c r="I6">
        <f t="shared" si="4"/>
        <v>-31.987139809999995</v>
      </c>
      <c r="J6">
        <f t="shared" si="5"/>
        <v>-40.443039759999998</v>
      </c>
      <c r="L6">
        <f t="shared" si="6"/>
        <v>3416183.5797999999</v>
      </c>
      <c r="M6">
        <f t="shared" si="7"/>
        <v>-11385436.7312</v>
      </c>
      <c r="N6">
        <f t="shared" si="8"/>
        <v>-22311503.066799998</v>
      </c>
      <c r="O6">
        <f t="shared" si="9"/>
        <v>-26354988.643200003</v>
      </c>
      <c r="P6">
        <f t="shared" si="10"/>
        <v>-29428168.625199992</v>
      </c>
      <c r="Q6">
        <f t="shared" si="11"/>
        <v>-34781014.193599999</v>
      </c>
      <c r="S6">
        <f t="shared" si="12"/>
        <v>4143390.9755000002</v>
      </c>
      <c r="T6">
        <f t="shared" si="13"/>
        <v>-32713487.604699995</v>
      </c>
      <c r="U6">
        <f t="shared" si="14"/>
        <v>-28040132.232599996</v>
      </c>
      <c r="V6">
        <f t="shared" si="15"/>
        <v>-33414360.601199996</v>
      </c>
      <c r="W6">
        <f t="shared" si="16"/>
        <v>-43822381.539699994</v>
      </c>
      <c r="X6">
        <f t="shared" si="17"/>
        <v>-49340508.507199995</v>
      </c>
      <c r="Z6">
        <f t="shared" si="18"/>
        <v>4870598.3711999999</v>
      </c>
      <c r="AA6">
        <f t="shared" si="19"/>
        <v>-17342932.6952</v>
      </c>
      <c r="AB6">
        <f t="shared" si="20"/>
        <v>-33768761.398400001</v>
      </c>
      <c r="AC6">
        <f t="shared" si="21"/>
        <v>-46121230.125599995</v>
      </c>
      <c r="AD6">
        <f t="shared" si="22"/>
        <v>-58216594.454199992</v>
      </c>
      <c r="AE6">
        <f t="shared" si="23"/>
        <v>-63900002.820799999</v>
      </c>
    </row>
    <row r="7" spans="1:31" x14ac:dyDescent="0.25">
      <c r="A7">
        <v>19.455932260000001</v>
      </c>
      <c r="B7">
        <v>112.4166117</v>
      </c>
      <c r="C7">
        <v>0.42279499999999998</v>
      </c>
      <c r="D7">
        <v>3.6729190300000001</v>
      </c>
      <c r="E7" t="b">
        <f t="shared" si="0"/>
        <v>1</v>
      </c>
      <c r="F7">
        <f t="shared" si="1"/>
        <v>1.5589440300000001</v>
      </c>
      <c r="G7">
        <f t="shared" si="2"/>
        <v>-0.55503096999999979</v>
      </c>
      <c r="H7">
        <f t="shared" si="3"/>
        <v>-2.6690059699999997</v>
      </c>
      <c r="I7">
        <f t="shared" si="4"/>
        <v>-4.7829809699999997</v>
      </c>
      <c r="J7">
        <f t="shared" si="5"/>
        <v>-6.8969559699999996</v>
      </c>
      <c r="L7">
        <f t="shared" si="6"/>
        <v>854045.9</v>
      </c>
      <c r="M7">
        <f t="shared" si="7"/>
        <v>727207.40000000014</v>
      </c>
      <c r="N7">
        <f t="shared" si="8"/>
        <v>-821445.83559999964</v>
      </c>
      <c r="O7">
        <f t="shared" si="9"/>
        <v>-2989286.6864</v>
      </c>
      <c r="P7">
        <f t="shared" si="10"/>
        <v>-4400342.4923999999</v>
      </c>
      <c r="Q7">
        <f t="shared" si="11"/>
        <v>-5931382.1341999993</v>
      </c>
      <c r="S7">
        <f t="shared" si="12"/>
        <v>1035847.7500000001</v>
      </c>
      <c r="T7">
        <f t="shared" si="13"/>
        <v>-1204417.2048999993</v>
      </c>
      <c r="U7">
        <f t="shared" si="14"/>
        <v>-1032357.6041999995</v>
      </c>
      <c r="V7">
        <f t="shared" si="15"/>
        <v>-3789988.4773999993</v>
      </c>
      <c r="W7">
        <f t="shared" si="16"/>
        <v>-6552683.9288999997</v>
      </c>
      <c r="X7">
        <f t="shared" si="17"/>
        <v>-8414286.2833999991</v>
      </c>
      <c r="Z7">
        <f t="shared" si="18"/>
        <v>1217649.5999999999</v>
      </c>
      <c r="AA7">
        <f t="shared" si="19"/>
        <v>1107722.9000000001</v>
      </c>
      <c r="AB7">
        <f t="shared" si="20"/>
        <v>-1243269.3727999995</v>
      </c>
      <c r="AC7">
        <f t="shared" si="21"/>
        <v>-5231251.7011999991</v>
      </c>
      <c r="AD7">
        <f t="shared" si="22"/>
        <v>-8705025.3653999995</v>
      </c>
      <c r="AE7">
        <f t="shared" si="23"/>
        <v>-10897190.432600001</v>
      </c>
    </row>
    <row r="8" spans="1:31" x14ac:dyDescent="0.25">
      <c r="A8">
        <v>19.46746134</v>
      </c>
      <c r="B8">
        <v>112.23069820000001</v>
      </c>
      <c r="C8">
        <v>1.6207139500000001</v>
      </c>
      <c r="D8">
        <v>1.9833760300000001</v>
      </c>
      <c r="E8" t="b">
        <f t="shared" si="0"/>
        <v>1</v>
      </c>
      <c r="F8">
        <f t="shared" si="1"/>
        <v>-6.1201937199999996</v>
      </c>
      <c r="G8">
        <f t="shared" si="2"/>
        <v>-14.22376347</v>
      </c>
      <c r="H8">
        <f t="shared" si="3"/>
        <v>-22.327333220000003</v>
      </c>
      <c r="I8">
        <f t="shared" si="4"/>
        <v>-30.430902970000002</v>
      </c>
      <c r="J8">
        <f t="shared" si="5"/>
        <v>-38.534472719999997</v>
      </c>
      <c r="L8">
        <f t="shared" si="6"/>
        <v>3273842.1790000005</v>
      </c>
      <c r="M8">
        <f t="shared" si="7"/>
        <v>-10526733.1984</v>
      </c>
      <c r="N8">
        <f t="shared" si="8"/>
        <v>-21051169.935600001</v>
      </c>
      <c r="O8">
        <f t="shared" si="9"/>
        <v>-25006613.206400007</v>
      </c>
      <c r="P8">
        <f t="shared" si="10"/>
        <v>-27996430.7324</v>
      </c>
      <c r="Q8">
        <f t="shared" si="11"/>
        <v>-33139646.539199997</v>
      </c>
      <c r="S8">
        <f t="shared" si="12"/>
        <v>3970749.1775000007</v>
      </c>
      <c r="T8">
        <f t="shared" si="13"/>
        <v>-30865566.729899999</v>
      </c>
      <c r="U8">
        <f t="shared" si="14"/>
        <v>-26456200.054200001</v>
      </c>
      <c r="V8">
        <f t="shared" si="15"/>
        <v>-31704813.172400001</v>
      </c>
      <c r="W8">
        <f t="shared" si="16"/>
        <v>-41690337.068900004</v>
      </c>
      <c r="X8">
        <f t="shared" si="17"/>
        <v>-47012056.718399994</v>
      </c>
      <c r="Z8">
        <f t="shared" si="18"/>
        <v>4667656.176</v>
      </c>
      <c r="AA8">
        <f t="shared" si="19"/>
        <v>-16034907.546399999</v>
      </c>
      <c r="AB8">
        <f t="shared" si="20"/>
        <v>-31861230.172800004</v>
      </c>
      <c r="AC8">
        <f t="shared" si="21"/>
        <v>-43761573.111200005</v>
      </c>
      <c r="AD8">
        <f t="shared" si="22"/>
        <v>-55384243.405400008</v>
      </c>
      <c r="AE8">
        <f t="shared" si="23"/>
        <v>-60884466.897600003</v>
      </c>
    </row>
    <row r="9" spans="1:31" x14ac:dyDescent="0.25">
      <c r="A9">
        <v>19.470290810000002</v>
      </c>
      <c r="B9">
        <v>112.1842126</v>
      </c>
      <c r="C9">
        <v>1.69117999</v>
      </c>
      <c r="D9">
        <v>1.22430599</v>
      </c>
      <c r="E9" t="b">
        <f t="shared" si="0"/>
        <v>0</v>
      </c>
      <c r="F9">
        <f t="shared" si="1"/>
        <v>-7.2315939599999997</v>
      </c>
      <c r="G9">
        <f t="shared" si="2"/>
        <v>-15.687493909999999</v>
      </c>
      <c r="H9">
        <f t="shared" si="3"/>
        <v>-24.14339386</v>
      </c>
      <c r="I9">
        <f t="shared" si="4"/>
        <v>-32.599293809999999</v>
      </c>
      <c r="J9">
        <f t="shared" si="5"/>
        <v>-41.055193760000002</v>
      </c>
      <c r="L9">
        <f t="shared" si="6"/>
        <v>2473098.0998</v>
      </c>
      <c r="M9">
        <f t="shared" si="7"/>
        <v>-12438341.611200001</v>
      </c>
      <c r="N9">
        <f t="shared" si="8"/>
        <v>-23217490.986799996</v>
      </c>
      <c r="O9">
        <f t="shared" si="9"/>
        <v>-27040601.123200003</v>
      </c>
      <c r="P9">
        <f t="shared" si="10"/>
        <v>-29991350.305199996</v>
      </c>
      <c r="Q9">
        <f t="shared" si="11"/>
        <v>-35307466.633600004</v>
      </c>
      <c r="S9">
        <f t="shared" si="12"/>
        <v>2999549.6755000004</v>
      </c>
      <c r="T9">
        <f t="shared" si="13"/>
        <v>-34041861.784699999</v>
      </c>
      <c r="U9">
        <f t="shared" si="14"/>
        <v>-29178738.672599994</v>
      </c>
      <c r="V9">
        <f t="shared" si="15"/>
        <v>-34283619.281199999</v>
      </c>
      <c r="W9">
        <f t="shared" si="16"/>
        <v>-44661032.519699998</v>
      </c>
      <c r="X9">
        <f t="shared" si="17"/>
        <v>-50087336.387200005</v>
      </c>
      <c r="Z9">
        <f t="shared" si="18"/>
        <v>3526001.2511999998</v>
      </c>
      <c r="AA9">
        <f t="shared" si="19"/>
        <v>-18946776.1752</v>
      </c>
      <c r="AB9">
        <f t="shared" si="20"/>
        <v>-35139986.358400002</v>
      </c>
      <c r="AC9">
        <f t="shared" si="21"/>
        <v>-47321051.965599999</v>
      </c>
      <c r="AD9">
        <f t="shared" si="22"/>
        <v>-59330714.734200001</v>
      </c>
      <c r="AE9">
        <f t="shared" si="23"/>
        <v>-64867206.140800014</v>
      </c>
    </row>
    <row r="10" spans="1:31" x14ac:dyDescent="0.25">
      <c r="A10">
        <v>19.486823940000001</v>
      </c>
      <c r="B10">
        <v>111.9052397</v>
      </c>
      <c r="C10">
        <v>0.33738801000000002</v>
      </c>
      <c r="D10">
        <v>1.2941700199999999</v>
      </c>
      <c r="E10" t="b">
        <f t="shared" si="0"/>
        <v>1</v>
      </c>
      <c r="F10">
        <f t="shared" si="1"/>
        <v>-0.3927700300000001</v>
      </c>
      <c r="G10">
        <f t="shared" si="2"/>
        <v>-2.0797100799999999</v>
      </c>
      <c r="H10">
        <f t="shared" si="3"/>
        <v>-3.7666501300000004</v>
      </c>
      <c r="I10">
        <f t="shared" si="4"/>
        <v>-5.45359018</v>
      </c>
      <c r="J10">
        <f t="shared" si="5"/>
        <v>-7.1405302300000004</v>
      </c>
      <c r="L10">
        <f t="shared" si="6"/>
        <v>681523.78020000004</v>
      </c>
      <c r="M10">
        <f t="shared" si="7"/>
        <v>-675564.45160000026</v>
      </c>
      <c r="N10">
        <f t="shared" si="8"/>
        <v>-3077970.9183999998</v>
      </c>
      <c r="O10">
        <f t="shared" si="9"/>
        <v>-4218648.1456000004</v>
      </c>
      <c r="P10">
        <f t="shared" si="10"/>
        <v>-5017302.9655999998</v>
      </c>
      <c r="Q10">
        <f t="shared" si="11"/>
        <v>-6140855.9978</v>
      </c>
      <c r="S10">
        <f t="shared" si="12"/>
        <v>826600.62450000003</v>
      </c>
      <c r="T10">
        <f t="shared" si="13"/>
        <v>-4512970.8735999996</v>
      </c>
      <c r="U10">
        <f t="shared" si="14"/>
        <v>-3868260.7487999992</v>
      </c>
      <c r="V10">
        <f t="shared" si="15"/>
        <v>-5348643.1846000003</v>
      </c>
      <c r="W10">
        <f t="shared" si="16"/>
        <v>-7471418.5466</v>
      </c>
      <c r="X10">
        <f t="shared" si="17"/>
        <v>-8711446.8805999998</v>
      </c>
      <c r="Z10">
        <f t="shared" si="18"/>
        <v>971677.46880000003</v>
      </c>
      <c r="AA10">
        <f t="shared" si="19"/>
        <v>-1029057.4786000003</v>
      </c>
      <c r="AB10">
        <f t="shared" si="20"/>
        <v>-4658550.5792000005</v>
      </c>
      <c r="AC10">
        <f t="shared" si="21"/>
        <v>-7382634.2548000002</v>
      </c>
      <c r="AD10">
        <f t="shared" si="22"/>
        <v>-9925534.1275999993</v>
      </c>
      <c r="AE10">
        <f t="shared" si="23"/>
        <v>-11282037.763400001</v>
      </c>
    </row>
    <row r="11" spans="1:31" x14ac:dyDescent="0.25">
      <c r="A11">
        <v>19.54117381</v>
      </c>
      <c r="B11">
        <v>112.4692993</v>
      </c>
      <c r="C11">
        <v>0.32522499999999999</v>
      </c>
      <c r="D11">
        <v>3.4043319200000002</v>
      </c>
      <c r="E11" t="b">
        <f t="shared" si="0"/>
        <v>1</v>
      </c>
      <c r="F11">
        <f t="shared" si="1"/>
        <v>1.7782069200000001</v>
      </c>
      <c r="G11">
        <f t="shared" si="2"/>
        <v>0.15208192000000009</v>
      </c>
      <c r="H11">
        <f t="shared" si="3"/>
        <v>-1.47404308</v>
      </c>
      <c r="I11">
        <f t="shared" si="4"/>
        <v>-3.10016808</v>
      </c>
      <c r="J11">
        <f t="shared" si="5"/>
        <v>-4.7262930799999996</v>
      </c>
      <c r="L11">
        <f t="shared" si="6"/>
        <v>656954.5</v>
      </c>
      <c r="M11">
        <f t="shared" si="7"/>
        <v>559387.00000000012</v>
      </c>
      <c r="N11">
        <f t="shared" si="8"/>
        <v>225081.24160000015</v>
      </c>
      <c r="O11">
        <f t="shared" si="9"/>
        <v>-1650928.2496</v>
      </c>
      <c r="P11">
        <f t="shared" si="10"/>
        <v>-2852154.6335999998</v>
      </c>
      <c r="Q11">
        <f t="shared" si="11"/>
        <v>-4064612.0487999991</v>
      </c>
      <c r="S11">
        <f t="shared" si="12"/>
        <v>796801.25</v>
      </c>
      <c r="T11">
        <f t="shared" si="13"/>
        <v>330017.7664000002</v>
      </c>
      <c r="U11">
        <f t="shared" si="14"/>
        <v>282872.37120000017</v>
      </c>
      <c r="V11">
        <f t="shared" si="15"/>
        <v>-2093141.1735999996</v>
      </c>
      <c r="W11">
        <f t="shared" si="16"/>
        <v>-4247230.2696000002</v>
      </c>
      <c r="X11">
        <f t="shared" si="17"/>
        <v>-5766077.557599999</v>
      </c>
      <c r="Z11">
        <f t="shared" si="18"/>
        <v>936648</v>
      </c>
      <c r="AA11">
        <f t="shared" si="19"/>
        <v>852089.5</v>
      </c>
      <c r="AB11">
        <f t="shared" si="20"/>
        <v>340663.50080000027</v>
      </c>
      <c r="AC11">
        <f t="shared" si="21"/>
        <v>-2889124.4367999998</v>
      </c>
      <c r="AD11">
        <f t="shared" si="22"/>
        <v>-5642305.9056000002</v>
      </c>
      <c r="AE11">
        <f t="shared" si="23"/>
        <v>-7467543.066399999</v>
      </c>
    </row>
    <row r="12" spans="1:31" x14ac:dyDescent="0.25">
      <c r="A12">
        <v>19.566864200000001</v>
      </c>
      <c r="B12">
        <v>112.0505551</v>
      </c>
      <c r="C12">
        <v>0.21276999999999999</v>
      </c>
      <c r="D12">
        <v>23.416383740000001</v>
      </c>
      <c r="E12" t="b">
        <f t="shared" si="0"/>
        <v>1</v>
      </c>
      <c r="F12">
        <f t="shared" si="1"/>
        <v>22.352533740000002</v>
      </c>
      <c r="G12">
        <f t="shared" si="2"/>
        <v>21.28868374</v>
      </c>
      <c r="H12">
        <f t="shared" si="3"/>
        <v>20.224833740000001</v>
      </c>
      <c r="I12">
        <f t="shared" si="4"/>
        <v>19.160983739999999</v>
      </c>
      <c r="J12">
        <f t="shared" si="5"/>
        <v>18.09713374</v>
      </c>
      <c r="L12">
        <f t="shared" si="6"/>
        <v>429795.4</v>
      </c>
      <c r="M12">
        <f t="shared" si="7"/>
        <v>365964.4</v>
      </c>
      <c r="N12">
        <f t="shared" si="8"/>
        <v>314899.59999999998</v>
      </c>
      <c r="O12">
        <f t="shared" si="9"/>
        <v>238302.40000000002</v>
      </c>
      <c r="P12">
        <f t="shared" si="10"/>
        <v>195748.4</v>
      </c>
      <c r="Q12">
        <f t="shared" si="11"/>
        <v>182982.2</v>
      </c>
      <c r="S12">
        <f t="shared" si="12"/>
        <v>521286.50000000006</v>
      </c>
      <c r="T12">
        <f t="shared" si="13"/>
        <v>461710.89999999997</v>
      </c>
      <c r="U12">
        <f t="shared" si="14"/>
        <v>395752.19999999995</v>
      </c>
      <c r="V12">
        <f t="shared" si="15"/>
        <v>302133.39999999997</v>
      </c>
      <c r="W12">
        <f t="shared" si="16"/>
        <v>291494.90000000002</v>
      </c>
      <c r="X12">
        <f t="shared" si="17"/>
        <v>259579.4</v>
      </c>
      <c r="Z12">
        <f t="shared" si="18"/>
        <v>612777.6</v>
      </c>
      <c r="AA12">
        <f t="shared" si="19"/>
        <v>557457.4</v>
      </c>
      <c r="AB12">
        <f t="shared" si="20"/>
        <v>476604.80000000005</v>
      </c>
      <c r="AC12">
        <f t="shared" si="21"/>
        <v>417029.2</v>
      </c>
      <c r="AD12">
        <f t="shared" si="22"/>
        <v>387241.4</v>
      </c>
      <c r="AE12">
        <f t="shared" si="23"/>
        <v>336176.60000000003</v>
      </c>
    </row>
    <row r="13" spans="1:31" x14ac:dyDescent="0.25">
      <c r="A13">
        <v>19.608211650000001</v>
      </c>
      <c r="B13">
        <v>112.1000284</v>
      </c>
      <c r="C13">
        <v>0.23639899</v>
      </c>
      <c r="D13">
        <v>23.01433372</v>
      </c>
      <c r="E13" t="b">
        <f t="shared" si="0"/>
        <v>1</v>
      </c>
      <c r="F13">
        <f t="shared" si="1"/>
        <v>21.83233877</v>
      </c>
      <c r="G13">
        <f t="shared" si="2"/>
        <v>20.65034382</v>
      </c>
      <c r="H13">
        <f t="shared" si="3"/>
        <v>19.46834887</v>
      </c>
      <c r="I13">
        <f t="shared" si="4"/>
        <v>18.28635392</v>
      </c>
      <c r="J13">
        <f t="shared" si="5"/>
        <v>17.10435897</v>
      </c>
      <c r="L13">
        <f t="shared" si="6"/>
        <v>477525.95980000001</v>
      </c>
      <c r="M13">
        <f t="shared" si="7"/>
        <v>406606.26280000003</v>
      </c>
      <c r="N13">
        <f t="shared" si="8"/>
        <v>349870.50519999996</v>
      </c>
      <c r="O13">
        <f t="shared" si="9"/>
        <v>264766.8688</v>
      </c>
      <c r="P13">
        <f t="shared" si="10"/>
        <v>217487.07079999999</v>
      </c>
      <c r="Q13">
        <f t="shared" si="11"/>
        <v>203303.13139999998</v>
      </c>
      <c r="S13">
        <f t="shared" si="12"/>
        <v>579177.52549999999</v>
      </c>
      <c r="T13">
        <f t="shared" si="13"/>
        <v>512985.80829999998</v>
      </c>
      <c r="U13">
        <f t="shared" si="14"/>
        <v>439702.12139999995</v>
      </c>
      <c r="V13">
        <f t="shared" si="15"/>
        <v>335686.56579999998</v>
      </c>
      <c r="W13">
        <f t="shared" si="16"/>
        <v>323866.61629999999</v>
      </c>
      <c r="X13">
        <f t="shared" si="17"/>
        <v>288406.76779999997</v>
      </c>
      <c r="Z13">
        <f t="shared" si="18"/>
        <v>680829.09119999991</v>
      </c>
      <c r="AA13">
        <f t="shared" si="19"/>
        <v>619365.35380000004</v>
      </c>
      <c r="AB13">
        <f t="shared" si="20"/>
        <v>529533.73759999999</v>
      </c>
      <c r="AC13">
        <f t="shared" si="21"/>
        <v>463342.02039999998</v>
      </c>
      <c r="AD13">
        <f t="shared" si="22"/>
        <v>430246.1618</v>
      </c>
      <c r="AE13">
        <f t="shared" si="23"/>
        <v>373510.40419999999</v>
      </c>
    </row>
    <row r="14" spans="1:31" x14ac:dyDescent="0.25">
      <c r="A14">
        <v>19.641031330000001</v>
      </c>
      <c r="B14">
        <v>112.2892702</v>
      </c>
      <c r="C14">
        <v>1.4453259700000001</v>
      </c>
      <c r="D14">
        <v>1.4104009900000001</v>
      </c>
      <c r="E14" t="b">
        <f t="shared" si="0"/>
        <v>0</v>
      </c>
      <c r="F14">
        <f t="shared" si="1"/>
        <v>-5.8162288599999998</v>
      </c>
      <c r="G14">
        <f t="shared" si="2"/>
        <v>-13.042858710000001</v>
      </c>
      <c r="H14">
        <f t="shared" si="3"/>
        <v>-20.269488560000003</v>
      </c>
      <c r="I14">
        <f t="shared" si="4"/>
        <v>-27.496118410000001</v>
      </c>
      <c r="J14">
        <f t="shared" si="5"/>
        <v>-34.722748260000003</v>
      </c>
      <c r="L14">
        <f t="shared" si="6"/>
        <v>2849009.9997999999</v>
      </c>
      <c r="M14">
        <f t="shared" si="7"/>
        <v>-10003913.6392</v>
      </c>
      <c r="N14">
        <f t="shared" si="8"/>
        <v>-19303430.890799999</v>
      </c>
      <c r="O14">
        <f t="shared" si="9"/>
        <v>-22701827.187200006</v>
      </c>
      <c r="P14">
        <f t="shared" si="10"/>
        <v>-25296428.937199999</v>
      </c>
      <c r="Q14">
        <f t="shared" si="11"/>
        <v>-29861563.503600005</v>
      </c>
      <c r="S14">
        <f t="shared" si="12"/>
        <v>3455482.4255000004</v>
      </c>
      <c r="T14">
        <f t="shared" si="13"/>
        <v>-28303003.400699999</v>
      </c>
      <c r="U14">
        <f t="shared" si="14"/>
        <v>-24259717.200599998</v>
      </c>
      <c r="V14">
        <f t="shared" si="15"/>
        <v>-28782673.755200002</v>
      </c>
      <c r="W14">
        <f t="shared" si="16"/>
        <v>-37669682.221700005</v>
      </c>
      <c r="X14">
        <f t="shared" si="17"/>
        <v>-42361752.877200007</v>
      </c>
      <c r="Z14">
        <f t="shared" si="18"/>
        <v>4061954.8511999999</v>
      </c>
      <c r="AA14">
        <f t="shared" si="19"/>
        <v>-15238519.6132</v>
      </c>
      <c r="AB14">
        <f t="shared" si="20"/>
        <v>-29216003.510400005</v>
      </c>
      <c r="AC14">
        <f t="shared" si="21"/>
        <v>-39728197.577600002</v>
      </c>
      <c r="AD14">
        <f t="shared" si="22"/>
        <v>-50042935.506200001</v>
      </c>
      <c r="AE14">
        <f t="shared" si="23"/>
        <v>-54861942.250800014</v>
      </c>
    </row>
    <row r="15" spans="1:31" x14ac:dyDescent="0.25">
      <c r="A15">
        <v>19.649543000000001</v>
      </c>
      <c r="B15">
        <v>112.1495462</v>
      </c>
      <c r="C15">
        <v>1.3388509799999999</v>
      </c>
      <c r="D15">
        <v>5.2400307699999997</v>
      </c>
      <c r="E15" t="b">
        <f t="shared" si="0"/>
        <v>1</v>
      </c>
      <c r="F15">
        <f t="shared" si="1"/>
        <v>-1.4542241300000001</v>
      </c>
      <c r="G15">
        <f t="shared" si="2"/>
        <v>-8.1484790300000007</v>
      </c>
      <c r="H15">
        <f t="shared" si="3"/>
        <v>-14.842733929999998</v>
      </c>
      <c r="I15">
        <f t="shared" si="4"/>
        <v>-21.536988829999999</v>
      </c>
      <c r="J15">
        <f t="shared" si="5"/>
        <v>-28.231243729999999</v>
      </c>
      <c r="L15">
        <f t="shared" si="6"/>
        <v>2704478.9796000002</v>
      </c>
      <c r="M15">
        <f t="shared" si="7"/>
        <v>-2501265.5036000004</v>
      </c>
      <c r="N15">
        <f t="shared" si="8"/>
        <v>-12059748.964400001</v>
      </c>
      <c r="O15">
        <f t="shared" si="9"/>
        <v>-16623862.001599999</v>
      </c>
      <c r="P15">
        <f t="shared" si="10"/>
        <v>-19814029.723599996</v>
      </c>
      <c r="Q15">
        <f t="shared" si="11"/>
        <v>-24278869.607799999</v>
      </c>
      <c r="S15">
        <f t="shared" si="12"/>
        <v>3280184.9010000001</v>
      </c>
      <c r="T15">
        <f t="shared" si="13"/>
        <v>-17682199.495100003</v>
      </c>
      <c r="U15">
        <f t="shared" si="14"/>
        <v>-15156170.995800002</v>
      </c>
      <c r="V15">
        <f t="shared" si="15"/>
        <v>-21076682.180599995</v>
      </c>
      <c r="W15">
        <f t="shared" si="16"/>
        <v>-29505674.697099999</v>
      </c>
      <c r="X15">
        <f t="shared" si="17"/>
        <v>-34442117.350599997</v>
      </c>
      <c r="Z15">
        <f t="shared" si="18"/>
        <v>3855890.8223999999</v>
      </c>
      <c r="AA15">
        <f t="shared" si="19"/>
        <v>-3810067.2206000006</v>
      </c>
      <c r="AB15">
        <f t="shared" si="20"/>
        <v>-18252593.027200006</v>
      </c>
      <c r="AC15">
        <f t="shared" si="21"/>
        <v>-29091758.502799995</v>
      </c>
      <c r="AD15">
        <f t="shared" si="22"/>
        <v>-39197319.670599997</v>
      </c>
      <c r="AE15">
        <f t="shared" si="23"/>
        <v>-44605365.093400002</v>
      </c>
    </row>
    <row r="16" spans="1:31" x14ac:dyDescent="0.25">
      <c r="A16">
        <v>19.679374370000001</v>
      </c>
      <c r="B16">
        <v>112.3854791</v>
      </c>
      <c r="C16">
        <v>1.6207139500000001</v>
      </c>
      <c r="D16">
        <v>7.3458380700000001</v>
      </c>
      <c r="E16" t="b">
        <f t="shared" si="0"/>
        <v>1</v>
      </c>
      <c r="F16">
        <f t="shared" si="1"/>
        <v>-0.75773168000000002</v>
      </c>
      <c r="G16">
        <f t="shared" si="2"/>
        <v>-8.861301430000001</v>
      </c>
      <c r="H16">
        <f t="shared" si="3"/>
        <v>-16.964871180000003</v>
      </c>
      <c r="I16">
        <f t="shared" si="4"/>
        <v>-25.068440930000001</v>
      </c>
      <c r="J16">
        <f t="shared" si="5"/>
        <v>-33.17201068</v>
      </c>
      <c r="L16">
        <f t="shared" si="6"/>
        <v>3273842.1790000005</v>
      </c>
      <c r="M16">
        <f t="shared" si="7"/>
        <v>-1303298.4896000002</v>
      </c>
      <c r="N16">
        <f t="shared" si="8"/>
        <v>-13114726.116400002</v>
      </c>
      <c r="O16">
        <f t="shared" si="9"/>
        <v>-19000655.721600007</v>
      </c>
      <c r="P16">
        <f t="shared" si="10"/>
        <v>-23062965.655599996</v>
      </c>
      <c r="Q16">
        <f t="shared" si="11"/>
        <v>-28527929.184799999</v>
      </c>
      <c r="S16">
        <f t="shared" si="12"/>
        <v>3970749.1775000007</v>
      </c>
      <c r="T16">
        <f t="shared" si="13"/>
        <v>-19229024.103100002</v>
      </c>
      <c r="U16">
        <f t="shared" si="14"/>
        <v>-16482020.659800002</v>
      </c>
      <c r="V16">
        <f t="shared" si="15"/>
        <v>-24090117.075600002</v>
      </c>
      <c r="W16">
        <f t="shared" si="16"/>
        <v>-34343764.074100003</v>
      </c>
      <c r="X16">
        <f t="shared" si="17"/>
        <v>-40469853.029600002</v>
      </c>
      <c r="Z16">
        <f t="shared" si="18"/>
        <v>4667656.176</v>
      </c>
      <c r="AA16">
        <f t="shared" si="19"/>
        <v>-1985257.0016000003</v>
      </c>
      <c r="AB16">
        <f t="shared" si="20"/>
        <v>-19849315.203200005</v>
      </c>
      <c r="AC16">
        <f t="shared" si="21"/>
        <v>-33251147.512800004</v>
      </c>
      <c r="AD16">
        <f t="shared" si="22"/>
        <v>-45624562.492600001</v>
      </c>
      <c r="AE16">
        <f t="shared" si="23"/>
        <v>-52411776.874400005</v>
      </c>
    </row>
    <row r="17" spans="1:31" x14ac:dyDescent="0.25">
      <c r="A17">
        <v>19.752795939999999</v>
      </c>
      <c r="B17">
        <v>112.6247559</v>
      </c>
      <c r="C17">
        <v>1.90340102</v>
      </c>
      <c r="D17">
        <v>9.6398999999999999E-2</v>
      </c>
      <c r="E17" t="b">
        <f t="shared" si="0"/>
        <v>0</v>
      </c>
      <c r="F17">
        <f t="shared" si="1"/>
        <v>-9.4206061000000005</v>
      </c>
      <c r="G17">
        <f t="shared" si="2"/>
        <v>-18.937611199999999</v>
      </c>
      <c r="H17">
        <f t="shared" si="3"/>
        <v>-28.454616299999998</v>
      </c>
      <c r="I17">
        <f t="shared" si="4"/>
        <v>-37.971621400000004</v>
      </c>
      <c r="J17">
        <f t="shared" si="5"/>
        <v>-47.488626500000002</v>
      </c>
      <c r="L17">
        <f t="shared" si="6"/>
        <v>194725.98</v>
      </c>
      <c r="M17">
        <f t="shared" si="7"/>
        <v>-16203442.492000001</v>
      </c>
      <c r="N17">
        <f t="shared" si="8"/>
        <v>-28027664.575999998</v>
      </c>
      <c r="O17">
        <f t="shared" si="9"/>
        <v>-31869170.256000001</v>
      </c>
      <c r="P17">
        <f t="shared" si="10"/>
        <v>-34933891.688000001</v>
      </c>
      <c r="Q17">
        <f t="shared" si="11"/>
        <v>-40840218.789999999</v>
      </c>
      <c r="S17">
        <f t="shared" si="12"/>
        <v>236177.55000000002</v>
      </c>
      <c r="T17">
        <f t="shared" si="13"/>
        <v>-41094616.303999998</v>
      </c>
      <c r="U17">
        <f t="shared" si="14"/>
        <v>-35223956.831999995</v>
      </c>
      <c r="V17">
        <f t="shared" si="15"/>
        <v>-40405555.14599999</v>
      </c>
      <c r="W17">
        <f t="shared" si="16"/>
        <v>-52021121.318000011</v>
      </c>
      <c r="X17">
        <f t="shared" si="17"/>
        <v>-57936124.329999998</v>
      </c>
      <c r="Z17">
        <f t="shared" si="18"/>
        <v>277629.12</v>
      </c>
      <c r="AA17">
        <f t="shared" si="19"/>
        <v>-24681987.982000001</v>
      </c>
      <c r="AB17">
        <f t="shared" si="20"/>
        <v>-42420249.088</v>
      </c>
      <c r="AC17">
        <f t="shared" si="21"/>
        <v>-55771047.947999991</v>
      </c>
      <c r="AD17">
        <f t="shared" si="22"/>
        <v>-69108350.948000014</v>
      </c>
      <c r="AE17">
        <f t="shared" si="23"/>
        <v>-75032029.870000005</v>
      </c>
    </row>
    <row r="18" spans="1:31" x14ac:dyDescent="0.25">
      <c r="A18">
        <v>19.765843539999999</v>
      </c>
      <c r="B18">
        <v>113.7034931</v>
      </c>
      <c r="C18">
        <v>1.05698705</v>
      </c>
      <c r="D18">
        <v>2.4486129299999999</v>
      </c>
      <c r="E18" t="b">
        <f t="shared" si="0"/>
        <v>1</v>
      </c>
      <c r="F18">
        <f t="shared" si="1"/>
        <v>-2.8363223200000003</v>
      </c>
      <c r="G18">
        <f t="shared" si="2"/>
        <v>-8.1212575700000009</v>
      </c>
      <c r="H18">
        <f t="shared" si="3"/>
        <v>-13.406192820000001</v>
      </c>
      <c r="I18">
        <f t="shared" si="4"/>
        <v>-18.691128070000001</v>
      </c>
      <c r="J18">
        <f t="shared" si="5"/>
        <v>-23.976063320000002</v>
      </c>
      <c r="L18">
        <f t="shared" si="6"/>
        <v>2135113.841</v>
      </c>
      <c r="M18">
        <f t="shared" si="7"/>
        <v>-4878474.3904000008</v>
      </c>
      <c r="N18">
        <f t="shared" si="8"/>
        <v>-12019461.203600002</v>
      </c>
      <c r="O18">
        <f t="shared" si="9"/>
        <v>-15014935.958400002</v>
      </c>
      <c r="P18">
        <f t="shared" si="10"/>
        <v>-17195837.8244</v>
      </c>
      <c r="Q18">
        <f t="shared" si="11"/>
        <v>-20619414.455200002</v>
      </c>
      <c r="S18">
        <f t="shared" si="12"/>
        <v>2589618.2725000004</v>
      </c>
      <c r="T18">
        <f t="shared" si="13"/>
        <v>-17623128.926900003</v>
      </c>
      <c r="U18">
        <f t="shared" si="14"/>
        <v>-15105539.080200002</v>
      </c>
      <c r="V18">
        <f t="shared" si="15"/>
        <v>-19036793.804400001</v>
      </c>
      <c r="W18">
        <f t="shared" si="16"/>
        <v>-25606845.455900002</v>
      </c>
      <c r="X18">
        <f t="shared" si="17"/>
        <v>-29250797.250399999</v>
      </c>
      <c r="Z18">
        <f t="shared" si="18"/>
        <v>3044122.7039999999</v>
      </c>
      <c r="AA18">
        <f t="shared" si="19"/>
        <v>-7431164.4784000013</v>
      </c>
      <c r="AB18">
        <f t="shared" si="20"/>
        <v>-18191616.956800006</v>
      </c>
      <c r="AC18">
        <f t="shared" si="21"/>
        <v>-26276137.927200001</v>
      </c>
      <c r="AD18">
        <f t="shared" si="22"/>
        <v>-34017853.087400004</v>
      </c>
      <c r="AE18">
        <f t="shared" si="23"/>
        <v>-37882180.045600004</v>
      </c>
    </row>
    <row r="19" spans="1:31" x14ac:dyDescent="0.25">
      <c r="A19">
        <v>19.770554310000001</v>
      </c>
      <c r="B19">
        <v>112.3450035</v>
      </c>
      <c r="C19">
        <v>0</v>
      </c>
      <c r="D19">
        <v>1.83645999</v>
      </c>
      <c r="E19" t="b">
        <f t="shared" si="0"/>
        <v>1</v>
      </c>
      <c r="F19">
        <f t="shared" si="1"/>
        <v>1.83645999</v>
      </c>
      <c r="G19">
        <f t="shared" si="2"/>
        <v>1.83645999</v>
      </c>
      <c r="H19">
        <f t="shared" si="3"/>
        <v>1.83645999</v>
      </c>
      <c r="I19">
        <f t="shared" si="4"/>
        <v>1.83645999</v>
      </c>
      <c r="J19">
        <f t="shared" si="5"/>
        <v>1.83645999</v>
      </c>
      <c r="L19">
        <f t="shared" si="6"/>
        <v>0</v>
      </c>
      <c r="M19">
        <f t="shared" si="7"/>
        <v>0</v>
      </c>
      <c r="N19">
        <f t="shared" si="8"/>
        <v>0</v>
      </c>
      <c r="O19">
        <f t="shared" si="9"/>
        <v>0</v>
      </c>
      <c r="P19">
        <f t="shared" si="10"/>
        <v>0</v>
      </c>
      <c r="Q19">
        <f t="shared" si="11"/>
        <v>0</v>
      </c>
      <c r="S19">
        <f t="shared" si="12"/>
        <v>0</v>
      </c>
      <c r="T19">
        <f t="shared" si="13"/>
        <v>0</v>
      </c>
      <c r="U19">
        <f t="shared" si="14"/>
        <v>0</v>
      </c>
      <c r="V19">
        <f t="shared" si="15"/>
        <v>0</v>
      </c>
      <c r="W19">
        <f t="shared" si="16"/>
        <v>0</v>
      </c>
      <c r="X19">
        <f t="shared" si="17"/>
        <v>0</v>
      </c>
      <c r="Z19">
        <f t="shared" si="18"/>
        <v>0</v>
      </c>
      <c r="AA19">
        <f t="shared" si="19"/>
        <v>0</v>
      </c>
      <c r="AB19">
        <f t="shared" si="20"/>
        <v>0</v>
      </c>
      <c r="AC19">
        <f t="shared" si="21"/>
        <v>0</v>
      </c>
      <c r="AD19">
        <f t="shared" si="22"/>
        <v>0</v>
      </c>
      <c r="AE19">
        <f t="shared" si="23"/>
        <v>0</v>
      </c>
    </row>
    <row r="20" spans="1:31" x14ac:dyDescent="0.25">
      <c r="A20">
        <v>19.77914711</v>
      </c>
      <c r="B20">
        <v>112.2050873</v>
      </c>
      <c r="C20">
        <v>1.60182095</v>
      </c>
      <c r="D20">
        <v>5.3649110799999997</v>
      </c>
      <c r="E20" t="b">
        <f t="shared" si="0"/>
        <v>1</v>
      </c>
      <c r="F20">
        <f t="shared" si="1"/>
        <v>-2.6441936700000008</v>
      </c>
      <c r="G20">
        <f t="shared" si="2"/>
        <v>-10.653298420000002</v>
      </c>
      <c r="H20">
        <f t="shared" si="3"/>
        <v>-18.662403170000001</v>
      </c>
      <c r="I20">
        <f t="shared" si="4"/>
        <v>-26.671507920000003</v>
      </c>
      <c r="J20">
        <f t="shared" si="5"/>
        <v>-34.680612670000002</v>
      </c>
      <c r="L20">
        <f t="shared" si="6"/>
        <v>3235678.3190000001</v>
      </c>
      <c r="M20">
        <f t="shared" si="7"/>
        <v>-4548013.1124000018</v>
      </c>
      <c r="N20">
        <f t="shared" si="8"/>
        <v>-15766881.661600003</v>
      </c>
      <c r="O20">
        <f t="shared" si="9"/>
        <v>-20901891.550400004</v>
      </c>
      <c r="P20">
        <f t="shared" si="10"/>
        <v>-24537787.286400001</v>
      </c>
      <c r="Q20">
        <f t="shared" si="11"/>
        <v>-29825326.896200001</v>
      </c>
      <c r="S20">
        <f t="shared" si="12"/>
        <v>3924461.3275000001</v>
      </c>
      <c r="T20">
        <f t="shared" si="13"/>
        <v>-23117657.571400002</v>
      </c>
      <c r="U20">
        <f t="shared" si="14"/>
        <v>-19815135.0612</v>
      </c>
      <c r="V20">
        <f t="shared" si="15"/>
        <v>-26500612.501400001</v>
      </c>
      <c r="W20">
        <f t="shared" si="16"/>
        <v>-36539965.850400008</v>
      </c>
      <c r="X20">
        <f t="shared" si="17"/>
        <v>-42310347.457400002</v>
      </c>
      <c r="Z20">
        <f t="shared" si="18"/>
        <v>4613244.3360000001</v>
      </c>
      <c r="AA20">
        <f t="shared" si="19"/>
        <v>-6927787.4154000022</v>
      </c>
      <c r="AB20">
        <f t="shared" si="20"/>
        <v>-23863388.460800007</v>
      </c>
      <c r="AC20">
        <f t="shared" si="21"/>
        <v>-36578310.213200003</v>
      </c>
      <c r="AD20">
        <f t="shared" si="22"/>
        <v>-48542144.414400004</v>
      </c>
      <c r="AE20">
        <f t="shared" si="23"/>
        <v>-54795368.018600002</v>
      </c>
    </row>
    <row r="21" spans="1:31" x14ac:dyDescent="0.25">
      <c r="A21">
        <v>20.246964160000001</v>
      </c>
      <c r="B21">
        <v>115.8670042</v>
      </c>
      <c r="C21">
        <v>1.42060995</v>
      </c>
      <c r="D21">
        <v>1.95888996</v>
      </c>
      <c r="E21" t="b">
        <f t="shared" si="0"/>
        <v>1</v>
      </c>
      <c r="F21">
        <f t="shared" si="1"/>
        <v>-5.1441597899999998</v>
      </c>
      <c r="G21">
        <f t="shared" si="2"/>
        <v>-12.24720954</v>
      </c>
      <c r="H21">
        <f t="shared" si="3"/>
        <v>-19.35025929</v>
      </c>
      <c r="I21">
        <f t="shared" si="4"/>
        <v>-26.453309040000001</v>
      </c>
      <c r="J21">
        <f t="shared" si="5"/>
        <v>-33.556358789999997</v>
      </c>
      <c r="L21">
        <f t="shared" si="6"/>
        <v>2869632.0989999999</v>
      </c>
      <c r="M21">
        <f t="shared" si="7"/>
        <v>-8847954.8388000019</v>
      </c>
      <c r="N21">
        <f t="shared" si="8"/>
        <v>-18125870.119200002</v>
      </c>
      <c r="O21">
        <f t="shared" si="9"/>
        <v>-21672290.404800002</v>
      </c>
      <c r="P21">
        <f t="shared" si="10"/>
        <v>-24337044.316799998</v>
      </c>
      <c r="Q21">
        <f t="shared" si="11"/>
        <v>-28858468.5594</v>
      </c>
      <c r="S21">
        <f t="shared" si="12"/>
        <v>3480494.3774999999</v>
      </c>
      <c r="T21">
        <f t="shared" si="13"/>
        <v>-26576444.7018</v>
      </c>
      <c r="U21">
        <f t="shared" si="14"/>
        <v>-22779809.744400002</v>
      </c>
      <c r="V21">
        <f t="shared" si="15"/>
        <v>-27477368.191799998</v>
      </c>
      <c r="W21">
        <f t="shared" si="16"/>
        <v>-36241033.384800002</v>
      </c>
      <c r="X21">
        <f t="shared" si="17"/>
        <v>-40938757.723799996</v>
      </c>
      <c r="Z21">
        <f t="shared" si="18"/>
        <v>4091356.6559999995</v>
      </c>
      <c r="AA21">
        <f t="shared" si="19"/>
        <v>-13477698.649800001</v>
      </c>
      <c r="AB21">
        <f t="shared" si="20"/>
        <v>-27433749.369600005</v>
      </c>
      <c r="AC21">
        <f t="shared" si="21"/>
        <v>-37926508.208399996</v>
      </c>
      <c r="AD21">
        <f t="shared" si="22"/>
        <v>-48145022.452799998</v>
      </c>
      <c r="AE21">
        <f t="shared" si="23"/>
        <v>-53019046.8882</v>
      </c>
    </row>
    <row r="22" spans="1:31" x14ac:dyDescent="0.25">
      <c r="A22">
        <v>20.374969060000002</v>
      </c>
      <c r="B22">
        <v>115.4553676</v>
      </c>
      <c r="C22">
        <v>1.04884398</v>
      </c>
      <c r="D22">
        <v>10.15929508</v>
      </c>
      <c r="E22" t="b">
        <f t="shared" si="0"/>
        <v>1</v>
      </c>
      <c r="F22">
        <f t="shared" si="1"/>
        <v>4.9150751799999997</v>
      </c>
      <c r="G22">
        <f t="shared" si="2"/>
        <v>-0.32914472000000039</v>
      </c>
      <c r="H22">
        <f t="shared" si="3"/>
        <v>-5.5733646199999995</v>
      </c>
      <c r="I22">
        <f t="shared" si="4"/>
        <v>-10.81758452</v>
      </c>
      <c r="J22">
        <f t="shared" si="5"/>
        <v>-16.061804420000001</v>
      </c>
      <c r="L22">
        <f t="shared" si="6"/>
        <v>2118664.8396000001</v>
      </c>
      <c r="M22">
        <f t="shared" si="7"/>
        <v>1804011.6456000002</v>
      </c>
      <c r="N22">
        <f t="shared" si="8"/>
        <v>-487134.18560000055</v>
      </c>
      <c r="O22">
        <f t="shared" si="9"/>
        <v>-6242168.3744000001</v>
      </c>
      <c r="P22">
        <f t="shared" si="10"/>
        <v>-9952177.7583999988</v>
      </c>
      <c r="Q22">
        <f t="shared" si="11"/>
        <v>-13813151.801200001</v>
      </c>
      <c r="S22">
        <f t="shared" si="12"/>
        <v>2569667.7510000002</v>
      </c>
      <c r="T22">
        <f t="shared" si="13"/>
        <v>-714244.04240000085</v>
      </c>
      <c r="U22">
        <f t="shared" si="14"/>
        <v>-612209.17920000071</v>
      </c>
      <c r="V22">
        <f t="shared" si="15"/>
        <v>-7914177.7603999982</v>
      </c>
      <c r="W22">
        <f t="shared" si="16"/>
        <v>-14820090.792400001</v>
      </c>
      <c r="X22">
        <f t="shared" si="17"/>
        <v>-19595401.3924</v>
      </c>
      <c r="Z22">
        <f t="shared" si="18"/>
        <v>3020670.6623999998</v>
      </c>
      <c r="AA22">
        <f t="shared" si="19"/>
        <v>2747971.2275999999</v>
      </c>
      <c r="AB22">
        <f t="shared" si="20"/>
        <v>-737284.17280000087</v>
      </c>
      <c r="AC22">
        <f t="shared" si="21"/>
        <v>-10923794.655199999</v>
      </c>
      <c r="AD22">
        <f t="shared" si="22"/>
        <v>-19688003.826400001</v>
      </c>
      <c r="AE22">
        <f t="shared" si="23"/>
        <v>-25377650.983600006</v>
      </c>
    </row>
    <row r="23" spans="1:31" x14ac:dyDescent="0.25">
      <c r="A23">
        <v>20.376971149999999</v>
      </c>
      <c r="B23">
        <v>113.8496136</v>
      </c>
      <c r="C23">
        <v>1.05698705</v>
      </c>
      <c r="D23">
        <v>1.29286802</v>
      </c>
      <c r="E23" t="b">
        <f t="shared" si="0"/>
        <v>1</v>
      </c>
      <c r="F23">
        <f t="shared" si="1"/>
        <v>-3.99206723</v>
      </c>
      <c r="G23">
        <f t="shared" si="2"/>
        <v>-9.2770024800000002</v>
      </c>
      <c r="H23">
        <f t="shared" si="3"/>
        <v>-14.56193773</v>
      </c>
      <c r="I23">
        <f t="shared" si="4"/>
        <v>-19.846872980000001</v>
      </c>
      <c r="J23">
        <f t="shared" si="5"/>
        <v>-25.131808230000001</v>
      </c>
      <c r="L23">
        <f t="shared" si="6"/>
        <v>2135113.841</v>
      </c>
      <c r="M23">
        <f t="shared" si="7"/>
        <v>-6866355.6356000006</v>
      </c>
      <c r="N23">
        <f t="shared" si="8"/>
        <v>-13729963.670400001</v>
      </c>
      <c r="O23">
        <f t="shared" si="9"/>
        <v>-16309370.257600002</v>
      </c>
      <c r="P23">
        <f t="shared" si="10"/>
        <v>-18259123.141599998</v>
      </c>
      <c r="Q23">
        <f t="shared" si="11"/>
        <v>-21613355.077799998</v>
      </c>
      <c r="S23">
        <f t="shared" si="12"/>
        <v>2589618.2725000004</v>
      </c>
      <c r="T23">
        <f t="shared" si="13"/>
        <v>-20131095.3816</v>
      </c>
      <c r="U23">
        <f t="shared" si="14"/>
        <v>-17255224.612799998</v>
      </c>
      <c r="V23">
        <f t="shared" si="15"/>
        <v>-20677951.5766</v>
      </c>
      <c r="W23">
        <f t="shared" si="16"/>
        <v>-27190215.982600003</v>
      </c>
      <c r="X23">
        <f t="shared" si="17"/>
        <v>-30660806.040599998</v>
      </c>
      <c r="Z23">
        <f t="shared" si="18"/>
        <v>3044122.7039999999</v>
      </c>
      <c r="AA23">
        <f t="shared" si="19"/>
        <v>-10459216.1426</v>
      </c>
      <c r="AB23">
        <f t="shared" si="20"/>
        <v>-20780485.555200003</v>
      </c>
      <c r="AC23">
        <f t="shared" si="21"/>
        <v>-28541397.950800002</v>
      </c>
      <c r="AD23">
        <f t="shared" si="22"/>
        <v>-36121308.823600002</v>
      </c>
      <c r="AE23">
        <f t="shared" si="23"/>
        <v>-39708257.003400005</v>
      </c>
    </row>
    <row r="24" spans="1:31" x14ac:dyDescent="0.25">
      <c r="A24">
        <v>20.387844439999999</v>
      </c>
      <c r="B24">
        <v>115.3148869</v>
      </c>
      <c r="C24">
        <v>1.66006696</v>
      </c>
      <c r="D24">
        <v>13.815073010000001</v>
      </c>
      <c r="E24" t="b">
        <f t="shared" si="0"/>
        <v>1</v>
      </c>
      <c r="F24">
        <f t="shared" si="1"/>
        <v>5.5147382100000009</v>
      </c>
      <c r="G24">
        <f t="shared" si="2"/>
        <v>-2.785596589999999</v>
      </c>
      <c r="H24">
        <f t="shared" si="3"/>
        <v>-11.085931389999997</v>
      </c>
      <c r="I24">
        <f t="shared" si="4"/>
        <v>-19.386266190000001</v>
      </c>
      <c r="J24">
        <f t="shared" si="5"/>
        <v>-27.686600990000002</v>
      </c>
      <c r="L24">
        <f t="shared" si="6"/>
        <v>3353335.2591999997</v>
      </c>
      <c r="M24">
        <f t="shared" si="7"/>
        <v>2855315.1712000002</v>
      </c>
      <c r="N24">
        <f t="shared" si="8"/>
        <v>-4122682.9531999985</v>
      </c>
      <c r="O24">
        <f t="shared" si="9"/>
        <v>-12416243.156799998</v>
      </c>
      <c r="P24">
        <f t="shared" si="10"/>
        <v>-17835364.8948</v>
      </c>
      <c r="Q24">
        <f t="shared" si="11"/>
        <v>-23810476.851400003</v>
      </c>
      <c r="S24">
        <f t="shared" si="12"/>
        <v>4067164.0520000001</v>
      </c>
      <c r="T24">
        <f t="shared" si="13"/>
        <v>-6044744.6002999973</v>
      </c>
      <c r="U24">
        <f t="shared" si="14"/>
        <v>-5181209.657399998</v>
      </c>
      <c r="V24">
        <f t="shared" si="15"/>
        <v>-15742022.573799994</v>
      </c>
      <c r="W24">
        <f t="shared" si="16"/>
        <v>-26559184.680300005</v>
      </c>
      <c r="X24">
        <f t="shared" si="17"/>
        <v>-33777653.207800001</v>
      </c>
      <c r="Z24">
        <f t="shared" si="18"/>
        <v>4780992.8448000001</v>
      </c>
      <c r="AA24">
        <f t="shared" si="19"/>
        <v>4349375.4352000002</v>
      </c>
      <c r="AB24">
        <f t="shared" si="20"/>
        <v>-6239736.3615999985</v>
      </c>
      <c r="AC24">
        <f t="shared" si="21"/>
        <v>-21728425.524399992</v>
      </c>
      <c r="AD24">
        <f t="shared" si="22"/>
        <v>-35283004.465800002</v>
      </c>
      <c r="AE24">
        <f t="shared" si="23"/>
        <v>-43744829.564200006</v>
      </c>
    </row>
    <row r="25" spans="1:31" x14ac:dyDescent="0.25">
      <c r="A25">
        <v>20.424775239999999</v>
      </c>
      <c r="B25">
        <v>113.80650850000001</v>
      </c>
      <c r="C25">
        <v>1.47978199</v>
      </c>
      <c r="D25">
        <v>3.0240368800000001</v>
      </c>
      <c r="E25" t="b">
        <f t="shared" si="0"/>
        <v>1</v>
      </c>
      <c r="F25">
        <f t="shared" si="1"/>
        <v>-4.3748730699999996</v>
      </c>
      <c r="G25">
        <f t="shared" si="2"/>
        <v>-11.77378302</v>
      </c>
      <c r="H25">
        <f t="shared" si="3"/>
        <v>-19.17269297</v>
      </c>
      <c r="I25">
        <f t="shared" si="4"/>
        <v>-26.57160292</v>
      </c>
      <c r="J25">
        <f t="shared" si="5"/>
        <v>-33.97051287</v>
      </c>
      <c r="L25">
        <f t="shared" si="6"/>
        <v>2989159.6198</v>
      </c>
      <c r="M25">
        <f t="shared" si="7"/>
        <v>-7524781.6804</v>
      </c>
      <c r="N25">
        <f t="shared" si="8"/>
        <v>-17425198.869599998</v>
      </c>
      <c r="O25">
        <f t="shared" si="9"/>
        <v>-21473416.126400001</v>
      </c>
      <c r="P25">
        <f t="shared" si="10"/>
        <v>-24445874.6864</v>
      </c>
      <c r="Q25">
        <f t="shared" si="11"/>
        <v>-29214641.068199996</v>
      </c>
      <c r="S25">
        <f t="shared" si="12"/>
        <v>3625465.8755000001</v>
      </c>
      <c r="T25">
        <f t="shared" si="13"/>
        <v>-25549109.153399996</v>
      </c>
      <c r="U25">
        <f t="shared" si="14"/>
        <v>-21899236.417199999</v>
      </c>
      <c r="V25">
        <f t="shared" si="15"/>
        <v>-27225224.017399997</v>
      </c>
      <c r="W25">
        <f t="shared" si="16"/>
        <v>-36403096.000400007</v>
      </c>
      <c r="X25">
        <f t="shared" si="17"/>
        <v>-41444025.701399997</v>
      </c>
      <c r="Z25">
        <f t="shared" si="18"/>
        <v>4261772.1311999997</v>
      </c>
      <c r="AA25">
        <f t="shared" si="19"/>
        <v>-11462167.443399999</v>
      </c>
      <c r="AB25">
        <f t="shared" si="20"/>
        <v>-26373273.9648</v>
      </c>
      <c r="AC25">
        <f t="shared" si="21"/>
        <v>-37578478.221199997</v>
      </c>
      <c r="AD25">
        <f t="shared" si="22"/>
        <v>-48360317.314400002</v>
      </c>
      <c r="AE25">
        <f t="shared" si="23"/>
        <v>-53673410.334600002</v>
      </c>
    </row>
    <row r="26" spans="1:31" x14ac:dyDescent="0.25">
      <c r="A26">
        <v>20.428336850000001</v>
      </c>
      <c r="B26">
        <v>113.7595895</v>
      </c>
      <c r="C26">
        <v>1.05698705</v>
      </c>
      <c r="D26">
        <v>1.4863079800000001</v>
      </c>
      <c r="E26" t="b">
        <f t="shared" si="0"/>
        <v>1</v>
      </c>
      <c r="F26">
        <f t="shared" si="1"/>
        <v>-3.7986272699999999</v>
      </c>
      <c r="G26">
        <f t="shared" si="2"/>
        <v>-9.083562520000001</v>
      </c>
      <c r="H26">
        <f t="shared" si="3"/>
        <v>-14.368497770000001</v>
      </c>
      <c r="I26">
        <f t="shared" si="4"/>
        <v>-19.653433020000001</v>
      </c>
      <c r="J26">
        <f t="shared" si="5"/>
        <v>-24.938368270000002</v>
      </c>
      <c r="L26">
        <f t="shared" si="6"/>
        <v>2135113.841</v>
      </c>
      <c r="M26">
        <f t="shared" si="7"/>
        <v>-6533638.9044000003</v>
      </c>
      <c r="N26">
        <f t="shared" si="8"/>
        <v>-13443672.529600002</v>
      </c>
      <c r="O26">
        <f t="shared" si="9"/>
        <v>-16092717.502400003</v>
      </c>
      <c r="P26">
        <f t="shared" si="10"/>
        <v>-18081158.378399998</v>
      </c>
      <c r="Q26">
        <f t="shared" si="11"/>
        <v>-21446996.712200001</v>
      </c>
      <c r="S26">
        <f t="shared" si="12"/>
        <v>2589618.2725000004</v>
      </c>
      <c r="T26">
        <f t="shared" si="13"/>
        <v>-19711330.668400001</v>
      </c>
      <c r="U26">
        <f t="shared" si="14"/>
        <v>-16895426.2872</v>
      </c>
      <c r="V26">
        <f t="shared" si="15"/>
        <v>-20403266.8334</v>
      </c>
      <c r="W26">
        <f t="shared" si="16"/>
        <v>-26925203.237400003</v>
      </c>
      <c r="X26">
        <f t="shared" si="17"/>
        <v>-30424809.289400004</v>
      </c>
      <c r="Z26">
        <f t="shared" si="18"/>
        <v>3044122.7039999999</v>
      </c>
      <c r="AA26">
        <f t="shared" si="19"/>
        <v>-9952403.4473999999</v>
      </c>
      <c r="AB26">
        <f t="shared" si="20"/>
        <v>-20347180.044800006</v>
      </c>
      <c r="AC26">
        <f t="shared" si="21"/>
        <v>-28162255.629200004</v>
      </c>
      <c r="AD26">
        <f t="shared" si="22"/>
        <v>-35769248.0964</v>
      </c>
      <c r="AE26">
        <f t="shared" si="23"/>
        <v>-39402621.866600007</v>
      </c>
    </row>
    <row r="27" spans="1:31" x14ac:dyDescent="0.25">
      <c r="A27">
        <v>20.441373760000001</v>
      </c>
      <c r="B27">
        <v>115.69881650000001</v>
      </c>
      <c r="C27">
        <v>1.05698705</v>
      </c>
      <c r="D27">
        <v>2.4486129299999999</v>
      </c>
      <c r="E27" t="b">
        <f t="shared" si="0"/>
        <v>1</v>
      </c>
      <c r="F27">
        <f t="shared" si="1"/>
        <v>-2.8363223200000003</v>
      </c>
      <c r="G27">
        <f t="shared" si="2"/>
        <v>-8.1212575700000009</v>
      </c>
      <c r="H27">
        <f t="shared" si="3"/>
        <v>-13.406192820000001</v>
      </c>
      <c r="I27">
        <f t="shared" si="4"/>
        <v>-18.691128070000001</v>
      </c>
      <c r="J27">
        <f t="shared" si="5"/>
        <v>-23.976063320000002</v>
      </c>
      <c r="L27">
        <f t="shared" si="6"/>
        <v>2135113.841</v>
      </c>
      <c r="M27">
        <f t="shared" si="7"/>
        <v>-4878474.3904000008</v>
      </c>
      <c r="N27">
        <f t="shared" si="8"/>
        <v>-12019461.203600002</v>
      </c>
      <c r="O27">
        <f t="shared" si="9"/>
        <v>-15014935.958400002</v>
      </c>
      <c r="P27">
        <f t="shared" si="10"/>
        <v>-17195837.8244</v>
      </c>
      <c r="Q27">
        <f t="shared" si="11"/>
        <v>-20619414.455200002</v>
      </c>
      <c r="S27">
        <f t="shared" si="12"/>
        <v>2589618.2725000004</v>
      </c>
      <c r="T27">
        <f t="shared" si="13"/>
        <v>-17623128.926900003</v>
      </c>
      <c r="U27">
        <f t="shared" si="14"/>
        <v>-15105539.080200002</v>
      </c>
      <c r="V27">
        <f t="shared" si="15"/>
        <v>-19036793.804400001</v>
      </c>
      <c r="W27">
        <f t="shared" si="16"/>
        <v>-25606845.455900002</v>
      </c>
      <c r="X27">
        <f t="shared" si="17"/>
        <v>-29250797.250399999</v>
      </c>
      <c r="Z27">
        <f t="shared" si="18"/>
        <v>3044122.7039999999</v>
      </c>
      <c r="AA27">
        <f t="shared" si="19"/>
        <v>-7431164.4784000013</v>
      </c>
      <c r="AB27">
        <f t="shared" si="20"/>
        <v>-18191616.956800006</v>
      </c>
      <c r="AC27">
        <f t="shared" si="21"/>
        <v>-26276137.927200001</v>
      </c>
      <c r="AD27">
        <f t="shared" si="22"/>
        <v>-34017853.087400004</v>
      </c>
      <c r="AE27">
        <f t="shared" si="23"/>
        <v>-37882180.045600004</v>
      </c>
    </row>
    <row r="28" spans="1:31" x14ac:dyDescent="0.25">
      <c r="A28">
        <v>20.447174140000001</v>
      </c>
      <c r="B28">
        <v>114.09187129999999</v>
      </c>
      <c r="C28">
        <v>1.69117999</v>
      </c>
      <c r="D28">
        <v>1.22430599</v>
      </c>
      <c r="E28" t="b">
        <f t="shared" si="0"/>
        <v>0</v>
      </c>
      <c r="F28">
        <f t="shared" si="1"/>
        <v>-7.2315939599999997</v>
      </c>
      <c r="G28">
        <f t="shared" si="2"/>
        <v>-15.687493909999999</v>
      </c>
      <c r="H28">
        <f t="shared" si="3"/>
        <v>-24.14339386</v>
      </c>
      <c r="I28">
        <f t="shared" si="4"/>
        <v>-32.599293809999999</v>
      </c>
      <c r="J28">
        <f t="shared" si="5"/>
        <v>-41.055193760000002</v>
      </c>
      <c r="L28">
        <f t="shared" si="6"/>
        <v>2473098.0998</v>
      </c>
      <c r="M28">
        <f t="shared" si="7"/>
        <v>-12438341.611200001</v>
      </c>
      <c r="N28">
        <f t="shared" si="8"/>
        <v>-23217490.986799996</v>
      </c>
      <c r="O28">
        <f t="shared" si="9"/>
        <v>-27040601.123200003</v>
      </c>
      <c r="P28">
        <f t="shared" si="10"/>
        <v>-29991350.305199996</v>
      </c>
      <c r="Q28">
        <f t="shared" si="11"/>
        <v>-35307466.633600004</v>
      </c>
      <c r="S28">
        <f t="shared" si="12"/>
        <v>2999549.6755000004</v>
      </c>
      <c r="T28">
        <f t="shared" si="13"/>
        <v>-34041861.784699999</v>
      </c>
      <c r="U28">
        <f t="shared" si="14"/>
        <v>-29178738.672599994</v>
      </c>
      <c r="V28">
        <f t="shared" si="15"/>
        <v>-34283619.281199999</v>
      </c>
      <c r="W28">
        <f t="shared" si="16"/>
        <v>-44661032.519699998</v>
      </c>
      <c r="X28">
        <f t="shared" si="17"/>
        <v>-50087336.387200005</v>
      </c>
      <c r="Z28">
        <f t="shared" si="18"/>
        <v>3526001.2511999998</v>
      </c>
      <c r="AA28">
        <f t="shared" si="19"/>
        <v>-18946776.1752</v>
      </c>
      <c r="AB28">
        <f t="shared" si="20"/>
        <v>-35139986.358400002</v>
      </c>
      <c r="AC28">
        <f t="shared" si="21"/>
        <v>-47321051.965599999</v>
      </c>
      <c r="AD28">
        <f t="shared" si="22"/>
        <v>-59330714.734200001</v>
      </c>
      <c r="AE28">
        <f t="shared" si="23"/>
        <v>-64867206.140800014</v>
      </c>
    </row>
    <row r="29" spans="1:31" x14ac:dyDescent="0.25">
      <c r="A29">
        <v>20.44925761</v>
      </c>
      <c r="B29">
        <v>113.47799980000001</v>
      </c>
      <c r="C29">
        <v>1.6207139500000001</v>
      </c>
      <c r="D29">
        <v>7.3458380700000001</v>
      </c>
      <c r="E29" t="b">
        <f t="shared" si="0"/>
        <v>1</v>
      </c>
      <c r="F29">
        <f t="shared" si="1"/>
        <v>-0.75773168000000002</v>
      </c>
      <c r="G29">
        <f t="shared" si="2"/>
        <v>-8.861301430000001</v>
      </c>
      <c r="H29">
        <f t="shared" si="3"/>
        <v>-16.964871180000003</v>
      </c>
      <c r="I29">
        <f t="shared" si="4"/>
        <v>-25.068440930000001</v>
      </c>
      <c r="J29">
        <f t="shared" si="5"/>
        <v>-33.17201068</v>
      </c>
      <c r="L29">
        <f t="shared" si="6"/>
        <v>3273842.1790000005</v>
      </c>
      <c r="M29">
        <f t="shared" si="7"/>
        <v>-1303298.4896000002</v>
      </c>
      <c r="N29">
        <f t="shared" si="8"/>
        <v>-13114726.116400002</v>
      </c>
      <c r="O29">
        <f t="shared" si="9"/>
        <v>-19000655.721600007</v>
      </c>
      <c r="P29">
        <f t="shared" si="10"/>
        <v>-23062965.655599996</v>
      </c>
      <c r="Q29">
        <f t="shared" si="11"/>
        <v>-28527929.184799999</v>
      </c>
      <c r="S29">
        <f t="shared" si="12"/>
        <v>3970749.1775000007</v>
      </c>
      <c r="T29">
        <f t="shared" si="13"/>
        <v>-19229024.103100002</v>
      </c>
      <c r="U29">
        <f t="shared" si="14"/>
        <v>-16482020.659800002</v>
      </c>
      <c r="V29">
        <f t="shared" si="15"/>
        <v>-24090117.075600002</v>
      </c>
      <c r="W29">
        <f t="shared" si="16"/>
        <v>-34343764.074100003</v>
      </c>
      <c r="X29">
        <f t="shared" si="17"/>
        <v>-40469853.029600002</v>
      </c>
      <c r="Z29">
        <f t="shared" si="18"/>
        <v>4667656.176</v>
      </c>
      <c r="AA29">
        <f t="shared" si="19"/>
        <v>-1985257.0016000003</v>
      </c>
      <c r="AB29">
        <f t="shared" si="20"/>
        <v>-19849315.203200005</v>
      </c>
      <c r="AC29">
        <f t="shared" si="21"/>
        <v>-33251147.512800004</v>
      </c>
      <c r="AD29">
        <f t="shared" si="22"/>
        <v>-45624562.492600001</v>
      </c>
      <c r="AE29">
        <f t="shared" si="23"/>
        <v>-52411776.874400005</v>
      </c>
    </row>
    <row r="30" spans="1:31" x14ac:dyDescent="0.25">
      <c r="A30">
        <v>20.45942926</v>
      </c>
      <c r="B30">
        <v>113.33715719999999</v>
      </c>
      <c r="C30">
        <v>1.47978199</v>
      </c>
      <c r="D30">
        <v>4.8213191000000002</v>
      </c>
      <c r="E30" t="b">
        <f t="shared" si="0"/>
        <v>1</v>
      </c>
      <c r="F30">
        <f t="shared" si="1"/>
        <v>-2.57759085</v>
      </c>
      <c r="G30">
        <f t="shared" si="2"/>
        <v>-9.9765008000000002</v>
      </c>
      <c r="H30">
        <f t="shared" si="3"/>
        <v>-17.37541075</v>
      </c>
      <c r="I30">
        <f t="shared" si="4"/>
        <v>-24.774320700000001</v>
      </c>
      <c r="J30">
        <f t="shared" si="5"/>
        <v>-32.173230649999994</v>
      </c>
      <c r="L30">
        <f t="shared" si="6"/>
        <v>2989159.6198</v>
      </c>
      <c r="M30">
        <f t="shared" si="7"/>
        <v>-4433456.262000001</v>
      </c>
      <c r="N30">
        <f t="shared" si="8"/>
        <v>-14765221.184</v>
      </c>
      <c r="O30">
        <f t="shared" si="9"/>
        <v>-19460460.040000003</v>
      </c>
      <c r="P30">
        <f t="shared" si="10"/>
        <v>-22792375.043999996</v>
      </c>
      <c r="Q30">
        <f t="shared" si="11"/>
        <v>-27668978.358999994</v>
      </c>
      <c r="S30">
        <f t="shared" si="12"/>
        <v>3625465.8755000001</v>
      </c>
      <c r="T30">
        <f t="shared" si="13"/>
        <v>-21649006.736000001</v>
      </c>
      <c r="U30">
        <f t="shared" si="14"/>
        <v>-18556291.488000002</v>
      </c>
      <c r="V30">
        <f t="shared" si="15"/>
        <v>-24673083.265000001</v>
      </c>
      <c r="W30">
        <f t="shared" si="16"/>
        <v>-33940819.359000005</v>
      </c>
      <c r="X30">
        <f t="shared" si="17"/>
        <v>-39251341.392999992</v>
      </c>
      <c r="Z30">
        <f t="shared" si="18"/>
        <v>4261772.1311999997</v>
      </c>
      <c r="AA30">
        <f t="shared" si="19"/>
        <v>-6753288.0270000007</v>
      </c>
      <c r="AB30">
        <f t="shared" si="20"/>
        <v>-22347361.792000003</v>
      </c>
      <c r="AC30">
        <f t="shared" si="21"/>
        <v>-34055805.07</v>
      </c>
      <c r="AD30">
        <f t="shared" si="22"/>
        <v>-45089263.674000002</v>
      </c>
      <c r="AE30">
        <f t="shared" si="23"/>
        <v>-50833704.426999994</v>
      </c>
    </row>
    <row r="31" spans="1:31" x14ac:dyDescent="0.25">
      <c r="A31">
        <v>20.466103360000002</v>
      </c>
      <c r="B31">
        <v>113.24324470000001</v>
      </c>
      <c r="C31">
        <v>1.47978199</v>
      </c>
      <c r="D31">
        <v>11.35666561</v>
      </c>
      <c r="E31" t="b">
        <f t="shared" si="0"/>
        <v>1</v>
      </c>
      <c r="F31">
        <f t="shared" si="1"/>
        <v>3.9577556600000001</v>
      </c>
      <c r="G31">
        <f t="shared" si="2"/>
        <v>-3.4411542900000001</v>
      </c>
      <c r="H31">
        <f t="shared" si="3"/>
        <v>-10.84006424</v>
      </c>
      <c r="I31">
        <f t="shared" si="4"/>
        <v>-18.23897419</v>
      </c>
      <c r="J31">
        <f t="shared" si="5"/>
        <v>-25.637884139999997</v>
      </c>
      <c r="L31">
        <f t="shared" si="6"/>
        <v>2989159.6198</v>
      </c>
      <c r="M31">
        <f t="shared" si="7"/>
        <v>2545225.0228000004</v>
      </c>
      <c r="N31">
        <f t="shared" si="8"/>
        <v>-5092908.3492000001</v>
      </c>
      <c r="O31">
        <f t="shared" si="9"/>
        <v>-12140871.948800001</v>
      </c>
      <c r="P31">
        <f t="shared" si="10"/>
        <v>-16779856.254799999</v>
      </c>
      <c r="Q31">
        <f t="shared" si="11"/>
        <v>-22048580.360399999</v>
      </c>
      <c r="S31">
        <f t="shared" si="12"/>
        <v>3625465.8755000001</v>
      </c>
      <c r="T31">
        <f t="shared" si="13"/>
        <v>-7467304.8092999998</v>
      </c>
      <c r="U31">
        <f t="shared" si="14"/>
        <v>-6400546.9793999996</v>
      </c>
      <c r="V31">
        <f t="shared" si="15"/>
        <v>-15392891.220799999</v>
      </c>
      <c r="W31">
        <f t="shared" si="16"/>
        <v>-24987394.640300002</v>
      </c>
      <c r="X31">
        <f t="shared" si="17"/>
        <v>-31278218.650799997</v>
      </c>
      <c r="Z31">
        <f t="shared" si="18"/>
        <v>4261772.1311999997</v>
      </c>
      <c r="AA31">
        <f t="shared" si="19"/>
        <v>3877028.8138000001</v>
      </c>
      <c r="AB31">
        <f t="shared" si="20"/>
        <v>-7708185.609600001</v>
      </c>
      <c r="AC31">
        <f t="shared" si="21"/>
        <v>-21246525.910399999</v>
      </c>
      <c r="AD31">
        <f t="shared" si="22"/>
        <v>-33194933.025800005</v>
      </c>
      <c r="AE31">
        <f t="shared" si="23"/>
        <v>-40507856.941199996</v>
      </c>
    </row>
    <row r="32" spans="1:31" x14ac:dyDescent="0.25">
      <c r="A32">
        <v>20.476898049999999</v>
      </c>
      <c r="B32">
        <v>109.7059948</v>
      </c>
      <c r="C32">
        <v>91.886039729999993</v>
      </c>
      <c r="D32">
        <v>2.2037520399999999</v>
      </c>
      <c r="E32" t="b">
        <f t="shared" si="0"/>
        <v>0</v>
      </c>
      <c r="F32">
        <f t="shared" si="1"/>
        <v>-457.22644660999998</v>
      </c>
      <c r="G32">
        <f t="shared" si="2"/>
        <v>-916.65664525999989</v>
      </c>
      <c r="H32">
        <f t="shared" si="3"/>
        <v>-1376.08684391</v>
      </c>
      <c r="I32">
        <f t="shared" si="4"/>
        <v>-1835.5170425599999</v>
      </c>
      <c r="J32">
        <f t="shared" si="5"/>
        <v>-2294.9472412099999</v>
      </c>
      <c r="L32">
        <f t="shared" si="6"/>
        <v>4451579.1207999997</v>
      </c>
      <c r="M32">
        <f t="shared" si="7"/>
        <v>-786429488.16920006</v>
      </c>
      <c r="N32">
        <f t="shared" si="8"/>
        <v>-1356651834.9847999</v>
      </c>
      <c r="O32">
        <f t="shared" si="9"/>
        <v>-1541217265.1792002</v>
      </c>
      <c r="P32">
        <f t="shared" si="10"/>
        <v>-1688675679.1551998</v>
      </c>
      <c r="Q32">
        <f t="shared" si="11"/>
        <v>-1973654627.4405999</v>
      </c>
      <c r="S32">
        <f t="shared" si="12"/>
        <v>5399192.4980000006</v>
      </c>
      <c r="T32">
        <f t="shared" si="13"/>
        <v>-1989144920.2141995</v>
      </c>
      <c r="U32">
        <f t="shared" si="14"/>
        <v>-1704981360.1835997</v>
      </c>
      <c r="V32">
        <f t="shared" si="15"/>
        <v>-1954043318.3522</v>
      </c>
      <c r="W32">
        <f t="shared" si="16"/>
        <v>-2514658348.3072</v>
      </c>
      <c r="X32">
        <f t="shared" si="17"/>
        <v>-2799835634.2761998</v>
      </c>
      <c r="Z32">
        <f t="shared" si="18"/>
        <v>6346805.8751999997</v>
      </c>
      <c r="AA32">
        <f t="shared" si="19"/>
        <v>-1197933290.1181998</v>
      </c>
      <c r="AB32">
        <f t="shared" si="20"/>
        <v>-2053310885.3823998</v>
      </c>
      <c r="AC32">
        <f t="shared" si="21"/>
        <v>-2697130214.0636001</v>
      </c>
      <c r="AD32">
        <f t="shared" si="22"/>
        <v>-3340641017.4591999</v>
      </c>
      <c r="AE32">
        <f t="shared" si="23"/>
        <v>-3626016641.1118002</v>
      </c>
    </row>
    <row r="33" spans="1:31" x14ac:dyDescent="0.25">
      <c r="A33">
        <v>20.478584980000001</v>
      </c>
      <c r="B33">
        <v>109.6589316</v>
      </c>
      <c r="C33">
        <v>96.062675479999996</v>
      </c>
      <c r="D33">
        <v>2.53676295</v>
      </c>
      <c r="E33" t="b">
        <f t="shared" si="0"/>
        <v>0</v>
      </c>
      <c r="F33">
        <f t="shared" si="1"/>
        <v>-477.77661444999995</v>
      </c>
      <c r="G33">
        <f t="shared" si="2"/>
        <v>-958.08999184999993</v>
      </c>
      <c r="H33">
        <f t="shared" si="3"/>
        <v>-1438.40336925</v>
      </c>
      <c r="I33">
        <f t="shared" si="4"/>
        <v>-1918.71674665</v>
      </c>
      <c r="J33">
        <f t="shared" si="5"/>
        <v>-2399.0301240499998</v>
      </c>
      <c r="L33">
        <f t="shared" si="6"/>
        <v>5124261.159</v>
      </c>
      <c r="M33">
        <f t="shared" si="7"/>
        <v>-821775776.85399997</v>
      </c>
      <c r="N33">
        <f t="shared" si="8"/>
        <v>-1417973187.9379997</v>
      </c>
      <c r="O33">
        <f t="shared" si="9"/>
        <v>-1611011773.5600002</v>
      </c>
      <c r="P33">
        <f t="shared" si="10"/>
        <v>-1765219406.918</v>
      </c>
      <c r="Q33">
        <f t="shared" si="11"/>
        <v>-2063165906.6829996</v>
      </c>
      <c r="S33">
        <f t="shared" si="12"/>
        <v>6215069.227500001</v>
      </c>
      <c r="T33">
        <f t="shared" si="13"/>
        <v>-2079055282.3144996</v>
      </c>
      <c r="U33">
        <f t="shared" si="14"/>
        <v>-1782047384.8409996</v>
      </c>
      <c r="V33">
        <f t="shared" si="15"/>
        <v>-2042532784.3349998</v>
      </c>
      <c r="W33">
        <f t="shared" si="16"/>
        <v>-2628641942.9105005</v>
      </c>
      <c r="X33">
        <f t="shared" si="17"/>
        <v>-2926816751.3409996</v>
      </c>
      <c r="Z33">
        <f t="shared" si="18"/>
        <v>7305877.2960000001</v>
      </c>
      <c r="AA33">
        <f t="shared" si="19"/>
        <v>-1251774729.859</v>
      </c>
      <c r="AB33">
        <f t="shared" si="20"/>
        <v>-2146121581.744</v>
      </c>
      <c r="AC33">
        <f t="shared" si="21"/>
        <v>-2819270603.73</v>
      </c>
      <c r="AD33">
        <f t="shared" si="22"/>
        <v>-3492064478.9030004</v>
      </c>
      <c r="AE33">
        <f t="shared" si="23"/>
        <v>-3790467595.9989996</v>
      </c>
    </row>
    <row r="34" spans="1:31" x14ac:dyDescent="0.25">
      <c r="A34">
        <v>20.480250359999999</v>
      </c>
      <c r="B34">
        <v>109.6118666</v>
      </c>
      <c r="C34">
        <v>62.64957047</v>
      </c>
      <c r="D34">
        <v>0.48972300000000002</v>
      </c>
      <c r="E34" t="b">
        <f t="shared" si="0"/>
        <v>0</v>
      </c>
      <c r="F34">
        <f t="shared" si="1"/>
        <v>-312.75812934999999</v>
      </c>
      <c r="G34">
        <f t="shared" si="2"/>
        <v>-626.00598170000001</v>
      </c>
      <c r="H34">
        <f t="shared" si="3"/>
        <v>-939.25383405000002</v>
      </c>
      <c r="I34">
        <f t="shared" si="4"/>
        <v>-1252.5016864000002</v>
      </c>
      <c r="J34">
        <f t="shared" si="5"/>
        <v>-1565.7495387500001</v>
      </c>
      <c r="L34">
        <f t="shared" si="6"/>
        <v>989240.46</v>
      </c>
      <c r="M34">
        <f t="shared" si="7"/>
        <v>-537943982.48199999</v>
      </c>
      <c r="N34">
        <f t="shared" si="8"/>
        <v>-926488852.91600001</v>
      </c>
      <c r="O34">
        <f t="shared" si="9"/>
        <v>-1051964294.1360002</v>
      </c>
      <c r="P34">
        <f t="shared" si="10"/>
        <v>-1152301551.4879999</v>
      </c>
      <c r="Q34">
        <f t="shared" si="11"/>
        <v>-1346544603.325</v>
      </c>
      <c r="S34">
        <f t="shared" si="12"/>
        <v>1199821.3500000001</v>
      </c>
      <c r="T34">
        <f t="shared" si="13"/>
        <v>-1358432980.289</v>
      </c>
      <c r="U34">
        <f t="shared" si="14"/>
        <v>-1164371125.9619999</v>
      </c>
      <c r="V34">
        <f t="shared" si="15"/>
        <v>-1333740444.3510001</v>
      </c>
      <c r="W34">
        <f t="shared" si="16"/>
        <v>-1715927310.3680003</v>
      </c>
      <c r="X34">
        <f t="shared" si="17"/>
        <v>-1910214437.2749999</v>
      </c>
      <c r="Z34">
        <f t="shared" si="18"/>
        <v>1410402.24</v>
      </c>
      <c r="AA34">
        <f t="shared" si="19"/>
        <v>-819426298.89699996</v>
      </c>
      <c r="AB34">
        <f t="shared" si="20"/>
        <v>-1402253399.0080001</v>
      </c>
      <c r="AC34">
        <f t="shared" si="21"/>
        <v>-1840937514.7380002</v>
      </c>
      <c r="AD34">
        <f t="shared" si="22"/>
        <v>-2279553069.2480001</v>
      </c>
      <c r="AE34">
        <f t="shared" si="23"/>
        <v>-2473884271.2249999</v>
      </c>
    </row>
    <row r="35" spans="1:31" x14ac:dyDescent="0.25">
      <c r="A35">
        <v>20.48189421</v>
      </c>
      <c r="B35">
        <v>109.56480000000001</v>
      </c>
      <c r="C35">
        <v>129.47578429999999</v>
      </c>
      <c r="D35">
        <v>1.4691679499999999</v>
      </c>
      <c r="E35" t="b">
        <f t="shared" si="0"/>
        <v>0</v>
      </c>
      <c r="F35">
        <f t="shared" si="1"/>
        <v>-645.90975354999989</v>
      </c>
      <c r="G35">
        <f t="shared" si="2"/>
        <v>-1293.2886750499999</v>
      </c>
      <c r="H35">
        <f t="shared" si="3"/>
        <v>-1940.6675965499999</v>
      </c>
      <c r="I35">
        <f t="shared" si="4"/>
        <v>-2588.0465180499996</v>
      </c>
      <c r="J35">
        <f t="shared" si="5"/>
        <v>-3235.4254395499993</v>
      </c>
      <c r="L35">
        <f t="shared" si="6"/>
        <v>2967719.2590000001</v>
      </c>
      <c r="M35">
        <f t="shared" si="7"/>
        <v>-1110964776.1059999</v>
      </c>
      <c r="N35">
        <f t="shared" si="8"/>
        <v>-1914067239.0739999</v>
      </c>
      <c r="O35">
        <f t="shared" si="9"/>
        <v>-2173547708.1360002</v>
      </c>
      <c r="P35">
        <f t="shared" si="10"/>
        <v>-2381002796.6059995</v>
      </c>
      <c r="Q35">
        <f t="shared" si="11"/>
        <v>-2782465878.0129995</v>
      </c>
      <c r="S35">
        <f t="shared" si="12"/>
        <v>3599461.4775</v>
      </c>
      <c r="T35">
        <f t="shared" si="13"/>
        <v>-2806436424.8585</v>
      </c>
      <c r="U35">
        <f t="shared" si="14"/>
        <v>-2405516935.5929999</v>
      </c>
      <c r="V35">
        <f t="shared" si="15"/>
        <v>-2755747987.1009998</v>
      </c>
      <c r="W35">
        <f t="shared" si="16"/>
        <v>-3545623729.7284999</v>
      </c>
      <c r="X35">
        <f t="shared" si="17"/>
        <v>-3947219036.250999</v>
      </c>
      <c r="Z35">
        <f t="shared" si="18"/>
        <v>4231203.6959999995</v>
      </c>
      <c r="AA35">
        <f t="shared" si="19"/>
        <v>-1692283554.3009996</v>
      </c>
      <c r="AB35">
        <f t="shared" si="20"/>
        <v>-2896966632.112</v>
      </c>
      <c r="AC35">
        <f t="shared" si="21"/>
        <v>-3803708489.2379999</v>
      </c>
      <c r="AD35">
        <f t="shared" si="22"/>
        <v>-4710244662.8509998</v>
      </c>
      <c r="AE35">
        <f t="shared" si="23"/>
        <v>-5111972194.4889994</v>
      </c>
    </row>
    <row r="36" spans="1:31" x14ac:dyDescent="0.25">
      <c r="A36">
        <v>20.498767839999999</v>
      </c>
      <c r="B36">
        <v>114.00191460000001</v>
      </c>
      <c r="C36">
        <v>1.69117999</v>
      </c>
      <c r="D36">
        <v>3.13422394</v>
      </c>
      <c r="E36" t="b">
        <f t="shared" si="0"/>
        <v>1</v>
      </c>
      <c r="F36">
        <f t="shared" si="1"/>
        <v>-5.3216760099999991</v>
      </c>
      <c r="G36">
        <f t="shared" si="2"/>
        <v>-13.777575959999998</v>
      </c>
      <c r="H36">
        <f t="shared" si="3"/>
        <v>-22.233475910000003</v>
      </c>
      <c r="I36">
        <f t="shared" si="4"/>
        <v>-30.689375859999998</v>
      </c>
      <c r="J36">
        <f t="shared" si="5"/>
        <v>-39.145275810000001</v>
      </c>
      <c r="L36">
        <f t="shared" si="6"/>
        <v>3416183.5797999999</v>
      </c>
      <c r="M36">
        <f t="shared" si="7"/>
        <v>-9153282.7371999994</v>
      </c>
      <c r="N36">
        <f t="shared" si="8"/>
        <v>-20390812.420799997</v>
      </c>
      <c r="O36">
        <f t="shared" si="9"/>
        <v>-24901493.019200008</v>
      </c>
      <c r="P36">
        <f t="shared" si="10"/>
        <v>-28234225.791199997</v>
      </c>
      <c r="Q36">
        <f t="shared" si="11"/>
        <v>-33664937.196600005</v>
      </c>
      <c r="S36">
        <f t="shared" si="12"/>
        <v>4143390.9755000002</v>
      </c>
      <c r="T36">
        <f t="shared" si="13"/>
        <v>-29897339.833199997</v>
      </c>
      <c r="U36">
        <f t="shared" si="14"/>
        <v>-25626291.285599995</v>
      </c>
      <c r="V36">
        <f t="shared" si="15"/>
        <v>-31571535.792200003</v>
      </c>
      <c r="W36">
        <f t="shared" si="16"/>
        <v>-42044444.928199999</v>
      </c>
      <c r="X36">
        <f t="shared" si="17"/>
        <v>-47757236.488200001</v>
      </c>
      <c r="Z36">
        <f t="shared" si="18"/>
        <v>4870598.3711999999</v>
      </c>
      <c r="AA36">
        <f t="shared" si="19"/>
        <v>-13942791.146199998</v>
      </c>
      <c r="AB36">
        <f t="shared" si="20"/>
        <v>-30861770.150400002</v>
      </c>
      <c r="AC36">
        <f t="shared" si="21"/>
        <v>-43577612.78360001</v>
      </c>
      <c r="AD36">
        <f t="shared" si="22"/>
        <v>-55854664.065200001</v>
      </c>
      <c r="AE36">
        <f t="shared" si="23"/>
        <v>-61849535.779800005</v>
      </c>
    </row>
    <row r="37" spans="1:31" x14ac:dyDescent="0.25">
      <c r="A37">
        <v>20.506050470000002</v>
      </c>
      <c r="B37">
        <v>113.9080122</v>
      </c>
      <c r="C37">
        <v>1.47978199</v>
      </c>
      <c r="D37">
        <v>20.813209530000002</v>
      </c>
      <c r="E37" t="b">
        <f t="shared" si="0"/>
        <v>1</v>
      </c>
      <c r="F37">
        <f t="shared" si="1"/>
        <v>13.414299580000002</v>
      </c>
      <c r="G37">
        <f t="shared" si="2"/>
        <v>6.0153896300000014</v>
      </c>
      <c r="H37">
        <f t="shared" si="3"/>
        <v>-1.3835203199999988</v>
      </c>
      <c r="I37">
        <f t="shared" si="4"/>
        <v>-8.782430269999999</v>
      </c>
      <c r="J37">
        <f t="shared" si="5"/>
        <v>-16.181340219999996</v>
      </c>
      <c r="L37">
        <f t="shared" si="6"/>
        <v>2989159.6198</v>
      </c>
      <c r="M37">
        <f t="shared" si="7"/>
        <v>2545225.0228000004</v>
      </c>
      <c r="N37">
        <f t="shared" si="8"/>
        <v>2190077.3451999999</v>
      </c>
      <c r="O37">
        <f t="shared" si="9"/>
        <v>-1549542.758399999</v>
      </c>
      <c r="P37">
        <f t="shared" si="10"/>
        <v>-8079835.8483999986</v>
      </c>
      <c r="Q37">
        <f t="shared" si="11"/>
        <v>-13915952.589199996</v>
      </c>
      <c r="S37">
        <f t="shared" si="12"/>
        <v>3625465.8755000001</v>
      </c>
      <c r="T37">
        <f t="shared" si="13"/>
        <v>3211126.9183</v>
      </c>
      <c r="U37">
        <f t="shared" si="14"/>
        <v>2752394.5014</v>
      </c>
      <c r="V37">
        <f t="shared" si="15"/>
        <v>-1964598.8543999984</v>
      </c>
      <c r="W37">
        <f t="shared" si="16"/>
        <v>-12031929.469900001</v>
      </c>
      <c r="X37">
        <f t="shared" si="17"/>
        <v>-19741235.068399992</v>
      </c>
      <c r="Z37">
        <f t="shared" si="18"/>
        <v>4261772.1311999997</v>
      </c>
      <c r="AA37">
        <f t="shared" si="19"/>
        <v>3877028.8138000001</v>
      </c>
      <c r="AB37">
        <f t="shared" si="20"/>
        <v>3314711.6576000005</v>
      </c>
      <c r="AC37">
        <f t="shared" si="21"/>
        <v>-2711699.8271999978</v>
      </c>
      <c r="AD37">
        <f t="shared" si="22"/>
        <v>-15984023.091399999</v>
      </c>
      <c r="AE37">
        <f t="shared" si="23"/>
        <v>-25566517.547599994</v>
      </c>
    </row>
    <row r="38" spans="1:31" x14ac:dyDescent="0.25">
      <c r="A38">
        <v>20.51954211</v>
      </c>
      <c r="B38">
        <v>109.7548815</v>
      </c>
      <c r="C38">
        <v>50.543830870000001</v>
      </c>
      <c r="D38">
        <v>2.4486129299999999</v>
      </c>
      <c r="E38" t="b">
        <f t="shared" si="0"/>
        <v>0</v>
      </c>
      <c r="F38">
        <f t="shared" si="1"/>
        <v>-250.27054142</v>
      </c>
      <c r="G38">
        <f t="shared" si="2"/>
        <v>-502.98969576999997</v>
      </c>
      <c r="H38">
        <f t="shared" si="3"/>
        <v>-755.70885012000008</v>
      </c>
      <c r="I38">
        <f t="shared" si="4"/>
        <v>-1008.42800447</v>
      </c>
      <c r="J38">
        <f t="shared" si="5"/>
        <v>-1261.14715882</v>
      </c>
      <c r="L38">
        <f t="shared" si="6"/>
        <v>4946198.1185999997</v>
      </c>
      <c r="M38">
        <f t="shared" si="7"/>
        <v>-430465331.24240005</v>
      </c>
      <c r="N38">
        <f t="shared" si="8"/>
        <v>-744424749.73959994</v>
      </c>
      <c r="O38">
        <f t="shared" si="9"/>
        <v>-846393912.13440025</v>
      </c>
      <c r="P38">
        <f t="shared" si="10"/>
        <v>-927753764.11239994</v>
      </c>
      <c r="Q38">
        <f t="shared" si="11"/>
        <v>-1084586556.5851998</v>
      </c>
      <c r="S38">
        <f t="shared" si="12"/>
        <v>5999101.6784999995</v>
      </c>
      <c r="T38">
        <f t="shared" si="13"/>
        <v>-1091487639.8209</v>
      </c>
      <c r="U38">
        <f t="shared" si="14"/>
        <v>-935560834.13219988</v>
      </c>
      <c r="V38">
        <f t="shared" si="15"/>
        <v>-1073106567.1704001</v>
      </c>
      <c r="W38">
        <f t="shared" si="16"/>
        <v>-1381546366.1239002</v>
      </c>
      <c r="X38">
        <f t="shared" si="17"/>
        <v>-1538599533.7603998</v>
      </c>
      <c r="Z38">
        <f t="shared" si="18"/>
        <v>7052005.2383999992</v>
      </c>
      <c r="AA38">
        <f t="shared" si="19"/>
        <v>-655708818.52040005</v>
      </c>
      <c r="AB38">
        <f t="shared" si="20"/>
        <v>-1126696918.5248001</v>
      </c>
      <c r="AC38">
        <f t="shared" si="21"/>
        <v>-1481189346.2352002</v>
      </c>
      <c r="AD38">
        <f t="shared" si="22"/>
        <v>-1835338968.1354001</v>
      </c>
      <c r="AE38">
        <f t="shared" si="23"/>
        <v>-1992612510.9356</v>
      </c>
    </row>
    <row r="39" spans="1:31" x14ac:dyDescent="0.25">
      <c r="A39">
        <v>20.521251729999999</v>
      </c>
      <c r="B39">
        <v>109.7077972</v>
      </c>
      <c r="C39">
        <v>104.415947</v>
      </c>
      <c r="D39">
        <v>2.9383349399999998</v>
      </c>
      <c r="E39" t="b">
        <f t="shared" si="0"/>
        <v>0</v>
      </c>
      <c r="F39">
        <f t="shared" si="1"/>
        <v>-519.14140006000002</v>
      </c>
      <c r="G39">
        <f t="shared" si="2"/>
        <v>-1041.2211350600001</v>
      </c>
      <c r="H39">
        <f t="shared" si="3"/>
        <v>-1563.3008700600001</v>
      </c>
      <c r="I39">
        <f t="shared" si="4"/>
        <v>-2085.3806050600001</v>
      </c>
      <c r="J39">
        <f t="shared" si="5"/>
        <v>-2607.4603400599999</v>
      </c>
      <c r="L39">
        <f t="shared" si="6"/>
        <v>5935436.5788000003</v>
      </c>
      <c r="M39">
        <f t="shared" si="7"/>
        <v>-892923208.10320008</v>
      </c>
      <c r="N39">
        <f t="shared" si="8"/>
        <v>-1541007279.8888001</v>
      </c>
      <c r="O39">
        <f t="shared" si="9"/>
        <v>-1750896974.4672003</v>
      </c>
      <c r="P39">
        <f t="shared" si="10"/>
        <v>-1918550156.6552</v>
      </c>
      <c r="Q39">
        <f t="shared" si="11"/>
        <v>-2242415892.4516001</v>
      </c>
      <c r="S39">
        <f t="shared" si="12"/>
        <v>7198920.6030000001</v>
      </c>
      <c r="T39">
        <f t="shared" si="13"/>
        <v>-2259449863.0802002</v>
      </c>
      <c r="U39">
        <f t="shared" si="14"/>
        <v>-1936671311.2116001</v>
      </c>
      <c r="V39">
        <f t="shared" si="15"/>
        <v>-2219887235.4851999</v>
      </c>
      <c r="W39">
        <f t="shared" si="16"/>
        <v>-2856971428.9322004</v>
      </c>
      <c r="X39">
        <f t="shared" si="17"/>
        <v>-3181101614.8731999</v>
      </c>
      <c r="Z39">
        <f t="shared" si="18"/>
        <v>8462404.6272</v>
      </c>
      <c r="AA39">
        <f t="shared" si="19"/>
        <v>-1360150468.1572001</v>
      </c>
      <c r="AB39">
        <f t="shared" si="20"/>
        <v>-2332335342.5344005</v>
      </c>
      <c r="AC39">
        <f t="shared" si="21"/>
        <v>-3064069705.3176003</v>
      </c>
      <c r="AD39">
        <f t="shared" si="22"/>
        <v>-3795392701.2092004</v>
      </c>
      <c r="AE39">
        <f t="shared" si="23"/>
        <v>-4119787337.2948003</v>
      </c>
    </row>
    <row r="40" spans="1:31" x14ac:dyDescent="0.25">
      <c r="A40">
        <v>20.5229398</v>
      </c>
      <c r="B40">
        <v>109.6607111</v>
      </c>
      <c r="C40">
        <v>138.32167050000001</v>
      </c>
      <c r="D40">
        <v>2.95302701</v>
      </c>
      <c r="E40" t="b">
        <f t="shared" si="0"/>
        <v>0</v>
      </c>
      <c r="F40">
        <f t="shared" si="1"/>
        <v>-688.65532549</v>
      </c>
      <c r="G40">
        <f t="shared" si="2"/>
        <v>-1380.2636779900001</v>
      </c>
      <c r="H40">
        <f t="shared" si="3"/>
        <v>-2071.8720304900003</v>
      </c>
      <c r="I40">
        <f t="shared" si="4"/>
        <v>-2763.4803829900002</v>
      </c>
      <c r="J40">
        <f t="shared" si="5"/>
        <v>-3455.0887354900005</v>
      </c>
      <c r="L40">
        <f t="shared" si="6"/>
        <v>5965114.5601999993</v>
      </c>
      <c r="M40">
        <f t="shared" si="7"/>
        <v>-1184487159.8428001</v>
      </c>
      <c r="N40">
        <f t="shared" si="8"/>
        <v>-2042790243.4252002</v>
      </c>
      <c r="O40">
        <f t="shared" si="9"/>
        <v>-2320496674.1488004</v>
      </c>
      <c r="P40">
        <f t="shared" si="10"/>
        <v>-2542401952.3508</v>
      </c>
      <c r="Q40">
        <f t="shared" si="11"/>
        <v>-2971376312.5214005</v>
      </c>
      <c r="S40">
        <f t="shared" si="12"/>
        <v>7234916.1744999997</v>
      </c>
      <c r="T40">
        <f t="shared" si="13"/>
        <v>-2995172181.2383003</v>
      </c>
      <c r="U40">
        <f t="shared" si="14"/>
        <v>-2567290441.0614004</v>
      </c>
      <c r="V40">
        <f t="shared" si="15"/>
        <v>-2942058283.2958002</v>
      </c>
      <c r="W40">
        <f t="shared" si="16"/>
        <v>-3785968124.6963005</v>
      </c>
      <c r="X40">
        <f t="shared" si="17"/>
        <v>-4215208257.297801</v>
      </c>
      <c r="Z40">
        <f t="shared" si="18"/>
        <v>8504717.7887999993</v>
      </c>
      <c r="AA40">
        <f t="shared" si="19"/>
        <v>-1804276952.7838001</v>
      </c>
      <c r="AB40">
        <f t="shared" si="20"/>
        <v>-3091790638.6976008</v>
      </c>
      <c r="AC40">
        <f t="shared" si="21"/>
        <v>-4060869179.7604003</v>
      </c>
      <c r="AD40">
        <f t="shared" si="22"/>
        <v>-5029534297.0418005</v>
      </c>
      <c r="AE40">
        <f t="shared" si="23"/>
        <v>-5459040202.0742016</v>
      </c>
    </row>
    <row r="41" spans="1:31" x14ac:dyDescent="0.25">
      <c r="A41">
        <v>20.524606309999999</v>
      </c>
      <c r="B41">
        <v>109.61362339999999</v>
      </c>
      <c r="C41">
        <v>100.2393112</v>
      </c>
      <c r="D41">
        <v>8.7537898999999992</v>
      </c>
      <c r="E41" t="b">
        <f t="shared" si="0"/>
        <v>0</v>
      </c>
      <c r="F41">
        <f t="shared" si="1"/>
        <v>-492.44276609999997</v>
      </c>
      <c r="G41">
        <f t="shared" si="2"/>
        <v>-993.63932209999996</v>
      </c>
      <c r="H41">
        <f t="shared" si="3"/>
        <v>-1494.8358781000002</v>
      </c>
      <c r="I41">
        <f t="shared" si="4"/>
        <v>-1996.0324341</v>
      </c>
      <c r="J41">
        <f t="shared" si="5"/>
        <v>-2497.2289901000004</v>
      </c>
      <c r="L41">
        <f t="shared" si="6"/>
        <v>17682655.597999997</v>
      </c>
      <c r="M41">
        <f t="shared" si="7"/>
        <v>-847001557.69200003</v>
      </c>
      <c r="N41">
        <f t="shared" si="8"/>
        <v>-1470586196.7079999</v>
      </c>
      <c r="O41">
        <f t="shared" si="9"/>
        <v>-1674216183.4720004</v>
      </c>
      <c r="P41">
        <f t="shared" si="10"/>
        <v>-1836349839.372</v>
      </c>
      <c r="Q41">
        <f t="shared" si="11"/>
        <v>-2147616931.4860001</v>
      </c>
      <c r="S41">
        <f t="shared" si="12"/>
        <v>21446785.254999999</v>
      </c>
      <c r="T41">
        <f t="shared" si="13"/>
        <v>-2156197328.9569998</v>
      </c>
      <c r="U41">
        <f t="shared" si="14"/>
        <v>-1848169139.1059997</v>
      </c>
      <c r="V41">
        <f t="shared" si="15"/>
        <v>-2122666946.9020002</v>
      </c>
      <c r="W41">
        <f t="shared" si="16"/>
        <v>-2734564434.7170005</v>
      </c>
      <c r="X41">
        <f t="shared" si="17"/>
        <v>-3046619367.9220004</v>
      </c>
      <c r="Z41">
        <f t="shared" si="18"/>
        <v>25210914.911999993</v>
      </c>
      <c r="AA41">
        <f t="shared" si="19"/>
        <v>-1290200047.1819999</v>
      </c>
      <c r="AB41">
        <f t="shared" si="20"/>
        <v>-2225752081.5040002</v>
      </c>
      <c r="AC41">
        <f t="shared" si="21"/>
        <v>-2929878321.0760002</v>
      </c>
      <c r="AD41">
        <f t="shared" si="22"/>
        <v>-3632779030.0620003</v>
      </c>
      <c r="AE41">
        <f t="shared" si="23"/>
        <v>-3945621804.3580008</v>
      </c>
    </row>
    <row r="42" spans="1:31" x14ac:dyDescent="0.25">
      <c r="A42">
        <v>20.538537080000001</v>
      </c>
      <c r="B42">
        <v>115.61445380000001</v>
      </c>
      <c r="C42">
        <v>0.84558999999999995</v>
      </c>
      <c r="D42">
        <v>6.8561158200000003</v>
      </c>
      <c r="E42" t="b">
        <f t="shared" si="0"/>
        <v>1</v>
      </c>
      <c r="F42">
        <f t="shared" si="1"/>
        <v>2.6281658200000004</v>
      </c>
      <c r="G42">
        <f t="shared" si="2"/>
        <v>-1.5997841799999994</v>
      </c>
      <c r="H42">
        <f t="shared" si="3"/>
        <v>-5.8277341799999993</v>
      </c>
      <c r="I42">
        <f t="shared" si="4"/>
        <v>-10.05568418</v>
      </c>
      <c r="J42">
        <f t="shared" si="5"/>
        <v>-14.28363418</v>
      </c>
      <c r="L42">
        <f t="shared" si="6"/>
        <v>1708091.8</v>
      </c>
      <c r="M42">
        <f t="shared" si="7"/>
        <v>1454414.8000000003</v>
      </c>
      <c r="N42">
        <f t="shared" si="8"/>
        <v>-2367680.586399999</v>
      </c>
      <c r="O42">
        <f t="shared" si="9"/>
        <v>-6527062.2816000003</v>
      </c>
      <c r="P42">
        <f t="shared" si="10"/>
        <v>-9251229.4455999993</v>
      </c>
      <c r="Q42">
        <f t="shared" si="11"/>
        <v>-12283925.3948</v>
      </c>
      <c r="S42">
        <f t="shared" si="12"/>
        <v>2071695.5000000002</v>
      </c>
      <c r="T42">
        <f t="shared" si="13"/>
        <v>-3471531.6705999989</v>
      </c>
      <c r="U42">
        <f t="shared" si="14"/>
        <v>-2975598.5747999987</v>
      </c>
      <c r="V42">
        <f t="shared" si="15"/>
        <v>-8275382.5355999991</v>
      </c>
      <c r="W42">
        <f t="shared" si="16"/>
        <v>-13776287.3266</v>
      </c>
      <c r="X42">
        <f t="shared" si="17"/>
        <v>-17426033.6996</v>
      </c>
      <c r="Z42">
        <f t="shared" si="18"/>
        <v>2435299.1999999997</v>
      </c>
      <c r="AA42">
        <f t="shared" si="19"/>
        <v>2215445.8000000003</v>
      </c>
      <c r="AB42">
        <f t="shared" si="20"/>
        <v>-3583516.5631999993</v>
      </c>
      <c r="AC42">
        <f t="shared" si="21"/>
        <v>-11422358.992799999</v>
      </c>
      <c r="AD42">
        <f t="shared" si="22"/>
        <v>-18301345.207600001</v>
      </c>
      <c r="AE42">
        <f t="shared" si="23"/>
        <v>-22568142.0044</v>
      </c>
    </row>
    <row r="43" spans="1:31" x14ac:dyDescent="0.25">
      <c r="A43">
        <v>20.543006760000001</v>
      </c>
      <c r="B43">
        <v>114.0058038</v>
      </c>
      <c r="C43">
        <v>1.9086029499999999</v>
      </c>
      <c r="D43">
        <v>6.1215319600000004</v>
      </c>
      <c r="E43" t="b">
        <f t="shared" si="0"/>
        <v>1</v>
      </c>
      <c r="F43">
        <f t="shared" si="1"/>
        <v>-3.4214827899999989</v>
      </c>
      <c r="G43">
        <f t="shared" si="2"/>
        <v>-12.964497539999998</v>
      </c>
      <c r="H43">
        <f t="shared" si="3"/>
        <v>-22.507512290000001</v>
      </c>
      <c r="I43">
        <f t="shared" si="4"/>
        <v>-32.050527039999999</v>
      </c>
      <c r="J43">
        <f t="shared" si="5"/>
        <v>-41.593541789999996</v>
      </c>
      <c r="L43">
        <f t="shared" si="6"/>
        <v>3855377.9589999998</v>
      </c>
      <c r="M43">
        <f t="shared" si="7"/>
        <v>-5884950.3987999987</v>
      </c>
      <c r="N43">
        <f t="shared" si="8"/>
        <v>-19187456.359199997</v>
      </c>
      <c r="O43">
        <f t="shared" si="9"/>
        <v>-25208413.764800005</v>
      </c>
      <c r="P43">
        <f t="shared" si="10"/>
        <v>-29486484.876799997</v>
      </c>
      <c r="Q43">
        <f t="shared" si="11"/>
        <v>-35770445.939400002</v>
      </c>
      <c r="S43">
        <f t="shared" si="12"/>
        <v>4676077.2275</v>
      </c>
      <c r="T43">
        <f t="shared" si="13"/>
        <v>-28132959.661799997</v>
      </c>
      <c r="U43">
        <f t="shared" si="14"/>
        <v>-24113965.424399998</v>
      </c>
      <c r="V43">
        <f t="shared" si="15"/>
        <v>-31960667.451800004</v>
      </c>
      <c r="W43">
        <f t="shared" si="16"/>
        <v>-43909222.044800006</v>
      </c>
      <c r="X43">
        <f t="shared" si="17"/>
        <v>-50744120.983800001</v>
      </c>
      <c r="Z43">
        <f t="shared" si="18"/>
        <v>5496776.4959999993</v>
      </c>
      <c r="AA43">
        <f t="shared" si="19"/>
        <v>-8964284.9097999986</v>
      </c>
      <c r="AB43">
        <f t="shared" si="20"/>
        <v>-29040474.489599999</v>
      </c>
      <c r="AC43">
        <f t="shared" si="21"/>
        <v>-44114724.088400006</v>
      </c>
      <c r="AD43">
        <f t="shared" si="22"/>
        <v>-58331959.212800004</v>
      </c>
      <c r="AE43">
        <f t="shared" si="23"/>
        <v>-65717796.028200001</v>
      </c>
    </row>
    <row r="44" spans="1:31" x14ac:dyDescent="0.25">
      <c r="A44">
        <v>20.565613930000001</v>
      </c>
      <c r="B44">
        <v>109.7096014</v>
      </c>
      <c r="C44">
        <v>91.886039729999993</v>
      </c>
      <c r="D44">
        <v>12.1402216</v>
      </c>
      <c r="E44" t="b">
        <f t="shared" si="0"/>
        <v>0</v>
      </c>
      <c r="F44">
        <f t="shared" si="1"/>
        <v>-447.28997704999995</v>
      </c>
      <c r="G44">
        <f t="shared" si="2"/>
        <v>-906.72017569999991</v>
      </c>
      <c r="H44">
        <f t="shared" si="3"/>
        <v>-1366.15037435</v>
      </c>
      <c r="I44">
        <f t="shared" si="4"/>
        <v>-1825.580573</v>
      </c>
      <c r="J44">
        <f t="shared" si="5"/>
        <v>-2285.0107716499997</v>
      </c>
      <c r="L44">
        <f t="shared" si="6"/>
        <v>24523247.631999999</v>
      </c>
      <c r="M44">
        <f t="shared" si="7"/>
        <v>-769338760.52600002</v>
      </c>
      <c r="N44">
        <f t="shared" si="8"/>
        <v>-1341945860.0359998</v>
      </c>
      <c r="O44">
        <f t="shared" si="9"/>
        <v>-1530088419.2720001</v>
      </c>
      <c r="P44">
        <f t="shared" si="10"/>
        <v>-1679534127.1599998</v>
      </c>
      <c r="Q44">
        <f t="shared" si="11"/>
        <v>-1965109263.6189997</v>
      </c>
      <c r="S44">
        <f t="shared" si="12"/>
        <v>29743542.920000002</v>
      </c>
      <c r="T44">
        <f t="shared" si="13"/>
        <v>-1967582781.2689998</v>
      </c>
      <c r="U44">
        <f t="shared" si="14"/>
        <v>-1686499526.8019998</v>
      </c>
      <c r="V44">
        <f t="shared" si="15"/>
        <v>-1939933531.5769997</v>
      </c>
      <c r="W44">
        <f t="shared" si="16"/>
        <v>-2501045385.0100002</v>
      </c>
      <c r="X44">
        <f t="shared" si="17"/>
        <v>-2787713141.4129996</v>
      </c>
      <c r="Z44">
        <f t="shared" si="18"/>
        <v>34963838.207999997</v>
      </c>
      <c r="AA44">
        <f t="shared" si="19"/>
        <v>-1171899739.8709998</v>
      </c>
      <c r="AB44">
        <f t="shared" si="20"/>
        <v>-2031053193.5680001</v>
      </c>
      <c r="AC44">
        <f t="shared" si="21"/>
        <v>-2677654733.7259998</v>
      </c>
      <c r="AD44">
        <f t="shared" si="22"/>
        <v>-3322556642.8600001</v>
      </c>
      <c r="AE44">
        <f t="shared" si="23"/>
        <v>-3610317019.2069998</v>
      </c>
    </row>
    <row r="45" spans="1:31" x14ac:dyDescent="0.25">
      <c r="A45">
        <v>20.570616869999998</v>
      </c>
      <c r="B45">
        <v>109.56826940000001</v>
      </c>
      <c r="C45">
        <v>116.9458618</v>
      </c>
      <c r="D45">
        <v>2.9628219599999999</v>
      </c>
      <c r="E45" t="b">
        <f t="shared" si="0"/>
        <v>0</v>
      </c>
      <c r="F45">
        <f t="shared" si="1"/>
        <v>-581.76648704000002</v>
      </c>
      <c r="G45">
        <f t="shared" si="2"/>
        <v>-1166.4957960400002</v>
      </c>
      <c r="H45">
        <f t="shared" si="3"/>
        <v>-1751.22510504</v>
      </c>
      <c r="I45">
        <f t="shared" si="4"/>
        <v>-2335.9544140400003</v>
      </c>
      <c r="J45">
        <f t="shared" si="5"/>
        <v>-2920.6837230400001</v>
      </c>
      <c r="L45">
        <f t="shared" si="6"/>
        <v>5984900.3591999998</v>
      </c>
      <c r="M45">
        <f t="shared" si="7"/>
        <v>-1000638357.7088001</v>
      </c>
      <c r="N45">
        <f t="shared" si="8"/>
        <v>-1726413778.1392002</v>
      </c>
      <c r="O45">
        <f t="shared" si="9"/>
        <v>-1961372117.6448002</v>
      </c>
      <c r="P45">
        <f t="shared" si="10"/>
        <v>-2149078060.9168</v>
      </c>
      <c r="Q45">
        <f t="shared" si="11"/>
        <v>-2511788001.8143997</v>
      </c>
      <c r="S45">
        <f t="shared" si="12"/>
        <v>7258913.8020000001</v>
      </c>
      <c r="T45">
        <f t="shared" si="13"/>
        <v>-2531295877.4068003</v>
      </c>
      <c r="U45">
        <f t="shared" si="14"/>
        <v>-2169682180.6344004</v>
      </c>
      <c r="V45">
        <f t="shared" si="15"/>
        <v>-2486739649.1567998</v>
      </c>
      <c r="W45">
        <f t="shared" si="16"/>
        <v>-3200257547.2348008</v>
      </c>
      <c r="X45">
        <f t="shared" si="17"/>
        <v>-3563234142.1087999</v>
      </c>
      <c r="Z45">
        <f t="shared" si="18"/>
        <v>8532927.2447999995</v>
      </c>
      <c r="AA45">
        <f t="shared" si="19"/>
        <v>-1524228196.0448</v>
      </c>
      <c r="AB45">
        <f t="shared" si="20"/>
        <v>-2612950583.1296005</v>
      </c>
      <c r="AC45">
        <f t="shared" si="21"/>
        <v>-3432401205.8783998</v>
      </c>
      <c r="AD45">
        <f t="shared" si="22"/>
        <v>-4251437033.5528011</v>
      </c>
      <c r="AE45">
        <f t="shared" si="23"/>
        <v>-4614680282.4032001</v>
      </c>
    </row>
    <row r="46" spans="1:31" x14ac:dyDescent="0.25">
      <c r="A46">
        <v>20.58202846</v>
      </c>
      <c r="B46">
        <v>113.48890969999999</v>
      </c>
      <c r="C46">
        <v>1.05698705</v>
      </c>
      <c r="D46">
        <v>4.5617661500000004</v>
      </c>
      <c r="E46" t="b">
        <f t="shared" si="0"/>
        <v>1</v>
      </c>
      <c r="F46">
        <f t="shared" si="1"/>
        <v>-0.72316909999999979</v>
      </c>
      <c r="G46">
        <f t="shared" si="2"/>
        <v>-6.00810435</v>
      </c>
      <c r="H46">
        <f t="shared" si="3"/>
        <v>-11.2930396</v>
      </c>
      <c r="I46">
        <f t="shared" si="4"/>
        <v>-16.57797485</v>
      </c>
      <c r="J46">
        <f t="shared" si="5"/>
        <v>-21.862910100000001</v>
      </c>
      <c r="L46">
        <f t="shared" si="6"/>
        <v>2135113.841</v>
      </c>
      <c r="M46">
        <f t="shared" si="7"/>
        <v>-1243850.8519999997</v>
      </c>
      <c r="N46">
        <f t="shared" si="8"/>
        <v>-8891994.4379999992</v>
      </c>
      <c r="O46">
        <f t="shared" si="9"/>
        <v>-12648204.352</v>
      </c>
      <c r="P46">
        <f t="shared" si="10"/>
        <v>-15251736.861999998</v>
      </c>
      <c r="Q46">
        <f t="shared" si="11"/>
        <v>-18802102.686000001</v>
      </c>
      <c r="S46">
        <f t="shared" si="12"/>
        <v>2589618.2725000004</v>
      </c>
      <c r="T46">
        <f t="shared" si="13"/>
        <v>-13037586.439499998</v>
      </c>
      <c r="U46">
        <f t="shared" si="14"/>
        <v>-11175074.090999998</v>
      </c>
      <c r="V46">
        <f t="shared" si="15"/>
        <v>-16036116.231999999</v>
      </c>
      <c r="W46">
        <f t="shared" si="16"/>
        <v>-22711825.544500001</v>
      </c>
      <c r="X46">
        <f t="shared" si="17"/>
        <v>-26672750.322000001</v>
      </c>
      <c r="Z46">
        <f t="shared" si="18"/>
        <v>3044122.7039999999</v>
      </c>
      <c r="AA46">
        <f t="shared" si="19"/>
        <v>-1894703.0419999994</v>
      </c>
      <c r="AB46">
        <f t="shared" si="20"/>
        <v>-13458153.744000001</v>
      </c>
      <c r="AC46">
        <f t="shared" si="21"/>
        <v>-22134357.616</v>
      </c>
      <c r="AD46">
        <f t="shared" si="22"/>
        <v>-30171914.227000002</v>
      </c>
      <c r="AE46">
        <f t="shared" si="23"/>
        <v>-34543397.958000004</v>
      </c>
    </row>
    <row r="47" spans="1:31" x14ac:dyDescent="0.25">
      <c r="A47">
        <v>20.602520340000002</v>
      </c>
      <c r="B47">
        <v>108.48426360000001</v>
      </c>
      <c r="C47">
        <v>79.356124879999996</v>
      </c>
      <c r="D47">
        <v>1.95888996</v>
      </c>
      <c r="E47" t="b">
        <f t="shared" si="0"/>
        <v>0</v>
      </c>
      <c r="F47">
        <f t="shared" si="1"/>
        <v>-394.82173443999994</v>
      </c>
      <c r="G47">
        <f t="shared" si="2"/>
        <v>-791.60235883999997</v>
      </c>
      <c r="H47">
        <f t="shared" si="3"/>
        <v>-1188.3829832399999</v>
      </c>
      <c r="I47">
        <f t="shared" si="4"/>
        <v>-1585.1636076399998</v>
      </c>
      <c r="J47">
        <f t="shared" si="5"/>
        <v>-1981.9442320399999</v>
      </c>
      <c r="L47">
        <f t="shared" si="6"/>
        <v>3956957.7192000002</v>
      </c>
      <c r="M47">
        <f t="shared" si="7"/>
        <v>-679093383.23679996</v>
      </c>
      <c r="N47">
        <f t="shared" si="8"/>
        <v>-1171571491.0832</v>
      </c>
      <c r="O47">
        <f t="shared" si="9"/>
        <v>-1330988941.2288001</v>
      </c>
      <c r="P47">
        <f t="shared" si="10"/>
        <v>-1458350519.0287998</v>
      </c>
      <c r="Q47">
        <f t="shared" si="11"/>
        <v>-1704472039.5544</v>
      </c>
      <c r="S47">
        <f t="shared" si="12"/>
        <v>4799280.4020000007</v>
      </c>
      <c r="T47">
        <f t="shared" si="13"/>
        <v>-1717777118.6827998</v>
      </c>
      <c r="U47">
        <f t="shared" si="14"/>
        <v>-1472380387.4423997</v>
      </c>
      <c r="V47">
        <f t="shared" si="15"/>
        <v>-1687503836.2007999</v>
      </c>
      <c r="W47">
        <f t="shared" si="16"/>
        <v>-2171674142.4668002</v>
      </c>
      <c r="X47">
        <f t="shared" si="17"/>
        <v>-2417971963.0888</v>
      </c>
      <c r="Z47">
        <f t="shared" si="18"/>
        <v>5641603.0847999994</v>
      </c>
      <c r="AA47">
        <f t="shared" si="19"/>
        <v>-1034432944.2327999</v>
      </c>
      <c r="AB47">
        <f t="shared" si="20"/>
        <v>-1773189283.8016</v>
      </c>
      <c r="AC47">
        <f t="shared" si="21"/>
        <v>-2329230647.1504002</v>
      </c>
      <c r="AD47">
        <f t="shared" si="22"/>
        <v>-2884997765.9047999</v>
      </c>
      <c r="AE47">
        <f t="shared" si="23"/>
        <v>-3131471886.6231999</v>
      </c>
    </row>
    <row r="48" spans="1:31" x14ac:dyDescent="0.25">
      <c r="A48">
        <v>20.626302160000002</v>
      </c>
      <c r="B48">
        <v>113.49255340000001</v>
      </c>
      <c r="C48">
        <v>0.77811300999999999</v>
      </c>
      <c r="D48">
        <v>0.93781899999999996</v>
      </c>
      <c r="E48" t="b">
        <f t="shared" si="0"/>
        <v>1</v>
      </c>
      <c r="F48">
        <f t="shared" si="1"/>
        <v>-2.95274605</v>
      </c>
      <c r="G48">
        <f t="shared" si="2"/>
        <v>-6.8433111000000002</v>
      </c>
      <c r="H48">
        <f t="shared" si="3"/>
        <v>-10.73387615</v>
      </c>
      <c r="I48">
        <f t="shared" si="4"/>
        <v>-14.624441200000001</v>
      </c>
      <c r="J48">
        <f t="shared" si="5"/>
        <v>-18.515006249999999</v>
      </c>
      <c r="L48">
        <f t="shared" si="6"/>
        <v>1571788.2801999999</v>
      </c>
      <c r="M48">
        <f t="shared" si="7"/>
        <v>-5078723.2060000002</v>
      </c>
      <c r="N48">
        <f t="shared" si="8"/>
        <v>-10128100.428000001</v>
      </c>
      <c r="O48">
        <f t="shared" si="9"/>
        <v>-12021941.288000001</v>
      </c>
      <c r="P48">
        <f t="shared" si="10"/>
        <v>-13454485.903999999</v>
      </c>
      <c r="Q48">
        <f t="shared" si="11"/>
        <v>-15922905.375</v>
      </c>
      <c r="S48">
        <f t="shared" si="12"/>
        <v>1906376.8745000002</v>
      </c>
      <c r="T48">
        <f t="shared" si="13"/>
        <v>-14849985.087000001</v>
      </c>
      <c r="U48">
        <f t="shared" si="14"/>
        <v>-12728558.646</v>
      </c>
      <c r="V48">
        <f t="shared" si="15"/>
        <v>-15242104.132999999</v>
      </c>
      <c r="W48">
        <f t="shared" si="16"/>
        <v>-20035484.444000002</v>
      </c>
      <c r="X48">
        <f t="shared" si="17"/>
        <v>-22588307.625</v>
      </c>
      <c r="Z48">
        <f t="shared" si="18"/>
        <v>2240965.4687999999</v>
      </c>
      <c r="AA48">
        <f t="shared" si="19"/>
        <v>-7736194.6509999996</v>
      </c>
      <c r="AB48">
        <f t="shared" si="20"/>
        <v>-15329016.864000002</v>
      </c>
      <c r="AC48">
        <f t="shared" si="21"/>
        <v>-21038397.254000001</v>
      </c>
      <c r="AD48">
        <f t="shared" si="22"/>
        <v>-26616482.984000001</v>
      </c>
      <c r="AE48">
        <f t="shared" si="23"/>
        <v>-29253709.875</v>
      </c>
    </row>
    <row r="49" spans="1:31" x14ac:dyDescent="0.25">
      <c r="A49">
        <v>20.648044859999999</v>
      </c>
      <c r="B49">
        <v>108.43830389999999</v>
      </c>
      <c r="C49">
        <v>104.415947</v>
      </c>
      <c r="D49">
        <v>2.9383349399999998</v>
      </c>
      <c r="E49" t="b">
        <f t="shared" si="0"/>
        <v>0</v>
      </c>
      <c r="F49">
        <f t="shared" si="1"/>
        <v>-519.14140006000002</v>
      </c>
      <c r="G49">
        <f t="shared" si="2"/>
        <v>-1041.2211350600001</v>
      </c>
      <c r="H49">
        <f t="shared" si="3"/>
        <v>-1563.3008700600001</v>
      </c>
      <c r="I49">
        <f t="shared" si="4"/>
        <v>-2085.3806050600001</v>
      </c>
      <c r="J49">
        <f t="shared" si="5"/>
        <v>-2607.4603400599999</v>
      </c>
      <c r="L49">
        <f t="shared" si="6"/>
        <v>5935436.5788000003</v>
      </c>
      <c r="M49">
        <f t="shared" si="7"/>
        <v>-892923208.10320008</v>
      </c>
      <c r="N49">
        <f t="shared" si="8"/>
        <v>-1541007279.8888001</v>
      </c>
      <c r="O49">
        <f t="shared" si="9"/>
        <v>-1750896974.4672003</v>
      </c>
      <c r="P49">
        <f t="shared" si="10"/>
        <v>-1918550156.6552</v>
      </c>
      <c r="Q49">
        <f t="shared" si="11"/>
        <v>-2242415892.4516001</v>
      </c>
      <c r="S49">
        <f t="shared" si="12"/>
        <v>7198920.6030000001</v>
      </c>
      <c r="T49">
        <f t="shared" si="13"/>
        <v>-2259449863.0802002</v>
      </c>
      <c r="U49">
        <f t="shared" si="14"/>
        <v>-1936671311.2116001</v>
      </c>
      <c r="V49">
        <f t="shared" si="15"/>
        <v>-2219887235.4851999</v>
      </c>
      <c r="W49">
        <f t="shared" si="16"/>
        <v>-2856971428.9322004</v>
      </c>
      <c r="X49">
        <f t="shared" si="17"/>
        <v>-3181101614.8731999</v>
      </c>
      <c r="Z49">
        <f t="shared" si="18"/>
        <v>8462404.6272</v>
      </c>
      <c r="AA49">
        <f t="shared" si="19"/>
        <v>-1360150468.1572001</v>
      </c>
      <c r="AB49">
        <f t="shared" si="20"/>
        <v>-2332335342.5344005</v>
      </c>
      <c r="AC49">
        <f t="shared" si="21"/>
        <v>-3064069705.3176003</v>
      </c>
      <c r="AD49">
        <f t="shared" si="22"/>
        <v>-3795392701.2092004</v>
      </c>
      <c r="AE49">
        <f t="shared" si="23"/>
        <v>-4119787337.2948003</v>
      </c>
    </row>
    <row r="50" spans="1:31" x14ac:dyDescent="0.25">
      <c r="A50">
        <v>20.68658593</v>
      </c>
      <c r="B50">
        <v>108.67544359999999</v>
      </c>
      <c r="C50">
        <v>13.42199707</v>
      </c>
      <c r="D50">
        <v>27.984041210000001</v>
      </c>
      <c r="E50" t="b">
        <f t="shared" si="0"/>
        <v>1</v>
      </c>
      <c r="F50">
        <f t="shared" si="1"/>
        <v>-39.125944140000001</v>
      </c>
      <c r="G50">
        <f t="shared" si="2"/>
        <v>-106.23592949</v>
      </c>
      <c r="H50">
        <f t="shared" si="3"/>
        <v>-173.34591483999998</v>
      </c>
      <c r="I50">
        <f t="shared" si="4"/>
        <v>-240.45590019000002</v>
      </c>
      <c r="J50">
        <f t="shared" si="5"/>
        <v>-307.56588554000001</v>
      </c>
      <c r="L50">
        <f t="shared" si="6"/>
        <v>27112434.0814</v>
      </c>
      <c r="M50">
        <f t="shared" si="7"/>
        <v>-67296623.920800015</v>
      </c>
      <c r="N50">
        <f t="shared" si="8"/>
        <v>-157229175.64520001</v>
      </c>
      <c r="O50">
        <f t="shared" si="9"/>
        <v>-194147424.62079999</v>
      </c>
      <c r="P50">
        <f t="shared" si="10"/>
        <v>-221219428.17480001</v>
      </c>
      <c r="Q50">
        <f t="shared" si="11"/>
        <v>-264506661.56440002</v>
      </c>
      <c r="S50">
        <f t="shared" si="12"/>
        <v>32883892.821500003</v>
      </c>
      <c r="T50">
        <f t="shared" si="13"/>
        <v>-230531966.99330002</v>
      </c>
      <c r="U50">
        <f t="shared" si="14"/>
        <v>-197598828.85140002</v>
      </c>
      <c r="V50">
        <f t="shared" si="15"/>
        <v>-246151199.07279995</v>
      </c>
      <c r="W50">
        <f t="shared" si="16"/>
        <v>-329424583.26030004</v>
      </c>
      <c r="X50">
        <f t="shared" si="17"/>
        <v>-375230380.35879999</v>
      </c>
      <c r="Z50">
        <f t="shared" si="18"/>
        <v>38655351.5616</v>
      </c>
      <c r="AA50">
        <f t="shared" si="19"/>
        <v>-102509973.64680001</v>
      </c>
      <c r="AB50">
        <f t="shared" si="20"/>
        <v>-237968482.05760005</v>
      </c>
      <c r="AC50">
        <f t="shared" si="21"/>
        <v>-339757993.08639991</v>
      </c>
      <c r="AD50">
        <f t="shared" si="22"/>
        <v>-437629738.34580004</v>
      </c>
      <c r="AE50">
        <f t="shared" si="23"/>
        <v>-485954099.15320003</v>
      </c>
    </row>
    <row r="51" spans="1:31" x14ac:dyDescent="0.25">
      <c r="A51">
        <v>20.697423279999999</v>
      </c>
      <c r="B51">
        <v>113.7351985</v>
      </c>
      <c r="C51">
        <v>1.5077229700000001</v>
      </c>
      <c r="D51">
        <v>5.72975397</v>
      </c>
      <c r="E51" t="b">
        <f t="shared" si="0"/>
        <v>1</v>
      </c>
      <c r="F51">
        <f t="shared" si="1"/>
        <v>-1.8088608800000001</v>
      </c>
      <c r="G51">
        <f t="shared" si="2"/>
        <v>-9.3474757299999993</v>
      </c>
      <c r="H51">
        <f t="shared" si="3"/>
        <v>-16.886090580000001</v>
      </c>
      <c r="I51">
        <f t="shared" si="4"/>
        <v>-24.424705429999999</v>
      </c>
      <c r="J51">
        <f t="shared" si="5"/>
        <v>-31.963320280000001</v>
      </c>
      <c r="L51">
        <f t="shared" si="6"/>
        <v>3045600.3994000005</v>
      </c>
      <c r="M51">
        <f t="shared" si="7"/>
        <v>-3111240.7136000004</v>
      </c>
      <c r="N51">
        <f t="shared" si="8"/>
        <v>-13834264.080399998</v>
      </c>
      <c r="O51">
        <f t="shared" si="9"/>
        <v>-18912421.449600004</v>
      </c>
      <c r="P51">
        <f t="shared" si="10"/>
        <v>-22470728.995599996</v>
      </c>
      <c r="Q51">
        <f t="shared" si="11"/>
        <v>-27488455.4408</v>
      </c>
      <c r="S51">
        <f t="shared" si="12"/>
        <v>3693921.2765000006</v>
      </c>
      <c r="T51">
        <f t="shared" si="13"/>
        <v>-20284022.334099997</v>
      </c>
      <c r="U51">
        <f t="shared" si="14"/>
        <v>-17386304.857799996</v>
      </c>
      <c r="V51">
        <f t="shared" si="15"/>
        <v>-23978248.623600002</v>
      </c>
      <c r="W51">
        <f t="shared" si="16"/>
        <v>-33461846.439100001</v>
      </c>
      <c r="X51">
        <f t="shared" si="17"/>
        <v>-38995250.741599999</v>
      </c>
      <c r="Z51">
        <f t="shared" si="18"/>
        <v>4342242.1536000008</v>
      </c>
      <c r="AA51">
        <f t="shared" si="19"/>
        <v>-4739215.5056000007</v>
      </c>
      <c r="AB51">
        <f t="shared" si="20"/>
        <v>-20938345.635199998</v>
      </c>
      <c r="AC51">
        <f t="shared" si="21"/>
        <v>-33096737.536800005</v>
      </c>
      <c r="AD51">
        <f t="shared" si="22"/>
        <v>-44452963.882600002</v>
      </c>
      <c r="AE51">
        <f t="shared" si="23"/>
        <v>-50502046.042400002</v>
      </c>
    </row>
    <row r="52" spans="1:31" x14ac:dyDescent="0.25">
      <c r="A52">
        <v>20.704468200000001</v>
      </c>
      <c r="B52">
        <v>113.6410705</v>
      </c>
      <c r="C52">
        <v>1.3314640499999999</v>
      </c>
      <c r="D52">
        <v>5.1420869800000002</v>
      </c>
      <c r="E52" t="b">
        <f t="shared" si="0"/>
        <v>1</v>
      </c>
      <c r="F52">
        <f t="shared" si="1"/>
        <v>-1.5152332699999995</v>
      </c>
      <c r="G52">
        <f t="shared" si="2"/>
        <v>-8.1725535199999992</v>
      </c>
      <c r="H52">
        <f t="shared" si="3"/>
        <v>-14.829873769999997</v>
      </c>
      <c r="I52">
        <f t="shared" si="4"/>
        <v>-21.487194019999997</v>
      </c>
      <c r="J52">
        <f t="shared" si="5"/>
        <v>-28.144514269999995</v>
      </c>
      <c r="L52">
        <f t="shared" si="6"/>
        <v>2689557.3809999996</v>
      </c>
      <c r="M52">
        <f t="shared" si="7"/>
        <v>-2606201.2243999997</v>
      </c>
      <c r="N52">
        <f t="shared" si="8"/>
        <v>-12095379.2096</v>
      </c>
      <c r="O52">
        <f t="shared" si="9"/>
        <v>-16609458.622399999</v>
      </c>
      <c r="P52">
        <f t="shared" si="10"/>
        <v>-19768218.498399995</v>
      </c>
      <c r="Q52">
        <f t="shared" si="11"/>
        <v>-24204282.272199996</v>
      </c>
      <c r="S52">
        <f t="shared" si="12"/>
        <v>3262086.9224999999</v>
      </c>
      <c r="T52">
        <f t="shared" si="13"/>
        <v>-17734441.1384</v>
      </c>
      <c r="U52">
        <f t="shared" si="14"/>
        <v>-15200949.547199998</v>
      </c>
      <c r="V52">
        <f t="shared" si="15"/>
        <v>-21058420.753399994</v>
      </c>
      <c r="W52">
        <f t="shared" si="16"/>
        <v>-29437455.807399996</v>
      </c>
      <c r="X52">
        <f t="shared" si="17"/>
        <v>-34336307.409399994</v>
      </c>
      <c r="Z52">
        <f t="shared" si="18"/>
        <v>3834616.4639999992</v>
      </c>
      <c r="AA52">
        <f t="shared" si="19"/>
        <v>-3969911.1673999992</v>
      </c>
      <c r="AB52">
        <f t="shared" si="20"/>
        <v>-18306519.884800002</v>
      </c>
      <c r="AC52">
        <f t="shared" si="21"/>
        <v>-29066552.589199994</v>
      </c>
      <c r="AD52">
        <f t="shared" si="22"/>
        <v>-39106693.116399996</v>
      </c>
      <c r="AE52">
        <f t="shared" si="23"/>
        <v>-44468332.546599999</v>
      </c>
    </row>
    <row r="53" spans="1:31" x14ac:dyDescent="0.25">
      <c r="A53">
        <v>20.718650440000001</v>
      </c>
      <c r="B53">
        <v>114.5900276</v>
      </c>
      <c r="C53">
        <v>1.06402397</v>
      </c>
      <c r="D53">
        <v>1.57690704</v>
      </c>
      <c r="E53" t="b">
        <f t="shared" si="0"/>
        <v>1</v>
      </c>
      <c r="F53">
        <f t="shared" si="1"/>
        <v>-3.7432128100000002</v>
      </c>
      <c r="G53">
        <f t="shared" si="2"/>
        <v>-9.0633326600000004</v>
      </c>
      <c r="H53">
        <f t="shared" si="3"/>
        <v>-14.38345251</v>
      </c>
      <c r="I53">
        <f t="shared" si="4"/>
        <v>-19.703572360000003</v>
      </c>
      <c r="J53">
        <f t="shared" si="5"/>
        <v>-25.02369221</v>
      </c>
      <c r="L53">
        <f t="shared" si="6"/>
        <v>2149328.4194</v>
      </c>
      <c r="M53">
        <f t="shared" si="7"/>
        <v>-6438326.0332000004</v>
      </c>
      <c r="N53">
        <f t="shared" si="8"/>
        <v>-13413732.3368</v>
      </c>
      <c r="O53">
        <f t="shared" si="9"/>
        <v>-16109466.811200002</v>
      </c>
      <c r="P53">
        <f t="shared" si="10"/>
        <v>-18127286.571200002</v>
      </c>
      <c r="Q53">
        <f t="shared" si="11"/>
        <v>-21520375.3006</v>
      </c>
      <c r="S53">
        <f t="shared" si="12"/>
        <v>2606858.7265000003</v>
      </c>
      <c r="T53">
        <f t="shared" si="13"/>
        <v>-19667431.872200001</v>
      </c>
      <c r="U53">
        <f t="shared" si="14"/>
        <v>-16857798.7476</v>
      </c>
      <c r="V53">
        <f t="shared" si="15"/>
        <v>-20424502.564199999</v>
      </c>
      <c r="W53">
        <f t="shared" si="16"/>
        <v>-26993894.133200005</v>
      </c>
      <c r="X53">
        <f t="shared" si="17"/>
        <v>-30528904.496199999</v>
      </c>
      <c r="Z53">
        <f t="shared" si="18"/>
        <v>3064389.0335999997</v>
      </c>
      <c r="AA53">
        <f t="shared" si="19"/>
        <v>-9807217.5622000005</v>
      </c>
      <c r="AB53">
        <f t="shared" si="20"/>
        <v>-20301865.158400003</v>
      </c>
      <c r="AC53">
        <f t="shared" si="21"/>
        <v>-28191566.919599999</v>
      </c>
      <c r="AD53">
        <f t="shared" si="22"/>
        <v>-35860501.695200004</v>
      </c>
      <c r="AE53">
        <f t="shared" si="23"/>
        <v>-39537433.691800006</v>
      </c>
    </row>
    <row r="54" spans="1:31" x14ac:dyDescent="0.25">
      <c r="A54">
        <v>20.72187147</v>
      </c>
      <c r="B54">
        <v>109.0071868</v>
      </c>
      <c r="C54">
        <v>8.1980371499999993</v>
      </c>
      <c r="D54">
        <v>2.49793792</v>
      </c>
      <c r="E54" t="b">
        <f t="shared" si="0"/>
        <v>0</v>
      </c>
      <c r="F54">
        <f t="shared" si="1"/>
        <v>-38.492247829999997</v>
      </c>
      <c r="G54">
        <f t="shared" si="2"/>
        <v>-79.482433579999991</v>
      </c>
      <c r="H54">
        <f t="shared" si="3"/>
        <v>-120.47261932999999</v>
      </c>
      <c r="I54">
        <f t="shared" si="4"/>
        <v>-161.46280507999998</v>
      </c>
      <c r="J54">
        <f t="shared" si="5"/>
        <v>-202.45299082999998</v>
      </c>
      <c r="L54">
        <f t="shared" si="6"/>
        <v>5045834.5983999996</v>
      </c>
      <c r="M54">
        <f t="shared" si="7"/>
        <v>-66206666.267600007</v>
      </c>
      <c r="N54">
        <f t="shared" si="8"/>
        <v>-117634001.69839999</v>
      </c>
      <c r="O54">
        <f t="shared" si="9"/>
        <v>-134929333.6496</v>
      </c>
      <c r="P54">
        <f t="shared" si="10"/>
        <v>-148545780.67359996</v>
      </c>
      <c r="Q54">
        <f t="shared" si="11"/>
        <v>-174109572.11379999</v>
      </c>
      <c r="S54">
        <f t="shared" si="12"/>
        <v>6119947.9040000001</v>
      </c>
      <c r="T54">
        <f t="shared" si="13"/>
        <v>-172476880.86859998</v>
      </c>
      <c r="U54">
        <f t="shared" si="14"/>
        <v>-147837326.45879999</v>
      </c>
      <c r="V54">
        <f t="shared" si="15"/>
        <v>-171071119.44859996</v>
      </c>
      <c r="W54">
        <f t="shared" si="16"/>
        <v>-221204042.9596</v>
      </c>
      <c r="X54">
        <f t="shared" si="17"/>
        <v>-246992648.81259999</v>
      </c>
      <c r="Z54">
        <f t="shared" si="18"/>
        <v>7194061.2095999997</v>
      </c>
      <c r="AA54">
        <f t="shared" si="19"/>
        <v>-100849689.31460001</v>
      </c>
      <c r="AB54">
        <f t="shared" si="20"/>
        <v>-178040651.21920002</v>
      </c>
      <c r="AC54">
        <f t="shared" si="21"/>
        <v>-236126333.88679996</v>
      </c>
      <c r="AD54">
        <f t="shared" si="22"/>
        <v>-293862305.24559999</v>
      </c>
      <c r="AE54">
        <f t="shared" si="23"/>
        <v>-319875725.51139998</v>
      </c>
    </row>
    <row r="55" spans="1:31" x14ac:dyDescent="0.25">
      <c r="A55">
        <v>20.723239800000002</v>
      </c>
      <c r="B55">
        <v>108.9599853</v>
      </c>
      <c r="C55">
        <v>48.680244450000004</v>
      </c>
      <c r="D55">
        <v>6.8943090400000004</v>
      </c>
      <c r="E55" t="b">
        <f t="shared" si="0"/>
        <v>0</v>
      </c>
      <c r="F55">
        <f t="shared" si="1"/>
        <v>-236.50691321000002</v>
      </c>
      <c r="G55">
        <f t="shared" si="2"/>
        <v>-479.90813546000004</v>
      </c>
      <c r="H55">
        <f t="shared" si="3"/>
        <v>-723.30935770999997</v>
      </c>
      <c r="I55">
        <f t="shared" si="4"/>
        <v>-966.71057996000002</v>
      </c>
      <c r="J55">
        <f t="shared" si="5"/>
        <v>-1210.11180221</v>
      </c>
      <c r="L55">
        <f t="shared" si="6"/>
        <v>13926504.2608</v>
      </c>
      <c r="M55">
        <f t="shared" si="7"/>
        <v>-406791890.72120005</v>
      </c>
      <c r="N55">
        <f t="shared" si="8"/>
        <v>-710264040.48080003</v>
      </c>
      <c r="O55">
        <f t="shared" si="9"/>
        <v>-810106480.63520002</v>
      </c>
      <c r="P55">
        <f t="shared" si="10"/>
        <v>-889373733.5632</v>
      </c>
      <c r="Q55">
        <f t="shared" si="11"/>
        <v>-1040696149.9006001</v>
      </c>
      <c r="S55">
        <f t="shared" si="12"/>
        <v>16891057.148000002</v>
      </c>
      <c r="T55">
        <f t="shared" si="13"/>
        <v>-1041400653.9482001</v>
      </c>
      <c r="U55">
        <f t="shared" si="14"/>
        <v>-892629131.95560002</v>
      </c>
      <c r="V55">
        <f t="shared" si="15"/>
        <v>-1027099287.9481999</v>
      </c>
      <c r="W55">
        <f t="shared" si="16"/>
        <v>-1324393494.5452001</v>
      </c>
      <c r="X55">
        <f t="shared" si="17"/>
        <v>-1476336398.6962001</v>
      </c>
      <c r="Z55">
        <f t="shared" si="18"/>
        <v>19855610.0352</v>
      </c>
      <c r="AA55">
        <f t="shared" si="19"/>
        <v>-619648112.61020005</v>
      </c>
      <c r="AB55">
        <f t="shared" si="20"/>
        <v>-1074994223.4304001</v>
      </c>
      <c r="AC55">
        <f t="shared" si="21"/>
        <v>-1417686341.1115999</v>
      </c>
      <c r="AD55">
        <f t="shared" si="22"/>
        <v>-1759413255.5272002</v>
      </c>
      <c r="AE55">
        <f t="shared" si="23"/>
        <v>-1911976647.4918001</v>
      </c>
    </row>
    <row r="56" spans="1:31" x14ac:dyDescent="0.25">
      <c r="A56">
        <v>20.724586500000001</v>
      </c>
      <c r="B56">
        <v>108.91278250000001</v>
      </c>
      <c r="C56">
        <v>20.883190160000002</v>
      </c>
      <c r="D56">
        <v>4.6523637799999999</v>
      </c>
      <c r="E56" t="b">
        <f t="shared" si="0"/>
        <v>0</v>
      </c>
      <c r="F56">
        <f t="shared" si="1"/>
        <v>-99.763587020000003</v>
      </c>
      <c r="G56">
        <f t="shared" si="2"/>
        <v>-204.17953782000001</v>
      </c>
      <c r="H56">
        <f t="shared" si="3"/>
        <v>-308.59548862000003</v>
      </c>
      <c r="I56">
        <f t="shared" si="4"/>
        <v>-413.01143942000004</v>
      </c>
      <c r="J56">
        <f t="shared" si="5"/>
        <v>-517.42739022000012</v>
      </c>
      <c r="L56">
        <f t="shared" si="6"/>
        <v>9397774.8355999999</v>
      </c>
      <c r="M56">
        <f t="shared" si="7"/>
        <v>-171593369.6744</v>
      </c>
      <c r="N56">
        <f t="shared" si="8"/>
        <v>-302185715.97359997</v>
      </c>
      <c r="O56">
        <f t="shared" si="9"/>
        <v>-345626947.25440001</v>
      </c>
      <c r="P56">
        <f t="shared" si="10"/>
        <v>-379970524.26639998</v>
      </c>
      <c r="Q56">
        <f t="shared" si="11"/>
        <v>-444987555.58920014</v>
      </c>
      <c r="S56">
        <f t="shared" si="12"/>
        <v>11398291.261000002</v>
      </c>
      <c r="T56">
        <f t="shared" si="13"/>
        <v>-443069597.06939995</v>
      </c>
      <c r="U56">
        <f t="shared" si="14"/>
        <v>-379773940.34519994</v>
      </c>
      <c r="V56">
        <f t="shared" si="15"/>
        <v>-438205593.84039998</v>
      </c>
      <c r="W56">
        <f t="shared" si="16"/>
        <v>-565825672.00540006</v>
      </c>
      <c r="X56">
        <f t="shared" si="17"/>
        <v>-631261416.06840014</v>
      </c>
      <c r="Z56">
        <f t="shared" si="18"/>
        <v>13398807.6864</v>
      </c>
      <c r="AA56">
        <f t="shared" si="19"/>
        <v>-261380597.99239999</v>
      </c>
      <c r="AB56">
        <f t="shared" si="20"/>
        <v>-457362164.71680003</v>
      </c>
      <c r="AC56">
        <f t="shared" si="21"/>
        <v>-604847157.69519997</v>
      </c>
      <c r="AD56">
        <f t="shared" si="22"/>
        <v>-751680819.74440002</v>
      </c>
      <c r="AE56">
        <f t="shared" si="23"/>
        <v>-817535276.54760027</v>
      </c>
    </row>
    <row r="57" spans="1:31" x14ac:dyDescent="0.25">
      <c r="A57">
        <v>20.72721499</v>
      </c>
      <c r="B57">
        <v>108.8183727</v>
      </c>
      <c r="C57">
        <v>100.2393112</v>
      </c>
      <c r="D57">
        <v>1.95888996</v>
      </c>
      <c r="E57" t="b">
        <f t="shared" si="0"/>
        <v>0</v>
      </c>
      <c r="F57">
        <f t="shared" si="1"/>
        <v>-499.23766603999997</v>
      </c>
      <c r="G57">
        <f t="shared" si="2"/>
        <v>-1000.43422204</v>
      </c>
      <c r="H57">
        <f t="shared" si="3"/>
        <v>-1501.63077804</v>
      </c>
      <c r="I57">
        <f t="shared" si="4"/>
        <v>-2002.8273340399999</v>
      </c>
      <c r="J57">
        <f t="shared" si="5"/>
        <v>-2504.0238900400004</v>
      </c>
      <c r="L57">
        <f t="shared" si="6"/>
        <v>3956957.7192000002</v>
      </c>
      <c r="M57">
        <f t="shared" si="7"/>
        <v>-858688785.58880007</v>
      </c>
      <c r="N57">
        <f t="shared" si="8"/>
        <v>-1480642648.6192</v>
      </c>
      <c r="O57">
        <f t="shared" si="9"/>
        <v>-1681826471.4048002</v>
      </c>
      <c r="P57">
        <f t="shared" si="10"/>
        <v>-1842601147.3167999</v>
      </c>
      <c r="Q57">
        <f t="shared" si="11"/>
        <v>-2153460545.4344006</v>
      </c>
      <c r="S57">
        <f t="shared" si="12"/>
        <v>4799280.4020000007</v>
      </c>
      <c r="T57">
        <f t="shared" si="13"/>
        <v>-2170942261.8267999</v>
      </c>
      <c r="U57">
        <f t="shared" si="14"/>
        <v>-1860807652.9943998</v>
      </c>
      <c r="V57">
        <f t="shared" si="15"/>
        <v>-2132315704.8167999</v>
      </c>
      <c r="W57">
        <f t="shared" si="16"/>
        <v>-2743873447.6348</v>
      </c>
      <c r="X57">
        <f t="shared" si="17"/>
        <v>-3054909145.8488007</v>
      </c>
      <c r="Z57">
        <f t="shared" si="18"/>
        <v>5641603.0847999994</v>
      </c>
      <c r="AA57">
        <f t="shared" si="19"/>
        <v>-1308002685.0248001</v>
      </c>
      <c r="AB57">
        <f t="shared" si="20"/>
        <v>-2240972657.3696003</v>
      </c>
      <c r="AC57">
        <f t="shared" si="21"/>
        <v>-2943196324.9583998</v>
      </c>
      <c r="AD57">
        <f t="shared" si="22"/>
        <v>-3645145747.9528003</v>
      </c>
      <c r="AE57">
        <f t="shared" si="23"/>
        <v>-3956357746.2632008</v>
      </c>
    </row>
    <row r="58" spans="1:31" x14ac:dyDescent="0.25">
      <c r="A58">
        <v>20.729756930000001</v>
      </c>
      <c r="B58">
        <v>108.7239575</v>
      </c>
      <c r="C58">
        <v>100.2393112</v>
      </c>
      <c r="D58">
        <v>1.22430599</v>
      </c>
      <c r="E58" t="b">
        <f t="shared" si="0"/>
        <v>0</v>
      </c>
      <c r="F58">
        <f t="shared" si="1"/>
        <v>-499.97225000999998</v>
      </c>
      <c r="G58">
        <f t="shared" si="2"/>
        <v>-1001.16880601</v>
      </c>
      <c r="H58">
        <f t="shared" si="3"/>
        <v>-1502.3653620100001</v>
      </c>
      <c r="I58">
        <f t="shared" si="4"/>
        <v>-2003.56191801</v>
      </c>
      <c r="J58">
        <f t="shared" si="5"/>
        <v>-2504.7584740100001</v>
      </c>
      <c r="L58">
        <f t="shared" si="6"/>
        <v>2473098.0998</v>
      </c>
      <c r="M58">
        <f t="shared" si="7"/>
        <v>-859952270.01720011</v>
      </c>
      <c r="N58">
        <f t="shared" si="8"/>
        <v>-1481729832.8947999</v>
      </c>
      <c r="O58">
        <f t="shared" si="9"/>
        <v>-1682649205.4512005</v>
      </c>
      <c r="P58">
        <f t="shared" si="10"/>
        <v>-1843276964.5691998</v>
      </c>
      <c r="Q58">
        <f t="shared" si="11"/>
        <v>-2154092287.6486001</v>
      </c>
      <c r="S58">
        <f t="shared" si="12"/>
        <v>2999549.6755000004</v>
      </c>
      <c r="T58">
        <f t="shared" si="13"/>
        <v>-2172536309.0416999</v>
      </c>
      <c r="U58">
        <f t="shared" si="14"/>
        <v>-1862173979.1785998</v>
      </c>
      <c r="V58">
        <f t="shared" si="15"/>
        <v>-2133358814.0542002</v>
      </c>
      <c r="W58">
        <f t="shared" si="16"/>
        <v>-2744879827.6737003</v>
      </c>
      <c r="X58">
        <f t="shared" si="17"/>
        <v>-3055805338.2922001</v>
      </c>
      <c r="Z58">
        <f t="shared" si="18"/>
        <v>3526001.2511999998</v>
      </c>
      <c r="AA58">
        <f t="shared" si="19"/>
        <v>-1309927295.0262001</v>
      </c>
      <c r="AB58">
        <f t="shared" si="20"/>
        <v>-2242618125.4624</v>
      </c>
      <c r="AC58">
        <f t="shared" si="21"/>
        <v>-2944636109.5396004</v>
      </c>
      <c r="AD58">
        <f t="shared" si="22"/>
        <v>-3646482690.7782001</v>
      </c>
      <c r="AE58">
        <f t="shared" si="23"/>
        <v>-3957518388.9358006</v>
      </c>
    </row>
    <row r="59" spans="1:31" x14ac:dyDescent="0.25">
      <c r="A59">
        <v>20.746177490000001</v>
      </c>
      <c r="B59">
        <v>115.77886959999999</v>
      </c>
      <c r="C59">
        <v>0.13861599999999999</v>
      </c>
      <c r="D59">
        <v>2.3789880299999999</v>
      </c>
      <c r="E59" t="b">
        <f t="shared" si="0"/>
        <v>1</v>
      </c>
      <c r="F59">
        <f t="shared" si="1"/>
        <v>1.68590803</v>
      </c>
      <c r="G59">
        <f t="shared" si="2"/>
        <v>0.99282803000000008</v>
      </c>
      <c r="H59">
        <f t="shared" si="3"/>
        <v>0.29974802999999994</v>
      </c>
      <c r="I59">
        <f t="shared" si="4"/>
        <v>-0.39333196999999975</v>
      </c>
      <c r="J59">
        <f t="shared" si="5"/>
        <v>-1.0864119699999999</v>
      </c>
      <c r="L59">
        <f t="shared" si="6"/>
        <v>280004.32</v>
      </c>
      <c r="M59">
        <f t="shared" si="7"/>
        <v>238419.52000000002</v>
      </c>
      <c r="N59">
        <f t="shared" si="8"/>
        <v>205151.68</v>
      </c>
      <c r="O59">
        <f t="shared" si="9"/>
        <v>155249.92000000001</v>
      </c>
      <c r="P59">
        <f t="shared" si="10"/>
        <v>-361865.41239999974</v>
      </c>
      <c r="Q59">
        <f t="shared" si="11"/>
        <v>-934314.2942</v>
      </c>
      <c r="S59">
        <f t="shared" si="12"/>
        <v>339609.2</v>
      </c>
      <c r="T59">
        <f t="shared" si="13"/>
        <v>300796.71999999997</v>
      </c>
      <c r="U59">
        <f t="shared" si="14"/>
        <v>257825.75999999998</v>
      </c>
      <c r="V59">
        <f t="shared" si="15"/>
        <v>196834.72</v>
      </c>
      <c r="W59">
        <f t="shared" si="16"/>
        <v>-538864.7988999997</v>
      </c>
      <c r="X59">
        <f t="shared" si="17"/>
        <v>-1325422.6033999999</v>
      </c>
      <c r="Z59">
        <f t="shared" si="18"/>
        <v>399214.07999999996</v>
      </c>
      <c r="AA59">
        <f t="shared" si="19"/>
        <v>363173.92000000004</v>
      </c>
      <c r="AB59">
        <f t="shared" si="20"/>
        <v>310499.84000000003</v>
      </c>
      <c r="AC59">
        <f t="shared" si="21"/>
        <v>271687.36</v>
      </c>
      <c r="AD59">
        <f t="shared" si="22"/>
        <v>-715864.18539999949</v>
      </c>
      <c r="AE59">
        <f t="shared" si="23"/>
        <v>-1716530.9125999999</v>
      </c>
    </row>
    <row r="60" spans="1:31" x14ac:dyDescent="0.25">
      <c r="A60">
        <v>20.758959969999999</v>
      </c>
      <c r="B60">
        <v>114.64126880000001</v>
      </c>
      <c r="C60">
        <v>1.05698705</v>
      </c>
      <c r="D60">
        <v>0.51665698999999998</v>
      </c>
      <c r="E60" t="b">
        <f t="shared" si="0"/>
        <v>0</v>
      </c>
      <c r="F60">
        <f t="shared" si="1"/>
        <v>-4.7682782600000007</v>
      </c>
      <c r="G60">
        <f t="shared" si="2"/>
        <v>-10.053213510000001</v>
      </c>
      <c r="H60">
        <f t="shared" si="3"/>
        <v>-15.338148760000001</v>
      </c>
      <c r="I60">
        <f t="shared" si="4"/>
        <v>-20.623084009999999</v>
      </c>
      <c r="J60">
        <f t="shared" si="5"/>
        <v>-25.90801926</v>
      </c>
      <c r="L60">
        <f t="shared" si="6"/>
        <v>1043647.1198</v>
      </c>
      <c r="M60">
        <f t="shared" si="7"/>
        <v>-8201438.6072000023</v>
      </c>
      <c r="N60">
        <f t="shared" si="8"/>
        <v>-14878755.994800001</v>
      </c>
      <c r="O60">
        <f t="shared" si="9"/>
        <v>-17178726.611200005</v>
      </c>
      <c r="P60">
        <f t="shared" si="10"/>
        <v>-18973237.289199997</v>
      </c>
      <c r="Q60">
        <f t="shared" si="11"/>
        <v>-22280896.563599996</v>
      </c>
      <c r="S60">
        <f t="shared" si="12"/>
        <v>1265809.6255000001</v>
      </c>
      <c r="T60">
        <f t="shared" si="13"/>
        <v>-21815473.316700004</v>
      </c>
      <c r="U60">
        <f t="shared" si="14"/>
        <v>-18698977.128600001</v>
      </c>
      <c r="V60">
        <f t="shared" si="15"/>
        <v>-21780171.2392</v>
      </c>
      <c r="W60">
        <f t="shared" si="16"/>
        <v>-28253625.093699999</v>
      </c>
      <c r="X60">
        <f t="shared" si="17"/>
        <v>-31607783.497199997</v>
      </c>
      <c r="Z60">
        <f t="shared" si="18"/>
        <v>1487972.1311999999</v>
      </c>
      <c r="AA60">
        <f t="shared" si="19"/>
        <v>-12492889.041200003</v>
      </c>
      <c r="AB60">
        <f t="shared" si="20"/>
        <v>-22519198.262400005</v>
      </c>
      <c r="AC60">
        <f t="shared" si="21"/>
        <v>-30062771.569600001</v>
      </c>
      <c r="AD60">
        <f t="shared" si="22"/>
        <v>-37534012.898199998</v>
      </c>
      <c r="AE60">
        <f t="shared" si="23"/>
        <v>-40934670.430799998</v>
      </c>
    </row>
    <row r="61" spans="1:31" x14ac:dyDescent="0.25">
      <c r="A61">
        <v>20.762908299999999</v>
      </c>
      <c r="B61">
        <v>114.594212</v>
      </c>
      <c r="C61">
        <v>1.69117999</v>
      </c>
      <c r="D61">
        <v>1.22430599</v>
      </c>
      <c r="E61" t="b">
        <f t="shared" si="0"/>
        <v>0</v>
      </c>
      <c r="F61">
        <f t="shared" si="1"/>
        <v>-7.2315939599999997</v>
      </c>
      <c r="G61">
        <f t="shared" si="2"/>
        <v>-15.687493909999999</v>
      </c>
      <c r="H61">
        <f t="shared" si="3"/>
        <v>-24.14339386</v>
      </c>
      <c r="I61">
        <f t="shared" si="4"/>
        <v>-32.599293809999999</v>
      </c>
      <c r="J61">
        <f t="shared" si="5"/>
        <v>-41.055193760000002</v>
      </c>
      <c r="L61">
        <f t="shared" si="6"/>
        <v>2473098.0998</v>
      </c>
      <c r="M61">
        <f t="shared" si="7"/>
        <v>-12438341.611200001</v>
      </c>
      <c r="N61">
        <f t="shared" si="8"/>
        <v>-23217490.986799996</v>
      </c>
      <c r="O61">
        <f t="shared" si="9"/>
        <v>-27040601.123200003</v>
      </c>
      <c r="P61">
        <f t="shared" si="10"/>
        <v>-29991350.305199996</v>
      </c>
      <c r="Q61">
        <f t="shared" si="11"/>
        <v>-35307466.633600004</v>
      </c>
      <c r="S61">
        <f t="shared" si="12"/>
        <v>2999549.6755000004</v>
      </c>
      <c r="T61">
        <f t="shared" si="13"/>
        <v>-34041861.784699999</v>
      </c>
      <c r="U61">
        <f t="shared" si="14"/>
        <v>-29178738.672599994</v>
      </c>
      <c r="V61">
        <f t="shared" si="15"/>
        <v>-34283619.281199999</v>
      </c>
      <c r="W61">
        <f t="shared" si="16"/>
        <v>-44661032.519699998</v>
      </c>
      <c r="X61">
        <f t="shared" si="17"/>
        <v>-50087336.387200005</v>
      </c>
      <c r="Z61">
        <f t="shared" si="18"/>
        <v>3526001.2511999998</v>
      </c>
      <c r="AA61">
        <f t="shared" si="19"/>
        <v>-18946776.1752</v>
      </c>
      <c r="AB61">
        <f t="shared" si="20"/>
        <v>-35139986.358400002</v>
      </c>
      <c r="AC61">
        <f t="shared" si="21"/>
        <v>-47321051.965599999</v>
      </c>
      <c r="AD61">
        <f t="shared" si="22"/>
        <v>-59330714.734200001</v>
      </c>
      <c r="AE61">
        <f t="shared" si="23"/>
        <v>-64867206.140800014</v>
      </c>
    </row>
    <row r="62" spans="1:31" x14ac:dyDescent="0.25">
      <c r="A62">
        <v>20.766283229999999</v>
      </c>
      <c r="B62">
        <v>109.0086534</v>
      </c>
      <c r="C62">
        <v>53.326988219999997</v>
      </c>
      <c r="D62">
        <v>2.9737360499999999</v>
      </c>
      <c r="E62" t="b">
        <f t="shared" si="0"/>
        <v>0</v>
      </c>
      <c r="F62">
        <f t="shared" si="1"/>
        <v>-263.66120504999998</v>
      </c>
      <c r="G62">
        <f t="shared" si="2"/>
        <v>-530.29614615000003</v>
      </c>
      <c r="H62">
        <f t="shared" si="3"/>
        <v>-796.93108725000002</v>
      </c>
      <c r="I62">
        <f t="shared" si="4"/>
        <v>-1063.5660283499999</v>
      </c>
      <c r="J62">
        <f t="shared" si="5"/>
        <v>-1330.2009694499998</v>
      </c>
      <c r="L62">
        <f t="shared" si="6"/>
        <v>6006946.8209999995</v>
      </c>
      <c r="M62">
        <f t="shared" si="7"/>
        <v>-453497272.68600005</v>
      </c>
      <c r="N62">
        <f t="shared" si="8"/>
        <v>-784838296.30200005</v>
      </c>
      <c r="O62">
        <f t="shared" si="9"/>
        <v>-892562817.72000003</v>
      </c>
      <c r="P62">
        <f t="shared" si="10"/>
        <v>-978480746.08199978</v>
      </c>
      <c r="Q62">
        <f t="shared" si="11"/>
        <v>-1143972833.7269998</v>
      </c>
      <c r="S62">
        <f t="shared" si="12"/>
        <v>7285653.3224999998</v>
      </c>
      <c r="T62">
        <f t="shared" si="13"/>
        <v>-1150742637.1454999</v>
      </c>
      <c r="U62">
        <f t="shared" si="14"/>
        <v>-986350831.83899999</v>
      </c>
      <c r="V62">
        <f t="shared" si="15"/>
        <v>-1131642143.895</v>
      </c>
      <c r="W62">
        <f t="shared" si="16"/>
        <v>-1457085458.8395</v>
      </c>
      <c r="X62">
        <f t="shared" si="17"/>
        <v>-1622845182.7289996</v>
      </c>
      <c r="Z62">
        <f t="shared" si="18"/>
        <v>8564359.8239999991</v>
      </c>
      <c r="AA62">
        <f t="shared" si="19"/>
        <v>-690792357.23099995</v>
      </c>
      <c r="AB62">
        <f t="shared" si="20"/>
        <v>-1187863367.3760002</v>
      </c>
      <c r="AC62">
        <f t="shared" si="21"/>
        <v>-1561984931.01</v>
      </c>
      <c r="AD62">
        <f t="shared" si="22"/>
        <v>-1935690171.5969999</v>
      </c>
      <c r="AE62">
        <f t="shared" si="23"/>
        <v>-2101717531.7309997</v>
      </c>
    </row>
    <row r="63" spans="1:31" x14ac:dyDescent="0.25">
      <c r="A63">
        <v>20.76900011</v>
      </c>
      <c r="B63">
        <v>108.91420309999999</v>
      </c>
      <c r="C63">
        <v>42.338005070000001</v>
      </c>
      <c r="D63">
        <v>7.8282151200000003</v>
      </c>
      <c r="E63" t="b">
        <f t="shared" si="0"/>
        <v>0</v>
      </c>
      <c r="F63">
        <f t="shared" si="1"/>
        <v>-203.86181023</v>
      </c>
      <c r="G63">
        <f t="shared" si="2"/>
        <v>-415.55183558000004</v>
      </c>
      <c r="H63">
        <f t="shared" si="3"/>
        <v>-627.24186093000003</v>
      </c>
      <c r="I63">
        <f t="shared" si="4"/>
        <v>-838.93188628000007</v>
      </c>
      <c r="J63">
        <f t="shared" si="5"/>
        <v>-1050.6219116299999</v>
      </c>
      <c r="L63">
        <f t="shared" si="6"/>
        <v>15812994.542400001</v>
      </c>
      <c r="M63">
        <f t="shared" si="7"/>
        <v>-350642313.59560001</v>
      </c>
      <c r="N63">
        <f t="shared" si="8"/>
        <v>-615016716.65840006</v>
      </c>
      <c r="O63">
        <f t="shared" si="9"/>
        <v>-702510884.24160016</v>
      </c>
      <c r="P63">
        <f t="shared" si="10"/>
        <v>-771817335.37760007</v>
      </c>
      <c r="Q63">
        <f t="shared" si="11"/>
        <v>-903534844.00179982</v>
      </c>
      <c r="S63">
        <f t="shared" si="12"/>
        <v>19179127.044000003</v>
      </c>
      <c r="T63">
        <f t="shared" si="13"/>
        <v>-901747483.20860004</v>
      </c>
      <c r="U63">
        <f t="shared" si="14"/>
        <v>-772926414.17879999</v>
      </c>
      <c r="V63">
        <f t="shared" si="15"/>
        <v>-890683442.52060008</v>
      </c>
      <c r="W63">
        <f t="shared" si="16"/>
        <v>-1149336684.2036002</v>
      </c>
      <c r="X63">
        <f t="shared" si="17"/>
        <v>-1281758732.1885998</v>
      </c>
      <c r="Z63">
        <f t="shared" si="18"/>
        <v>22545259.545600001</v>
      </c>
      <c r="AA63">
        <f t="shared" si="19"/>
        <v>-534117942.80259997</v>
      </c>
      <c r="AB63">
        <f t="shared" si="20"/>
        <v>-930836111.69920015</v>
      </c>
      <c r="AC63">
        <f t="shared" si="21"/>
        <v>-1229394047.4228001</v>
      </c>
      <c r="AD63">
        <f t="shared" si="22"/>
        <v>-1526856033.0296001</v>
      </c>
      <c r="AE63">
        <f t="shared" si="23"/>
        <v>-1659982620.3753998</v>
      </c>
    </row>
    <row r="64" spans="1:31" x14ac:dyDescent="0.25">
      <c r="A64">
        <v>20.770326069999999</v>
      </c>
      <c r="B64">
        <v>108.8669759</v>
      </c>
      <c r="C64">
        <v>79.356124879999996</v>
      </c>
      <c r="D64">
        <v>1.95888996</v>
      </c>
      <c r="E64" t="b">
        <f t="shared" si="0"/>
        <v>0</v>
      </c>
      <c r="F64">
        <f t="shared" si="1"/>
        <v>-394.82173443999994</v>
      </c>
      <c r="G64">
        <f t="shared" si="2"/>
        <v>-791.60235883999997</v>
      </c>
      <c r="H64">
        <f t="shared" si="3"/>
        <v>-1188.3829832399999</v>
      </c>
      <c r="I64">
        <f t="shared" si="4"/>
        <v>-1585.1636076399998</v>
      </c>
      <c r="J64">
        <f t="shared" si="5"/>
        <v>-1981.9442320399999</v>
      </c>
      <c r="L64">
        <f t="shared" si="6"/>
        <v>3956957.7192000002</v>
      </c>
      <c r="M64">
        <f t="shared" si="7"/>
        <v>-679093383.23679996</v>
      </c>
      <c r="N64">
        <f t="shared" si="8"/>
        <v>-1171571491.0832</v>
      </c>
      <c r="O64">
        <f t="shared" si="9"/>
        <v>-1330988941.2288001</v>
      </c>
      <c r="P64">
        <f t="shared" si="10"/>
        <v>-1458350519.0287998</v>
      </c>
      <c r="Q64">
        <f t="shared" si="11"/>
        <v>-1704472039.5544</v>
      </c>
      <c r="S64">
        <f t="shared" si="12"/>
        <v>4799280.4020000007</v>
      </c>
      <c r="T64">
        <f t="shared" si="13"/>
        <v>-1717777118.6827998</v>
      </c>
      <c r="U64">
        <f t="shared" si="14"/>
        <v>-1472380387.4423997</v>
      </c>
      <c r="V64">
        <f t="shared" si="15"/>
        <v>-1687503836.2007999</v>
      </c>
      <c r="W64">
        <f t="shared" si="16"/>
        <v>-2171674142.4668002</v>
      </c>
      <c r="X64">
        <f t="shared" si="17"/>
        <v>-2417971963.0888</v>
      </c>
      <c r="Z64">
        <f t="shared" si="18"/>
        <v>5641603.0847999994</v>
      </c>
      <c r="AA64">
        <f t="shared" si="19"/>
        <v>-1034432944.2327999</v>
      </c>
      <c r="AB64">
        <f t="shared" si="20"/>
        <v>-1773189283.8016</v>
      </c>
      <c r="AC64">
        <f t="shared" si="21"/>
        <v>-2329230647.1504002</v>
      </c>
      <c r="AD64">
        <f t="shared" si="22"/>
        <v>-2884997765.9047999</v>
      </c>
      <c r="AE64">
        <f t="shared" si="23"/>
        <v>-3131471886.6231999</v>
      </c>
    </row>
    <row r="65" spans="1:31" x14ac:dyDescent="0.25">
      <c r="A65">
        <v>20.771630380000001</v>
      </c>
      <c r="B65">
        <v>108.8197473</v>
      </c>
      <c r="C65">
        <v>100.2393112</v>
      </c>
      <c r="D65">
        <v>2.44861197</v>
      </c>
      <c r="E65" t="b">
        <f t="shared" si="0"/>
        <v>0</v>
      </c>
      <c r="F65">
        <f t="shared" si="1"/>
        <v>-498.74794402999999</v>
      </c>
      <c r="G65">
        <f t="shared" si="2"/>
        <v>-999.94450002999997</v>
      </c>
      <c r="H65">
        <f t="shared" si="3"/>
        <v>-1501.1410560300001</v>
      </c>
      <c r="I65">
        <f t="shared" si="4"/>
        <v>-2002.3376120299999</v>
      </c>
      <c r="J65">
        <f t="shared" si="5"/>
        <v>-2503.5341680300003</v>
      </c>
      <c r="L65">
        <f t="shared" si="6"/>
        <v>4946196.1793999998</v>
      </c>
      <c r="M65">
        <f t="shared" si="7"/>
        <v>-857846463.73160005</v>
      </c>
      <c r="N65">
        <f t="shared" si="8"/>
        <v>-1479917860.0444</v>
      </c>
      <c r="O65">
        <f t="shared" si="9"/>
        <v>-1681277982.7536001</v>
      </c>
      <c r="P65">
        <f t="shared" si="10"/>
        <v>-1842150603.0675998</v>
      </c>
      <c r="Q65">
        <f t="shared" si="11"/>
        <v>-2153039384.5058002</v>
      </c>
      <c r="S65">
        <f t="shared" si="12"/>
        <v>5999099.3264999995</v>
      </c>
      <c r="T65">
        <f t="shared" si="13"/>
        <v>-2169879565.0650997</v>
      </c>
      <c r="U65">
        <f t="shared" si="14"/>
        <v>-1859896770.0557997</v>
      </c>
      <c r="V65">
        <f t="shared" si="15"/>
        <v>-2131620299.5625999</v>
      </c>
      <c r="W65">
        <f t="shared" si="16"/>
        <v>-2743202528.4811001</v>
      </c>
      <c r="X65">
        <f t="shared" si="17"/>
        <v>-3054311684.9966002</v>
      </c>
      <c r="Z65">
        <f t="shared" si="18"/>
        <v>7052002.4735999992</v>
      </c>
      <c r="AA65">
        <f t="shared" si="19"/>
        <v>-1306719613.3585999</v>
      </c>
      <c r="AB65">
        <f t="shared" si="20"/>
        <v>-2239875680.0672002</v>
      </c>
      <c r="AC65">
        <f t="shared" si="21"/>
        <v>-2942236469.8188</v>
      </c>
      <c r="AD65">
        <f t="shared" si="22"/>
        <v>-3644254453.8945999</v>
      </c>
      <c r="AE65">
        <f t="shared" si="23"/>
        <v>-3955583985.4874005</v>
      </c>
    </row>
    <row r="66" spans="1:31" x14ac:dyDescent="0.25">
      <c r="A66">
        <v>20.772913039999999</v>
      </c>
      <c r="B66">
        <v>108.7725174</v>
      </c>
      <c r="C66">
        <v>100.2393112</v>
      </c>
      <c r="D66">
        <v>16.315107350000002</v>
      </c>
      <c r="E66" t="b">
        <f t="shared" si="0"/>
        <v>0</v>
      </c>
      <c r="F66">
        <f t="shared" si="1"/>
        <v>-484.88144864999998</v>
      </c>
      <c r="G66">
        <f t="shared" si="2"/>
        <v>-986.07800465000003</v>
      </c>
      <c r="H66">
        <f t="shared" si="3"/>
        <v>-1487.27456065</v>
      </c>
      <c r="I66">
        <f t="shared" si="4"/>
        <v>-1988.4711166499999</v>
      </c>
      <c r="J66">
        <f t="shared" si="5"/>
        <v>-2489.6676726500004</v>
      </c>
      <c r="L66">
        <f t="shared" si="6"/>
        <v>32956516.847000003</v>
      </c>
      <c r="M66">
        <f t="shared" si="7"/>
        <v>-833996091.67800009</v>
      </c>
      <c r="N66">
        <f t="shared" si="8"/>
        <v>-1459395446.882</v>
      </c>
      <c r="O66">
        <f t="shared" si="9"/>
        <v>-1665747507.9280002</v>
      </c>
      <c r="P66">
        <f t="shared" si="10"/>
        <v>-1829393427.3179998</v>
      </c>
      <c r="Q66">
        <f t="shared" si="11"/>
        <v>-2141114198.4790006</v>
      </c>
      <c r="S66">
        <f t="shared" si="12"/>
        <v>39972013.007500008</v>
      </c>
      <c r="T66">
        <f t="shared" si="13"/>
        <v>-2139789270.0904999</v>
      </c>
      <c r="U66">
        <f t="shared" si="14"/>
        <v>-1834105088.6489999</v>
      </c>
      <c r="V66">
        <f t="shared" si="15"/>
        <v>-2111929876.1230001</v>
      </c>
      <c r="W66">
        <f t="shared" si="16"/>
        <v>-2724205429.8105001</v>
      </c>
      <c r="X66">
        <f t="shared" si="17"/>
        <v>-3037394560.6330009</v>
      </c>
      <c r="Z66">
        <f t="shared" si="18"/>
        <v>46987509.168000005</v>
      </c>
      <c r="AA66">
        <f t="shared" si="19"/>
        <v>-1270389395.4630001</v>
      </c>
      <c r="AB66">
        <f t="shared" si="20"/>
        <v>-2208814730.4160004</v>
      </c>
      <c r="AC66">
        <f t="shared" si="21"/>
        <v>-2915058138.8740001</v>
      </c>
      <c r="AD66">
        <f t="shared" si="22"/>
        <v>-3619017432.303</v>
      </c>
      <c r="AE66">
        <f t="shared" si="23"/>
        <v>-3933674922.7870011</v>
      </c>
    </row>
    <row r="67" spans="1:31" x14ac:dyDescent="0.25">
      <c r="A67">
        <v>20.774174049999999</v>
      </c>
      <c r="B67">
        <v>108.72528610000001</v>
      </c>
      <c r="C67">
        <v>14.30326176</v>
      </c>
      <c r="D67">
        <v>5.4750981300000001</v>
      </c>
      <c r="E67" t="b">
        <f t="shared" ref="E67:E130" si="24">D67&gt;C67</f>
        <v>0</v>
      </c>
      <c r="F67">
        <f t="shared" ref="F67:F130" si="25">D67-(C67*(2030-2025))</f>
        <v>-66.041210669999998</v>
      </c>
      <c r="G67">
        <f t="shared" ref="G67:G130" si="26">D67-(C67*(2035-2025))</f>
        <v>-137.55751947000002</v>
      </c>
      <c r="H67">
        <f t="shared" ref="H67:H130" si="27">D67-(C67*(2040-2025))</f>
        <v>-209.07382827000001</v>
      </c>
      <c r="I67">
        <f t="shared" ref="I67:I130" si="28">D67-(C67*(2045-2025))</f>
        <v>-280.59013707000003</v>
      </c>
      <c r="J67">
        <f t="shared" ref="J67:J130" si="29">D67-(C67*(2050-2025))</f>
        <v>-352.10644587000002</v>
      </c>
      <c r="L67">
        <f t="shared" ref="L67:L130" si="30">MIN(C67,D67)*1000000*((280/250)+0.9)</f>
        <v>11059698.2226</v>
      </c>
      <c r="M67">
        <f t="shared" ref="M67:M130" si="31">MIN(C67,F67)*1000000*((230/250)+0.8)</f>
        <v>-113590882.35240002</v>
      </c>
      <c r="N67">
        <f t="shared" ref="N67:N130" si="32">MIN(C67,G67)*1000000*((195/250)+0.7)</f>
        <v>-203585128.81560004</v>
      </c>
      <c r="O67">
        <f t="shared" ref="O67:O130" si="33">MIN(C67,H67)*1000000*((130/250)+0.6)</f>
        <v>-234162687.66240004</v>
      </c>
      <c r="P67">
        <f t="shared" ref="P67:P130" si="34">MIN(C67,I67)*1000000*((105/250)+0.5)</f>
        <v>-258142926.10440004</v>
      </c>
      <c r="Q67">
        <f t="shared" ref="Q67:Q130" si="35">MIN(C67,J67)*1000000*((90/250)+0.5)</f>
        <v>-302811543.44819999</v>
      </c>
      <c r="S67">
        <f t="shared" ref="S67:S130" si="36">MIN(C67,D67)*1000000*((325/250)+1.15)</f>
        <v>13413990.418500001</v>
      </c>
      <c r="T67">
        <f t="shared" ref="T67:T130" si="37">MIN(C67,G67)*1000000*((280/250)+1.05)</f>
        <v>-298499817.24990004</v>
      </c>
      <c r="U67">
        <f t="shared" ref="U67:U130" si="38">MIN(C67,G67)*1000000*((227.5/250)+0.95)</f>
        <v>-255856986.21420005</v>
      </c>
      <c r="V67">
        <f t="shared" ref="V67:V130" si="39">MIN(C67,H67)*1000000*((142.5/250)+0.85)</f>
        <v>-296884836.14340001</v>
      </c>
      <c r="W67">
        <f t="shared" ref="W67:W130" si="40">MIN(C67,I67)*1000000*((142.5/250)+0.8)</f>
        <v>-384408487.78590012</v>
      </c>
      <c r="X67">
        <f t="shared" ref="X67:X130" si="41">MIN(C67,J67)*1000000*((117.5/250)+0.75)</f>
        <v>-429569863.96139997</v>
      </c>
      <c r="Z67">
        <f t="shared" ref="Z67:Z130" si="42">MIN(C67,D67)*1000000*((370/250)+1.4)</f>
        <v>15768282.614399999</v>
      </c>
      <c r="AA67">
        <f t="shared" ref="AA67:AA130" si="43">MIN(C67,F67)*1000000*((330/250)+1.3)</f>
        <v>-173027971.95540002</v>
      </c>
      <c r="AB67">
        <f t="shared" ref="AB67:AB130" si="44">MIN(C67,G67)*1000000*((260/250)+1.2)</f>
        <v>-308128843.61280012</v>
      </c>
      <c r="AC67">
        <f t="shared" ref="AC67:AC130" si="45">MIN(C67,H67)*1000000*((215/250)+1.1)</f>
        <v>-409784703.40920001</v>
      </c>
      <c r="AD67">
        <f t="shared" ref="AD67:AD130" si="46">MIN(C67,I67)*1000000*((180/250)+1.1)</f>
        <v>-510674049.46740013</v>
      </c>
      <c r="AE67">
        <f t="shared" ref="AE67:AE130" si="47">MIN(C67,J67)*1000000*((145/250)+1)</f>
        <v>-556328184.47460008</v>
      </c>
    </row>
    <row r="68" spans="1:31" x14ac:dyDescent="0.25">
      <c r="A68">
        <v>20.776631089999999</v>
      </c>
      <c r="B68">
        <v>108.6308198</v>
      </c>
      <c r="C68">
        <v>47.949611660000002</v>
      </c>
      <c r="D68">
        <v>2.4486129299999999</v>
      </c>
      <c r="E68" t="b">
        <f t="shared" si="24"/>
        <v>0</v>
      </c>
      <c r="F68">
        <f t="shared" si="25"/>
        <v>-237.29944537000003</v>
      </c>
      <c r="G68">
        <f t="shared" si="26"/>
        <v>-477.04750367000003</v>
      </c>
      <c r="H68">
        <f t="shared" si="27"/>
        <v>-716.79556197000011</v>
      </c>
      <c r="I68">
        <f t="shared" si="28"/>
        <v>-956.54362027000013</v>
      </c>
      <c r="J68">
        <f t="shared" si="29"/>
        <v>-1196.2916785699999</v>
      </c>
      <c r="L68">
        <f t="shared" si="30"/>
        <v>4946198.1185999997</v>
      </c>
      <c r="M68">
        <f t="shared" si="31"/>
        <v>-408155046.03640008</v>
      </c>
      <c r="N68">
        <f t="shared" si="32"/>
        <v>-706030305.43159997</v>
      </c>
      <c r="O68">
        <f t="shared" si="33"/>
        <v>-802811029.4064002</v>
      </c>
      <c r="P68">
        <f t="shared" si="34"/>
        <v>-880020130.64840007</v>
      </c>
      <c r="Q68">
        <f t="shared" si="35"/>
        <v>-1028810843.5702</v>
      </c>
      <c r="S68">
        <f t="shared" si="36"/>
        <v>5999101.6784999995</v>
      </c>
      <c r="T68">
        <f t="shared" si="37"/>
        <v>-1035193082.9639</v>
      </c>
      <c r="U68">
        <f t="shared" si="38"/>
        <v>-887308356.82620001</v>
      </c>
      <c r="V68">
        <f t="shared" si="39"/>
        <v>-1017849697.9974002</v>
      </c>
      <c r="W68">
        <f t="shared" si="40"/>
        <v>-1310464759.7699003</v>
      </c>
      <c r="X68">
        <f t="shared" si="41"/>
        <v>-1459475847.8553998</v>
      </c>
      <c r="Z68">
        <f t="shared" si="42"/>
        <v>7052005.2383999992</v>
      </c>
      <c r="AA68">
        <f t="shared" si="43"/>
        <v>-621724546.86940014</v>
      </c>
      <c r="AB68">
        <f t="shared" si="44"/>
        <v>-1068586408.2208002</v>
      </c>
      <c r="AC68">
        <f t="shared" si="45"/>
        <v>-1404919301.4612002</v>
      </c>
      <c r="AD68">
        <f t="shared" si="46"/>
        <v>-1740909388.8914003</v>
      </c>
      <c r="AE68">
        <f t="shared" si="47"/>
        <v>-1890140852.1406</v>
      </c>
    </row>
    <row r="69" spans="1:31" x14ac:dyDescent="0.25">
      <c r="A69">
        <v>20.78138345</v>
      </c>
      <c r="B69">
        <v>115.8776597</v>
      </c>
      <c r="C69">
        <v>0.133022</v>
      </c>
      <c r="D69">
        <v>2.3789880299999999</v>
      </c>
      <c r="E69" t="b">
        <f t="shared" si="24"/>
        <v>1</v>
      </c>
      <c r="F69">
        <f t="shared" si="25"/>
        <v>1.7138780300000001</v>
      </c>
      <c r="G69">
        <f t="shared" si="26"/>
        <v>1.04876803</v>
      </c>
      <c r="H69">
        <f t="shared" si="27"/>
        <v>0.38365802999999987</v>
      </c>
      <c r="I69">
        <f t="shared" si="28"/>
        <v>-0.28145197</v>
      </c>
      <c r="J69">
        <f t="shared" si="29"/>
        <v>-0.94656197000000031</v>
      </c>
      <c r="L69">
        <f t="shared" si="30"/>
        <v>268704.44</v>
      </c>
      <c r="M69">
        <f t="shared" si="31"/>
        <v>228797.84000000003</v>
      </c>
      <c r="N69">
        <f t="shared" si="32"/>
        <v>196872.56</v>
      </c>
      <c r="O69">
        <f t="shared" si="33"/>
        <v>148984.64000000001</v>
      </c>
      <c r="P69">
        <f t="shared" si="34"/>
        <v>-258935.81239999997</v>
      </c>
      <c r="Q69">
        <f t="shared" si="35"/>
        <v>-814043.29420000024</v>
      </c>
      <c r="S69">
        <f t="shared" si="36"/>
        <v>325903.90000000002</v>
      </c>
      <c r="T69">
        <f t="shared" si="37"/>
        <v>288657.74</v>
      </c>
      <c r="U69">
        <f t="shared" si="38"/>
        <v>247420.91999999998</v>
      </c>
      <c r="V69">
        <f t="shared" si="39"/>
        <v>188891.24</v>
      </c>
      <c r="W69">
        <f t="shared" si="40"/>
        <v>-385589.19890000002</v>
      </c>
      <c r="X69">
        <f t="shared" si="41"/>
        <v>-1154805.6034000004</v>
      </c>
      <c r="Z69">
        <f t="shared" si="42"/>
        <v>383103.36</v>
      </c>
      <c r="AA69">
        <f t="shared" si="43"/>
        <v>348517.64</v>
      </c>
      <c r="AB69">
        <f t="shared" si="44"/>
        <v>297969.28000000003</v>
      </c>
      <c r="AC69">
        <f t="shared" si="45"/>
        <v>260723.12</v>
      </c>
      <c r="AD69">
        <f t="shared" si="46"/>
        <v>-512242.58539999998</v>
      </c>
      <c r="AE69">
        <f t="shared" si="47"/>
        <v>-1495567.9126000006</v>
      </c>
    </row>
    <row r="70" spans="1:31" x14ac:dyDescent="0.25">
      <c r="A70">
        <v>20.79485957</v>
      </c>
      <c r="B70">
        <v>115.7366122</v>
      </c>
      <c r="C70">
        <v>0.26920399</v>
      </c>
      <c r="D70">
        <v>34.136104580000001</v>
      </c>
      <c r="E70" t="b">
        <f t="shared" si="24"/>
        <v>1</v>
      </c>
      <c r="F70">
        <f t="shared" si="25"/>
        <v>32.790084630000003</v>
      </c>
      <c r="G70">
        <f t="shared" si="26"/>
        <v>31.44406468</v>
      </c>
      <c r="H70">
        <f t="shared" si="27"/>
        <v>30.098044730000002</v>
      </c>
      <c r="I70">
        <f t="shared" si="28"/>
        <v>28.752024779999999</v>
      </c>
      <c r="J70">
        <f t="shared" si="29"/>
        <v>27.406004830000001</v>
      </c>
      <c r="L70">
        <f t="shared" si="30"/>
        <v>543792.05979999993</v>
      </c>
      <c r="M70">
        <f t="shared" si="31"/>
        <v>463030.86280000006</v>
      </c>
      <c r="N70">
        <f t="shared" si="32"/>
        <v>398421.90519999998</v>
      </c>
      <c r="O70">
        <f t="shared" si="33"/>
        <v>301508.46880000003</v>
      </c>
      <c r="P70">
        <f t="shared" si="34"/>
        <v>247667.67079999996</v>
      </c>
      <c r="Q70">
        <f t="shared" si="35"/>
        <v>231515.4314</v>
      </c>
      <c r="S70">
        <f t="shared" si="36"/>
        <v>659549.77549999999</v>
      </c>
      <c r="T70">
        <f t="shared" si="37"/>
        <v>584172.65830000001</v>
      </c>
      <c r="U70">
        <f t="shared" si="38"/>
        <v>500719.42139999993</v>
      </c>
      <c r="V70">
        <f t="shared" si="39"/>
        <v>382269.66579999996</v>
      </c>
      <c r="W70">
        <f t="shared" si="40"/>
        <v>368809.46630000003</v>
      </c>
      <c r="X70">
        <f t="shared" si="41"/>
        <v>328428.86780000001</v>
      </c>
      <c r="Z70">
        <f t="shared" si="42"/>
        <v>775307.49119999993</v>
      </c>
      <c r="AA70">
        <f t="shared" si="43"/>
        <v>705314.45380000002</v>
      </c>
      <c r="AB70">
        <f t="shared" si="44"/>
        <v>603016.93760000006</v>
      </c>
      <c r="AC70">
        <f t="shared" si="45"/>
        <v>527639.82039999997</v>
      </c>
      <c r="AD70">
        <f t="shared" si="46"/>
        <v>489951.26179999998</v>
      </c>
      <c r="AE70">
        <f t="shared" si="47"/>
        <v>425342.30420000001</v>
      </c>
    </row>
    <row r="71" spans="1:31" x14ac:dyDescent="0.25">
      <c r="A71">
        <v>20.807174379999999</v>
      </c>
      <c r="B71">
        <v>114.5984004</v>
      </c>
      <c r="C71">
        <v>1.47978199</v>
      </c>
      <c r="D71">
        <v>0.30117898999999998</v>
      </c>
      <c r="E71" t="b">
        <f t="shared" si="24"/>
        <v>0</v>
      </c>
      <c r="F71">
        <f t="shared" si="25"/>
        <v>-7.0977309599999998</v>
      </c>
      <c r="G71">
        <f t="shared" si="26"/>
        <v>-14.49664091</v>
      </c>
      <c r="H71">
        <f t="shared" si="27"/>
        <v>-21.89555086</v>
      </c>
      <c r="I71">
        <f t="shared" si="28"/>
        <v>-29.29446081</v>
      </c>
      <c r="J71">
        <f t="shared" si="29"/>
        <v>-36.693370760000001</v>
      </c>
      <c r="L71">
        <f t="shared" si="30"/>
        <v>608381.55979999993</v>
      </c>
      <c r="M71">
        <f t="shared" si="31"/>
        <v>-12208097.251200002</v>
      </c>
      <c r="N71">
        <f t="shared" si="32"/>
        <v>-21455028.546799999</v>
      </c>
      <c r="O71">
        <f t="shared" si="33"/>
        <v>-24523016.963200003</v>
      </c>
      <c r="P71">
        <f t="shared" si="34"/>
        <v>-26950903.945199996</v>
      </c>
      <c r="Q71">
        <f t="shared" si="35"/>
        <v>-31556298.853599999</v>
      </c>
      <c r="S71">
        <f t="shared" si="36"/>
        <v>737888.52549999999</v>
      </c>
      <c r="T71">
        <f t="shared" si="37"/>
        <v>-31457710.774700001</v>
      </c>
      <c r="U71">
        <f t="shared" si="38"/>
        <v>-26963752.092599999</v>
      </c>
      <c r="V71">
        <f t="shared" si="39"/>
        <v>-31091682.221199997</v>
      </c>
      <c r="W71">
        <f t="shared" si="40"/>
        <v>-40133411.309700005</v>
      </c>
      <c r="X71">
        <f t="shared" si="41"/>
        <v>-44765912.327199996</v>
      </c>
      <c r="Z71">
        <f t="shared" si="42"/>
        <v>867395.49119999993</v>
      </c>
      <c r="AA71">
        <f t="shared" si="43"/>
        <v>-18596055.115200002</v>
      </c>
      <c r="AB71">
        <f t="shared" si="44"/>
        <v>-32472475.638400003</v>
      </c>
      <c r="AC71">
        <f t="shared" si="45"/>
        <v>-42915279.685599998</v>
      </c>
      <c r="AD71">
        <f t="shared" si="46"/>
        <v>-53315918.674199998</v>
      </c>
      <c r="AE71">
        <f t="shared" si="47"/>
        <v>-57975525.800799996</v>
      </c>
    </row>
    <row r="72" spans="1:31" x14ac:dyDescent="0.25">
      <c r="A72">
        <v>20.811103930000002</v>
      </c>
      <c r="B72">
        <v>114.5513168</v>
      </c>
      <c r="C72">
        <v>1.05698705</v>
      </c>
      <c r="D72">
        <v>6.4643378299999998</v>
      </c>
      <c r="E72" t="b">
        <f t="shared" si="24"/>
        <v>1</v>
      </c>
      <c r="F72">
        <f t="shared" si="25"/>
        <v>1.1794025799999996</v>
      </c>
      <c r="G72">
        <f t="shared" si="26"/>
        <v>-4.1055326700000006</v>
      </c>
      <c r="H72">
        <f t="shared" si="27"/>
        <v>-9.3904679200000007</v>
      </c>
      <c r="I72">
        <f t="shared" si="28"/>
        <v>-14.675403170000001</v>
      </c>
      <c r="J72">
        <f t="shared" si="29"/>
        <v>-19.960338419999999</v>
      </c>
      <c r="L72">
        <f t="shared" si="30"/>
        <v>2135113.841</v>
      </c>
      <c r="M72">
        <f t="shared" si="31"/>
        <v>1818017.7260000003</v>
      </c>
      <c r="N72">
        <f t="shared" si="32"/>
        <v>-6076188.3516000006</v>
      </c>
      <c r="O72">
        <f t="shared" si="33"/>
        <v>-10517324.070400001</v>
      </c>
      <c r="P72">
        <f t="shared" si="34"/>
        <v>-13501370.9164</v>
      </c>
      <c r="Q72">
        <f t="shared" si="35"/>
        <v>-17165891.041199997</v>
      </c>
      <c r="S72">
        <f t="shared" si="36"/>
        <v>2589618.2725000004</v>
      </c>
      <c r="T72">
        <f t="shared" si="37"/>
        <v>-8909005.8939000014</v>
      </c>
      <c r="U72">
        <f t="shared" si="38"/>
        <v>-7636290.7662000004</v>
      </c>
      <c r="V72">
        <f t="shared" si="39"/>
        <v>-13334464.4464</v>
      </c>
      <c r="W72">
        <f t="shared" si="40"/>
        <v>-20105302.342900004</v>
      </c>
      <c r="X72">
        <f t="shared" si="41"/>
        <v>-24351612.872399997</v>
      </c>
      <c r="Z72">
        <f t="shared" si="42"/>
        <v>3044122.7039999999</v>
      </c>
      <c r="AA72">
        <f t="shared" si="43"/>
        <v>2769306.0710000005</v>
      </c>
      <c r="AB72">
        <f t="shared" si="44"/>
        <v>-9196393.1808000021</v>
      </c>
      <c r="AC72">
        <f t="shared" si="45"/>
        <v>-18405317.123199999</v>
      </c>
      <c r="AD72">
        <f t="shared" si="46"/>
        <v>-26709233.769400004</v>
      </c>
      <c r="AE72">
        <f t="shared" si="47"/>
        <v>-31537334.703599997</v>
      </c>
    </row>
    <row r="73" spans="1:31" x14ac:dyDescent="0.25">
      <c r="A73">
        <v>20.81207362</v>
      </c>
      <c r="B73">
        <v>108.962874</v>
      </c>
      <c r="C73">
        <v>54.29629517</v>
      </c>
      <c r="D73">
        <v>3.1660559199999998</v>
      </c>
      <c r="E73" t="b">
        <f t="shared" si="24"/>
        <v>0</v>
      </c>
      <c r="F73">
        <f t="shared" si="25"/>
        <v>-268.31541992999996</v>
      </c>
      <c r="G73">
        <f t="shared" si="26"/>
        <v>-539.79689578</v>
      </c>
      <c r="H73">
        <f t="shared" si="27"/>
        <v>-811.27837163000004</v>
      </c>
      <c r="I73">
        <f t="shared" si="28"/>
        <v>-1082.75984748</v>
      </c>
      <c r="J73">
        <f t="shared" si="29"/>
        <v>-1354.2413233300001</v>
      </c>
      <c r="L73">
        <f t="shared" si="30"/>
        <v>6395432.9583999999</v>
      </c>
      <c r="M73">
        <f t="shared" si="31"/>
        <v>-461502522.27959996</v>
      </c>
      <c r="N73">
        <f t="shared" si="32"/>
        <v>-798899405.7543999</v>
      </c>
      <c r="O73">
        <f t="shared" si="33"/>
        <v>-908631776.22560012</v>
      </c>
      <c r="P73">
        <f t="shared" si="34"/>
        <v>-996139059.68159997</v>
      </c>
      <c r="Q73">
        <f t="shared" si="35"/>
        <v>-1164647538.0638001</v>
      </c>
      <c r="S73">
        <f t="shared" si="36"/>
        <v>7756837.0040000007</v>
      </c>
      <c r="T73">
        <f t="shared" si="37"/>
        <v>-1171359263.8425999</v>
      </c>
      <c r="U73">
        <f t="shared" si="38"/>
        <v>-1004022226.1507999</v>
      </c>
      <c r="V73">
        <f t="shared" si="39"/>
        <v>-1152015287.7145998</v>
      </c>
      <c r="W73">
        <f t="shared" si="40"/>
        <v>-1483380991.0476</v>
      </c>
      <c r="X73">
        <f t="shared" si="41"/>
        <v>-1652174414.4626002</v>
      </c>
      <c r="Z73">
        <f t="shared" si="42"/>
        <v>9118241.0495999996</v>
      </c>
      <c r="AA73">
        <f t="shared" si="43"/>
        <v>-702986400.21659994</v>
      </c>
      <c r="AB73">
        <f t="shared" si="44"/>
        <v>-1209145046.5472</v>
      </c>
      <c r="AC73">
        <f t="shared" si="45"/>
        <v>-1590105608.3947999</v>
      </c>
      <c r="AD73">
        <f t="shared" si="46"/>
        <v>-1970622922.4136002</v>
      </c>
      <c r="AE73">
        <f t="shared" si="47"/>
        <v>-2139701290.8614004</v>
      </c>
    </row>
    <row r="74" spans="1:31" x14ac:dyDescent="0.25">
      <c r="A74">
        <v>20.81342214</v>
      </c>
      <c r="B74">
        <v>108.9156251</v>
      </c>
      <c r="C74">
        <v>112.03169250000001</v>
      </c>
      <c r="D74">
        <v>31.298168180000001</v>
      </c>
      <c r="E74" t="b">
        <f t="shared" si="24"/>
        <v>0</v>
      </c>
      <c r="F74">
        <f t="shared" si="25"/>
        <v>-528.86029432000009</v>
      </c>
      <c r="G74">
        <f t="shared" si="26"/>
        <v>-1089.0187568200001</v>
      </c>
      <c r="H74">
        <f t="shared" si="27"/>
        <v>-1649.1772193200002</v>
      </c>
      <c r="I74">
        <f t="shared" si="28"/>
        <v>-2209.33568182</v>
      </c>
      <c r="J74">
        <f t="shared" si="29"/>
        <v>-2769.49414432</v>
      </c>
      <c r="L74">
        <f t="shared" si="30"/>
        <v>63222299.7236</v>
      </c>
      <c r="M74">
        <f t="shared" si="31"/>
        <v>-909639706.23040032</v>
      </c>
      <c r="N74">
        <f t="shared" si="32"/>
        <v>-1611747760.0936003</v>
      </c>
      <c r="O74">
        <f t="shared" si="33"/>
        <v>-1847078485.6384003</v>
      </c>
      <c r="P74">
        <f t="shared" si="34"/>
        <v>-2032588827.2744</v>
      </c>
      <c r="Q74">
        <f t="shared" si="35"/>
        <v>-2381764964.1152</v>
      </c>
      <c r="S74">
        <f t="shared" si="36"/>
        <v>76680512.041000009</v>
      </c>
      <c r="T74">
        <f t="shared" si="37"/>
        <v>-2363170702.2994003</v>
      </c>
      <c r="U74">
        <f t="shared" si="38"/>
        <v>-2025574887.6852002</v>
      </c>
      <c r="V74">
        <f t="shared" si="39"/>
        <v>-2341831651.4344001</v>
      </c>
      <c r="W74">
        <f t="shared" si="40"/>
        <v>-3026789884.0934005</v>
      </c>
      <c r="X74">
        <f t="shared" si="41"/>
        <v>-3378782856.0704002</v>
      </c>
      <c r="Z74">
        <f t="shared" si="42"/>
        <v>90138724.358400002</v>
      </c>
      <c r="AA74">
        <f t="shared" si="43"/>
        <v>-1385613971.1184003</v>
      </c>
      <c r="AB74">
        <f t="shared" si="44"/>
        <v>-2439402015.2768006</v>
      </c>
      <c r="AC74">
        <f t="shared" si="45"/>
        <v>-3232387349.8672004</v>
      </c>
      <c r="AD74">
        <f t="shared" si="46"/>
        <v>-4020990940.9124002</v>
      </c>
      <c r="AE74">
        <f t="shared" si="47"/>
        <v>-4375800748.0256004</v>
      </c>
    </row>
    <row r="75" spans="1:31" x14ac:dyDescent="0.25">
      <c r="A75">
        <v>20.814748999999999</v>
      </c>
      <c r="B75">
        <v>108.86837490000001</v>
      </c>
      <c r="C75">
        <v>100.2393112</v>
      </c>
      <c r="D75">
        <v>3.95205998</v>
      </c>
      <c r="E75" t="b">
        <f t="shared" si="24"/>
        <v>0</v>
      </c>
      <c r="F75">
        <f t="shared" si="25"/>
        <v>-497.24449601999999</v>
      </c>
      <c r="G75">
        <f t="shared" si="26"/>
        <v>-998.44105202000003</v>
      </c>
      <c r="H75">
        <f t="shared" si="27"/>
        <v>-1499.63760802</v>
      </c>
      <c r="I75">
        <f t="shared" si="28"/>
        <v>-2000.8341640199999</v>
      </c>
      <c r="J75">
        <f t="shared" si="29"/>
        <v>-2502.0307200200004</v>
      </c>
      <c r="L75">
        <f t="shared" si="30"/>
        <v>7983161.1595999999</v>
      </c>
      <c r="M75">
        <f t="shared" si="31"/>
        <v>-855260533.15440011</v>
      </c>
      <c r="N75">
        <f t="shared" si="32"/>
        <v>-1477692756.9895999</v>
      </c>
      <c r="O75">
        <f t="shared" si="33"/>
        <v>-1679594120.9824002</v>
      </c>
      <c r="P75">
        <f t="shared" si="34"/>
        <v>-1840767430.8983998</v>
      </c>
      <c r="Q75">
        <f t="shared" si="35"/>
        <v>-2151746419.2172003</v>
      </c>
      <c r="S75">
        <f t="shared" si="36"/>
        <v>9682546.9510000013</v>
      </c>
      <c r="T75">
        <f t="shared" si="37"/>
        <v>-2166617082.8834</v>
      </c>
      <c r="U75">
        <f t="shared" si="38"/>
        <v>-1857100356.7571998</v>
      </c>
      <c r="V75">
        <f t="shared" si="39"/>
        <v>-2129485403.3883998</v>
      </c>
      <c r="W75">
        <f t="shared" si="40"/>
        <v>-2741142804.7074003</v>
      </c>
      <c r="X75">
        <f t="shared" si="41"/>
        <v>-3052477478.4244003</v>
      </c>
      <c r="Z75">
        <f t="shared" si="42"/>
        <v>11381932.7424</v>
      </c>
      <c r="AA75">
        <f t="shared" si="43"/>
        <v>-1302780579.5724001</v>
      </c>
      <c r="AB75">
        <f t="shared" si="44"/>
        <v>-2236507956.5248003</v>
      </c>
      <c r="AC75">
        <f t="shared" si="45"/>
        <v>-2939289711.7192001</v>
      </c>
      <c r="AD75">
        <f t="shared" si="46"/>
        <v>-3641518178.5163999</v>
      </c>
      <c r="AE75">
        <f t="shared" si="47"/>
        <v>-3953208537.6316009</v>
      </c>
    </row>
    <row r="76" spans="1:31" x14ac:dyDescent="0.25">
      <c r="A76">
        <v>20.8160542</v>
      </c>
      <c r="B76">
        <v>108.8211233</v>
      </c>
      <c r="C76">
        <v>100.2393112</v>
      </c>
      <c r="D76">
        <v>8.4183301900000007</v>
      </c>
      <c r="E76" t="b">
        <f t="shared" si="24"/>
        <v>0</v>
      </c>
      <c r="F76">
        <f t="shared" si="25"/>
        <v>-492.77822580999998</v>
      </c>
      <c r="G76">
        <f t="shared" si="26"/>
        <v>-993.97478180999997</v>
      </c>
      <c r="H76">
        <f t="shared" si="27"/>
        <v>-1495.1713378100001</v>
      </c>
      <c r="I76">
        <f t="shared" si="28"/>
        <v>-1996.3678938099999</v>
      </c>
      <c r="J76">
        <f t="shared" si="29"/>
        <v>-2497.5644498100005</v>
      </c>
      <c r="L76">
        <f t="shared" si="30"/>
        <v>17005026.983800001</v>
      </c>
      <c r="M76">
        <f t="shared" si="31"/>
        <v>-847578548.39320016</v>
      </c>
      <c r="N76">
        <f t="shared" si="32"/>
        <v>-1471082677.0788</v>
      </c>
      <c r="O76">
        <f t="shared" si="33"/>
        <v>-1674591898.3472004</v>
      </c>
      <c r="P76">
        <f t="shared" si="34"/>
        <v>-1836658462.3051999</v>
      </c>
      <c r="Q76">
        <f t="shared" si="35"/>
        <v>-2147905426.8366003</v>
      </c>
      <c r="S76">
        <f t="shared" si="36"/>
        <v>20624908.965500005</v>
      </c>
      <c r="T76">
        <f t="shared" si="37"/>
        <v>-2156925276.5276999</v>
      </c>
      <c r="U76">
        <f t="shared" si="38"/>
        <v>-1848793094.1665998</v>
      </c>
      <c r="V76">
        <f t="shared" si="39"/>
        <v>-2123143299.6902001</v>
      </c>
      <c r="W76">
        <f t="shared" si="40"/>
        <v>-2735024014.5197001</v>
      </c>
      <c r="X76">
        <f t="shared" si="41"/>
        <v>-3047028628.7682004</v>
      </c>
      <c r="Z76">
        <f t="shared" si="42"/>
        <v>24244790.947200004</v>
      </c>
      <c r="AA76">
        <f t="shared" si="43"/>
        <v>-1291078951.6222</v>
      </c>
      <c r="AB76">
        <f t="shared" si="44"/>
        <v>-2226503511.2544003</v>
      </c>
      <c r="AC76">
        <f t="shared" si="45"/>
        <v>-2930535822.1076002</v>
      </c>
      <c r="AD76">
        <f t="shared" si="46"/>
        <v>-3633389566.7342</v>
      </c>
      <c r="AE76">
        <f t="shared" si="47"/>
        <v>-3946151830.699801</v>
      </c>
    </row>
    <row r="77" spans="1:31" x14ac:dyDescent="0.25">
      <c r="A77">
        <v>20.817337729999998</v>
      </c>
      <c r="B77">
        <v>108.7738703</v>
      </c>
      <c r="C77">
        <v>29.236465450000001</v>
      </c>
      <c r="D77">
        <v>1.4691679499999999</v>
      </c>
      <c r="E77" t="b">
        <f t="shared" si="24"/>
        <v>0</v>
      </c>
      <c r="F77">
        <f t="shared" si="25"/>
        <v>-144.7131593</v>
      </c>
      <c r="G77">
        <f t="shared" si="26"/>
        <v>-290.89548655000004</v>
      </c>
      <c r="H77">
        <f t="shared" si="27"/>
        <v>-437.0778138</v>
      </c>
      <c r="I77">
        <f t="shared" si="28"/>
        <v>-583.26014105000002</v>
      </c>
      <c r="J77">
        <f t="shared" si="29"/>
        <v>-729.44246829999997</v>
      </c>
      <c r="L77">
        <f t="shared" si="30"/>
        <v>2967719.2590000001</v>
      </c>
      <c r="M77">
        <f t="shared" si="31"/>
        <v>-248906633.99600005</v>
      </c>
      <c r="N77">
        <f t="shared" si="32"/>
        <v>-430525320.0940001</v>
      </c>
      <c r="O77">
        <f t="shared" si="33"/>
        <v>-489527151.45600009</v>
      </c>
      <c r="P77">
        <f t="shared" si="34"/>
        <v>-536599329.76600003</v>
      </c>
      <c r="Q77">
        <f t="shared" si="35"/>
        <v>-627320522.73799992</v>
      </c>
      <c r="S77">
        <f t="shared" si="36"/>
        <v>3599461.4775</v>
      </c>
      <c r="T77">
        <f t="shared" si="37"/>
        <v>-631243205.81350017</v>
      </c>
      <c r="U77">
        <f t="shared" si="38"/>
        <v>-541065604.98300004</v>
      </c>
      <c r="V77">
        <f t="shared" si="39"/>
        <v>-620650495.59599996</v>
      </c>
      <c r="W77">
        <f t="shared" si="40"/>
        <v>-799066393.23850012</v>
      </c>
      <c r="X77">
        <f t="shared" si="41"/>
        <v>-889919811.32599998</v>
      </c>
      <c r="Z77">
        <f t="shared" si="42"/>
        <v>4231203.6959999995</v>
      </c>
      <c r="AA77">
        <f t="shared" si="43"/>
        <v>-379148477.36600006</v>
      </c>
      <c r="AB77">
        <f t="shared" si="44"/>
        <v>-651605889.87200022</v>
      </c>
      <c r="AC77">
        <f t="shared" si="45"/>
        <v>-856672515.04799998</v>
      </c>
      <c r="AD77">
        <f t="shared" si="46"/>
        <v>-1061533456.7110002</v>
      </c>
      <c r="AE77">
        <f t="shared" si="47"/>
        <v>-1152519099.914</v>
      </c>
    </row>
    <row r="78" spans="1:31" x14ac:dyDescent="0.25">
      <c r="A78">
        <v>20.818599590000002</v>
      </c>
      <c r="B78">
        <v>108.7266161</v>
      </c>
      <c r="C78">
        <v>51.804744720000002</v>
      </c>
      <c r="D78">
        <v>5.9134001700000001</v>
      </c>
      <c r="E78" t="b">
        <f t="shared" si="24"/>
        <v>0</v>
      </c>
      <c r="F78">
        <f t="shared" si="25"/>
        <v>-253.11032343000005</v>
      </c>
      <c r="G78">
        <f t="shared" si="26"/>
        <v>-512.13404703000003</v>
      </c>
      <c r="H78">
        <f t="shared" si="27"/>
        <v>-771.15777062999996</v>
      </c>
      <c r="I78">
        <f t="shared" si="28"/>
        <v>-1030.1814942300002</v>
      </c>
      <c r="J78">
        <f t="shared" si="29"/>
        <v>-1289.20521783</v>
      </c>
      <c r="L78">
        <f t="shared" si="30"/>
        <v>11945068.3434</v>
      </c>
      <c r="M78">
        <f t="shared" si="31"/>
        <v>-435349756.29960012</v>
      </c>
      <c r="N78">
        <f t="shared" si="32"/>
        <v>-757958389.60440004</v>
      </c>
      <c r="O78">
        <f t="shared" si="33"/>
        <v>-863696703.10560012</v>
      </c>
      <c r="P78">
        <f t="shared" si="34"/>
        <v>-947766974.6916002</v>
      </c>
      <c r="Q78">
        <f t="shared" si="35"/>
        <v>-1108716487.3337998</v>
      </c>
      <c r="S78">
        <f t="shared" si="36"/>
        <v>14487830.4165</v>
      </c>
      <c r="T78">
        <f t="shared" si="37"/>
        <v>-1111330882.0551</v>
      </c>
      <c r="U78">
        <f t="shared" si="38"/>
        <v>-952569327.47580004</v>
      </c>
      <c r="V78">
        <f t="shared" si="39"/>
        <v>-1095044034.2946</v>
      </c>
      <c r="W78">
        <f t="shared" si="40"/>
        <v>-1411348647.0951004</v>
      </c>
      <c r="X78">
        <f t="shared" si="41"/>
        <v>-1572830365.7526</v>
      </c>
      <c r="Z78">
        <f t="shared" si="42"/>
        <v>17030592.489599999</v>
      </c>
      <c r="AA78">
        <f t="shared" si="43"/>
        <v>-663149047.38660014</v>
      </c>
      <c r="AB78">
        <f t="shared" si="44"/>
        <v>-1147180265.3472002</v>
      </c>
      <c r="AC78">
        <f t="shared" si="45"/>
        <v>-1511469230.4347999</v>
      </c>
      <c r="AD78">
        <f t="shared" si="46"/>
        <v>-1874930319.4986005</v>
      </c>
      <c r="AE78">
        <f t="shared" si="47"/>
        <v>-2036944244.1714001</v>
      </c>
    </row>
    <row r="79" spans="1:31" x14ac:dyDescent="0.25">
      <c r="A79">
        <v>20.819839779999999</v>
      </c>
      <c r="B79">
        <v>108.6793605</v>
      </c>
      <c r="C79">
        <v>100.2393112</v>
      </c>
      <c r="D79">
        <v>2.44861197</v>
      </c>
      <c r="E79" t="b">
        <f t="shared" si="24"/>
        <v>0</v>
      </c>
      <c r="F79">
        <f t="shared" si="25"/>
        <v>-498.74794402999999</v>
      </c>
      <c r="G79">
        <f t="shared" si="26"/>
        <v>-999.94450002999997</v>
      </c>
      <c r="H79">
        <f t="shared" si="27"/>
        <v>-1501.1410560300001</v>
      </c>
      <c r="I79">
        <f t="shared" si="28"/>
        <v>-2002.3376120299999</v>
      </c>
      <c r="J79">
        <f t="shared" si="29"/>
        <v>-2503.5341680300003</v>
      </c>
      <c r="L79">
        <f t="shared" si="30"/>
        <v>4946196.1793999998</v>
      </c>
      <c r="M79">
        <f t="shared" si="31"/>
        <v>-857846463.73160005</v>
      </c>
      <c r="N79">
        <f t="shared" si="32"/>
        <v>-1479917860.0444</v>
      </c>
      <c r="O79">
        <f t="shared" si="33"/>
        <v>-1681277982.7536001</v>
      </c>
      <c r="P79">
        <f t="shared" si="34"/>
        <v>-1842150603.0675998</v>
      </c>
      <c r="Q79">
        <f t="shared" si="35"/>
        <v>-2153039384.5058002</v>
      </c>
      <c r="S79">
        <f t="shared" si="36"/>
        <v>5999099.3264999995</v>
      </c>
      <c r="T79">
        <f t="shared" si="37"/>
        <v>-2169879565.0650997</v>
      </c>
      <c r="U79">
        <f t="shared" si="38"/>
        <v>-1859896770.0557997</v>
      </c>
      <c r="V79">
        <f t="shared" si="39"/>
        <v>-2131620299.5625999</v>
      </c>
      <c r="W79">
        <f t="shared" si="40"/>
        <v>-2743202528.4811001</v>
      </c>
      <c r="X79">
        <f t="shared" si="41"/>
        <v>-3054311684.9966002</v>
      </c>
      <c r="Z79">
        <f t="shared" si="42"/>
        <v>7052002.4735999992</v>
      </c>
      <c r="AA79">
        <f t="shared" si="43"/>
        <v>-1306719613.3585999</v>
      </c>
      <c r="AB79">
        <f t="shared" si="44"/>
        <v>-2239875680.0672002</v>
      </c>
      <c r="AC79">
        <f t="shared" si="45"/>
        <v>-2942236469.8188</v>
      </c>
      <c r="AD79">
        <f t="shared" si="46"/>
        <v>-3644254453.8945999</v>
      </c>
      <c r="AE79">
        <f t="shared" si="47"/>
        <v>-3955583985.4874005</v>
      </c>
    </row>
    <row r="80" spans="1:31" x14ac:dyDescent="0.25">
      <c r="A80">
        <v>20.821058300000001</v>
      </c>
      <c r="B80">
        <v>108.63210359999999</v>
      </c>
      <c r="C80">
        <v>60.92937088</v>
      </c>
      <c r="D80">
        <v>9.0353813200000008</v>
      </c>
      <c r="E80" t="b">
        <f t="shared" si="24"/>
        <v>0</v>
      </c>
      <c r="F80">
        <f t="shared" si="25"/>
        <v>-295.61147308</v>
      </c>
      <c r="G80">
        <f t="shared" si="26"/>
        <v>-600.25832747999993</v>
      </c>
      <c r="H80">
        <f t="shared" si="27"/>
        <v>-904.90518187999999</v>
      </c>
      <c r="I80">
        <f t="shared" si="28"/>
        <v>-1209.55203628</v>
      </c>
      <c r="J80">
        <f t="shared" si="29"/>
        <v>-1514.19889068</v>
      </c>
      <c r="L80">
        <f t="shared" si="30"/>
        <v>18251470.266400002</v>
      </c>
      <c r="M80">
        <f t="shared" si="31"/>
        <v>-508451733.69760001</v>
      </c>
      <c r="N80">
        <f t="shared" si="32"/>
        <v>-888382324.67039979</v>
      </c>
      <c r="O80">
        <f t="shared" si="33"/>
        <v>-1013493803.7056001</v>
      </c>
      <c r="P80">
        <f t="shared" si="34"/>
        <v>-1112787873.3776</v>
      </c>
      <c r="Q80">
        <f t="shared" si="35"/>
        <v>-1302211045.9848001</v>
      </c>
      <c r="S80">
        <f t="shared" si="36"/>
        <v>22136684.234000001</v>
      </c>
      <c r="T80">
        <f t="shared" si="37"/>
        <v>-1302560570.6315997</v>
      </c>
      <c r="U80">
        <f t="shared" si="38"/>
        <v>-1116480489.1127996</v>
      </c>
      <c r="V80">
        <f t="shared" si="39"/>
        <v>-1284965358.2695999</v>
      </c>
      <c r="W80">
        <f t="shared" si="40"/>
        <v>-1657086289.7036002</v>
      </c>
      <c r="X80">
        <f t="shared" si="41"/>
        <v>-1847322646.6296</v>
      </c>
      <c r="Z80">
        <f t="shared" si="42"/>
        <v>26021898.2016</v>
      </c>
      <c r="AA80">
        <f t="shared" si="43"/>
        <v>-774502059.46959996</v>
      </c>
      <c r="AB80">
        <f t="shared" si="44"/>
        <v>-1344578653.5551999</v>
      </c>
      <c r="AC80">
        <f t="shared" si="45"/>
        <v>-1773614156.4847999</v>
      </c>
      <c r="AD80">
        <f t="shared" si="46"/>
        <v>-2201384706.0296001</v>
      </c>
      <c r="AE80">
        <f t="shared" si="47"/>
        <v>-2392434247.2744002</v>
      </c>
    </row>
    <row r="81" spans="1:31" x14ac:dyDescent="0.25">
      <c r="A81">
        <v>20.82225515</v>
      </c>
      <c r="B81">
        <v>108.5848455</v>
      </c>
      <c r="C81">
        <v>41.7955513</v>
      </c>
      <c r="D81">
        <v>1.866611</v>
      </c>
      <c r="E81" t="b">
        <f t="shared" si="24"/>
        <v>0</v>
      </c>
      <c r="F81">
        <f t="shared" si="25"/>
        <v>-207.11114549999999</v>
      </c>
      <c r="G81">
        <f t="shared" si="26"/>
        <v>-416.08890200000002</v>
      </c>
      <c r="H81">
        <f t="shared" si="27"/>
        <v>-625.06665850000002</v>
      </c>
      <c r="I81">
        <f t="shared" si="28"/>
        <v>-834.04441499999996</v>
      </c>
      <c r="J81">
        <f t="shared" si="29"/>
        <v>-1043.0221715</v>
      </c>
      <c r="L81">
        <f t="shared" si="30"/>
        <v>3770554.22</v>
      </c>
      <c r="M81">
        <f t="shared" si="31"/>
        <v>-356231170.26000005</v>
      </c>
      <c r="N81">
        <f t="shared" si="32"/>
        <v>-615811574.96000004</v>
      </c>
      <c r="O81">
        <f t="shared" si="33"/>
        <v>-700074657.5200001</v>
      </c>
      <c r="P81">
        <f t="shared" si="34"/>
        <v>-767320861.79999995</v>
      </c>
      <c r="Q81">
        <f t="shared" si="35"/>
        <v>-896999067.49000001</v>
      </c>
      <c r="S81">
        <f t="shared" si="36"/>
        <v>4573196.95</v>
      </c>
      <c r="T81">
        <f t="shared" si="37"/>
        <v>-902912917.33999991</v>
      </c>
      <c r="U81">
        <f t="shared" si="38"/>
        <v>-773925357.71999991</v>
      </c>
      <c r="V81">
        <f t="shared" si="39"/>
        <v>-887594655.06999993</v>
      </c>
      <c r="W81">
        <f t="shared" si="40"/>
        <v>-1142640848.5500002</v>
      </c>
      <c r="X81">
        <f t="shared" si="41"/>
        <v>-1272487049.23</v>
      </c>
      <c r="Z81">
        <f t="shared" si="42"/>
        <v>5375839.6799999997</v>
      </c>
      <c r="AA81">
        <f t="shared" si="43"/>
        <v>-542631201.21000004</v>
      </c>
      <c r="AB81">
        <f t="shared" si="44"/>
        <v>-932039140.48000014</v>
      </c>
      <c r="AC81">
        <f t="shared" si="45"/>
        <v>-1225130650.6600001</v>
      </c>
      <c r="AD81">
        <f t="shared" si="46"/>
        <v>-1517960835.3</v>
      </c>
      <c r="AE81">
        <f t="shared" si="47"/>
        <v>-1647975030.97</v>
      </c>
    </row>
    <row r="82" spans="1:31" x14ac:dyDescent="0.25">
      <c r="A82">
        <v>20.83146576</v>
      </c>
      <c r="B82">
        <v>114.8380631</v>
      </c>
      <c r="C82">
        <v>0.92556899999999998</v>
      </c>
      <c r="D82">
        <v>43.732223509999997</v>
      </c>
      <c r="E82" t="b">
        <f t="shared" si="24"/>
        <v>1</v>
      </c>
      <c r="F82">
        <f t="shared" si="25"/>
        <v>39.104378509999997</v>
      </c>
      <c r="G82">
        <f t="shared" si="26"/>
        <v>34.476533509999996</v>
      </c>
      <c r="H82">
        <f t="shared" si="27"/>
        <v>29.848688509999995</v>
      </c>
      <c r="I82">
        <f t="shared" si="28"/>
        <v>25.220843509999998</v>
      </c>
      <c r="J82">
        <f t="shared" si="29"/>
        <v>20.592998509999997</v>
      </c>
      <c r="L82">
        <f t="shared" si="30"/>
        <v>1869649.3800000001</v>
      </c>
      <c r="M82">
        <f t="shared" si="31"/>
        <v>1591978.6800000002</v>
      </c>
      <c r="N82">
        <f t="shared" si="32"/>
        <v>1369842.1199999999</v>
      </c>
      <c r="O82">
        <f t="shared" si="33"/>
        <v>1036637.2800000001</v>
      </c>
      <c r="P82">
        <f t="shared" si="34"/>
        <v>851523.48</v>
      </c>
      <c r="Q82">
        <f t="shared" si="35"/>
        <v>795989.34</v>
      </c>
      <c r="S82">
        <f t="shared" si="36"/>
        <v>2267644.0500000003</v>
      </c>
      <c r="T82">
        <f t="shared" si="37"/>
        <v>2008484.73</v>
      </c>
      <c r="U82">
        <f t="shared" si="38"/>
        <v>1721558.3399999999</v>
      </c>
      <c r="V82">
        <f t="shared" si="39"/>
        <v>1314307.98</v>
      </c>
      <c r="W82">
        <f t="shared" si="40"/>
        <v>1268029.53</v>
      </c>
      <c r="X82">
        <f t="shared" si="41"/>
        <v>1129194.18</v>
      </c>
      <c r="Z82">
        <f t="shared" si="42"/>
        <v>2665638.7199999997</v>
      </c>
      <c r="AA82">
        <f t="shared" si="43"/>
        <v>2424990.7800000003</v>
      </c>
      <c r="AB82">
        <f t="shared" si="44"/>
        <v>2073274.5600000003</v>
      </c>
      <c r="AC82">
        <f t="shared" si="45"/>
        <v>1814115.24</v>
      </c>
      <c r="AD82">
        <f t="shared" si="46"/>
        <v>1684535.58</v>
      </c>
      <c r="AE82">
        <f t="shared" si="47"/>
        <v>1462399.02</v>
      </c>
    </row>
    <row r="83" spans="1:31" x14ac:dyDescent="0.25">
      <c r="A83">
        <v>20.835505250000001</v>
      </c>
      <c r="B83">
        <v>114.7909774</v>
      </c>
      <c r="C83">
        <v>0.73452300000000004</v>
      </c>
      <c r="D83">
        <v>3.3178698999999998</v>
      </c>
      <c r="E83" t="b">
        <f t="shared" si="24"/>
        <v>1</v>
      </c>
      <c r="F83">
        <f t="shared" si="25"/>
        <v>-0.35474510000000059</v>
      </c>
      <c r="G83">
        <f t="shared" si="26"/>
        <v>-4.027360100000001</v>
      </c>
      <c r="H83">
        <f t="shared" si="27"/>
        <v>-7.6999751000000014</v>
      </c>
      <c r="I83">
        <f t="shared" si="28"/>
        <v>-11.372590100000002</v>
      </c>
      <c r="J83">
        <f t="shared" si="29"/>
        <v>-15.045205100000002</v>
      </c>
      <c r="L83">
        <f t="shared" si="30"/>
        <v>1483736.46</v>
      </c>
      <c r="M83">
        <f t="shared" si="31"/>
        <v>-610161.57200000109</v>
      </c>
      <c r="N83">
        <f t="shared" si="32"/>
        <v>-5960492.9480000017</v>
      </c>
      <c r="O83">
        <f t="shared" si="33"/>
        <v>-8623972.1120000016</v>
      </c>
      <c r="P83">
        <f t="shared" si="34"/>
        <v>-10462782.892000001</v>
      </c>
      <c r="Q83">
        <f t="shared" si="35"/>
        <v>-12938876.386000002</v>
      </c>
      <c r="S83">
        <f t="shared" si="36"/>
        <v>1799581.35</v>
      </c>
      <c r="T83">
        <f t="shared" si="37"/>
        <v>-8739371.4170000013</v>
      </c>
      <c r="U83">
        <f t="shared" si="38"/>
        <v>-7490889.7860000012</v>
      </c>
      <c r="V83">
        <f t="shared" si="39"/>
        <v>-10933964.642000001</v>
      </c>
      <c r="W83">
        <f t="shared" si="40"/>
        <v>-15580448.437000003</v>
      </c>
      <c r="X83">
        <f t="shared" si="41"/>
        <v>-18355150.222000003</v>
      </c>
      <c r="Z83">
        <f t="shared" si="42"/>
        <v>2115426.2399999998</v>
      </c>
      <c r="AA83">
        <f t="shared" si="43"/>
        <v>-929432.16200000164</v>
      </c>
      <c r="AB83">
        <f t="shared" si="44"/>
        <v>-9021286.6240000036</v>
      </c>
      <c r="AC83">
        <f t="shared" si="45"/>
        <v>-15091951.196000002</v>
      </c>
      <c r="AD83">
        <f t="shared" si="46"/>
        <v>-20698113.982000005</v>
      </c>
      <c r="AE83">
        <f t="shared" si="47"/>
        <v>-23771424.058000002</v>
      </c>
    </row>
    <row r="84" spans="1:31" x14ac:dyDescent="0.25">
      <c r="A84">
        <v>20.847494999999999</v>
      </c>
      <c r="B84">
        <v>114.6496952</v>
      </c>
      <c r="C84">
        <v>1.05465806</v>
      </c>
      <c r="D84">
        <v>38.546062470000003</v>
      </c>
      <c r="E84" t="b">
        <f t="shared" si="24"/>
        <v>1</v>
      </c>
      <c r="F84">
        <f t="shared" si="25"/>
        <v>33.272772170000003</v>
      </c>
      <c r="G84">
        <f t="shared" si="26"/>
        <v>27.999481870000004</v>
      </c>
      <c r="H84">
        <f t="shared" si="27"/>
        <v>22.726191570000005</v>
      </c>
      <c r="I84">
        <f t="shared" si="28"/>
        <v>17.452901270000005</v>
      </c>
      <c r="J84">
        <f t="shared" si="29"/>
        <v>12.179610970000002</v>
      </c>
      <c r="L84">
        <f t="shared" si="30"/>
        <v>2130409.2812000001</v>
      </c>
      <c r="M84">
        <f t="shared" si="31"/>
        <v>1814011.8632000003</v>
      </c>
      <c r="N84">
        <f t="shared" si="32"/>
        <v>1560893.9288000001</v>
      </c>
      <c r="O84">
        <f t="shared" si="33"/>
        <v>1181217.0272000001</v>
      </c>
      <c r="P84">
        <f t="shared" si="34"/>
        <v>970285.41519999993</v>
      </c>
      <c r="Q84">
        <f t="shared" si="35"/>
        <v>907005.93160000001</v>
      </c>
      <c r="S84">
        <f t="shared" si="36"/>
        <v>2583912.2470000004</v>
      </c>
      <c r="T84">
        <f t="shared" si="37"/>
        <v>2288607.9901999999</v>
      </c>
      <c r="U84">
        <f t="shared" si="38"/>
        <v>1961663.9916000001</v>
      </c>
      <c r="V84">
        <f t="shared" si="39"/>
        <v>1497614.4452</v>
      </c>
      <c r="W84">
        <f t="shared" si="40"/>
        <v>1444881.5422000003</v>
      </c>
      <c r="X84">
        <f t="shared" si="41"/>
        <v>1286682.8332</v>
      </c>
      <c r="Z84">
        <f t="shared" si="42"/>
        <v>3037415.2127999999</v>
      </c>
      <c r="AA84">
        <f t="shared" si="43"/>
        <v>2763204.1172000002</v>
      </c>
      <c r="AB84">
        <f t="shared" si="44"/>
        <v>2362434.0544000003</v>
      </c>
      <c r="AC84">
        <f t="shared" si="45"/>
        <v>2067129.7976000002</v>
      </c>
      <c r="AD84">
        <f t="shared" si="46"/>
        <v>1919477.6692000001</v>
      </c>
      <c r="AE84">
        <f t="shared" si="47"/>
        <v>1666359.7348000002</v>
      </c>
    </row>
    <row r="85" spans="1:31" x14ac:dyDescent="0.25">
      <c r="A85">
        <v>20.851448659999999</v>
      </c>
      <c r="B85">
        <v>114.602593</v>
      </c>
      <c r="C85">
        <v>1.53848004</v>
      </c>
      <c r="D85">
        <v>0.26934701</v>
      </c>
      <c r="E85" t="b">
        <f t="shared" si="24"/>
        <v>0</v>
      </c>
      <c r="F85">
        <f t="shared" si="25"/>
        <v>-7.4230531900000001</v>
      </c>
      <c r="G85">
        <f t="shared" si="26"/>
        <v>-15.115453389999999</v>
      </c>
      <c r="H85">
        <f t="shared" si="27"/>
        <v>-22.807853590000001</v>
      </c>
      <c r="I85">
        <f t="shared" si="28"/>
        <v>-30.500253789999999</v>
      </c>
      <c r="J85">
        <f t="shared" si="29"/>
        <v>-38.192653990000004</v>
      </c>
      <c r="L85">
        <f t="shared" si="30"/>
        <v>544080.96019999997</v>
      </c>
      <c r="M85">
        <f t="shared" si="31"/>
        <v>-12767651.486800002</v>
      </c>
      <c r="N85">
        <f t="shared" si="32"/>
        <v>-22370871.017199997</v>
      </c>
      <c r="O85">
        <f t="shared" si="33"/>
        <v>-25544796.020800002</v>
      </c>
      <c r="P85">
        <f t="shared" si="34"/>
        <v>-28060233.486799996</v>
      </c>
      <c r="Q85">
        <f t="shared" si="35"/>
        <v>-32845682.431400001</v>
      </c>
      <c r="S85">
        <f t="shared" si="36"/>
        <v>659900.17450000008</v>
      </c>
      <c r="T85">
        <f t="shared" si="37"/>
        <v>-32800533.856299996</v>
      </c>
      <c r="U85">
        <f t="shared" si="38"/>
        <v>-28114743.305399995</v>
      </c>
      <c r="V85">
        <f t="shared" si="39"/>
        <v>-32387152.097799998</v>
      </c>
      <c r="W85">
        <f t="shared" si="40"/>
        <v>-41785347.692299999</v>
      </c>
      <c r="X85">
        <f t="shared" si="41"/>
        <v>-46595037.867800005</v>
      </c>
      <c r="Z85">
        <f t="shared" si="42"/>
        <v>775719.38879999996</v>
      </c>
      <c r="AA85">
        <f t="shared" si="43"/>
        <v>-19448399.357800003</v>
      </c>
      <c r="AB85">
        <f t="shared" si="44"/>
        <v>-33858615.593599997</v>
      </c>
      <c r="AC85">
        <f t="shared" si="45"/>
        <v>-44703393.036399998</v>
      </c>
      <c r="AD85">
        <f t="shared" si="46"/>
        <v>-55510461.897799999</v>
      </c>
      <c r="AE85">
        <f t="shared" si="47"/>
        <v>-60344393.304200009</v>
      </c>
    </row>
    <row r="86" spans="1:31" x14ac:dyDescent="0.25">
      <c r="A86">
        <v>20.852324769999999</v>
      </c>
      <c r="B86">
        <v>109.1061275</v>
      </c>
      <c r="C86">
        <v>29.236465450000001</v>
      </c>
      <c r="D86">
        <v>1.0161739599999999</v>
      </c>
      <c r="E86" t="b">
        <f t="shared" si="24"/>
        <v>0</v>
      </c>
      <c r="F86">
        <f t="shared" si="25"/>
        <v>-145.16615329000001</v>
      </c>
      <c r="G86">
        <f t="shared" si="26"/>
        <v>-291.34848054000003</v>
      </c>
      <c r="H86">
        <f t="shared" si="27"/>
        <v>-437.53080778999998</v>
      </c>
      <c r="I86">
        <f t="shared" si="28"/>
        <v>-583.71313504000011</v>
      </c>
      <c r="J86">
        <f t="shared" si="29"/>
        <v>-729.89546229000007</v>
      </c>
      <c r="L86">
        <f t="shared" si="30"/>
        <v>2052671.3991999999</v>
      </c>
      <c r="M86">
        <f t="shared" si="31"/>
        <v>-249685783.65880007</v>
      </c>
      <c r="N86">
        <f t="shared" si="32"/>
        <v>-431195751.19920003</v>
      </c>
      <c r="O86">
        <f t="shared" si="33"/>
        <v>-490034504.72479999</v>
      </c>
      <c r="P86">
        <f t="shared" si="34"/>
        <v>-537016084.23680007</v>
      </c>
      <c r="Q86">
        <f t="shared" si="35"/>
        <v>-627710097.56940007</v>
      </c>
      <c r="S86">
        <f t="shared" si="36"/>
        <v>2489626.202</v>
      </c>
      <c r="T86">
        <f t="shared" si="37"/>
        <v>-632226202.77180004</v>
      </c>
      <c r="U86">
        <f t="shared" si="38"/>
        <v>-541908173.80439997</v>
      </c>
      <c r="V86">
        <f t="shared" si="39"/>
        <v>-621293747.06179988</v>
      </c>
      <c r="W86">
        <f t="shared" si="40"/>
        <v>-799686995.0048002</v>
      </c>
      <c r="X86">
        <f t="shared" si="41"/>
        <v>-890472463.99380004</v>
      </c>
      <c r="Z86">
        <f t="shared" si="42"/>
        <v>2926581.0047999998</v>
      </c>
      <c r="AA86">
        <f t="shared" si="43"/>
        <v>-380335321.61980009</v>
      </c>
      <c r="AB86">
        <f t="shared" si="44"/>
        <v>-652620596.40960014</v>
      </c>
      <c r="AC86">
        <f t="shared" si="45"/>
        <v>-857560383.26839995</v>
      </c>
      <c r="AD86">
        <f t="shared" si="46"/>
        <v>-1062357905.7728002</v>
      </c>
      <c r="AE86">
        <f t="shared" si="47"/>
        <v>-1153234830.4182003</v>
      </c>
    </row>
    <row r="87" spans="1:31" x14ac:dyDescent="0.25">
      <c r="A87">
        <v>20.852374770000001</v>
      </c>
      <c r="B87">
        <v>115.60020059999999</v>
      </c>
      <c r="C87">
        <v>0.43123298999999998</v>
      </c>
      <c r="D87">
        <v>4.4891509999999997</v>
      </c>
      <c r="E87" t="b">
        <f t="shared" si="24"/>
        <v>1</v>
      </c>
      <c r="F87">
        <f t="shared" si="25"/>
        <v>2.3329860499999997</v>
      </c>
      <c r="G87">
        <f t="shared" si="26"/>
        <v>0.17682109999999973</v>
      </c>
      <c r="H87">
        <f t="shared" si="27"/>
        <v>-1.9793438500000002</v>
      </c>
      <c r="I87">
        <f t="shared" si="28"/>
        <v>-4.1355088000000002</v>
      </c>
      <c r="J87">
        <f t="shared" si="29"/>
        <v>-6.2916737499999993</v>
      </c>
      <c r="L87">
        <f t="shared" si="30"/>
        <v>871090.6398</v>
      </c>
      <c r="M87">
        <f t="shared" si="31"/>
        <v>741720.74280000012</v>
      </c>
      <c r="N87">
        <f t="shared" si="32"/>
        <v>261695.22799999962</v>
      </c>
      <c r="O87">
        <f t="shared" si="33"/>
        <v>-2216865.1120000007</v>
      </c>
      <c r="P87">
        <f t="shared" si="34"/>
        <v>-3804668.0959999999</v>
      </c>
      <c r="Q87">
        <f t="shared" si="35"/>
        <v>-5410839.4249999989</v>
      </c>
      <c r="S87">
        <f t="shared" si="36"/>
        <v>1056520.8255</v>
      </c>
      <c r="T87">
        <f t="shared" si="37"/>
        <v>383701.78699999943</v>
      </c>
      <c r="U87">
        <f t="shared" si="38"/>
        <v>328887.24599999952</v>
      </c>
      <c r="V87">
        <f t="shared" si="39"/>
        <v>-2810668.2670000005</v>
      </c>
      <c r="W87">
        <f t="shared" si="40"/>
        <v>-5665647.0560000008</v>
      </c>
      <c r="X87">
        <f t="shared" si="41"/>
        <v>-7675841.9749999987</v>
      </c>
      <c r="Z87">
        <f t="shared" si="42"/>
        <v>1241951.0111999998</v>
      </c>
      <c r="AA87">
        <f t="shared" si="43"/>
        <v>1129830.4338</v>
      </c>
      <c r="AB87">
        <f t="shared" si="44"/>
        <v>396079.26399999944</v>
      </c>
      <c r="AC87">
        <f t="shared" si="45"/>
        <v>-3879513.9460000005</v>
      </c>
      <c r="AD87">
        <f t="shared" si="46"/>
        <v>-7526626.0160000008</v>
      </c>
      <c r="AE87">
        <f t="shared" si="47"/>
        <v>-9940844.5249999985</v>
      </c>
    </row>
    <row r="88" spans="1:31" x14ac:dyDescent="0.25">
      <c r="A88">
        <v>20.855132019999999</v>
      </c>
      <c r="B88">
        <v>109.0115909</v>
      </c>
      <c r="C88">
        <v>25.680141450000001</v>
      </c>
      <c r="D88">
        <v>3.5684831099999998</v>
      </c>
      <c r="E88" t="b">
        <f t="shared" si="24"/>
        <v>0</v>
      </c>
      <c r="F88">
        <f t="shared" si="25"/>
        <v>-124.83222414000001</v>
      </c>
      <c r="G88">
        <f t="shared" si="26"/>
        <v>-253.23293139000003</v>
      </c>
      <c r="H88">
        <f t="shared" si="27"/>
        <v>-381.63363864000002</v>
      </c>
      <c r="I88">
        <f t="shared" si="28"/>
        <v>-510.03434589000005</v>
      </c>
      <c r="J88">
        <f t="shared" si="29"/>
        <v>-638.43505314000004</v>
      </c>
      <c r="L88">
        <f t="shared" si="30"/>
        <v>7208335.8821999999</v>
      </c>
      <c r="M88">
        <f t="shared" si="31"/>
        <v>-214711425.52080005</v>
      </c>
      <c r="N88">
        <f t="shared" si="32"/>
        <v>-374784738.45720005</v>
      </c>
      <c r="O88">
        <f t="shared" si="33"/>
        <v>-427429675.27680004</v>
      </c>
      <c r="P88">
        <f t="shared" si="34"/>
        <v>-469231598.21880001</v>
      </c>
      <c r="Q88">
        <f t="shared" si="35"/>
        <v>-549054145.70039999</v>
      </c>
      <c r="S88">
        <f t="shared" si="36"/>
        <v>8742783.6195</v>
      </c>
      <c r="T88">
        <f t="shared" si="37"/>
        <v>-549515461.11630011</v>
      </c>
      <c r="U88">
        <f t="shared" si="38"/>
        <v>-471013252.38540006</v>
      </c>
      <c r="V88">
        <f t="shared" si="39"/>
        <v>-541919766.86879992</v>
      </c>
      <c r="W88">
        <f t="shared" si="40"/>
        <v>-698747053.86930013</v>
      </c>
      <c r="X88">
        <f t="shared" si="41"/>
        <v>-778890764.83079994</v>
      </c>
      <c r="Z88">
        <f t="shared" si="42"/>
        <v>10277231.356799999</v>
      </c>
      <c r="AA88">
        <f t="shared" si="43"/>
        <v>-327060427.24680007</v>
      </c>
      <c r="AB88">
        <f t="shared" si="44"/>
        <v>-567241766.31360018</v>
      </c>
      <c r="AC88">
        <f t="shared" si="45"/>
        <v>-748001931.73439991</v>
      </c>
      <c r="AD88">
        <f t="shared" si="46"/>
        <v>-928262509.51980007</v>
      </c>
      <c r="AE88">
        <f t="shared" si="47"/>
        <v>-1008727383.9612</v>
      </c>
    </row>
    <row r="89" spans="1:31" x14ac:dyDescent="0.25">
      <c r="A89">
        <v>20.857852579999999</v>
      </c>
      <c r="B89">
        <v>108.91704850000001</v>
      </c>
      <c r="C89">
        <v>56.964576719999997</v>
      </c>
      <c r="D89">
        <v>1.88053501</v>
      </c>
      <c r="E89" t="b">
        <f t="shared" si="24"/>
        <v>0</v>
      </c>
      <c r="F89">
        <f t="shared" si="25"/>
        <v>-282.94234858999994</v>
      </c>
      <c r="G89">
        <f t="shared" si="26"/>
        <v>-567.76523218999989</v>
      </c>
      <c r="H89">
        <f t="shared" si="27"/>
        <v>-852.58811578999996</v>
      </c>
      <c r="I89">
        <f t="shared" si="28"/>
        <v>-1137.4109993899999</v>
      </c>
      <c r="J89">
        <f t="shared" si="29"/>
        <v>-1422.23388299</v>
      </c>
      <c r="L89">
        <f t="shared" si="30"/>
        <v>3798680.7201999999</v>
      </c>
      <c r="M89">
        <f t="shared" si="31"/>
        <v>-486660839.5747999</v>
      </c>
      <c r="N89">
        <f t="shared" si="32"/>
        <v>-840292543.64119995</v>
      </c>
      <c r="O89">
        <f t="shared" si="33"/>
        <v>-954898689.68480003</v>
      </c>
      <c r="P89">
        <f t="shared" si="34"/>
        <v>-1046418119.4387997</v>
      </c>
      <c r="Q89">
        <f t="shared" si="35"/>
        <v>-1223121139.3713999</v>
      </c>
      <c r="S89">
        <f t="shared" si="36"/>
        <v>4607310.7745000003</v>
      </c>
      <c r="T89">
        <f t="shared" si="37"/>
        <v>-1232050553.8522999</v>
      </c>
      <c r="U89">
        <f t="shared" si="38"/>
        <v>-1056043331.8733999</v>
      </c>
      <c r="V89">
        <f t="shared" si="39"/>
        <v>-1210675124.4217999</v>
      </c>
      <c r="W89">
        <f t="shared" si="40"/>
        <v>-1558253069.1643</v>
      </c>
      <c r="X89">
        <f t="shared" si="41"/>
        <v>-1735125337.2477999</v>
      </c>
      <c r="Z89">
        <f t="shared" si="42"/>
        <v>5415940.8288000003</v>
      </c>
      <c r="AA89">
        <f t="shared" si="43"/>
        <v>-741308953.30579984</v>
      </c>
      <c r="AB89">
        <f t="shared" si="44"/>
        <v>-1271794120.1055999</v>
      </c>
      <c r="AC89">
        <f t="shared" si="45"/>
        <v>-1671072706.9483998</v>
      </c>
      <c r="AD89">
        <f t="shared" si="46"/>
        <v>-2070088018.8897998</v>
      </c>
      <c r="AE89">
        <f t="shared" si="47"/>
        <v>-2247129535.1242003</v>
      </c>
    </row>
    <row r="90" spans="1:31" x14ac:dyDescent="0.25">
      <c r="A90">
        <v>20.859180340000002</v>
      </c>
      <c r="B90">
        <v>108.86977520000001</v>
      </c>
      <c r="C90">
        <v>129.47578429999999</v>
      </c>
      <c r="D90">
        <v>6.6430869100000001</v>
      </c>
      <c r="E90" t="b">
        <f t="shared" si="24"/>
        <v>0</v>
      </c>
      <c r="F90">
        <f t="shared" si="25"/>
        <v>-640.73583458999997</v>
      </c>
      <c r="G90">
        <f t="shared" si="26"/>
        <v>-1288.1147560899999</v>
      </c>
      <c r="H90">
        <f t="shared" si="27"/>
        <v>-1935.4936775899998</v>
      </c>
      <c r="I90">
        <f t="shared" si="28"/>
        <v>-2582.8725990899998</v>
      </c>
      <c r="J90">
        <f t="shared" si="29"/>
        <v>-3230.2515205899995</v>
      </c>
      <c r="L90">
        <f t="shared" si="30"/>
        <v>13419035.5582</v>
      </c>
      <c r="M90">
        <f t="shared" si="31"/>
        <v>-1102065635.4948001</v>
      </c>
      <c r="N90">
        <f t="shared" si="32"/>
        <v>-1906409839.0131998</v>
      </c>
      <c r="O90">
        <f t="shared" si="33"/>
        <v>-2167752918.9008002</v>
      </c>
      <c r="P90">
        <f t="shared" si="34"/>
        <v>-2376242791.1627994</v>
      </c>
      <c r="Q90">
        <f t="shared" si="35"/>
        <v>-2778016307.7073998</v>
      </c>
      <c r="S90">
        <f t="shared" si="36"/>
        <v>16275562.929500002</v>
      </c>
      <c r="T90">
        <f t="shared" si="37"/>
        <v>-2795209020.7152996</v>
      </c>
      <c r="U90">
        <f t="shared" si="38"/>
        <v>-2395893446.3273997</v>
      </c>
      <c r="V90">
        <f t="shared" si="39"/>
        <v>-2748401022.1777997</v>
      </c>
      <c r="W90">
        <f t="shared" si="40"/>
        <v>-3538535460.7532997</v>
      </c>
      <c r="X90">
        <f t="shared" si="41"/>
        <v>-3940906855.1197996</v>
      </c>
      <c r="Z90">
        <f t="shared" si="42"/>
        <v>19132090.300799999</v>
      </c>
      <c r="AA90">
        <f t="shared" si="43"/>
        <v>-1678727886.6257999</v>
      </c>
      <c r="AB90">
        <f t="shared" si="44"/>
        <v>-2885377053.6416001</v>
      </c>
      <c r="AC90">
        <f t="shared" si="45"/>
        <v>-3793567608.0763998</v>
      </c>
      <c r="AD90">
        <f t="shared" si="46"/>
        <v>-4700828130.3437996</v>
      </c>
      <c r="AE90">
        <f t="shared" si="47"/>
        <v>-5103797402.5321999</v>
      </c>
    </row>
    <row r="91" spans="1:31" x14ac:dyDescent="0.25">
      <c r="A91">
        <v>20.896759840000001</v>
      </c>
      <c r="B91">
        <v>109.1076446</v>
      </c>
      <c r="C91">
        <v>29.236465450000001</v>
      </c>
      <c r="D91">
        <v>1.0161739599999999</v>
      </c>
      <c r="E91" t="b">
        <f t="shared" si="24"/>
        <v>0</v>
      </c>
      <c r="F91">
        <f t="shared" si="25"/>
        <v>-145.16615329000001</v>
      </c>
      <c r="G91">
        <f t="shared" si="26"/>
        <v>-291.34848054000003</v>
      </c>
      <c r="H91">
        <f t="shared" si="27"/>
        <v>-437.53080778999998</v>
      </c>
      <c r="I91">
        <f t="shared" si="28"/>
        <v>-583.71313504000011</v>
      </c>
      <c r="J91">
        <f t="shared" si="29"/>
        <v>-729.89546229000007</v>
      </c>
      <c r="L91">
        <f t="shared" si="30"/>
        <v>2052671.3991999999</v>
      </c>
      <c r="M91">
        <f t="shared" si="31"/>
        <v>-249685783.65880007</v>
      </c>
      <c r="N91">
        <f t="shared" si="32"/>
        <v>-431195751.19920003</v>
      </c>
      <c r="O91">
        <f t="shared" si="33"/>
        <v>-490034504.72479999</v>
      </c>
      <c r="P91">
        <f t="shared" si="34"/>
        <v>-537016084.23680007</v>
      </c>
      <c r="Q91">
        <f t="shared" si="35"/>
        <v>-627710097.56940007</v>
      </c>
      <c r="S91">
        <f t="shared" si="36"/>
        <v>2489626.202</v>
      </c>
      <c r="T91">
        <f t="shared" si="37"/>
        <v>-632226202.77180004</v>
      </c>
      <c r="U91">
        <f t="shared" si="38"/>
        <v>-541908173.80439997</v>
      </c>
      <c r="V91">
        <f t="shared" si="39"/>
        <v>-621293747.06179988</v>
      </c>
      <c r="W91">
        <f t="shared" si="40"/>
        <v>-799686995.0048002</v>
      </c>
      <c r="X91">
        <f t="shared" si="41"/>
        <v>-890472463.99380004</v>
      </c>
      <c r="Z91">
        <f t="shared" si="42"/>
        <v>2926581.0047999998</v>
      </c>
      <c r="AA91">
        <f t="shared" si="43"/>
        <v>-380335321.61980009</v>
      </c>
      <c r="AB91">
        <f t="shared" si="44"/>
        <v>-652620596.40960014</v>
      </c>
      <c r="AC91">
        <f t="shared" si="45"/>
        <v>-857560383.26839995</v>
      </c>
      <c r="AD91">
        <f t="shared" si="46"/>
        <v>-1062357905.7728002</v>
      </c>
      <c r="AE91">
        <f t="shared" si="47"/>
        <v>-1153234830.4182003</v>
      </c>
    </row>
    <row r="92" spans="1:31" x14ac:dyDescent="0.25">
      <c r="A92">
        <v>20.898175269999999</v>
      </c>
      <c r="B92">
        <v>109.0603539</v>
      </c>
      <c r="C92">
        <v>29.236465450000001</v>
      </c>
      <c r="D92">
        <v>0.73458396999999998</v>
      </c>
      <c r="E92" t="b">
        <f t="shared" si="24"/>
        <v>0</v>
      </c>
      <c r="F92">
        <f t="shared" si="25"/>
        <v>-145.44774328000003</v>
      </c>
      <c r="G92">
        <f t="shared" si="26"/>
        <v>-291.63007053000001</v>
      </c>
      <c r="H92">
        <f t="shared" si="27"/>
        <v>-437.81239777999997</v>
      </c>
      <c r="I92">
        <f t="shared" si="28"/>
        <v>-583.99472503000004</v>
      </c>
      <c r="J92">
        <f t="shared" si="29"/>
        <v>-730.17705228</v>
      </c>
      <c r="L92">
        <f t="shared" si="30"/>
        <v>1483859.6194</v>
      </c>
      <c r="M92">
        <f t="shared" si="31"/>
        <v>-250170118.44160008</v>
      </c>
      <c r="N92">
        <f t="shared" si="32"/>
        <v>-431612504.38440007</v>
      </c>
      <c r="O92">
        <f t="shared" si="33"/>
        <v>-490349885.51359999</v>
      </c>
      <c r="P92">
        <f t="shared" si="34"/>
        <v>-537275147.02760005</v>
      </c>
      <c r="Q92">
        <f t="shared" si="35"/>
        <v>-627952264.96079993</v>
      </c>
      <c r="S92">
        <f t="shared" si="36"/>
        <v>1799730.7265000001</v>
      </c>
      <c r="T92">
        <f t="shared" si="37"/>
        <v>-632837253.05010009</v>
      </c>
      <c r="U92">
        <f t="shared" si="38"/>
        <v>-542431931.18580008</v>
      </c>
      <c r="V92">
        <f t="shared" si="39"/>
        <v>-621693604.84759998</v>
      </c>
      <c r="W92">
        <f t="shared" si="40"/>
        <v>-800072773.29110014</v>
      </c>
      <c r="X92">
        <f t="shared" si="41"/>
        <v>-890816003.7816</v>
      </c>
      <c r="Z92">
        <f t="shared" si="42"/>
        <v>2115601.8336</v>
      </c>
      <c r="AA92">
        <f t="shared" si="43"/>
        <v>-381073087.39360011</v>
      </c>
      <c r="AB92">
        <f t="shared" si="44"/>
        <v>-653251357.98720014</v>
      </c>
      <c r="AC92">
        <f t="shared" si="45"/>
        <v>-858112299.6487999</v>
      </c>
      <c r="AD92">
        <f t="shared" si="46"/>
        <v>-1062870399.5546002</v>
      </c>
      <c r="AE92">
        <f t="shared" si="47"/>
        <v>-1153679742.6024001</v>
      </c>
    </row>
    <row r="93" spans="1:31" x14ac:dyDescent="0.25">
      <c r="A93">
        <v>20.90094105</v>
      </c>
      <c r="B93">
        <v>108.96576829999999</v>
      </c>
      <c r="C93">
        <v>100.2393112</v>
      </c>
      <c r="D93">
        <v>1.22430599</v>
      </c>
      <c r="E93" t="b">
        <f t="shared" si="24"/>
        <v>0</v>
      </c>
      <c r="F93">
        <f t="shared" si="25"/>
        <v>-499.97225000999998</v>
      </c>
      <c r="G93">
        <f t="shared" si="26"/>
        <v>-1001.16880601</v>
      </c>
      <c r="H93">
        <f t="shared" si="27"/>
        <v>-1502.3653620100001</v>
      </c>
      <c r="I93">
        <f t="shared" si="28"/>
        <v>-2003.56191801</v>
      </c>
      <c r="J93">
        <f t="shared" si="29"/>
        <v>-2504.7584740100001</v>
      </c>
      <c r="L93">
        <f t="shared" si="30"/>
        <v>2473098.0998</v>
      </c>
      <c r="M93">
        <f t="shared" si="31"/>
        <v>-859952270.01720011</v>
      </c>
      <c r="N93">
        <f t="shared" si="32"/>
        <v>-1481729832.8947999</v>
      </c>
      <c r="O93">
        <f t="shared" si="33"/>
        <v>-1682649205.4512005</v>
      </c>
      <c r="P93">
        <f t="shared" si="34"/>
        <v>-1843276964.5691998</v>
      </c>
      <c r="Q93">
        <f t="shared" si="35"/>
        <v>-2154092287.6486001</v>
      </c>
      <c r="S93">
        <f t="shared" si="36"/>
        <v>2999549.6755000004</v>
      </c>
      <c r="T93">
        <f t="shared" si="37"/>
        <v>-2172536309.0416999</v>
      </c>
      <c r="U93">
        <f t="shared" si="38"/>
        <v>-1862173979.1785998</v>
      </c>
      <c r="V93">
        <f t="shared" si="39"/>
        <v>-2133358814.0542002</v>
      </c>
      <c r="W93">
        <f t="shared" si="40"/>
        <v>-2744879827.6737003</v>
      </c>
      <c r="X93">
        <f t="shared" si="41"/>
        <v>-3055805338.2922001</v>
      </c>
      <c r="Z93">
        <f t="shared" si="42"/>
        <v>3526001.2511999998</v>
      </c>
      <c r="AA93">
        <f t="shared" si="43"/>
        <v>-1309927295.0262001</v>
      </c>
      <c r="AB93">
        <f t="shared" si="44"/>
        <v>-2242618125.4624</v>
      </c>
      <c r="AC93">
        <f t="shared" si="45"/>
        <v>-2944636109.5396004</v>
      </c>
      <c r="AD93">
        <f t="shared" si="46"/>
        <v>-3646482690.7782001</v>
      </c>
      <c r="AE93">
        <f t="shared" si="47"/>
        <v>-3957518388.9358006</v>
      </c>
    </row>
    <row r="94" spans="1:31" x14ac:dyDescent="0.25">
      <c r="A94">
        <v>20.902291399999999</v>
      </c>
      <c r="B94">
        <v>108.9184733</v>
      </c>
      <c r="C94">
        <v>54.29629517</v>
      </c>
      <c r="D94">
        <v>0.61215299000000001</v>
      </c>
      <c r="E94" t="b">
        <f t="shared" si="24"/>
        <v>0</v>
      </c>
      <c r="F94">
        <f t="shared" si="25"/>
        <v>-270.86932285999995</v>
      </c>
      <c r="G94">
        <f t="shared" si="26"/>
        <v>-542.35079870999994</v>
      </c>
      <c r="H94">
        <f t="shared" si="27"/>
        <v>-813.83227455999997</v>
      </c>
      <c r="I94">
        <f t="shared" si="28"/>
        <v>-1085.31375041</v>
      </c>
      <c r="J94">
        <f t="shared" si="29"/>
        <v>-1356.7952262600002</v>
      </c>
      <c r="L94">
        <f t="shared" si="30"/>
        <v>1236549.0397999999</v>
      </c>
      <c r="M94">
        <f t="shared" si="31"/>
        <v>-465895235.31919998</v>
      </c>
      <c r="N94">
        <f t="shared" si="32"/>
        <v>-802679182.09079993</v>
      </c>
      <c r="O94">
        <f t="shared" si="33"/>
        <v>-911492147.5072</v>
      </c>
      <c r="P94">
        <f t="shared" si="34"/>
        <v>-998488650.37720001</v>
      </c>
      <c r="Q94">
        <f t="shared" si="35"/>
        <v>-1166843894.5836003</v>
      </c>
      <c r="S94">
        <f t="shared" si="36"/>
        <v>1499774.8255</v>
      </c>
      <c r="T94">
        <f t="shared" si="37"/>
        <v>-1176901233.2006998</v>
      </c>
      <c r="U94">
        <f t="shared" si="38"/>
        <v>-1008772485.6005998</v>
      </c>
      <c r="V94">
        <f t="shared" si="39"/>
        <v>-1155641829.8751998</v>
      </c>
      <c r="W94">
        <f t="shared" si="40"/>
        <v>-1486879838.0617003</v>
      </c>
      <c r="X94">
        <f t="shared" si="41"/>
        <v>-1655290176.0372002</v>
      </c>
      <c r="Z94">
        <f t="shared" si="42"/>
        <v>1763000.6111999999</v>
      </c>
      <c r="AA94">
        <f t="shared" si="43"/>
        <v>-709677625.89319992</v>
      </c>
      <c r="AB94">
        <f t="shared" si="44"/>
        <v>-1214865789.1104</v>
      </c>
      <c r="AC94">
        <f t="shared" si="45"/>
        <v>-1595111258.1375999</v>
      </c>
      <c r="AD94">
        <f t="shared" si="46"/>
        <v>-1975271025.7462003</v>
      </c>
      <c r="AE94">
        <f t="shared" si="47"/>
        <v>-2143736457.4908004</v>
      </c>
    </row>
    <row r="95" spans="1:31" x14ac:dyDescent="0.25">
      <c r="A95">
        <v>20.903620060000002</v>
      </c>
      <c r="B95">
        <v>108.871177</v>
      </c>
      <c r="C95">
        <v>47.669376370000002</v>
      </c>
      <c r="D95">
        <v>2.85998011</v>
      </c>
      <c r="E95" t="b">
        <f t="shared" si="24"/>
        <v>0</v>
      </c>
      <c r="F95">
        <f t="shared" si="25"/>
        <v>-235.48690174000001</v>
      </c>
      <c r="G95">
        <f t="shared" si="26"/>
        <v>-473.83378359000005</v>
      </c>
      <c r="H95">
        <f t="shared" si="27"/>
        <v>-712.18066543999998</v>
      </c>
      <c r="I95">
        <f t="shared" si="28"/>
        <v>-950.52754729000003</v>
      </c>
      <c r="J95">
        <f t="shared" si="29"/>
        <v>-1188.8744291400001</v>
      </c>
      <c r="L95">
        <f t="shared" si="30"/>
        <v>5777159.8221999994</v>
      </c>
      <c r="M95">
        <f t="shared" si="31"/>
        <v>-405037470.99280006</v>
      </c>
      <c r="N95">
        <f t="shared" si="32"/>
        <v>-701273999.71320009</v>
      </c>
      <c r="O95">
        <f t="shared" si="33"/>
        <v>-797642345.29279995</v>
      </c>
      <c r="P95">
        <f t="shared" si="34"/>
        <v>-874485343.50680006</v>
      </c>
      <c r="Q95">
        <f t="shared" si="35"/>
        <v>-1022432009.0604001</v>
      </c>
      <c r="S95">
        <f t="shared" si="36"/>
        <v>7006951.2695000004</v>
      </c>
      <c r="T95">
        <f t="shared" si="37"/>
        <v>-1028219310.3903</v>
      </c>
      <c r="U95">
        <f t="shared" si="38"/>
        <v>-881330837.47739995</v>
      </c>
      <c r="V95">
        <f t="shared" si="39"/>
        <v>-1011296544.9247999</v>
      </c>
      <c r="W95">
        <f t="shared" si="40"/>
        <v>-1302222739.7873001</v>
      </c>
      <c r="X95">
        <f t="shared" si="41"/>
        <v>-1450426803.5508001</v>
      </c>
      <c r="Z95">
        <f t="shared" si="42"/>
        <v>8236742.7167999996</v>
      </c>
      <c r="AA95">
        <f t="shared" si="43"/>
        <v>-616975682.5588001</v>
      </c>
      <c r="AB95">
        <f t="shared" si="44"/>
        <v>-1061387675.2416002</v>
      </c>
      <c r="AC95">
        <f t="shared" si="45"/>
        <v>-1395874104.2623999</v>
      </c>
      <c r="AD95">
        <f t="shared" si="46"/>
        <v>-1729960136.0678003</v>
      </c>
      <c r="AE95">
        <f t="shared" si="47"/>
        <v>-1878421598.0412002</v>
      </c>
    </row>
    <row r="96" spans="1:31" x14ac:dyDescent="0.25">
      <c r="A96">
        <v>20.906212289999999</v>
      </c>
      <c r="B96">
        <v>108.7765802</v>
      </c>
      <c r="C96">
        <v>79.356124879999996</v>
      </c>
      <c r="D96">
        <v>0.68316299000000003</v>
      </c>
      <c r="E96" t="b">
        <f t="shared" si="24"/>
        <v>0</v>
      </c>
      <c r="F96">
        <f t="shared" si="25"/>
        <v>-396.09746140999994</v>
      </c>
      <c r="G96">
        <f t="shared" si="26"/>
        <v>-792.8780858099999</v>
      </c>
      <c r="H96">
        <f t="shared" si="27"/>
        <v>-1189.65871021</v>
      </c>
      <c r="I96">
        <f t="shared" si="28"/>
        <v>-1586.4393346099998</v>
      </c>
      <c r="J96">
        <f t="shared" si="29"/>
        <v>-1983.2199590099999</v>
      </c>
      <c r="L96">
        <f t="shared" si="30"/>
        <v>1379989.2398000001</v>
      </c>
      <c r="M96">
        <f t="shared" si="31"/>
        <v>-681287633.62520003</v>
      </c>
      <c r="N96">
        <f t="shared" si="32"/>
        <v>-1173459566.9987998</v>
      </c>
      <c r="O96">
        <f t="shared" si="33"/>
        <v>-1332417755.4352002</v>
      </c>
      <c r="P96">
        <f t="shared" si="34"/>
        <v>-1459524187.8411999</v>
      </c>
      <c r="Q96">
        <f t="shared" si="35"/>
        <v>-1705569164.7486</v>
      </c>
      <c r="S96">
        <f t="shared" si="36"/>
        <v>1673749.3255</v>
      </c>
      <c r="T96">
        <f t="shared" si="37"/>
        <v>-1720545446.2076998</v>
      </c>
      <c r="U96">
        <f t="shared" si="38"/>
        <v>-1474753239.6065998</v>
      </c>
      <c r="V96">
        <f t="shared" si="39"/>
        <v>-1689315368.4981999</v>
      </c>
      <c r="W96">
        <f t="shared" si="40"/>
        <v>-2173421888.4157</v>
      </c>
      <c r="X96">
        <f t="shared" si="41"/>
        <v>-2419528349.9921999</v>
      </c>
      <c r="Z96">
        <f t="shared" si="42"/>
        <v>1967509.4112</v>
      </c>
      <c r="AA96">
        <f t="shared" si="43"/>
        <v>-1037775348.8942</v>
      </c>
      <c r="AB96">
        <f t="shared" si="44"/>
        <v>-1776046912.2144001</v>
      </c>
      <c r="AC96">
        <f t="shared" si="45"/>
        <v>-2331731072.0116</v>
      </c>
      <c r="AD96">
        <f t="shared" si="46"/>
        <v>-2887319588.9902</v>
      </c>
      <c r="AE96">
        <f t="shared" si="47"/>
        <v>-3133487535.2358003</v>
      </c>
    </row>
    <row r="97" spans="1:31" x14ac:dyDescent="0.25">
      <c r="A97">
        <v>20.915945430000001</v>
      </c>
      <c r="B97">
        <v>114.89381469999999</v>
      </c>
      <c r="C97">
        <v>0.73606998000000001</v>
      </c>
      <c r="D97">
        <v>5.1665730500000002</v>
      </c>
      <c r="E97" t="b">
        <f t="shared" si="24"/>
        <v>1</v>
      </c>
      <c r="F97">
        <f t="shared" si="25"/>
        <v>1.4862231500000003</v>
      </c>
      <c r="G97">
        <f t="shared" si="26"/>
        <v>-2.1941267499999997</v>
      </c>
      <c r="H97">
        <f t="shared" si="27"/>
        <v>-5.8744766500000001</v>
      </c>
      <c r="I97">
        <f t="shared" si="28"/>
        <v>-9.5548265499999996</v>
      </c>
      <c r="J97">
        <f t="shared" si="29"/>
        <v>-13.235176450000001</v>
      </c>
      <c r="L97">
        <f t="shared" si="30"/>
        <v>1486861.3596000001</v>
      </c>
      <c r="M97">
        <f t="shared" si="31"/>
        <v>1266040.3656000001</v>
      </c>
      <c r="N97">
        <f t="shared" si="32"/>
        <v>-3247307.5899999994</v>
      </c>
      <c r="O97">
        <f t="shared" si="33"/>
        <v>-6579413.8480000012</v>
      </c>
      <c r="P97">
        <f t="shared" si="34"/>
        <v>-8790440.425999999</v>
      </c>
      <c r="Q97">
        <f t="shared" si="35"/>
        <v>-11382251.747000001</v>
      </c>
      <c r="S97">
        <f t="shared" si="36"/>
        <v>1803371.4510000001</v>
      </c>
      <c r="T97">
        <f t="shared" si="37"/>
        <v>-4761255.0474999985</v>
      </c>
      <c r="U97">
        <f t="shared" si="38"/>
        <v>-4081075.754999999</v>
      </c>
      <c r="V97">
        <f t="shared" si="39"/>
        <v>-8341756.8430000003</v>
      </c>
      <c r="W97">
        <f t="shared" si="40"/>
        <v>-13090112.373499999</v>
      </c>
      <c r="X97">
        <f t="shared" si="41"/>
        <v>-16146915.269000001</v>
      </c>
      <c r="Z97">
        <f t="shared" si="42"/>
        <v>2119881.5423999997</v>
      </c>
      <c r="AA97">
        <f t="shared" si="43"/>
        <v>1928503.3476</v>
      </c>
      <c r="AB97">
        <f t="shared" si="44"/>
        <v>-4914843.919999999</v>
      </c>
      <c r="AC97">
        <f t="shared" si="45"/>
        <v>-11513974.234000001</v>
      </c>
      <c r="AD97">
        <f t="shared" si="46"/>
        <v>-17389784.320999999</v>
      </c>
      <c r="AE97">
        <f t="shared" si="47"/>
        <v>-20911578.791000001</v>
      </c>
    </row>
    <row r="98" spans="1:31" x14ac:dyDescent="0.25">
      <c r="A98">
        <v>20.946738580000002</v>
      </c>
      <c r="B98">
        <v>108.9198995</v>
      </c>
      <c r="C98">
        <v>54.29629517</v>
      </c>
      <c r="D98">
        <v>0.61215299000000001</v>
      </c>
      <c r="E98" t="b">
        <f t="shared" si="24"/>
        <v>0</v>
      </c>
      <c r="F98">
        <f t="shared" si="25"/>
        <v>-270.86932285999995</v>
      </c>
      <c r="G98">
        <f t="shared" si="26"/>
        <v>-542.35079870999994</v>
      </c>
      <c r="H98">
        <f t="shared" si="27"/>
        <v>-813.83227455999997</v>
      </c>
      <c r="I98">
        <f t="shared" si="28"/>
        <v>-1085.31375041</v>
      </c>
      <c r="J98">
        <f t="shared" si="29"/>
        <v>-1356.7952262600002</v>
      </c>
      <c r="L98">
        <f t="shared" si="30"/>
        <v>1236549.0397999999</v>
      </c>
      <c r="M98">
        <f t="shared" si="31"/>
        <v>-465895235.31919998</v>
      </c>
      <c r="N98">
        <f t="shared" si="32"/>
        <v>-802679182.09079993</v>
      </c>
      <c r="O98">
        <f t="shared" si="33"/>
        <v>-911492147.5072</v>
      </c>
      <c r="P98">
        <f t="shared" si="34"/>
        <v>-998488650.37720001</v>
      </c>
      <c r="Q98">
        <f t="shared" si="35"/>
        <v>-1166843894.5836003</v>
      </c>
      <c r="S98">
        <f t="shared" si="36"/>
        <v>1499774.8255</v>
      </c>
      <c r="T98">
        <f t="shared" si="37"/>
        <v>-1176901233.2006998</v>
      </c>
      <c r="U98">
        <f t="shared" si="38"/>
        <v>-1008772485.6005998</v>
      </c>
      <c r="V98">
        <f t="shared" si="39"/>
        <v>-1155641829.8751998</v>
      </c>
      <c r="W98">
        <f t="shared" si="40"/>
        <v>-1486879838.0617003</v>
      </c>
      <c r="X98">
        <f t="shared" si="41"/>
        <v>-1655290176.0372002</v>
      </c>
      <c r="Z98">
        <f t="shared" si="42"/>
        <v>1763000.6111999999</v>
      </c>
      <c r="AA98">
        <f t="shared" si="43"/>
        <v>-709677625.89319992</v>
      </c>
      <c r="AB98">
        <f t="shared" si="44"/>
        <v>-1214865789.1104</v>
      </c>
      <c r="AC98">
        <f t="shared" si="45"/>
        <v>-1595111258.1375999</v>
      </c>
      <c r="AD98">
        <f t="shared" si="46"/>
        <v>-1975271025.7462003</v>
      </c>
      <c r="AE98">
        <f t="shared" si="47"/>
        <v>-2143736457.4908004</v>
      </c>
    </row>
    <row r="99" spans="1:31" x14ac:dyDescent="0.25">
      <c r="A99">
        <v>20.992179279999998</v>
      </c>
      <c r="B99">
        <v>114.52084170000001</v>
      </c>
      <c r="C99">
        <v>1.7711880200000001</v>
      </c>
      <c r="D99">
        <v>1.22430599</v>
      </c>
      <c r="E99" t="b">
        <f t="shared" si="24"/>
        <v>0</v>
      </c>
      <c r="F99">
        <f t="shared" si="25"/>
        <v>-7.6316341100000002</v>
      </c>
      <c r="G99">
        <f t="shared" si="26"/>
        <v>-16.487574209999998</v>
      </c>
      <c r="H99">
        <f t="shared" si="27"/>
        <v>-25.34351431</v>
      </c>
      <c r="I99">
        <f t="shared" si="28"/>
        <v>-34.199454410000001</v>
      </c>
      <c r="J99">
        <f t="shared" si="29"/>
        <v>-43.055394510000006</v>
      </c>
      <c r="L99">
        <f t="shared" si="30"/>
        <v>2473098.0998</v>
      </c>
      <c r="M99">
        <f t="shared" si="31"/>
        <v>-13126410.669200001</v>
      </c>
      <c r="N99">
        <f t="shared" si="32"/>
        <v>-24401609.830799997</v>
      </c>
      <c r="O99">
        <f t="shared" si="33"/>
        <v>-28384736.027200002</v>
      </c>
      <c r="P99">
        <f t="shared" si="34"/>
        <v>-31463498.0572</v>
      </c>
      <c r="Q99">
        <f t="shared" si="35"/>
        <v>-37027639.278600007</v>
      </c>
      <c r="S99">
        <f t="shared" si="36"/>
        <v>2999549.6755000004</v>
      </c>
      <c r="T99">
        <f t="shared" si="37"/>
        <v>-35778036.035699993</v>
      </c>
      <c r="U99">
        <f t="shared" si="38"/>
        <v>-30666888.030599996</v>
      </c>
      <c r="V99">
        <f t="shared" si="39"/>
        <v>-35987790.320199996</v>
      </c>
      <c r="W99">
        <f t="shared" si="40"/>
        <v>-46853252.541700006</v>
      </c>
      <c r="X99">
        <f t="shared" si="41"/>
        <v>-52527581.302200004</v>
      </c>
      <c r="Z99">
        <f t="shared" si="42"/>
        <v>3526001.2511999998</v>
      </c>
      <c r="AA99">
        <f t="shared" si="43"/>
        <v>-19994881.3682</v>
      </c>
      <c r="AB99">
        <f t="shared" si="44"/>
        <v>-36932166.230400003</v>
      </c>
      <c r="AC99">
        <f t="shared" si="45"/>
        <v>-49673288.047599994</v>
      </c>
      <c r="AD99">
        <f t="shared" si="46"/>
        <v>-62243007.026200011</v>
      </c>
      <c r="AE99">
        <f t="shared" si="47"/>
        <v>-68027523.325800017</v>
      </c>
    </row>
    <row r="100" spans="1:31" x14ac:dyDescent="0.25">
      <c r="A100">
        <v>21.036491430000002</v>
      </c>
      <c r="B100">
        <v>114.52500499999999</v>
      </c>
      <c r="C100">
        <v>1.13198602</v>
      </c>
      <c r="D100">
        <v>2.5906319600000001</v>
      </c>
      <c r="E100" t="b">
        <f t="shared" si="24"/>
        <v>1</v>
      </c>
      <c r="F100">
        <f t="shared" si="25"/>
        <v>-3.0692981400000003</v>
      </c>
      <c r="G100">
        <f t="shared" si="26"/>
        <v>-8.7292282400000012</v>
      </c>
      <c r="H100">
        <f t="shared" si="27"/>
        <v>-14.389158340000002</v>
      </c>
      <c r="I100">
        <f t="shared" si="28"/>
        <v>-20.049088440000002</v>
      </c>
      <c r="J100">
        <f t="shared" si="29"/>
        <v>-25.709018540000002</v>
      </c>
      <c r="L100">
        <f t="shared" si="30"/>
        <v>2286611.7604</v>
      </c>
      <c r="M100">
        <f t="shared" si="31"/>
        <v>-5279192.8008000012</v>
      </c>
      <c r="N100">
        <f t="shared" si="32"/>
        <v>-12919257.795200003</v>
      </c>
      <c r="O100">
        <f t="shared" si="33"/>
        <v>-16115857.340800004</v>
      </c>
      <c r="P100">
        <f t="shared" si="34"/>
        <v>-18445161.364799999</v>
      </c>
      <c r="Q100">
        <f t="shared" si="35"/>
        <v>-22109755.944400001</v>
      </c>
      <c r="S100">
        <f t="shared" si="36"/>
        <v>2773365.7490000003</v>
      </c>
      <c r="T100">
        <f t="shared" si="37"/>
        <v>-18942425.280800004</v>
      </c>
      <c r="U100">
        <f t="shared" si="38"/>
        <v>-16236364.526400004</v>
      </c>
      <c r="V100">
        <f t="shared" si="39"/>
        <v>-20432604.842800003</v>
      </c>
      <c r="W100">
        <f t="shared" si="40"/>
        <v>-27467251.162800003</v>
      </c>
      <c r="X100">
        <f t="shared" si="41"/>
        <v>-31365002.618800003</v>
      </c>
      <c r="Z100">
        <f t="shared" si="42"/>
        <v>3260119.7376000001</v>
      </c>
      <c r="AA100">
        <f t="shared" si="43"/>
        <v>-8041561.1268000007</v>
      </c>
      <c r="AB100">
        <f t="shared" si="44"/>
        <v>-19553471.257600006</v>
      </c>
      <c r="AC100">
        <f t="shared" si="45"/>
        <v>-28202750.346400004</v>
      </c>
      <c r="AD100">
        <f t="shared" si="46"/>
        <v>-36489340.960800007</v>
      </c>
      <c r="AE100">
        <f t="shared" si="47"/>
        <v>-40620249.293200009</v>
      </c>
    </row>
    <row r="101" spans="1:31" x14ac:dyDescent="0.25">
      <c r="A101">
        <v>21.08859489</v>
      </c>
      <c r="B101">
        <v>114.43471150000001</v>
      </c>
      <c r="C101">
        <v>2.18444109</v>
      </c>
      <c r="D101">
        <v>1.4691679499999999</v>
      </c>
      <c r="E101" t="b">
        <f t="shared" si="24"/>
        <v>0</v>
      </c>
      <c r="F101">
        <f t="shared" si="25"/>
        <v>-9.4530375000000006</v>
      </c>
      <c r="G101">
        <f t="shared" si="26"/>
        <v>-20.375242950000001</v>
      </c>
      <c r="H101">
        <f t="shared" si="27"/>
        <v>-31.2974484</v>
      </c>
      <c r="I101">
        <f t="shared" si="28"/>
        <v>-42.21965385</v>
      </c>
      <c r="J101">
        <f t="shared" si="29"/>
        <v>-53.1418593</v>
      </c>
      <c r="L101">
        <f t="shared" si="30"/>
        <v>2967719.2590000001</v>
      </c>
      <c r="M101">
        <f t="shared" si="31"/>
        <v>-16259224.500000002</v>
      </c>
      <c r="N101">
        <f t="shared" si="32"/>
        <v>-30155359.566</v>
      </c>
      <c r="O101">
        <f t="shared" si="33"/>
        <v>-35053142.208000004</v>
      </c>
      <c r="P101">
        <f t="shared" si="34"/>
        <v>-38842081.541999996</v>
      </c>
      <c r="Q101">
        <f t="shared" si="35"/>
        <v>-45701998.997999996</v>
      </c>
      <c r="S101">
        <f t="shared" si="36"/>
        <v>3599461.4775</v>
      </c>
      <c r="T101">
        <f t="shared" si="37"/>
        <v>-44214277.201499999</v>
      </c>
      <c r="U101">
        <f t="shared" si="38"/>
        <v>-37897951.886999995</v>
      </c>
      <c r="V101">
        <f t="shared" si="39"/>
        <v>-44442376.728</v>
      </c>
      <c r="W101">
        <f t="shared" si="40"/>
        <v>-57840925.774500005</v>
      </c>
      <c r="X101">
        <f t="shared" si="41"/>
        <v>-64833068.345999993</v>
      </c>
      <c r="Z101">
        <f t="shared" si="42"/>
        <v>4231203.6959999995</v>
      </c>
      <c r="AA101">
        <f t="shared" si="43"/>
        <v>-24766958.25</v>
      </c>
      <c r="AB101">
        <f t="shared" si="44"/>
        <v>-45640544.208000004</v>
      </c>
      <c r="AC101">
        <f t="shared" si="45"/>
        <v>-61342998.864</v>
      </c>
      <c r="AD101">
        <f t="shared" si="46"/>
        <v>-76839770.006999999</v>
      </c>
      <c r="AE101">
        <f t="shared" si="47"/>
        <v>-83964137.694000006</v>
      </c>
    </row>
    <row r="102" spans="1:31" x14ac:dyDescent="0.25">
      <c r="A102">
        <v>21.13542795</v>
      </c>
      <c r="B102">
        <v>115.4395423</v>
      </c>
      <c r="C102">
        <v>1.4520239800000001</v>
      </c>
      <c r="D102">
        <v>1.22430599</v>
      </c>
      <c r="E102" t="b">
        <f t="shared" si="24"/>
        <v>0</v>
      </c>
      <c r="F102">
        <f t="shared" si="25"/>
        <v>-6.0358139099999999</v>
      </c>
      <c r="G102">
        <f t="shared" si="26"/>
        <v>-13.295933810000001</v>
      </c>
      <c r="H102">
        <f t="shared" si="27"/>
        <v>-20.55605371</v>
      </c>
      <c r="I102">
        <f t="shared" si="28"/>
        <v>-27.81617361</v>
      </c>
      <c r="J102">
        <f t="shared" si="29"/>
        <v>-35.076293510000006</v>
      </c>
      <c r="L102">
        <f t="shared" si="30"/>
        <v>2473098.0998</v>
      </c>
      <c r="M102">
        <f t="shared" si="31"/>
        <v>-10381599.925200002</v>
      </c>
      <c r="N102">
        <f t="shared" si="32"/>
        <v>-19677982.038800001</v>
      </c>
      <c r="O102">
        <f t="shared" si="33"/>
        <v>-23022780.155200005</v>
      </c>
      <c r="P102">
        <f t="shared" si="34"/>
        <v>-25590879.721199997</v>
      </c>
      <c r="Q102">
        <f t="shared" si="35"/>
        <v>-30165612.418600004</v>
      </c>
      <c r="S102">
        <f t="shared" si="36"/>
        <v>2999549.6755000004</v>
      </c>
      <c r="T102">
        <f t="shared" si="37"/>
        <v>-28852176.367699999</v>
      </c>
      <c r="U102">
        <f t="shared" si="38"/>
        <v>-24730436.886599999</v>
      </c>
      <c r="V102">
        <f t="shared" si="39"/>
        <v>-29189596.268199999</v>
      </c>
      <c r="W102">
        <f t="shared" si="40"/>
        <v>-38108157.845700003</v>
      </c>
      <c r="X102">
        <f t="shared" si="41"/>
        <v>-42793078.082200006</v>
      </c>
      <c r="Z102">
        <f t="shared" si="42"/>
        <v>3526001.2511999998</v>
      </c>
      <c r="AA102">
        <f t="shared" si="43"/>
        <v>-15813832.444200002</v>
      </c>
      <c r="AB102">
        <f t="shared" si="44"/>
        <v>-29782891.734400004</v>
      </c>
      <c r="AC102">
        <f t="shared" si="45"/>
        <v>-40289865.271600001</v>
      </c>
      <c r="AD102">
        <f t="shared" si="46"/>
        <v>-50625435.970200002</v>
      </c>
      <c r="AE102">
        <f t="shared" si="47"/>
        <v>-55420543.745800011</v>
      </c>
    </row>
    <row r="103" spans="1:31" x14ac:dyDescent="0.25">
      <c r="A103">
        <v>21.139747759999999</v>
      </c>
      <c r="B103">
        <v>115.3923265</v>
      </c>
      <c r="C103">
        <v>1.69117999</v>
      </c>
      <c r="D103">
        <v>4.6523637799999999</v>
      </c>
      <c r="E103" t="b">
        <f t="shared" si="24"/>
        <v>1</v>
      </c>
      <c r="F103">
        <f t="shared" si="25"/>
        <v>-3.8035361699999992</v>
      </c>
      <c r="G103">
        <f t="shared" si="26"/>
        <v>-12.259436119999998</v>
      </c>
      <c r="H103">
        <f t="shared" si="27"/>
        <v>-20.715336069999999</v>
      </c>
      <c r="I103">
        <f t="shared" si="28"/>
        <v>-29.171236019999995</v>
      </c>
      <c r="J103">
        <f t="shared" si="29"/>
        <v>-37.627135969999998</v>
      </c>
      <c r="L103">
        <f t="shared" si="30"/>
        <v>3416183.5797999999</v>
      </c>
      <c r="M103">
        <f t="shared" si="31"/>
        <v>-6542082.2123999987</v>
      </c>
      <c r="N103">
        <f t="shared" si="32"/>
        <v>-18143965.457599998</v>
      </c>
      <c r="O103">
        <f t="shared" si="33"/>
        <v>-23201176.398400001</v>
      </c>
      <c r="P103">
        <f t="shared" si="34"/>
        <v>-26837537.138399996</v>
      </c>
      <c r="Q103">
        <f t="shared" si="35"/>
        <v>-32359336.9342</v>
      </c>
      <c r="S103">
        <f t="shared" si="36"/>
        <v>4143390.9755000002</v>
      </c>
      <c r="T103">
        <f t="shared" si="37"/>
        <v>-26602976.380399998</v>
      </c>
      <c r="U103">
        <f t="shared" si="38"/>
        <v>-22802551.183199998</v>
      </c>
      <c r="V103">
        <f t="shared" si="39"/>
        <v>-29415777.2194</v>
      </c>
      <c r="W103">
        <f t="shared" si="40"/>
        <v>-39964593.347399995</v>
      </c>
      <c r="X103">
        <f t="shared" si="41"/>
        <v>-45905105.883400001</v>
      </c>
      <c r="Z103">
        <f t="shared" si="42"/>
        <v>4870598.3711999999</v>
      </c>
      <c r="AA103">
        <f t="shared" si="43"/>
        <v>-9965264.7653999981</v>
      </c>
      <c r="AB103">
        <f t="shared" si="44"/>
        <v>-27461136.908800002</v>
      </c>
      <c r="AC103">
        <f t="shared" si="45"/>
        <v>-40602058.6972</v>
      </c>
      <c r="AD103">
        <f t="shared" si="46"/>
        <v>-53091649.556399994</v>
      </c>
      <c r="AE103">
        <f t="shared" si="47"/>
        <v>-59450874.832599998</v>
      </c>
    </row>
    <row r="104" spans="1:31" x14ac:dyDescent="0.25">
      <c r="A104">
        <v>21.14832281</v>
      </c>
      <c r="B104">
        <v>115.2978816</v>
      </c>
      <c r="C104">
        <v>1.3305610400000001</v>
      </c>
      <c r="D104">
        <v>12.071661000000001</v>
      </c>
      <c r="E104" t="b">
        <f t="shared" si="24"/>
        <v>1</v>
      </c>
      <c r="F104">
        <f t="shared" si="25"/>
        <v>5.4188558000000002</v>
      </c>
      <c r="G104">
        <f t="shared" si="26"/>
        <v>-1.2339494000000002</v>
      </c>
      <c r="H104">
        <f t="shared" si="27"/>
        <v>-7.8867546000000015</v>
      </c>
      <c r="I104">
        <f t="shared" si="28"/>
        <v>-14.539559800000001</v>
      </c>
      <c r="J104">
        <f t="shared" si="29"/>
        <v>-21.192365000000002</v>
      </c>
      <c r="L104">
        <f t="shared" si="30"/>
        <v>2687733.3008000003</v>
      </c>
      <c r="M104">
        <f t="shared" si="31"/>
        <v>2288564.9888000004</v>
      </c>
      <c r="N104">
        <f t="shared" si="32"/>
        <v>-1826245.1120000002</v>
      </c>
      <c r="O104">
        <f t="shared" si="33"/>
        <v>-8833165.1520000026</v>
      </c>
      <c r="P104">
        <f t="shared" si="34"/>
        <v>-13376395.015999999</v>
      </c>
      <c r="Q104">
        <f t="shared" si="35"/>
        <v>-18225433.900000002</v>
      </c>
      <c r="S104">
        <f t="shared" si="36"/>
        <v>3259874.5480000004</v>
      </c>
      <c r="T104">
        <f t="shared" si="37"/>
        <v>-2677670.1980000003</v>
      </c>
      <c r="U104">
        <f t="shared" si="38"/>
        <v>-2295145.8840000001</v>
      </c>
      <c r="V104">
        <f t="shared" si="39"/>
        <v>-11199191.532000002</v>
      </c>
      <c r="W104">
        <f t="shared" si="40"/>
        <v>-19919196.926000003</v>
      </c>
      <c r="X104">
        <f t="shared" si="41"/>
        <v>-25854685.300000004</v>
      </c>
      <c r="Z104">
        <f t="shared" si="42"/>
        <v>3832015.7952000001</v>
      </c>
      <c r="AA104">
        <f t="shared" si="43"/>
        <v>3486069.9248000002</v>
      </c>
      <c r="AB104">
        <f t="shared" si="44"/>
        <v>-2764046.6560000004</v>
      </c>
      <c r="AC104">
        <f t="shared" si="45"/>
        <v>-15458039.016000003</v>
      </c>
      <c r="AD104">
        <f t="shared" si="46"/>
        <v>-26461998.836000003</v>
      </c>
      <c r="AE104">
        <f t="shared" si="47"/>
        <v>-33483936.700000007</v>
      </c>
    </row>
    <row r="105" spans="1:31" x14ac:dyDescent="0.25">
      <c r="A105">
        <v>21.152578049999999</v>
      </c>
      <c r="B105">
        <v>115.2506525</v>
      </c>
      <c r="C105">
        <v>1.29669905</v>
      </c>
      <c r="D105">
        <v>37.67435837</v>
      </c>
      <c r="E105" t="b">
        <f t="shared" si="24"/>
        <v>1</v>
      </c>
      <c r="F105">
        <f t="shared" si="25"/>
        <v>31.190863119999999</v>
      </c>
      <c r="G105">
        <f t="shared" si="26"/>
        <v>24.707367869999999</v>
      </c>
      <c r="H105">
        <f t="shared" si="27"/>
        <v>18.223872620000002</v>
      </c>
      <c r="I105">
        <f t="shared" si="28"/>
        <v>11.740377370000001</v>
      </c>
      <c r="J105">
        <f t="shared" si="29"/>
        <v>5.2568821200000002</v>
      </c>
      <c r="L105">
        <f t="shared" si="30"/>
        <v>2619332.0810000002</v>
      </c>
      <c r="M105">
        <f t="shared" si="31"/>
        <v>2230322.3660000004</v>
      </c>
      <c r="N105">
        <f t="shared" si="32"/>
        <v>1919114.594</v>
      </c>
      <c r="O105">
        <f t="shared" si="33"/>
        <v>1452302.9360000002</v>
      </c>
      <c r="P105">
        <f t="shared" si="34"/>
        <v>1192963.1259999999</v>
      </c>
      <c r="Q105">
        <f t="shared" si="35"/>
        <v>1115161.183</v>
      </c>
      <c r="S105">
        <f t="shared" si="36"/>
        <v>3176912.6725000003</v>
      </c>
      <c r="T105">
        <f t="shared" si="37"/>
        <v>2813836.9385000002</v>
      </c>
      <c r="U105">
        <f t="shared" si="38"/>
        <v>2411860.233</v>
      </c>
      <c r="V105">
        <f t="shared" si="39"/>
        <v>1841312.6510000001</v>
      </c>
      <c r="W105">
        <f t="shared" si="40"/>
        <v>1776477.6985000002</v>
      </c>
      <c r="X105">
        <f t="shared" si="41"/>
        <v>1581972.841</v>
      </c>
      <c r="Z105">
        <f t="shared" si="42"/>
        <v>3734493.264</v>
      </c>
      <c r="AA105">
        <f t="shared" si="43"/>
        <v>3397351.5110000004</v>
      </c>
      <c r="AB105">
        <f t="shared" si="44"/>
        <v>2904605.8720000004</v>
      </c>
      <c r="AC105">
        <f t="shared" si="45"/>
        <v>2541530.1380000003</v>
      </c>
      <c r="AD105">
        <f t="shared" si="46"/>
        <v>2359992.2710000002</v>
      </c>
      <c r="AE105">
        <f t="shared" si="47"/>
        <v>2048784.4990000001</v>
      </c>
    </row>
    <row r="106" spans="1:31" x14ac:dyDescent="0.25">
      <c r="A106">
        <v>21.15681176</v>
      </c>
      <c r="B106">
        <v>115.203419</v>
      </c>
      <c r="C106">
        <v>1.3427549599999999</v>
      </c>
      <c r="D106">
        <v>11.150982859999999</v>
      </c>
      <c r="E106" t="b">
        <f t="shared" si="24"/>
        <v>1</v>
      </c>
      <c r="F106">
        <f t="shared" si="25"/>
        <v>4.4372080599999997</v>
      </c>
      <c r="G106">
        <f t="shared" si="26"/>
        <v>-2.2765667399999998</v>
      </c>
      <c r="H106">
        <f t="shared" si="27"/>
        <v>-8.9903415399999993</v>
      </c>
      <c r="I106">
        <f t="shared" si="28"/>
        <v>-15.704116339999999</v>
      </c>
      <c r="J106">
        <f t="shared" si="29"/>
        <v>-22.417891140000002</v>
      </c>
      <c r="L106">
        <f t="shared" si="30"/>
        <v>2712365.0192</v>
      </c>
      <c r="M106">
        <f t="shared" si="31"/>
        <v>2309538.5312000001</v>
      </c>
      <c r="N106">
        <f t="shared" si="32"/>
        <v>-3369318.7751999996</v>
      </c>
      <c r="O106">
        <f t="shared" si="33"/>
        <v>-10069182.524800001</v>
      </c>
      <c r="P106">
        <f t="shared" si="34"/>
        <v>-14447787.032799996</v>
      </c>
      <c r="Q106">
        <f t="shared" si="35"/>
        <v>-19279386.380400002</v>
      </c>
      <c r="S106">
        <f t="shared" si="36"/>
        <v>3289749.6520000002</v>
      </c>
      <c r="T106">
        <f t="shared" si="37"/>
        <v>-4940149.8257999998</v>
      </c>
      <c r="U106">
        <f t="shared" si="38"/>
        <v>-4234414.1363999993</v>
      </c>
      <c r="V106">
        <f t="shared" si="39"/>
        <v>-12766284.986799998</v>
      </c>
      <c r="W106">
        <f t="shared" si="40"/>
        <v>-21514639.3858</v>
      </c>
      <c r="X106">
        <f t="shared" si="41"/>
        <v>-27349827.1908</v>
      </c>
      <c r="Z106">
        <f t="shared" si="42"/>
        <v>3867134.2847999996</v>
      </c>
      <c r="AA106">
        <f t="shared" si="43"/>
        <v>3518017.9952000002</v>
      </c>
      <c r="AB106">
        <f t="shared" si="44"/>
        <v>-5099509.4976000004</v>
      </c>
      <c r="AC106">
        <f t="shared" si="45"/>
        <v>-17621069.418399997</v>
      </c>
      <c r="AD106">
        <f t="shared" si="46"/>
        <v>-28581491.738799997</v>
      </c>
      <c r="AE106">
        <f t="shared" si="47"/>
        <v>-35420268.001200005</v>
      </c>
    </row>
    <row r="107" spans="1:31" x14ac:dyDescent="0.25">
      <c r="A107">
        <v>21.16102394</v>
      </c>
      <c r="B107">
        <v>115.1561811</v>
      </c>
      <c r="C107">
        <v>1.060794</v>
      </c>
      <c r="D107">
        <v>1.3026620099999999</v>
      </c>
      <c r="E107" t="b">
        <f t="shared" si="24"/>
        <v>1</v>
      </c>
      <c r="F107">
        <f t="shared" si="25"/>
        <v>-4.0013079899999999</v>
      </c>
      <c r="G107">
        <f t="shared" si="26"/>
        <v>-9.3052779899999987</v>
      </c>
      <c r="H107">
        <f t="shared" si="27"/>
        <v>-14.60924799</v>
      </c>
      <c r="I107">
        <f t="shared" si="28"/>
        <v>-19.91321799</v>
      </c>
      <c r="J107">
        <f t="shared" si="29"/>
        <v>-25.217187990000003</v>
      </c>
      <c r="L107">
        <f t="shared" si="30"/>
        <v>2142803.88</v>
      </c>
      <c r="M107">
        <f t="shared" si="31"/>
        <v>-6882249.7428000001</v>
      </c>
      <c r="N107">
        <f t="shared" si="32"/>
        <v>-13771811.425199997</v>
      </c>
      <c r="O107">
        <f t="shared" si="33"/>
        <v>-16362357.748800002</v>
      </c>
      <c r="P107">
        <f t="shared" si="34"/>
        <v>-18320160.550799996</v>
      </c>
      <c r="Q107">
        <f t="shared" si="35"/>
        <v>-21686781.671400003</v>
      </c>
      <c r="S107">
        <f t="shared" si="36"/>
        <v>2598945.3000000003</v>
      </c>
      <c r="T107">
        <f t="shared" si="37"/>
        <v>-20192453.238299996</v>
      </c>
      <c r="U107">
        <f t="shared" si="38"/>
        <v>-17307817.061399996</v>
      </c>
      <c r="V107">
        <f t="shared" si="39"/>
        <v>-20745132.145799998</v>
      </c>
      <c r="W107">
        <f t="shared" si="40"/>
        <v>-27281108.646299999</v>
      </c>
      <c r="X107">
        <f t="shared" si="41"/>
        <v>-30764969.347800002</v>
      </c>
      <c r="Z107">
        <f t="shared" si="42"/>
        <v>3055086.7199999997</v>
      </c>
      <c r="AA107">
        <f t="shared" si="43"/>
        <v>-10483426.933800001</v>
      </c>
      <c r="AB107">
        <f t="shared" si="44"/>
        <v>-20843822.6976</v>
      </c>
      <c r="AC107">
        <f t="shared" si="45"/>
        <v>-28634126.060400002</v>
      </c>
      <c r="AD107">
        <f t="shared" si="46"/>
        <v>-36242056.741799995</v>
      </c>
      <c r="AE107">
        <f t="shared" si="47"/>
        <v>-39843157.024200007</v>
      </c>
    </row>
    <row r="108" spans="1:31" x14ac:dyDescent="0.25">
      <c r="A108">
        <v>21.165214580000001</v>
      </c>
      <c r="B108">
        <v>115.1089389</v>
      </c>
      <c r="C108">
        <v>1.7065730100000001</v>
      </c>
      <c r="D108">
        <v>3.13422394</v>
      </c>
      <c r="E108" t="b">
        <f t="shared" si="24"/>
        <v>1</v>
      </c>
      <c r="F108">
        <f t="shared" si="25"/>
        <v>-5.3986411099999998</v>
      </c>
      <c r="G108">
        <f t="shared" si="26"/>
        <v>-13.93150616</v>
      </c>
      <c r="H108">
        <f t="shared" si="27"/>
        <v>-22.464371210000003</v>
      </c>
      <c r="I108">
        <f t="shared" si="28"/>
        <v>-30.997236260000001</v>
      </c>
      <c r="J108">
        <f t="shared" si="29"/>
        <v>-39.530101310000006</v>
      </c>
      <c r="L108">
        <f t="shared" si="30"/>
        <v>3447277.4802000001</v>
      </c>
      <c r="M108">
        <f t="shared" si="31"/>
        <v>-9285662.7092000004</v>
      </c>
      <c r="N108">
        <f t="shared" si="32"/>
        <v>-20618629.116799999</v>
      </c>
      <c r="O108">
        <f t="shared" si="33"/>
        <v>-25160095.755200006</v>
      </c>
      <c r="P108">
        <f t="shared" si="34"/>
        <v>-28517457.359200001</v>
      </c>
      <c r="Q108">
        <f t="shared" si="35"/>
        <v>-33995887.126600005</v>
      </c>
      <c r="S108">
        <f t="shared" si="36"/>
        <v>4181103.8745000004</v>
      </c>
      <c r="T108">
        <f t="shared" si="37"/>
        <v>-30231368.367199998</v>
      </c>
      <c r="U108">
        <f t="shared" si="38"/>
        <v>-25912601.457599998</v>
      </c>
      <c r="V108">
        <f t="shared" si="39"/>
        <v>-31899407.118200004</v>
      </c>
      <c r="W108">
        <f t="shared" si="40"/>
        <v>-42466213.676200002</v>
      </c>
      <c r="X108">
        <f t="shared" si="41"/>
        <v>-48226723.598200008</v>
      </c>
      <c r="Z108">
        <f t="shared" si="42"/>
        <v>4914930.2687999997</v>
      </c>
      <c r="AA108">
        <f t="shared" si="43"/>
        <v>-14144439.708199998</v>
      </c>
      <c r="AB108">
        <f t="shared" si="44"/>
        <v>-31206573.798400003</v>
      </c>
      <c r="AC108">
        <f t="shared" si="45"/>
        <v>-44030167.571600005</v>
      </c>
      <c r="AD108">
        <f t="shared" si="46"/>
        <v>-56414969.993200004</v>
      </c>
      <c r="AE108">
        <f t="shared" si="47"/>
        <v>-62457560.069800019</v>
      </c>
    </row>
    <row r="109" spans="1:31" x14ac:dyDescent="0.25">
      <c r="A109">
        <v>21.169383669999998</v>
      </c>
      <c r="B109">
        <v>115.0616922</v>
      </c>
      <c r="C109">
        <v>1.05698705</v>
      </c>
      <c r="D109">
        <v>11.16077709</v>
      </c>
      <c r="E109" t="b">
        <f t="shared" si="24"/>
        <v>1</v>
      </c>
      <c r="F109">
        <f t="shared" si="25"/>
        <v>5.8758418399999996</v>
      </c>
      <c r="G109">
        <f t="shared" si="26"/>
        <v>0.59090658999999945</v>
      </c>
      <c r="H109">
        <f t="shared" si="27"/>
        <v>-4.6940286600000007</v>
      </c>
      <c r="I109">
        <f t="shared" si="28"/>
        <v>-9.9789639100000009</v>
      </c>
      <c r="J109">
        <f t="shared" si="29"/>
        <v>-15.263899160000001</v>
      </c>
      <c r="L109">
        <f t="shared" si="30"/>
        <v>2135113.841</v>
      </c>
      <c r="M109">
        <f t="shared" si="31"/>
        <v>1818017.7260000003</v>
      </c>
      <c r="N109">
        <f t="shared" si="32"/>
        <v>874541.75319999922</v>
      </c>
      <c r="O109">
        <f t="shared" si="33"/>
        <v>-5257312.0992000019</v>
      </c>
      <c r="P109">
        <f t="shared" si="34"/>
        <v>-9180646.7971999999</v>
      </c>
      <c r="Q109">
        <f t="shared" si="35"/>
        <v>-13126953.277600002</v>
      </c>
      <c r="S109">
        <f t="shared" si="36"/>
        <v>2589618.2725000004</v>
      </c>
      <c r="T109">
        <f t="shared" si="37"/>
        <v>1282267.3002999988</v>
      </c>
      <c r="U109">
        <f t="shared" si="38"/>
        <v>1099086.2573999991</v>
      </c>
      <c r="V109">
        <f t="shared" si="39"/>
        <v>-6665520.6972000012</v>
      </c>
      <c r="W109">
        <f t="shared" si="40"/>
        <v>-13671180.556700001</v>
      </c>
      <c r="X109">
        <f t="shared" si="41"/>
        <v>-18621956.975200001</v>
      </c>
      <c r="Z109">
        <f t="shared" si="42"/>
        <v>3044122.7039999999</v>
      </c>
      <c r="AA109">
        <f t="shared" si="43"/>
        <v>2769306.0710000005</v>
      </c>
      <c r="AB109">
        <f t="shared" si="44"/>
        <v>1323630.7615999989</v>
      </c>
      <c r="AC109">
        <f t="shared" si="45"/>
        <v>-9200296.1736000013</v>
      </c>
      <c r="AD109">
        <f t="shared" si="46"/>
        <v>-18161714.316199999</v>
      </c>
      <c r="AE109">
        <f t="shared" si="47"/>
        <v>-24116960.672800004</v>
      </c>
    </row>
    <row r="110" spans="1:31" x14ac:dyDescent="0.25">
      <c r="A110">
        <v>21.196889259999999</v>
      </c>
      <c r="B110">
        <v>115.25517929999999</v>
      </c>
      <c r="C110">
        <v>1.25382602</v>
      </c>
      <c r="D110">
        <v>43.340446470000003</v>
      </c>
      <c r="E110" t="b">
        <f t="shared" si="24"/>
        <v>1</v>
      </c>
      <c r="F110">
        <f t="shared" si="25"/>
        <v>37.071316370000005</v>
      </c>
      <c r="G110">
        <f t="shared" si="26"/>
        <v>30.802186270000004</v>
      </c>
      <c r="H110">
        <f t="shared" si="27"/>
        <v>24.533056170000002</v>
      </c>
      <c r="I110">
        <f t="shared" si="28"/>
        <v>18.263926070000004</v>
      </c>
      <c r="J110">
        <f t="shared" si="29"/>
        <v>11.994795970000006</v>
      </c>
      <c r="L110">
        <f t="shared" si="30"/>
        <v>2532728.5603999998</v>
      </c>
      <c r="M110">
        <f t="shared" si="31"/>
        <v>2156580.7544000004</v>
      </c>
      <c r="N110">
        <f t="shared" si="32"/>
        <v>1855662.5096</v>
      </c>
      <c r="O110">
        <f t="shared" si="33"/>
        <v>1404285.1424000002</v>
      </c>
      <c r="P110">
        <f t="shared" si="34"/>
        <v>1153519.9383999999</v>
      </c>
      <c r="Q110">
        <f t="shared" si="35"/>
        <v>1078290.3772</v>
      </c>
      <c r="S110">
        <f t="shared" si="36"/>
        <v>3071873.7490000003</v>
      </c>
      <c r="T110">
        <f t="shared" si="37"/>
        <v>2720802.4633999998</v>
      </c>
      <c r="U110">
        <f t="shared" si="38"/>
        <v>2332116.3972</v>
      </c>
      <c r="V110">
        <f t="shared" si="39"/>
        <v>1780432.9483999999</v>
      </c>
      <c r="W110">
        <f t="shared" si="40"/>
        <v>1717741.6474000001</v>
      </c>
      <c r="X110">
        <f t="shared" si="41"/>
        <v>1529667.7444</v>
      </c>
      <c r="Z110">
        <f t="shared" si="42"/>
        <v>3611018.9375999998</v>
      </c>
      <c r="AA110">
        <f t="shared" si="43"/>
        <v>3285024.1724</v>
      </c>
      <c r="AB110">
        <f t="shared" si="44"/>
        <v>2808570.2848000005</v>
      </c>
      <c r="AC110">
        <f t="shared" si="45"/>
        <v>2457498.9992</v>
      </c>
      <c r="AD110">
        <f t="shared" si="46"/>
        <v>2281963.3563999999</v>
      </c>
      <c r="AE110">
        <f t="shared" si="47"/>
        <v>1981045.1116000002</v>
      </c>
    </row>
    <row r="111" spans="1:31" x14ac:dyDescent="0.25">
      <c r="A111">
        <v>21.22836088</v>
      </c>
      <c r="B111">
        <v>115.4015215</v>
      </c>
      <c r="C111">
        <v>1.1457630400000001</v>
      </c>
      <c r="D111">
        <v>0.61215299000000001</v>
      </c>
      <c r="E111" t="b">
        <f t="shared" si="24"/>
        <v>0</v>
      </c>
      <c r="F111">
        <f t="shared" si="25"/>
        <v>-5.1166622100000003</v>
      </c>
      <c r="G111">
        <f t="shared" si="26"/>
        <v>-10.845477410000001</v>
      </c>
      <c r="H111">
        <f t="shared" si="27"/>
        <v>-16.574292610000004</v>
      </c>
      <c r="I111">
        <f t="shared" si="28"/>
        <v>-22.303107810000004</v>
      </c>
      <c r="J111">
        <f t="shared" si="29"/>
        <v>-28.031923010000003</v>
      </c>
      <c r="L111">
        <f t="shared" si="30"/>
        <v>1236549.0397999999</v>
      </c>
      <c r="M111">
        <f t="shared" si="31"/>
        <v>-8800659.0012000017</v>
      </c>
      <c r="N111">
        <f t="shared" si="32"/>
        <v>-16051306.5668</v>
      </c>
      <c r="O111">
        <f t="shared" si="33"/>
        <v>-18563207.723200008</v>
      </c>
      <c r="P111">
        <f t="shared" si="34"/>
        <v>-20518859.185200002</v>
      </c>
      <c r="Q111">
        <f t="shared" si="35"/>
        <v>-24107453.788600001</v>
      </c>
      <c r="S111">
        <f t="shared" si="36"/>
        <v>1499774.8255</v>
      </c>
      <c r="T111">
        <f t="shared" si="37"/>
        <v>-23534685.979699999</v>
      </c>
      <c r="U111">
        <f t="shared" si="38"/>
        <v>-20172587.9826</v>
      </c>
      <c r="V111">
        <f t="shared" si="39"/>
        <v>-23535495.506200004</v>
      </c>
      <c r="W111">
        <f t="shared" si="40"/>
        <v>-30555257.699700005</v>
      </c>
      <c r="X111">
        <f t="shared" si="41"/>
        <v>-34198946.0722</v>
      </c>
      <c r="Z111">
        <f t="shared" si="42"/>
        <v>1763000.6111999999</v>
      </c>
      <c r="AA111">
        <f t="shared" si="43"/>
        <v>-13405654.9902</v>
      </c>
      <c r="AB111">
        <f t="shared" si="44"/>
        <v>-24293869.398400001</v>
      </c>
      <c r="AC111">
        <f t="shared" si="45"/>
        <v>-32485613.515600011</v>
      </c>
      <c r="AD111">
        <f t="shared" si="46"/>
        <v>-40591656.214200005</v>
      </c>
      <c r="AE111">
        <f t="shared" si="47"/>
        <v>-44290438.355800003</v>
      </c>
    </row>
    <row r="112" spans="1:31" x14ac:dyDescent="0.25">
      <c r="A112">
        <v>21.23694747</v>
      </c>
      <c r="B112">
        <v>115.30698529999999</v>
      </c>
      <c r="C112">
        <v>2.2340700600000001</v>
      </c>
      <c r="D112">
        <v>7.3458380700000001</v>
      </c>
      <c r="E112" t="b">
        <f t="shared" si="24"/>
        <v>1</v>
      </c>
      <c r="F112">
        <f t="shared" si="25"/>
        <v>-3.8245122300000007</v>
      </c>
      <c r="G112">
        <f t="shared" si="26"/>
        <v>-14.994862530000002</v>
      </c>
      <c r="H112">
        <f t="shared" si="27"/>
        <v>-26.165212830000002</v>
      </c>
      <c r="I112">
        <f t="shared" si="28"/>
        <v>-37.335563130000004</v>
      </c>
      <c r="J112">
        <f t="shared" si="29"/>
        <v>-48.50591343</v>
      </c>
      <c r="L112">
        <f t="shared" si="30"/>
        <v>4512821.5212000003</v>
      </c>
      <c r="M112">
        <f t="shared" si="31"/>
        <v>-6578161.0356000019</v>
      </c>
      <c r="N112">
        <f t="shared" si="32"/>
        <v>-22192396.544400003</v>
      </c>
      <c r="O112">
        <f t="shared" si="33"/>
        <v>-29305038.369600005</v>
      </c>
      <c r="P112">
        <f t="shared" si="34"/>
        <v>-34348718.079599999</v>
      </c>
      <c r="Q112">
        <f t="shared" si="35"/>
        <v>-41715085.549800001</v>
      </c>
      <c r="S112">
        <f t="shared" si="36"/>
        <v>5473471.6470000008</v>
      </c>
      <c r="T112">
        <f t="shared" si="37"/>
        <v>-32538851.690100007</v>
      </c>
      <c r="U112">
        <f t="shared" si="38"/>
        <v>-27890444.305800002</v>
      </c>
      <c r="V112">
        <f t="shared" si="39"/>
        <v>-37154602.218599997</v>
      </c>
      <c r="W112">
        <f t="shared" si="40"/>
        <v>-51149721.488100007</v>
      </c>
      <c r="X112">
        <f t="shared" si="41"/>
        <v>-59177214.384599999</v>
      </c>
      <c r="Z112">
        <f t="shared" si="42"/>
        <v>6434121.7728000004</v>
      </c>
      <c r="AA112">
        <f t="shared" si="43"/>
        <v>-10020222.042600002</v>
      </c>
      <c r="AB112">
        <f t="shared" si="44"/>
        <v>-33588492.067200013</v>
      </c>
      <c r="AC112">
        <f t="shared" si="45"/>
        <v>-51283817.146800004</v>
      </c>
      <c r="AD112">
        <f t="shared" si="46"/>
        <v>-67950724.896600008</v>
      </c>
      <c r="AE112">
        <f t="shared" si="47"/>
        <v>-76639343.219400004</v>
      </c>
    </row>
    <row r="113" spans="1:31" x14ac:dyDescent="0.25">
      <c r="A113">
        <v>21.24120843</v>
      </c>
      <c r="B113">
        <v>115.25971060000001</v>
      </c>
      <c r="C113">
        <v>1.16032004</v>
      </c>
      <c r="D113">
        <v>1.9613389999999999</v>
      </c>
      <c r="E113" t="b">
        <f t="shared" si="24"/>
        <v>1</v>
      </c>
      <c r="F113">
        <f t="shared" si="25"/>
        <v>-3.8402612000000005</v>
      </c>
      <c r="G113">
        <f t="shared" si="26"/>
        <v>-9.6418613999999998</v>
      </c>
      <c r="H113">
        <f t="shared" si="27"/>
        <v>-15.443461600000001</v>
      </c>
      <c r="I113">
        <f t="shared" si="28"/>
        <v>-21.245061800000002</v>
      </c>
      <c r="J113">
        <f t="shared" si="29"/>
        <v>-27.046662000000001</v>
      </c>
      <c r="L113">
        <f t="shared" si="30"/>
        <v>2343846.4808</v>
      </c>
      <c r="M113">
        <f t="shared" si="31"/>
        <v>-6605249.2640000023</v>
      </c>
      <c r="N113">
        <f t="shared" si="32"/>
        <v>-14269954.872</v>
      </c>
      <c r="O113">
        <f t="shared" si="33"/>
        <v>-17296676.992000002</v>
      </c>
      <c r="P113">
        <f t="shared" si="34"/>
        <v>-19545456.855999999</v>
      </c>
      <c r="Q113">
        <f t="shared" si="35"/>
        <v>-23260129.32</v>
      </c>
      <c r="S113">
        <f t="shared" si="36"/>
        <v>2842784.0980000002</v>
      </c>
      <c r="T113">
        <f t="shared" si="37"/>
        <v>-20922839.238000002</v>
      </c>
      <c r="U113">
        <f t="shared" si="38"/>
        <v>-17933862.204</v>
      </c>
      <c r="V113">
        <f t="shared" si="39"/>
        <v>-21929715.472000003</v>
      </c>
      <c r="W113">
        <f t="shared" si="40"/>
        <v>-29105734.666000005</v>
      </c>
      <c r="X113">
        <f t="shared" si="41"/>
        <v>-32996927.640000001</v>
      </c>
      <c r="Z113">
        <f t="shared" si="42"/>
        <v>3341721.7152</v>
      </c>
      <c r="AA113">
        <f t="shared" si="43"/>
        <v>-10061484.344000002</v>
      </c>
      <c r="AB113">
        <f t="shared" si="44"/>
        <v>-21597769.536000002</v>
      </c>
      <c r="AC113">
        <f t="shared" si="45"/>
        <v>-30269184.736000001</v>
      </c>
      <c r="AD113">
        <f t="shared" si="46"/>
        <v>-38666012.476000004</v>
      </c>
      <c r="AE113">
        <f t="shared" si="47"/>
        <v>-42733725.960000001</v>
      </c>
    </row>
    <row r="114" spans="1:31" x14ac:dyDescent="0.25">
      <c r="A114">
        <v>21.262189790000001</v>
      </c>
      <c r="B114">
        <v>115.0232707</v>
      </c>
      <c r="C114">
        <v>1.05698705</v>
      </c>
      <c r="D114">
        <v>11.50848103</v>
      </c>
      <c r="E114" t="b">
        <f t="shared" si="24"/>
        <v>1</v>
      </c>
      <c r="F114">
        <f t="shared" si="25"/>
        <v>6.2235457800000002</v>
      </c>
      <c r="G114">
        <f t="shared" si="26"/>
        <v>0.93861053000000005</v>
      </c>
      <c r="H114">
        <f t="shared" si="27"/>
        <v>-4.3463247200000001</v>
      </c>
      <c r="I114">
        <f t="shared" si="28"/>
        <v>-9.6312599700000003</v>
      </c>
      <c r="J114">
        <f t="shared" si="29"/>
        <v>-14.916195220000001</v>
      </c>
      <c r="L114">
        <f t="shared" si="30"/>
        <v>2135113.841</v>
      </c>
      <c r="M114">
        <f t="shared" si="31"/>
        <v>1818017.7260000003</v>
      </c>
      <c r="N114">
        <f t="shared" si="32"/>
        <v>1389143.5844000001</v>
      </c>
      <c r="O114">
        <f t="shared" si="33"/>
        <v>-4867883.6864</v>
      </c>
      <c r="P114">
        <f t="shared" si="34"/>
        <v>-8860759.1723999996</v>
      </c>
      <c r="Q114">
        <f t="shared" si="35"/>
        <v>-12827927.8892</v>
      </c>
      <c r="S114">
        <f t="shared" si="36"/>
        <v>2589618.2725000004</v>
      </c>
      <c r="T114">
        <f t="shared" si="37"/>
        <v>2036784.8500999999</v>
      </c>
      <c r="U114">
        <f t="shared" si="38"/>
        <v>1745815.5858</v>
      </c>
      <c r="V114">
        <f t="shared" si="39"/>
        <v>-6171781.1023999993</v>
      </c>
      <c r="W114">
        <f t="shared" si="40"/>
        <v>-13194826.158900002</v>
      </c>
      <c r="X114">
        <f t="shared" si="41"/>
        <v>-18197758.168400001</v>
      </c>
      <c r="Z114">
        <f t="shared" si="42"/>
        <v>3044122.7039999999</v>
      </c>
      <c r="AA114">
        <f t="shared" si="43"/>
        <v>2769306.0710000005</v>
      </c>
      <c r="AB114">
        <f t="shared" si="44"/>
        <v>2102487.5872000004</v>
      </c>
      <c r="AC114">
        <f t="shared" si="45"/>
        <v>-8518796.4511999991</v>
      </c>
      <c r="AD114">
        <f t="shared" si="46"/>
        <v>-17528893.145400003</v>
      </c>
      <c r="AE114">
        <f t="shared" si="47"/>
        <v>-23567588.447600003</v>
      </c>
    </row>
    <row r="115" spans="1:31" x14ac:dyDescent="0.25">
      <c r="A115">
        <v>21.264000759999998</v>
      </c>
      <c r="B115">
        <v>115.5006897</v>
      </c>
      <c r="C115">
        <v>0.91557401000000005</v>
      </c>
      <c r="D115">
        <v>0.48972300000000002</v>
      </c>
      <c r="E115" t="b">
        <f t="shared" si="24"/>
        <v>0</v>
      </c>
      <c r="F115">
        <f t="shared" si="25"/>
        <v>-4.0881470500000008</v>
      </c>
      <c r="G115">
        <f t="shared" si="26"/>
        <v>-8.6660171000000012</v>
      </c>
      <c r="H115">
        <f t="shared" si="27"/>
        <v>-13.243887150000001</v>
      </c>
      <c r="I115">
        <f t="shared" si="28"/>
        <v>-17.8217572</v>
      </c>
      <c r="J115">
        <f t="shared" si="29"/>
        <v>-22.399627249999998</v>
      </c>
      <c r="L115">
        <f t="shared" si="30"/>
        <v>989240.46</v>
      </c>
      <c r="M115">
        <f t="shared" si="31"/>
        <v>-7031612.9260000018</v>
      </c>
      <c r="N115">
        <f t="shared" si="32"/>
        <v>-12825705.308000002</v>
      </c>
      <c r="O115">
        <f t="shared" si="33"/>
        <v>-14833153.608000001</v>
      </c>
      <c r="P115">
        <f t="shared" si="34"/>
        <v>-16396016.623999998</v>
      </c>
      <c r="Q115">
        <f t="shared" si="35"/>
        <v>-19263679.434999999</v>
      </c>
      <c r="S115">
        <f t="shared" si="36"/>
        <v>1199821.3500000001</v>
      </c>
      <c r="T115">
        <f t="shared" si="37"/>
        <v>-18805257.107000001</v>
      </c>
      <c r="U115">
        <f t="shared" si="38"/>
        <v>-16118791.806000002</v>
      </c>
      <c r="V115">
        <f t="shared" si="39"/>
        <v>-18806319.752999999</v>
      </c>
      <c r="W115">
        <f t="shared" si="40"/>
        <v>-24415807.364</v>
      </c>
      <c r="X115">
        <f t="shared" si="41"/>
        <v>-27327545.245000001</v>
      </c>
      <c r="Z115">
        <f t="shared" si="42"/>
        <v>1410402.24</v>
      </c>
      <c r="AA115">
        <f t="shared" si="43"/>
        <v>-10710945.271000002</v>
      </c>
      <c r="AB115">
        <f t="shared" si="44"/>
        <v>-19411878.304000005</v>
      </c>
      <c r="AC115">
        <f t="shared" si="45"/>
        <v>-25958018.813999999</v>
      </c>
      <c r="AD115">
        <f t="shared" si="46"/>
        <v>-32435598.103999998</v>
      </c>
      <c r="AE115">
        <f t="shared" si="47"/>
        <v>-35391411.055</v>
      </c>
    </row>
    <row r="116" spans="1:31" x14ac:dyDescent="0.25">
      <c r="A116">
        <v>21.266321340000001</v>
      </c>
      <c r="B116">
        <v>114.97596969999999</v>
      </c>
      <c r="C116">
        <v>1.2528669800000001</v>
      </c>
      <c r="D116">
        <v>61.88134384</v>
      </c>
      <c r="E116" t="b">
        <f t="shared" si="24"/>
        <v>1</v>
      </c>
      <c r="F116">
        <f t="shared" si="25"/>
        <v>55.617008939999998</v>
      </c>
      <c r="G116">
        <f t="shared" si="26"/>
        <v>49.352674039999997</v>
      </c>
      <c r="H116">
        <f t="shared" si="27"/>
        <v>43.088339140000002</v>
      </c>
      <c r="I116">
        <f t="shared" si="28"/>
        <v>36.824004239999994</v>
      </c>
      <c r="J116">
        <f t="shared" si="29"/>
        <v>30.559669339999999</v>
      </c>
      <c r="L116">
        <f t="shared" si="30"/>
        <v>2530791.2996</v>
      </c>
      <c r="M116">
        <f t="shared" si="31"/>
        <v>2154931.2056</v>
      </c>
      <c r="N116">
        <f t="shared" si="32"/>
        <v>1854243.1303999999</v>
      </c>
      <c r="O116">
        <f t="shared" si="33"/>
        <v>1403211.0176000001</v>
      </c>
      <c r="P116">
        <f t="shared" si="34"/>
        <v>1152637.6216</v>
      </c>
      <c r="Q116">
        <f t="shared" si="35"/>
        <v>1077465.6028</v>
      </c>
      <c r="S116">
        <f t="shared" si="36"/>
        <v>3069524.1010000003</v>
      </c>
      <c r="T116">
        <f t="shared" si="37"/>
        <v>2718721.3465999998</v>
      </c>
      <c r="U116">
        <f t="shared" si="38"/>
        <v>2330332.5828</v>
      </c>
      <c r="V116">
        <f t="shared" si="39"/>
        <v>1779071.1115999999</v>
      </c>
      <c r="W116">
        <f t="shared" si="40"/>
        <v>1716427.7626</v>
      </c>
      <c r="X116">
        <f t="shared" si="41"/>
        <v>1528497.7156</v>
      </c>
      <c r="Z116">
        <f t="shared" si="42"/>
        <v>3608256.9024</v>
      </c>
      <c r="AA116">
        <f t="shared" si="43"/>
        <v>3282511.4876000001</v>
      </c>
      <c r="AB116">
        <f t="shared" si="44"/>
        <v>2806422.0352000003</v>
      </c>
      <c r="AC116">
        <f t="shared" si="45"/>
        <v>2455619.2807999998</v>
      </c>
      <c r="AD116">
        <f t="shared" si="46"/>
        <v>2280217.9035999998</v>
      </c>
      <c r="AE116">
        <f t="shared" si="47"/>
        <v>1979529.8284</v>
      </c>
    </row>
    <row r="117" spans="1:31" x14ac:dyDescent="0.25">
      <c r="A117">
        <v>21.28127173</v>
      </c>
      <c r="B117">
        <v>115.3115439</v>
      </c>
      <c r="C117">
        <v>0.60637998999999998</v>
      </c>
      <c r="D117">
        <v>0.73458396999999998</v>
      </c>
      <c r="E117" t="b">
        <f t="shared" si="24"/>
        <v>1</v>
      </c>
      <c r="F117">
        <f t="shared" si="25"/>
        <v>-2.2973159799999996</v>
      </c>
      <c r="G117">
        <f t="shared" si="26"/>
        <v>-5.3292159299999993</v>
      </c>
      <c r="H117">
        <f t="shared" si="27"/>
        <v>-8.3611158799999998</v>
      </c>
      <c r="I117">
        <f t="shared" si="28"/>
        <v>-11.39301583</v>
      </c>
      <c r="J117">
        <f t="shared" si="29"/>
        <v>-14.424915780000001</v>
      </c>
      <c r="L117">
        <f t="shared" si="30"/>
        <v>1224887.5797999999</v>
      </c>
      <c r="M117">
        <f t="shared" si="31"/>
        <v>-3951383.4855999998</v>
      </c>
      <c r="N117">
        <f t="shared" si="32"/>
        <v>-7887239.5763999997</v>
      </c>
      <c r="O117">
        <f t="shared" si="33"/>
        <v>-9364449.785600001</v>
      </c>
      <c r="P117">
        <f t="shared" si="34"/>
        <v>-10481574.5636</v>
      </c>
      <c r="Q117">
        <f t="shared" si="35"/>
        <v>-12405427.570800001</v>
      </c>
      <c r="S117">
        <f t="shared" si="36"/>
        <v>1485630.9755000002</v>
      </c>
      <c r="T117">
        <f t="shared" si="37"/>
        <v>-11564398.5681</v>
      </c>
      <c r="U117">
        <f t="shared" si="38"/>
        <v>-9912341.6297999993</v>
      </c>
      <c r="V117">
        <f t="shared" si="39"/>
        <v>-11872784.5496</v>
      </c>
      <c r="W117">
        <f t="shared" si="40"/>
        <v>-15608431.687100001</v>
      </c>
      <c r="X117">
        <f t="shared" si="41"/>
        <v>-17598397.251600001</v>
      </c>
      <c r="Z117">
        <f t="shared" si="42"/>
        <v>1746374.3711999999</v>
      </c>
      <c r="AA117">
        <f t="shared" si="43"/>
        <v>-6018967.8675999986</v>
      </c>
      <c r="AB117">
        <f t="shared" si="44"/>
        <v>-11937443.6832</v>
      </c>
      <c r="AC117">
        <f t="shared" si="45"/>
        <v>-16387787.1248</v>
      </c>
      <c r="AD117">
        <f t="shared" si="46"/>
        <v>-20735288.810600001</v>
      </c>
      <c r="AE117">
        <f t="shared" si="47"/>
        <v>-22791366.932400003</v>
      </c>
    </row>
    <row r="118" spans="1:31" x14ac:dyDescent="0.25">
      <c r="A118">
        <v>21.298197590000001</v>
      </c>
      <c r="B118">
        <v>115.1223268</v>
      </c>
      <c r="C118">
        <v>1.89791906</v>
      </c>
      <c r="D118">
        <v>8.0045146900000006</v>
      </c>
      <c r="E118" t="b">
        <f t="shared" si="24"/>
        <v>1</v>
      </c>
      <c r="F118">
        <f t="shared" si="25"/>
        <v>-1.4850806099999989</v>
      </c>
      <c r="G118">
        <f t="shared" si="26"/>
        <v>-10.974675909999998</v>
      </c>
      <c r="H118">
        <f t="shared" si="27"/>
        <v>-20.46427121</v>
      </c>
      <c r="I118">
        <f t="shared" si="28"/>
        <v>-29.953866509999997</v>
      </c>
      <c r="J118">
        <f t="shared" si="29"/>
        <v>-39.443461810000002</v>
      </c>
      <c r="L118">
        <f t="shared" si="30"/>
        <v>3833796.5012000003</v>
      </c>
      <c r="M118">
        <f t="shared" si="31"/>
        <v>-2554338.6491999985</v>
      </c>
      <c r="N118">
        <f t="shared" si="32"/>
        <v>-16242520.346799998</v>
      </c>
      <c r="O118">
        <f t="shared" si="33"/>
        <v>-22919983.755200002</v>
      </c>
      <c r="P118">
        <f t="shared" si="34"/>
        <v>-27557557.189199995</v>
      </c>
      <c r="Q118">
        <f t="shared" si="35"/>
        <v>-33921377.156599998</v>
      </c>
      <c r="S118">
        <f t="shared" si="36"/>
        <v>4649901.6970000006</v>
      </c>
      <c r="T118">
        <f t="shared" si="37"/>
        <v>-23815046.724699996</v>
      </c>
      <c r="U118">
        <f t="shared" si="38"/>
        <v>-20412897.192599997</v>
      </c>
      <c r="V118">
        <f t="shared" si="39"/>
        <v>-29059265.1182</v>
      </c>
      <c r="W118">
        <f t="shared" si="40"/>
        <v>-41036797.118699998</v>
      </c>
      <c r="X118">
        <f t="shared" si="41"/>
        <v>-48121023.408200003</v>
      </c>
      <c r="Z118">
        <f t="shared" si="42"/>
        <v>5466006.8927999996</v>
      </c>
      <c r="AA118">
        <f t="shared" si="43"/>
        <v>-3890911.1981999972</v>
      </c>
      <c r="AB118">
        <f t="shared" si="44"/>
        <v>-24583274.038399998</v>
      </c>
      <c r="AC118">
        <f t="shared" si="45"/>
        <v>-40109971.571599998</v>
      </c>
      <c r="AD118">
        <f t="shared" si="46"/>
        <v>-54516037.048199996</v>
      </c>
      <c r="AE118">
        <f t="shared" si="47"/>
        <v>-62320669.659800008</v>
      </c>
    </row>
    <row r="119" spans="1:31" x14ac:dyDescent="0.25">
      <c r="A119">
        <v>21.302375099999999</v>
      </c>
      <c r="B119">
        <v>115.0750115</v>
      </c>
      <c r="C119">
        <v>1.88256001</v>
      </c>
      <c r="D119">
        <v>0.97944498000000002</v>
      </c>
      <c r="E119" t="b">
        <f t="shared" si="24"/>
        <v>0</v>
      </c>
      <c r="F119">
        <f t="shared" si="25"/>
        <v>-8.4333550699999993</v>
      </c>
      <c r="G119">
        <f t="shared" si="26"/>
        <v>-17.846155119999999</v>
      </c>
      <c r="H119">
        <f t="shared" si="27"/>
        <v>-27.25895517</v>
      </c>
      <c r="I119">
        <f t="shared" si="28"/>
        <v>-36.671755220000001</v>
      </c>
      <c r="J119">
        <f t="shared" si="29"/>
        <v>-46.084555270000003</v>
      </c>
      <c r="L119">
        <f t="shared" si="30"/>
        <v>1978478.8596000001</v>
      </c>
      <c r="M119">
        <f t="shared" si="31"/>
        <v>-14505370.720399998</v>
      </c>
      <c r="N119">
        <f t="shared" si="32"/>
        <v>-26412309.577599995</v>
      </c>
      <c r="O119">
        <f t="shared" si="33"/>
        <v>-30530029.790400006</v>
      </c>
      <c r="P119">
        <f t="shared" si="34"/>
        <v>-33738014.802399993</v>
      </c>
      <c r="Q119">
        <f t="shared" si="35"/>
        <v>-39632717.532200001</v>
      </c>
      <c r="S119">
        <f t="shared" si="36"/>
        <v>2399640.2010000004</v>
      </c>
      <c r="T119">
        <f t="shared" si="37"/>
        <v>-38726156.610399991</v>
      </c>
      <c r="U119">
        <f t="shared" si="38"/>
        <v>-33193848.523199994</v>
      </c>
      <c r="V119">
        <f t="shared" si="39"/>
        <v>-38707716.341399997</v>
      </c>
      <c r="W119">
        <f t="shared" si="40"/>
        <v>-50240304.6514</v>
      </c>
      <c r="X119">
        <f t="shared" si="41"/>
        <v>-56223157.429400004</v>
      </c>
      <c r="Z119">
        <f t="shared" si="42"/>
        <v>2820801.5423999997</v>
      </c>
      <c r="AA119">
        <f t="shared" si="43"/>
        <v>-22095390.283399995</v>
      </c>
      <c r="AB119">
        <f t="shared" si="44"/>
        <v>-39975387.468800001</v>
      </c>
      <c r="AC119">
        <f t="shared" si="45"/>
        <v>-53427552.133200005</v>
      </c>
      <c r="AD119">
        <f t="shared" si="46"/>
        <v>-66742594.500399999</v>
      </c>
      <c r="AE119">
        <f t="shared" si="47"/>
        <v>-72813597.326600015</v>
      </c>
    </row>
    <row r="120" spans="1:31" x14ac:dyDescent="0.25">
      <c r="A120">
        <v>21.308321360000001</v>
      </c>
      <c r="B120">
        <v>115.5053442</v>
      </c>
      <c r="C120">
        <v>0.42741900999999999</v>
      </c>
      <c r="D120">
        <v>3.6729190300000001</v>
      </c>
      <c r="E120" t="b">
        <f t="shared" si="24"/>
        <v>1</v>
      </c>
      <c r="F120">
        <f t="shared" si="25"/>
        <v>1.53582398</v>
      </c>
      <c r="G120">
        <f t="shared" si="26"/>
        <v>-0.60127107000000013</v>
      </c>
      <c r="H120">
        <f t="shared" si="27"/>
        <v>-2.7383661199999993</v>
      </c>
      <c r="I120">
        <f t="shared" si="28"/>
        <v>-4.8754611700000003</v>
      </c>
      <c r="J120">
        <f t="shared" si="29"/>
        <v>-7.0125562199999996</v>
      </c>
      <c r="L120">
        <f t="shared" si="30"/>
        <v>863386.40020000003</v>
      </c>
      <c r="M120">
        <f t="shared" si="31"/>
        <v>735160.69720000005</v>
      </c>
      <c r="N120">
        <f t="shared" si="32"/>
        <v>-889881.18360000022</v>
      </c>
      <c r="O120">
        <f t="shared" si="33"/>
        <v>-3066970.0543999993</v>
      </c>
      <c r="P120">
        <f t="shared" si="34"/>
        <v>-4485424.2763999999</v>
      </c>
      <c r="Q120">
        <f t="shared" si="35"/>
        <v>-6030798.3492000001</v>
      </c>
      <c r="S120">
        <f t="shared" si="36"/>
        <v>1047176.5745000001</v>
      </c>
      <c r="T120">
        <f t="shared" si="37"/>
        <v>-1304758.2219000002</v>
      </c>
      <c r="U120">
        <f t="shared" si="38"/>
        <v>-1118364.1902000003</v>
      </c>
      <c r="V120">
        <f t="shared" si="39"/>
        <v>-3888479.8903999985</v>
      </c>
      <c r="W120">
        <f t="shared" si="40"/>
        <v>-6679381.8029000005</v>
      </c>
      <c r="X120">
        <f t="shared" si="41"/>
        <v>-8555318.5883999988</v>
      </c>
      <c r="Z120">
        <f t="shared" si="42"/>
        <v>1230966.7487999999</v>
      </c>
      <c r="AA120">
        <f t="shared" si="43"/>
        <v>1119837.8062</v>
      </c>
      <c r="AB120">
        <f t="shared" si="44"/>
        <v>-1346847.1968000005</v>
      </c>
      <c r="AC120">
        <f t="shared" si="45"/>
        <v>-5367197.5951999985</v>
      </c>
      <c r="AD120">
        <f t="shared" si="46"/>
        <v>-8873339.3294000011</v>
      </c>
      <c r="AE120">
        <f t="shared" si="47"/>
        <v>-11079838.8276</v>
      </c>
    </row>
    <row r="121" spans="1:31" x14ac:dyDescent="0.25">
      <c r="A121">
        <v>21.312674359999999</v>
      </c>
      <c r="B121">
        <v>115.4580416</v>
      </c>
      <c r="C121">
        <v>1.05698705</v>
      </c>
      <c r="D121">
        <v>0.58766699</v>
      </c>
      <c r="E121" t="b">
        <f t="shared" si="24"/>
        <v>0</v>
      </c>
      <c r="F121">
        <f t="shared" si="25"/>
        <v>-4.6972682600000004</v>
      </c>
      <c r="G121">
        <f t="shared" si="26"/>
        <v>-9.9822035099999997</v>
      </c>
      <c r="H121">
        <f t="shared" si="27"/>
        <v>-15.26713876</v>
      </c>
      <c r="I121">
        <f t="shared" si="28"/>
        <v>-20.552074010000002</v>
      </c>
      <c r="J121">
        <f t="shared" si="29"/>
        <v>-25.837009260000002</v>
      </c>
      <c r="L121">
        <f t="shared" si="30"/>
        <v>1187087.3197999999</v>
      </c>
      <c r="M121">
        <f t="shared" si="31"/>
        <v>-8079301.4072000021</v>
      </c>
      <c r="N121">
        <f t="shared" si="32"/>
        <v>-14773661.194799999</v>
      </c>
      <c r="O121">
        <f t="shared" si="33"/>
        <v>-17099195.411200002</v>
      </c>
      <c r="P121">
        <f t="shared" si="34"/>
        <v>-18907908.089200001</v>
      </c>
      <c r="Q121">
        <f t="shared" si="35"/>
        <v>-22219827.963600002</v>
      </c>
      <c r="S121">
        <f t="shared" si="36"/>
        <v>1439784.1255000001</v>
      </c>
      <c r="T121">
        <f t="shared" si="37"/>
        <v>-21661381.616699997</v>
      </c>
      <c r="U121">
        <f t="shared" si="38"/>
        <v>-18566898.5286</v>
      </c>
      <c r="V121">
        <f t="shared" si="39"/>
        <v>-21679337.039199997</v>
      </c>
      <c r="W121">
        <f t="shared" si="40"/>
        <v>-28156341.393700004</v>
      </c>
      <c r="X121">
        <f t="shared" si="41"/>
        <v>-31521151.297200002</v>
      </c>
      <c r="Z121">
        <f t="shared" si="42"/>
        <v>1692480.9312</v>
      </c>
      <c r="AA121">
        <f t="shared" si="43"/>
        <v>-12306842.841200002</v>
      </c>
      <c r="AB121">
        <f t="shared" si="44"/>
        <v>-22360135.862400003</v>
      </c>
      <c r="AC121">
        <f t="shared" si="45"/>
        <v>-29923591.969599999</v>
      </c>
      <c r="AD121">
        <f t="shared" si="46"/>
        <v>-37404774.698200002</v>
      </c>
      <c r="AE121">
        <f t="shared" si="47"/>
        <v>-40822474.630800001</v>
      </c>
    </row>
    <row r="122" spans="1:31" x14ac:dyDescent="0.25">
      <c r="A122">
        <v>21.331012919999999</v>
      </c>
      <c r="B122">
        <v>114.74368440000001</v>
      </c>
      <c r="C122">
        <v>0.95891702000000001</v>
      </c>
      <c r="D122">
        <v>18.320520399999999</v>
      </c>
      <c r="E122" t="b">
        <f t="shared" si="24"/>
        <v>1</v>
      </c>
      <c r="F122">
        <f t="shared" si="25"/>
        <v>13.5259353</v>
      </c>
      <c r="G122">
        <f t="shared" si="26"/>
        <v>8.7313501999999996</v>
      </c>
      <c r="H122">
        <f t="shared" si="27"/>
        <v>3.9367650999999988</v>
      </c>
      <c r="I122">
        <f t="shared" si="28"/>
        <v>-0.85782000000000025</v>
      </c>
      <c r="J122">
        <f t="shared" si="29"/>
        <v>-5.6524050999999993</v>
      </c>
      <c r="L122">
        <f t="shared" si="30"/>
        <v>1937012.3804000001</v>
      </c>
      <c r="M122">
        <f t="shared" si="31"/>
        <v>1649337.2744000002</v>
      </c>
      <c r="N122">
        <f t="shared" si="32"/>
        <v>1419197.1895999999</v>
      </c>
      <c r="O122">
        <f t="shared" si="33"/>
        <v>1073987.0624000002</v>
      </c>
      <c r="P122">
        <f t="shared" si="34"/>
        <v>-789194.40000000014</v>
      </c>
      <c r="Q122">
        <f t="shared" si="35"/>
        <v>-4861068.3859999999</v>
      </c>
      <c r="S122">
        <f t="shared" si="36"/>
        <v>2349346.699</v>
      </c>
      <c r="T122">
        <f t="shared" si="37"/>
        <v>2080849.9334</v>
      </c>
      <c r="U122">
        <f t="shared" si="38"/>
        <v>1783585.6572</v>
      </c>
      <c r="V122">
        <f t="shared" si="39"/>
        <v>1361662.1683999998</v>
      </c>
      <c r="W122">
        <f t="shared" si="40"/>
        <v>-1175213.4000000004</v>
      </c>
      <c r="X122">
        <f t="shared" si="41"/>
        <v>-6895934.2219999991</v>
      </c>
      <c r="Z122">
        <f t="shared" si="42"/>
        <v>2761681.0175999999</v>
      </c>
      <c r="AA122">
        <f t="shared" si="43"/>
        <v>2512362.5924</v>
      </c>
      <c r="AB122">
        <f t="shared" si="44"/>
        <v>2147974.1248000003</v>
      </c>
      <c r="AC122">
        <f t="shared" si="45"/>
        <v>1879477.3592000001</v>
      </c>
      <c r="AD122">
        <f t="shared" si="46"/>
        <v>-1561232.4000000004</v>
      </c>
      <c r="AE122">
        <f t="shared" si="47"/>
        <v>-8930800.0580000002</v>
      </c>
    </row>
    <row r="123" spans="1:31" x14ac:dyDescent="0.25">
      <c r="A123">
        <v>21.342541149999999</v>
      </c>
      <c r="B123">
        <v>115.1267981</v>
      </c>
      <c r="C123">
        <v>1.5162529899999999</v>
      </c>
      <c r="D123">
        <v>0.49462</v>
      </c>
      <c r="E123" t="b">
        <f t="shared" si="24"/>
        <v>0</v>
      </c>
      <c r="F123">
        <f t="shared" si="25"/>
        <v>-7.0866449499999993</v>
      </c>
      <c r="G123">
        <f t="shared" si="26"/>
        <v>-14.6679099</v>
      </c>
      <c r="H123">
        <f t="shared" si="27"/>
        <v>-22.249174849999999</v>
      </c>
      <c r="I123">
        <f t="shared" si="28"/>
        <v>-29.830439799999997</v>
      </c>
      <c r="J123">
        <f t="shared" si="29"/>
        <v>-37.411704749999998</v>
      </c>
      <c r="L123">
        <f t="shared" si="30"/>
        <v>999132.4</v>
      </c>
      <c r="M123">
        <f t="shared" si="31"/>
        <v>-12189029.313999999</v>
      </c>
      <c r="N123">
        <f t="shared" si="32"/>
        <v>-21708506.651999999</v>
      </c>
      <c r="O123">
        <f t="shared" si="33"/>
        <v>-24919075.831999999</v>
      </c>
      <c r="P123">
        <f t="shared" si="34"/>
        <v>-27444004.615999997</v>
      </c>
      <c r="Q123">
        <f t="shared" si="35"/>
        <v>-32174066.085000001</v>
      </c>
      <c r="S123">
        <f t="shared" si="36"/>
        <v>1211819</v>
      </c>
      <c r="T123">
        <f t="shared" si="37"/>
        <v>-31829364.482999999</v>
      </c>
      <c r="U123">
        <f t="shared" si="38"/>
        <v>-27282312.413999997</v>
      </c>
      <c r="V123">
        <f t="shared" si="39"/>
        <v>-31593828.286999997</v>
      </c>
      <c r="W123">
        <f t="shared" si="40"/>
        <v>-40867702.526000001</v>
      </c>
      <c r="X123">
        <f t="shared" si="41"/>
        <v>-45642279.795000002</v>
      </c>
      <c r="Z123">
        <f t="shared" si="42"/>
        <v>1424505.5999999999</v>
      </c>
      <c r="AA123">
        <f t="shared" si="43"/>
        <v>-18567009.768999998</v>
      </c>
      <c r="AB123">
        <f t="shared" si="44"/>
        <v>-32856118.176000003</v>
      </c>
      <c r="AC123">
        <f t="shared" si="45"/>
        <v>-43608382.705999993</v>
      </c>
      <c r="AD123">
        <f t="shared" si="46"/>
        <v>-54291400.435999997</v>
      </c>
      <c r="AE123">
        <f t="shared" si="47"/>
        <v>-59110493.505000003</v>
      </c>
    </row>
    <row r="124" spans="1:31" x14ac:dyDescent="0.25">
      <c r="A124">
        <v>21.346721469999999</v>
      </c>
      <c r="B124">
        <v>115.07946</v>
      </c>
      <c r="C124">
        <v>1.47978199</v>
      </c>
      <c r="D124">
        <v>0.36729199000000001</v>
      </c>
      <c r="E124" t="b">
        <f t="shared" si="24"/>
        <v>0</v>
      </c>
      <c r="F124">
        <f t="shared" si="25"/>
        <v>-7.0316179600000002</v>
      </c>
      <c r="G124">
        <f t="shared" si="26"/>
        <v>-14.43052791</v>
      </c>
      <c r="H124">
        <f t="shared" si="27"/>
        <v>-21.829437859999999</v>
      </c>
      <c r="I124">
        <f t="shared" si="28"/>
        <v>-29.228347810000002</v>
      </c>
      <c r="J124">
        <f t="shared" si="29"/>
        <v>-36.627257759999999</v>
      </c>
      <c r="L124">
        <f t="shared" si="30"/>
        <v>741929.81979999994</v>
      </c>
      <c r="M124">
        <f t="shared" si="31"/>
        <v>-12094382.8912</v>
      </c>
      <c r="N124">
        <f t="shared" si="32"/>
        <v>-21357181.3068</v>
      </c>
      <c r="O124">
        <f t="shared" si="33"/>
        <v>-24448970.403200001</v>
      </c>
      <c r="P124">
        <f t="shared" si="34"/>
        <v>-26890079.985199999</v>
      </c>
      <c r="Q124">
        <f t="shared" si="35"/>
        <v>-31499441.673599999</v>
      </c>
      <c r="S124">
        <f t="shared" si="36"/>
        <v>899865.37550000008</v>
      </c>
      <c r="T124">
        <f t="shared" si="37"/>
        <v>-31314245.5647</v>
      </c>
      <c r="U124">
        <f t="shared" si="38"/>
        <v>-26840781.912599999</v>
      </c>
      <c r="V124">
        <f t="shared" si="39"/>
        <v>-30997801.761199996</v>
      </c>
      <c r="W124">
        <f t="shared" si="40"/>
        <v>-40042836.49970001</v>
      </c>
      <c r="X124">
        <f t="shared" si="41"/>
        <v>-44685254.467199996</v>
      </c>
      <c r="Z124">
        <f t="shared" si="42"/>
        <v>1057800.9312</v>
      </c>
      <c r="AA124">
        <f t="shared" si="43"/>
        <v>-18422839.055199999</v>
      </c>
      <c r="AB124">
        <f t="shared" si="44"/>
        <v>-32324382.518400002</v>
      </c>
      <c r="AC124">
        <f t="shared" si="45"/>
        <v>-42785698.205600001</v>
      </c>
      <c r="AD124">
        <f t="shared" si="46"/>
        <v>-53195593.014200009</v>
      </c>
      <c r="AE124">
        <f t="shared" si="47"/>
        <v>-57871067.260799997</v>
      </c>
    </row>
    <row r="125" spans="1:31" x14ac:dyDescent="0.25">
      <c r="A125">
        <v>21.350880180000001</v>
      </c>
      <c r="B125">
        <v>115.0321174</v>
      </c>
      <c r="C125">
        <v>1.62173295</v>
      </c>
      <c r="D125">
        <v>5.1420869800000002</v>
      </c>
      <c r="E125" t="b">
        <f t="shared" si="24"/>
        <v>1</v>
      </c>
      <c r="F125">
        <f t="shared" si="25"/>
        <v>-2.9665777699999989</v>
      </c>
      <c r="G125">
        <f t="shared" si="26"/>
        <v>-11.075242519999998</v>
      </c>
      <c r="H125">
        <f t="shared" si="27"/>
        <v>-19.183907269999999</v>
      </c>
      <c r="I125">
        <f t="shared" si="28"/>
        <v>-27.292572019999994</v>
      </c>
      <c r="J125">
        <f t="shared" si="29"/>
        <v>-35.401236769999997</v>
      </c>
      <c r="L125">
        <f t="shared" si="30"/>
        <v>3275900.5589999999</v>
      </c>
      <c r="M125">
        <f t="shared" si="31"/>
        <v>-5102513.7643999988</v>
      </c>
      <c r="N125">
        <f t="shared" si="32"/>
        <v>-16391358.929599997</v>
      </c>
      <c r="O125">
        <f t="shared" si="33"/>
        <v>-21485976.1424</v>
      </c>
      <c r="P125">
        <f t="shared" si="34"/>
        <v>-25109166.258399993</v>
      </c>
      <c r="Q125">
        <f t="shared" si="35"/>
        <v>-30445063.622199997</v>
      </c>
      <c r="S125">
        <f t="shared" si="36"/>
        <v>3973245.7275</v>
      </c>
      <c r="T125">
        <f t="shared" si="37"/>
        <v>-24033276.268399995</v>
      </c>
      <c r="U125">
        <f t="shared" si="38"/>
        <v>-20599951.087199993</v>
      </c>
      <c r="V125">
        <f t="shared" si="39"/>
        <v>-27241148.323399998</v>
      </c>
      <c r="W125">
        <f t="shared" si="40"/>
        <v>-37390823.667399995</v>
      </c>
      <c r="X125">
        <f t="shared" si="41"/>
        <v>-43189508.859399997</v>
      </c>
      <c r="Z125">
        <f t="shared" si="42"/>
        <v>4670590.8959999997</v>
      </c>
      <c r="AA125">
        <f t="shared" si="43"/>
        <v>-7772433.7573999977</v>
      </c>
      <c r="AB125">
        <f t="shared" si="44"/>
        <v>-24808543.244799998</v>
      </c>
      <c r="AC125">
        <f t="shared" si="45"/>
        <v>-37600458.249200001</v>
      </c>
      <c r="AD125">
        <f t="shared" si="46"/>
        <v>-49672481.076399997</v>
      </c>
      <c r="AE125">
        <f t="shared" si="47"/>
        <v>-55933954.096599996</v>
      </c>
    </row>
    <row r="126" spans="1:31" x14ac:dyDescent="0.25">
      <c r="A126">
        <v>21.355017289999999</v>
      </c>
      <c r="B126">
        <v>114.9847706</v>
      </c>
      <c r="C126">
        <v>1.3230379800000001</v>
      </c>
      <c r="D126">
        <v>17.353319169999999</v>
      </c>
      <c r="E126" t="b">
        <f t="shared" si="24"/>
        <v>1</v>
      </c>
      <c r="F126">
        <f t="shared" si="25"/>
        <v>10.738129269999998</v>
      </c>
      <c r="G126">
        <f t="shared" si="26"/>
        <v>4.1229393699999974</v>
      </c>
      <c r="H126">
        <f t="shared" si="27"/>
        <v>-2.4922505300000033</v>
      </c>
      <c r="I126">
        <f t="shared" si="28"/>
        <v>-9.107440430000004</v>
      </c>
      <c r="J126">
        <f t="shared" si="29"/>
        <v>-15.722630330000001</v>
      </c>
      <c r="L126">
        <f t="shared" si="30"/>
        <v>2672536.7196</v>
      </c>
      <c r="M126">
        <f t="shared" si="31"/>
        <v>2275625.3256000001</v>
      </c>
      <c r="N126">
        <f t="shared" si="32"/>
        <v>1958096.2104</v>
      </c>
      <c r="O126">
        <f t="shared" si="33"/>
        <v>-2791320.593600004</v>
      </c>
      <c r="P126">
        <f t="shared" si="34"/>
        <v>-8378845.1956000021</v>
      </c>
      <c r="Q126">
        <f t="shared" si="35"/>
        <v>-13521462.083800001</v>
      </c>
      <c r="S126">
        <f t="shared" si="36"/>
        <v>3241443.051</v>
      </c>
      <c r="T126">
        <f t="shared" si="37"/>
        <v>2870992.4165999996</v>
      </c>
      <c r="U126">
        <f t="shared" si="38"/>
        <v>2460850.6428</v>
      </c>
      <c r="V126">
        <f t="shared" si="39"/>
        <v>-3538995.7526000049</v>
      </c>
      <c r="W126">
        <f t="shared" si="40"/>
        <v>-12477193.389100006</v>
      </c>
      <c r="X126">
        <f t="shared" si="41"/>
        <v>-19181609.002600003</v>
      </c>
      <c r="Z126">
        <f t="shared" si="42"/>
        <v>3810349.3824</v>
      </c>
      <c r="AA126">
        <f t="shared" si="43"/>
        <v>3466359.5076000001</v>
      </c>
      <c r="AB126">
        <f t="shared" si="44"/>
        <v>2963605.0752000003</v>
      </c>
      <c r="AC126">
        <f t="shared" si="45"/>
        <v>-4884811.0388000067</v>
      </c>
      <c r="AD126">
        <f t="shared" si="46"/>
        <v>-16575541.582600007</v>
      </c>
      <c r="AE126">
        <f t="shared" si="47"/>
        <v>-24841755.921400003</v>
      </c>
    </row>
    <row r="127" spans="1:31" x14ac:dyDescent="0.25">
      <c r="A127">
        <v>21.357005780000001</v>
      </c>
      <c r="B127">
        <v>115.4626777</v>
      </c>
      <c r="C127">
        <v>1.5959169900000001</v>
      </c>
      <c r="D127">
        <v>15.915983199999999</v>
      </c>
      <c r="E127" t="b">
        <f t="shared" si="24"/>
        <v>1</v>
      </c>
      <c r="F127">
        <f t="shared" si="25"/>
        <v>7.936398249999999</v>
      </c>
      <c r="G127">
        <f t="shared" si="26"/>
        <v>-4.3186700000001466E-2</v>
      </c>
      <c r="H127">
        <f t="shared" si="27"/>
        <v>-8.0227716500000028</v>
      </c>
      <c r="I127">
        <f t="shared" si="28"/>
        <v>-16.002356600000002</v>
      </c>
      <c r="J127">
        <f t="shared" si="29"/>
        <v>-23.981941550000002</v>
      </c>
      <c r="L127">
        <f t="shared" si="30"/>
        <v>3223752.3198000002</v>
      </c>
      <c r="M127">
        <f t="shared" si="31"/>
        <v>2744977.2228000001</v>
      </c>
      <c r="N127">
        <f t="shared" si="32"/>
        <v>-63916.316000002167</v>
      </c>
      <c r="O127">
        <f t="shared" si="33"/>
        <v>-8985504.2480000053</v>
      </c>
      <c r="P127">
        <f t="shared" si="34"/>
        <v>-14722168.072000001</v>
      </c>
      <c r="Q127">
        <f t="shared" si="35"/>
        <v>-20624469.732999999</v>
      </c>
      <c r="S127">
        <f t="shared" si="36"/>
        <v>3909996.6255000001</v>
      </c>
      <c r="T127">
        <f t="shared" si="37"/>
        <v>-93715.139000003182</v>
      </c>
      <c r="U127">
        <f t="shared" si="38"/>
        <v>-80327.262000002724</v>
      </c>
      <c r="V127">
        <f t="shared" si="39"/>
        <v>-11392335.743000004</v>
      </c>
      <c r="W127">
        <f t="shared" si="40"/>
        <v>-21923228.542000003</v>
      </c>
      <c r="X127">
        <f t="shared" si="41"/>
        <v>-29257968.691</v>
      </c>
      <c r="Z127">
        <f t="shared" si="42"/>
        <v>4596240.9311999995</v>
      </c>
      <c r="AA127">
        <f t="shared" si="43"/>
        <v>4181302.5138000003</v>
      </c>
      <c r="AB127">
        <f t="shared" si="44"/>
        <v>-96738.208000003302</v>
      </c>
      <c r="AC127">
        <f t="shared" si="45"/>
        <v>-15724632.434000006</v>
      </c>
      <c r="AD127">
        <f t="shared" si="46"/>
        <v>-29124289.012000002</v>
      </c>
      <c r="AE127">
        <f t="shared" si="47"/>
        <v>-37891467.649000004</v>
      </c>
    </row>
    <row r="128" spans="1:31" x14ac:dyDescent="0.25">
      <c r="A128">
        <v>21.359132779999999</v>
      </c>
      <c r="B128">
        <v>114.9374195</v>
      </c>
      <c r="C128">
        <v>1.4738689700000001</v>
      </c>
      <c r="D128">
        <v>63.663932799999998</v>
      </c>
      <c r="E128" t="b">
        <f t="shared" si="24"/>
        <v>1</v>
      </c>
      <c r="F128">
        <f t="shared" si="25"/>
        <v>56.29458795</v>
      </c>
      <c r="G128">
        <f t="shared" si="26"/>
        <v>48.925243099999996</v>
      </c>
      <c r="H128">
        <f t="shared" si="27"/>
        <v>41.555898249999998</v>
      </c>
      <c r="I128">
        <f t="shared" si="28"/>
        <v>34.186553399999994</v>
      </c>
      <c r="J128">
        <f t="shared" si="29"/>
        <v>26.817208549999997</v>
      </c>
      <c r="L128">
        <f t="shared" si="30"/>
        <v>2977215.3193999999</v>
      </c>
      <c r="M128">
        <f t="shared" si="31"/>
        <v>2535054.6284000003</v>
      </c>
      <c r="N128">
        <f t="shared" si="32"/>
        <v>2181326.0756000001</v>
      </c>
      <c r="O128">
        <f t="shared" si="33"/>
        <v>1650733.2464000001</v>
      </c>
      <c r="P128">
        <f t="shared" si="34"/>
        <v>1355959.4523999998</v>
      </c>
      <c r="Q128">
        <f t="shared" si="35"/>
        <v>1267527.3141999999</v>
      </c>
      <c r="S128">
        <f t="shared" si="36"/>
        <v>3610978.9765000003</v>
      </c>
      <c r="T128">
        <f t="shared" si="37"/>
        <v>3198295.6648999997</v>
      </c>
      <c r="U128">
        <f t="shared" si="38"/>
        <v>2741396.2841999996</v>
      </c>
      <c r="V128">
        <f t="shared" si="39"/>
        <v>2092893.9373999999</v>
      </c>
      <c r="W128">
        <f t="shared" si="40"/>
        <v>2019200.4889000002</v>
      </c>
      <c r="X128">
        <f t="shared" si="41"/>
        <v>1798120.1433999999</v>
      </c>
      <c r="Z128">
        <f t="shared" si="42"/>
        <v>4244742.6335999994</v>
      </c>
      <c r="AA128">
        <f t="shared" si="43"/>
        <v>3861536.7014000001</v>
      </c>
      <c r="AB128">
        <f t="shared" si="44"/>
        <v>3301466.4928000001</v>
      </c>
      <c r="AC128">
        <f t="shared" si="45"/>
        <v>2888783.1812</v>
      </c>
      <c r="AD128">
        <f t="shared" si="46"/>
        <v>2682441.5254000002</v>
      </c>
      <c r="AE128">
        <f t="shared" si="47"/>
        <v>2328712.9726</v>
      </c>
    </row>
    <row r="129" spans="1:31" x14ac:dyDescent="0.25">
      <c r="A129">
        <v>21.386892629999998</v>
      </c>
      <c r="B129">
        <v>115.1312739</v>
      </c>
      <c r="C129">
        <v>0.49326101</v>
      </c>
      <c r="D129">
        <v>0.73458396999999998</v>
      </c>
      <c r="E129" t="b">
        <f t="shared" si="24"/>
        <v>1</v>
      </c>
      <c r="F129">
        <f t="shared" si="25"/>
        <v>-1.7317210799999998</v>
      </c>
      <c r="G129">
        <f t="shared" si="26"/>
        <v>-4.1980261299999997</v>
      </c>
      <c r="H129">
        <f t="shared" si="27"/>
        <v>-6.6643311799999996</v>
      </c>
      <c r="I129">
        <f t="shared" si="28"/>
        <v>-9.1306362300000004</v>
      </c>
      <c r="J129">
        <f t="shared" si="29"/>
        <v>-11.596941280000001</v>
      </c>
      <c r="L129">
        <f t="shared" si="30"/>
        <v>996387.2402</v>
      </c>
      <c r="M129">
        <f t="shared" si="31"/>
        <v>-2978560.2576000001</v>
      </c>
      <c r="N129">
        <f t="shared" si="32"/>
        <v>-6213078.6723999996</v>
      </c>
      <c r="O129">
        <f t="shared" si="33"/>
        <v>-7464050.9216</v>
      </c>
      <c r="P129">
        <f t="shared" si="34"/>
        <v>-8400185.3315999992</v>
      </c>
      <c r="Q129">
        <f t="shared" si="35"/>
        <v>-9973369.5008000005</v>
      </c>
      <c r="S129">
        <f t="shared" si="36"/>
        <v>1208489.4745</v>
      </c>
      <c r="T129">
        <f t="shared" si="37"/>
        <v>-9109716.7020999994</v>
      </c>
      <c r="U129">
        <f t="shared" si="38"/>
        <v>-7808328.6017999994</v>
      </c>
      <c r="V129">
        <f t="shared" si="39"/>
        <v>-9463350.2755999994</v>
      </c>
      <c r="W129">
        <f t="shared" si="40"/>
        <v>-12508971.635100001</v>
      </c>
      <c r="X129">
        <f t="shared" si="41"/>
        <v>-14148268.3616</v>
      </c>
      <c r="Z129">
        <f t="shared" si="42"/>
        <v>1420591.7087999999</v>
      </c>
      <c r="AA129">
        <f t="shared" si="43"/>
        <v>-4537109.2296000002</v>
      </c>
      <c r="AB129">
        <f t="shared" si="44"/>
        <v>-9403578.531200001</v>
      </c>
      <c r="AC129">
        <f t="shared" si="45"/>
        <v>-13062089.112799998</v>
      </c>
      <c r="AD129">
        <f t="shared" si="46"/>
        <v>-16617757.938600002</v>
      </c>
      <c r="AE129">
        <f t="shared" si="47"/>
        <v>-18323167.222400002</v>
      </c>
    </row>
    <row r="130" spans="1:31" x14ac:dyDescent="0.25">
      <c r="A130">
        <v>21.39107576</v>
      </c>
      <c r="B130">
        <v>115.08391279999999</v>
      </c>
      <c r="C130">
        <v>2.3942239299999999</v>
      </c>
      <c r="D130">
        <v>1.52058899</v>
      </c>
      <c r="E130" t="b">
        <f t="shared" si="24"/>
        <v>0</v>
      </c>
      <c r="F130">
        <f t="shared" si="25"/>
        <v>-10.450530659999998</v>
      </c>
      <c r="G130">
        <f t="shared" si="26"/>
        <v>-22.421650309999997</v>
      </c>
      <c r="H130">
        <f t="shared" si="27"/>
        <v>-34.392769959999995</v>
      </c>
      <c r="I130">
        <f t="shared" si="28"/>
        <v>-46.363889609999994</v>
      </c>
      <c r="J130">
        <f t="shared" si="29"/>
        <v>-58.33500926</v>
      </c>
      <c r="L130">
        <f t="shared" si="30"/>
        <v>3071589.7598000001</v>
      </c>
      <c r="M130">
        <f t="shared" si="31"/>
        <v>-17974912.735199999</v>
      </c>
      <c r="N130">
        <f t="shared" si="32"/>
        <v>-33184042.458799999</v>
      </c>
      <c r="O130">
        <f t="shared" si="33"/>
        <v>-38519902.355199993</v>
      </c>
      <c r="P130">
        <f t="shared" si="34"/>
        <v>-42654778.441199988</v>
      </c>
      <c r="Q130">
        <f t="shared" si="35"/>
        <v>-50168107.963599995</v>
      </c>
      <c r="S130">
        <f t="shared" si="36"/>
        <v>3725443.0255000005</v>
      </c>
      <c r="T130">
        <f t="shared" si="37"/>
        <v>-48654981.172699995</v>
      </c>
      <c r="U130">
        <f t="shared" si="38"/>
        <v>-41704269.576599993</v>
      </c>
      <c r="V130">
        <f t="shared" si="39"/>
        <v>-48837733.343199991</v>
      </c>
      <c r="W130">
        <f t="shared" si="40"/>
        <v>-63518528.765699998</v>
      </c>
      <c r="X130">
        <f t="shared" si="41"/>
        <v>-71168711.297199994</v>
      </c>
      <c r="Z130">
        <f t="shared" si="42"/>
        <v>4379296.2911999999</v>
      </c>
      <c r="AA130">
        <f t="shared" si="43"/>
        <v>-27380390.329199996</v>
      </c>
      <c r="AB130">
        <f t="shared" si="44"/>
        <v>-50224496.694400005</v>
      </c>
      <c r="AC130">
        <f t="shared" si="45"/>
        <v>-67409829.121599987</v>
      </c>
      <c r="AD130">
        <f t="shared" si="46"/>
        <v>-84382279.090199992</v>
      </c>
      <c r="AE130">
        <f t="shared" si="47"/>
        <v>-92169314.630799994</v>
      </c>
    </row>
    <row r="131" spans="1:31" x14ac:dyDescent="0.25">
      <c r="A131">
        <v>21.399377139999999</v>
      </c>
      <c r="B131">
        <v>114.9891775</v>
      </c>
      <c r="C131">
        <v>1.3388509799999999</v>
      </c>
      <c r="D131">
        <v>4.4075031300000003</v>
      </c>
      <c r="E131" t="b">
        <f t="shared" ref="E131:E194" si="48">D131&gt;C131</f>
        <v>1</v>
      </c>
      <c r="F131">
        <f t="shared" ref="F131:F194" si="49">D131-(C131*(2030-2025))</f>
        <v>-2.2867517699999995</v>
      </c>
      <c r="G131">
        <f t="shared" ref="G131:G194" si="50">D131-(C131*(2035-2025))</f>
        <v>-8.9810066699999993</v>
      </c>
      <c r="H131">
        <f t="shared" ref="H131:H194" si="51">D131-(C131*(2040-2025))</f>
        <v>-15.675261569999998</v>
      </c>
      <c r="I131">
        <f t="shared" ref="I131:I194" si="52">D131-(C131*(2045-2025))</f>
        <v>-22.369516470000001</v>
      </c>
      <c r="J131">
        <f t="shared" ref="J131:J194" si="53">D131-(C131*(2050-2025))</f>
        <v>-29.063771369999998</v>
      </c>
      <c r="L131">
        <f t="shared" ref="L131:L194" si="54">MIN(C131,D131)*1000000*((280/250)+0.9)</f>
        <v>2704478.9796000002</v>
      </c>
      <c r="M131">
        <f t="shared" ref="M131:M194" si="55">MIN(C131,F131)*1000000*((230/250)+0.8)</f>
        <v>-3933213.0443999995</v>
      </c>
      <c r="N131">
        <f t="shared" ref="N131:N194" si="56">MIN(C131,G131)*1000000*((195/250)+0.7)</f>
        <v>-13291889.8716</v>
      </c>
      <c r="O131">
        <f t="shared" ref="O131:O194" si="57">MIN(C131,H131)*1000000*((130/250)+0.6)</f>
        <v>-17556292.9584</v>
      </c>
      <c r="P131">
        <f t="shared" ref="P131:P194" si="58">MIN(C131,I131)*1000000*((105/250)+0.5)</f>
        <v>-20579955.152399998</v>
      </c>
      <c r="Q131">
        <f t="shared" ref="Q131:Q194" si="59">MIN(C131,J131)*1000000*((90/250)+0.5)</f>
        <v>-24994843.378199998</v>
      </c>
      <c r="S131">
        <f t="shared" ref="S131:S194" si="60">MIN(C131,D131)*1000000*((325/250)+1.15)</f>
        <v>3280184.9010000001</v>
      </c>
      <c r="T131">
        <f t="shared" ref="T131:T194" si="61">MIN(C131,G131)*1000000*((280/250)+1.05)</f>
        <v>-19488784.473899998</v>
      </c>
      <c r="U131">
        <f t="shared" ref="U131:U194" si="62">MIN(C131,G131)*1000000*((227.5/250)+0.95)</f>
        <v>-16704672.406199999</v>
      </c>
      <c r="V131">
        <f t="shared" ref="V131:V194" si="63">MIN(C131,H131)*1000000*((142.5/250)+0.85)</f>
        <v>-22258871.429399997</v>
      </c>
      <c r="W131">
        <f t="shared" ref="W131:W194" si="64">MIN(C131,I131)*1000000*((142.5/250)+0.8)</f>
        <v>-30646237.563900001</v>
      </c>
      <c r="X131">
        <f t="shared" ref="X131:X194" si="65">MIN(C131,J131)*1000000*((117.5/250)+0.75)</f>
        <v>-35457801.071399994</v>
      </c>
      <c r="Z131">
        <f t="shared" ref="Z131:Z194" si="66">MIN(C131,D131)*1000000*((370/250)+1.4)</f>
        <v>3855890.8223999999</v>
      </c>
      <c r="AA131">
        <f t="shared" ref="AA131:AA194" si="67">MIN(C131,F131)*1000000*((330/250)+1.3)</f>
        <v>-5991289.6373999994</v>
      </c>
      <c r="AB131">
        <f t="shared" ref="AB131:AB194" si="68">MIN(C131,G131)*1000000*((260/250)+1.2)</f>
        <v>-20117454.9408</v>
      </c>
      <c r="AC131">
        <f t="shared" ref="AC131:AC194" si="69">MIN(C131,H131)*1000000*((215/250)+1.1)</f>
        <v>-30723512.677199997</v>
      </c>
      <c r="AD131">
        <f t="shared" ref="AD131:AD194" si="70">MIN(C131,I131)*1000000*((180/250)+1.1)</f>
        <v>-40712519.975400001</v>
      </c>
      <c r="AE131">
        <f t="shared" ref="AE131:AE194" si="71">MIN(C131,J131)*1000000*((145/250)+1)</f>
        <v>-45920758.764600001</v>
      </c>
    </row>
    <row r="132" spans="1:31" x14ac:dyDescent="0.25">
      <c r="A132">
        <v>21.463031139999998</v>
      </c>
      <c r="B132">
        <v>116.6705053</v>
      </c>
      <c r="C132">
        <v>0.37805501000000002</v>
      </c>
      <c r="D132">
        <v>15.68229198</v>
      </c>
      <c r="E132" t="b">
        <f t="shared" si="48"/>
        <v>1</v>
      </c>
      <c r="F132">
        <f t="shared" si="49"/>
        <v>13.792016930000001</v>
      </c>
      <c r="G132">
        <f t="shared" si="50"/>
        <v>11.901741879999999</v>
      </c>
      <c r="H132">
        <f t="shared" si="51"/>
        <v>10.01146683</v>
      </c>
      <c r="I132">
        <f t="shared" si="52"/>
        <v>8.1211917800000002</v>
      </c>
      <c r="J132">
        <f t="shared" si="53"/>
        <v>6.2309167300000006</v>
      </c>
      <c r="L132">
        <f t="shared" si="54"/>
        <v>763671.1202</v>
      </c>
      <c r="M132">
        <f t="shared" si="55"/>
        <v>650254.6172000001</v>
      </c>
      <c r="N132">
        <f t="shared" si="56"/>
        <v>559521.41480000003</v>
      </c>
      <c r="O132">
        <f t="shared" si="57"/>
        <v>423421.61120000004</v>
      </c>
      <c r="P132">
        <f t="shared" si="58"/>
        <v>347810.60920000001</v>
      </c>
      <c r="Q132">
        <f t="shared" si="59"/>
        <v>325127.30859999999</v>
      </c>
      <c r="S132">
        <f t="shared" si="60"/>
        <v>926234.77450000006</v>
      </c>
      <c r="T132">
        <f t="shared" si="61"/>
        <v>820379.37170000002</v>
      </c>
      <c r="U132">
        <f t="shared" si="62"/>
        <v>703182.3186</v>
      </c>
      <c r="V132">
        <f t="shared" si="63"/>
        <v>536838.11419999995</v>
      </c>
      <c r="W132">
        <f t="shared" si="64"/>
        <v>517935.36370000005</v>
      </c>
      <c r="X132">
        <f t="shared" si="65"/>
        <v>461227.11219999997</v>
      </c>
      <c r="Z132">
        <f t="shared" si="66"/>
        <v>1088798.4287999999</v>
      </c>
      <c r="AA132">
        <f t="shared" si="67"/>
        <v>990504.12620000006</v>
      </c>
      <c r="AB132">
        <f t="shared" si="68"/>
        <v>846843.22240000009</v>
      </c>
      <c r="AC132">
        <f t="shared" si="69"/>
        <v>740987.81960000005</v>
      </c>
      <c r="AD132">
        <f t="shared" si="70"/>
        <v>688060.11820000003</v>
      </c>
      <c r="AE132">
        <f t="shared" si="71"/>
        <v>597326.91580000008</v>
      </c>
    </row>
    <row r="133" spans="1:31" x14ac:dyDescent="0.25">
      <c r="A133">
        <v>21.482457799999999</v>
      </c>
      <c r="B133">
        <v>116.48117860000001</v>
      </c>
      <c r="C133">
        <v>0.46879600999999999</v>
      </c>
      <c r="D133">
        <v>5.9158492100000002</v>
      </c>
      <c r="E133" t="b">
        <f t="shared" si="48"/>
        <v>1</v>
      </c>
      <c r="F133">
        <f t="shared" si="49"/>
        <v>3.5718691600000003</v>
      </c>
      <c r="G133">
        <f t="shared" si="50"/>
        <v>1.2278891100000004</v>
      </c>
      <c r="H133">
        <f t="shared" si="51"/>
        <v>-1.1160909399999994</v>
      </c>
      <c r="I133">
        <f t="shared" si="52"/>
        <v>-3.4600709899999993</v>
      </c>
      <c r="J133">
        <f t="shared" si="53"/>
        <v>-5.8040510400000001</v>
      </c>
      <c r="L133">
        <f t="shared" si="54"/>
        <v>946967.94020000007</v>
      </c>
      <c r="M133">
        <f t="shared" si="55"/>
        <v>806329.13720000011</v>
      </c>
      <c r="N133">
        <f t="shared" si="56"/>
        <v>693818.09479999996</v>
      </c>
      <c r="O133">
        <f t="shared" si="57"/>
        <v>-1250021.8527999995</v>
      </c>
      <c r="P133">
        <f t="shared" si="58"/>
        <v>-3183265.3107999992</v>
      </c>
      <c r="Q133">
        <f t="shared" si="59"/>
        <v>-4991483.8943999996</v>
      </c>
      <c r="S133">
        <f t="shared" si="60"/>
        <v>1148550.2245</v>
      </c>
      <c r="T133">
        <f t="shared" si="61"/>
        <v>1017287.3417</v>
      </c>
      <c r="U133">
        <f t="shared" si="62"/>
        <v>871960.57860000001</v>
      </c>
      <c r="V133">
        <f t="shared" si="63"/>
        <v>-1584849.1347999992</v>
      </c>
      <c r="W133">
        <f t="shared" si="64"/>
        <v>-4740297.2562999995</v>
      </c>
      <c r="X133">
        <f t="shared" si="65"/>
        <v>-7080942.2687999997</v>
      </c>
      <c r="Z133">
        <f t="shared" si="66"/>
        <v>1350132.5088</v>
      </c>
      <c r="AA133">
        <f t="shared" si="67"/>
        <v>1228245.5462</v>
      </c>
      <c r="AB133">
        <f t="shared" si="68"/>
        <v>1050103.0624000002</v>
      </c>
      <c r="AC133">
        <f t="shared" si="69"/>
        <v>-2187538.2423999989</v>
      </c>
      <c r="AD133">
        <f t="shared" si="70"/>
        <v>-6297329.201799999</v>
      </c>
      <c r="AE133">
        <f t="shared" si="71"/>
        <v>-9170400.6432000007</v>
      </c>
    </row>
    <row r="134" spans="1:31" x14ac:dyDescent="0.25">
      <c r="A134">
        <v>21.60430405</v>
      </c>
      <c r="B134">
        <v>116.15963929999999</v>
      </c>
      <c r="C134">
        <v>1.11991799</v>
      </c>
      <c r="D134">
        <v>25.54637718</v>
      </c>
      <c r="E134" t="b">
        <f t="shared" si="48"/>
        <v>1</v>
      </c>
      <c r="F134">
        <f t="shared" si="49"/>
        <v>19.946787229999998</v>
      </c>
      <c r="G134">
        <f t="shared" si="50"/>
        <v>14.34719728</v>
      </c>
      <c r="H134">
        <f t="shared" si="51"/>
        <v>8.747607330000001</v>
      </c>
      <c r="I134">
        <f t="shared" si="52"/>
        <v>3.1480173799999989</v>
      </c>
      <c r="J134">
        <f t="shared" si="53"/>
        <v>-2.4515725699999997</v>
      </c>
      <c r="L134">
        <f t="shared" si="54"/>
        <v>2262234.3398000002</v>
      </c>
      <c r="M134">
        <f t="shared" si="55"/>
        <v>1926258.9428000003</v>
      </c>
      <c r="N134">
        <f t="shared" si="56"/>
        <v>1657478.6251999999</v>
      </c>
      <c r="O134">
        <f t="shared" si="57"/>
        <v>1254308.1488000001</v>
      </c>
      <c r="P134">
        <f t="shared" si="58"/>
        <v>1030324.5508</v>
      </c>
      <c r="Q134">
        <f t="shared" si="59"/>
        <v>-2108352.4101999998</v>
      </c>
      <c r="S134">
        <f t="shared" si="60"/>
        <v>2743799.0755000003</v>
      </c>
      <c r="T134">
        <f t="shared" si="61"/>
        <v>2430222.0383000001</v>
      </c>
      <c r="U134">
        <f t="shared" si="62"/>
        <v>2083047.4613999999</v>
      </c>
      <c r="V134">
        <f t="shared" si="63"/>
        <v>1590283.5458</v>
      </c>
      <c r="W134">
        <f t="shared" si="64"/>
        <v>1534287.6463000001</v>
      </c>
      <c r="X134">
        <f t="shared" si="65"/>
        <v>-2990918.5353999999</v>
      </c>
      <c r="Z134">
        <f t="shared" si="66"/>
        <v>3225363.8111999999</v>
      </c>
      <c r="AA134">
        <f t="shared" si="67"/>
        <v>2934185.1338</v>
      </c>
      <c r="AB134">
        <f t="shared" si="68"/>
        <v>2508616.2976000002</v>
      </c>
      <c r="AC134">
        <f t="shared" si="69"/>
        <v>2195039.2604</v>
      </c>
      <c r="AD134">
        <f t="shared" si="70"/>
        <v>2038250.7418</v>
      </c>
      <c r="AE134">
        <f t="shared" si="71"/>
        <v>-3873484.6606000001</v>
      </c>
    </row>
    <row r="135" spans="1:31" x14ac:dyDescent="0.25">
      <c r="A135">
        <v>21.613598289999999</v>
      </c>
      <c r="B135">
        <v>116.064785</v>
      </c>
      <c r="C135">
        <v>1.13769305</v>
      </c>
      <c r="D135">
        <v>17.549207689999999</v>
      </c>
      <c r="E135" t="b">
        <f t="shared" si="48"/>
        <v>1</v>
      </c>
      <c r="F135">
        <f t="shared" si="49"/>
        <v>11.860742439999999</v>
      </c>
      <c r="G135">
        <f t="shared" si="50"/>
        <v>6.1722771899999991</v>
      </c>
      <c r="H135">
        <f t="shared" si="51"/>
        <v>0.48381193999999894</v>
      </c>
      <c r="I135">
        <f t="shared" si="52"/>
        <v>-5.2046533100000012</v>
      </c>
      <c r="J135">
        <f t="shared" si="53"/>
        <v>-10.893118560000001</v>
      </c>
      <c r="L135">
        <f t="shared" si="54"/>
        <v>2298139.9610000001</v>
      </c>
      <c r="M135">
        <f t="shared" si="55"/>
        <v>1956832.0460000003</v>
      </c>
      <c r="N135">
        <f t="shared" si="56"/>
        <v>1683785.7140000002</v>
      </c>
      <c r="O135">
        <f t="shared" si="57"/>
        <v>541869.37279999885</v>
      </c>
      <c r="P135">
        <f t="shared" si="58"/>
        <v>-4788281.0452000005</v>
      </c>
      <c r="Q135">
        <f t="shared" si="59"/>
        <v>-9368081.9616</v>
      </c>
      <c r="S135">
        <f t="shared" si="60"/>
        <v>2787347.9725000001</v>
      </c>
      <c r="T135">
        <f t="shared" si="61"/>
        <v>2468793.9185000001</v>
      </c>
      <c r="U135">
        <f t="shared" si="62"/>
        <v>2116109.0729999999</v>
      </c>
      <c r="V135">
        <f t="shared" si="63"/>
        <v>687012.95479999844</v>
      </c>
      <c r="W135">
        <f t="shared" si="64"/>
        <v>-7130375.0347000025</v>
      </c>
      <c r="X135">
        <f t="shared" si="65"/>
        <v>-13289604.643200001</v>
      </c>
      <c r="Z135">
        <f t="shared" si="66"/>
        <v>3276555.9840000002</v>
      </c>
      <c r="AA135">
        <f t="shared" si="67"/>
        <v>2980755.7910000002</v>
      </c>
      <c r="AB135">
        <f t="shared" si="68"/>
        <v>2548432.4320000005</v>
      </c>
      <c r="AC135">
        <f t="shared" si="69"/>
        <v>948271.40239999793</v>
      </c>
      <c r="AD135">
        <f t="shared" si="70"/>
        <v>-9472469.0242000036</v>
      </c>
      <c r="AE135">
        <f t="shared" si="71"/>
        <v>-17211127.324800003</v>
      </c>
    </row>
    <row r="136" spans="1:31" x14ac:dyDescent="0.25">
      <c r="A136">
        <v>21.63454265</v>
      </c>
      <c r="B136">
        <v>116.3069479</v>
      </c>
      <c r="C136">
        <v>0.56091796999999999</v>
      </c>
      <c r="D136">
        <v>9.6573286100000004</v>
      </c>
      <c r="E136" t="b">
        <f t="shared" si="48"/>
        <v>1</v>
      </c>
      <c r="F136">
        <f t="shared" si="49"/>
        <v>6.8527387600000003</v>
      </c>
      <c r="G136">
        <f t="shared" si="50"/>
        <v>4.0481489100000001</v>
      </c>
      <c r="H136">
        <f t="shared" si="51"/>
        <v>1.2435590600000008</v>
      </c>
      <c r="I136">
        <f t="shared" si="52"/>
        <v>-1.5610307900000002</v>
      </c>
      <c r="J136">
        <f t="shared" si="53"/>
        <v>-4.3656206399999995</v>
      </c>
      <c r="L136">
        <f t="shared" si="54"/>
        <v>1133054.2993999999</v>
      </c>
      <c r="M136">
        <f t="shared" si="55"/>
        <v>964778.90840000007</v>
      </c>
      <c r="N136">
        <f t="shared" si="56"/>
        <v>830158.5956</v>
      </c>
      <c r="O136">
        <f t="shared" si="57"/>
        <v>628228.12640000007</v>
      </c>
      <c r="P136">
        <f t="shared" si="58"/>
        <v>-1436148.3268000002</v>
      </c>
      <c r="Q136">
        <f t="shared" si="59"/>
        <v>-3754433.7503999998</v>
      </c>
      <c r="S136">
        <f t="shared" si="60"/>
        <v>1374249.0264999999</v>
      </c>
      <c r="T136">
        <f t="shared" si="61"/>
        <v>1217191.9948999998</v>
      </c>
      <c r="U136">
        <f t="shared" si="62"/>
        <v>1043307.4241999999</v>
      </c>
      <c r="V136">
        <f t="shared" si="63"/>
        <v>796503.5173999999</v>
      </c>
      <c r="W136">
        <f t="shared" si="64"/>
        <v>-2138612.1823000005</v>
      </c>
      <c r="X136">
        <f t="shared" si="65"/>
        <v>-5326057.1807999993</v>
      </c>
      <c r="Z136">
        <f t="shared" si="66"/>
        <v>1615443.7535999999</v>
      </c>
      <c r="AA136">
        <f t="shared" si="67"/>
        <v>1469605.0814</v>
      </c>
      <c r="AB136">
        <f t="shared" si="68"/>
        <v>1256456.2528000001</v>
      </c>
      <c r="AC136">
        <f t="shared" si="69"/>
        <v>1099399.2212</v>
      </c>
      <c r="AD136">
        <f t="shared" si="70"/>
        <v>-2841076.0378000005</v>
      </c>
      <c r="AE136">
        <f t="shared" si="71"/>
        <v>-6897680.6112000002</v>
      </c>
    </row>
    <row r="137" spans="1:31" x14ac:dyDescent="0.25">
      <c r="A137">
        <v>21.657956070000001</v>
      </c>
      <c r="B137">
        <v>116.0697339</v>
      </c>
      <c r="C137">
        <v>1.69117999</v>
      </c>
      <c r="D137">
        <v>1.22430599</v>
      </c>
      <c r="E137" t="b">
        <f t="shared" si="48"/>
        <v>0</v>
      </c>
      <c r="F137">
        <f t="shared" si="49"/>
        <v>-7.2315939599999997</v>
      </c>
      <c r="G137">
        <f t="shared" si="50"/>
        <v>-15.687493909999999</v>
      </c>
      <c r="H137">
        <f t="shared" si="51"/>
        <v>-24.14339386</v>
      </c>
      <c r="I137">
        <f t="shared" si="52"/>
        <v>-32.599293809999999</v>
      </c>
      <c r="J137">
        <f t="shared" si="53"/>
        <v>-41.055193760000002</v>
      </c>
      <c r="L137">
        <f t="shared" si="54"/>
        <v>2473098.0998</v>
      </c>
      <c r="M137">
        <f t="shared" si="55"/>
        <v>-12438341.611200001</v>
      </c>
      <c r="N137">
        <f t="shared" si="56"/>
        <v>-23217490.986799996</v>
      </c>
      <c r="O137">
        <f t="shared" si="57"/>
        <v>-27040601.123200003</v>
      </c>
      <c r="P137">
        <f t="shared" si="58"/>
        <v>-29991350.305199996</v>
      </c>
      <c r="Q137">
        <f t="shared" si="59"/>
        <v>-35307466.633600004</v>
      </c>
      <c r="S137">
        <f t="shared" si="60"/>
        <v>2999549.6755000004</v>
      </c>
      <c r="T137">
        <f t="shared" si="61"/>
        <v>-34041861.784699999</v>
      </c>
      <c r="U137">
        <f t="shared" si="62"/>
        <v>-29178738.672599994</v>
      </c>
      <c r="V137">
        <f t="shared" si="63"/>
        <v>-34283619.281199999</v>
      </c>
      <c r="W137">
        <f t="shared" si="64"/>
        <v>-44661032.519699998</v>
      </c>
      <c r="X137">
        <f t="shared" si="65"/>
        <v>-50087336.387200005</v>
      </c>
      <c r="Z137">
        <f t="shared" si="66"/>
        <v>3526001.2511999998</v>
      </c>
      <c r="AA137">
        <f t="shared" si="67"/>
        <v>-18946776.1752</v>
      </c>
      <c r="AB137">
        <f t="shared" si="68"/>
        <v>-35139986.358400002</v>
      </c>
      <c r="AC137">
        <f t="shared" si="69"/>
        <v>-47321051.965599999</v>
      </c>
      <c r="AD137">
        <f t="shared" si="70"/>
        <v>-59330714.734200001</v>
      </c>
      <c r="AE137">
        <f t="shared" si="71"/>
        <v>-64867206.140800014</v>
      </c>
    </row>
    <row r="138" spans="1:31" x14ac:dyDescent="0.25">
      <c r="A138">
        <v>21.669369329999999</v>
      </c>
      <c r="B138">
        <v>116.4069136</v>
      </c>
      <c r="C138">
        <v>2.18444109</v>
      </c>
      <c r="D138">
        <v>1.4691679499999999</v>
      </c>
      <c r="E138" t="b">
        <f t="shared" si="48"/>
        <v>0</v>
      </c>
      <c r="F138">
        <f t="shared" si="49"/>
        <v>-9.4530375000000006</v>
      </c>
      <c r="G138">
        <f t="shared" si="50"/>
        <v>-20.375242950000001</v>
      </c>
      <c r="H138">
        <f t="shared" si="51"/>
        <v>-31.2974484</v>
      </c>
      <c r="I138">
        <f t="shared" si="52"/>
        <v>-42.21965385</v>
      </c>
      <c r="J138">
        <f t="shared" si="53"/>
        <v>-53.1418593</v>
      </c>
      <c r="L138">
        <f t="shared" si="54"/>
        <v>2967719.2590000001</v>
      </c>
      <c r="M138">
        <f t="shared" si="55"/>
        <v>-16259224.500000002</v>
      </c>
      <c r="N138">
        <f t="shared" si="56"/>
        <v>-30155359.566</v>
      </c>
      <c r="O138">
        <f t="shared" si="57"/>
        <v>-35053142.208000004</v>
      </c>
      <c r="P138">
        <f t="shared" si="58"/>
        <v>-38842081.541999996</v>
      </c>
      <c r="Q138">
        <f t="shared" si="59"/>
        <v>-45701998.997999996</v>
      </c>
      <c r="S138">
        <f t="shared" si="60"/>
        <v>3599461.4775</v>
      </c>
      <c r="T138">
        <f t="shared" si="61"/>
        <v>-44214277.201499999</v>
      </c>
      <c r="U138">
        <f t="shared" si="62"/>
        <v>-37897951.886999995</v>
      </c>
      <c r="V138">
        <f t="shared" si="63"/>
        <v>-44442376.728</v>
      </c>
      <c r="W138">
        <f t="shared" si="64"/>
        <v>-57840925.774500005</v>
      </c>
      <c r="X138">
        <f t="shared" si="65"/>
        <v>-64833068.345999993</v>
      </c>
      <c r="Z138">
        <f t="shared" si="66"/>
        <v>4231203.6959999995</v>
      </c>
      <c r="AA138">
        <f t="shared" si="67"/>
        <v>-24766958.25</v>
      </c>
      <c r="AB138">
        <f t="shared" si="68"/>
        <v>-45640544.208000004</v>
      </c>
      <c r="AC138">
        <f t="shared" si="69"/>
        <v>-61342998.864</v>
      </c>
      <c r="AD138">
        <f t="shared" si="70"/>
        <v>-76839770.006999999</v>
      </c>
      <c r="AE138">
        <f t="shared" si="71"/>
        <v>-83964137.694000006</v>
      </c>
    </row>
    <row r="139" spans="1:31" x14ac:dyDescent="0.25">
      <c r="A139">
        <v>21.671899979999999</v>
      </c>
      <c r="B139">
        <v>115.44776709999999</v>
      </c>
      <c r="C139">
        <v>1.31524003</v>
      </c>
      <c r="D139">
        <v>5.8276982300000002</v>
      </c>
      <c r="E139" t="b">
        <f t="shared" si="48"/>
        <v>1</v>
      </c>
      <c r="F139">
        <f t="shared" si="49"/>
        <v>-0.74850191999999982</v>
      </c>
      <c r="G139">
        <f t="shared" si="50"/>
        <v>-7.3247020699999998</v>
      </c>
      <c r="H139">
        <f t="shared" si="51"/>
        <v>-13.900902220000003</v>
      </c>
      <c r="I139">
        <f t="shared" si="52"/>
        <v>-20.477102370000001</v>
      </c>
      <c r="J139">
        <f t="shared" si="53"/>
        <v>-27.053302519999999</v>
      </c>
      <c r="L139">
        <f t="shared" si="54"/>
        <v>2656784.8606000002</v>
      </c>
      <c r="M139">
        <f t="shared" si="55"/>
        <v>-1287423.3023999999</v>
      </c>
      <c r="N139">
        <f t="shared" si="56"/>
        <v>-10840559.0636</v>
      </c>
      <c r="O139">
        <f t="shared" si="57"/>
        <v>-15569010.486400004</v>
      </c>
      <c r="P139">
        <f t="shared" si="58"/>
        <v>-18838934.180399999</v>
      </c>
      <c r="Q139">
        <f t="shared" si="59"/>
        <v>-23265840.167199999</v>
      </c>
      <c r="S139">
        <f t="shared" si="60"/>
        <v>3222338.0735000004</v>
      </c>
      <c r="T139">
        <f t="shared" si="61"/>
        <v>-15894603.491900001</v>
      </c>
      <c r="U139">
        <f t="shared" si="62"/>
        <v>-13623945.850199999</v>
      </c>
      <c r="V139">
        <f t="shared" si="63"/>
        <v>-19739281.152400002</v>
      </c>
      <c r="W139">
        <f t="shared" si="64"/>
        <v>-28053630.246900003</v>
      </c>
      <c r="X139">
        <f t="shared" si="65"/>
        <v>-33005029.0744</v>
      </c>
      <c r="Z139">
        <f t="shared" si="66"/>
        <v>3787891.2864000001</v>
      </c>
      <c r="AA139">
        <f t="shared" si="67"/>
        <v>-1961075.0303999996</v>
      </c>
      <c r="AB139">
        <f t="shared" si="68"/>
        <v>-16407332.636800002</v>
      </c>
      <c r="AC139">
        <f t="shared" si="69"/>
        <v>-27245768.351200003</v>
      </c>
      <c r="AD139">
        <f t="shared" si="70"/>
        <v>-37268326.3134</v>
      </c>
      <c r="AE139">
        <f t="shared" si="71"/>
        <v>-42744217.981600001</v>
      </c>
    </row>
    <row r="140" spans="1:31" x14ac:dyDescent="0.25">
      <c r="A140">
        <v>21.676297179999999</v>
      </c>
      <c r="B140">
        <v>115.8798752</v>
      </c>
      <c r="C140">
        <v>1.69117999</v>
      </c>
      <c r="D140">
        <v>6.1215319600000004</v>
      </c>
      <c r="E140" t="b">
        <f t="shared" si="48"/>
        <v>1</v>
      </c>
      <c r="F140">
        <f t="shared" si="49"/>
        <v>-2.3343679899999987</v>
      </c>
      <c r="G140">
        <f t="shared" si="50"/>
        <v>-10.790267939999998</v>
      </c>
      <c r="H140">
        <f t="shared" si="51"/>
        <v>-19.246167890000002</v>
      </c>
      <c r="I140">
        <f t="shared" si="52"/>
        <v>-27.702067839999998</v>
      </c>
      <c r="J140">
        <f t="shared" si="53"/>
        <v>-36.157967790000001</v>
      </c>
      <c r="L140">
        <f t="shared" si="54"/>
        <v>3416183.5797999999</v>
      </c>
      <c r="M140">
        <f t="shared" si="55"/>
        <v>-4015112.9427999984</v>
      </c>
      <c r="N140">
        <f t="shared" si="56"/>
        <v>-15969596.551199997</v>
      </c>
      <c r="O140">
        <f t="shared" si="57"/>
        <v>-21555708.036800005</v>
      </c>
      <c r="P140">
        <f t="shared" si="58"/>
        <v>-25485902.412799999</v>
      </c>
      <c r="Q140">
        <f t="shared" si="59"/>
        <v>-31095852.299399998</v>
      </c>
      <c r="S140">
        <f t="shared" si="60"/>
        <v>4143390.9755000002</v>
      </c>
      <c r="T140">
        <f t="shared" si="61"/>
        <v>-23414881.429799993</v>
      </c>
      <c r="U140">
        <f t="shared" si="62"/>
        <v>-20069898.368399993</v>
      </c>
      <c r="V140">
        <f t="shared" si="63"/>
        <v>-27329558.4038</v>
      </c>
      <c r="W140">
        <f t="shared" si="64"/>
        <v>-37951832.940800004</v>
      </c>
      <c r="X140">
        <f t="shared" si="65"/>
        <v>-44112720.7038</v>
      </c>
      <c r="Z140">
        <f t="shared" si="66"/>
        <v>4870598.3711999999</v>
      </c>
      <c r="AA140">
        <f t="shared" si="67"/>
        <v>-6116044.1337999972</v>
      </c>
      <c r="AB140">
        <f t="shared" si="68"/>
        <v>-24170200.185599998</v>
      </c>
      <c r="AC140">
        <f t="shared" si="69"/>
        <v>-37722489.064400002</v>
      </c>
      <c r="AD140">
        <f t="shared" si="70"/>
        <v>-50417763.468800001</v>
      </c>
      <c r="AE140">
        <f t="shared" si="71"/>
        <v>-57129589.108199999</v>
      </c>
    </row>
    <row r="141" spans="1:31" x14ac:dyDescent="0.25">
      <c r="A141">
        <v>21.678892470000001</v>
      </c>
      <c r="B141">
        <v>116.31201660000001</v>
      </c>
      <c r="C141">
        <v>2.18444109</v>
      </c>
      <c r="D141">
        <v>4.4075031300000003</v>
      </c>
      <c r="E141" t="b">
        <f t="shared" si="48"/>
        <v>1</v>
      </c>
      <c r="F141">
        <f t="shared" si="49"/>
        <v>-6.5147023199999996</v>
      </c>
      <c r="G141">
        <f t="shared" si="50"/>
        <v>-17.436907769999998</v>
      </c>
      <c r="H141">
        <f t="shared" si="51"/>
        <v>-28.359113219999998</v>
      </c>
      <c r="I141">
        <f t="shared" si="52"/>
        <v>-39.281318669999997</v>
      </c>
      <c r="J141">
        <f t="shared" si="53"/>
        <v>-50.203524119999997</v>
      </c>
      <c r="L141">
        <f t="shared" si="54"/>
        <v>4412571.0017999997</v>
      </c>
      <c r="M141">
        <f t="shared" si="55"/>
        <v>-11205287.9904</v>
      </c>
      <c r="N141">
        <f t="shared" si="56"/>
        <v>-25806623.499600001</v>
      </c>
      <c r="O141">
        <f t="shared" si="57"/>
        <v>-31762206.806400001</v>
      </c>
      <c r="P141">
        <f t="shared" si="58"/>
        <v>-36138813.176399991</v>
      </c>
      <c r="Q141">
        <f t="shared" si="59"/>
        <v>-43175030.743199997</v>
      </c>
      <c r="S141">
        <f t="shared" si="60"/>
        <v>5351880.6705</v>
      </c>
      <c r="T141">
        <f t="shared" si="61"/>
        <v>-37838089.8609</v>
      </c>
      <c r="U141">
        <f t="shared" si="62"/>
        <v>-32432648.452199996</v>
      </c>
      <c r="V141">
        <f t="shared" si="63"/>
        <v>-40269940.772399999</v>
      </c>
      <c r="W141">
        <f t="shared" si="64"/>
        <v>-53815406.5779</v>
      </c>
      <c r="X141">
        <f t="shared" si="65"/>
        <v>-61248299.426399998</v>
      </c>
      <c r="Z141">
        <f t="shared" si="66"/>
        <v>6291190.3391999993</v>
      </c>
      <c r="AA141">
        <f t="shared" si="67"/>
        <v>-17068520.078399997</v>
      </c>
      <c r="AB141">
        <f t="shared" si="68"/>
        <v>-39058673.404800005</v>
      </c>
      <c r="AC141">
        <f t="shared" si="69"/>
        <v>-55583861.911199994</v>
      </c>
      <c r="AD141">
        <f t="shared" si="70"/>
        <v>-71491999.979399994</v>
      </c>
      <c r="AE141">
        <f t="shared" si="71"/>
        <v>-79321568.109599993</v>
      </c>
    </row>
    <row r="142" spans="1:31" x14ac:dyDescent="0.25">
      <c r="A142">
        <v>21.679685639999999</v>
      </c>
      <c r="B142">
        <v>116.7441743</v>
      </c>
      <c r="C142">
        <v>0.437776</v>
      </c>
      <c r="D142">
        <v>16.650566099999999</v>
      </c>
      <c r="E142" t="b">
        <f t="shared" si="48"/>
        <v>1</v>
      </c>
      <c r="F142">
        <f t="shared" si="49"/>
        <v>14.461686099999998</v>
      </c>
      <c r="G142">
        <f t="shared" si="50"/>
        <v>12.272806099999999</v>
      </c>
      <c r="H142">
        <f t="shared" si="51"/>
        <v>10.083926099999999</v>
      </c>
      <c r="I142">
        <f t="shared" si="52"/>
        <v>7.8950460999999983</v>
      </c>
      <c r="J142">
        <f t="shared" si="53"/>
        <v>5.706166099999999</v>
      </c>
      <c r="L142">
        <f t="shared" si="54"/>
        <v>884307.52</v>
      </c>
      <c r="M142">
        <f t="shared" si="55"/>
        <v>752974.72000000009</v>
      </c>
      <c r="N142">
        <f t="shared" si="56"/>
        <v>647908.48</v>
      </c>
      <c r="O142">
        <f t="shared" si="57"/>
        <v>490309.12000000005</v>
      </c>
      <c r="P142">
        <f t="shared" si="58"/>
        <v>402753.92</v>
      </c>
      <c r="Q142">
        <f t="shared" si="59"/>
        <v>376487.36</v>
      </c>
      <c r="S142">
        <f t="shared" si="60"/>
        <v>1072551.2000000002</v>
      </c>
      <c r="T142">
        <f t="shared" si="61"/>
        <v>949973.91999999993</v>
      </c>
      <c r="U142">
        <f t="shared" si="62"/>
        <v>814263.36</v>
      </c>
      <c r="V142">
        <f t="shared" si="63"/>
        <v>621641.91999999993</v>
      </c>
      <c r="W142">
        <f t="shared" si="64"/>
        <v>599753.12</v>
      </c>
      <c r="X142">
        <f t="shared" si="65"/>
        <v>534086.72</v>
      </c>
      <c r="Z142">
        <f t="shared" si="66"/>
        <v>1260794.8799999999</v>
      </c>
      <c r="AA142">
        <f t="shared" si="67"/>
        <v>1146973.1200000001</v>
      </c>
      <c r="AB142">
        <f t="shared" si="68"/>
        <v>980618.24000000011</v>
      </c>
      <c r="AC142">
        <f t="shared" si="69"/>
        <v>858040.96</v>
      </c>
      <c r="AD142">
        <f t="shared" si="70"/>
        <v>796752.32000000007</v>
      </c>
      <c r="AE142">
        <f t="shared" si="71"/>
        <v>691686.08000000007</v>
      </c>
    </row>
    <row r="143" spans="1:31" x14ac:dyDescent="0.25">
      <c r="A143">
        <v>21.72324996</v>
      </c>
      <c r="B143">
        <v>116.3170903</v>
      </c>
      <c r="C143">
        <v>2.18444109</v>
      </c>
      <c r="D143">
        <v>1.4691679499999999</v>
      </c>
      <c r="E143" t="b">
        <f t="shared" si="48"/>
        <v>0</v>
      </c>
      <c r="F143">
        <f t="shared" si="49"/>
        <v>-9.4530375000000006</v>
      </c>
      <c r="G143">
        <f t="shared" si="50"/>
        <v>-20.375242950000001</v>
      </c>
      <c r="H143">
        <f t="shared" si="51"/>
        <v>-31.2974484</v>
      </c>
      <c r="I143">
        <f t="shared" si="52"/>
        <v>-42.21965385</v>
      </c>
      <c r="J143">
        <f t="shared" si="53"/>
        <v>-53.1418593</v>
      </c>
      <c r="L143">
        <f t="shared" si="54"/>
        <v>2967719.2590000001</v>
      </c>
      <c r="M143">
        <f t="shared" si="55"/>
        <v>-16259224.500000002</v>
      </c>
      <c r="N143">
        <f t="shared" si="56"/>
        <v>-30155359.566</v>
      </c>
      <c r="O143">
        <f t="shared" si="57"/>
        <v>-35053142.208000004</v>
      </c>
      <c r="P143">
        <f t="shared" si="58"/>
        <v>-38842081.541999996</v>
      </c>
      <c r="Q143">
        <f t="shared" si="59"/>
        <v>-45701998.997999996</v>
      </c>
      <c r="S143">
        <f t="shared" si="60"/>
        <v>3599461.4775</v>
      </c>
      <c r="T143">
        <f t="shared" si="61"/>
        <v>-44214277.201499999</v>
      </c>
      <c r="U143">
        <f t="shared" si="62"/>
        <v>-37897951.886999995</v>
      </c>
      <c r="V143">
        <f t="shared" si="63"/>
        <v>-44442376.728</v>
      </c>
      <c r="W143">
        <f t="shared" si="64"/>
        <v>-57840925.774500005</v>
      </c>
      <c r="X143">
        <f t="shared" si="65"/>
        <v>-64833068.345999993</v>
      </c>
      <c r="Z143">
        <f t="shared" si="66"/>
        <v>4231203.6959999995</v>
      </c>
      <c r="AA143">
        <f t="shared" si="67"/>
        <v>-24766958.25</v>
      </c>
      <c r="AB143">
        <f t="shared" si="68"/>
        <v>-45640544.208000004</v>
      </c>
      <c r="AC143">
        <f t="shared" si="69"/>
        <v>-61342998.864</v>
      </c>
      <c r="AD143">
        <f t="shared" si="70"/>
        <v>-76839770.006999999</v>
      </c>
      <c r="AE143">
        <f t="shared" si="71"/>
        <v>-83964137.694000006</v>
      </c>
    </row>
    <row r="144" spans="1:31" x14ac:dyDescent="0.25">
      <c r="A144">
        <v>21.74669471</v>
      </c>
      <c r="B144">
        <v>116.07964629999999</v>
      </c>
      <c r="C144">
        <v>0.84558999999999995</v>
      </c>
      <c r="D144">
        <v>6.8561158200000003</v>
      </c>
      <c r="E144" t="b">
        <f t="shared" si="48"/>
        <v>1</v>
      </c>
      <c r="F144">
        <f t="shared" si="49"/>
        <v>2.6281658200000004</v>
      </c>
      <c r="G144">
        <f t="shared" si="50"/>
        <v>-1.5997841799999994</v>
      </c>
      <c r="H144">
        <f t="shared" si="51"/>
        <v>-5.8277341799999993</v>
      </c>
      <c r="I144">
        <f t="shared" si="52"/>
        <v>-10.05568418</v>
      </c>
      <c r="J144">
        <f t="shared" si="53"/>
        <v>-14.28363418</v>
      </c>
      <c r="L144">
        <f t="shared" si="54"/>
        <v>1708091.8</v>
      </c>
      <c r="M144">
        <f t="shared" si="55"/>
        <v>1454414.8000000003</v>
      </c>
      <c r="N144">
        <f t="shared" si="56"/>
        <v>-2367680.586399999</v>
      </c>
      <c r="O144">
        <f t="shared" si="57"/>
        <v>-6527062.2816000003</v>
      </c>
      <c r="P144">
        <f t="shared" si="58"/>
        <v>-9251229.4455999993</v>
      </c>
      <c r="Q144">
        <f t="shared" si="59"/>
        <v>-12283925.3948</v>
      </c>
      <c r="S144">
        <f t="shared" si="60"/>
        <v>2071695.5000000002</v>
      </c>
      <c r="T144">
        <f t="shared" si="61"/>
        <v>-3471531.6705999989</v>
      </c>
      <c r="U144">
        <f t="shared" si="62"/>
        <v>-2975598.5747999987</v>
      </c>
      <c r="V144">
        <f t="shared" si="63"/>
        <v>-8275382.5355999991</v>
      </c>
      <c r="W144">
        <f t="shared" si="64"/>
        <v>-13776287.3266</v>
      </c>
      <c r="X144">
        <f t="shared" si="65"/>
        <v>-17426033.6996</v>
      </c>
      <c r="Z144">
        <f t="shared" si="66"/>
        <v>2435299.1999999997</v>
      </c>
      <c r="AA144">
        <f t="shared" si="67"/>
        <v>2215445.8000000003</v>
      </c>
      <c r="AB144">
        <f t="shared" si="68"/>
        <v>-3583516.5631999993</v>
      </c>
      <c r="AC144">
        <f t="shared" si="69"/>
        <v>-11422358.992799999</v>
      </c>
      <c r="AD144">
        <f t="shared" si="70"/>
        <v>-18301345.207600001</v>
      </c>
      <c r="AE144">
        <f t="shared" si="71"/>
        <v>-22568142.0044</v>
      </c>
    </row>
    <row r="145" spans="1:31" x14ac:dyDescent="0.25">
      <c r="A145">
        <v>27.06280005</v>
      </c>
      <c r="B145">
        <v>121.9788602</v>
      </c>
      <c r="C145">
        <v>6.4116277699999999</v>
      </c>
      <c r="D145">
        <v>0.83252800000000005</v>
      </c>
      <c r="E145" t="b">
        <f t="shared" si="48"/>
        <v>0</v>
      </c>
      <c r="F145">
        <f t="shared" si="49"/>
        <v>-31.225610849999999</v>
      </c>
      <c r="G145">
        <f t="shared" si="50"/>
        <v>-63.283749699999994</v>
      </c>
      <c r="H145">
        <f t="shared" si="51"/>
        <v>-95.341888550000007</v>
      </c>
      <c r="I145">
        <f t="shared" si="52"/>
        <v>-127.4000274</v>
      </c>
      <c r="J145">
        <f t="shared" si="53"/>
        <v>-159.45816625</v>
      </c>
      <c r="L145">
        <f t="shared" si="54"/>
        <v>1681706.56</v>
      </c>
      <c r="M145">
        <f t="shared" si="55"/>
        <v>-53708050.662</v>
      </c>
      <c r="N145">
        <f t="shared" si="56"/>
        <v>-93659949.555999994</v>
      </c>
      <c r="O145">
        <f t="shared" si="57"/>
        <v>-106782915.17600003</v>
      </c>
      <c r="P145">
        <f t="shared" si="58"/>
        <v>-117208025.20799999</v>
      </c>
      <c r="Q145">
        <f t="shared" si="59"/>
        <v>-137134022.97499999</v>
      </c>
      <c r="S145">
        <f t="shared" si="60"/>
        <v>2039693.6</v>
      </c>
      <c r="T145">
        <f t="shared" si="61"/>
        <v>-137325736.84899998</v>
      </c>
      <c r="U145">
        <f t="shared" si="62"/>
        <v>-117707774.44199999</v>
      </c>
      <c r="V145">
        <f t="shared" si="63"/>
        <v>-135385481.741</v>
      </c>
      <c r="W145">
        <f t="shared" si="64"/>
        <v>-174538037.53800002</v>
      </c>
      <c r="X145">
        <f t="shared" si="65"/>
        <v>-194538962.82499999</v>
      </c>
      <c r="Z145">
        <f t="shared" si="66"/>
        <v>2397680.6400000001</v>
      </c>
      <c r="AA145">
        <f t="shared" si="67"/>
        <v>-81811100.427000001</v>
      </c>
      <c r="AB145">
        <f t="shared" si="68"/>
        <v>-141755599.32800001</v>
      </c>
      <c r="AC145">
        <f t="shared" si="69"/>
        <v>-186870101.55800003</v>
      </c>
      <c r="AD145">
        <f t="shared" si="70"/>
        <v>-231868049.86800003</v>
      </c>
      <c r="AE145">
        <f t="shared" si="71"/>
        <v>-251943902.67500001</v>
      </c>
    </row>
    <row r="146" spans="1:31" x14ac:dyDescent="0.25">
      <c r="A146">
        <v>28.338897320000001</v>
      </c>
      <c r="B146">
        <v>124.9404548</v>
      </c>
      <c r="C146">
        <v>6.4015440899999998</v>
      </c>
      <c r="D146">
        <v>2.4486129299999999</v>
      </c>
      <c r="E146" t="b">
        <f t="shared" si="48"/>
        <v>0</v>
      </c>
      <c r="F146">
        <f t="shared" si="49"/>
        <v>-29.559107520000001</v>
      </c>
      <c r="G146">
        <f t="shared" si="50"/>
        <v>-61.566827969999999</v>
      </c>
      <c r="H146">
        <f t="shared" si="51"/>
        <v>-93.574548419999999</v>
      </c>
      <c r="I146">
        <f t="shared" si="52"/>
        <v>-125.58226887000001</v>
      </c>
      <c r="J146">
        <f t="shared" si="53"/>
        <v>-157.58998932</v>
      </c>
      <c r="L146">
        <f t="shared" si="54"/>
        <v>4946198.1185999997</v>
      </c>
      <c r="M146">
        <f t="shared" si="55"/>
        <v>-50841664.934400007</v>
      </c>
      <c r="N146">
        <f t="shared" si="56"/>
        <v>-91118905.395599991</v>
      </c>
      <c r="O146">
        <f t="shared" si="57"/>
        <v>-104803494.23040001</v>
      </c>
      <c r="P146">
        <f t="shared" si="58"/>
        <v>-115535687.36039999</v>
      </c>
      <c r="Q146">
        <f t="shared" si="59"/>
        <v>-135527390.8152</v>
      </c>
      <c r="S146">
        <f t="shared" si="60"/>
        <v>5999101.6784999995</v>
      </c>
      <c r="T146">
        <f t="shared" si="61"/>
        <v>-133600016.69489999</v>
      </c>
      <c r="U146">
        <f t="shared" si="62"/>
        <v>-114514300.02419999</v>
      </c>
      <c r="V146">
        <f t="shared" si="63"/>
        <v>-132875858.75639999</v>
      </c>
      <c r="W146">
        <f t="shared" si="64"/>
        <v>-172047708.35190001</v>
      </c>
      <c r="X146">
        <f t="shared" si="65"/>
        <v>-192259786.97039998</v>
      </c>
      <c r="Z146">
        <f t="shared" si="66"/>
        <v>7052005.2383999992</v>
      </c>
      <c r="AA146">
        <f t="shared" si="67"/>
        <v>-77444861.702399999</v>
      </c>
      <c r="AB146">
        <f t="shared" si="68"/>
        <v>-137909694.65280002</v>
      </c>
      <c r="AC146">
        <f t="shared" si="69"/>
        <v>-183406114.9032</v>
      </c>
      <c r="AD146">
        <f t="shared" si="70"/>
        <v>-228559729.34340003</v>
      </c>
      <c r="AE146">
        <f t="shared" si="71"/>
        <v>-248992183.12560001</v>
      </c>
    </row>
    <row r="147" spans="1:31" x14ac:dyDescent="0.25">
      <c r="A147">
        <v>28.60607933</v>
      </c>
      <c r="B147">
        <v>106.0862017</v>
      </c>
      <c r="C147">
        <v>7.7793899999999997E-3</v>
      </c>
      <c r="D147">
        <v>0.107243</v>
      </c>
      <c r="E147" t="b">
        <f t="shared" si="48"/>
        <v>1</v>
      </c>
      <c r="F147">
        <f t="shared" si="49"/>
        <v>6.8346050000000005E-2</v>
      </c>
      <c r="G147">
        <f t="shared" si="50"/>
        <v>2.9449100000000006E-2</v>
      </c>
      <c r="H147">
        <f t="shared" si="51"/>
        <v>-9.4478499999999938E-3</v>
      </c>
      <c r="I147">
        <f t="shared" si="52"/>
        <v>-4.8344799999999993E-2</v>
      </c>
      <c r="J147">
        <f t="shared" si="53"/>
        <v>-8.7241749999999979E-2</v>
      </c>
      <c r="L147">
        <f t="shared" si="54"/>
        <v>15714.367799999998</v>
      </c>
      <c r="M147">
        <f t="shared" si="55"/>
        <v>13380.550800000001</v>
      </c>
      <c r="N147">
        <f t="shared" si="56"/>
        <v>11513.4972</v>
      </c>
      <c r="O147">
        <f t="shared" si="57"/>
        <v>-10581.591999999993</v>
      </c>
      <c r="P147">
        <f t="shared" si="58"/>
        <v>-44477.215999999993</v>
      </c>
      <c r="Q147">
        <f t="shared" si="59"/>
        <v>-75027.904999999984</v>
      </c>
      <c r="S147">
        <f t="shared" si="60"/>
        <v>19059.505499999999</v>
      </c>
      <c r="T147">
        <f t="shared" si="61"/>
        <v>16881.276299999998</v>
      </c>
      <c r="U147">
        <f t="shared" si="62"/>
        <v>14469.665399999998</v>
      </c>
      <c r="V147">
        <f t="shared" si="63"/>
        <v>-13415.946999999989</v>
      </c>
      <c r="W147">
        <f t="shared" si="64"/>
        <v>-66232.376000000004</v>
      </c>
      <c r="X147">
        <f t="shared" si="65"/>
        <v>-106434.93499999998</v>
      </c>
      <c r="Z147">
        <f t="shared" si="66"/>
        <v>22404.643199999999</v>
      </c>
      <c r="AA147">
        <f t="shared" si="67"/>
        <v>20382.001799999998</v>
      </c>
      <c r="AB147">
        <f t="shared" si="68"/>
        <v>17425.833600000002</v>
      </c>
      <c r="AC147">
        <f t="shared" si="69"/>
        <v>-18517.785999999986</v>
      </c>
      <c r="AD147">
        <f t="shared" si="70"/>
        <v>-87987.535999999993</v>
      </c>
      <c r="AE147">
        <f t="shared" si="71"/>
        <v>-137841.965</v>
      </c>
    </row>
    <row r="148" spans="1:31" x14ac:dyDescent="0.25">
      <c r="A148">
        <v>28.615924450000001</v>
      </c>
      <c r="B148">
        <v>125.2132826</v>
      </c>
      <c r="C148">
        <v>38.936824799999997</v>
      </c>
      <c r="D148">
        <v>0.112636</v>
      </c>
      <c r="E148" t="b">
        <f t="shared" si="48"/>
        <v>0</v>
      </c>
      <c r="F148">
        <f t="shared" si="49"/>
        <v>-194.57148799999999</v>
      </c>
      <c r="G148">
        <f t="shared" si="50"/>
        <v>-389.25561199999999</v>
      </c>
      <c r="H148">
        <f t="shared" si="51"/>
        <v>-583.93973600000004</v>
      </c>
      <c r="I148">
        <f t="shared" si="52"/>
        <v>-778.62386000000004</v>
      </c>
      <c r="J148">
        <f t="shared" si="53"/>
        <v>-973.30798399999992</v>
      </c>
      <c r="L148">
        <f t="shared" si="54"/>
        <v>227524.72</v>
      </c>
      <c r="M148">
        <f t="shared" si="55"/>
        <v>-334662959.36000001</v>
      </c>
      <c r="N148">
        <f t="shared" si="56"/>
        <v>-576098305.75999999</v>
      </c>
      <c r="O148">
        <f t="shared" si="57"/>
        <v>-654012504.32000005</v>
      </c>
      <c r="P148">
        <f t="shared" si="58"/>
        <v>-716333951.19999993</v>
      </c>
      <c r="Q148">
        <f t="shared" si="59"/>
        <v>-837044866.23999989</v>
      </c>
      <c r="S148">
        <f t="shared" si="60"/>
        <v>275958.2</v>
      </c>
      <c r="T148">
        <f t="shared" si="61"/>
        <v>-844684678.03999996</v>
      </c>
      <c r="U148">
        <f t="shared" si="62"/>
        <v>-724015438.31999993</v>
      </c>
      <c r="V148">
        <f t="shared" si="63"/>
        <v>-829194425.12</v>
      </c>
      <c r="W148">
        <f t="shared" si="64"/>
        <v>-1066714688.2</v>
      </c>
      <c r="X148">
        <f t="shared" si="65"/>
        <v>-1187435740.4799998</v>
      </c>
      <c r="Z148">
        <f t="shared" si="66"/>
        <v>324391.67999999999</v>
      </c>
      <c r="AA148">
        <f t="shared" si="67"/>
        <v>-509777298.56</v>
      </c>
      <c r="AB148">
        <f t="shared" si="68"/>
        <v>-871932570.88000011</v>
      </c>
      <c r="AC148">
        <f t="shared" si="69"/>
        <v>-1144521882.5599999</v>
      </c>
      <c r="AD148">
        <f t="shared" si="70"/>
        <v>-1417095425.2</v>
      </c>
      <c r="AE148">
        <f t="shared" si="71"/>
        <v>-1537826614.7199998</v>
      </c>
    </row>
    <row r="149" spans="1:31" x14ac:dyDescent="0.25">
      <c r="A149">
        <v>28.72320156</v>
      </c>
      <c r="B149">
        <v>125.1322882</v>
      </c>
      <c r="C149">
        <v>36.828468319999999</v>
      </c>
      <c r="D149">
        <v>2.2600700900000001</v>
      </c>
      <c r="E149" t="b">
        <f t="shared" si="48"/>
        <v>0</v>
      </c>
      <c r="F149">
        <f t="shared" si="49"/>
        <v>-181.88227151000001</v>
      </c>
      <c r="G149">
        <f t="shared" si="50"/>
        <v>-366.02461311000002</v>
      </c>
      <c r="H149">
        <f t="shared" si="51"/>
        <v>-550.16695471000003</v>
      </c>
      <c r="I149">
        <f t="shared" si="52"/>
        <v>-734.30929631000004</v>
      </c>
      <c r="J149">
        <f t="shared" si="53"/>
        <v>-918.45163790999993</v>
      </c>
      <c r="L149">
        <f t="shared" si="54"/>
        <v>4565341.5818000007</v>
      </c>
      <c r="M149">
        <f t="shared" si="55"/>
        <v>-312837506.99720007</v>
      </c>
      <c r="N149">
        <f t="shared" si="56"/>
        <v>-541716427.40279996</v>
      </c>
      <c r="O149">
        <f t="shared" si="57"/>
        <v>-616186989.27520013</v>
      </c>
      <c r="P149">
        <f t="shared" si="58"/>
        <v>-675564552.60520005</v>
      </c>
      <c r="Q149">
        <f t="shared" si="59"/>
        <v>-789868408.60259998</v>
      </c>
      <c r="S149">
        <f t="shared" si="60"/>
        <v>5537171.7205000008</v>
      </c>
      <c r="T149">
        <f t="shared" si="61"/>
        <v>-794273410.44869995</v>
      </c>
      <c r="U149">
        <f t="shared" si="62"/>
        <v>-680805780.38459992</v>
      </c>
      <c r="V149">
        <f t="shared" si="63"/>
        <v>-781237075.6882</v>
      </c>
      <c r="W149">
        <f t="shared" si="64"/>
        <v>-1006003735.9447001</v>
      </c>
      <c r="X149">
        <f t="shared" si="65"/>
        <v>-1120510998.2502</v>
      </c>
      <c r="Z149">
        <f t="shared" si="66"/>
        <v>6509001.8592000008</v>
      </c>
      <c r="AA149">
        <f t="shared" si="67"/>
        <v>-476531551.3562001</v>
      </c>
      <c r="AB149">
        <f t="shared" si="68"/>
        <v>-819895133.36640012</v>
      </c>
      <c r="AC149">
        <f t="shared" si="69"/>
        <v>-1078327231.2316</v>
      </c>
      <c r="AD149">
        <f t="shared" si="70"/>
        <v>-1336442919.2842002</v>
      </c>
      <c r="AE149">
        <f t="shared" si="71"/>
        <v>-1451153587.8978</v>
      </c>
    </row>
    <row r="150" spans="1:31" x14ac:dyDescent="0.25">
      <c r="A150">
        <v>28.758788670000001</v>
      </c>
      <c r="B150">
        <v>124.9294289</v>
      </c>
      <c r="C150">
        <v>38.395996089999997</v>
      </c>
      <c r="D150">
        <v>0.24486100999999999</v>
      </c>
      <c r="E150" t="b">
        <f t="shared" si="48"/>
        <v>0</v>
      </c>
      <c r="F150">
        <f t="shared" si="49"/>
        <v>-191.73511943999998</v>
      </c>
      <c r="G150">
        <f t="shared" si="50"/>
        <v>-383.71509988999992</v>
      </c>
      <c r="H150">
        <f t="shared" si="51"/>
        <v>-575.69508033999989</v>
      </c>
      <c r="I150">
        <f t="shared" si="52"/>
        <v>-767.67506078999986</v>
      </c>
      <c r="J150">
        <f t="shared" si="53"/>
        <v>-959.65504123999995</v>
      </c>
      <c r="L150">
        <f t="shared" si="54"/>
        <v>494619.24019999994</v>
      </c>
      <c r="M150">
        <f t="shared" si="55"/>
        <v>-329784405.4368</v>
      </c>
      <c r="N150">
        <f t="shared" si="56"/>
        <v>-567898347.83719993</v>
      </c>
      <c r="O150">
        <f t="shared" si="57"/>
        <v>-644778489.98079991</v>
      </c>
      <c r="P150">
        <f t="shared" si="58"/>
        <v>-706261055.92679977</v>
      </c>
      <c r="Q150">
        <f t="shared" si="59"/>
        <v>-825303335.46639991</v>
      </c>
      <c r="S150">
        <f t="shared" si="60"/>
        <v>599909.47450000001</v>
      </c>
      <c r="T150">
        <f t="shared" si="61"/>
        <v>-832661766.76129985</v>
      </c>
      <c r="U150">
        <f t="shared" si="62"/>
        <v>-713710085.79539979</v>
      </c>
      <c r="V150">
        <f t="shared" si="63"/>
        <v>-817487014.08279979</v>
      </c>
      <c r="W150">
        <f t="shared" si="64"/>
        <v>-1051714833.2822999</v>
      </c>
      <c r="X150">
        <f t="shared" si="65"/>
        <v>-1170779150.3127999</v>
      </c>
      <c r="Z150">
        <f t="shared" si="66"/>
        <v>705199.70879999991</v>
      </c>
      <c r="AA150">
        <f t="shared" si="67"/>
        <v>-502346012.93279994</v>
      </c>
      <c r="AB150">
        <f t="shared" si="68"/>
        <v>-859521823.75359988</v>
      </c>
      <c r="AC150">
        <f t="shared" si="69"/>
        <v>-1128362357.4663999</v>
      </c>
      <c r="AD150">
        <f t="shared" si="70"/>
        <v>-1397168610.6377997</v>
      </c>
      <c r="AE150">
        <f t="shared" si="71"/>
        <v>-1516254965.1592</v>
      </c>
    </row>
    <row r="151" spans="1:31" x14ac:dyDescent="0.25">
      <c r="A151">
        <v>28.782323359999999</v>
      </c>
      <c r="B151">
        <v>104.8447189</v>
      </c>
      <c r="C151">
        <v>1.096317E-2</v>
      </c>
      <c r="D151">
        <v>1.1370999799999999</v>
      </c>
      <c r="E151" t="b">
        <f t="shared" si="48"/>
        <v>1</v>
      </c>
      <c r="F151">
        <f t="shared" si="49"/>
        <v>1.0822841299999999</v>
      </c>
      <c r="G151">
        <f t="shared" si="50"/>
        <v>1.0274682799999999</v>
      </c>
      <c r="H151">
        <f t="shared" si="51"/>
        <v>0.9726524299999999</v>
      </c>
      <c r="I151">
        <f t="shared" si="52"/>
        <v>0.9178365799999999</v>
      </c>
      <c r="J151">
        <f t="shared" si="53"/>
        <v>0.8630207299999999</v>
      </c>
      <c r="L151">
        <f t="shared" si="54"/>
        <v>22145.6034</v>
      </c>
      <c r="M151">
        <f t="shared" si="55"/>
        <v>18856.652400000003</v>
      </c>
      <c r="N151">
        <f t="shared" si="56"/>
        <v>16225.491599999999</v>
      </c>
      <c r="O151">
        <f t="shared" si="57"/>
        <v>12278.750400000001</v>
      </c>
      <c r="P151">
        <f t="shared" si="58"/>
        <v>10086.116399999999</v>
      </c>
      <c r="Q151">
        <f t="shared" si="59"/>
        <v>9428.3261999999995</v>
      </c>
      <c r="S151">
        <f t="shared" si="60"/>
        <v>26859.766500000002</v>
      </c>
      <c r="T151">
        <f t="shared" si="61"/>
        <v>23790.0789</v>
      </c>
      <c r="U151">
        <f t="shared" si="62"/>
        <v>20391.496199999998</v>
      </c>
      <c r="V151">
        <f t="shared" si="63"/>
        <v>15567.7014</v>
      </c>
      <c r="W151">
        <f t="shared" si="64"/>
        <v>15019.5429</v>
      </c>
      <c r="X151">
        <f t="shared" si="65"/>
        <v>13375.0674</v>
      </c>
      <c r="Z151">
        <f t="shared" si="66"/>
        <v>31573.929599999999</v>
      </c>
      <c r="AA151">
        <f t="shared" si="67"/>
        <v>28723.505400000002</v>
      </c>
      <c r="AB151">
        <f t="shared" si="68"/>
        <v>24557.500800000002</v>
      </c>
      <c r="AC151">
        <f t="shared" si="69"/>
        <v>21487.813200000001</v>
      </c>
      <c r="AD151">
        <f t="shared" si="70"/>
        <v>19952.969400000002</v>
      </c>
      <c r="AE151">
        <f t="shared" si="71"/>
        <v>17321.8086</v>
      </c>
    </row>
    <row r="152" spans="1:31" x14ac:dyDescent="0.25">
      <c r="A152">
        <v>28.865887050000001</v>
      </c>
      <c r="B152">
        <v>124.8479419</v>
      </c>
      <c r="C152">
        <v>2.75962591</v>
      </c>
      <c r="D152">
        <v>3.6729190300000001</v>
      </c>
      <c r="E152" t="b">
        <f t="shared" si="48"/>
        <v>1</v>
      </c>
      <c r="F152">
        <f t="shared" si="49"/>
        <v>-10.12521052</v>
      </c>
      <c r="G152">
        <f t="shared" si="50"/>
        <v>-23.923340070000002</v>
      </c>
      <c r="H152">
        <f t="shared" si="51"/>
        <v>-37.721469620000001</v>
      </c>
      <c r="I152">
        <f t="shared" si="52"/>
        <v>-51.519599169999999</v>
      </c>
      <c r="J152">
        <f t="shared" si="53"/>
        <v>-65.317728719999991</v>
      </c>
      <c r="L152">
        <f t="shared" si="54"/>
        <v>5574444.3382000001</v>
      </c>
      <c r="M152">
        <f t="shared" si="55"/>
        <v>-17415362.0944</v>
      </c>
      <c r="N152">
        <f t="shared" si="56"/>
        <v>-35406543.303599998</v>
      </c>
      <c r="O152">
        <f t="shared" si="57"/>
        <v>-42248045.974399999</v>
      </c>
      <c r="P152">
        <f t="shared" si="58"/>
        <v>-47398031.236400001</v>
      </c>
      <c r="Q152">
        <f t="shared" si="59"/>
        <v>-56173246.699199989</v>
      </c>
      <c r="S152">
        <f t="shared" si="60"/>
        <v>6761083.4795000013</v>
      </c>
      <c r="T152">
        <f t="shared" si="61"/>
        <v>-51913647.951899998</v>
      </c>
      <c r="U152">
        <f t="shared" si="62"/>
        <v>-44497412.530199997</v>
      </c>
      <c r="V152">
        <f t="shared" si="63"/>
        <v>-53564486.860399991</v>
      </c>
      <c r="W152">
        <f t="shared" si="64"/>
        <v>-70581850.862900004</v>
      </c>
      <c r="X152">
        <f t="shared" si="65"/>
        <v>-79687629.038399994</v>
      </c>
      <c r="Z152">
        <f t="shared" si="66"/>
        <v>7947722.6207999997</v>
      </c>
      <c r="AA152">
        <f t="shared" si="67"/>
        <v>-26528051.562399998</v>
      </c>
      <c r="AB152">
        <f t="shared" si="68"/>
        <v>-53588281.756800003</v>
      </c>
      <c r="AC152">
        <f t="shared" si="69"/>
        <v>-73934080.455199987</v>
      </c>
      <c r="AD152">
        <f t="shared" si="70"/>
        <v>-93765670.489399999</v>
      </c>
      <c r="AE152">
        <f t="shared" si="71"/>
        <v>-103202011.37759998</v>
      </c>
    </row>
    <row r="153" spans="1:31" x14ac:dyDescent="0.25">
      <c r="A153">
        <v>28.877602020000001</v>
      </c>
      <c r="B153">
        <v>106.65619940000001</v>
      </c>
      <c r="C153">
        <v>7.7793899999999997E-3</v>
      </c>
      <c r="D153">
        <v>1.0635230499999999</v>
      </c>
      <c r="E153" t="b">
        <f t="shared" si="48"/>
        <v>1</v>
      </c>
      <c r="F153">
        <f t="shared" si="49"/>
        <v>1.0246260999999999</v>
      </c>
      <c r="G153">
        <f t="shared" si="50"/>
        <v>0.98572914999999994</v>
      </c>
      <c r="H153">
        <f t="shared" si="51"/>
        <v>0.9468321999999999</v>
      </c>
      <c r="I153">
        <f t="shared" si="52"/>
        <v>0.90793524999999997</v>
      </c>
      <c r="J153">
        <f t="shared" si="53"/>
        <v>0.86903829999999993</v>
      </c>
      <c r="L153">
        <f t="shared" si="54"/>
        <v>15714.367799999998</v>
      </c>
      <c r="M153">
        <f t="shared" si="55"/>
        <v>13380.550800000001</v>
      </c>
      <c r="N153">
        <f t="shared" si="56"/>
        <v>11513.4972</v>
      </c>
      <c r="O153">
        <f t="shared" si="57"/>
        <v>8712.9168000000009</v>
      </c>
      <c r="P153">
        <f t="shared" si="58"/>
        <v>7157.0387999999994</v>
      </c>
      <c r="Q153">
        <f t="shared" si="59"/>
        <v>6690.2753999999995</v>
      </c>
      <c r="S153">
        <f t="shared" si="60"/>
        <v>19059.505499999999</v>
      </c>
      <c r="T153">
        <f t="shared" si="61"/>
        <v>16881.276299999998</v>
      </c>
      <c r="U153">
        <f t="shared" si="62"/>
        <v>14469.665399999998</v>
      </c>
      <c r="V153">
        <f t="shared" si="63"/>
        <v>11046.733799999998</v>
      </c>
      <c r="W153">
        <f t="shared" si="64"/>
        <v>10657.764300000001</v>
      </c>
      <c r="X153">
        <f t="shared" si="65"/>
        <v>9490.8557999999994</v>
      </c>
      <c r="Z153">
        <f t="shared" si="66"/>
        <v>22404.643199999999</v>
      </c>
      <c r="AA153">
        <f t="shared" si="67"/>
        <v>20382.001799999998</v>
      </c>
      <c r="AB153">
        <f t="shared" si="68"/>
        <v>17425.833600000002</v>
      </c>
      <c r="AC153">
        <f t="shared" si="69"/>
        <v>15247.604399999998</v>
      </c>
      <c r="AD153">
        <f t="shared" si="70"/>
        <v>14158.489799999999</v>
      </c>
      <c r="AE153">
        <f t="shared" si="71"/>
        <v>12291.4362</v>
      </c>
    </row>
    <row r="154" spans="1:31" x14ac:dyDescent="0.25">
      <c r="A154">
        <v>28.955630970000001</v>
      </c>
      <c r="B154">
        <v>125.1323223</v>
      </c>
      <c r="C154">
        <v>13.43220043</v>
      </c>
      <c r="D154">
        <v>1.4691679499999999</v>
      </c>
      <c r="E154" t="b">
        <f t="shared" si="48"/>
        <v>0</v>
      </c>
      <c r="F154">
        <f t="shared" si="49"/>
        <v>-65.691834200000002</v>
      </c>
      <c r="G154">
        <f t="shared" si="50"/>
        <v>-132.85283634999999</v>
      </c>
      <c r="H154">
        <f t="shared" si="51"/>
        <v>-200.01383849999999</v>
      </c>
      <c r="I154">
        <f t="shared" si="52"/>
        <v>-267.17484065000002</v>
      </c>
      <c r="J154">
        <f t="shared" si="53"/>
        <v>-334.33584280000002</v>
      </c>
      <c r="L154">
        <f t="shared" si="54"/>
        <v>2967719.2590000001</v>
      </c>
      <c r="M154">
        <f t="shared" si="55"/>
        <v>-112989954.82400002</v>
      </c>
      <c r="N154">
        <f t="shared" si="56"/>
        <v>-196622197.79799998</v>
      </c>
      <c r="O154">
        <f t="shared" si="57"/>
        <v>-224015499.12000003</v>
      </c>
      <c r="P154">
        <f t="shared" si="58"/>
        <v>-245800853.398</v>
      </c>
      <c r="Q154">
        <f t="shared" si="59"/>
        <v>-287528824.80800003</v>
      </c>
      <c r="S154">
        <f t="shared" si="60"/>
        <v>3599461.4775</v>
      </c>
      <c r="T154">
        <f t="shared" si="61"/>
        <v>-288290654.87949997</v>
      </c>
      <c r="U154">
        <f t="shared" si="62"/>
        <v>-247106275.61099997</v>
      </c>
      <c r="V154">
        <f t="shared" si="63"/>
        <v>-284019650.66999996</v>
      </c>
      <c r="W154">
        <f t="shared" si="64"/>
        <v>-366029531.69050008</v>
      </c>
      <c r="X154">
        <f t="shared" si="65"/>
        <v>-407889728.21600002</v>
      </c>
      <c r="Z154">
        <f t="shared" si="66"/>
        <v>4231203.6959999995</v>
      </c>
      <c r="AA154">
        <f t="shared" si="67"/>
        <v>-172112605.604</v>
      </c>
      <c r="AB154">
        <f t="shared" si="68"/>
        <v>-297590353.42400002</v>
      </c>
      <c r="AC154">
        <f t="shared" si="69"/>
        <v>-392027123.45999998</v>
      </c>
      <c r="AD154">
        <f t="shared" si="70"/>
        <v>-486258209.9830001</v>
      </c>
      <c r="AE154">
        <f t="shared" si="71"/>
        <v>-528250631.62400001</v>
      </c>
    </row>
    <row r="155" spans="1:31" x14ac:dyDescent="0.25">
      <c r="A155">
        <v>28.969173860000001</v>
      </c>
      <c r="B155">
        <v>105.4125386</v>
      </c>
      <c r="C155">
        <v>1.99775696</v>
      </c>
      <c r="D155">
        <v>1.418E-2</v>
      </c>
      <c r="E155" t="b">
        <f t="shared" si="48"/>
        <v>0</v>
      </c>
      <c r="F155">
        <f t="shared" si="49"/>
        <v>-9.9746047999999998</v>
      </c>
      <c r="G155">
        <f t="shared" si="50"/>
        <v>-19.963389599999999</v>
      </c>
      <c r="H155">
        <f t="shared" si="51"/>
        <v>-29.952174400000001</v>
      </c>
      <c r="I155">
        <f t="shared" si="52"/>
        <v>-39.940959199999995</v>
      </c>
      <c r="J155">
        <f t="shared" si="53"/>
        <v>-49.929743999999999</v>
      </c>
      <c r="L155">
        <f t="shared" si="54"/>
        <v>28643.599999999999</v>
      </c>
      <c r="M155">
        <f t="shared" si="55"/>
        <v>-17156320.256000005</v>
      </c>
      <c r="N155">
        <f t="shared" si="56"/>
        <v>-29545816.607999995</v>
      </c>
      <c r="O155">
        <f t="shared" si="57"/>
        <v>-33546435.328000005</v>
      </c>
      <c r="P155">
        <f t="shared" si="58"/>
        <v>-36745682.463999994</v>
      </c>
      <c r="Q155">
        <f t="shared" si="59"/>
        <v>-42939579.839999996</v>
      </c>
      <c r="S155">
        <f t="shared" si="60"/>
        <v>34741</v>
      </c>
      <c r="T155">
        <f t="shared" si="61"/>
        <v>-43320555.431999996</v>
      </c>
      <c r="U155">
        <f t="shared" si="62"/>
        <v>-37131904.655999996</v>
      </c>
      <c r="V155">
        <f t="shared" si="63"/>
        <v>-42532087.648000002</v>
      </c>
      <c r="W155">
        <f t="shared" si="64"/>
        <v>-54719114.103999995</v>
      </c>
      <c r="X155">
        <f t="shared" si="65"/>
        <v>-60914287.68</v>
      </c>
      <c r="Z155">
        <f t="shared" si="66"/>
        <v>40838.400000000001</v>
      </c>
      <c r="AA155">
        <f t="shared" si="67"/>
        <v>-26133464.576000001</v>
      </c>
      <c r="AB155">
        <f t="shared" si="68"/>
        <v>-44717992.703999996</v>
      </c>
      <c r="AC155">
        <f t="shared" si="69"/>
        <v>-58706261.824000001</v>
      </c>
      <c r="AD155">
        <f t="shared" si="70"/>
        <v>-72692545.743999988</v>
      </c>
      <c r="AE155">
        <f t="shared" si="71"/>
        <v>-78888995.520000011</v>
      </c>
    </row>
    <row r="156" spans="1:31" x14ac:dyDescent="0.25">
      <c r="A156">
        <v>28.99123427</v>
      </c>
      <c r="B156">
        <v>124.92890920000001</v>
      </c>
      <c r="C156">
        <v>30.951210020000001</v>
      </c>
      <c r="D156">
        <v>0.24595800000000001</v>
      </c>
      <c r="E156" t="b">
        <f t="shared" si="48"/>
        <v>0</v>
      </c>
      <c r="F156">
        <f t="shared" si="49"/>
        <v>-154.51009210000001</v>
      </c>
      <c r="G156">
        <f t="shared" si="50"/>
        <v>-309.26614220000005</v>
      </c>
      <c r="H156">
        <f t="shared" si="51"/>
        <v>-464.02219230000003</v>
      </c>
      <c r="I156">
        <f t="shared" si="52"/>
        <v>-618.77824240000007</v>
      </c>
      <c r="J156">
        <f t="shared" si="53"/>
        <v>-773.53429250000011</v>
      </c>
      <c r="L156">
        <f t="shared" si="54"/>
        <v>496835.16000000003</v>
      </c>
      <c r="M156">
        <f t="shared" si="55"/>
        <v>-265757358.41200003</v>
      </c>
      <c r="N156">
        <f t="shared" si="56"/>
        <v>-457713890.45600009</v>
      </c>
      <c r="O156">
        <f t="shared" si="57"/>
        <v>-519704855.37600005</v>
      </c>
      <c r="P156">
        <f t="shared" si="58"/>
        <v>-569275983.00800002</v>
      </c>
      <c r="Q156">
        <f t="shared" si="59"/>
        <v>-665239491.55000007</v>
      </c>
      <c r="S156">
        <f t="shared" si="60"/>
        <v>602597.10000000009</v>
      </c>
      <c r="T156">
        <f t="shared" si="61"/>
        <v>-671107528.57400012</v>
      </c>
      <c r="U156">
        <f t="shared" si="62"/>
        <v>-575235024.4920001</v>
      </c>
      <c r="V156">
        <f t="shared" si="63"/>
        <v>-658911513.06599998</v>
      </c>
      <c r="W156">
        <f t="shared" si="64"/>
        <v>-847726192.08800018</v>
      </c>
      <c r="X156">
        <f t="shared" si="65"/>
        <v>-943711836.85000014</v>
      </c>
      <c r="Z156">
        <f t="shared" si="66"/>
        <v>708359.03999999992</v>
      </c>
      <c r="AA156">
        <f t="shared" si="67"/>
        <v>-404816441.30199999</v>
      </c>
      <c r="AB156">
        <f t="shared" si="68"/>
        <v>-692756158.52800012</v>
      </c>
      <c r="AC156">
        <f t="shared" si="69"/>
        <v>-909483496.90799999</v>
      </c>
      <c r="AD156">
        <f t="shared" si="70"/>
        <v>-1126176401.1680002</v>
      </c>
      <c r="AE156">
        <f t="shared" si="71"/>
        <v>-1222184182.1500003</v>
      </c>
    </row>
    <row r="157" spans="1:31" x14ac:dyDescent="0.25">
      <c r="A157">
        <v>29.06087526</v>
      </c>
      <c r="B157">
        <v>105.5157154</v>
      </c>
      <c r="C157">
        <v>6.5144250000000001E-2</v>
      </c>
      <c r="D157">
        <v>0.489622</v>
      </c>
      <c r="E157" t="b">
        <f t="shared" si="48"/>
        <v>1</v>
      </c>
      <c r="F157">
        <f t="shared" si="49"/>
        <v>0.16390074999999998</v>
      </c>
      <c r="G157">
        <f t="shared" si="50"/>
        <v>-0.16182050000000003</v>
      </c>
      <c r="H157">
        <f t="shared" si="51"/>
        <v>-0.48754175</v>
      </c>
      <c r="I157">
        <f t="shared" si="52"/>
        <v>-0.81326300000000007</v>
      </c>
      <c r="J157">
        <f t="shared" si="53"/>
        <v>-1.13898425</v>
      </c>
      <c r="L157">
        <f t="shared" si="54"/>
        <v>131591.38500000001</v>
      </c>
      <c r="M157">
        <f t="shared" si="55"/>
        <v>112048.11000000002</v>
      </c>
      <c r="N157">
        <f t="shared" si="56"/>
        <v>-239494.34000000005</v>
      </c>
      <c r="O157">
        <f t="shared" si="57"/>
        <v>-546046.76</v>
      </c>
      <c r="P157">
        <f t="shared" si="58"/>
        <v>-748201.96000000008</v>
      </c>
      <c r="Q157">
        <f t="shared" si="59"/>
        <v>-979526.45499999996</v>
      </c>
      <c r="S157">
        <f t="shared" si="60"/>
        <v>159603.41250000001</v>
      </c>
      <c r="T157">
        <f t="shared" si="61"/>
        <v>-351150.48500000004</v>
      </c>
      <c r="U157">
        <f t="shared" si="62"/>
        <v>-300986.13000000006</v>
      </c>
      <c r="V157">
        <f t="shared" si="63"/>
        <v>-692309.28499999992</v>
      </c>
      <c r="W157">
        <f t="shared" si="64"/>
        <v>-1114170.3100000003</v>
      </c>
      <c r="X157">
        <f t="shared" si="65"/>
        <v>-1389560.7849999999</v>
      </c>
      <c r="Z157">
        <f t="shared" si="66"/>
        <v>187615.44</v>
      </c>
      <c r="AA157">
        <f t="shared" si="67"/>
        <v>170677.935</v>
      </c>
      <c r="AB157">
        <f t="shared" si="68"/>
        <v>-362477.9200000001</v>
      </c>
      <c r="AC157">
        <f t="shared" si="69"/>
        <v>-955581.83</v>
      </c>
      <c r="AD157">
        <f t="shared" si="70"/>
        <v>-1480138.6600000001</v>
      </c>
      <c r="AE157">
        <f t="shared" si="71"/>
        <v>-1799595.115</v>
      </c>
    </row>
    <row r="158" spans="1:31" x14ac:dyDescent="0.25">
      <c r="A158">
        <v>29.08069841</v>
      </c>
      <c r="B158">
        <v>124.9490717</v>
      </c>
      <c r="C158">
        <v>46.301853180000002</v>
      </c>
      <c r="D158">
        <v>7.4144000999999999</v>
      </c>
      <c r="E158" t="b">
        <f t="shared" si="48"/>
        <v>0</v>
      </c>
      <c r="F158">
        <f t="shared" si="49"/>
        <v>-224.09486580000001</v>
      </c>
      <c r="G158">
        <f t="shared" si="50"/>
        <v>-455.60413169999998</v>
      </c>
      <c r="H158">
        <f t="shared" si="51"/>
        <v>-687.1133976000001</v>
      </c>
      <c r="I158">
        <f t="shared" si="52"/>
        <v>-918.62266350000004</v>
      </c>
      <c r="J158">
        <f t="shared" si="53"/>
        <v>-1150.1319294</v>
      </c>
      <c r="L158">
        <f t="shared" si="54"/>
        <v>14977088.202</v>
      </c>
      <c r="M158">
        <f t="shared" si="55"/>
        <v>-385443169.17600006</v>
      </c>
      <c r="N158">
        <f t="shared" si="56"/>
        <v>-674294114.91600001</v>
      </c>
      <c r="O158">
        <f t="shared" si="57"/>
        <v>-769567005.31200027</v>
      </c>
      <c r="P158">
        <f t="shared" si="58"/>
        <v>-845132850.41999996</v>
      </c>
      <c r="Q158">
        <f t="shared" si="59"/>
        <v>-989113459.28400004</v>
      </c>
      <c r="S158">
        <f t="shared" si="60"/>
        <v>18165280.245000001</v>
      </c>
      <c r="T158">
        <f t="shared" si="61"/>
        <v>-988660965.78899992</v>
      </c>
      <c r="U158">
        <f t="shared" si="62"/>
        <v>-847423684.96199989</v>
      </c>
      <c r="V158">
        <f t="shared" si="63"/>
        <v>-975701024.59200013</v>
      </c>
      <c r="W158">
        <f t="shared" si="64"/>
        <v>-1258513048.9950001</v>
      </c>
      <c r="X158">
        <f t="shared" si="65"/>
        <v>-1403160953.868</v>
      </c>
      <c r="Z158">
        <f t="shared" si="66"/>
        <v>21353472.287999999</v>
      </c>
      <c r="AA158">
        <f t="shared" si="67"/>
        <v>-587128548.39600003</v>
      </c>
      <c r="AB158">
        <f t="shared" si="68"/>
        <v>-1020553255.008</v>
      </c>
      <c r="AC158">
        <f t="shared" si="69"/>
        <v>-1346742259.2960002</v>
      </c>
      <c r="AD158">
        <f t="shared" si="70"/>
        <v>-1671893247.5700002</v>
      </c>
      <c r="AE158">
        <f t="shared" si="71"/>
        <v>-1817208448.4520001</v>
      </c>
    </row>
    <row r="159" spans="1:31" x14ac:dyDescent="0.25">
      <c r="A159">
        <v>29.214916850000002</v>
      </c>
      <c r="B159">
        <v>124.9793951</v>
      </c>
      <c r="C159">
        <v>22.05966759</v>
      </c>
      <c r="D159">
        <v>0.25710400999999999</v>
      </c>
      <c r="E159" t="b">
        <f t="shared" si="48"/>
        <v>0</v>
      </c>
      <c r="F159">
        <f t="shared" si="49"/>
        <v>-110.04123394</v>
      </c>
      <c r="G159">
        <f t="shared" si="50"/>
        <v>-220.33957189</v>
      </c>
      <c r="H159">
        <f t="shared" si="51"/>
        <v>-330.63790984000002</v>
      </c>
      <c r="I159">
        <f t="shared" si="52"/>
        <v>-440.93624779000004</v>
      </c>
      <c r="J159">
        <f t="shared" si="53"/>
        <v>-551.23458573999994</v>
      </c>
      <c r="L159">
        <f t="shared" si="54"/>
        <v>519350.10019999999</v>
      </c>
      <c r="M159">
        <f t="shared" si="55"/>
        <v>-189270922.37680003</v>
      </c>
      <c r="N159">
        <f t="shared" si="56"/>
        <v>-326102566.39720005</v>
      </c>
      <c r="O159">
        <f t="shared" si="57"/>
        <v>-370314459.02080005</v>
      </c>
      <c r="P159">
        <f t="shared" si="58"/>
        <v>-405661347.96679997</v>
      </c>
      <c r="Q159">
        <f t="shared" si="59"/>
        <v>-474061743.73639989</v>
      </c>
      <c r="S159">
        <f t="shared" si="60"/>
        <v>629904.82449999999</v>
      </c>
      <c r="T159">
        <f t="shared" si="61"/>
        <v>-478136871.00130004</v>
      </c>
      <c r="U159">
        <f t="shared" si="62"/>
        <v>-409831603.71539998</v>
      </c>
      <c r="V159">
        <f t="shared" si="63"/>
        <v>-469505831.97280002</v>
      </c>
      <c r="W159">
        <f t="shared" si="64"/>
        <v>-604082659.47230005</v>
      </c>
      <c r="X159">
        <f t="shared" si="65"/>
        <v>-672506194.60279989</v>
      </c>
      <c r="Z159">
        <f t="shared" si="66"/>
        <v>740459.54879999987</v>
      </c>
      <c r="AA159">
        <f t="shared" si="67"/>
        <v>-288308032.9228</v>
      </c>
      <c r="AB159">
        <f t="shared" si="68"/>
        <v>-493560641.03360009</v>
      </c>
      <c r="AC159">
        <f t="shared" si="69"/>
        <v>-648050303.28640008</v>
      </c>
      <c r="AD159">
        <f t="shared" si="70"/>
        <v>-802503970.97780001</v>
      </c>
      <c r="AE159">
        <f t="shared" si="71"/>
        <v>-870950645.4691999</v>
      </c>
    </row>
    <row r="160" spans="1:31" x14ac:dyDescent="0.25">
      <c r="A160">
        <v>29.331319130000001</v>
      </c>
      <c r="B160">
        <v>125.1119544</v>
      </c>
      <c r="C160">
        <v>13.775258060000001</v>
      </c>
      <c r="D160">
        <v>0.74927597999999995</v>
      </c>
      <c r="E160" t="b">
        <f t="shared" si="48"/>
        <v>0</v>
      </c>
      <c r="F160">
        <f t="shared" si="49"/>
        <v>-68.127014320000015</v>
      </c>
      <c r="G160">
        <f t="shared" si="50"/>
        <v>-137.00330462000002</v>
      </c>
      <c r="H160">
        <f t="shared" si="51"/>
        <v>-205.87959492000002</v>
      </c>
      <c r="I160">
        <f t="shared" si="52"/>
        <v>-274.75588522000004</v>
      </c>
      <c r="J160">
        <f t="shared" si="53"/>
        <v>-343.63217552000003</v>
      </c>
      <c r="L160">
        <f t="shared" si="54"/>
        <v>1513537.4796</v>
      </c>
      <c r="M160">
        <f t="shared" si="55"/>
        <v>-117178464.63040003</v>
      </c>
      <c r="N160">
        <f t="shared" si="56"/>
        <v>-202764890.83760005</v>
      </c>
      <c r="O160">
        <f t="shared" si="57"/>
        <v>-230585146.31040004</v>
      </c>
      <c r="P160">
        <f t="shared" si="58"/>
        <v>-252775414.40240002</v>
      </c>
      <c r="Q160">
        <f t="shared" si="59"/>
        <v>-295523670.94720006</v>
      </c>
      <c r="S160">
        <f t="shared" si="60"/>
        <v>1835726.1510000001</v>
      </c>
      <c r="T160">
        <f t="shared" si="61"/>
        <v>-297297171.02540004</v>
      </c>
      <c r="U160">
        <f t="shared" si="62"/>
        <v>-254826146.59320006</v>
      </c>
      <c r="V160">
        <f t="shared" si="63"/>
        <v>-292349024.78640002</v>
      </c>
      <c r="W160">
        <f t="shared" si="64"/>
        <v>-376415562.75140005</v>
      </c>
      <c r="X160">
        <f t="shared" si="65"/>
        <v>-419231254.13440007</v>
      </c>
      <c r="Z160">
        <f t="shared" si="66"/>
        <v>2157914.8223999999</v>
      </c>
      <c r="AA160">
        <f t="shared" si="67"/>
        <v>-178492777.51840001</v>
      </c>
      <c r="AB160">
        <f t="shared" si="68"/>
        <v>-306887402.34880012</v>
      </c>
      <c r="AC160">
        <f t="shared" si="69"/>
        <v>-403524006.04320002</v>
      </c>
      <c r="AD160">
        <f t="shared" si="70"/>
        <v>-500055711.10040009</v>
      </c>
      <c r="AE160">
        <f t="shared" si="71"/>
        <v>-542938837.32160008</v>
      </c>
    </row>
    <row r="161" spans="1:31" x14ac:dyDescent="0.25">
      <c r="A161">
        <v>29.376062050000002</v>
      </c>
      <c r="B161">
        <v>125.1221673</v>
      </c>
      <c r="C161">
        <v>2.8661129500000002</v>
      </c>
      <c r="D161">
        <v>3.6729190300000001</v>
      </c>
      <c r="E161" t="b">
        <f t="shared" si="48"/>
        <v>1</v>
      </c>
      <c r="F161">
        <f t="shared" si="49"/>
        <v>-10.657645720000001</v>
      </c>
      <c r="G161">
        <f t="shared" si="50"/>
        <v>-24.988210470000002</v>
      </c>
      <c r="H161">
        <f t="shared" si="51"/>
        <v>-39.318775219999999</v>
      </c>
      <c r="I161">
        <f t="shared" si="52"/>
        <v>-53.64933997</v>
      </c>
      <c r="J161">
        <f t="shared" si="53"/>
        <v>-67.979904720000008</v>
      </c>
      <c r="L161">
        <f t="shared" si="54"/>
        <v>5789548.159</v>
      </c>
      <c r="M161">
        <f t="shared" si="55"/>
        <v>-18331150.638400003</v>
      </c>
      <c r="N161">
        <f t="shared" si="56"/>
        <v>-36982551.4956</v>
      </c>
      <c r="O161">
        <f t="shared" si="57"/>
        <v>-44037028.246400006</v>
      </c>
      <c r="P161">
        <f t="shared" si="58"/>
        <v>-49357392.772399992</v>
      </c>
      <c r="Q161">
        <f t="shared" si="59"/>
        <v>-58462718.059200011</v>
      </c>
      <c r="S161">
        <f t="shared" si="60"/>
        <v>7021976.727500001</v>
      </c>
      <c r="T161">
        <f t="shared" si="61"/>
        <v>-54224416.719900005</v>
      </c>
      <c r="U161">
        <f t="shared" si="62"/>
        <v>-46478071.474200003</v>
      </c>
      <c r="V161">
        <f t="shared" si="63"/>
        <v>-55832660.812399998</v>
      </c>
      <c r="W161">
        <f t="shared" si="64"/>
        <v>-73499595.758900002</v>
      </c>
      <c r="X161">
        <f t="shared" si="65"/>
        <v>-82935483.758400008</v>
      </c>
      <c r="Z161">
        <f t="shared" si="66"/>
        <v>8254405.2960000001</v>
      </c>
      <c r="AA161">
        <f t="shared" si="67"/>
        <v>-27923031.786400001</v>
      </c>
      <c r="AB161">
        <f t="shared" si="68"/>
        <v>-55973591.452800013</v>
      </c>
      <c r="AC161">
        <f t="shared" si="69"/>
        <v>-77064799.431199998</v>
      </c>
      <c r="AD161">
        <f t="shared" si="70"/>
        <v>-97641798.745399997</v>
      </c>
      <c r="AE161">
        <f t="shared" si="71"/>
        <v>-107408249.45760003</v>
      </c>
    </row>
    <row r="162" spans="1:31" x14ac:dyDescent="0.25">
      <c r="A162">
        <v>29.564021390000001</v>
      </c>
      <c r="B162">
        <v>125.11193280000001</v>
      </c>
      <c r="C162">
        <v>10.458072659999999</v>
      </c>
      <c r="D162">
        <v>1.22430599</v>
      </c>
      <c r="E162" t="b">
        <f t="shared" si="48"/>
        <v>0</v>
      </c>
      <c r="F162">
        <f t="shared" si="49"/>
        <v>-51.066057309999998</v>
      </c>
      <c r="G162">
        <f t="shared" si="50"/>
        <v>-103.35642060999999</v>
      </c>
      <c r="H162">
        <f t="shared" si="51"/>
        <v>-155.64678390999998</v>
      </c>
      <c r="I162">
        <f t="shared" si="52"/>
        <v>-207.93714720999998</v>
      </c>
      <c r="J162">
        <f t="shared" si="53"/>
        <v>-260.22751050999995</v>
      </c>
      <c r="L162">
        <f t="shared" si="54"/>
        <v>2473098.0998</v>
      </c>
      <c r="M162">
        <f t="shared" si="55"/>
        <v>-87833618.573200002</v>
      </c>
      <c r="N162">
        <f t="shared" si="56"/>
        <v>-152967502.50279999</v>
      </c>
      <c r="O162">
        <f t="shared" si="57"/>
        <v>-174324397.97920001</v>
      </c>
      <c r="P162">
        <f t="shared" si="58"/>
        <v>-191302175.43319997</v>
      </c>
      <c r="Q162">
        <f t="shared" si="59"/>
        <v>-223795659.03859994</v>
      </c>
      <c r="S162">
        <f t="shared" si="60"/>
        <v>2999549.6755000004</v>
      </c>
      <c r="T162">
        <f t="shared" si="61"/>
        <v>-224283432.72369996</v>
      </c>
      <c r="U162">
        <f t="shared" si="62"/>
        <v>-192242942.33459997</v>
      </c>
      <c r="V162">
        <f t="shared" si="63"/>
        <v>-221018433.15219998</v>
      </c>
      <c r="W162">
        <f t="shared" si="64"/>
        <v>-284873891.67769998</v>
      </c>
      <c r="X162">
        <f t="shared" si="65"/>
        <v>-317477562.82219988</v>
      </c>
      <c r="Z162">
        <f t="shared" si="66"/>
        <v>3526001.2511999998</v>
      </c>
      <c r="AA162">
        <f t="shared" si="67"/>
        <v>-133793070.1522</v>
      </c>
      <c r="AB162">
        <f t="shared" si="68"/>
        <v>-231518382.16639999</v>
      </c>
      <c r="AC162">
        <f t="shared" si="69"/>
        <v>-305067696.46359998</v>
      </c>
      <c r="AD162">
        <f t="shared" si="70"/>
        <v>-378445607.92219996</v>
      </c>
      <c r="AE162">
        <f t="shared" si="71"/>
        <v>-411159466.60579991</v>
      </c>
    </row>
    <row r="163" spans="1:31" x14ac:dyDescent="0.25">
      <c r="A163">
        <v>29.599817850000001</v>
      </c>
      <c r="B163">
        <v>125.17339389999999</v>
      </c>
      <c r="C163">
        <v>14.96850014</v>
      </c>
      <c r="D163">
        <v>0.28159001</v>
      </c>
      <c r="E163" t="b">
        <f t="shared" si="48"/>
        <v>0</v>
      </c>
      <c r="F163">
        <f t="shared" si="49"/>
        <v>-74.56091069</v>
      </c>
      <c r="G163">
        <f t="shared" si="50"/>
        <v>-149.40341139</v>
      </c>
      <c r="H163">
        <f t="shared" si="51"/>
        <v>-224.24591208999999</v>
      </c>
      <c r="I163">
        <f t="shared" si="52"/>
        <v>-299.08841279000001</v>
      </c>
      <c r="J163">
        <f t="shared" si="53"/>
        <v>-373.93091348999997</v>
      </c>
      <c r="L163">
        <f t="shared" si="54"/>
        <v>568811.82020000007</v>
      </c>
      <c r="M163">
        <f t="shared" si="55"/>
        <v>-128244766.38680001</v>
      </c>
      <c r="N163">
        <f t="shared" si="56"/>
        <v>-221117048.85720003</v>
      </c>
      <c r="O163">
        <f t="shared" si="57"/>
        <v>-251155421.54080003</v>
      </c>
      <c r="P163">
        <f t="shared" si="58"/>
        <v>-275161339.76679999</v>
      </c>
      <c r="Q163">
        <f t="shared" si="59"/>
        <v>-321580585.60139996</v>
      </c>
      <c r="S163">
        <f t="shared" si="60"/>
        <v>689895.52450000006</v>
      </c>
      <c r="T163">
        <f t="shared" si="61"/>
        <v>-324205402.71630001</v>
      </c>
      <c r="U163">
        <f t="shared" si="62"/>
        <v>-277890345.18540001</v>
      </c>
      <c r="V163">
        <f t="shared" si="63"/>
        <v>-318429195.16780001</v>
      </c>
      <c r="W163">
        <f t="shared" si="64"/>
        <v>-409751125.52230006</v>
      </c>
      <c r="X163">
        <f t="shared" si="65"/>
        <v>-456195714.45779991</v>
      </c>
      <c r="Z163">
        <f t="shared" si="66"/>
        <v>810979.22880000004</v>
      </c>
      <c r="AA163">
        <f t="shared" si="67"/>
        <v>-195349586.00780001</v>
      </c>
      <c r="AB163">
        <f t="shared" si="68"/>
        <v>-334663641.51360005</v>
      </c>
      <c r="AC163">
        <f t="shared" si="69"/>
        <v>-439521987.69639999</v>
      </c>
      <c r="AD163">
        <f t="shared" si="70"/>
        <v>-544340911.27780008</v>
      </c>
      <c r="AE163">
        <f t="shared" si="71"/>
        <v>-590810843.31419992</v>
      </c>
    </row>
    <row r="164" spans="1:31" x14ac:dyDescent="0.25">
      <c r="A164">
        <v>30.045660460000001</v>
      </c>
      <c r="B164">
        <v>113.4465783</v>
      </c>
      <c r="C164">
        <v>1.350644E-2</v>
      </c>
      <c r="D164">
        <v>9.6518999999999994E-2</v>
      </c>
      <c r="E164" t="b">
        <f t="shared" si="48"/>
        <v>1</v>
      </c>
      <c r="F164">
        <f t="shared" si="49"/>
        <v>2.8986799999999993E-2</v>
      </c>
      <c r="G164">
        <f t="shared" si="50"/>
        <v>-3.8545400000000007E-2</v>
      </c>
      <c r="H164">
        <f t="shared" si="51"/>
        <v>-0.10607759999999999</v>
      </c>
      <c r="I164">
        <f t="shared" si="52"/>
        <v>-0.17360980000000001</v>
      </c>
      <c r="J164">
        <f t="shared" si="53"/>
        <v>-0.241142</v>
      </c>
      <c r="L164">
        <f t="shared" si="54"/>
        <v>27283.0088</v>
      </c>
      <c r="M164">
        <f t="shared" si="55"/>
        <v>23231.076800000003</v>
      </c>
      <c r="N164">
        <f t="shared" si="56"/>
        <v>-57047.19200000001</v>
      </c>
      <c r="O164">
        <f t="shared" si="57"/>
        <v>-118806.912</v>
      </c>
      <c r="P164">
        <f t="shared" si="58"/>
        <v>-159721.016</v>
      </c>
      <c r="Q164">
        <f t="shared" si="59"/>
        <v>-207382.12</v>
      </c>
      <c r="S164">
        <f t="shared" si="60"/>
        <v>33090.778000000006</v>
      </c>
      <c r="T164">
        <f t="shared" si="61"/>
        <v>-83643.518000000011</v>
      </c>
      <c r="U164">
        <f t="shared" si="62"/>
        <v>-71694.444000000018</v>
      </c>
      <c r="V164">
        <f t="shared" si="63"/>
        <v>-150630.19199999998</v>
      </c>
      <c r="W164">
        <f t="shared" si="64"/>
        <v>-237845.42600000004</v>
      </c>
      <c r="X164">
        <f t="shared" si="65"/>
        <v>-294193.24</v>
      </c>
      <c r="Z164">
        <f t="shared" si="66"/>
        <v>38898.547200000001</v>
      </c>
      <c r="AA164">
        <f t="shared" si="67"/>
        <v>35386.872800000005</v>
      </c>
      <c r="AB164">
        <f t="shared" si="68"/>
        <v>-86341.696000000025</v>
      </c>
      <c r="AC164">
        <f t="shared" si="69"/>
        <v>-207912.09599999999</v>
      </c>
      <c r="AD164">
        <f t="shared" si="70"/>
        <v>-315969.83600000007</v>
      </c>
      <c r="AE164">
        <f t="shared" si="71"/>
        <v>-381004.36000000004</v>
      </c>
    </row>
    <row r="165" spans="1:31" x14ac:dyDescent="0.25">
      <c r="A165">
        <v>30.111668380000001</v>
      </c>
      <c r="B165">
        <v>106.1928498</v>
      </c>
      <c r="C165">
        <v>6.0797200000000003E-3</v>
      </c>
      <c r="D165">
        <v>2.2008910199999998</v>
      </c>
      <c r="E165" t="b">
        <f t="shared" si="48"/>
        <v>1</v>
      </c>
      <c r="F165">
        <f t="shared" si="49"/>
        <v>2.17049242</v>
      </c>
      <c r="G165">
        <f t="shared" si="50"/>
        <v>2.1400938199999997</v>
      </c>
      <c r="H165">
        <f t="shared" si="51"/>
        <v>2.1096952199999999</v>
      </c>
      <c r="I165">
        <f t="shared" si="52"/>
        <v>2.0792966199999996</v>
      </c>
      <c r="J165">
        <f t="shared" si="53"/>
        <v>2.0488980199999998</v>
      </c>
      <c r="L165">
        <f t="shared" si="54"/>
        <v>12281.0344</v>
      </c>
      <c r="M165">
        <f t="shared" si="55"/>
        <v>10457.118400000001</v>
      </c>
      <c r="N165">
        <f t="shared" si="56"/>
        <v>8997.9856</v>
      </c>
      <c r="O165">
        <f t="shared" si="57"/>
        <v>6809.2864000000009</v>
      </c>
      <c r="P165">
        <f t="shared" si="58"/>
        <v>5593.3423999999995</v>
      </c>
      <c r="Q165">
        <f t="shared" si="59"/>
        <v>5228.5591999999997</v>
      </c>
      <c r="S165">
        <f t="shared" si="60"/>
        <v>14895.314000000002</v>
      </c>
      <c r="T165">
        <f t="shared" si="61"/>
        <v>13192.992400000001</v>
      </c>
      <c r="U165">
        <f t="shared" si="62"/>
        <v>11308.279199999999</v>
      </c>
      <c r="V165">
        <f t="shared" si="63"/>
        <v>8633.2024000000001</v>
      </c>
      <c r="W165">
        <f t="shared" si="64"/>
        <v>8329.2164000000012</v>
      </c>
      <c r="X165">
        <f t="shared" si="65"/>
        <v>7417.2583999999997</v>
      </c>
      <c r="Z165">
        <f t="shared" si="66"/>
        <v>17509.5936</v>
      </c>
      <c r="AA165">
        <f t="shared" si="67"/>
        <v>15928.866400000001</v>
      </c>
      <c r="AB165">
        <f t="shared" si="68"/>
        <v>13618.572800000002</v>
      </c>
      <c r="AC165">
        <f t="shared" si="69"/>
        <v>11916.251200000001</v>
      </c>
      <c r="AD165">
        <f t="shared" si="70"/>
        <v>11065.090400000001</v>
      </c>
      <c r="AE165">
        <f t="shared" si="71"/>
        <v>9605.9576000000015</v>
      </c>
    </row>
    <row r="166" spans="1:31" x14ac:dyDescent="0.25">
      <c r="A166">
        <v>30.11176798</v>
      </c>
      <c r="B166">
        <v>105.87753530000001</v>
      </c>
      <c r="C166">
        <v>9.7242300000000004E-3</v>
      </c>
      <c r="D166">
        <v>2.8427510300000001</v>
      </c>
      <c r="E166" t="b">
        <f t="shared" si="48"/>
        <v>1</v>
      </c>
      <c r="F166">
        <f t="shared" si="49"/>
        <v>2.7941298799999998</v>
      </c>
      <c r="G166">
        <f t="shared" si="50"/>
        <v>2.7455087300000001</v>
      </c>
      <c r="H166">
        <f t="shared" si="51"/>
        <v>2.6968875800000003</v>
      </c>
      <c r="I166">
        <f t="shared" si="52"/>
        <v>2.6482664300000001</v>
      </c>
      <c r="J166">
        <f t="shared" si="53"/>
        <v>2.5996452799999998</v>
      </c>
      <c r="L166">
        <f t="shared" si="54"/>
        <v>19642.944599999999</v>
      </c>
      <c r="M166">
        <f t="shared" si="55"/>
        <v>16725.675600000002</v>
      </c>
      <c r="N166">
        <f t="shared" si="56"/>
        <v>14391.8604</v>
      </c>
      <c r="O166">
        <f t="shared" si="57"/>
        <v>10891.1376</v>
      </c>
      <c r="P166">
        <f t="shared" si="58"/>
        <v>8946.2915999999987</v>
      </c>
      <c r="Q166">
        <f t="shared" si="59"/>
        <v>8362.8377999999993</v>
      </c>
      <c r="S166">
        <f t="shared" si="60"/>
        <v>23824.363499999999</v>
      </c>
      <c r="T166">
        <f t="shared" si="61"/>
        <v>21101.579099999999</v>
      </c>
      <c r="U166">
        <f t="shared" si="62"/>
        <v>18087.067799999997</v>
      </c>
      <c r="V166">
        <f t="shared" si="63"/>
        <v>13808.406599999998</v>
      </c>
      <c r="W166">
        <f t="shared" si="64"/>
        <v>13322.195100000001</v>
      </c>
      <c r="X166">
        <f t="shared" si="65"/>
        <v>11863.560599999999</v>
      </c>
      <c r="Z166">
        <f t="shared" si="66"/>
        <v>28005.782399999996</v>
      </c>
      <c r="AA166">
        <f t="shared" si="67"/>
        <v>25477.482599999999</v>
      </c>
      <c r="AB166">
        <f t="shared" si="68"/>
        <v>21782.2752</v>
      </c>
      <c r="AC166">
        <f t="shared" si="69"/>
        <v>19059.4908</v>
      </c>
      <c r="AD166">
        <f t="shared" si="70"/>
        <v>17698.098600000001</v>
      </c>
      <c r="AE166">
        <f t="shared" si="71"/>
        <v>15364.2834</v>
      </c>
    </row>
    <row r="167" spans="1:31" x14ac:dyDescent="0.25">
      <c r="A167">
        <v>30.113914690000001</v>
      </c>
      <c r="B167">
        <v>112.3461853</v>
      </c>
      <c r="C167">
        <v>4.0519319999999998E-2</v>
      </c>
      <c r="D167">
        <v>0.393868</v>
      </c>
      <c r="E167" t="b">
        <f t="shared" si="48"/>
        <v>1</v>
      </c>
      <c r="F167">
        <f t="shared" si="49"/>
        <v>0.19127140000000001</v>
      </c>
      <c r="G167">
        <f t="shared" si="50"/>
        <v>-1.132519999999998E-2</v>
      </c>
      <c r="H167">
        <f t="shared" si="51"/>
        <v>-0.21392179999999994</v>
      </c>
      <c r="I167">
        <f t="shared" si="52"/>
        <v>-0.41651839999999996</v>
      </c>
      <c r="J167">
        <f t="shared" si="53"/>
        <v>-0.61911499999999997</v>
      </c>
      <c r="L167">
        <f t="shared" si="54"/>
        <v>81849.026400000002</v>
      </c>
      <c r="M167">
        <f t="shared" si="55"/>
        <v>69693.2304</v>
      </c>
      <c r="N167">
        <f t="shared" si="56"/>
        <v>-16761.295999999969</v>
      </c>
      <c r="O167">
        <f t="shared" si="57"/>
        <v>-239592.41599999994</v>
      </c>
      <c r="P167">
        <f t="shared" si="58"/>
        <v>-383196.92799999996</v>
      </c>
      <c r="Q167">
        <f t="shared" si="59"/>
        <v>-532438.9</v>
      </c>
      <c r="S167">
        <f t="shared" si="60"/>
        <v>99272.334000000003</v>
      </c>
      <c r="T167">
        <f t="shared" si="61"/>
        <v>-24575.683999999954</v>
      </c>
      <c r="U167">
        <f t="shared" si="62"/>
        <v>-21064.871999999959</v>
      </c>
      <c r="V167">
        <f t="shared" si="63"/>
        <v>-303768.95599999989</v>
      </c>
      <c r="W167">
        <f t="shared" si="64"/>
        <v>-570630.20799999998</v>
      </c>
      <c r="X167">
        <f t="shared" si="65"/>
        <v>-755320.29999999993</v>
      </c>
      <c r="Z167">
        <f t="shared" si="66"/>
        <v>116695.64159999999</v>
      </c>
      <c r="AA167">
        <f t="shared" si="67"/>
        <v>106160.61840000001</v>
      </c>
      <c r="AB167">
        <f t="shared" si="68"/>
        <v>-25368.447999999957</v>
      </c>
      <c r="AC167">
        <f t="shared" si="69"/>
        <v>-419286.72799999983</v>
      </c>
      <c r="AD167">
        <f t="shared" si="70"/>
        <v>-758063.48800000001</v>
      </c>
      <c r="AE167">
        <f t="shared" si="71"/>
        <v>-978201.70000000007</v>
      </c>
    </row>
    <row r="168" spans="1:31" x14ac:dyDescent="0.25">
      <c r="A168">
        <v>30.12508965</v>
      </c>
      <c r="B168">
        <v>112.9265577</v>
      </c>
      <c r="C168">
        <v>9.988785E-2</v>
      </c>
      <c r="D168">
        <v>7.2388999999999995E-2</v>
      </c>
      <c r="E168" t="b">
        <f t="shared" si="48"/>
        <v>0</v>
      </c>
      <c r="F168">
        <f t="shared" si="49"/>
        <v>-0.42705025000000002</v>
      </c>
      <c r="G168">
        <f t="shared" si="50"/>
        <v>-0.92648949999999997</v>
      </c>
      <c r="H168">
        <f t="shared" si="51"/>
        <v>-1.42592875</v>
      </c>
      <c r="I168">
        <f t="shared" si="52"/>
        <v>-1.925368</v>
      </c>
      <c r="J168">
        <f t="shared" si="53"/>
        <v>-2.4248072500000002</v>
      </c>
      <c r="L168">
        <f t="shared" si="54"/>
        <v>146225.78</v>
      </c>
      <c r="M168">
        <f t="shared" si="55"/>
        <v>-734526.43</v>
      </c>
      <c r="N168">
        <f t="shared" si="56"/>
        <v>-1371204.46</v>
      </c>
      <c r="O168">
        <f t="shared" si="57"/>
        <v>-1597040.2000000002</v>
      </c>
      <c r="P168">
        <f t="shared" si="58"/>
        <v>-1771338.5599999998</v>
      </c>
      <c r="Q168">
        <f t="shared" si="59"/>
        <v>-2085334.2349999999</v>
      </c>
      <c r="S168">
        <f t="shared" si="60"/>
        <v>177353.05000000002</v>
      </c>
      <c r="T168">
        <f t="shared" si="61"/>
        <v>-2010482.2149999999</v>
      </c>
      <c r="U168">
        <f t="shared" si="62"/>
        <v>-1723270.47</v>
      </c>
      <c r="V168">
        <f t="shared" si="63"/>
        <v>-2024818.825</v>
      </c>
      <c r="W168">
        <f t="shared" si="64"/>
        <v>-2637754.16</v>
      </c>
      <c r="X168">
        <f t="shared" si="65"/>
        <v>-2958264.8449999997</v>
      </c>
      <c r="Z168">
        <f t="shared" si="66"/>
        <v>208480.31999999998</v>
      </c>
      <c r="AA168">
        <f t="shared" si="67"/>
        <v>-1118871.655</v>
      </c>
      <c r="AB168">
        <f t="shared" si="68"/>
        <v>-2075336.4800000002</v>
      </c>
      <c r="AC168">
        <f t="shared" si="69"/>
        <v>-2794820.35</v>
      </c>
      <c r="AD168">
        <f t="shared" si="70"/>
        <v>-3504169.7600000002</v>
      </c>
      <c r="AE168">
        <f t="shared" si="71"/>
        <v>-3831195.4550000001</v>
      </c>
    </row>
    <row r="169" spans="1:31" x14ac:dyDescent="0.25">
      <c r="A169">
        <v>30.139929800000001</v>
      </c>
      <c r="B169">
        <v>107.9804328</v>
      </c>
      <c r="C169">
        <v>7.7793899999999997E-3</v>
      </c>
      <c r="D169">
        <v>5.2515788099999998</v>
      </c>
      <c r="E169" t="b">
        <f t="shared" si="48"/>
        <v>1</v>
      </c>
      <c r="F169">
        <f t="shared" si="49"/>
        <v>5.21268186</v>
      </c>
      <c r="G169">
        <f t="shared" si="50"/>
        <v>5.1737849100000002</v>
      </c>
      <c r="H169">
        <f t="shared" si="51"/>
        <v>5.1348879599999995</v>
      </c>
      <c r="I169">
        <f t="shared" si="52"/>
        <v>5.0959910099999997</v>
      </c>
      <c r="J169">
        <f t="shared" si="53"/>
        <v>5.0570940599999998</v>
      </c>
      <c r="L169">
        <f t="shared" si="54"/>
        <v>15714.367799999998</v>
      </c>
      <c r="M169">
        <f t="shared" si="55"/>
        <v>13380.550800000001</v>
      </c>
      <c r="N169">
        <f t="shared" si="56"/>
        <v>11513.4972</v>
      </c>
      <c r="O169">
        <f t="shared" si="57"/>
        <v>8712.9168000000009</v>
      </c>
      <c r="P169">
        <f t="shared" si="58"/>
        <v>7157.0387999999994</v>
      </c>
      <c r="Q169">
        <f t="shared" si="59"/>
        <v>6690.2753999999995</v>
      </c>
      <c r="S169">
        <f t="shared" si="60"/>
        <v>19059.505499999999</v>
      </c>
      <c r="T169">
        <f t="shared" si="61"/>
        <v>16881.276299999998</v>
      </c>
      <c r="U169">
        <f t="shared" si="62"/>
        <v>14469.665399999998</v>
      </c>
      <c r="V169">
        <f t="shared" si="63"/>
        <v>11046.733799999998</v>
      </c>
      <c r="W169">
        <f t="shared" si="64"/>
        <v>10657.764300000001</v>
      </c>
      <c r="X169">
        <f t="shared" si="65"/>
        <v>9490.8557999999994</v>
      </c>
      <c r="Z169">
        <f t="shared" si="66"/>
        <v>22404.643199999999</v>
      </c>
      <c r="AA169">
        <f t="shared" si="67"/>
        <v>20382.001799999998</v>
      </c>
      <c r="AB169">
        <f t="shared" si="68"/>
        <v>17425.833600000002</v>
      </c>
      <c r="AC169">
        <f t="shared" si="69"/>
        <v>15247.604399999998</v>
      </c>
      <c r="AD169">
        <f t="shared" si="70"/>
        <v>14158.489799999999</v>
      </c>
      <c r="AE169">
        <f t="shared" si="71"/>
        <v>12291.4362</v>
      </c>
    </row>
    <row r="170" spans="1:31" x14ac:dyDescent="0.25">
      <c r="A170">
        <v>30.147194859999999</v>
      </c>
      <c r="B170">
        <v>113.2973963</v>
      </c>
      <c r="C170">
        <v>1.350644E-2</v>
      </c>
      <c r="D170">
        <v>0.119646</v>
      </c>
      <c r="E170" t="b">
        <f t="shared" si="48"/>
        <v>1</v>
      </c>
      <c r="F170">
        <f t="shared" si="49"/>
        <v>5.2113800000000002E-2</v>
      </c>
      <c r="G170">
        <f t="shared" si="50"/>
        <v>-1.5418399999999999E-2</v>
      </c>
      <c r="H170">
        <f t="shared" si="51"/>
        <v>-8.2950599999999985E-2</v>
      </c>
      <c r="I170">
        <f t="shared" si="52"/>
        <v>-0.1504828</v>
      </c>
      <c r="J170">
        <f t="shared" si="53"/>
        <v>-0.21801499999999999</v>
      </c>
      <c r="L170">
        <f t="shared" si="54"/>
        <v>27283.0088</v>
      </c>
      <c r="M170">
        <f t="shared" si="55"/>
        <v>23231.076800000003</v>
      </c>
      <c r="N170">
        <f t="shared" si="56"/>
        <v>-22819.232</v>
      </c>
      <c r="O170">
        <f t="shared" si="57"/>
        <v>-92904.672000000006</v>
      </c>
      <c r="P170">
        <f t="shared" si="58"/>
        <v>-138444.17599999998</v>
      </c>
      <c r="Q170">
        <f t="shared" si="59"/>
        <v>-187492.9</v>
      </c>
      <c r="S170">
        <f t="shared" si="60"/>
        <v>33090.778000000006</v>
      </c>
      <c r="T170">
        <f t="shared" si="61"/>
        <v>-33457.928</v>
      </c>
      <c r="U170">
        <f t="shared" si="62"/>
        <v>-28678.223999999998</v>
      </c>
      <c r="V170">
        <f t="shared" si="63"/>
        <v>-117789.85199999998</v>
      </c>
      <c r="W170">
        <f t="shared" si="64"/>
        <v>-206161.43599999999</v>
      </c>
      <c r="X170">
        <f t="shared" si="65"/>
        <v>-265978.3</v>
      </c>
      <c r="Z170">
        <f t="shared" si="66"/>
        <v>38898.547200000001</v>
      </c>
      <c r="AA170">
        <f t="shared" si="67"/>
        <v>35386.872800000005</v>
      </c>
      <c r="AB170">
        <f t="shared" si="68"/>
        <v>-34537.216</v>
      </c>
      <c r="AC170">
        <f t="shared" si="69"/>
        <v>-162583.17599999998</v>
      </c>
      <c r="AD170">
        <f t="shared" si="70"/>
        <v>-273878.696</v>
      </c>
      <c r="AE170">
        <f t="shared" si="71"/>
        <v>-344463.7</v>
      </c>
    </row>
    <row r="171" spans="1:31" x14ac:dyDescent="0.25">
      <c r="A171">
        <v>30.155641079999999</v>
      </c>
      <c r="B171">
        <v>105.3516685</v>
      </c>
      <c r="C171">
        <v>1.302885E-2</v>
      </c>
      <c r="D171">
        <v>0.21246301000000001</v>
      </c>
      <c r="E171" t="b">
        <f t="shared" si="48"/>
        <v>1</v>
      </c>
      <c r="F171">
        <f t="shared" si="49"/>
        <v>0.14731875999999999</v>
      </c>
      <c r="G171">
        <f t="shared" si="50"/>
        <v>8.2174510000000006E-2</v>
      </c>
      <c r="H171">
        <f t="shared" si="51"/>
        <v>1.7030260000000019E-2</v>
      </c>
      <c r="I171">
        <f t="shared" si="52"/>
        <v>-4.8113989999999995E-2</v>
      </c>
      <c r="J171">
        <f t="shared" si="53"/>
        <v>-0.11325824000000001</v>
      </c>
      <c r="L171">
        <f t="shared" si="54"/>
        <v>26318.277000000002</v>
      </c>
      <c r="M171">
        <f t="shared" si="55"/>
        <v>22409.622000000003</v>
      </c>
      <c r="N171">
        <f t="shared" si="56"/>
        <v>19282.698</v>
      </c>
      <c r="O171">
        <f t="shared" si="57"/>
        <v>14592.312000000002</v>
      </c>
      <c r="P171">
        <f t="shared" si="58"/>
        <v>-44264.870799999997</v>
      </c>
      <c r="Q171">
        <f t="shared" si="59"/>
        <v>-97402.0864</v>
      </c>
      <c r="S171">
        <f t="shared" si="60"/>
        <v>31920.682500000003</v>
      </c>
      <c r="T171">
        <f t="shared" si="61"/>
        <v>28272.604500000001</v>
      </c>
      <c r="U171">
        <f t="shared" si="62"/>
        <v>24233.661</v>
      </c>
      <c r="V171">
        <f t="shared" si="63"/>
        <v>18500.967000000001</v>
      </c>
      <c r="W171">
        <f t="shared" si="64"/>
        <v>-65916.166299999997</v>
      </c>
      <c r="X171">
        <f t="shared" si="65"/>
        <v>-138175.0528</v>
      </c>
      <c r="Z171">
        <f t="shared" si="66"/>
        <v>37523.087999999996</v>
      </c>
      <c r="AA171">
        <f t="shared" si="67"/>
        <v>34135.587</v>
      </c>
      <c r="AB171">
        <f t="shared" si="68"/>
        <v>29184.624000000003</v>
      </c>
      <c r="AC171">
        <f t="shared" si="69"/>
        <v>25536.545999999998</v>
      </c>
      <c r="AD171">
        <f t="shared" si="70"/>
        <v>-87567.461800000005</v>
      </c>
      <c r="AE171">
        <f t="shared" si="71"/>
        <v>-178948.01920000001</v>
      </c>
    </row>
    <row r="172" spans="1:31" x14ac:dyDescent="0.25">
      <c r="A172">
        <v>30.185827310000001</v>
      </c>
      <c r="B172">
        <v>113.4062543</v>
      </c>
      <c r="C172">
        <v>1.350644E-2</v>
      </c>
      <c r="D172">
        <v>0.40750101</v>
      </c>
      <c r="E172" t="b">
        <f t="shared" si="48"/>
        <v>1</v>
      </c>
      <c r="F172">
        <f t="shared" si="49"/>
        <v>0.33996881000000001</v>
      </c>
      <c r="G172">
        <f t="shared" si="50"/>
        <v>0.27243660999999997</v>
      </c>
      <c r="H172">
        <f t="shared" si="51"/>
        <v>0.20490441000000001</v>
      </c>
      <c r="I172">
        <f t="shared" si="52"/>
        <v>0.13737220999999999</v>
      </c>
      <c r="J172">
        <f t="shared" si="53"/>
        <v>6.9840010000000008E-2</v>
      </c>
      <c r="L172">
        <f t="shared" si="54"/>
        <v>27283.0088</v>
      </c>
      <c r="M172">
        <f t="shared" si="55"/>
        <v>23231.076800000003</v>
      </c>
      <c r="N172">
        <f t="shared" si="56"/>
        <v>19989.531200000001</v>
      </c>
      <c r="O172">
        <f t="shared" si="57"/>
        <v>15127.212800000001</v>
      </c>
      <c r="P172">
        <f t="shared" si="58"/>
        <v>12425.924799999999</v>
      </c>
      <c r="Q172">
        <f t="shared" si="59"/>
        <v>11615.538399999999</v>
      </c>
      <c r="S172">
        <f t="shared" si="60"/>
        <v>33090.778000000006</v>
      </c>
      <c r="T172">
        <f t="shared" si="61"/>
        <v>29308.9748</v>
      </c>
      <c r="U172">
        <f t="shared" si="62"/>
        <v>25121.9784</v>
      </c>
      <c r="V172">
        <f t="shared" si="63"/>
        <v>19179.144799999998</v>
      </c>
      <c r="W172">
        <f t="shared" si="64"/>
        <v>18503.822800000002</v>
      </c>
      <c r="X172">
        <f t="shared" si="65"/>
        <v>16477.856800000001</v>
      </c>
      <c r="Z172">
        <f t="shared" si="66"/>
        <v>38898.547200000001</v>
      </c>
      <c r="AA172">
        <f t="shared" si="67"/>
        <v>35386.872800000005</v>
      </c>
      <c r="AB172">
        <f t="shared" si="68"/>
        <v>30254.425600000002</v>
      </c>
      <c r="AC172">
        <f t="shared" si="69"/>
        <v>26472.6224</v>
      </c>
      <c r="AD172">
        <f t="shared" si="70"/>
        <v>24581.720800000003</v>
      </c>
      <c r="AE172">
        <f t="shared" si="71"/>
        <v>21340.175200000001</v>
      </c>
    </row>
    <row r="173" spans="1:31" x14ac:dyDescent="0.25">
      <c r="A173">
        <v>30.202972119999998</v>
      </c>
      <c r="B173">
        <v>113.1439755</v>
      </c>
      <c r="C173">
        <v>69.886749269999996</v>
      </c>
      <c r="D173">
        <v>5.2516E-2</v>
      </c>
      <c r="E173" t="b">
        <f t="shared" si="48"/>
        <v>0</v>
      </c>
      <c r="F173">
        <f t="shared" si="49"/>
        <v>-349.38123034999995</v>
      </c>
      <c r="G173">
        <f t="shared" si="50"/>
        <v>-698.81497669999999</v>
      </c>
      <c r="H173">
        <f t="shared" si="51"/>
        <v>-1048.2487230499999</v>
      </c>
      <c r="I173">
        <f t="shared" si="52"/>
        <v>-1397.6824693999999</v>
      </c>
      <c r="J173">
        <f t="shared" si="53"/>
        <v>-1747.11621575</v>
      </c>
      <c r="L173">
        <f t="shared" si="54"/>
        <v>106082.32</v>
      </c>
      <c r="M173">
        <f t="shared" si="55"/>
        <v>-600935716.20200002</v>
      </c>
      <c r="N173">
        <f t="shared" si="56"/>
        <v>-1034246165.516</v>
      </c>
      <c r="O173">
        <f t="shared" si="57"/>
        <v>-1174038569.816</v>
      </c>
      <c r="P173">
        <f t="shared" si="58"/>
        <v>-1285867871.8479998</v>
      </c>
      <c r="Q173">
        <f t="shared" si="59"/>
        <v>-1502519945.5450001</v>
      </c>
      <c r="S173">
        <f t="shared" si="60"/>
        <v>128664.20000000001</v>
      </c>
      <c r="T173">
        <f t="shared" si="61"/>
        <v>-1516428499.4390001</v>
      </c>
      <c r="U173">
        <f t="shared" si="62"/>
        <v>-1299795856.6619999</v>
      </c>
      <c r="V173">
        <f t="shared" si="63"/>
        <v>-1488513186.7309997</v>
      </c>
      <c r="W173">
        <f t="shared" si="64"/>
        <v>-1914824983.0780001</v>
      </c>
      <c r="X173">
        <f t="shared" si="65"/>
        <v>-2131481783.2149999</v>
      </c>
      <c r="Z173">
        <f t="shared" si="66"/>
        <v>151246.07999999999</v>
      </c>
      <c r="AA173">
        <f t="shared" si="67"/>
        <v>-915378823.51699996</v>
      </c>
      <c r="AB173">
        <f t="shared" si="68"/>
        <v>-1565345547.8080003</v>
      </c>
      <c r="AC173">
        <f t="shared" si="69"/>
        <v>-2054567497.1779997</v>
      </c>
      <c r="AD173">
        <f t="shared" si="70"/>
        <v>-2543782094.3079996</v>
      </c>
      <c r="AE173">
        <f t="shared" si="71"/>
        <v>-2760443620.8850002</v>
      </c>
    </row>
    <row r="174" spans="1:31" x14ac:dyDescent="0.25">
      <c r="A174">
        <v>30.222731849999999</v>
      </c>
      <c r="B174">
        <v>112.8291028</v>
      </c>
      <c r="C174">
        <v>5.3114275900000001</v>
      </c>
      <c r="D174">
        <v>1.7802849999999999</v>
      </c>
      <c r="E174" t="b">
        <f t="shared" si="48"/>
        <v>0</v>
      </c>
      <c r="F174">
        <f t="shared" si="49"/>
        <v>-24.776852950000002</v>
      </c>
      <c r="G174">
        <f t="shared" si="50"/>
        <v>-51.333990900000003</v>
      </c>
      <c r="H174">
        <f t="shared" si="51"/>
        <v>-77.891128850000001</v>
      </c>
      <c r="I174">
        <f t="shared" si="52"/>
        <v>-104.4482668</v>
      </c>
      <c r="J174">
        <f t="shared" si="53"/>
        <v>-131.00540475</v>
      </c>
      <c r="L174">
        <f t="shared" si="54"/>
        <v>3596175.7</v>
      </c>
      <c r="M174">
        <f t="shared" si="55"/>
        <v>-42616187.074000008</v>
      </c>
      <c r="N174">
        <f t="shared" si="56"/>
        <v>-75974306.532000005</v>
      </c>
      <c r="O174">
        <f t="shared" si="57"/>
        <v>-87238064.312000006</v>
      </c>
      <c r="P174">
        <f t="shared" si="58"/>
        <v>-96092405.455999985</v>
      </c>
      <c r="Q174">
        <f t="shared" si="59"/>
        <v>-112664648.08499999</v>
      </c>
      <c r="S174">
        <f t="shared" si="60"/>
        <v>4361698.25</v>
      </c>
      <c r="T174">
        <f t="shared" si="61"/>
        <v>-111394760.25300001</v>
      </c>
      <c r="U174">
        <f t="shared" si="62"/>
        <v>-95481223.074000001</v>
      </c>
      <c r="V174">
        <f t="shared" si="63"/>
        <v>-110605402.96699999</v>
      </c>
      <c r="W174">
        <f t="shared" si="64"/>
        <v>-143094125.516</v>
      </c>
      <c r="X174">
        <f t="shared" si="65"/>
        <v>-159826593.79499999</v>
      </c>
      <c r="Z174">
        <f t="shared" si="66"/>
        <v>5127220.8</v>
      </c>
      <c r="AA174">
        <f t="shared" si="67"/>
        <v>-64915354.72900001</v>
      </c>
      <c r="AB174">
        <f t="shared" si="68"/>
        <v>-114988139.61600003</v>
      </c>
      <c r="AC174">
        <f t="shared" si="69"/>
        <v>-152666612.54599997</v>
      </c>
      <c r="AD174">
        <f t="shared" si="70"/>
        <v>-190095845.57600001</v>
      </c>
      <c r="AE174">
        <f t="shared" si="71"/>
        <v>-206988539.505</v>
      </c>
    </row>
    <row r="175" spans="1:31" x14ac:dyDescent="0.25">
      <c r="A175">
        <v>30.294123330000001</v>
      </c>
      <c r="B175">
        <v>105.6666031</v>
      </c>
      <c r="C175">
        <v>1.302885E-2</v>
      </c>
      <c r="D175">
        <v>1.1370999799999999</v>
      </c>
      <c r="E175" t="b">
        <f t="shared" si="48"/>
        <v>1</v>
      </c>
      <c r="F175">
        <f t="shared" si="49"/>
        <v>1.07195573</v>
      </c>
      <c r="G175">
        <f t="shared" si="50"/>
        <v>1.0068114799999999</v>
      </c>
      <c r="H175">
        <f t="shared" si="51"/>
        <v>0.94166722999999997</v>
      </c>
      <c r="I175">
        <f t="shared" si="52"/>
        <v>0.87652297999999984</v>
      </c>
      <c r="J175">
        <f t="shared" si="53"/>
        <v>0.81137872999999994</v>
      </c>
      <c r="L175">
        <f t="shared" si="54"/>
        <v>26318.277000000002</v>
      </c>
      <c r="M175">
        <f t="shared" si="55"/>
        <v>22409.622000000003</v>
      </c>
      <c r="N175">
        <f t="shared" si="56"/>
        <v>19282.698</v>
      </c>
      <c r="O175">
        <f t="shared" si="57"/>
        <v>14592.312000000002</v>
      </c>
      <c r="P175">
        <f t="shared" si="58"/>
        <v>11986.541999999999</v>
      </c>
      <c r="Q175">
        <f t="shared" si="59"/>
        <v>11204.811</v>
      </c>
      <c r="S175">
        <f t="shared" si="60"/>
        <v>31920.682500000003</v>
      </c>
      <c r="T175">
        <f t="shared" si="61"/>
        <v>28272.604500000001</v>
      </c>
      <c r="U175">
        <f t="shared" si="62"/>
        <v>24233.661</v>
      </c>
      <c r="V175">
        <f t="shared" si="63"/>
        <v>18500.967000000001</v>
      </c>
      <c r="W175">
        <f t="shared" si="64"/>
        <v>17849.524500000003</v>
      </c>
      <c r="X175">
        <f t="shared" si="65"/>
        <v>15895.197</v>
      </c>
      <c r="Z175">
        <f t="shared" si="66"/>
        <v>37523.087999999996</v>
      </c>
      <c r="AA175">
        <f t="shared" si="67"/>
        <v>34135.587</v>
      </c>
      <c r="AB175">
        <f t="shared" si="68"/>
        <v>29184.624000000003</v>
      </c>
      <c r="AC175">
        <f t="shared" si="69"/>
        <v>25536.545999999998</v>
      </c>
      <c r="AD175">
        <f t="shared" si="70"/>
        <v>23712.507000000001</v>
      </c>
      <c r="AE175">
        <f t="shared" si="71"/>
        <v>20585.583000000002</v>
      </c>
    </row>
    <row r="176" spans="1:31" x14ac:dyDescent="0.25">
      <c r="A176">
        <v>30.302256280000002</v>
      </c>
      <c r="B176">
        <v>112.2548623</v>
      </c>
      <c r="C176">
        <v>8.0388002400000005</v>
      </c>
      <c r="D176">
        <v>0.55082500000000001</v>
      </c>
      <c r="E176" t="b">
        <f t="shared" si="48"/>
        <v>0</v>
      </c>
      <c r="F176">
        <f t="shared" si="49"/>
        <v>-39.643176199999999</v>
      </c>
      <c r="G176">
        <f t="shared" si="50"/>
        <v>-79.837177400000002</v>
      </c>
      <c r="H176">
        <f t="shared" si="51"/>
        <v>-120.0311786</v>
      </c>
      <c r="I176">
        <f t="shared" si="52"/>
        <v>-160.22517980000001</v>
      </c>
      <c r="J176">
        <f t="shared" si="53"/>
        <v>-200.41918100000001</v>
      </c>
      <c r="L176">
        <f t="shared" si="54"/>
        <v>1112666.5</v>
      </c>
      <c r="M176">
        <f t="shared" si="55"/>
        <v>-68186263.063999996</v>
      </c>
      <c r="N176">
        <f t="shared" si="56"/>
        <v>-118159022.552</v>
      </c>
      <c r="O176">
        <f t="shared" si="57"/>
        <v>-134434920.03200004</v>
      </c>
      <c r="P176">
        <f t="shared" si="58"/>
        <v>-147407165.41600001</v>
      </c>
      <c r="Q176">
        <f t="shared" si="59"/>
        <v>-172360495.66</v>
      </c>
      <c r="S176">
        <f t="shared" si="60"/>
        <v>1349521.25</v>
      </c>
      <c r="T176">
        <f t="shared" si="61"/>
        <v>-173246674.958</v>
      </c>
      <c r="U176">
        <f t="shared" si="62"/>
        <v>-148497149.96399999</v>
      </c>
      <c r="V176">
        <f t="shared" si="63"/>
        <v>-170444273.61200002</v>
      </c>
      <c r="W176">
        <f t="shared" si="64"/>
        <v>-219508496.32600003</v>
      </c>
      <c r="X176">
        <f t="shared" si="65"/>
        <v>-244511400.81999999</v>
      </c>
      <c r="Z176">
        <f t="shared" si="66"/>
        <v>1586376</v>
      </c>
      <c r="AA176">
        <f t="shared" si="67"/>
        <v>-103865121.64399999</v>
      </c>
      <c r="AB176">
        <f t="shared" si="68"/>
        <v>-178835277.37600002</v>
      </c>
      <c r="AC176">
        <f t="shared" si="69"/>
        <v>-235261110.05600002</v>
      </c>
      <c r="AD176">
        <f t="shared" si="70"/>
        <v>-291609827.23600006</v>
      </c>
      <c r="AE176">
        <f t="shared" si="71"/>
        <v>-316662305.98000002</v>
      </c>
    </row>
    <row r="177" spans="1:31" x14ac:dyDescent="0.25">
      <c r="A177">
        <v>30.30519323</v>
      </c>
      <c r="B177">
        <v>112.2022987</v>
      </c>
      <c r="C177">
        <v>8.0388002400000005</v>
      </c>
      <c r="D177">
        <v>0.110165</v>
      </c>
      <c r="E177" t="b">
        <f t="shared" si="48"/>
        <v>0</v>
      </c>
      <c r="F177">
        <f t="shared" si="49"/>
        <v>-40.0838362</v>
      </c>
      <c r="G177">
        <f t="shared" si="50"/>
        <v>-80.27783740000001</v>
      </c>
      <c r="H177">
        <f t="shared" si="51"/>
        <v>-120.47183860000001</v>
      </c>
      <c r="I177">
        <f t="shared" si="52"/>
        <v>-160.66583980000001</v>
      </c>
      <c r="J177">
        <f t="shared" si="53"/>
        <v>-200.85984100000002</v>
      </c>
      <c r="L177">
        <f t="shared" si="54"/>
        <v>222533.3</v>
      </c>
      <c r="M177">
        <f t="shared" si="55"/>
        <v>-68944198.264000013</v>
      </c>
      <c r="N177">
        <f t="shared" si="56"/>
        <v>-118811199.35200001</v>
      </c>
      <c r="O177">
        <f t="shared" si="57"/>
        <v>-134928459.23200002</v>
      </c>
      <c r="P177">
        <f t="shared" si="58"/>
        <v>-147812572.616</v>
      </c>
      <c r="Q177">
        <f t="shared" si="59"/>
        <v>-172739463.26000002</v>
      </c>
      <c r="S177">
        <f t="shared" si="60"/>
        <v>269904.25</v>
      </c>
      <c r="T177">
        <f t="shared" si="61"/>
        <v>-174202907.15799999</v>
      </c>
      <c r="U177">
        <f t="shared" si="62"/>
        <v>-149316777.56400001</v>
      </c>
      <c r="V177">
        <f t="shared" si="63"/>
        <v>-171070010.81200001</v>
      </c>
      <c r="W177">
        <f t="shared" si="64"/>
        <v>-220112200.52600002</v>
      </c>
      <c r="X177">
        <f t="shared" si="65"/>
        <v>-245049006.02000004</v>
      </c>
      <c r="Z177">
        <f t="shared" si="66"/>
        <v>317275.2</v>
      </c>
      <c r="AA177">
        <f t="shared" si="67"/>
        <v>-105019650.84400001</v>
      </c>
      <c r="AB177">
        <f t="shared" si="68"/>
        <v>-179822355.77600002</v>
      </c>
      <c r="AC177">
        <f t="shared" si="69"/>
        <v>-236124803.65600002</v>
      </c>
      <c r="AD177">
        <f t="shared" si="70"/>
        <v>-292411828.43600005</v>
      </c>
      <c r="AE177">
        <f t="shared" si="71"/>
        <v>-317358548.78000009</v>
      </c>
    </row>
    <row r="178" spans="1:31" x14ac:dyDescent="0.25">
      <c r="A178">
        <v>30.31669363</v>
      </c>
      <c r="B178">
        <v>111.9920079</v>
      </c>
      <c r="C178">
        <v>8.0388002400000005</v>
      </c>
      <c r="D178">
        <v>0.15458</v>
      </c>
      <c r="E178" t="b">
        <f t="shared" si="48"/>
        <v>0</v>
      </c>
      <c r="F178">
        <f t="shared" si="49"/>
        <v>-40.0394212</v>
      </c>
      <c r="G178">
        <f t="shared" si="50"/>
        <v>-80.233422400000009</v>
      </c>
      <c r="H178">
        <f t="shared" si="51"/>
        <v>-120.42742360000001</v>
      </c>
      <c r="I178">
        <f t="shared" si="52"/>
        <v>-160.6214248</v>
      </c>
      <c r="J178">
        <f t="shared" si="53"/>
        <v>-200.815426</v>
      </c>
      <c r="L178">
        <f t="shared" si="54"/>
        <v>312251.59999999998</v>
      </c>
      <c r="M178">
        <f t="shared" si="55"/>
        <v>-68867804.464000016</v>
      </c>
      <c r="N178">
        <f t="shared" si="56"/>
        <v>-118745465.15200001</v>
      </c>
      <c r="O178">
        <f t="shared" si="57"/>
        <v>-134878714.43200001</v>
      </c>
      <c r="P178">
        <f t="shared" si="58"/>
        <v>-147771710.81599998</v>
      </c>
      <c r="Q178">
        <f t="shared" si="59"/>
        <v>-172701266.35999998</v>
      </c>
      <c r="S178">
        <f t="shared" si="60"/>
        <v>378721</v>
      </c>
      <c r="T178">
        <f t="shared" si="61"/>
        <v>-174106526.60800001</v>
      </c>
      <c r="U178">
        <f t="shared" si="62"/>
        <v>-149234165.664</v>
      </c>
      <c r="V178">
        <f t="shared" si="63"/>
        <v>-171006941.51199999</v>
      </c>
      <c r="W178">
        <f t="shared" si="64"/>
        <v>-220051351.97600004</v>
      </c>
      <c r="X178">
        <f t="shared" si="65"/>
        <v>-244994819.72</v>
      </c>
      <c r="Z178">
        <f t="shared" si="66"/>
        <v>445190.39999999997</v>
      </c>
      <c r="AA178">
        <f t="shared" si="67"/>
        <v>-104903283.54400001</v>
      </c>
      <c r="AB178">
        <f t="shared" si="68"/>
        <v>-179722866.17600003</v>
      </c>
      <c r="AC178">
        <f t="shared" si="69"/>
        <v>-236037750.25600001</v>
      </c>
      <c r="AD178">
        <f t="shared" si="70"/>
        <v>-292330993.13600004</v>
      </c>
      <c r="AE178">
        <f t="shared" si="71"/>
        <v>-317288373.08000004</v>
      </c>
    </row>
    <row r="179" spans="1:31" x14ac:dyDescent="0.25">
      <c r="A179">
        <v>30.319506860000001</v>
      </c>
      <c r="B179">
        <v>111.93942629999999</v>
      </c>
      <c r="C179">
        <v>8.0388002400000005</v>
      </c>
      <c r="D179">
        <v>0.53763002000000004</v>
      </c>
      <c r="E179" t="b">
        <f t="shared" si="48"/>
        <v>0</v>
      </c>
      <c r="F179">
        <f t="shared" si="49"/>
        <v>-39.656371180000001</v>
      </c>
      <c r="G179">
        <f t="shared" si="50"/>
        <v>-79.85037238000001</v>
      </c>
      <c r="H179">
        <f t="shared" si="51"/>
        <v>-120.04437358000001</v>
      </c>
      <c r="I179">
        <f t="shared" si="52"/>
        <v>-160.23837478000002</v>
      </c>
      <c r="J179">
        <f t="shared" si="53"/>
        <v>-200.43237598000002</v>
      </c>
      <c r="L179">
        <f t="shared" si="54"/>
        <v>1086012.6404000001</v>
      </c>
      <c r="M179">
        <f t="shared" si="55"/>
        <v>-68208958.4296</v>
      </c>
      <c r="N179">
        <f t="shared" si="56"/>
        <v>-118178551.12240002</v>
      </c>
      <c r="O179">
        <f t="shared" si="57"/>
        <v>-134449698.40960002</v>
      </c>
      <c r="P179">
        <f t="shared" si="58"/>
        <v>-147419304.7976</v>
      </c>
      <c r="Q179">
        <f t="shared" si="59"/>
        <v>-172371843.34280002</v>
      </c>
      <c r="S179">
        <f t="shared" si="60"/>
        <v>1317193.5490000001</v>
      </c>
      <c r="T179">
        <f t="shared" si="61"/>
        <v>-173275308.06460002</v>
      </c>
      <c r="U179">
        <f t="shared" si="62"/>
        <v>-148521692.6268</v>
      </c>
      <c r="V179">
        <f t="shared" si="63"/>
        <v>-170463010.48360002</v>
      </c>
      <c r="W179">
        <f t="shared" si="64"/>
        <v>-219526573.44860002</v>
      </c>
      <c r="X179">
        <f t="shared" si="65"/>
        <v>-244527498.69560003</v>
      </c>
      <c r="Z179">
        <f t="shared" si="66"/>
        <v>1548374.4576000001</v>
      </c>
      <c r="AA179">
        <f t="shared" si="67"/>
        <v>-103899692.49160001</v>
      </c>
      <c r="AB179">
        <f t="shared" si="68"/>
        <v>-178864834.13120005</v>
      </c>
      <c r="AC179">
        <f t="shared" si="69"/>
        <v>-235286972.21680003</v>
      </c>
      <c r="AD179">
        <f t="shared" si="70"/>
        <v>-291633842.09960002</v>
      </c>
      <c r="AE179">
        <f t="shared" si="71"/>
        <v>-316683154.04840004</v>
      </c>
    </row>
    <row r="180" spans="1:31" x14ac:dyDescent="0.25">
      <c r="A180">
        <v>30.32971418</v>
      </c>
      <c r="B180">
        <v>112.5737366</v>
      </c>
      <c r="C180">
        <v>5.3114275900000001</v>
      </c>
      <c r="D180">
        <v>4.2951000000000003E-2</v>
      </c>
      <c r="E180" t="b">
        <f t="shared" si="48"/>
        <v>0</v>
      </c>
      <c r="F180">
        <f t="shared" si="49"/>
        <v>-26.514186950000003</v>
      </c>
      <c r="G180">
        <f t="shared" si="50"/>
        <v>-53.0713249</v>
      </c>
      <c r="H180">
        <f t="shared" si="51"/>
        <v>-79.628462850000005</v>
      </c>
      <c r="I180">
        <f t="shared" si="52"/>
        <v>-106.1856008</v>
      </c>
      <c r="J180">
        <f t="shared" si="53"/>
        <v>-132.74273875</v>
      </c>
      <c r="L180">
        <f t="shared" si="54"/>
        <v>86761.02</v>
      </c>
      <c r="M180">
        <f t="shared" si="55"/>
        <v>-45604401.554000013</v>
      </c>
      <c r="N180">
        <f t="shared" si="56"/>
        <v>-78545560.851999998</v>
      </c>
      <c r="O180">
        <f t="shared" si="57"/>
        <v>-89183878.39200002</v>
      </c>
      <c r="P180">
        <f t="shared" si="58"/>
        <v>-97690752.735999987</v>
      </c>
      <c r="Q180">
        <f t="shared" si="59"/>
        <v>-114158755.325</v>
      </c>
      <c r="S180">
        <f t="shared" si="60"/>
        <v>105229.95000000001</v>
      </c>
      <c r="T180">
        <f t="shared" si="61"/>
        <v>-115164775.03299999</v>
      </c>
      <c r="U180">
        <f t="shared" si="62"/>
        <v>-98712664.313999996</v>
      </c>
      <c r="V180">
        <f t="shared" si="63"/>
        <v>-113072417.24700001</v>
      </c>
      <c r="W180">
        <f t="shared" si="64"/>
        <v>-145474273.09600002</v>
      </c>
      <c r="X180">
        <f t="shared" si="65"/>
        <v>-161946141.27500001</v>
      </c>
      <c r="Z180">
        <f t="shared" si="66"/>
        <v>123698.87999999999</v>
      </c>
      <c r="AA180">
        <f t="shared" si="67"/>
        <v>-69467169.809000015</v>
      </c>
      <c r="AB180">
        <f t="shared" si="68"/>
        <v>-118879767.77600001</v>
      </c>
      <c r="AC180">
        <f t="shared" si="69"/>
        <v>-156071787.18600002</v>
      </c>
      <c r="AD180">
        <f t="shared" si="70"/>
        <v>-193257793.456</v>
      </c>
      <c r="AE180">
        <f t="shared" si="71"/>
        <v>-209733527.22500002</v>
      </c>
    </row>
    <row r="181" spans="1:31" x14ac:dyDescent="0.25">
      <c r="A181">
        <v>30.35371919</v>
      </c>
      <c r="B181">
        <v>112.1530753</v>
      </c>
      <c r="C181">
        <v>8.0388002400000005</v>
      </c>
      <c r="D181">
        <v>0.42826598999999999</v>
      </c>
      <c r="E181" t="b">
        <f t="shared" si="48"/>
        <v>0</v>
      </c>
      <c r="F181">
        <f t="shared" si="49"/>
        <v>-39.765735210000003</v>
      </c>
      <c r="G181">
        <f t="shared" si="50"/>
        <v>-79.959736410000005</v>
      </c>
      <c r="H181">
        <f t="shared" si="51"/>
        <v>-120.15373761000001</v>
      </c>
      <c r="I181">
        <f t="shared" si="52"/>
        <v>-160.34773881000001</v>
      </c>
      <c r="J181">
        <f t="shared" si="53"/>
        <v>-200.54174001000001</v>
      </c>
      <c r="L181">
        <f t="shared" si="54"/>
        <v>865097.29980000004</v>
      </c>
      <c r="M181">
        <f t="shared" si="55"/>
        <v>-68397064.561200008</v>
      </c>
      <c r="N181">
        <f t="shared" si="56"/>
        <v>-118340409.88680002</v>
      </c>
      <c r="O181">
        <f t="shared" si="57"/>
        <v>-134572186.12320003</v>
      </c>
      <c r="P181">
        <f t="shared" si="58"/>
        <v>-147519919.70519999</v>
      </c>
      <c r="Q181">
        <f t="shared" si="59"/>
        <v>-172465896.4086</v>
      </c>
      <c r="S181">
        <f t="shared" si="60"/>
        <v>1049251.6755000001</v>
      </c>
      <c r="T181">
        <f t="shared" si="61"/>
        <v>-173512628.00970003</v>
      </c>
      <c r="U181">
        <f t="shared" si="62"/>
        <v>-148725109.72260001</v>
      </c>
      <c r="V181">
        <f t="shared" si="63"/>
        <v>-170618307.40620002</v>
      </c>
      <c r="W181">
        <f t="shared" si="64"/>
        <v>-219676402.16970003</v>
      </c>
      <c r="X181">
        <f t="shared" si="65"/>
        <v>-244660922.81220001</v>
      </c>
      <c r="Z181">
        <f t="shared" si="66"/>
        <v>1233406.0511999999</v>
      </c>
      <c r="AA181">
        <f t="shared" si="67"/>
        <v>-104186226.2502</v>
      </c>
      <c r="AB181">
        <f t="shared" si="68"/>
        <v>-179109809.55840003</v>
      </c>
      <c r="AC181">
        <f t="shared" si="69"/>
        <v>-235501325.71560001</v>
      </c>
      <c r="AD181">
        <f t="shared" si="70"/>
        <v>-291832884.63420004</v>
      </c>
      <c r="AE181">
        <f t="shared" si="71"/>
        <v>-316855949.21580005</v>
      </c>
    </row>
    <row r="182" spans="1:31" x14ac:dyDescent="0.25">
      <c r="A182">
        <v>30.356608439999999</v>
      </c>
      <c r="B182">
        <v>112.100476</v>
      </c>
      <c r="C182">
        <v>8.0388002400000005</v>
      </c>
      <c r="D182">
        <v>0.68853098000000001</v>
      </c>
      <c r="E182" t="b">
        <f t="shared" si="48"/>
        <v>0</v>
      </c>
      <c r="F182">
        <f t="shared" si="49"/>
        <v>-39.505470219999999</v>
      </c>
      <c r="G182">
        <f t="shared" si="50"/>
        <v>-79.699471420000009</v>
      </c>
      <c r="H182">
        <f t="shared" si="51"/>
        <v>-119.89347262000001</v>
      </c>
      <c r="I182">
        <f t="shared" si="52"/>
        <v>-160.08747382000001</v>
      </c>
      <c r="J182">
        <f t="shared" si="53"/>
        <v>-200.28147502000002</v>
      </c>
      <c r="L182">
        <f t="shared" si="54"/>
        <v>1390832.5796000001</v>
      </c>
      <c r="M182">
        <f t="shared" si="55"/>
        <v>-67949408.778400004</v>
      </c>
      <c r="N182">
        <f t="shared" si="56"/>
        <v>-117955217.7016</v>
      </c>
      <c r="O182">
        <f t="shared" si="57"/>
        <v>-134280689.33440003</v>
      </c>
      <c r="P182">
        <f t="shared" si="58"/>
        <v>-147280475.91440001</v>
      </c>
      <c r="Q182">
        <f t="shared" si="59"/>
        <v>-172242068.51719999</v>
      </c>
      <c r="S182">
        <f t="shared" si="60"/>
        <v>1686900.9010000001</v>
      </c>
      <c r="T182">
        <f t="shared" si="61"/>
        <v>-172947852.98140001</v>
      </c>
      <c r="U182">
        <f t="shared" si="62"/>
        <v>-148241016.84119999</v>
      </c>
      <c r="V182">
        <f t="shared" si="63"/>
        <v>-170248731.12040001</v>
      </c>
      <c r="W182">
        <f t="shared" si="64"/>
        <v>-219319839.13340005</v>
      </c>
      <c r="X182">
        <f t="shared" si="65"/>
        <v>-244343399.5244</v>
      </c>
      <c r="Z182">
        <f t="shared" si="66"/>
        <v>1982969.2223999999</v>
      </c>
      <c r="AA182">
        <f t="shared" si="67"/>
        <v>-103504331.9764</v>
      </c>
      <c r="AB182">
        <f t="shared" si="68"/>
        <v>-178526815.98080003</v>
      </c>
      <c r="AC182">
        <f t="shared" si="69"/>
        <v>-234991206.33520001</v>
      </c>
      <c r="AD182">
        <f t="shared" si="70"/>
        <v>-291359202.35240006</v>
      </c>
      <c r="AE182">
        <f t="shared" si="71"/>
        <v>-316444730.53160006</v>
      </c>
    </row>
    <row r="183" spans="1:31" x14ac:dyDescent="0.25">
      <c r="A183">
        <v>30.365127619999999</v>
      </c>
      <c r="B183">
        <v>111.9426565</v>
      </c>
      <c r="C183">
        <v>8.0388002400000005</v>
      </c>
      <c r="D183">
        <v>0.19942900999999999</v>
      </c>
      <c r="E183" t="b">
        <f t="shared" si="48"/>
        <v>0</v>
      </c>
      <c r="F183">
        <f t="shared" si="49"/>
        <v>-39.99457219</v>
      </c>
      <c r="G183">
        <f t="shared" si="50"/>
        <v>-80.188573390000002</v>
      </c>
      <c r="H183">
        <f t="shared" si="51"/>
        <v>-120.38257459</v>
      </c>
      <c r="I183">
        <f t="shared" si="52"/>
        <v>-160.57657579000002</v>
      </c>
      <c r="J183">
        <f t="shared" si="53"/>
        <v>-200.77057699000002</v>
      </c>
      <c r="L183">
        <f t="shared" si="54"/>
        <v>402846.60019999999</v>
      </c>
      <c r="M183">
        <f t="shared" si="55"/>
        <v>-68790664.166800007</v>
      </c>
      <c r="N183">
        <f t="shared" si="56"/>
        <v>-118679088.6172</v>
      </c>
      <c r="O183">
        <f t="shared" si="57"/>
        <v>-134828483.54080001</v>
      </c>
      <c r="P183">
        <f t="shared" si="58"/>
        <v>-147730449.72679999</v>
      </c>
      <c r="Q183">
        <f t="shared" si="59"/>
        <v>-172662696.2114</v>
      </c>
      <c r="S183">
        <f t="shared" si="60"/>
        <v>488601.07449999999</v>
      </c>
      <c r="T183">
        <f t="shared" si="61"/>
        <v>-174009204.2563</v>
      </c>
      <c r="U183">
        <f t="shared" si="62"/>
        <v>-149150746.5054</v>
      </c>
      <c r="V183">
        <f t="shared" si="63"/>
        <v>-170943255.91780001</v>
      </c>
      <c r="W183">
        <f t="shared" si="64"/>
        <v>-219989908.83230004</v>
      </c>
      <c r="X183">
        <f t="shared" si="65"/>
        <v>-244940103.9278</v>
      </c>
      <c r="Z183">
        <f t="shared" si="66"/>
        <v>574355.54879999987</v>
      </c>
      <c r="AA183">
        <f t="shared" si="67"/>
        <v>-104785779.13779999</v>
      </c>
      <c r="AB183">
        <f t="shared" si="68"/>
        <v>-179622404.39360002</v>
      </c>
      <c r="AC183">
        <f t="shared" si="69"/>
        <v>-235949846.19640002</v>
      </c>
      <c r="AD183">
        <f t="shared" si="70"/>
        <v>-292249367.93780005</v>
      </c>
      <c r="AE183">
        <f t="shared" si="71"/>
        <v>-317217511.64420003</v>
      </c>
    </row>
    <row r="184" spans="1:31" x14ac:dyDescent="0.25">
      <c r="A184">
        <v>30.369063860000001</v>
      </c>
      <c r="B184">
        <v>112.6824956</v>
      </c>
      <c r="C184">
        <v>5.3114275900000001</v>
      </c>
      <c r="D184">
        <v>0.31947800999999998</v>
      </c>
      <c r="E184" t="b">
        <f t="shared" si="48"/>
        <v>0</v>
      </c>
      <c r="F184">
        <f t="shared" si="49"/>
        <v>-26.23765994</v>
      </c>
      <c r="G184">
        <f t="shared" si="50"/>
        <v>-52.794797890000005</v>
      </c>
      <c r="H184">
        <f t="shared" si="51"/>
        <v>-79.35193584000001</v>
      </c>
      <c r="I184">
        <f t="shared" si="52"/>
        <v>-105.90907379000001</v>
      </c>
      <c r="J184">
        <f t="shared" si="53"/>
        <v>-132.46621173999998</v>
      </c>
      <c r="L184">
        <f t="shared" si="54"/>
        <v>645345.58019999985</v>
      </c>
      <c r="M184">
        <f t="shared" si="55"/>
        <v>-45128775.096800007</v>
      </c>
      <c r="N184">
        <f t="shared" si="56"/>
        <v>-78136300.877200007</v>
      </c>
      <c r="O184">
        <f t="shared" si="57"/>
        <v>-88874168.140800014</v>
      </c>
      <c r="P184">
        <f t="shared" si="58"/>
        <v>-97436347.886799991</v>
      </c>
      <c r="Q184">
        <f t="shared" si="59"/>
        <v>-113920942.09639998</v>
      </c>
      <c r="S184">
        <f t="shared" si="60"/>
        <v>782721.12449999992</v>
      </c>
      <c r="T184">
        <f t="shared" si="61"/>
        <v>-114564711.42130001</v>
      </c>
      <c r="U184">
        <f t="shared" si="62"/>
        <v>-98198324.07540001</v>
      </c>
      <c r="V184">
        <f t="shared" si="63"/>
        <v>-112679748.8928</v>
      </c>
      <c r="W184">
        <f t="shared" si="64"/>
        <v>-145095431.09230003</v>
      </c>
      <c r="X184">
        <f t="shared" si="65"/>
        <v>-161608778.32279998</v>
      </c>
      <c r="Z184">
        <f t="shared" si="66"/>
        <v>920096.66879999987</v>
      </c>
      <c r="AA184">
        <f t="shared" si="67"/>
        <v>-68742669.042800009</v>
      </c>
      <c r="AB184">
        <f t="shared" si="68"/>
        <v>-118260347.27360003</v>
      </c>
      <c r="AC184">
        <f t="shared" si="69"/>
        <v>-155529794.2464</v>
      </c>
      <c r="AD184">
        <f t="shared" si="70"/>
        <v>-192754514.2978</v>
      </c>
      <c r="AE184">
        <f t="shared" si="71"/>
        <v>-209296614.54919997</v>
      </c>
    </row>
    <row r="185" spans="1:31" x14ac:dyDescent="0.25">
      <c r="A185">
        <v>30.375316349999999</v>
      </c>
      <c r="B185">
        <v>112.5773117</v>
      </c>
      <c r="C185">
        <v>5.3114275900000001</v>
      </c>
      <c r="D185">
        <v>0.17269000000000001</v>
      </c>
      <c r="E185" t="b">
        <f t="shared" si="48"/>
        <v>0</v>
      </c>
      <c r="F185">
        <f t="shared" si="49"/>
        <v>-26.384447950000002</v>
      </c>
      <c r="G185">
        <f t="shared" si="50"/>
        <v>-52.9415859</v>
      </c>
      <c r="H185">
        <f t="shared" si="51"/>
        <v>-79.498723850000005</v>
      </c>
      <c r="I185">
        <f t="shared" si="52"/>
        <v>-106.0558618</v>
      </c>
      <c r="J185">
        <f t="shared" si="53"/>
        <v>-132.61299975</v>
      </c>
      <c r="L185">
        <f t="shared" si="54"/>
        <v>348833.8</v>
      </c>
      <c r="M185">
        <f t="shared" si="55"/>
        <v>-45381250.474000007</v>
      </c>
      <c r="N185">
        <f t="shared" si="56"/>
        <v>-78353547.131999999</v>
      </c>
      <c r="O185">
        <f t="shared" si="57"/>
        <v>-89038570.712000012</v>
      </c>
      <c r="P185">
        <f t="shared" si="58"/>
        <v>-97571392.855999991</v>
      </c>
      <c r="Q185">
        <f t="shared" si="59"/>
        <v>-114047179.785</v>
      </c>
      <c r="S185">
        <f t="shared" si="60"/>
        <v>423090.50000000006</v>
      </c>
      <c r="T185">
        <f t="shared" si="61"/>
        <v>-114883241.403</v>
      </c>
      <c r="U185">
        <f t="shared" si="62"/>
        <v>-98471349.773999989</v>
      </c>
      <c r="V185">
        <f t="shared" si="63"/>
        <v>-112888187.86700001</v>
      </c>
      <c r="W185">
        <f t="shared" si="64"/>
        <v>-145296530.66600001</v>
      </c>
      <c r="X185">
        <f t="shared" si="65"/>
        <v>-161787859.69499999</v>
      </c>
      <c r="Z185">
        <f t="shared" si="66"/>
        <v>497347.19999999995</v>
      </c>
      <c r="AA185">
        <f t="shared" si="67"/>
        <v>-69127253.629000008</v>
      </c>
      <c r="AB185">
        <f t="shared" si="68"/>
        <v>-118589152.41600001</v>
      </c>
      <c r="AC185">
        <f t="shared" si="69"/>
        <v>-155817498.74600002</v>
      </c>
      <c r="AD185">
        <f t="shared" si="70"/>
        <v>-193021668.47600001</v>
      </c>
      <c r="AE185">
        <f t="shared" si="71"/>
        <v>-209528539.60500002</v>
      </c>
    </row>
    <row r="186" spans="1:31" x14ac:dyDescent="0.25">
      <c r="A186">
        <v>30.381469840000001</v>
      </c>
      <c r="B186">
        <v>112.4721122</v>
      </c>
      <c r="C186">
        <v>5.3114275900000001</v>
      </c>
      <c r="D186">
        <v>0.83457499999999996</v>
      </c>
      <c r="E186" t="b">
        <f t="shared" si="48"/>
        <v>0</v>
      </c>
      <c r="F186">
        <f t="shared" si="49"/>
        <v>-25.72256295</v>
      </c>
      <c r="G186">
        <f t="shared" si="50"/>
        <v>-52.279700900000002</v>
      </c>
      <c r="H186">
        <f t="shared" si="51"/>
        <v>-78.836838850000007</v>
      </c>
      <c r="I186">
        <f t="shared" si="52"/>
        <v>-105.3939768</v>
      </c>
      <c r="J186">
        <f t="shared" si="53"/>
        <v>-131.95111474999999</v>
      </c>
      <c r="L186">
        <f t="shared" si="54"/>
        <v>1685841.5</v>
      </c>
      <c r="M186">
        <f t="shared" si="55"/>
        <v>-44242808.274000004</v>
      </c>
      <c r="N186">
        <f t="shared" si="56"/>
        <v>-77373957.332000002</v>
      </c>
      <c r="O186">
        <f t="shared" si="57"/>
        <v>-88297259.512000024</v>
      </c>
      <c r="P186">
        <f t="shared" si="58"/>
        <v>-96962458.655999988</v>
      </c>
      <c r="Q186">
        <f t="shared" si="59"/>
        <v>-113477958.68499999</v>
      </c>
      <c r="S186">
        <f t="shared" si="60"/>
        <v>2044708.7500000002</v>
      </c>
      <c r="T186">
        <f t="shared" si="61"/>
        <v>-113446950.95299999</v>
      </c>
      <c r="U186">
        <f t="shared" si="62"/>
        <v>-97240243.673999995</v>
      </c>
      <c r="V186">
        <f t="shared" si="63"/>
        <v>-111948311.16700001</v>
      </c>
      <c r="W186">
        <f t="shared" si="64"/>
        <v>-144389748.21600002</v>
      </c>
      <c r="X186">
        <f t="shared" si="65"/>
        <v>-160980359.99499997</v>
      </c>
      <c r="Z186">
        <f t="shared" si="66"/>
        <v>2403576</v>
      </c>
      <c r="AA186">
        <f t="shared" si="67"/>
        <v>-67393114.929000005</v>
      </c>
      <c r="AB186">
        <f t="shared" si="68"/>
        <v>-117106530.016</v>
      </c>
      <c r="AC186">
        <f t="shared" si="69"/>
        <v>-154520204.14600003</v>
      </c>
      <c r="AD186">
        <f t="shared" si="70"/>
        <v>-191817037.77599999</v>
      </c>
      <c r="AE186">
        <f t="shared" si="71"/>
        <v>-208482761.30499998</v>
      </c>
    </row>
    <row r="187" spans="1:31" x14ac:dyDescent="0.25">
      <c r="A187">
        <v>30.3843402</v>
      </c>
      <c r="B187">
        <v>106.61526449999999</v>
      </c>
      <c r="C187">
        <v>6.0797200000000003E-3</v>
      </c>
      <c r="D187">
        <v>0.27166699999999999</v>
      </c>
      <c r="E187" t="b">
        <f t="shared" si="48"/>
        <v>1</v>
      </c>
      <c r="F187">
        <f t="shared" si="49"/>
        <v>0.24126839999999999</v>
      </c>
      <c r="G187">
        <f t="shared" si="50"/>
        <v>0.2108698</v>
      </c>
      <c r="H187">
        <f t="shared" si="51"/>
        <v>0.1804712</v>
      </c>
      <c r="I187">
        <f t="shared" si="52"/>
        <v>0.1500726</v>
      </c>
      <c r="J187">
        <f t="shared" si="53"/>
        <v>0.11967399999999997</v>
      </c>
      <c r="L187">
        <f t="shared" si="54"/>
        <v>12281.0344</v>
      </c>
      <c r="M187">
        <f t="shared" si="55"/>
        <v>10457.118400000001</v>
      </c>
      <c r="N187">
        <f t="shared" si="56"/>
        <v>8997.9856</v>
      </c>
      <c r="O187">
        <f t="shared" si="57"/>
        <v>6809.2864000000009</v>
      </c>
      <c r="P187">
        <f t="shared" si="58"/>
        <v>5593.3423999999995</v>
      </c>
      <c r="Q187">
        <f t="shared" si="59"/>
        <v>5228.5591999999997</v>
      </c>
      <c r="S187">
        <f t="shared" si="60"/>
        <v>14895.314000000002</v>
      </c>
      <c r="T187">
        <f t="shared" si="61"/>
        <v>13192.992400000001</v>
      </c>
      <c r="U187">
        <f t="shared" si="62"/>
        <v>11308.279199999999</v>
      </c>
      <c r="V187">
        <f t="shared" si="63"/>
        <v>8633.2024000000001</v>
      </c>
      <c r="W187">
        <f t="shared" si="64"/>
        <v>8329.2164000000012</v>
      </c>
      <c r="X187">
        <f t="shared" si="65"/>
        <v>7417.2583999999997</v>
      </c>
      <c r="Z187">
        <f t="shared" si="66"/>
        <v>17509.5936</v>
      </c>
      <c r="AA187">
        <f t="shared" si="67"/>
        <v>15928.866400000001</v>
      </c>
      <c r="AB187">
        <f t="shared" si="68"/>
        <v>13618.572800000002</v>
      </c>
      <c r="AC187">
        <f t="shared" si="69"/>
        <v>11916.251200000001</v>
      </c>
      <c r="AD187">
        <f t="shared" si="70"/>
        <v>11065.090400000001</v>
      </c>
      <c r="AE187">
        <f t="shared" si="71"/>
        <v>9605.9576000000015</v>
      </c>
    </row>
    <row r="188" spans="1:31" x14ac:dyDescent="0.25">
      <c r="A188">
        <v>30.399336120000001</v>
      </c>
      <c r="B188">
        <v>112.1564229</v>
      </c>
      <c r="C188">
        <v>8.0388002400000005</v>
      </c>
      <c r="D188">
        <v>0.33875701000000003</v>
      </c>
      <c r="E188" t="b">
        <f t="shared" si="48"/>
        <v>0</v>
      </c>
      <c r="F188">
        <f t="shared" si="49"/>
        <v>-39.855244190000001</v>
      </c>
      <c r="G188">
        <f t="shared" si="50"/>
        <v>-80.04924539000001</v>
      </c>
      <c r="H188">
        <f t="shared" si="51"/>
        <v>-120.24324659000001</v>
      </c>
      <c r="I188">
        <f t="shared" si="52"/>
        <v>-160.43724779000001</v>
      </c>
      <c r="J188">
        <f t="shared" si="53"/>
        <v>-200.63124899000002</v>
      </c>
      <c r="L188">
        <f t="shared" si="54"/>
        <v>684289.16020000004</v>
      </c>
      <c r="M188">
        <f t="shared" si="55"/>
        <v>-68551020.006800011</v>
      </c>
      <c r="N188">
        <f t="shared" si="56"/>
        <v>-118472883.17720002</v>
      </c>
      <c r="O188">
        <f t="shared" si="57"/>
        <v>-134672436.18080002</v>
      </c>
      <c r="P188">
        <f t="shared" si="58"/>
        <v>-147602267.9668</v>
      </c>
      <c r="Q188">
        <f t="shared" si="59"/>
        <v>-172542874.13140002</v>
      </c>
      <c r="S188">
        <f t="shared" si="60"/>
        <v>829954.67450000008</v>
      </c>
      <c r="T188">
        <f t="shared" si="61"/>
        <v>-173706862.49630004</v>
      </c>
      <c r="U188">
        <f t="shared" si="62"/>
        <v>-148891596.42540002</v>
      </c>
      <c r="V188">
        <f t="shared" si="63"/>
        <v>-170745410.15780002</v>
      </c>
      <c r="W188">
        <f t="shared" si="64"/>
        <v>-219799029.47230005</v>
      </c>
      <c r="X188">
        <f t="shared" si="65"/>
        <v>-244770123.7678</v>
      </c>
      <c r="Z188">
        <f t="shared" si="66"/>
        <v>975620.1888</v>
      </c>
      <c r="AA188">
        <f t="shared" si="67"/>
        <v>-104420739.77779999</v>
      </c>
      <c r="AB188">
        <f t="shared" si="68"/>
        <v>-179310309.67360005</v>
      </c>
      <c r="AC188">
        <f t="shared" si="69"/>
        <v>-235676763.31640002</v>
      </c>
      <c r="AD188">
        <f t="shared" si="70"/>
        <v>-291995790.97780007</v>
      </c>
      <c r="AE188">
        <f t="shared" si="71"/>
        <v>-316997373.40420002</v>
      </c>
    </row>
    <row r="189" spans="1:31" x14ac:dyDescent="0.25">
      <c r="A189">
        <v>30.402227150000002</v>
      </c>
      <c r="B189">
        <v>112.1037951</v>
      </c>
      <c r="C189">
        <v>8.0388002400000005</v>
      </c>
      <c r="D189">
        <v>0.36033100000000001</v>
      </c>
      <c r="E189" t="b">
        <f t="shared" si="48"/>
        <v>0</v>
      </c>
      <c r="F189">
        <f t="shared" si="49"/>
        <v>-39.8336702</v>
      </c>
      <c r="G189">
        <f t="shared" si="50"/>
        <v>-80.027671400000003</v>
      </c>
      <c r="H189">
        <f t="shared" si="51"/>
        <v>-120.22167260000001</v>
      </c>
      <c r="I189">
        <f t="shared" si="52"/>
        <v>-160.41567380000001</v>
      </c>
      <c r="J189">
        <f t="shared" si="53"/>
        <v>-200.60967500000001</v>
      </c>
      <c r="L189">
        <f t="shared" si="54"/>
        <v>727868.62</v>
      </c>
      <c r="M189">
        <f t="shared" si="55"/>
        <v>-68513912.744000018</v>
      </c>
      <c r="N189">
        <f t="shared" si="56"/>
        <v>-118440953.67200001</v>
      </c>
      <c r="O189">
        <f t="shared" si="57"/>
        <v>-134648273.31200004</v>
      </c>
      <c r="P189">
        <f t="shared" si="58"/>
        <v>-147582419.896</v>
      </c>
      <c r="Q189">
        <f t="shared" si="59"/>
        <v>-172524320.5</v>
      </c>
      <c r="S189">
        <f t="shared" si="60"/>
        <v>882810.95000000007</v>
      </c>
      <c r="T189">
        <f t="shared" si="61"/>
        <v>-173660046.93799999</v>
      </c>
      <c r="U189">
        <f t="shared" si="62"/>
        <v>-148851468.80399999</v>
      </c>
      <c r="V189">
        <f t="shared" si="63"/>
        <v>-170714775.09200001</v>
      </c>
      <c r="W189">
        <f t="shared" si="64"/>
        <v>-219769473.10600004</v>
      </c>
      <c r="X189">
        <f t="shared" si="65"/>
        <v>-244743803.5</v>
      </c>
      <c r="Z189">
        <f t="shared" si="66"/>
        <v>1037753.2799999999</v>
      </c>
      <c r="AA189">
        <f t="shared" si="67"/>
        <v>-104364215.92400001</v>
      </c>
      <c r="AB189">
        <f t="shared" si="68"/>
        <v>-179261983.93600002</v>
      </c>
      <c r="AC189">
        <f t="shared" si="69"/>
        <v>-235634478.296</v>
      </c>
      <c r="AD189">
        <f t="shared" si="70"/>
        <v>-291956526.31600004</v>
      </c>
      <c r="AE189">
        <f t="shared" si="71"/>
        <v>-316963286.5</v>
      </c>
    </row>
    <row r="190" spans="1:31" x14ac:dyDescent="0.25">
      <c r="A190">
        <v>30.40509518</v>
      </c>
      <c r="B190">
        <v>112.843963</v>
      </c>
      <c r="C190">
        <v>5.3114275900000001</v>
      </c>
      <c r="D190">
        <v>6.1289000000000003E-2</v>
      </c>
      <c r="E190" t="b">
        <f t="shared" si="48"/>
        <v>0</v>
      </c>
      <c r="F190">
        <f t="shared" si="49"/>
        <v>-26.495848950000003</v>
      </c>
      <c r="G190">
        <f t="shared" si="50"/>
        <v>-53.052986900000001</v>
      </c>
      <c r="H190">
        <f t="shared" si="51"/>
        <v>-79.610124850000005</v>
      </c>
      <c r="I190">
        <f t="shared" si="52"/>
        <v>-106.1672628</v>
      </c>
      <c r="J190">
        <f t="shared" si="53"/>
        <v>-132.72440075</v>
      </c>
      <c r="L190">
        <f t="shared" si="54"/>
        <v>123803.78</v>
      </c>
      <c r="M190">
        <f t="shared" si="55"/>
        <v>-45572860.194000013</v>
      </c>
      <c r="N190">
        <f t="shared" si="56"/>
        <v>-78518420.612000003</v>
      </c>
      <c r="O190">
        <f t="shared" si="57"/>
        <v>-89163339.832000017</v>
      </c>
      <c r="P190">
        <f t="shared" si="58"/>
        <v>-97673881.775999993</v>
      </c>
      <c r="Q190">
        <f t="shared" si="59"/>
        <v>-114142984.645</v>
      </c>
      <c r="S190">
        <f t="shared" si="60"/>
        <v>150158.05000000002</v>
      </c>
      <c r="T190">
        <f t="shared" si="61"/>
        <v>-115124981.573</v>
      </c>
      <c r="U190">
        <f t="shared" si="62"/>
        <v>-98678555.633999988</v>
      </c>
      <c r="V190">
        <f t="shared" si="63"/>
        <v>-113046377.287</v>
      </c>
      <c r="W190">
        <f t="shared" si="64"/>
        <v>-145449150.03600001</v>
      </c>
      <c r="X190">
        <f t="shared" si="65"/>
        <v>-161923768.91499999</v>
      </c>
      <c r="Z190">
        <f t="shared" si="66"/>
        <v>176512.32</v>
      </c>
      <c r="AA190">
        <f t="shared" si="67"/>
        <v>-69419124.249000013</v>
      </c>
      <c r="AB190">
        <f t="shared" si="68"/>
        <v>-118838690.656</v>
      </c>
      <c r="AC190">
        <f t="shared" si="69"/>
        <v>-156035844.706</v>
      </c>
      <c r="AD190">
        <f t="shared" si="70"/>
        <v>-193224418.296</v>
      </c>
      <c r="AE190">
        <f t="shared" si="71"/>
        <v>-209704553.185</v>
      </c>
    </row>
    <row r="191" spans="1:31" x14ac:dyDescent="0.25">
      <c r="A191">
        <v>30.408309979999999</v>
      </c>
      <c r="B191">
        <v>112.79135650000001</v>
      </c>
      <c r="C191">
        <v>5.3114275900000001</v>
      </c>
      <c r="D191">
        <v>0.80768901000000004</v>
      </c>
      <c r="E191" t="b">
        <f t="shared" si="48"/>
        <v>0</v>
      </c>
      <c r="F191">
        <f t="shared" si="49"/>
        <v>-25.749448940000001</v>
      </c>
      <c r="G191">
        <f t="shared" si="50"/>
        <v>-52.306586890000005</v>
      </c>
      <c r="H191">
        <f t="shared" si="51"/>
        <v>-78.863724840000003</v>
      </c>
      <c r="I191">
        <f t="shared" si="52"/>
        <v>-105.42086279</v>
      </c>
      <c r="J191">
        <f t="shared" si="53"/>
        <v>-131.97800074</v>
      </c>
      <c r="L191">
        <f t="shared" si="54"/>
        <v>1631531.8001999999</v>
      </c>
      <c r="M191">
        <f t="shared" si="55"/>
        <v>-44289052.176800005</v>
      </c>
      <c r="N191">
        <f t="shared" si="56"/>
        <v>-77413748.597200006</v>
      </c>
      <c r="O191">
        <f t="shared" si="57"/>
        <v>-88327371.820800006</v>
      </c>
      <c r="P191">
        <f t="shared" si="58"/>
        <v>-96987193.766800001</v>
      </c>
      <c r="Q191">
        <f t="shared" si="59"/>
        <v>-113501080.6364</v>
      </c>
      <c r="S191">
        <f t="shared" si="60"/>
        <v>1978838.0745000001</v>
      </c>
      <c r="T191">
        <f t="shared" si="61"/>
        <v>-113505293.55130002</v>
      </c>
      <c r="U191">
        <f t="shared" si="62"/>
        <v>-97290251.615400001</v>
      </c>
      <c r="V191">
        <f t="shared" si="63"/>
        <v>-111986489.2728</v>
      </c>
      <c r="W191">
        <f t="shared" si="64"/>
        <v>-144426582.02230003</v>
      </c>
      <c r="X191">
        <f t="shared" si="65"/>
        <v>-161013160.90279999</v>
      </c>
      <c r="Z191">
        <f t="shared" si="66"/>
        <v>2326144.3487999998</v>
      </c>
      <c r="AA191">
        <f t="shared" si="67"/>
        <v>-67463556.222800002</v>
      </c>
      <c r="AB191">
        <f t="shared" si="68"/>
        <v>-117166754.63360003</v>
      </c>
      <c r="AC191">
        <f t="shared" si="69"/>
        <v>-154572900.6864</v>
      </c>
      <c r="AD191">
        <f t="shared" si="70"/>
        <v>-191865970.27780002</v>
      </c>
      <c r="AE191">
        <f t="shared" si="71"/>
        <v>-208525241.1692</v>
      </c>
    </row>
    <row r="192" spans="1:31" x14ac:dyDescent="0.25">
      <c r="A192">
        <v>30.41780589</v>
      </c>
      <c r="B192">
        <v>112.63351299999999</v>
      </c>
      <c r="C192">
        <v>5.3114275900000001</v>
      </c>
      <c r="D192">
        <v>0.48452499999999998</v>
      </c>
      <c r="E192" t="b">
        <f t="shared" si="48"/>
        <v>0</v>
      </c>
      <c r="F192">
        <f t="shared" si="49"/>
        <v>-26.07261295</v>
      </c>
      <c r="G192">
        <f t="shared" si="50"/>
        <v>-52.629750900000005</v>
      </c>
      <c r="H192">
        <f t="shared" si="51"/>
        <v>-79.186888850000003</v>
      </c>
      <c r="I192">
        <f t="shared" si="52"/>
        <v>-105.7440268</v>
      </c>
      <c r="J192">
        <f t="shared" si="53"/>
        <v>-132.30116475</v>
      </c>
      <c r="L192">
        <f t="shared" si="54"/>
        <v>978740.5</v>
      </c>
      <c r="M192">
        <f t="shared" si="55"/>
        <v>-44844894.274000004</v>
      </c>
      <c r="N192">
        <f t="shared" si="56"/>
        <v>-77892031.332000002</v>
      </c>
      <c r="O192">
        <f t="shared" si="57"/>
        <v>-88689315.512000024</v>
      </c>
      <c r="P192">
        <f t="shared" si="58"/>
        <v>-97284504.655999988</v>
      </c>
      <c r="Q192">
        <f t="shared" si="59"/>
        <v>-113779001.685</v>
      </c>
      <c r="S192">
        <f t="shared" si="60"/>
        <v>1187086.25</v>
      </c>
      <c r="T192">
        <f t="shared" si="61"/>
        <v>-114206559.45300001</v>
      </c>
      <c r="U192">
        <f t="shared" si="62"/>
        <v>-97891336.67400001</v>
      </c>
      <c r="V192">
        <f t="shared" si="63"/>
        <v>-112445382.16700001</v>
      </c>
      <c r="W192">
        <f t="shared" si="64"/>
        <v>-144869316.71600002</v>
      </c>
      <c r="X192">
        <f t="shared" si="65"/>
        <v>-161407420.995</v>
      </c>
      <c r="Z192">
        <f t="shared" si="66"/>
        <v>1395432</v>
      </c>
      <c r="AA192">
        <f t="shared" si="67"/>
        <v>-68310245.929000005</v>
      </c>
      <c r="AB192">
        <f t="shared" si="68"/>
        <v>-117890642.01600002</v>
      </c>
      <c r="AC192">
        <f t="shared" si="69"/>
        <v>-155206302.14600003</v>
      </c>
      <c r="AD192">
        <f t="shared" si="70"/>
        <v>-192454128.77599999</v>
      </c>
      <c r="AE192">
        <f t="shared" si="71"/>
        <v>-209035840.30500001</v>
      </c>
    </row>
    <row r="193" spans="1:31" x14ac:dyDescent="0.25">
      <c r="A193">
        <v>30.43087332</v>
      </c>
      <c r="B193">
        <v>113.1634117</v>
      </c>
      <c r="C193">
        <v>0.33875009</v>
      </c>
      <c r="D193">
        <v>2.2386660599999999</v>
      </c>
      <c r="E193" t="b">
        <f t="shared" si="48"/>
        <v>1</v>
      </c>
      <c r="F193">
        <f t="shared" si="49"/>
        <v>0.54491560999999988</v>
      </c>
      <c r="G193">
        <f t="shared" si="50"/>
        <v>-1.1488348400000001</v>
      </c>
      <c r="H193">
        <f t="shared" si="51"/>
        <v>-2.8425852900000006</v>
      </c>
      <c r="I193">
        <f t="shared" si="52"/>
        <v>-4.5363357400000002</v>
      </c>
      <c r="J193">
        <f t="shared" si="53"/>
        <v>-6.2300861899999997</v>
      </c>
      <c r="L193">
        <f t="shared" si="54"/>
        <v>684275.18180000002</v>
      </c>
      <c r="M193">
        <f t="shared" si="55"/>
        <v>582650.15480000013</v>
      </c>
      <c r="N193">
        <f t="shared" si="56"/>
        <v>-1700275.5632000002</v>
      </c>
      <c r="O193">
        <f t="shared" si="57"/>
        <v>-3183695.5248000007</v>
      </c>
      <c r="P193">
        <f t="shared" si="58"/>
        <v>-4173428.8807999999</v>
      </c>
      <c r="Q193">
        <f t="shared" si="59"/>
        <v>-5357874.1233999999</v>
      </c>
      <c r="S193">
        <f t="shared" si="60"/>
        <v>829937.72050000017</v>
      </c>
      <c r="T193">
        <f t="shared" si="61"/>
        <v>-2492971.6028</v>
      </c>
      <c r="U193">
        <f t="shared" si="62"/>
        <v>-2136832.8023999999</v>
      </c>
      <c r="V193">
        <f t="shared" si="63"/>
        <v>-4036471.1118000005</v>
      </c>
      <c r="W193">
        <f t="shared" si="64"/>
        <v>-6214779.963800001</v>
      </c>
      <c r="X193">
        <f t="shared" si="65"/>
        <v>-7600705.1517999992</v>
      </c>
      <c r="Z193">
        <f t="shared" si="66"/>
        <v>975600.25920000009</v>
      </c>
      <c r="AA193">
        <f t="shared" si="67"/>
        <v>887525.23580000014</v>
      </c>
      <c r="AB193">
        <f t="shared" si="68"/>
        <v>-2573390.0416000006</v>
      </c>
      <c r="AC193">
        <f t="shared" si="69"/>
        <v>-5571467.1684000008</v>
      </c>
      <c r="AD193">
        <f t="shared" si="70"/>
        <v>-8256131.0468000006</v>
      </c>
      <c r="AE193">
        <f t="shared" si="71"/>
        <v>-9843536.1801999994</v>
      </c>
    </row>
    <row r="194" spans="1:31" x14ac:dyDescent="0.25">
      <c r="A194">
        <v>30.431076969999999</v>
      </c>
      <c r="B194">
        <v>105.6133063</v>
      </c>
      <c r="C194">
        <v>3.4743599999999999E-2</v>
      </c>
      <c r="D194">
        <v>0.85282499</v>
      </c>
      <c r="E194" t="b">
        <f t="shared" si="48"/>
        <v>1</v>
      </c>
      <c r="F194">
        <f t="shared" si="49"/>
        <v>0.67910698999999997</v>
      </c>
      <c r="G194">
        <f t="shared" si="50"/>
        <v>0.50538899000000004</v>
      </c>
      <c r="H194">
        <f t="shared" si="51"/>
        <v>0.33167099</v>
      </c>
      <c r="I194">
        <f t="shared" si="52"/>
        <v>0.15795299000000007</v>
      </c>
      <c r="J194">
        <f t="shared" si="53"/>
        <v>-1.5765009999999968E-2</v>
      </c>
      <c r="L194">
        <f t="shared" si="54"/>
        <v>70182.072</v>
      </c>
      <c r="M194">
        <f t="shared" si="55"/>
        <v>59758.992000000006</v>
      </c>
      <c r="N194">
        <f t="shared" si="56"/>
        <v>51420.527999999998</v>
      </c>
      <c r="O194">
        <f t="shared" si="57"/>
        <v>38912.832000000002</v>
      </c>
      <c r="P194">
        <f t="shared" si="58"/>
        <v>31964.111999999997</v>
      </c>
      <c r="Q194">
        <f t="shared" si="59"/>
        <v>-13557.908599999972</v>
      </c>
      <c r="S194">
        <f t="shared" si="60"/>
        <v>85121.82</v>
      </c>
      <c r="T194">
        <f t="shared" si="61"/>
        <v>75393.611999999994</v>
      </c>
      <c r="U194">
        <f t="shared" si="62"/>
        <v>64623.09599999999</v>
      </c>
      <c r="V194">
        <f t="shared" si="63"/>
        <v>49335.911999999997</v>
      </c>
      <c r="W194">
        <f t="shared" si="64"/>
        <v>47598.732000000004</v>
      </c>
      <c r="X194">
        <f t="shared" si="65"/>
        <v>-19233.31219999996</v>
      </c>
      <c r="Z194">
        <f t="shared" si="66"/>
        <v>100061.568</v>
      </c>
      <c r="AA194">
        <f t="shared" si="67"/>
        <v>91028.232000000004</v>
      </c>
      <c r="AB194">
        <f t="shared" si="68"/>
        <v>77825.664000000004</v>
      </c>
      <c r="AC194">
        <f t="shared" si="69"/>
        <v>68097.455999999991</v>
      </c>
      <c r="AD194">
        <f t="shared" si="70"/>
        <v>63233.351999999999</v>
      </c>
      <c r="AE194">
        <f t="shared" si="71"/>
        <v>-24908.715799999951</v>
      </c>
    </row>
    <row r="195" spans="1:31" x14ac:dyDescent="0.25">
      <c r="A195">
        <v>30.43157823</v>
      </c>
      <c r="B195">
        <v>106.19358510000001</v>
      </c>
      <c r="C195">
        <v>6.0797200000000003E-3</v>
      </c>
      <c r="D195">
        <v>4.2841999999999998E-2</v>
      </c>
      <c r="E195" t="b">
        <f t="shared" ref="E195:E258" si="72">D195&gt;C195</f>
        <v>1</v>
      </c>
      <c r="F195">
        <f t="shared" ref="F195:F258" si="73">D195-(C195*(2030-2025))</f>
        <v>1.2443399999999997E-2</v>
      </c>
      <c r="G195">
        <f t="shared" ref="G195:G258" si="74">D195-(C195*(2035-2025))</f>
        <v>-1.7955200000000004E-2</v>
      </c>
      <c r="H195">
        <f t="shared" ref="H195:H258" si="75">D195-(C195*(2040-2025))</f>
        <v>-4.8353800000000009E-2</v>
      </c>
      <c r="I195">
        <f t="shared" ref="I195:I258" si="76">D195-(C195*(2045-2025))</f>
        <v>-7.87524E-2</v>
      </c>
      <c r="J195">
        <f t="shared" ref="J195:J258" si="77">D195-(C195*(2050-2025))</f>
        <v>-0.10915100000000003</v>
      </c>
      <c r="L195">
        <f t="shared" ref="L195:L258" si="78">MIN(C195,D195)*1000000*((280/250)+0.9)</f>
        <v>12281.0344</v>
      </c>
      <c r="M195">
        <f t="shared" ref="M195:M258" si="79">MIN(C195,F195)*1000000*((230/250)+0.8)</f>
        <v>10457.118400000001</v>
      </c>
      <c r="N195">
        <f t="shared" ref="N195:N258" si="80">MIN(C195,G195)*1000000*((195/250)+0.7)</f>
        <v>-26573.696000000007</v>
      </c>
      <c r="O195">
        <f t="shared" ref="O195:O258" si="81">MIN(C195,H195)*1000000*((130/250)+0.6)</f>
        <v>-54156.256000000016</v>
      </c>
      <c r="P195">
        <f t="shared" ref="P195:P258" si="82">MIN(C195,I195)*1000000*((105/250)+0.5)</f>
        <v>-72452.207999999984</v>
      </c>
      <c r="Q195">
        <f t="shared" ref="Q195:Q258" si="83">MIN(C195,J195)*1000000*((90/250)+0.5)</f>
        <v>-93869.86000000003</v>
      </c>
      <c r="S195">
        <f t="shared" ref="S195:S258" si="84">MIN(C195,D195)*1000000*((325/250)+1.15)</f>
        <v>14895.314000000002</v>
      </c>
      <c r="T195">
        <f t="shared" ref="T195:T258" si="85">MIN(C195,G195)*1000000*((280/250)+1.05)</f>
        <v>-38962.784000000007</v>
      </c>
      <c r="U195">
        <f t="shared" ref="U195:U258" si="86">MIN(C195,G195)*1000000*((227.5/250)+0.95)</f>
        <v>-33396.672000000006</v>
      </c>
      <c r="V195">
        <f t="shared" ref="V195:V258" si="87">MIN(C195,H195)*1000000*((142.5/250)+0.85)</f>
        <v>-68662.396000000008</v>
      </c>
      <c r="W195">
        <f t="shared" ref="W195:W258" si="88">MIN(C195,I195)*1000000*((142.5/250)+0.8)</f>
        <v>-107890.788</v>
      </c>
      <c r="X195">
        <f t="shared" ref="X195:X258" si="89">MIN(C195,J195)*1000000*((117.5/250)+0.75)</f>
        <v>-133164.22000000003</v>
      </c>
      <c r="Z195">
        <f t="shared" ref="Z195:Z258" si="90">MIN(C195,D195)*1000000*((370/250)+1.4)</f>
        <v>17509.5936</v>
      </c>
      <c r="AA195">
        <f t="shared" ref="AA195:AA258" si="91">MIN(C195,F195)*1000000*((330/250)+1.3)</f>
        <v>15928.866400000001</v>
      </c>
      <c r="AB195">
        <f t="shared" ref="AB195:AB258" si="92">MIN(C195,G195)*1000000*((260/250)+1.2)</f>
        <v>-40219.648000000016</v>
      </c>
      <c r="AC195">
        <f t="shared" ref="AC195:AC258" si="93">MIN(C195,H195)*1000000*((215/250)+1.1)</f>
        <v>-94773.448000000019</v>
      </c>
      <c r="AD195">
        <f t="shared" ref="AD195:AD258" si="94">MIN(C195,I195)*1000000*((180/250)+1.1)</f>
        <v>-143329.36799999999</v>
      </c>
      <c r="AE195">
        <f t="shared" ref="AE195:AE258" si="95">MIN(C195,J195)*1000000*((145/250)+1)</f>
        <v>-172458.58000000005</v>
      </c>
    </row>
    <row r="196" spans="1:31" x14ac:dyDescent="0.25">
      <c r="A196">
        <v>30.453910690000001</v>
      </c>
      <c r="B196">
        <v>112.7950532</v>
      </c>
      <c r="C196">
        <v>5.3114275900000001</v>
      </c>
      <c r="D196">
        <v>14.07820034</v>
      </c>
      <c r="E196" t="b">
        <f t="shared" si="72"/>
        <v>1</v>
      </c>
      <c r="F196">
        <f t="shared" si="73"/>
        <v>-12.478937610000001</v>
      </c>
      <c r="G196">
        <f t="shared" si="74"/>
        <v>-39.03607556</v>
      </c>
      <c r="H196">
        <f t="shared" si="75"/>
        <v>-65.593213510000012</v>
      </c>
      <c r="I196">
        <f t="shared" si="76"/>
        <v>-92.15035146000001</v>
      </c>
      <c r="J196">
        <f t="shared" si="77"/>
        <v>-118.70748940999999</v>
      </c>
      <c r="L196">
        <f t="shared" si="78"/>
        <v>10729083.731799999</v>
      </c>
      <c r="M196">
        <f t="shared" si="79"/>
        <v>-21463772.689200006</v>
      </c>
      <c r="N196">
        <f t="shared" si="80"/>
        <v>-57773391.8288</v>
      </c>
      <c r="O196">
        <f t="shared" si="81"/>
        <v>-73464399.131200016</v>
      </c>
      <c r="P196">
        <f t="shared" si="82"/>
        <v>-84778323.343199998</v>
      </c>
      <c r="Q196">
        <f t="shared" si="83"/>
        <v>-102088440.8926</v>
      </c>
      <c r="S196">
        <f t="shared" si="84"/>
        <v>13012997.5955</v>
      </c>
      <c r="T196">
        <f t="shared" si="85"/>
        <v>-84708283.965200007</v>
      </c>
      <c r="U196">
        <f t="shared" si="86"/>
        <v>-72607100.541600004</v>
      </c>
      <c r="V196">
        <f t="shared" si="87"/>
        <v>-93142363.184200019</v>
      </c>
      <c r="W196">
        <f t="shared" si="88"/>
        <v>-126245981.50020002</v>
      </c>
      <c r="X196">
        <f t="shared" si="89"/>
        <v>-144823137.08019999</v>
      </c>
      <c r="Z196">
        <f t="shared" si="90"/>
        <v>15296911.459199999</v>
      </c>
      <c r="AA196">
        <f t="shared" si="91"/>
        <v>-32694816.538200006</v>
      </c>
      <c r="AB196">
        <f t="shared" si="92"/>
        <v>-87440809.254400015</v>
      </c>
      <c r="AC196">
        <f t="shared" si="93"/>
        <v>-128562698.47960003</v>
      </c>
      <c r="AD196">
        <f t="shared" si="94"/>
        <v>-167713639.65720001</v>
      </c>
      <c r="AE196">
        <f t="shared" si="95"/>
        <v>-187557833.2678</v>
      </c>
    </row>
    <row r="197" spans="1:31" x14ac:dyDescent="0.25">
      <c r="A197">
        <v>30.457102710000001</v>
      </c>
      <c r="B197">
        <v>112.74241429999999</v>
      </c>
      <c r="C197">
        <v>5.3114275900000001</v>
      </c>
      <c r="D197">
        <v>1.814152</v>
      </c>
      <c r="E197" t="b">
        <f t="shared" si="72"/>
        <v>0</v>
      </c>
      <c r="F197">
        <f t="shared" si="73"/>
        <v>-24.742985950000001</v>
      </c>
      <c r="G197">
        <f t="shared" si="74"/>
        <v>-51.300123900000003</v>
      </c>
      <c r="H197">
        <f t="shared" si="75"/>
        <v>-77.857261850000015</v>
      </c>
      <c r="I197">
        <f t="shared" si="76"/>
        <v>-104.41439980000001</v>
      </c>
      <c r="J197">
        <f t="shared" si="77"/>
        <v>-130.97153774999998</v>
      </c>
      <c r="L197">
        <f t="shared" si="78"/>
        <v>3664587.04</v>
      </c>
      <c r="M197">
        <f t="shared" si="79"/>
        <v>-42557935.834000006</v>
      </c>
      <c r="N197">
        <f t="shared" si="80"/>
        <v>-75924183.372000009</v>
      </c>
      <c r="O197">
        <f t="shared" si="81"/>
        <v>-87200133.272000015</v>
      </c>
      <c r="P197">
        <f t="shared" si="82"/>
        <v>-96061247.816</v>
      </c>
      <c r="Q197">
        <f t="shared" si="83"/>
        <v>-112635522.46499999</v>
      </c>
      <c r="S197">
        <f t="shared" si="84"/>
        <v>4444672.4000000004</v>
      </c>
      <c r="T197">
        <f t="shared" si="85"/>
        <v>-111321268.86300001</v>
      </c>
      <c r="U197">
        <f t="shared" si="86"/>
        <v>-95418230.454000011</v>
      </c>
      <c r="V197">
        <f t="shared" si="87"/>
        <v>-110557311.82700001</v>
      </c>
      <c r="W197">
        <f t="shared" si="88"/>
        <v>-143047727.72600004</v>
      </c>
      <c r="X197">
        <f t="shared" si="89"/>
        <v>-159785276.05499998</v>
      </c>
      <c r="Z197">
        <f t="shared" si="90"/>
        <v>5224757.76</v>
      </c>
      <c r="AA197">
        <f t="shared" si="91"/>
        <v>-64826623.18900001</v>
      </c>
      <c r="AB197">
        <f t="shared" si="92"/>
        <v>-114912277.53600003</v>
      </c>
      <c r="AC197">
        <f t="shared" si="93"/>
        <v>-152600233.22600001</v>
      </c>
      <c r="AD197">
        <f t="shared" si="94"/>
        <v>-190034207.63600004</v>
      </c>
      <c r="AE197">
        <f t="shared" si="95"/>
        <v>-206935029.64499998</v>
      </c>
    </row>
    <row r="198" spans="1:31" x14ac:dyDescent="0.25">
      <c r="A198">
        <v>30.493052209999998</v>
      </c>
      <c r="B198">
        <v>112.9040767</v>
      </c>
      <c r="C198">
        <v>5.3114275900000001</v>
      </c>
      <c r="D198">
        <v>0.49288300000000002</v>
      </c>
      <c r="E198" t="b">
        <f t="shared" si="72"/>
        <v>0</v>
      </c>
      <c r="F198">
        <f t="shared" si="73"/>
        <v>-26.064254950000002</v>
      </c>
      <c r="G198">
        <f t="shared" si="74"/>
        <v>-52.621392900000004</v>
      </c>
      <c r="H198">
        <f t="shared" si="75"/>
        <v>-79.178530850000001</v>
      </c>
      <c r="I198">
        <f t="shared" si="76"/>
        <v>-105.7356688</v>
      </c>
      <c r="J198">
        <f t="shared" si="77"/>
        <v>-132.29280674999998</v>
      </c>
      <c r="L198">
        <f t="shared" si="78"/>
        <v>995623.66</v>
      </c>
      <c r="M198">
        <f t="shared" si="79"/>
        <v>-44830518.514000013</v>
      </c>
      <c r="N198">
        <f t="shared" si="80"/>
        <v>-77879661.492000014</v>
      </c>
      <c r="O198">
        <f t="shared" si="81"/>
        <v>-88679954.552000001</v>
      </c>
      <c r="P198">
        <f t="shared" si="82"/>
        <v>-97276815.295999989</v>
      </c>
      <c r="Q198">
        <f t="shared" si="83"/>
        <v>-113771813.80499999</v>
      </c>
      <c r="S198">
        <f t="shared" si="84"/>
        <v>1207563.3500000001</v>
      </c>
      <c r="T198">
        <f t="shared" si="85"/>
        <v>-114188422.59300001</v>
      </c>
      <c r="U198">
        <f t="shared" si="86"/>
        <v>-97875790.794</v>
      </c>
      <c r="V198">
        <f t="shared" si="87"/>
        <v>-112433513.80699998</v>
      </c>
      <c r="W198">
        <f t="shared" si="88"/>
        <v>-144857866.25600001</v>
      </c>
      <c r="X198">
        <f t="shared" si="89"/>
        <v>-161397224.23499998</v>
      </c>
      <c r="Z198">
        <f t="shared" si="90"/>
        <v>1419503.04</v>
      </c>
      <c r="AA198">
        <f t="shared" si="91"/>
        <v>-68288347.969000012</v>
      </c>
      <c r="AB198">
        <f t="shared" si="92"/>
        <v>-117871920.09600003</v>
      </c>
      <c r="AC198">
        <f t="shared" si="93"/>
        <v>-155189920.46599999</v>
      </c>
      <c r="AD198">
        <f t="shared" si="94"/>
        <v>-192438917.21599999</v>
      </c>
      <c r="AE198">
        <f t="shared" si="95"/>
        <v>-209022634.66499999</v>
      </c>
    </row>
    <row r="199" spans="1:31" x14ac:dyDescent="0.25">
      <c r="A199">
        <v>30.496295750000002</v>
      </c>
      <c r="B199">
        <v>112.8514174</v>
      </c>
      <c r="C199">
        <v>5.3114275900000001</v>
      </c>
      <c r="D199">
        <v>1.9049520499999999</v>
      </c>
      <c r="E199" t="b">
        <f t="shared" si="72"/>
        <v>0</v>
      </c>
      <c r="F199">
        <f t="shared" si="73"/>
        <v>-24.652185900000003</v>
      </c>
      <c r="G199">
        <f t="shared" si="74"/>
        <v>-51.209323850000004</v>
      </c>
      <c r="H199">
        <f t="shared" si="75"/>
        <v>-77.766461800000002</v>
      </c>
      <c r="I199">
        <f t="shared" si="76"/>
        <v>-104.32359975</v>
      </c>
      <c r="J199">
        <f t="shared" si="77"/>
        <v>-130.8807377</v>
      </c>
      <c r="L199">
        <f t="shared" si="78"/>
        <v>3848003.1409999998</v>
      </c>
      <c r="M199">
        <f t="shared" si="79"/>
        <v>-42401759.748000011</v>
      </c>
      <c r="N199">
        <f t="shared" si="80"/>
        <v>-75789799.298000008</v>
      </c>
      <c r="O199">
        <f t="shared" si="81"/>
        <v>-87098437.216000006</v>
      </c>
      <c r="P199">
        <f t="shared" si="82"/>
        <v>-95977711.769999996</v>
      </c>
      <c r="Q199">
        <f t="shared" si="83"/>
        <v>-112557434.42200001</v>
      </c>
      <c r="S199">
        <f t="shared" si="84"/>
        <v>4667132.5225</v>
      </c>
      <c r="T199">
        <f t="shared" si="85"/>
        <v>-111124232.7545</v>
      </c>
      <c r="U199">
        <f t="shared" si="86"/>
        <v>-95249342.361000001</v>
      </c>
      <c r="V199">
        <f t="shared" si="87"/>
        <v>-110428375.756</v>
      </c>
      <c r="W199">
        <f t="shared" si="88"/>
        <v>-142923331.6575</v>
      </c>
      <c r="X199">
        <f t="shared" si="89"/>
        <v>-159674499.99399999</v>
      </c>
      <c r="Z199">
        <f t="shared" si="90"/>
        <v>5486261.9039999992</v>
      </c>
      <c r="AA199">
        <f t="shared" si="91"/>
        <v>-64588727.058000006</v>
      </c>
      <c r="AB199">
        <f t="shared" si="92"/>
        <v>-114708885.42400001</v>
      </c>
      <c r="AC199">
        <f t="shared" si="93"/>
        <v>-152422265.12799999</v>
      </c>
      <c r="AD199">
        <f t="shared" si="94"/>
        <v>-189868951.54500002</v>
      </c>
      <c r="AE199">
        <f t="shared" si="95"/>
        <v>-206791565.56600001</v>
      </c>
    </row>
    <row r="200" spans="1:31" x14ac:dyDescent="0.25">
      <c r="A200">
        <v>30.50587767</v>
      </c>
      <c r="B200">
        <v>112.693415</v>
      </c>
      <c r="C200">
        <v>5.3114275900000001</v>
      </c>
      <c r="D200">
        <v>0.31648999</v>
      </c>
      <c r="E200" t="b">
        <f t="shared" si="72"/>
        <v>0</v>
      </c>
      <c r="F200">
        <f t="shared" si="73"/>
        <v>-26.24064796</v>
      </c>
      <c r="G200">
        <f t="shared" si="74"/>
        <v>-52.797785910000002</v>
      </c>
      <c r="H200">
        <f t="shared" si="75"/>
        <v>-79.354923860000014</v>
      </c>
      <c r="I200">
        <f t="shared" si="76"/>
        <v>-105.91206181000001</v>
      </c>
      <c r="J200">
        <f t="shared" si="77"/>
        <v>-132.46919975999998</v>
      </c>
      <c r="L200">
        <f t="shared" si="78"/>
        <v>639309.77980000002</v>
      </c>
      <c r="M200">
        <f t="shared" si="79"/>
        <v>-45133914.491200007</v>
      </c>
      <c r="N200">
        <f t="shared" si="80"/>
        <v>-78140723.146800011</v>
      </c>
      <c r="O200">
        <f t="shared" si="81"/>
        <v>-88877514.723200023</v>
      </c>
      <c r="P200">
        <f t="shared" si="82"/>
        <v>-97439096.865200013</v>
      </c>
      <c r="Q200">
        <f t="shared" si="83"/>
        <v>-113923511.79359998</v>
      </c>
      <c r="S200">
        <f t="shared" si="84"/>
        <v>775400.47550000006</v>
      </c>
      <c r="T200">
        <f t="shared" si="85"/>
        <v>-114571195.42470001</v>
      </c>
      <c r="U200">
        <f t="shared" si="86"/>
        <v>-98203881.792600006</v>
      </c>
      <c r="V200">
        <f t="shared" si="87"/>
        <v>-112683991.88120002</v>
      </c>
      <c r="W200">
        <f t="shared" si="88"/>
        <v>-145099524.67970005</v>
      </c>
      <c r="X200">
        <f t="shared" si="89"/>
        <v>-161612423.70719996</v>
      </c>
      <c r="Z200">
        <f t="shared" si="90"/>
        <v>911491.17119999998</v>
      </c>
      <c r="AA200">
        <f t="shared" si="91"/>
        <v>-68750497.655200005</v>
      </c>
      <c r="AB200">
        <f t="shared" si="92"/>
        <v>-118267040.43840002</v>
      </c>
      <c r="AC200">
        <f t="shared" si="93"/>
        <v>-155535650.76560003</v>
      </c>
      <c r="AD200">
        <f t="shared" si="94"/>
        <v>-192759952.49420005</v>
      </c>
      <c r="AE200">
        <f t="shared" si="95"/>
        <v>-209301335.62079996</v>
      </c>
    </row>
    <row r="201" spans="1:31" x14ac:dyDescent="0.25">
      <c r="A201">
        <v>30.509022080000001</v>
      </c>
      <c r="B201">
        <v>112.6407396</v>
      </c>
      <c r="C201">
        <v>5.3114275900000001</v>
      </c>
      <c r="D201">
        <v>1.9303779599999999</v>
      </c>
      <c r="E201" t="b">
        <f t="shared" si="72"/>
        <v>0</v>
      </c>
      <c r="F201">
        <f t="shared" si="73"/>
        <v>-24.62675999</v>
      </c>
      <c r="G201">
        <f t="shared" si="74"/>
        <v>-51.183897940000001</v>
      </c>
      <c r="H201">
        <f t="shared" si="75"/>
        <v>-77.741035890000006</v>
      </c>
      <c r="I201">
        <f t="shared" si="76"/>
        <v>-104.29817384</v>
      </c>
      <c r="J201">
        <f t="shared" si="77"/>
        <v>-130.85531179</v>
      </c>
      <c r="L201">
        <f t="shared" si="78"/>
        <v>3899363.4791999999</v>
      </c>
      <c r="M201">
        <f t="shared" si="79"/>
        <v>-42358027.182800002</v>
      </c>
      <c r="N201">
        <f t="shared" si="80"/>
        <v>-75752168.951200008</v>
      </c>
      <c r="O201">
        <f t="shared" si="81"/>
        <v>-87069960.196800008</v>
      </c>
      <c r="P201">
        <f t="shared" si="82"/>
        <v>-95954319.932799995</v>
      </c>
      <c r="Q201">
        <f t="shared" si="83"/>
        <v>-112535568.13940001</v>
      </c>
      <c r="S201">
        <f t="shared" si="84"/>
        <v>4729426.0020000003</v>
      </c>
      <c r="T201">
        <f t="shared" si="85"/>
        <v>-111069058.52980001</v>
      </c>
      <c r="U201">
        <f t="shared" si="86"/>
        <v>-95202050.168400005</v>
      </c>
      <c r="V201">
        <f t="shared" si="87"/>
        <v>-110392270.9638</v>
      </c>
      <c r="W201">
        <f t="shared" si="88"/>
        <v>-142888498.16080001</v>
      </c>
      <c r="X201">
        <f t="shared" si="89"/>
        <v>-159643480.3838</v>
      </c>
      <c r="Z201">
        <f t="shared" si="90"/>
        <v>5559488.5247999998</v>
      </c>
      <c r="AA201">
        <f t="shared" si="91"/>
        <v>-64522111.173799999</v>
      </c>
      <c r="AB201">
        <f t="shared" si="92"/>
        <v>-114651931.38560002</v>
      </c>
      <c r="AC201">
        <f t="shared" si="93"/>
        <v>-152372430.34439999</v>
      </c>
      <c r="AD201">
        <f t="shared" si="94"/>
        <v>-189822676.38880002</v>
      </c>
      <c r="AE201">
        <f t="shared" si="95"/>
        <v>-206751392.62820002</v>
      </c>
    </row>
    <row r="202" spans="1:31" x14ac:dyDescent="0.25">
      <c r="A202">
        <v>30.522624180000001</v>
      </c>
      <c r="B202">
        <v>106.35222589999999</v>
      </c>
      <c r="C202">
        <v>6.0797200000000003E-3</v>
      </c>
      <c r="D202">
        <v>2.1416270700000002</v>
      </c>
      <c r="E202" t="b">
        <f t="shared" si="72"/>
        <v>1</v>
      </c>
      <c r="F202">
        <f t="shared" si="73"/>
        <v>2.1112284700000004</v>
      </c>
      <c r="G202">
        <f t="shared" si="74"/>
        <v>2.0808298700000001</v>
      </c>
      <c r="H202">
        <f t="shared" si="75"/>
        <v>2.0504312700000003</v>
      </c>
      <c r="I202">
        <f t="shared" si="76"/>
        <v>2.02003267</v>
      </c>
      <c r="J202">
        <f t="shared" si="77"/>
        <v>1.9896340700000001</v>
      </c>
      <c r="L202">
        <f t="shared" si="78"/>
        <v>12281.0344</v>
      </c>
      <c r="M202">
        <f t="shared" si="79"/>
        <v>10457.118400000001</v>
      </c>
      <c r="N202">
        <f t="shared" si="80"/>
        <v>8997.9856</v>
      </c>
      <c r="O202">
        <f t="shared" si="81"/>
        <v>6809.2864000000009</v>
      </c>
      <c r="P202">
        <f t="shared" si="82"/>
        <v>5593.3423999999995</v>
      </c>
      <c r="Q202">
        <f t="shared" si="83"/>
        <v>5228.5591999999997</v>
      </c>
      <c r="S202">
        <f t="shared" si="84"/>
        <v>14895.314000000002</v>
      </c>
      <c r="T202">
        <f t="shared" si="85"/>
        <v>13192.992400000001</v>
      </c>
      <c r="U202">
        <f t="shared" si="86"/>
        <v>11308.279199999999</v>
      </c>
      <c r="V202">
        <f t="shared" si="87"/>
        <v>8633.2024000000001</v>
      </c>
      <c r="W202">
        <f t="shared" si="88"/>
        <v>8329.2164000000012</v>
      </c>
      <c r="X202">
        <f t="shared" si="89"/>
        <v>7417.2583999999997</v>
      </c>
      <c r="Z202">
        <f t="shared" si="90"/>
        <v>17509.5936</v>
      </c>
      <c r="AA202">
        <f t="shared" si="91"/>
        <v>15928.866400000001</v>
      </c>
      <c r="AB202">
        <f t="shared" si="92"/>
        <v>13618.572800000002</v>
      </c>
      <c r="AC202">
        <f t="shared" si="93"/>
        <v>11916.251200000001</v>
      </c>
      <c r="AD202">
        <f t="shared" si="94"/>
        <v>11065.090400000001</v>
      </c>
      <c r="AE202">
        <f t="shared" si="95"/>
        <v>9605.9576000000015</v>
      </c>
    </row>
    <row r="203" spans="1:31" x14ac:dyDescent="0.25">
      <c r="A203">
        <v>30.54190067</v>
      </c>
      <c r="B203">
        <v>112.8551506</v>
      </c>
      <c r="C203">
        <v>5.3114275900000001</v>
      </c>
      <c r="D203">
        <v>0.43227198999999999</v>
      </c>
      <c r="E203" t="b">
        <f t="shared" si="72"/>
        <v>0</v>
      </c>
      <c r="F203">
        <f t="shared" si="73"/>
        <v>-26.124865960000001</v>
      </c>
      <c r="G203">
        <f t="shared" si="74"/>
        <v>-52.682003910000006</v>
      </c>
      <c r="H203">
        <f t="shared" si="75"/>
        <v>-79.239141860000004</v>
      </c>
      <c r="I203">
        <f t="shared" si="76"/>
        <v>-105.79627981</v>
      </c>
      <c r="J203">
        <f t="shared" si="77"/>
        <v>-132.35341775999999</v>
      </c>
      <c r="L203">
        <f t="shared" si="78"/>
        <v>873189.41980000003</v>
      </c>
      <c r="M203">
        <f t="shared" si="79"/>
        <v>-44934769.451200008</v>
      </c>
      <c r="N203">
        <f t="shared" si="80"/>
        <v>-77969365.786800012</v>
      </c>
      <c r="O203">
        <f t="shared" si="81"/>
        <v>-88747838.883200005</v>
      </c>
      <c r="P203">
        <f t="shared" si="82"/>
        <v>-97332577.4252</v>
      </c>
      <c r="Q203">
        <f t="shared" si="83"/>
        <v>-113823939.2736</v>
      </c>
      <c r="S203">
        <f t="shared" si="84"/>
        <v>1059066.3755000001</v>
      </c>
      <c r="T203">
        <f t="shared" si="85"/>
        <v>-114319948.48470001</v>
      </c>
      <c r="U203">
        <f t="shared" si="86"/>
        <v>-97988527.272599995</v>
      </c>
      <c r="V203">
        <f t="shared" si="87"/>
        <v>-112519581.44119999</v>
      </c>
      <c r="W203">
        <f t="shared" si="88"/>
        <v>-144940903.33970001</v>
      </c>
      <c r="X203">
        <f t="shared" si="89"/>
        <v>-161471169.6672</v>
      </c>
      <c r="Z203">
        <f t="shared" si="90"/>
        <v>1244943.3311999999</v>
      </c>
      <c r="AA203">
        <f t="shared" si="91"/>
        <v>-68447148.815200001</v>
      </c>
      <c r="AB203">
        <f t="shared" si="92"/>
        <v>-118007688.75840002</v>
      </c>
      <c r="AC203">
        <f t="shared" si="93"/>
        <v>-155308718.0456</v>
      </c>
      <c r="AD203">
        <f t="shared" si="94"/>
        <v>-192549229.25420001</v>
      </c>
      <c r="AE203">
        <f t="shared" si="95"/>
        <v>-209118400.06079999</v>
      </c>
    </row>
    <row r="204" spans="1:31" x14ac:dyDescent="0.25">
      <c r="A204">
        <v>30.545121399999999</v>
      </c>
      <c r="B204">
        <v>112.8024587</v>
      </c>
      <c r="C204">
        <v>5.3114275900000001</v>
      </c>
      <c r="D204">
        <v>6.9975999999999997E-2</v>
      </c>
      <c r="E204" t="b">
        <f t="shared" si="72"/>
        <v>0</v>
      </c>
      <c r="F204">
        <f t="shared" si="73"/>
        <v>-26.487161950000001</v>
      </c>
      <c r="G204">
        <f t="shared" si="74"/>
        <v>-53.044299900000006</v>
      </c>
      <c r="H204">
        <f t="shared" si="75"/>
        <v>-79.601437850000011</v>
      </c>
      <c r="I204">
        <f t="shared" si="76"/>
        <v>-106.15857580000001</v>
      </c>
      <c r="J204">
        <f t="shared" si="77"/>
        <v>-132.71571374999999</v>
      </c>
      <c r="L204">
        <f t="shared" si="78"/>
        <v>141351.51999999999</v>
      </c>
      <c r="M204">
        <f t="shared" si="79"/>
        <v>-45557918.554000005</v>
      </c>
      <c r="N204">
        <f t="shared" si="80"/>
        <v>-78505563.852000013</v>
      </c>
      <c r="O204">
        <f t="shared" si="81"/>
        <v>-89153610.39200002</v>
      </c>
      <c r="P204">
        <f t="shared" si="82"/>
        <v>-97665889.736000001</v>
      </c>
      <c r="Q204">
        <f t="shared" si="83"/>
        <v>-114135513.82499999</v>
      </c>
      <c r="S204">
        <f t="shared" si="84"/>
        <v>171441.2</v>
      </c>
      <c r="T204">
        <f t="shared" si="85"/>
        <v>-115106130.78300001</v>
      </c>
      <c r="U204">
        <f t="shared" si="86"/>
        <v>-98662397.81400001</v>
      </c>
      <c r="V204">
        <f t="shared" si="87"/>
        <v>-113034041.74700001</v>
      </c>
      <c r="W204">
        <f t="shared" si="88"/>
        <v>-145437248.84600002</v>
      </c>
      <c r="X204">
        <f t="shared" si="89"/>
        <v>-161913170.77499998</v>
      </c>
      <c r="Z204">
        <f t="shared" si="90"/>
        <v>201530.88</v>
      </c>
      <c r="AA204">
        <f t="shared" si="91"/>
        <v>-69396364.309</v>
      </c>
      <c r="AB204">
        <f t="shared" si="92"/>
        <v>-118819231.77600002</v>
      </c>
      <c r="AC204">
        <f t="shared" si="93"/>
        <v>-156018818.18600002</v>
      </c>
      <c r="AD204">
        <f t="shared" si="94"/>
        <v>-193208607.95600003</v>
      </c>
      <c r="AE204">
        <f t="shared" si="95"/>
        <v>-209690827.72499999</v>
      </c>
    </row>
    <row r="205" spans="1:31" x14ac:dyDescent="0.25">
      <c r="A205">
        <v>30.548317340000001</v>
      </c>
      <c r="B205">
        <v>112.74976270000001</v>
      </c>
      <c r="C205">
        <v>5.3114275900000001</v>
      </c>
      <c r="D205">
        <v>4.8260000000000004E-3</v>
      </c>
      <c r="E205" t="b">
        <f t="shared" si="72"/>
        <v>0</v>
      </c>
      <c r="F205">
        <f t="shared" si="73"/>
        <v>-26.55231195</v>
      </c>
      <c r="G205">
        <f t="shared" si="74"/>
        <v>-53.109449900000001</v>
      </c>
      <c r="H205">
        <f t="shared" si="75"/>
        <v>-79.666587850000013</v>
      </c>
      <c r="I205">
        <f t="shared" si="76"/>
        <v>-106.22372580000001</v>
      </c>
      <c r="J205">
        <f t="shared" si="77"/>
        <v>-132.78086374999998</v>
      </c>
      <c r="L205">
        <f t="shared" si="78"/>
        <v>9748.52</v>
      </c>
      <c r="M205">
        <f t="shared" si="79"/>
        <v>-45669976.554000005</v>
      </c>
      <c r="N205">
        <f t="shared" si="80"/>
        <v>-78601985.851999998</v>
      </c>
      <c r="O205">
        <f t="shared" si="81"/>
        <v>-89226578.39200002</v>
      </c>
      <c r="P205">
        <f t="shared" si="82"/>
        <v>-97725827.736000001</v>
      </c>
      <c r="Q205">
        <f t="shared" si="83"/>
        <v>-114191542.82499999</v>
      </c>
      <c r="S205">
        <f t="shared" si="84"/>
        <v>11823.7</v>
      </c>
      <c r="T205">
        <f t="shared" si="85"/>
        <v>-115247506.28299999</v>
      </c>
      <c r="U205">
        <f t="shared" si="86"/>
        <v>-98783576.813999996</v>
      </c>
      <c r="V205">
        <f t="shared" si="87"/>
        <v>-113126554.74700001</v>
      </c>
      <c r="W205">
        <f t="shared" si="88"/>
        <v>-145526504.34600002</v>
      </c>
      <c r="X205">
        <f t="shared" si="89"/>
        <v>-161992653.77499998</v>
      </c>
      <c r="Z205">
        <f t="shared" si="90"/>
        <v>13898.88</v>
      </c>
      <c r="AA205">
        <f t="shared" si="91"/>
        <v>-69567057.309</v>
      </c>
      <c r="AB205">
        <f t="shared" si="92"/>
        <v>-118965167.77600001</v>
      </c>
      <c r="AC205">
        <f t="shared" si="93"/>
        <v>-156146512.18600002</v>
      </c>
      <c r="AD205">
        <f t="shared" si="94"/>
        <v>-193327180.95600003</v>
      </c>
      <c r="AE205">
        <f t="shared" si="95"/>
        <v>-209793764.72499999</v>
      </c>
    </row>
    <row r="206" spans="1:31" x14ac:dyDescent="0.25">
      <c r="A206">
        <v>30.566569449999999</v>
      </c>
      <c r="B206">
        <v>106.72228029999999</v>
      </c>
      <c r="C206">
        <v>6.0797200000000003E-3</v>
      </c>
      <c r="D206">
        <v>3.85811496</v>
      </c>
      <c r="E206" t="b">
        <f t="shared" si="72"/>
        <v>1</v>
      </c>
      <c r="F206">
        <f t="shared" si="73"/>
        <v>3.8277163600000002</v>
      </c>
      <c r="G206">
        <f t="shared" si="74"/>
        <v>3.7973177599999999</v>
      </c>
      <c r="H206">
        <f t="shared" si="75"/>
        <v>3.76691916</v>
      </c>
      <c r="I206">
        <f t="shared" si="76"/>
        <v>3.7365205599999998</v>
      </c>
      <c r="J206">
        <f t="shared" si="77"/>
        <v>3.7061219599999999</v>
      </c>
      <c r="L206">
        <f t="shared" si="78"/>
        <v>12281.0344</v>
      </c>
      <c r="M206">
        <f t="shared" si="79"/>
        <v>10457.118400000001</v>
      </c>
      <c r="N206">
        <f t="shared" si="80"/>
        <v>8997.9856</v>
      </c>
      <c r="O206">
        <f t="shared" si="81"/>
        <v>6809.2864000000009</v>
      </c>
      <c r="P206">
        <f t="shared" si="82"/>
        <v>5593.3423999999995</v>
      </c>
      <c r="Q206">
        <f t="shared" si="83"/>
        <v>5228.5591999999997</v>
      </c>
      <c r="S206">
        <f t="shared" si="84"/>
        <v>14895.314000000002</v>
      </c>
      <c r="T206">
        <f t="shared" si="85"/>
        <v>13192.992400000001</v>
      </c>
      <c r="U206">
        <f t="shared" si="86"/>
        <v>11308.279199999999</v>
      </c>
      <c r="V206">
        <f t="shared" si="87"/>
        <v>8633.2024000000001</v>
      </c>
      <c r="W206">
        <f t="shared" si="88"/>
        <v>8329.2164000000012</v>
      </c>
      <c r="X206">
        <f t="shared" si="89"/>
        <v>7417.2583999999997</v>
      </c>
      <c r="Z206">
        <f t="shared" si="90"/>
        <v>17509.5936</v>
      </c>
      <c r="AA206">
        <f t="shared" si="91"/>
        <v>15928.866400000001</v>
      </c>
      <c r="AB206">
        <f t="shared" si="92"/>
        <v>13618.572800000002</v>
      </c>
      <c r="AC206">
        <f t="shared" si="93"/>
        <v>11916.251200000001</v>
      </c>
      <c r="AD206">
        <f t="shared" si="94"/>
        <v>11065.090400000001</v>
      </c>
      <c r="AE206">
        <f t="shared" si="95"/>
        <v>9605.9576000000015</v>
      </c>
    </row>
    <row r="207" spans="1:31" x14ac:dyDescent="0.25">
      <c r="A207">
        <v>30.609851949999999</v>
      </c>
      <c r="B207">
        <v>113.23175670000001</v>
      </c>
      <c r="C207">
        <v>0.33875009</v>
      </c>
      <c r="D207">
        <v>1.2064999999999999E-2</v>
      </c>
      <c r="E207" t="b">
        <f t="shared" si="72"/>
        <v>0</v>
      </c>
      <c r="F207">
        <f t="shared" si="73"/>
        <v>-1.68168545</v>
      </c>
      <c r="G207">
        <f t="shared" si="74"/>
        <v>-3.3754358999999998</v>
      </c>
      <c r="H207">
        <f t="shared" si="75"/>
        <v>-5.0691863500000007</v>
      </c>
      <c r="I207">
        <f t="shared" si="76"/>
        <v>-6.7629368000000003</v>
      </c>
      <c r="J207">
        <f t="shared" si="77"/>
        <v>-8.4566872499999999</v>
      </c>
      <c r="L207">
        <f t="shared" si="78"/>
        <v>24371.3</v>
      </c>
      <c r="M207">
        <f t="shared" si="79"/>
        <v>-2892498.9740000004</v>
      </c>
      <c r="N207">
        <f t="shared" si="80"/>
        <v>-4995645.1320000002</v>
      </c>
      <c r="O207">
        <f t="shared" si="81"/>
        <v>-5677488.7120000012</v>
      </c>
      <c r="P207">
        <f t="shared" si="82"/>
        <v>-6221901.8560000006</v>
      </c>
      <c r="Q207">
        <f t="shared" si="83"/>
        <v>-7272751.0350000001</v>
      </c>
      <c r="S207">
        <f t="shared" si="84"/>
        <v>29559.250000000004</v>
      </c>
      <c r="T207">
        <f t="shared" si="85"/>
        <v>-7324695.9029999999</v>
      </c>
      <c r="U207">
        <f t="shared" si="86"/>
        <v>-6278310.7739999993</v>
      </c>
      <c r="V207">
        <f t="shared" si="87"/>
        <v>-7198244.6170000006</v>
      </c>
      <c r="W207">
        <f t="shared" si="88"/>
        <v>-9265223.4160000011</v>
      </c>
      <c r="X207">
        <f t="shared" si="89"/>
        <v>-10317158.445</v>
      </c>
      <c r="Z207">
        <f t="shared" si="90"/>
        <v>34747.199999999997</v>
      </c>
      <c r="AA207">
        <f t="shared" si="91"/>
        <v>-4406015.8789999997</v>
      </c>
      <c r="AB207">
        <f t="shared" si="92"/>
        <v>-7560976.4160000002</v>
      </c>
      <c r="AC207">
        <f t="shared" si="93"/>
        <v>-9935605.2460000012</v>
      </c>
      <c r="AD207">
        <f t="shared" si="94"/>
        <v>-12308544.976000002</v>
      </c>
      <c r="AE207">
        <f t="shared" si="95"/>
        <v>-13361565.855</v>
      </c>
    </row>
    <row r="208" spans="1:31" x14ac:dyDescent="0.25">
      <c r="A208">
        <v>30.613022189999999</v>
      </c>
      <c r="B208">
        <v>105.4009957</v>
      </c>
      <c r="C208">
        <v>4.3429500000000003E-2</v>
      </c>
      <c r="D208">
        <v>13.893025400000001</v>
      </c>
      <c r="E208" t="b">
        <f t="shared" si="72"/>
        <v>1</v>
      </c>
      <c r="F208">
        <f t="shared" si="73"/>
        <v>13.675877900000001</v>
      </c>
      <c r="G208">
        <f t="shared" si="74"/>
        <v>13.4587304</v>
      </c>
      <c r="H208">
        <f t="shared" si="75"/>
        <v>13.241582900000001</v>
      </c>
      <c r="I208">
        <f t="shared" si="76"/>
        <v>13.024435400000002</v>
      </c>
      <c r="J208">
        <f t="shared" si="77"/>
        <v>12.8072879</v>
      </c>
      <c r="L208">
        <f t="shared" si="78"/>
        <v>87727.59</v>
      </c>
      <c r="M208">
        <f t="shared" si="79"/>
        <v>74698.740000000005</v>
      </c>
      <c r="N208">
        <f t="shared" si="80"/>
        <v>64275.659999999996</v>
      </c>
      <c r="O208">
        <f t="shared" si="81"/>
        <v>48641.040000000008</v>
      </c>
      <c r="P208">
        <f t="shared" si="82"/>
        <v>39955.14</v>
      </c>
      <c r="Q208">
        <f t="shared" si="83"/>
        <v>37349.370000000003</v>
      </c>
      <c r="S208">
        <f t="shared" si="84"/>
        <v>106402.27500000001</v>
      </c>
      <c r="T208">
        <f t="shared" si="85"/>
        <v>94242.014999999999</v>
      </c>
      <c r="U208">
        <f t="shared" si="86"/>
        <v>80778.87</v>
      </c>
      <c r="V208">
        <f t="shared" si="87"/>
        <v>61669.89</v>
      </c>
      <c r="W208">
        <f t="shared" si="88"/>
        <v>59498.415000000008</v>
      </c>
      <c r="X208">
        <f t="shared" si="89"/>
        <v>52983.99</v>
      </c>
      <c r="Z208">
        <f t="shared" si="90"/>
        <v>125076.95999999999</v>
      </c>
      <c r="AA208">
        <f t="shared" si="91"/>
        <v>113785.29000000001</v>
      </c>
      <c r="AB208">
        <f t="shared" si="92"/>
        <v>97282.080000000016</v>
      </c>
      <c r="AC208">
        <f t="shared" si="93"/>
        <v>85121.819999999992</v>
      </c>
      <c r="AD208">
        <f t="shared" si="94"/>
        <v>79041.69</v>
      </c>
      <c r="AE208">
        <f t="shared" si="95"/>
        <v>68618.61</v>
      </c>
    </row>
    <row r="209" spans="1:31" x14ac:dyDescent="0.25">
      <c r="A209">
        <v>30.79738442</v>
      </c>
      <c r="B209">
        <v>106.19443219999999</v>
      </c>
      <c r="C209">
        <v>1.302885E-2</v>
      </c>
      <c r="D209">
        <v>2.8570809399999999</v>
      </c>
      <c r="E209" t="b">
        <f t="shared" si="72"/>
        <v>1</v>
      </c>
      <c r="F209">
        <f t="shared" si="73"/>
        <v>2.79193669</v>
      </c>
      <c r="G209">
        <f t="shared" si="74"/>
        <v>2.7267924400000001</v>
      </c>
      <c r="H209">
        <f t="shared" si="75"/>
        <v>2.6616481899999997</v>
      </c>
      <c r="I209">
        <f t="shared" si="76"/>
        <v>2.5965039399999998</v>
      </c>
      <c r="J209">
        <f t="shared" si="77"/>
        <v>2.5313596899999999</v>
      </c>
      <c r="L209">
        <f t="shared" si="78"/>
        <v>26318.277000000002</v>
      </c>
      <c r="M209">
        <f t="shared" si="79"/>
        <v>22409.622000000003</v>
      </c>
      <c r="N209">
        <f t="shared" si="80"/>
        <v>19282.698</v>
      </c>
      <c r="O209">
        <f t="shared" si="81"/>
        <v>14592.312000000002</v>
      </c>
      <c r="P209">
        <f t="shared" si="82"/>
        <v>11986.541999999999</v>
      </c>
      <c r="Q209">
        <f t="shared" si="83"/>
        <v>11204.811</v>
      </c>
      <c r="S209">
        <f t="shared" si="84"/>
        <v>31920.682500000003</v>
      </c>
      <c r="T209">
        <f t="shared" si="85"/>
        <v>28272.604500000001</v>
      </c>
      <c r="U209">
        <f t="shared" si="86"/>
        <v>24233.661</v>
      </c>
      <c r="V209">
        <f t="shared" si="87"/>
        <v>18500.967000000001</v>
      </c>
      <c r="W209">
        <f t="shared" si="88"/>
        <v>17849.524500000003</v>
      </c>
      <c r="X209">
        <f t="shared" si="89"/>
        <v>15895.197</v>
      </c>
      <c r="Z209">
        <f t="shared" si="90"/>
        <v>37523.087999999996</v>
      </c>
      <c r="AA209">
        <f t="shared" si="91"/>
        <v>34135.587</v>
      </c>
      <c r="AB209">
        <f t="shared" si="92"/>
        <v>29184.624000000003</v>
      </c>
      <c r="AC209">
        <f t="shared" si="93"/>
        <v>25536.545999999998</v>
      </c>
      <c r="AD209">
        <f t="shared" si="94"/>
        <v>23712.507000000001</v>
      </c>
      <c r="AE209">
        <f t="shared" si="95"/>
        <v>20585.583000000002</v>
      </c>
    </row>
    <row r="210" spans="1:31" x14ac:dyDescent="0.25">
      <c r="A210">
        <v>30.934546409999999</v>
      </c>
      <c r="B210">
        <v>105.7701864</v>
      </c>
      <c r="C210">
        <v>6.0797200000000003E-3</v>
      </c>
      <c r="D210">
        <v>3.1332199599999999</v>
      </c>
      <c r="E210" t="b">
        <f t="shared" si="72"/>
        <v>1</v>
      </c>
      <c r="F210">
        <f t="shared" si="73"/>
        <v>3.1028213600000001</v>
      </c>
      <c r="G210">
        <f t="shared" si="74"/>
        <v>3.0724227599999998</v>
      </c>
      <c r="H210">
        <f t="shared" si="75"/>
        <v>3.04202416</v>
      </c>
      <c r="I210">
        <f t="shared" si="76"/>
        <v>3.0116255599999997</v>
      </c>
      <c r="J210">
        <f t="shared" si="77"/>
        <v>2.9812269599999999</v>
      </c>
      <c r="L210">
        <f t="shared" si="78"/>
        <v>12281.0344</v>
      </c>
      <c r="M210">
        <f t="shared" si="79"/>
        <v>10457.118400000001</v>
      </c>
      <c r="N210">
        <f t="shared" si="80"/>
        <v>8997.9856</v>
      </c>
      <c r="O210">
        <f t="shared" si="81"/>
        <v>6809.2864000000009</v>
      </c>
      <c r="P210">
        <f t="shared" si="82"/>
        <v>5593.3423999999995</v>
      </c>
      <c r="Q210">
        <f t="shared" si="83"/>
        <v>5228.5591999999997</v>
      </c>
      <c r="S210">
        <f t="shared" si="84"/>
        <v>14895.314000000002</v>
      </c>
      <c r="T210">
        <f t="shared" si="85"/>
        <v>13192.992400000001</v>
      </c>
      <c r="U210">
        <f t="shared" si="86"/>
        <v>11308.279199999999</v>
      </c>
      <c r="V210">
        <f t="shared" si="87"/>
        <v>8633.2024000000001</v>
      </c>
      <c r="W210">
        <f t="shared" si="88"/>
        <v>8329.2164000000012</v>
      </c>
      <c r="X210">
        <f t="shared" si="89"/>
        <v>7417.2583999999997</v>
      </c>
      <c r="Z210">
        <f t="shared" si="90"/>
        <v>17509.5936</v>
      </c>
      <c r="AA210">
        <f t="shared" si="91"/>
        <v>15928.866400000001</v>
      </c>
      <c r="AB210">
        <f t="shared" si="92"/>
        <v>13618.572800000002</v>
      </c>
      <c r="AC210">
        <f t="shared" si="93"/>
        <v>11916.251200000001</v>
      </c>
      <c r="AD210">
        <f t="shared" si="94"/>
        <v>11065.090400000001</v>
      </c>
      <c r="AE210">
        <f t="shared" si="95"/>
        <v>9605.9576000000015</v>
      </c>
    </row>
    <row r="211" spans="1:31" x14ac:dyDescent="0.25">
      <c r="A211">
        <v>31.070607240000001</v>
      </c>
      <c r="B211">
        <v>106.5671732</v>
      </c>
      <c r="C211">
        <v>0.43863794</v>
      </c>
      <c r="D211">
        <v>0.23318900000000001</v>
      </c>
      <c r="E211" t="b">
        <f t="shared" si="72"/>
        <v>0</v>
      </c>
      <c r="F211">
        <f t="shared" si="73"/>
        <v>-1.9600006999999999</v>
      </c>
      <c r="G211">
        <f t="shared" si="74"/>
        <v>-4.1531903999999997</v>
      </c>
      <c r="H211">
        <f t="shared" si="75"/>
        <v>-6.3463801000000002</v>
      </c>
      <c r="I211">
        <f t="shared" si="76"/>
        <v>-8.5395698000000007</v>
      </c>
      <c r="J211">
        <f t="shared" si="77"/>
        <v>-10.7327595</v>
      </c>
      <c r="L211">
        <f t="shared" si="78"/>
        <v>471041.78</v>
      </c>
      <c r="M211">
        <f t="shared" si="79"/>
        <v>-3371201.2040000004</v>
      </c>
      <c r="N211">
        <f t="shared" si="80"/>
        <v>-6146721.7919999994</v>
      </c>
      <c r="O211">
        <f t="shared" si="81"/>
        <v>-7107945.7120000012</v>
      </c>
      <c r="P211">
        <f t="shared" si="82"/>
        <v>-7856404.216</v>
      </c>
      <c r="Q211">
        <f t="shared" si="83"/>
        <v>-9230173.1699999999</v>
      </c>
      <c r="S211">
        <f t="shared" si="84"/>
        <v>571313.05000000005</v>
      </c>
      <c r="T211">
        <f t="shared" si="85"/>
        <v>-9012423.1679999996</v>
      </c>
      <c r="U211">
        <f t="shared" si="86"/>
        <v>-7724934.1439999994</v>
      </c>
      <c r="V211">
        <f t="shared" si="87"/>
        <v>-9011859.7420000006</v>
      </c>
      <c r="W211">
        <f t="shared" si="88"/>
        <v>-11699210.626000002</v>
      </c>
      <c r="X211">
        <f t="shared" si="89"/>
        <v>-13093966.59</v>
      </c>
      <c r="Z211">
        <f t="shared" si="90"/>
        <v>671584.32</v>
      </c>
      <c r="AA211">
        <f t="shared" si="91"/>
        <v>-5135201.8339999998</v>
      </c>
      <c r="AB211">
        <f t="shared" si="92"/>
        <v>-9303146.4960000012</v>
      </c>
      <c r="AC211">
        <f t="shared" si="93"/>
        <v>-12438904.996000001</v>
      </c>
      <c r="AD211">
        <f t="shared" si="94"/>
        <v>-15542017.036000002</v>
      </c>
      <c r="AE211">
        <f t="shared" si="95"/>
        <v>-16957760.010000002</v>
      </c>
    </row>
    <row r="212" spans="1:31" x14ac:dyDescent="0.25">
      <c r="A212">
        <v>31.206734539999999</v>
      </c>
      <c r="B212">
        <v>105.2369856</v>
      </c>
      <c r="C212">
        <v>2.7577731600000002</v>
      </c>
      <c r="D212">
        <v>1.7725000000000001E-2</v>
      </c>
      <c r="E212" t="b">
        <f t="shared" si="72"/>
        <v>0</v>
      </c>
      <c r="F212">
        <f t="shared" si="73"/>
        <v>-13.7711408</v>
      </c>
      <c r="G212">
        <f t="shared" si="74"/>
        <v>-27.560006600000001</v>
      </c>
      <c r="H212">
        <f t="shared" si="75"/>
        <v>-41.348872400000005</v>
      </c>
      <c r="I212">
        <f t="shared" si="76"/>
        <v>-55.137738200000001</v>
      </c>
      <c r="J212">
        <f t="shared" si="77"/>
        <v>-68.926604000000012</v>
      </c>
      <c r="L212">
        <f t="shared" si="78"/>
        <v>35804.5</v>
      </c>
      <c r="M212">
        <f t="shared" si="79"/>
        <v>-23686362.175999999</v>
      </c>
      <c r="N212">
        <f t="shared" si="80"/>
        <v>-40788809.767999999</v>
      </c>
      <c r="O212">
        <f t="shared" si="81"/>
        <v>-46310737.088000014</v>
      </c>
      <c r="P212">
        <f t="shared" si="82"/>
        <v>-50726719.144000001</v>
      </c>
      <c r="Q212">
        <f t="shared" si="83"/>
        <v>-59276879.440000013</v>
      </c>
      <c r="S212">
        <f t="shared" si="84"/>
        <v>43426.25</v>
      </c>
      <c r="T212">
        <f t="shared" si="85"/>
        <v>-59805214.322000004</v>
      </c>
      <c r="U212">
        <f t="shared" si="86"/>
        <v>-51261612.276000001</v>
      </c>
      <c r="V212">
        <f t="shared" si="87"/>
        <v>-58715398.808000006</v>
      </c>
      <c r="W212">
        <f t="shared" si="88"/>
        <v>-75538701.334000006</v>
      </c>
      <c r="X212">
        <f t="shared" si="89"/>
        <v>-84090456.88000001</v>
      </c>
      <c r="Z212">
        <f t="shared" si="90"/>
        <v>51048</v>
      </c>
      <c r="AA212">
        <f t="shared" si="91"/>
        <v>-36080388.895999998</v>
      </c>
      <c r="AB212">
        <f t="shared" si="92"/>
        <v>-61734414.784000009</v>
      </c>
      <c r="AC212">
        <f t="shared" si="93"/>
        <v>-81043789.904000014</v>
      </c>
      <c r="AD212">
        <f t="shared" si="94"/>
        <v>-100350683.524</v>
      </c>
      <c r="AE212">
        <f t="shared" si="95"/>
        <v>-108904034.32000002</v>
      </c>
    </row>
    <row r="213" spans="1:31" x14ac:dyDescent="0.25">
      <c r="A213">
        <v>31.209148259999999</v>
      </c>
      <c r="B213">
        <v>106.1953941</v>
      </c>
      <c r="C213">
        <v>4.3429500000000003E-2</v>
      </c>
      <c r="D213">
        <v>2.564044</v>
      </c>
      <c r="E213" t="b">
        <f t="shared" si="72"/>
        <v>1</v>
      </c>
      <c r="F213">
        <f t="shared" si="73"/>
        <v>2.3468965000000002</v>
      </c>
      <c r="G213">
        <f t="shared" si="74"/>
        <v>2.1297489999999999</v>
      </c>
      <c r="H213">
        <f t="shared" si="75"/>
        <v>1.9126015000000001</v>
      </c>
      <c r="I213">
        <f t="shared" si="76"/>
        <v>1.6954539999999998</v>
      </c>
      <c r="J213">
        <f t="shared" si="77"/>
        <v>1.4783065</v>
      </c>
      <c r="L213">
        <f t="shared" si="78"/>
        <v>87727.59</v>
      </c>
      <c r="M213">
        <f t="shared" si="79"/>
        <v>74698.740000000005</v>
      </c>
      <c r="N213">
        <f t="shared" si="80"/>
        <v>64275.659999999996</v>
      </c>
      <c r="O213">
        <f t="shared" si="81"/>
        <v>48641.040000000008</v>
      </c>
      <c r="P213">
        <f t="shared" si="82"/>
        <v>39955.14</v>
      </c>
      <c r="Q213">
        <f t="shared" si="83"/>
        <v>37349.370000000003</v>
      </c>
      <c r="S213">
        <f t="shared" si="84"/>
        <v>106402.27500000001</v>
      </c>
      <c r="T213">
        <f t="shared" si="85"/>
        <v>94242.014999999999</v>
      </c>
      <c r="U213">
        <f t="shared" si="86"/>
        <v>80778.87</v>
      </c>
      <c r="V213">
        <f t="shared" si="87"/>
        <v>61669.89</v>
      </c>
      <c r="W213">
        <f t="shared" si="88"/>
        <v>59498.415000000008</v>
      </c>
      <c r="X213">
        <f t="shared" si="89"/>
        <v>52983.99</v>
      </c>
      <c r="Z213">
        <f t="shared" si="90"/>
        <v>125076.95999999999</v>
      </c>
      <c r="AA213">
        <f t="shared" si="91"/>
        <v>113785.29000000001</v>
      </c>
      <c r="AB213">
        <f t="shared" si="92"/>
        <v>97282.080000000016</v>
      </c>
      <c r="AC213">
        <f t="shared" si="93"/>
        <v>85121.819999999992</v>
      </c>
      <c r="AD213">
        <f t="shared" si="94"/>
        <v>79041.69</v>
      </c>
      <c r="AE213">
        <f t="shared" si="95"/>
        <v>68618.61</v>
      </c>
    </row>
    <row r="214" spans="1:31" x14ac:dyDescent="0.25">
      <c r="A214">
        <v>31.249173580000001</v>
      </c>
      <c r="B214">
        <v>107.1543989</v>
      </c>
      <c r="C214">
        <v>4.3429500000000003E-2</v>
      </c>
      <c r="D214">
        <v>2.7884039899999999</v>
      </c>
      <c r="E214" t="b">
        <f t="shared" si="72"/>
        <v>1</v>
      </c>
      <c r="F214">
        <f t="shared" si="73"/>
        <v>2.5712564900000001</v>
      </c>
      <c r="G214">
        <f t="shared" si="74"/>
        <v>2.3541089899999998</v>
      </c>
      <c r="H214">
        <f t="shared" si="75"/>
        <v>2.13696149</v>
      </c>
      <c r="I214">
        <f t="shared" si="76"/>
        <v>1.9198139899999997</v>
      </c>
      <c r="J214">
        <f t="shared" si="77"/>
        <v>1.7026664899999999</v>
      </c>
      <c r="L214">
        <f t="shared" si="78"/>
        <v>87727.59</v>
      </c>
      <c r="M214">
        <f t="shared" si="79"/>
        <v>74698.740000000005</v>
      </c>
      <c r="N214">
        <f t="shared" si="80"/>
        <v>64275.659999999996</v>
      </c>
      <c r="O214">
        <f t="shared" si="81"/>
        <v>48641.040000000008</v>
      </c>
      <c r="P214">
        <f t="shared" si="82"/>
        <v>39955.14</v>
      </c>
      <c r="Q214">
        <f t="shared" si="83"/>
        <v>37349.370000000003</v>
      </c>
      <c r="S214">
        <f t="shared" si="84"/>
        <v>106402.27500000001</v>
      </c>
      <c r="T214">
        <f t="shared" si="85"/>
        <v>94242.014999999999</v>
      </c>
      <c r="U214">
        <f t="shared" si="86"/>
        <v>80778.87</v>
      </c>
      <c r="V214">
        <f t="shared" si="87"/>
        <v>61669.89</v>
      </c>
      <c r="W214">
        <f t="shared" si="88"/>
        <v>59498.415000000008</v>
      </c>
      <c r="X214">
        <f t="shared" si="89"/>
        <v>52983.99</v>
      </c>
      <c r="Z214">
        <f t="shared" si="90"/>
        <v>125076.95999999999</v>
      </c>
      <c r="AA214">
        <f t="shared" si="91"/>
        <v>113785.29000000001</v>
      </c>
      <c r="AB214">
        <f t="shared" si="92"/>
        <v>97282.080000000016</v>
      </c>
      <c r="AC214">
        <f t="shared" si="93"/>
        <v>85121.819999999992</v>
      </c>
      <c r="AD214">
        <f t="shared" si="94"/>
        <v>79041.69</v>
      </c>
      <c r="AE214">
        <f t="shared" si="95"/>
        <v>68618.61</v>
      </c>
    </row>
    <row r="215" spans="1:31" x14ac:dyDescent="0.25">
      <c r="A215">
        <v>31.25457926</v>
      </c>
      <c r="B215">
        <v>105.66275229999999</v>
      </c>
      <c r="C215">
        <v>6.8396799999999999E-3</v>
      </c>
      <c r="D215">
        <v>0.35450800999999998</v>
      </c>
      <c r="E215" t="b">
        <f t="shared" si="72"/>
        <v>1</v>
      </c>
      <c r="F215">
        <f t="shared" si="73"/>
        <v>0.32030960999999997</v>
      </c>
      <c r="G215">
        <f t="shared" si="74"/>
        <v>0.28611121</v>
      </c>
      <c r="H215">
        <f t="shared" si="75"/>
        <v>0.25191280999999999</v>
      </c>
      <c r="I215">
        <f t="shared" si="76"/>
        <v>0.21771441</v>
      </c>
      <c r="J215">
        <f t="shared" si="77"/>
        <v>0.18351600999999998</v>
      </c>
      <c r="L215">
        <f t="shared" si="78"/>
        <v>13816.153600000001</v>
      </c>
      <c r="M215">
        <f t="shared" si="79"/>
        <v>11764.249600000001</v>
      </c>
      <c r="N215">
        <f t="shared" si="80"/>
        <v>10122.7264</v>
      </c>
      <c r="O215">
        <f t="shared" si="81"/>
        <v>7660.441600000001</v>
      </c>
      <c r="P215">
        <f t="shared" si="82"/>
        <v>6292.5055999999995</v>
      </c>
      <c r="Q215">
        <f t="shared" si="83"/>
        <v>5882.1248000000005</v>
      </c>
      <c r="S215">
        <f t="shared" si="84"/>
        <v>16757.216</v>
      </c>
      <c r="T215">
        <f t="shared" si="85"/>
        <v>14842.105600000001</v>
      </c>
      <c r="U215">
        <f t="shared" si="86"/>
        <v>12721.8048</v>
      </c>
      <c r="V215">
        <f t="shared" si="87"/>
        <v>9712.3456000000006</v>
      </c>
      <c r="W215">
        <f t="shared" si="88"/>
        <v>9370.361600000002</v>
      </c>
      <c r="X215">
        <f t="shared" si="89"/>
        <v>8344.4096000000009</v>
      </c>
      <c r="Z215">
        <f t="shared" si="90"/>
        <v>19698.278399999999</v>
      </c>
      <c r="AA215">
        <f t="shared" si="91"/>
        <v>17919.961600000002</v>
      </c>
      <c r="AB215">
        <f t="shared" si="92"/>
        <v>15320.883200000002</v>
      </c>
      <c r="AC215">
        <f t="shared" si="93"/>
        <v>13405.772800000001</v>
      </c>
      <c r="AD215">
        <f t="shared" si="94"/>
        <v>12448.217600000002</v>
      </c>
      <c r="AE215">
        <f t="shared" si="95"/>
        <v>10806.6944</v>
      </c>
    </row>
    <row r="216" spans="1:31" x14ac:dyDescent="0.25">
      <c r="A216">
        <v>31.435459770000001</v>
      </c>
      <c r="B216">
        <v>106.7832341</v>
      </c>
      <c r="C216">
        <v>6.8396799999999999E-3</v>
      </c>
      <c r="D216">
        <v>0.53176199999999996</v>
      </c>
      <c r="E216" t="b">
        <f t="shared" si="72"/>
        <v>1</v>
      </c>
      <c r="F216">
        <f t="shared" si="73"/>
        <v>0.49756359999999994</v>
      </c>
      <c r="G216">
        <f t="shared" si="74"/>
        <v>0.46336519999999998</v>
      </c>
      <c r="H216">
        <f t="shared" si="75"/>
        <v>0.42916679999999996</v>
      </c>
      <c r="I216">
        <f t="shared" si="76"/>
        <v>0.3949684</v>
      </c>
      <c r="J216">
        <f t="shared" si="77"/>
        <v>0.36076999999999992</v>
      </c>
      <c r="L216">
        <f t="shared" si="78"/>
        <v>13816.153600000001</v>
      </c>
      <c r="M216">
        <f t="shared" si="79"/>
        <v>11764.249600000001</v>
      </c>
      <c r="N216">
        <f t="shared" si="80"/>
        <v>10122.7264</v>
      </c>
      <c r="O216">
        <f t="shared" si="81"/>
        <v>7660.441600000001</v>
      </c>
      <c r="P216">
        <f t="shared" si="82"/>
        <v>6292.5055999999995</v>
      </c>
      <c r="Q216">
        <f t="shared" si="83"/>
        <v>5882.1248000000005</v>
      </c>
      <c r="S216">
        <f t="shared" si="84"/>
        <v>16757.216</v>
      </c>
      <c r="T216">
        <f t="shared" si="85"/>
        <v>14842.105600000001</v>
      </c>
      <c r="U216">
        <f t="shared" si="86"/>
        <v>12721.8048</v>
      </c>
      <c r="V216">
        <f t="shared" si="87"/>
        <v>9712.3456000000006</v>
      </c>
      <c r="W216">
        <f t="shared" si="88"/>
        <v>9370.361600000002</v>
      </c>
      <c r="X216">
        <f t="shared" si="89"/>
        <v>8344.4096000000009</v>
      </c>
      <c r="Z216">
        <f t="shared" si="90"/>
        <v>19698.278399999999</v>
      </c>
      <c r="AA216">
        <f t="shared" si="91"/>
        <v>17919.961600000002</v>
      </c>
      <c r="AB216">
        <f t="shared" si="92"/>
        <v>15320.883200000002</v>
      </c>
      <c r="AC216">
        <f t="shared" si="93"/>
        <v>13405.772800000001</v>
      </c>
      <c r="AD216">
        <f t="shared" si="94"/>
        <v>12448.217600000002</v>
      </c>
      <c r="AE216">
        <f t="shared" si="95"/>
        <v>10806.6944</v>
      </c>
    </row>
    <row r="217" spans="1:31" x14ac:dyDescent="0.25">
      <c r="A217">
        <v>31.529735259999999</v>
      </c>
      <c r="B217">
        <v>105.9823432</v>
      </c>
      <c r="C217">
        <v>6.8396799999999999E-3</v>
      </c>
      <c r="D217">
        <v>1.21962905</v>
      </c>
      <c r="E217" t="b">
        <f t="shared" si="72"/>
        <v>1</v>
      </c>
      <c r="F217">
        <f t="shared" si="73"/>
        <v>1.18543065</v>
      </c>
      <c r="G217">
        <f t="shared" si="74"/>
        <v>1.1512322500000001</v>
      </c>
      <c r="H217">
        <f t="shared" si="75"/>
        <v>1.1170338499999999</v>
      </c>
      <c r="I217">
        <f t="shared" si="76"/>
        <v>1.0828354499999999</v>
      </c>
      <c r="J217">
        <f t="shared" si="77"/>
        <v>1.04863705</v>
      </c>
      <c r="L217">
        <f t="shared" si="78"/>
        <v>13816.153600000001</v>
      </c>
      <c r="M217">
        <f t="shared" si="79"/>
        <v>11764.249600000001</v>
      </c>
      <c r="N217">
        <f t="shared" si="80"/>
        <v>10122.7264</v>
      </c>
      <c r="O217">
        <f t="shared" si="81"/>
        <v>7660.441600000001</v>
      </c>
      <c r="P217">
        <f t="shared" si="82"/>
        <v>6292.5055999999995</v>
      </c>
      <c r="Q217">
        <f t="shared" si="83"/>
        <v>5882.1248000000005</v>
      </c>
      <c r="S217">
        <f t="shared" si="84"/>
        <v>16757.216</v>
      </c>
      <c r="T217">
        <f t="shared" si="85"/>
        <v>14842.105600000001</v>
      </c>
      <c r="U217">
        <f t="shared" si="86"/>
        <v>12721.8048</v>
      </c>
      <c r="V217">
        <f t="shared" si="87"/>
        <v>9712.3456000000006</v>
      </c>
      <c r="W217">
        <f t="shared" si="88"/>
        <v>9370.361600000002</v>
      </c>
      <c r="X217">
        <f t="shared" si="89"/>
        <v>8344.4096000000009</v>
      </c>
      <c r="Z217">
        <f t="shared" si="90"/>
        <v>19698.278399999999</v>
      </c>
      <c r="AA217">
        <f t="shared" si="91"/>
        <v>17919.961600000002</v>
      </c>
      <c r="AB217">
        <f t="shared" si="92"/>
        <v>15320.883200000002</v>
      </c>
      <c r="AC217">
        <f t="shared" si="93"/>
        <v>13405.772800000001</v>
      </c>
      <c r="AD217">
        <f t="shared" si="94"/>
        <v>12448.217600000002</v>
      </c>
      <c r="AE217">
        <f t="shared" si="95"/>
        <v>10806.6944</v>
      </c>
    </row>
    <row r="218" spans="1:31" x14ac:dyDescent="0.25">
      <c r="A218">
        <v>32.209861930000002</v>
      </c>
      <c r="B218">
        <v>120.1524965</v>
      </c>
      <c r="C218">
        <v>0</v>
      </c>
      <c r="D218">
        <v>3.9371000000000003E-2</v>
      </c>
      <c r="E218" t="b">
        <f t="shared" si="72"/>
        <v>1</v>
      </c>
      <c r="F218">
        <f t="shared" si="73"/>
        <v>3.9371000000000003E-2</v>
      </c>
      <c r="G218">
        <f t="shared" si="74"/>
        <v>3.9371000000000003E-2</v>
      </c>
      <c r="H218">
        <f t="shared" si="75"/>
        <v>3.9371000000000003E-2</v>
      </c>
      <c r="I218">
        <f t="shared" si="76"/>
        <v>3.9371000000000003E-2</v>
      </c>
      <c r="J218">
        <f t="shared" si="77"/>
        <v>3.9371000000000003E-2</v>
      </c>
      <c r="L218">
        <f t="shared" si="78"/>
        <v>0</v>
      </c>
      <c r="M218">
        <f t="shared" si="79"/>
        <v>0</v>
      </c>
      <c r="N218">
        <f t="shared" si="80"/>
        <v>0</v>
      </c>
      <c r="O218">
        <f t="shared" si="81"/>
        <v>0</v>
      </c>
      <c r="P218">
        <f t="shared" si="82"/>
        <v>0</v>
      </c>
      <c r="Q218">
        <f t="shared" si="83"/>
        <v>0</v>
      </c>
      <c r="S218">
        <f t="shared" si="84"/>
        <v>0</v>
      </c>
      <c r="T218">
        <f t="shared" si="85"/>
        <v>0</v>
      </c>
      <c r="U218">
        <f t="shared" si="86"/>
        <v>0</v>
      </c>
      <c r="V218">
        <f t="shared" si="87"/>
        <v>0</v>
      </c>
      <c r="W218">
        <f t="shared" si="88"/>
        <v>0</v>
      </c>
      <c r="X218">
        <f t="shared" si="89"/>
        <v>0</v>
      </c>
      <c r="Z218">
        <f t="shared" si="90"/>
        <v>0</v>
      </c>
      <c r="AA218">
        <f t="shared" si="91"/>
        <v>0</v>
      </c>
      <c r="AB218">
        <f t="shared" si="92"/>
        <v>0</v>
      </c>
      <c r="AC218">
        <f t="shared" si="93"/>
        <v>0</v>
      </c>
      <c r="AD218">
        <f t="shared" si="94"/>
        <v>0</v>
      </c>
      <c r="AE218">
        <f t="shared" si="95"/>
        <v>0</v>
      </c>
    </row>
    <row r="219" spans="1:31" x14ac:dyDescent="0.25">
      <c r="A219">
        <v>32.354232230000001</v>
      </c>
      <c r="B219">
        <v>105.9821661</v>
      </c>
      <c r="C219">
        <v>6.8396799999999999E-3</v>
      </c>
      <c r="D219">
        <v>1.7730000000000001E-3</v>
      </c>
      <c r="E219" t="b">
        <f t="shared" si="72"/>
        <v>0</v>
      </c>
      <c r="F219">
        <f t="shared" si="73"/>
        <v>-3.24254E-2</v>
      </c>
      <c r="G219">
        <f t="shared" si="74"/>
        <v>-6.6623799999999997E-2</v>
      </c>
      <c r="H219">
        <f t="shared" si="75"/>
        <v>-0.1008222</v>
      </c>
      <c r="I219">
        <f t="shared" si="76"/>
        <v>-0.13502059999999999</v>
      </c>
      <c r="J219">
        <f t="shared" si="77"/>
        <v>-0.16921900000000001</v>
      </c>
      <c r="L219">
        <f t="shared" si="78"/>
        <v>3581.46</v>
      </c>
      <c r="M219">
        <f t="shared" si="79"/>
        <v>-55771.688000000009</v>
      </c>
      <c r="N219">
        <f t="shared" si="80"/>
        <v>-98603.224000000002</v>
      </c>
      <c r="O219">
        <f t="shared" si="81"/>
        <v>-112920.864</v>
      </c>
      <c r="P219">
        <f t="shared" si="82"/>
        <v>-124218.95199999998</v>
      </c>
      <c r="Q219">
        <f t="shared" si="83"/>
        <v>-145528.34</v>
      </c>
      <c r="S219">
        <f t="shared" si="84"/>
        <v>4343.8500000000004</v>
      </c>
      <c r="T219">
        <f t="shared" si="85"/>
        <v>-144573.64600000001</v>
      </c>
      <c r="U219">
        <f t="shared" si="86"/>
        <v>-123920.268</v>
      </c>
      <c r="V219">
        <f t="shared" si="87"/>
        <v>-143167.52399999998</v>
      </c>
      <c r="W219">
        <f t="shared" si="88"/>
        <v>-184978.22199999998</v>
      </c>
      <c r="X219">
        <f t="shared" si="89"/>
        <v>-206447.18</v>
      </c>
      <c r="Z219">
        <f t="shared" si="90"/>
        <v>5106.24</v>
      </c>
      <c r="AA219">
        <f t="shared" si="91"/>
        <v>-84954.54800000001</v>
      </c>
      <c r="AB219">
        <f t="shared" si="92"/>
        <v>-149237.31200000003</v>
      </c>
      <c r="AC219">
        <f t="shared" si="93"/>
        <v>-197611.51199999999</v>
      </c>
      <c r="AD219">
        <f t="shared" si="94"/>
        <v>-245737.49199999997</v>
      </c>
      <c r="AE219">
        <f t="shared" si="95"/>
        <v>-267366.02</v>
      </c>
    </row>
    <row r="220" spans="1:31" x14ac:dyDescent="0.25">
      <c r="A220">
        <v>32.501261820000003</v>
      </c>
      <c r="B220">
        <v>119.27434270000001</v>
      </c>
      <c r="C220">
        <v>40.306919100000002</v>
      </c>
      <c r="D220">
        <v>1.197824</v>
      </c>
      <c r="E220" t="b">
        <f t="shared" si="72"/>
        <v>0</v>
      </c>
      <c r="F220">
        <f t="shared" si="73"/>
        <v>-200.33677150000003</v>
      </c>
      <c r="G220">
        <f t="shared" si="74"/>
        <v>-401.87136700000002</v>
      </c>
      <c r="H220">
        <f t="shared" si="75"/>
        <v>-603.4059625000001</v>
      </c>
      <c r="I220">
        <f t="shared" si="76"/>
        <v>-804.94055800000012</v>
      </c>
      <c r="J220">
        <f t="shared" si="77"/>
        <v>-1006.4751535</v>
      </c>
      <c r="L220">
        <f t="shared" si="78"/>
        <v>2419604.48</v>
      </c>
      <c r="M220">
        <f t="shared" si="79"/>
        <v>-344579246.98000008</v>
      </c>
      <c r="N220">
        <f t="shared" si="80"/>
        <v>-594769623.15999997</v>
      </c>
      <c r="O220">
        <f t="shared" si="81"/>
        <v>-675814678.00000024</v>
      </c>
      <c r="P220">
        <f t="shared" si="82"/>
        <v>-740545313.36000001</v>
      </c>
      <c r="Q220">
        <f t="shared" si="83"/>
        <v>-865568632.00999999</v>
      </c>
      <c r="S220">
        <f t="shared" si="84"/>
        <v>2934668.8000000003</v>
      </c>
      <c r="T220">
        <f t="shared" si="85"/>
        <v>-872060866.38999999</v>
      </c>
      <c r="U220">
        <f t="shared" si="86"/>
        <v>-747480742.62</v>
      </c>
      <c r="V220">
        <f t="shared" si="87"/>
        <v>-856836466.75000012</v>
      </c>
      <c r="W220">
        <f t="shared" si="88"/>
        <v>-1102768564.4600003</v>
      </c>
      <c r="X220">
        <f t="shared" si="89"/>
        <v>-1227899687.27</v>
      </c>
      <c r="Z220">
        <f t="shared" si="90"/>
        <v>3449733.1199999996</v>
      </c>
      <c r="AA220">
        <f t="shared" si="91"/>
        <v>-524882341.3300001</v>
      </c>
      <c r="AB220">
        <f t="shared" si="92"/>
        <v>-900191862.08000004</v>
      </c>
      <c r="AC220">
        <f t="shared" si="93"/>
        <v>-1182675686.5000002</v>
      </c>
      <c r="AD220">
        <f t="shared" si="94"/>
        <v>-1464991815.5600002</v>
      </c>
      <c r="AE220">
        <f t="shared" si="95"/>
        <v>-1590230742.53</v>
      </c>
    </row>
    <row r="221" spans="1:31" x14ac:dyDescent="0.25">
      <c r="A221">
        <v>32.508454129999997</v>
      </c>
      <c r="B221">
        <v>119.98569500000001</v>
      </c>
      <c r="C221">
        <v>56.601669309999998</v>
      </c>
      <c r="D221">
        <v>0.168845</v>
      </c>
      <c r="E221" t="b">
        <f t="shared" si="72"/>
        <v>0</v>
      </c>
      <c r="F221">
        <f t="shared" si="73"/>
        <v>-282.83950155000002</v>
      </c>
      <c r="G221">
        <f t="shared" si="74"/>
        <v>-565.84784809999996</v>
      </c>
      <c r="H221">
        <f t="shared" si="75"/>
        <v>-848.85619464999991</v>
      </c>
      <c r="I221">
        <f t="shared" si="76"/>
        <v>-1131.8645412000001</v>
      </c>
      <c r="J221">
        <f t="shared" si="77"/>
        <v>-1414.87288775</v>
      </c>
      <c r="L221">
        <f t="shared" si="78"/>
        <v>341066.9</v>
      </c>
      <c r="M221">
        <f t="shared" si="79"/>
        <v>-486483942.66600007</v>
      </c>
      <c r="N221">
        <f t="shared" si="80"/>
        <v>-837454815.18800008</v>
      </c>
      <c r="O221">
        <f t="shared" si="81"/>
        <v>-950718938.0079999</v>
      </c>
      <c r="P221">
        <f t="shared" si="82"/>
        <v>-1041315377.9039999</v>
      </c>
      <c r="Q221">
        <f t="shared" si="83"/>
        <v>-1216790683.4649999</v>
      </c>
      <c r="S221">
        <f t="shared" si="84"/>
        <v>413670.25000000006</v>
      </c>
      <c r="T221">
        <f t="shared" si="85"/>
        <v>-1227889830.3770001</v>
      </c>
      <c r="U221">
        <f t="shared" si="86"/>
        <v>-1052476997.466</v>
      </c>
      <c r="V221">
        <f t="shared" si="87"/>
        <v>-1205375796.4029996</v>
      </c>
      <c r="W221">
        <f t="shared" si="88"/>
        <v>-1550654421.4440002</v>
      </c>
      <c r="X221">
        <f t="shared" si="89"/>
        <v>-1726144923.0550001</v>
      </c>
      <c r="Z221">
        <f t="shared" si="90"/>
        <v>486273.6</v>
      </c>
      <c r="AA221">
        <f t="shared" si="91"/>
        <v>-741039494.06100011</v>
      </c>
      <c r="AB221">
        <f t="shared" si="92"/>
        <v>-1267499179.7440002</v>
      </c>
      <c r="AC221">
        <f t="shared" si="93"/>
        <v>-1663758141.5139997</v>
      </c>
      <c r="AD221">
        <f t="shared" si="94"/>
        <v>-2059993464.9840002</v>
      </c>
      <c r="AE221">
        <f t="shared" si="95"/>
        <v>-2235499162.645</v>
      </c>
    </row>
    <row r="222" spans="1:31" x14ac:dyDescent="0.25">
      <c r="A222">
        <v>32.527756599999996</v>
      </c>
      <c r="B222">
        <v>119.4425181</v>
      </c>
      <c r="C222">
        <v>56.601669309999998</v>
      </c>
      <c r="D222">
        <v>7.2896108599999998</v>
      </c>
      <c r="E222" t="b">
        <f t="shared" si="72"/>
        <v>0</v>
      </c>
      <c r="F222">
        <f t="shared" si="73"/>
        <v>-275.71873569000002</v>
      </c>
      <c r="G222">
        <f t="shared" si="74"/>
        <v>-558.72708223999996</v>
      </c>
      <c r="H222">
        <f t="shared" si="75"/>
        <v>-841.7354287899999</v>
      </c>
      <c r="I222">
        <f t="shared" si="76"/>
        <v>-1124.74377534</v>
      </c>
      <c r="J222">
        <f t="shared" si="77"/>
        <v>-1407.7521218899999</v>
      </c>
      <c r="L222">
        <f t="shared" si="78"/>
        <v>14725013.937199999</v>
      </c>
      <c r="M222">
        <f t="shared" si="79"/>
        <v>-474236225.38680005</v>
      </c>
      <c r="N222">
        <f t="shared" si="80"/>
        <v>-826916081.71519995</v>
      </c>
      <c r="O222">
        <f t="shared" si="81"/>
        <v>-942743680.24479997</v>
      </c>
      <c r="P222">
        <f t="shared" si="82"/>
        <v>-1034764273.3127998</v>
      </c>
      <c r="Q222">
        <f t="shared" si="83"/>
        <v>-1210666824.8253999</v>
      </c>
      <c r="S222">
        <f t="shared" si="84"/>
        <v>17859546.607000001</v>
      </c>
      <c r="T222">
        <f t="shared" si="85"/>
        <v>-1212437768.4607999</v>
      </c>
      <c r="U222">
        <f t="shared" si="86"/>
        <v>-1039232372.9663999</v>
      </c>
      <c r="V222">
        <f t="shared" si="87"/>
        <v>-1195264308.8817997</v>
      </c>
      <c r="W222">
        <f t="shared" si="88"/>
        <v>-1540898972.2158</v>
      </c>
      <c r="X222">
        <f t="shared" si="89"/>
        <v>-1717457588.7057998</v>
      </c>
      <c r="Z222">
        <f t="shared" si="90"/>
        <v>20994079.276799999</v>
      </c>
      <c r="AA222">
        <f t="shared" si="91"/>
        <v>-722383087.50779998</v>
      </c>
      <c r="AB222">
        <f t="shared" si="92"/>
        <v>-1251548664.2176001</v>
      </c>
      <c r="AC222">
        <f t="shared" si="93"/>
        <v>-1649801440.4283996</v>
      </c>
      <c r="AD222">
        <f t="shared" si="94"/>
        <v>-2047033671.1187999</v>
      </c>
      <c r="AE222">
        <f t="shared" si="95"/>
        <v>-2224248352.5861998</v>
      </c>
    </row>
    <row r="223" spans="1:31" x14ac:dyDescent="0.25">
      <c r="A223">
        <v>32.544457289999997</v>
      </c>
      <c r="B223">
        <v>113.13147499999999</v>
      </c>
      <c r="C223">
        <v>42.111118320000003</v>
      </c>
      <c r="D223">
        <v>6.3680000000000004E-3</v>
      </c>
      <c r="E223" t="b">
        <f t="shared" si="72"/>
        <v>0</v>
      </c>
      <c r="F223">
        <f t="shared" si="73"/>
        <v>-210.5492236</v>
      </c>
      <c r="G223">
        <f t="shared" si="74"/>
        <v>-421.10481520000002</v>
      </c>
      <c r="H223">
        <f t="shared" si="75"/>
        <v>-631.66040680000003</v>
      </c>
      <c r="I223">
        <f t="shared" si="76"/>
        <v>-842.2159984000001</v>
      </c>
      <c r="J223">
        <f t="shared" si="77"/>
        <v>-1052.7715900000001</v>
      </c>
      <c r="L223">
        <f t="shared" si="78"/>
        <v>12863.36</v>
      </c>
      <c r="M223">
        <f t="shared" si="79"/>
        <v>-362144664.59200001</v>
      </c>
      <c r="N223">
        <f t="shared" si="80"/>
        <v>-623235126.49600005</v>
      </c>
      <c r="O223">
        <f t="shared" si="81"/>
        <v>-707459655.61600018</v>
      </c>
      <c r="P223">
        <f t="shared" si="82"/>
        <v>-774838718.528</v>
      </c>
      <c r="Q223">
        <f t="shared" si="83"/>
        <v>-905383567.4000001</v>
      </c>
      <c r="S223">
        <f t="shared" si="84"/>
        <v>15601.6</v>
      </c>
      <c r="T223">
        <f t="shared" si="85"/>
        <v>-913797448.98400009</v>
      </c>
      <c r="U223">
        <f t="shared" si="86"/>
        <v>-783254956.27200007</v>
      </c>
      <c r="V223">
        <f t="shared" si="87"/>
        <v>-896957777.65600002</v>
      </c>
      <c r="W223">
        <f t="shared" si="88"/>
        <v>-1153835917.8080003</v>
      </c>
      <c r="X223">
        <f t="shared" si="89"/>
        <v>-1284381339.8000002</v>
      </c>
      <c r="Z223">
        <f t="shared" si="90"/>
        <v>18339.84</v>
      </c>
      <c r="AA223">
        <f t="shared" si="91"/>
        <v>-551638965.83200002</v>
      </c>
      <c r="AB223">
        <f t="shared" si="92"/>
        <v>-943274786.04800022</v>
      </c>
      <c r="AC223">
        <f t="shared" si="93"/>
        <v>-1238054397.3280001</v>
      </c>
      <c r="AD223">
        <f t="shared" si="94"/>
        <v>-1532833117.0880003</v>
      </c>
      <c r="AE223">
        <f t="shared" si="95"/>
        <v>-1663379112.2000003</v>
      </c>
    </row>
    <row r="224" spans="1:31" x14ac:dyDescent="0.25">
      <c r="A224">
        <v>32.551149500000001</v>
      </c>
      <c r="B224">
        <v>113.0235335</v>
      </c>
      <c r="C224">
        <v>48.126995090000001</v>
      </c>
      <c r="D224">
        <v>26.350034709999999</v>
      </c>
      <c r="E224" t="b">
        <f t="shared" si="72"/>
        <v>0</v>
      </c>
      <c r="F224">
        <f t="shared" si="73"/>
        <v>-214.28494074000002</v>
      </c>
      <c r="G224">
        <f t="shared" si="74"/>
        <v>-454.91991619000004</v>
      </c>
      <c r="H224">
        <f t="shared" si="75"/>
        <v>-695.55489163999994</v>
      </c>
      <c r="I224">
        <f t="shared" si="76"/>
        <v>-936.18986709000001</v>
      </c>
      <c r="J224">
        <f t="shared" si="77"/>
        <v>-1176.82484254</v>
      </c>
      <c r="L224">
        <f t="shared" si="78"/>
        <v>53227070.114200003</v>
      </c>
      <c r="M224">
        <f t="shared" si="79"/>
        <v>-368570098.0728001</v>
      </c>
      <c r="N224">
        <f t="shared" si="80"/>
        <v>-673281475.96120012</v>
      </c>
      <c r="O224">
        <f t="shared" si="81"/>
        <v>-779021478.63680005</v>
      </c>
      <c r="P224">
        <f t="shared" si="82"/>
        <v>-861294677.72280002</v>
      </c>
      <c r="Q224">
        <f t="shared" si="83"/>
        <v>-1012069364.5843999</v>
      </c>
      <c r="S224">
        <f t="shared" si="84"/>
        <v>64557585.039500006</v>
      </c>
      <c r="T224">
        <f t="shared" si="85"/>
        <v>-987176218.13230014</v>
      </c>
      <c r="U224">
        <f t="shared" si="86"/>
        <v>-846151044.1134001</v>
      </c>
      <c r="V224">
        <f t="shared" si="87"/>
        <v>-987687946.12879992</v>
      </c>
      <c r="W224">
        <f t="shared" si="88"/>
        <v>-1282580117.9133</v>
      </c>
      <c r="X224">
        <f t="shared" si="89"/>
        <v>-1435726307.8987999</v>
      </c>
      <c r="Z224">
        <f t="shared" si="90"/>
        <v>75888099.9648</v>
      </c>
      <c r="AA224">
        <f t="shared" si="91"/>
        <v>-561426544.73880017</v>
      </c>
      <c r="AB224">
        <f t="shared" si="92"/>
        <v>-1019020612.2656002</v>
      </c>
      <c r="AC224">
        <f t="shared" si="93"/>
        <v>-1363287587.6143999</v>
      </c>
      <c r="AD224">
        <f t="shared" si="94"/>
        <v>-1703865558.1038001</v>
      </c>
      <c r="AE224">
        <f t="shared" si="95"/>
        <v>-1859383251.2132001</v>
      </c>
    </row>
    <row r="225" spans="1:31" x14ac:dyDescent="0.25">
      <c r="A225">
        <v>32.560411479999999</v>
      </c>
      <c r="B225">
        <v>119.5572116</v>
      </c>
      <c r="C225">
        <v>56.601669309999998</v>
      </c>
      <c r="D225">
        <v>3.8825030300000001</v>
      </c>
      <c r="E225" t="b">
        <f t="shared" si="72"/>
        <v>0</v>
      </c>
      <c r="F225">
        <f t="shared" si="73"/>
        <v>-279.12584351999999</v>
      </c>
      <c r="G225">
        <f t="shared" si="74"/>
        <v>-562.13419007000005</v>
      </c>
      <c r="H225">
        <f t="shared" si="75"/>
        <v>-845.14253661999999</v>
      </c>
      <c r="I225">
        <f t="shared" si="76"/>
        <v>-1128.15088317</v>
      </c>
      <c r="J225">
        <f t="shared" si="77"/>
        <v>-1411.15922972</v>
      </c>
      <c r="L225">
        <f t="shared" si="78"/>
        <v>7842656.120600001</v>
      </c>
      <c r="M225">
        <f t="shared" si="79"/>
        <v>-480096450.85440004</v>
      </c>
      <c r="N225">
        <f t="shared" si="80"/>
        <v>-831958601.30360007</v>
      </c>
      <c r="O225">
        <f t="shared" si="81"/>
        <v>-946559641.01440012</v>
      </c>
      <c r="P225">
        <f t="shared" si="82"/>
        <v>-1037898812.5164</v>
      </c>
      <c r="Q225">
        <f t="shared" si="83"/>
        <v>-1213596937.5592</v>
      </c>
      <c r="S225">
        <f t="shared" si="84"/>
        <v>9512132.4235000014</v>
      </c>
      <c r="T225">
        <f t="shared" si="85"/>
        <v>-1219831192.4519</v>
      </c>
      <c r="U225">
        <f t="shared" si="86"/>
        <v>-1045569593.5302</v>
      </c>
      <c r="V225">
        <f t="shared" si="87"/>
        <v>-1200102402.0003998</v>
      </c>
      <c r="W225">
        <f t="shared" si="88"/>
        <v>-1545566709.9429002</v>
      </c>
      <c r="X225">
        <f t="shared" si="89"/>
        <v>-1721614260.2584</v>
      </c>
      <c r="Z225">
        <f t="shared" si="90"/>
        <v>11181608.726400001</v>
      </c>
      <c r="AA225">
        <f t="shared" si="91"/>
        <v>-731309710.02240002</v>
      </c>
      <c r="AB225">
        <f t="shared" si="92"/>
        <v>-1259180585.7568002</v>
      </c>
      <c r="AC225">
        <f t="shared" si="93"/>
        <v>-1656479371.7751999</v>
      </c>
      <c r="AD225">
        <f t="shared" si="94"/>
        <v>-2053234607.3694003</v>
      </c>
      <c r="AE225">
        <f t="shared" si="95"/>
        <v>-2229631582.9576001</v>
      </c>
    </row>
    <row r="226" spans="1:31" x14ac:dyDescent="0.25">
      <c r="A226">
        <v>32.565842029999999</v>
      </c>
      <c r="B226">
        <v>120.269091</v>
      </c>
      <c r="C226">
        <v>17.774396899999999</v>
      </c>
      <c r="D226">
        <v>2.0024959999999998</v>
      </c>
      <c r="E226" t="b">
        <f t="shared" si="72"/>
        <v>0</v>
      </c>
      <c r="F226">
        <f t="shared" si="73"/>
        <v>-86.869488500000003</v>
      </c>
      <c r="G226">
        <f t="shared" si="74"/>
        <v>-175.74147299999998</v>
      </c>
      <c r="H226">
        <f t="shared" si="75"/>
        <v>-264.61345749999998</v>
      </c>
      <c r="I226">
        <f t="shared" si="76"/>
        <v>-353.48544199999998</v>
      </c>
      <c r="J226">
        <f t="shared" si="77"/>
        <v>-442.35742649999997</v>
      </c>
      <c r="L226">
        <f t="shared" si="78"/>
        <v>4045041.9199999995</v>
      </c>
      <c r="M226">
        <f t="shared" si="79"/>
        <v>-149415520.22000003</v>
      </c>
      <c r="N226">
        <f t="shared" si="80"/>
        <v>-260097380.03999996</v>
      </c>
      <c r="O226">
        <f t="shared" si="81"/>
        <v>-296367072.39999998</v>
      </c>
      <c r="P226">
        <f t="shared" si="82"/>
        <v>-325206606.63999999</v>
      </c>
      <c r="Q226">
        <f t="shared" si="83"/>
        <v>-380427386.79000002</v>
      </c>
      <c r="S226">
        <f t="shared" si="84"/>
        <v>4906115.2</v>
      </c>
      <c r="T226">
        <f t="shared" si="85"/>
        <v>-381358996.40999991</v>
      </c>
      <c r="U226">
        <f t="shared" si="86"/>
        <v>-326879139.77999991</v>
      </c>
      <c r="V226">
        <f t="shared" si="87"/>
        <v>-375751109.64999992</v>
      </c>
      <c r="W226">
        <f t="shared" si="88"/>
        <v>-484275055.54000002</v>
      </c>
      <c r="X226">
        <f t="shared" si="89"/>
        <v>-539676060.33000004</v>
      </c>
      <c r="Z226">
        <f t="shared" si="90"/>
        <v>5767188.4799999995</v>
      </c>
      <c r="AA226">
        <f t="shared" si="91"/>
        <v>-227598059.87</v>
      </c>
      <c r="AB226">
        <f t="shared" si="92"/>
        <v>-393660899.51999998</v>
      </c>
      <c r="AC226">
        <f t="shared" si="93"/>
        <v>-518642376.69999993</v>
      </c>
      <c r="AD226">
        <f t="shared" si="94"/>
        <v>-643343504.44000006</v>
      </c>
      <c r="AE226">
        <f t="shared" si="95"/>
        <v>-698924733.87</v>
      </c>
    </row>
    <row r="227" spans="1:31" x14ac:dyDescent="0.25">
      <c r="A227">
        <v>32.579481940000001</v>
      </c>
      <c r="B227">
        <v>119.3963916</v>
      </c>
      <c r="C227">
        <v>40.306919100000002</v>
      </c>
      <c r="D227">
        <v>3.77709699</v>
      </c>
      <c r="E227" t="b">
        <f t="shared" si="72"/>
        <v>0</v>
      </c>
      <c r="F227">
        <f t="shared" si="73"/>
        <v>-197.75749851000003</v>
      </c>
      <c r="G227">
        <f t="shared" si="74"/>
        <v>-399.29209401000003</v>
      </c>
      <c r="H227">
        <f t="shared" si="75"/>
        <v>-600.82668951000005</v>
      </c>
      <c r="I227">
        <f t="shared" si="76"/>
        <v>-802.36128501000007</v>
      </c>
      <c r="J227">
        <f t="shared" si="77"/>
        <v>-1003.89588051</v>
      </c>
      <c r="L227">
        <f t="shared" si="78"/>
        <v>7629735.9197999993</v>
      </c>
      <c r="M227">
        <f t="shared" si="79"/>
        <v>-340142897.43720007</v>
      </c>
      <c r="N227">
        <f t="shared" si="80"/>
        <v>-590952299.13480008</v>
      </c>
      <c r="O227">
        <f t="shared" si="81"/>
        <v>-672925892.2512002</v>
      </c>
      <c r="P227">
        <f t="shared" si="82"/>
        <v>-738172382.20920002</v>
      </c>
      <c r="Q227">
        <f t="shared" si="83"/>
        <v>-863350457.23860002</v>
      </c>
      <c r="S227">
        <f t="shared" si="84"/>
        <v>9253887.6254999992</v>
      </c>
      <c r="T227">
        <f t="shared" si="85"/>
        <v>-866463844.00170004</v>
      </c>
      <c r="U227">
        <f t="shared" si="86"/>
        <v>-742683294.85860002</v>
      </c>
      <c r="V227">
        <f t="shared" si="87"/>
        <v>-853173899.10420012</v>
      </c>
      <c r="W227">
        <f t="shared" si="88"/>
        <v>-1099234960.4637003</v>
      </c>
      <c r="X227">
        <f t="shared" si="89"/>
        <v>-1224752974.2221999</v>
      </c>
      <c r="Z227">
        <f t="shared" si="90"/>
        <v>10878039.331199998</v>
      </c>
      <c r="AA227">
        <f t="shared" si="91"/>
        <v>-518124646.09620005</v>
      </c>
      <c r="AB227">
        <f t="shared" si="92"/>
        <v>-894414290.5824002</v>
      </c>
      <c r="AC227">
        <f t="shared" si="93"/>
        <v>-1177620311.4396002</v>
      </c>
      <c r="AD227">
        <f t="shared" si="94"/>
        <v>-1460297538.7182002</v>
      </c>
      <c r="AE227">
        <f t="shared" si="95"/>
        <v>-1586155491.2058001</v>
      </c>
    </row>
    <row r="228" spans="1:31" x14ac:dyDescent="0.25">
      <c r="A228">
        <v>32.580003619999999</v>
      </c>
      <c r="B228">
        <v>112.5375842</v>
      </c>
      <c r="C228">
        <v>52.400897980000003</v>
      </c>
      <c r="D228">
        <v>0.23480599999999999</v>
      </c>
      <c r="E228" t="b">
        <f t="shared" si="72"/>
        <v>0</v>
      </c>
      <c r="F228">
        <f t="shared" si="73"/>
        <v>-261.76968390000002</v>
      </c>
      <c r="G228">
        <f t="shared" si="74"/>
        <v>-523.77417379999997</v>
      </c>
      <c r="H228">
        <f t="shared" si="75"/>
        <v>-785.77866370000004</v>
      </c>
      <c r="I228">
        <f t="shared" si="76"/>
        <v>-1047.7831536000001</v>
      </c>
      <c r="J228">
        <f t="shared" si="77"/>
        <v>-1309.7876435000001</v>
      </c>
      <c r="L228">
        <f t="shared" si="78"/>
        <v>474308.12</v>
      </c>
      <c r="M228">
        <f t="shared" si="79"/>
        <v>-450243856.30800009</v>
      </c>
      <c r="N228">
        <f t="shared" si="80"/>
        <v>-775185777.22399998</v>
      </c>
      <c r="O228">
        <f t="shared" si="81"/>
        <v>-880072103.3440001</v>
      </c>
      <c r="P228">
        <f t="shared" si="82"/>
        <v>-963960501.31200004</v>
      </c>
      <c r="Q228">
        <f t="shared" si="83"/>
        <v>-1126417373.4100001</v>
      </c>
      <c r="S228">
        <f t="shared" si="84"/>
        <v>575274.70000000007</v>
      </c>
      <c r="T228">
        <f t="shared" si="85"/>
        <v>-1136589957.1459999</v>
      </c>
      <c r="U228">
        <f t="shared" si="86"/>
        <v>-974219963.26799989</v>
      </c>
      <c r="V228">
        <f t="shared" si="87"/>
        <v>-1115805702.454</v>
      </c>
      <c r="W228">
        <f t="shared" si="88"/>
        <v>-1435462920.4320004</v>
      </c>
      <c r="X228">
        <f t="shared" si="89"/>
        <v>-1597940925.0699999</v>
      </c>
      <c r="Z228">
        <f t="shared" si="90"/>
        <v>676241.28</v>
      </c>
      <c r="AA228">
        <f t="shared" si="91"/>
        <v>-685836571.81800008</v>
      </c>
      <c r="AB228">
        <f t="shared" si="92"/>
        <v>-1173254149.312</v>
      </c>
      <c r="AC228">
        <f t="shared" si="93"/>
        <v>-1540126180.852</v>
      </c>
      <c r="AD228">
        <f t="shared" si="94"/>
        <v>-1906965339.5520003</v>
      </c>
      <c r="AE228">
        <f t="shared" si="95"/>
        <v>-2069464476.73</v>
      </c>
    </row>
    <row r="229" spans="1:31" x14ac:dyDescent="0.25">
      <c r="A229">
        <v>32.585788569999998</v>
      </c>
      <c r="B229">
        <v>119.3427684</v>
      </c>
      <c r="C229">
        <v>40.306919100000002</v>
      </c>
      <c r="D229">
        <v>2.0930991200000002</v>
      </c>
      <c r="E229" t="b">
        <f t="shared" si="72"/>
        <v>0</v>
      </c>
      <c r="F229">
        <f t="shared" si="73"/>
        <v>-199.44149638000002</v>
      </c>
      <c r="G229">
        <f t="shared" si="74"/>
        <v>-400.97609188000007</v>
      </c>
      <c r="H229">
        <f t="shared" si="75"/>
        <v>-602.51068738000004</v>
      </c>
      <c r="I229">
        <f t="shared" si="76"/>
        <v>-804.04528288000006</v>
      </c>
      <c r="J229">
        <f t="shared" si="77"/>
        <v>-1005.57987838</v>
      </c>
      <c r="L229">
        <f t="shared" si="78"/>
        <v>4228060.2224000003</v>
      </c>
      <c r="M229">
        <f t="shared" si="79"/>
        <v>-343039373.7736001</v>
      </c>
      <c r="N229">
        <f t="shared" si="80"/>
        <v>-593444615.98240006</v>
      </c>
      <c r="O229">
        <f t="shared" si="81"/>
        <v>-674811969.86560011</v>
      </c>
      <c r="P229">
        <f t="shared" si="82"/>
        <v>-739721660.24960005</v>
      </c>
      <c r="Q229">
        <f t="shared" si="83"/>
        <v>-864798695.40680003</v>
      </c>
      <c r="S229">
        <f t="shared" si="84"/>
        <v>5128092.8440000005</v>
      </c>
      <c r="T229">
        <f t="shared" si="85"/>
        <v>-870118119.37960005</v>
      </c>
      <c r="U229">
        <f t="shared" si="86"/>
        <v>-745815530.89680004</v>
      </c>
      <c r="V229">
        <f t="shared" si="87"/>
        <v>-855565176.07959998</v>
      </c>
      <c r="W229">
        <f t="shared" si="88"/>
        <v>-1101542037.5456002</v>
      </c>
      <c r="X229">
        <f t="shared" si="89"/>
        <v>-1226807451.6236</v>
      </c>
      <c r="Z229">
        <f t="shared" si="90"/>
        <v>6028125.4655999998</v>
      </c>
      <c r="AA229">
        <f t="shared" si="91"/>
        <v>-522536720.51560009</v>
      </c>
      <c r="AB229">
        <f t="shared" si="92"/>
        <v>-898186445.81120026</v>
      </c>
      <c r="AC229">
        <f t="shared" si="93"/>
        <v>-1180920947.2648001</v>
      </c>
      <c r="AD229">
        <f t="shared" si="94"/>
        <v>-1463362414.8416002</v>
      </c>
      <c r="AE229">
        <f t="shared" si="95"/>
        <v>-1588816207.8404</v>
      </c>
    </row>
    <row r="230" spans="1:31" x14ac:dyDescent="0.25">
      <c r="A230">
        <v>32.599168499999998</v>
      </c>
      <c r="B230">
        <v>120.00127790000001</v>
      </c>
      <c r="C230">
        <v>56.601669309999998</v>
      </c>
      <c r="D230">
        <v>0.106533</v>
      </c>
      <c r="E230" t="b">
        <f t="shared" si="72"/>
        <v>0</v>
      </c>
      <c r="F230">
        <f t="shared" si="73"/>
        <v>-282.90181354999999</v>
      </c>
      <c r="G230">
        <f t="shared" si="74"/>
        <v>-565.91016009999998</v>
      </c>
      <c r="H230">
        <f t="shared" si="75"/>
        <v>-848.91850664999993</v>
      </c>
      <c r="I230">
        <f t="shared" si="76"/>
        <v>-1131.9268532000001</v>
      </c>
      <c r="J230">
        <f t="shared" si="77"/>
        <v>-1414.93519975</v>
      </c>
      <c r="L230">
        <f t="shared" si="78"/>
        <v>215196.66</v>
      </c>
      <c r="M230">
        <f t="shared" si="79"/>
        <v>-486591119.30600005</v>
      </c>
      <c r="N230">
        <f t="shared" si="80"/>
        <v>-837547036.94800007</v>
      </c>
      <c r="O230">
        <f t="shared" si="81"/>
        <v>-950788727.44800007</v>
      </c>
      <c r="P230">
        <f t="shared" si="82"/>
        <v>-1041372704.944</v>
      </c>
      <c r="Q230">
        <f t="shared" si="83"/>
        <v>-1216844271.7850001</v>
      </c>
      <c r="S230">
        <f t="shared" si="84"/>
        <v>261005.85</v>
      </c>
      <c r="T230">
        <f t="shared" si="85"/>
        <v>-1228025047.4170001</v>
      </c>
      <c r="U230">
        <f t="shared" si="86"/>
        <v>-1052592897.786</v>
      </c>
      <c r="V230">
        <f t="shared" si="87"/>
        <v>-1205464279.4429998</v>
      </c>
      <c r="W230">
        <f t="shared" si="88"/>
        <v>-1550739788.8840003</v>
      </c>
      <c r="X230">
        <f t="shared" si="89"/>
        <v>-1726220943.6949999</v>
      </c>
      <c r="Z230">
        <f t="shared" si="90"/>
        <v>306815.03999999998</v>
      </c>
      <c r="AA230">
        <f t="shared" si="91"/>
        <v>-741202751.50100005</v>
      </c>
      <c r="AB230">
        <f t="shared" si="92"/>
        <v>-1267638758.6240001</v>
      </c>
      <c r="AC230">
        <f t="shared" si="93"/>
        <v>-1663880273.0339999</v>
      </c>
      <c r="AD230">
        <f t="shared" si="94"/>
        <v>-2060106872.8240001</v>
      </c>
      <c r="AE230">
        <f t="shared" si="95"/>
        <v>-2235597615.605</v>
      </c>
    </row>
    <row r="231" spans="1:31" x14ac:dyDescent="0.25">
      <c r="A231">
        <v>32.599388140000002</v>
      </c>
      <c r="B231">
        <v>119.6183856</v>
      </c>
      <c r="C231">
        <v>56.601669309999998</v>
      </c>
      <c r="D231">
        <v>0.54075300999999998</v>
      </c>
      <c r="E231" t="b">
        <f t="shared" si="72"/>
        <v>0</v>
      </c>
      <c r="F231">
        <f t="shared" si="73"/>
        <v>-282.46759354</v>
      </c>
      <c r="G231">
        <f t="shared" si="74"/>
        <v>-565.47594008999999</v>
      </c>
      <c r="H231">
        <f t="shared" si="75"/>
        <v>-848.48428663999994</v>
      </c>
      <c r="I231">
        <f t="shared" si="76"/>
        <v>-1131.4926331900001</v>
      </c>
      <c r="J231">
        <f t="shared" si="77"/>
        <v>-1414.50097974</v>
      </c>
      <c r="L231">
        <f t="shared" si="78"/>
        <v>1092321.0802</v>
      </c>
      <c r="M231">
        <f t="shared" si="79"/>
        <v>-485844260.88880008</v>
      </c>
      <c r="N231">
        <f t="shared" si="80"/>
        <v>-836904391.3332001</v>
      </c>
      <c r="O231">
        <f t="shared" si="81"/>
        <v>-950302401.03680003</v>
      </c>
      <c r="P231">
        <f t="shared" si="82"/>
        <v>-1040973222.5347999</v>
      </c>
      <c r="Q231">
        <f t="shared" si="83"/>
        <v>-1216470842.5764</v>
      </c>
      <c r="S231">
        <f t="shared" si="84"/>
        <v>1324844.8745000002</v>
      </c>
      <c r="T231">
        <f t="shared" si="85"/>
        <v>-1227082789.9953001</v>
      </c>
      <c r="U231">
        <f t="shared" si="86"/>
        <v>-1051785248.5674</v>
      </c>
      <c r="V231">
        <f t="shared" si="87"/>
        <v>-1204847687.0288</v>
      </c>
      <c r="W231">
        <f t="shared" si="88"/>
        <v>-1550144907.4703002</v>
      </c>
      <c r="X231">
        <f t="shared" si="89"/>
        <v>-1725691195.2828</v>
      </c>
      <c r="Z231">
        <f t="shared" si="90"/>
        <v>1557368.6687999999</v>
      </c>
      <c r="AA231">
        <f t="shared" si="91"/>
        <v>-740065095.07480013</v>
      </c>
      <c r="AB231">
        <f t="shared" si="92"/>
        <v>-1266666105.8016002</v>
      </c>
      <c r="AC231">
        <f t="shared" si="93"/>
        <v>-1663029201.8144</v>
      </c>
      <c r="AD231">
        <f t="shared" si="94"/>
        <v>-2059316592.4058001</v>
      </c>
      <c r="AE231">
        <f t="shared" si="95"/>
        <v>-2234911547.9892001</v>
      </c>
    </row>
    <row r="232" spans="1:31" x14ac:dyDescent="0.25">
      <c r="A232">
        <v>32.60183421</v>
      </c>
      <c r="B232">
        <v>120.7135038</v>
      </c>
      <c r="C232">
        <v>17.774396899999999</v>
      </c>
      <c r="D232">
        <v>0.50822197999999996</v>
      </c>
      <c r="E232" t="b">
        <f t="shared" si="72"/>
        <v>0</v>
      </c>
      <c r="F232">
        <f t="shared" si="73"/>
        <v>-88.363762519999995</v>
      </c>
      <c r="G232">
        <f t="shared" si="74"/>
        <v>-177.23574701999999</v>
      </c>
      <c r="H232">
        <f t="shared" si="75"/>
        <v>-266.10773152000002</v>
      </c>
      <c r="I232">
        <f t="shared" si="76"/>
        <v>-354.97971602000001</v>
      </c>
      <c r="J232">
        <f t="shared" si="77"/>
        <v>-443.85170052000001</v>
      </c>
      <c r="L232">
        <f t="shared" si="78"/>
        <v>1026608.3996</v>
      </c>
      <c r="M232">
        <f t="shared" si="79"/>
        <v>-151985671.53440002</v>
      </c>
      <c r="N232">
        <f t="shared" si="80"/>
        <v>-262308905.58959997</v>
      </c>
      <c r="O232">
        <f t="shared" si="81"/>
        <v>-298040659.30240005</v>
      </c>
      <c r="P232">
        <f t="shared" si="82"/>
        <v>-326581338.73839998</v>
      </c>
      <c r="Q232">
        <f t="shared" si="83"/>
        <v>-381712462.4472</v>
      </c>
      <c r="S232">
        <f t="shared" si="84"/>
        <v>1245143.851</v>
      </c>
      <c r="T232">
        <f t="shared" si="85"/>
        <v>-384601571.03339994</v>
      </c>
      <c r="U232">
        <f t="shared" si="86"/>
        <v>-329658489.45719993</v>
      </c>
      <c r="V232">
        <f t="shared" si="87"/>
        <v>-377872978.75840002</v>
      </c>
      <c r="W232">
        <f t="shared" si="88"/>
        <v>-486322210.94740009</v>
      </c>
      <c r="X232">
        <f t="shared" si="89"/>
        <v>-541499074.63440001</v>
      </c>
      <c r="Z232">
        <f t="shared" si="90"/>
        <v>1463679.3023999999</v>
      </c>
      <c r="AA232">
        <f t="shared" si="91"/>
        <v>-231513057.80239999</v>
      </c>
      <c r="AB232">
        <f t="shared" si="92"/>
        <v>-397008073.32480001</v>
      </c>
      <c r="AC232">
        <f t="shared" si="93"/>
        <v>-521571153.77920002</v>
      </c>
      <c r="AD232">
        <f t="shared" si="94"/>
        <v>-646063083.15640008</v>
      </c>
      <c r="AE232">
        <f t="shared" si="95"/>
        <v>-701285686.82159996</v>
      </c>
    </row>
    <row r="233" spans="1:31" x14ac:dyDescent="0.25">
      <c r="A233">
        <v>32.622630030000003</v>
      </c>
      <c r="B233">
        <v>112.59527850000001</v>
      </c>
      <c r="C233">
        <v>52.400897980000003</v>
      </c>
      <c r="D233">
        <v>8.5823999999999998E-2</v>
      </c>
      <c r="E233" t="b">
        <f t="shared" si="72"/>
        <v>0</v>
      </c>
      <c r="F233">
        <f t="shared" si="73"/>
        <v>-261.91866590000001</v>
      </c>
      <c r="G233">
        <f t="shared" si="74"/>
        <v>-523.92315580000002</v>
      </c>
      <c r="H233">
        <f t="shared" si="75"/>
        <v>-785.92764570000008</v>
      </c>
      <c r="I233">
        <f t="shared" si="76"/>
        <v>-1047.9321356</v>
      </c>
      <c r="J233">
        <f t="shared" si="77"/>
        <v>-1309.9366255</v>
      </c>
      <c r="L233">
        <f t="shared" si="78"/>
        <v>173364.48000000001</v>
      </c>
      <c r="M233">
        <f t="shared" si="79"/>
        <v>-450500105.34800005</v>
      </c>
      <c r="N233">
        <f t="shared" si="80"/>
        <v>-775406270.58399999</v>
      </c>
      <c r="O233">
        <f t="shared" si="81"/>
        <v>-880238963.18400013</v>
      </c>
      <c r="P233">
        <f t="shared" si="82"/>
        <v>-964097564.75199997</v>
      </c>
      <c r="Q233">
        <f t="shared" si="83"/>
        <v>-1126545497.9300001</v>
      </c>
      <c r="S233">
        <f t="shared" si="84"/>
        <v>210268.80000000002</v>
      </c>
      <c r="T233">
        <f t="shared" si="85"/>
        <v>-1136913248.086</v>
      </c>
      <c r="U233">
        <f t="shared" si="86"/>
        <v>-974497069.78799999</v>
      </c>
      <c r="V233">
        <f t="shared" si="87"/>
        <v>-1116017256.8940001</v>
      </c>
      <c r="W233">
        <f t="shared" si="88"/>
        <v>-1435667025.7720001</v>
      </c>
      <c r="X233">
        <f t="shared" si="89"/>
        <v>-1598122683.1099999</v>
      </c>
      <c r="Z233">
        <f t="shared" si="90"/>
        <v>247173.12</v>
      </c>
      <c r="AA233">
        <f t="shared" si="91"/>
        <v>-686226904.65799999</v>
      </c>
      <c r="AB233">
        <f t="shared" si="92"/>
        <v>-1173587868.9920001</v>
      </c>
      <c r="AC233">
        <f t="shared" si="93"/>
        <v>-1540418185.572</v>
      </c>
      <c r="AD233">
        <f t="shared" si="94"/>
        <v>-1907236486.7920001</v>
      </c>
      <c r="AE233">
        <f t="shared" si="95"/>
        <v>-2069699868.2900002</v>
      </c>
    </row>
    <row r="234" spans="1:31" x14ac:dyDescent="0.25">
      <c r="A234">
        <v>32.631868670000003</v>
      </c>
      <c r="B234">
        <v>119.73324909999999</v>
      </c>
      <c r="C234">
        <v>56.601669309999998</v>
      </c>
      <c r="D234">
        <v>0.78846799999999995</v>
      </c>
      <c r="E234" t="b">
        <f t="shared" si="72"/>
        <v>0</v>
      </c>
      <c r="F234">
        <f t="shared" si="73"/>
        <v>-282.21987854999998</v>
      </c>
      <c r="G234">
        <f t="shared" si="74"/>
        <v>-565.22822510000003</v>
      </c>
      <c r="H234">
        <f t="shared" si="75"/>
        <v>-848.23657164999997</v>
      </c>
      <c r="I234">
        <f t="shared" si="76"/>
        <v>-1131.2449182</v>
      </c>
      <c r="J234">
        <f t="shared" si="77"/>
        <v>-1414.25326475</v>
      </c>
      <c r="L234">
        <f t="shared" si="78"/>
        <v>1592705.36</v>
      </c>
      <c r="M234">
        <f t="shared" si="79"/>
        <v>-485418191.10599995</v>
      </c>
      <c r="N234">
        <f t="shared" si="80"/>
        <v>-836537773.148</v>
      </c>
      <c r="O234">
        <f t="shared" si="81"/>
        <v>-950024960.24800003</v>
      </c>
      <c r="P234">
        <f t="shared" si="82"/>
        <v>-1040745324.744</v>
      </c>
      <c r="Q234">
        <f t="shared" si="83"/>
        <v>-1216257807.6849999</v>
      </c>
      <c r="S234">
        <f t="shared" si="84"/>
        <v>1931746.6</v>
      </c>
      <c r="T234">
        <f t="shared" si="85"/>
        <v>-1226545248.467</v>
      </c>
      <c r="U234">
        <f t="shared" si="86"/>
        <v>-1051324498.686</v>
      </c>
      <c r="V234">
        <f t="shared" si="87"/>
        <v>-1204495931.7429998</v>
      </c>
      <c r="W234">
        <f t="shared" si="88"/>
        <v>-1549805537.9340003</v>
      </c>
      <c r="X234">
        <f t="shared" si="89"/>
        <v>-1725388982.9949999</v>
      </c>
      <c r="Z234">
        <f t="shared" si="90"/>
        <v>2270787.84</v>
      </c>
      <c r="AA234">
        <f t="shared" si="91"/>
        <v>-739416081.80099988</v>
      </c>
      <c r="AB234">
        <f t="shared" si="92"/>
        <v>-1266111224.2240002</v>
      </c>
      <c r="AC234">
        <f t="shared" si="93"/>
        <v>-1662543680.434</v>
      </c>
      <c r="AD234">
        <f t="shared" si="94"/>
        <v>-2058865751.1240001</v>
      </c>
      <c r="AE234">
        <f t="shared" si="95"/>
        <v>-2234520158.3050003</v>
      </c>
    </row>
    <row r="235" spans="1:31" x14ac:dyDescent="0.25">
      <c r="A235">
        <v>32.635881140000002</v>
      </c>
      <c r="B235">
        <v>113.13944499999999</v>
      </c>
      <c r="C235">
        <v>42.111118320000003</v>
      </c>
      <c r="D235">
        <v>9.8403000000000004E-2</v>
      </c>
      <c r="E235" t="b">
        <f t="shared" si="72"/>
        <v>0</v>
      </c>
      <c r="F235">
        <f t="shared" si="73"/>
        <v>-210.45718860000002</v>
      </c>
      <c r="G235">
        <f t="shared" si="74"/>
        <v>-421.01278020000001</v>
      </c>
      <c r="H235">
        <f t="shared" si="75"/>
        <v>-631.56837180000002</v>
      </c>
      <c r="I235">
        <f t="shared" si="76"/>
        <v>-842.12396340000009</v>
      </c>
      <c r="J235">
        <f t="shared" si="77"/>
        <v>-1052.6795550000002</v>
      </c>
      <c r="L235">
        <f t="shared" si="78"/>
        <v>198774.06</v>
      </c>
      <c r="M235">
        <f t="shared" si="79"/>
        <v>-361986364.39200008</v>
      </c>
      <c r="N235">
        <f t="shared" si="80"/>
        <v>-623098914.69599998</v>
      </c>
      <c r="O235">
        <f t="shared" si="81"/>
        <v>-707356576.41600013</v>
      </c>
      <c r="P235">
        <f t="shared" si="82"/>
        <v>-774754046.32800007</v>
      </c>
      <c r="Q235">
        <f t="shared" si="83"/>
        <v>-905304417.30000007</v>
      </c>
      <c r="S235">
        <f t="shared" si="84"/>
        <v>241087.35</v>
      </c>
      <c r="T235">
        <f t="shared" si="85"/>
        <v>-913597733.03399992</v>
      </c>
      <c r="U235">
        <f t="shared" si="86"/>
        <v>-783083771.17199993</v>
      </c>
      <c r="V235">
        <f t="shared" si="87"/>
        <v>-896827087.95600009</v>
      </c>
      <c r="W235">
        <f t="shared" si="88"/>
        <v>-1153709829.8580003</v>
      </c>
      <c r="X235">
        <f t="shared" si="89"/>
        <v>-1284269057.1000001</v>
      </c>
      <c r="Z235">
        <f t="shared" si="90"/>
        <v>283400.64</v>
      </c>
      <c r="AA235">
        <f t="shared" si="91"/>
        <v>-551397834.13200009</v>
      </c>
      <c r="AB235">
        <f t="shared" si="92"/>
        <v>-943068627.64800012</v>
      </c>
      <c r="AC235">
        <f t="shared" si="93"/>
        <v>-1237874008.7280002</v>
      </c>
      <c r="AD235">
        <f t="shared" si="94"/>
        <v>-1532665613.3880002</v>
      </c>
      <c r="AE235">
        <f t="shared" si="95"/>
        <v>-1663233696.9000003</v>
      </c>
    </row>
    <row r="236" spans="1:31" x14ac:dyDescent="0.25">
      <c r="A236">
        <v>32.637908619999997</v>
      </c>
      <c r="B236">
        <v>120.0626913</v>
      </c>
      <c r="C236">
        <v>134.76608279999999</v>
      </c>
      <c r="D236">
        <v>0.72323501000000001</v>
      </c>
      <c r="E236" t="b">
        <f t="shared" si="72"/>
        <v>0</v>
      </c>
      <c r="F236">
        <f t="shared" si="73"/>
        <v>-673.10717898999997</v>
      </c>
      <c r="G236">
        <f t="shared" si="74"/>
        <v>-1346.93759299</v>
      </c>
      <c r="H236">
        <f t="shared" si="75"/>
        <v>-2020.7680069899998</v>
      </c>
      <c r="I236">
        <f t="shared" si="76"/>
        <v>-2694.5984209900002</v>
      </c>
      <c r="J236">
        <f t="shared" si="77"/>
        <v>-3368.4288349899998</v>
      </c>
      <c r="L236">
        <f t="shared" si="78"/>
        <v>1460934.7202000001</v>
      </c>
      <c r="M236">
        <f t="shared" si="79"/>
        <v>-1157744347.8628001</v>
      </c>
      <c r="N236">
        <f t="shared" si="80"/>
        <v>-1993467637.6252</v>
      </c>
      <c r="O236">
        <f t="shared" si="81"/>
        <v>-2263260167.8287997</v>
      </c>
      <c r="P236">
        <f t="shared" si="82"/>
        <v>-2479030547.3108001</v>
      </c>
      <c r="Q236">
        <f t="shared" si="83"/>
        <v>-2896848798.0913997</v>
      </c>
      <c r="S236">
        <f t="shared" si="84"/>
        <v>1771925.7745000001</v>
      </c>
      <c r="T236">
        <f t="shared" si="85"/>
        <v>-2922854576.7883</v>
      </c>
      <c r="U236">
        <f t="shared" si="86"/>
        <v>-2505303922.9614</v>
      </c>
      <c r="V236">
        <f t="shared" si="87"/>
        <v>-2869490569.9257994</v>
      </c>
      <c r="W236">
        <f t="shared" si="88"/>
        <v>-3691599836.7563004</v>
      </c>
      <c r="X236">
        <f t="shared" si="89"/>
        <v>-4109483178.6877995</v>
      </c>
      <c r="Z236">
        <f t="shared" si="90"/>
        <v>2082916.8288</v>
      </c>
      <c r="AA236">
        <f t="shared" si="91"/>
        <v>-1763540808.9538002</v>
      </c>
      <c r="AB236">
        <f t="shared" si="92"/>
        <v>-3017140208.2976003</v>
      </c>
      <c r="AC236">
        <f t="shared" si="93"/>
        <v>-3960705293.7003994</v>
      </c>
      <c r="AD236">
        <f t="shared" si="94"/>
        <v>-4904169126.2018003</v>
      </c>
      <c r="AE236">
        <f t="shared" si="95"/>
        <v>-5322117559.2841997</v>
      </c>
    </row>
    <row r="237" spans="1:31" x14ac:dyDescent="0.25">
      <c r="A237">
        <v>32.638333469999999</v>
      </c>
      <c r="B237">
        <v>119.6796178</v>
      </c>
      <c r="C237">
        <v>56.601669309999998</v>
      </c>
      <c r="D237">
        <v>0.15893800999999999</v>
      </c>
      <c r="E237" t="b">
        <f t="shared" si="72"/>
        <v>0</v>
      </c>
      <c r="F237">
        <f t="shared" si="73"/>
        <v>-282.84940854000001</v>
      </c>
      <c r="G237">
        <f t="shared" si="74"/>
        <v>-565.85775508999996</v>
      </c>
      <c r="H237">
        <f t="shared" si="75"/>
        <v>-848.8661016399999</v>
      </c>
      <c r="I237">
        <f t="shared" si="76"/>
        <v>-1131.8744481900001</v>
      </c>
      <c r="J237">
        <f t="shared" si="77"/>
        <v>-1414.88279474</v>
      </c>
      <c r="L237">
        <f t="shared" si="78"/>
        <v>321054.78019999998</v>
      </c>
      <c r="M237">
        <f t="shared" si="79"/>
        <v>-486500982.6888001</v>
      </c>
      <c r="N237">
        <f t="shared" si="80"/>
        <v>-837469477.53319991</v>
      </c>
      <c r="O237">
        <f t="shared" si="81"/>
        <v>-950730033.83679998</v>
      </c>
      <c r="P237">
        <f t="shared" si="82"/>
        <v>-1041324492.3348</v>
      </c>
      <c r="Q237">
        <f t="shared" si="83"/>
        <v>-1216799203.4763999</v>
      </c>
      <c r="S237">
        <f t="shared" si="84"/>
        <v>389398.12449999998</v>
      </c>
      <c r="T237">
        <f t="shared" si="85"/>
        <v>-1227911328.5452998</v>
      </c>
      <c r="U237">
        <f t="shared" si="86"/>
        <v>-1052495424.4673997</v>
      </c>
      <c r="V237">
        <f t="shared" si="87"/>
        <v>-1205389864.3287997</v>
      </c>
      <c r="W237">
        <f t="shared" si="88"/>
        <v>-1550667994.0203001</v>
      </c>
      <c r="X237">
        <f t="shared" si="89"/>
        <v>-1726157009.5827999</v>
      </c>
      <c r="Z237">
        <f t="shared" si="90"/>
        <v>457741.46879999992</v>
      </c>
      <c r="AA237">
        <f t="shared" si="91"/>
        <v>-741065450.37480009</v>
      </c>
      <c r="AB237">
        <f t="shared" si="92"/>
        <v>-1267521371.4015999</v>
      </c>
      <c r="AC237">
        <f t="shared" si="93"/>
        <v>-1663777559.2143998</v>
      </c>
      <c r="AD237">
        <f t="shared" si="94"/>
        <v>-2060011495.7058001</v>
      </c>
      <c r="AE237">
        <f t="shared" si="95"/>
        <v>-2235514815.6891999</v>
      </c>
    </row>
    <row r="238" spans="1:31" x14ac:dyDescent="0.25">
      <c r="A238">
        <v>32.639244009999999</v>
      </c>
      <c r="B238">
        <v>113.0854166</v>
      </c>
      <c r="C238">
        <v>48.126995090000001</v>
      </c>
      <c r="D238">
        <v>0.70592999000000001</v>
      </c>
      <c r="E238" t="b">
        <f t="shared" si="72"/>
        <v>0</v>
      </c>
      <c r="F238">
        <f t="shared" si="73"/>
        <v>-239.92904546000003</v>
      </c>
      <c r="G238">
        <f t="shared" si="74"/>
        <v>-480.56402091000001</v>
      </c>
      <c r="H238">
        <f t="shared" si="75"/>
        <v>-721.19899636000002</v>
      </c>
      <c r="I238">
        <f t="shared" si="76"/>
        <v>-961.83397181000009</v>
      </c>
      <c r="J238">
        <f t="shared" si="77"/>
        <v>-1202.46894726</v>
      </c>
      <c r="L238">
        <f t="shared" si="78"/>
        <v>1425978.5797999999</v>
      </c>
      <c r="M238">
        <f t="shared" si="79"/>
        <v>-412677958.19120014</v>
      </c>
      <c r="N238">
        <f t="shared" si="80"/>
        <v>-711234750.94679999</v>
      </c>
      <c r="O238">
        <f t="shared" si="81"/>
        <v>-807742875.92320013</v>
      </c>
      <c r="P238">
        <f t="shared" si="82"/>
        <v>-884887254.06519997</v>
      </c>
      <c r="Q238">
        <f t="shared" si="83"/>
        <v>-1034123294.6436</v>
      </c>
      <c r="S238">
        <f t="shared" si="84"/>
        <v>1729528.4755000002</v>
      </c>
      <c r="T238">
        <f t="shared" si="85"/>
        <v>-1042823925.3747001</v>
      </c>
      <c r="U238">
        <f t="shared" si="86"/>
        <v>-893849078.89259994</v>
      </c>
      <c r="V238">
        <f t="shared" si="87"/>
        <v>-1024102574.8312</v>
      </c>
      <c r="W238">
        <f t="shared" si="88"/>
        <v>-1317712541.3797002</v>
      </c>
      <c r="X238">
        <f t="shared" si="89"/>
        <v>-1467012115.6571999</v>
      </c>
      <c r="Z238">
        <f t="shared" si="90"/>
        <v>2033078.3711999999</v>
      </c>
      <c r="AA238">
        <f t="shared" si="91"/>
        <v>-628614099.10520017</v>
      </c>
      <c r="AB238">
        <f t="shared" si="92"/>
        <v>-1076463406.8384001</v>
      </c>
      <c r="AC238">
        <f t="shared" si="93"/>
        <v>-1413550032.8656001</v>
      </c>
      <c r="AD238">
        <f t="shared" si="94"/>
        <v>-1750537828.6942003</v>
      </c>
      <c r="AE238">
        <f t="shared" si="95"/>
        <v>-1899900936.6708</v>
      </c>
    </row>
    <row r="239" spans="1:31" x14ac:dyDescent="0.25">
      <c r="A239">
        <v>32.642581389999997</v>
      </c>
      <c r="B239">
        <v>113.03138370000001</v>
      </c>
      <c r="C239">
        <v>48.126995090000001</v>
      </c>
      <c r="D239">
        <v>1.2503E-2</v>
      </c>
      <c r="E239" t="b">
        <f t="shared" si="72"/>
        <v>0</v>
      </c>
      <c r="F239">
        <f t="shared" si="73"/>
        <v>-240.62247245</v>
      </c>
      <c r="G239">
        <f t="shared" si="74"/>
        <v>-481.25744790000005</v>
      </c>
      <c r="H239">
        <f t="shared" si="75"/>
        <v>-721.89242334999994</v>
      </c>
      <c r="I239">
        <f t="shared" si="76"/>
        <v>-962.52739880000001</v>
      </c>
      <c r="J239">
        <f t="shared" si="77"/>
        <v>-1203.1623742500001</v>
      </c>
      <c r="L239">
        <f t="shared" si="78"/>
        <v>25256.06</v>
      </c>
      <c r="M239">
        <f t="shared" si="79"/>
        <v>-413870652.61400008</v>
      </c>
      <c r="N239">
        <f t="shared" si="80"/>
        <v>-712261022.89200008</v>
      </c>
      <c r="O239">
        <f t="shared" si="81"/>
        <v>-808519514.15199995</v>
      </c>
      <c r="P239">
        <f t="shared" si="82"/>
        <v>-885525206.89600003</v>
      </c>
      <c r="Q239">
        <f t="shared" si="83"/>
        <v>-1034719641.855</v>
      </c>
      <c r="S239">
        <f t="shared" si="84"/>
        <v>30632.350000000002</v>
      </c>
      <c r="T239">
        <f t="shared" si="85"/>
        <v>-1044328661.9430001</v>
      </c>
      <c r="U239">
        <f t="shared" si="86"/>
        <v>-895138853.09399998</v>
      </c>
      <c r="V239">
        <f t="shared" si="87"/>
        <v>-1025087241.1569998</v>
      </c>
      <c r="W239">
        <f t="shared" si="88"/>
        <v>-1318662536.3560002</v>
      </c>
      <c r="X239">
        <f t="shared" si="89"/>
        <v>-1467858096.585</v>
      </c>
      <c r="Z239">
        <f t="shared" si="90"/>
        <v>36008.639999999999</v>
      </c>
      <c r="AA239">
        <f t="shared" si="91"/>
        <v>-630430877.81900012</v>
      </c>
      <c r="AB239">
        <f t="shared" si="92"/>
        <v>-1078016683.2960002</v>
      </c>
      <c r="AC239">
        <f t="shared" si="93"/>
        <v>-1414909149.7659998</v>
      </c>
      <c r="AD239">
        <f t="shared" si="94"/>
        <v>-1751799865.8160002</v>
      </c>
      <c r="AE239">
        <f t="shared" si="95"/>
        <v>-1900996551.3150001</v>
      </c>
    </row>
    <row r="240" spans="1:31" x14ac:dyDescent="0.25">
      <c r="A240">
        <v>32.644527770000003</v>
      </c>
      <c r="B240">
        <v>120.0090823</v>
      </c>
      <c r="C240">
        <v>134.76608279999999</v>
      </c>
      <c r="D240">
        <v>0.38364699000000002</v>
      </c>
      <c r="E240" t="b">
        <f t="shared" si="72"/>
        <v>0</v>
      </c>
      <c r="F240">
        <f t="shared" si="73"/>
        <v>-673.44676701000003</v>
      </c>
      <c r="G240">
        <f t="shared" si="74"/>
        <v>-1347.27718101</v>
      </c>
      <c r="H240">
        <f t="shared" si="75"/>
        <v>-2021.1075950099998</v>
      </c>
      <c r="I240">
        <f t="shared" si="76"/>
        <v>-2694.9380090099999</v>
      </c>
      <c r="J240">
        <f t="shared" si="77"/>
        <v>-3368.7684230099994</v>
      </c>
      <c r="L240">
        <f t="shared" si="78"/>
        <v>774966.91980000015</v>
      </c>
      <c r="M240">
        <f t="shared" si="79"/>
        <v>-1158328439.2572</v>
      </c>
      <c r="N240">
        <f t="shared" si="80"/>
        <v>-1993970227.8947999</v>
      </c>
      <c r="O240">
        <f t="shared" si="81"/>
        <v>-2263640506.4112</v>
      </c>
      <c r="P240">
        <f t="shared" si="82"/>
        <v>-2479342968.2891994</v>
      </c>
      <c r="Q240">
        <f t="shared" si="83"/>
        <v>-2897140843.7885995</v>
      </c>
      <c r="S240">
        <f t="shared" si="84"/>
        <v>939935.1255000002</v>
      </c>
      <c r="T240">
        <f t="shared" si="85"/>
        <v>-2923591482.7916999</v>
      </c>
      <c r="U240">
        <f t="shared" si="86"/>
        <v>-2505935556.6785998</v>
      </c>
      <c r="V240">
        <f t="shared" si="87"/>
        <v>-2869972784.9141994</v>
      </c>
      <c r="W240">
        <f t="shared" si="88"/>
        <v>-3692065072.3436999</v>
      </c>
      <c r="X240">
        <f t="shared" si="89"/>
        <v>-4109897476.0721989</v>
      </c>
      <c r="Z240">
        <f t="shared" si="90"/>
        <v>1104903.3312000001</v>
      </c>
      <c r="AA240">
        <f t="shared" si="91"/>
        <v>-1764430529.5662</v>
      </c>
      <c r="AB240">
        <f t="shared" si="92"/>
        <v>-3017900885.4624004</v>
      </c>
      <c r="AC240">
        <f t="shared" si="93"/>
        <v>-3961370886.2195992</v>
      </c>
      <c r="AD240">
        <f t="shared" si="94"/>
        <v>-4904787176.3982</v>
      </c>
      <c r="AE240">
        <f t="shared" si="95"/>
        <v>-5322654108.3557987</v>
      </c>
    </row>
    <row r="241" spans="1:31" x14ac:dyDescent="0.25">
      <c r="A241">
        <v>32.645893270000002</v>
      </c>
      <c r="B241">
        <v>112.9773465</v>
      </c>
      <c r="C241">
        <v>48.126995090000001</v>
      </c>
      <c r="D241">
        <v>1.39840996</v>
      </c>
      <c r="E241" t="b">
        <f t="shared" si="72"/>
        <v>0</v>
      </c>
      <c r="F241">
        <f t="shared" si="73"/>
        <v>-239.23656549</v>
      </c>
      <c r="G241">
        <f t="shared" si="74"/>
        <v>-479.87154094000005</v>
      </c>
      <c r="H241">
        <f t="shared" si="75"/>
        <v>-720.50651639</v>
      </c>
      <c r="I241">
        <f t="shared" si="76"/>
        <v>-961.14149184000007</v>
      </c>
      <c r="J241">
        <f t="shared" si="77"/>
        <v>-1201.77646729</v>
      </c>
      <c r="L241">
        <f t="shared" si="78"/>
        <v>2824788.1192000001</v>
      </c>
      <c r="M241">
        <f t="shared" si="79"/>
        <v>-411486892.64280009</v>
      </c>
      <c r="N241">
        <f t="shared" si="80"/>
        <v>-710209880.59120011</v>
      </c>
      <c r="O241">
        <f t="shared" si="81"/>
        <v>-806967298.35680008</v>
      </c>
      <c r="P241">
        <f t="shared" si="82"/>
        <v>-884250172.4928</v>
      </c>
      <c r="Q241">
        <f t="shared" si="83"/>
        <v>-1033527761.8693999</v>
      </c>
      <c r="S241">
        <f t="shared" si="84"/>
        <v>3426104.4020000002</v>
      </c>
      <c r="T241">
        <f t="shared" si="85"/>
        <v>-1041321243.8398001</v>
      </c>
      <c r="U241">
        <f t="shared" si="86"/>
        <v>-892561066.14840007</v>
      </c>
      <c r="V241">
        <f t="shared" si="87"/>
        <v>-1023119253.2737999</v>
      </c>
      <c r="W241">
        <f t="shared" si="88"/>
        <v>-1316763843.8208001</v>
      </c>
      <c r="X241">
        <f t="shared" si="89"/>
        <v>-1466167290.0937998</v>
      </c>
      <c r="Z241">
        <f t="shared" si="90"/>
        <v>4027420.6847999999</v>
      </c>
      <c r="AA241">
        <f t="shared" si="91"/>
        <v>-626799801.58380008</v>
      </c>
      <c r="AB241">
        <f t="shared" si="92"/>
        <v>-1074912251.7056003</v>
      </c>
      <c r="AC241">
        <f t="shared" si="93"/>
        <v>-1412192772.1243999</v>
      </c>
      <c r="AD241">
        <f t="shared" si="94"/>
        <v>-1749277515.1488001</v>
      </c>
      <c r="AE241">
        <f t="shared" si="95"/>
        <v>-1898806818.3182001</v>
      </c>
    </row>
    <row r="242" spans="1:31" x14ac:dyDescent="0.25">
      <c r="A242">
        <v>32.651121860000003</v>
      </c>
      <c r="B242">
        <v>119.95546469999999</v>
      </c>
      <c r="C242">
        <v>134.76608279999999</v>
      </c>
      <c r="D242">
        <v>1.05021298</v>
      </c>
      <c r="E242" t="b">
        <f t="shared" si="72"/>
        <v>0</v>
      </c>
      <c r="F242">
        <f t="shared" si="73"/>
        <v>-672.78020102000005</v>
      </c>
      <c r="G242">
        <f t="shared" si="74"/>
        <v>-1346.6106150200001</v>
      </c>
      <c r="H242">
        <f t="shared" si="75"/>
        <v>-2020.4410290199999</v>
      </c>
      <c r="I242">
        <f t="shared" si="76"/>
        <v>-2694.2714430199999</v>
      </c>
      <c r="J242">
        <f t="shared" si="77"/>
        <v>-3368.1018570199994</v>
      </c>
      <c r="L242">
        <f t="shared" si="78"/>
        <v>2121430.2196</v>
      </c>
      <c r="M242">
        <f t="shared" si="79"/>
        <v>-1157181945.7544003</v>
      </c>
      <c r="N242">
        <f t="shared" si="80"/>
        <v>-1992983710.2296</v>
      </c>
      <c r="O242">
        <f t="shared" si="81"/>
        <v>-2262893952.5023999</v>
      </c>
      <c r="P242">
        <f t="shared" si="82"/>
        <v>-2478729727.5783997</v>
      </c>
      <c r="Q242">
        <f t="shared" si="83"/>
        <v>-2896567597.0371995</v>
      </c>
      <c r="S242">
        <f t="shared" si="84"/>
        <v>2573021.801</v>
      </c>
      <c r="T242">
        <f t="shared" si="85"/>
        <v>-2922145034.5934</v>
      </c>
      <c r="U242">
        <f t="shared" si="86"/>
        <v>-2504695743.9371996</v>
      </c>
      <c r="V242">
        <f t="shared" si="87"/>
        <v>-2869026261.2083993</v>
      </c>
      <c r="W242">
        <f t="shared" si="88"/>
        <v>-3691151876.9374003</v>
      </c>
      <c r="X242">
        <f t="shared" si="89"/>
        <v>-4109084265.5643992</v>
      </c>
      <c r="Z242">
        <f t="shared" si="90"/>
        <v>3024613.3824</v>
      </c>
      <c r="AA242">
        <f t="shared" si="91"/>
        <v>-1762684126.6724002</v>
      </c>
      <c r="AB242">
        <f t="shared" si="92"/>
        <v>-3016407777.6448002</v>
      </c>
      <c r="AC242">
        <f t="shared" si="93"/>
        <v>-3960064416.8791995</v>
      </c>
      <c r="AD242">
        <f t="shared" si="94"/>
        <v>-4903574026.2964001</v>
      </c>
      <c r="AE242">
        <f t="shared" si="95"/>
        <v>-5321600934.0915995</v>
      </c>
    </row>
    <row r="243" spans="1:31" x14ac:dyDescent="0.25">
      <c r="A243">
        <v>32.651187790000002</v>
      </c>
      <c r="B243">
        <v>119.5723299</v>
      </c>
      <c r="C243">
        <v>56.601669309999998</v>
      </c>
      <c r="D243">
        <v>1.07919097</v>
      </c>
      <c r="E243" t="b">
        <f t="shared" si="72"/>
        <v>0</v>
      </c>
      <c r="F243">
        <f t="shared" si="73"/>
        <v>-281.92915557999999</v>
      </c>
      <c r="G243">
        <f t="shared" si="74"/>
        <v>-564.93750212999998</v>
      </c>
      <c r="H243">
        <f t="shared" si="75"/>
        <v>-847.94584867999993</v>
      </c>
      <c r="I243">
        <f t="shared" si="76"/>
        <v>-1130.9541952300001</v>
      </c>
      <c r="J243">
        <f t="shared" si="77"/>
        <v>-1413.96254178</v>
      </c>
      <c r="L243">
        <f t="shared" si="78"/>
        <v>2179965.7593999999</v>
      </c>
      <c r="M243">
        <f t="shared" si="79"/>
        <v>-484918147.59760004</v>
      </c>
      <c r="N243">
        <f t="shared" si="80"/>
        <v>-836107503.15240002</v>
      </c>
      <c r="O243">
        <f t="shared" si="81"/>
        <v>-949699350.52160001</v>
      </c>
      <c r="P243">
        <f t="shared" si="82"/>
        <v>-1040477859.6115999</v>
      </c>
      <c r="Q243">
        <f t="shared" si="83"/>
        <v>-1216007785.9308</v>
      </c>
      <c r="S243">
        <f t="shared" si="84"/>
        <v>2644017.8765000002</v>
      </c>
      <c r="T243">
        <f t="shared" si="85"/>
        <v>-1225914379.6220999</v>
      </c>
      <c r="U243">
        <f t="shared" si="86"/>
        <v>-1050783753.9618</v>
      </c>
      <c r="V243">
        <f t="shared" si="87"/>
        <v>-1204083105.1255999</v>
      </c>
      <c r="W243">
        <f t="shared" si="88"/>
        <v>-1549407247.4651</v>
      </c>
      <c r="X243">
        <f t="shared" si="89"/>
        <v>-1725034300.9715998</v>
      </c>
      <c r="Z243">
        <f t="shared" si="90"/>
        <v>3108069.9935999997</v>
      </c>
      <c r="AA243">
        <f t="shared" si="91"/>
        <v>-738654387.61959994</v>
      </c>
      <c r="AB243">
        <f t="shared" si="92"/>
        <v>-1265460004.7712002</v>
      </c>
      <c r="AC243">
        <f t="shared" si="93"/>
        <v>-1661973863.4127998</v>
      </c>
      <c r="AD243">
        <f t="shared" si="94"/>
        <v>-2058336635.3186002</v>
      </c>
      <c r="AE243">
        <f t="shared" si="95"/>
        <v>-2234060816.0124002</v>
      </c>
    </row>
    <row r="244" spans="1:31" x14ac:dyDescent="0.25">
      <c r="A244">
        <v>32.662070159999999</v>
      </c>
      <c r="B244">
        <v>112.7070957</v>
      </c>
      <c r="C244">
        <v>42.111118320000003</v>
      </c>
      <c r="D244">
        <v>0.58289301000000004</v>
      </c>
      <c r="E244" t="b">
        <f t="shared" si="72"/>
        <v>0</v>
      </c>
      <c r="F244">
        <f t="shared" si="73"/>
        <v>-209.97269859000002</v>
      </c>
      <c r="G244">
        <f t="shared" si="74"/>
        <v>-420.52829019000001</v>
      </c>
      <c r="H244">
        <f t="shared" si="75"/>
        <v>-631.08388178999996</v>
      </c>
      <c r="I244">
        <f t="shared" si="76"/>
        <v>-841.63947339000003</v>
      </c>
      <c r="J244">
        <f t="shared" si="77"/>
        <v>-1052.1950649900002</v>
      </c>
      <c r="L244">
        <f t="shared" si="78"/>
        <v>1177443.8802</v>
      </c>
      <c r="M244">
        <f t="shared" si="79"/>
        <v>-361153041.57480007</v>
      </c>
      <c r="N244">
        <f t="shared" si="80"/>
        <v>-622381869.48119998</v>
      </c>
      <c r="O244">
        <f t="shared" si="81"/>
        <v>-706813947.60479999</v>
      </c>
      <c r="P244">
        <f t="shared" si="82"/>
        <v>-774308315.5187999</v>
      </c>
      <c r="Q244">
        <f t="shared" si="83"/>
        <v>-904887755.89140022</v>
      </c>
      <c r="S244">
        <f t="shared" si="84"/>
        <v>1428087.8745000002</v>
      </c>
      <c r="T244">
        <f t="shared" si="85"/>
        <v>-912546389.71229994</v>
      </c>
      <c r="U244">
        <f t="shared" si="86"/>
        <v>-782182619.75339997</v>
      </c>
      <c r="V244">
        <f t="shared" si="87"/>
        <v>-896139112.14179993</v>
      </c>
      <c r="W244">
        <f t="shared" si="88"/>
        <v>-1153046078.5443001</v>
      </c>
      <c r="X244">
        <f t="shared" si="89"/>
        <v>-1283677979.2878003</v>
      </c>
      <c r="Z244">
        <f t="shared" si="90"/>
        <v>1678731.8688000001</v>
      </c>
      <c r="AA244">
        <f t="shared" si="91"/>
        <v>-550128470.30580008</v>
      </c>
      <c r="AB244">
        <f t="shared" si="92"/>
        <v>-941983370.02560008</v>
      </c>
      <c r="AC244">
        <f t="shared" si="93"/>
        <v>-1236924408.3083999</v>
      </c>
      <c r="AD244">
        <f t="shared" si="94"/>
        <v>-1531783841.5698001</v>
      </c>
      <c r="AE244">
        <f t="shared" si="95"/>
        <v>-1662468202.6842005</v>
      </c>
    </row>
    <row r="245" spans="1:31" x14ac:dyDescent="0.25">
      <c r="A245">
        <v>32.664234810000004</v>
      </c>
      <c r="B245">
        <v>119.8482035</v>
      </c>
      <c r="C245">
        <v>134.76608279999999</v>
      </c>
      <c r="D245">
        <v>0.147872</v>
      </c>
      <c r="E245" t="b">
        <f t="shared" si="72"/>
        <v>0</v>
      </c>
      <c r="F245">
        <f t="shared" si="73"/>
        <v>-673.68254200000001</v>
      </c>
      <c r="G245">
        <f t="shared" si="74"/>
        <v>-1347.512956</v>
      </c>
      <c r="H245">
        <f t="shared" si="75"/>
        <v>-2021.3433699999998</v>
      </c>
      <c r="I245">
        <f t="shared" si="76"/>
        <v>-2695.1737840000001</v>
      </c>
      <c r="J245">
        <f t="shared" si="77"/>
        <v>-3369.0041979999996</v>
      </c>
      <c r="L245">
        <f t="shared" si="78"/>
        <v>298701.44</v>
      </c>
      <c r="M245">
        <f t="shared" si="79"/>
        <v>-1158733972.2400002</v>
      </c>
      <c r="N245">
        <f t="shared" si="80"/>
        <v>-1994319174.8799999</v>
      </c>
      <c r="O245">
        <f t="shared" si="81"/>
        <v>-2263904574.4000001</v>
      </c>
      <c r="P245">
        <f t="shared" si="82"/>
        <v>-2479559881.2799997</v>
      </c>
      <c r="Q245">
        <f t="shared" si="83"/>
        <v>-2897343610.2799997</v>
      </c>
      <c r="S245">
        <f t="shared" si="84"/>
        <v>362286.4</v>
      </c>
      <c r="T245">
        <f t="shared" si="85"/>
        <v>-2924103114.52</v>
      </c>
      <c r="U245">
        <f t="shared" si="86"/>
        <v>-2506374098.1599998</v>
      </c>
      <c r="V245">
        <f t="shared" si="87"/>
        <v>-2870307585.3999996</v>
      </c>
      <c r="W245">
        <f t="shared" si="88"/>
        <v>-3692388084.0800004</v>
      </c>
      <c r="X245">
        <f t="shared" si="89"/>
        <v>-4110185121.5599995</v>
      </c>
      <c r="Z245">
        <f t="shared" si="90"/>
        <v>425871.35999999999</v>
      </c>
      <c r="AA245">
        <f t="shared" si="91"/>
        <v>-1765048260.04</v>
      </c>
      <c r="AB245">
        <f t="shared" si="92"/>
        <v>-3018429021.4400001</v>
      </c>
      <c r="AC245">
        <f t="shared" si="93"/>
        <v>-3961833005.1999993</v>
      </c>
      <c r="AD245">
        <f t="shared" si="94"/>
        <v>-4905216286.8800001</v>
      </c>
      <c r="AE245">
        <f t="shared" si="95"/>
        <v>-5323026632.8399992</v>
      </c>
    </row>
    <row r="246" spans="1:31" x14ac:dyDescent="0.25">
      <c r="A246">
        <v>32.667851749999997</v>
      </c>
      <c r="B246">
        <v>120.56099330000001</v>
      </c>
      <c r="C246">
        <v>17.774396899999999</v>
      </c>
      <c r="D246">
        <v>0.12398199999999999</v>
      </c>
      <c r="E246" t="b">
        <f t="shared" si="72"/>
        <v>0</v>
      </c>
      <c r="F246">
        <f t="shared" si="73"/>
        <v>-88.748002499999998</v>
      </c>
      <c r="G246">
        <f t="shared" si="74"/>
        <v>-177.61998699999998</v>
      </c>
      <c r="H246">
        <f t="shared" si="75"/>
        <v>-266.49197149999998</v>
      </c>
      <c r="I246">
        <f t="shared" si="76"/>
        <v>-355.36395599999997</v>
      </c>
      <c r="J246">
        <f t="shared" si="77"/>
        <v>-444.23594049999997</v>
      </c>
      <c r="L246">
        <f t="shared" si="78"/>
        <v>250443.64</v>
      </c>
      <c r="M246">
        <f t="shared" si="79"/>
        <v>-152646564.30000001</v>
      </c>
      <c r="N246">
        <f t="shared" si="80"/>
        <v>-262877580.75999996</v>
      </c>
      <c r="O246">
        <f t="shared" si="81"/>
        <v>-298471008.07999998</v>
      </c>
      <c r="P246">
        <f t="shared" si="82"/>
        <v>-326934839.51999998</v>
      </c>
      <c r="Q246">
        <f t="shared" si="83"/>
        <v>-382042908.82999992</v>
      </c>
      <c r="S246">
        <f t="shared" si="84"/>
        <v>303755.90000000002</v>
      </c>
      <c r="T246">
        <f t="shared" si="85"/>
        <v>-385435371.7899999</v>
      </c>
      <c r="U246">
        <f t="shared" si="86"/>
        <v>-330373175.81999993</v>
      </c>
      <c r="V246">
        <f t="shared" si="87"/>
        <v>-378418599.52999991</v>
      </c>
      <c r="W246">
        <f t="shared" si="88"/>
        <v>-486848619.72000003</v>
      </c>
      <c r="X246">
        <f t="shared" si="89"/>
        <v>-541967847.40999997</v>
      </c>
      <c r="Z246">
        <f t="shared" si="90"/>
        <v>357068.16</v>
      </c>
      <c r="AA246">
        <f t="shared" si="91"/>
        <v>-232519766.55000001</v>
      </c>
      <c r="AB246">
        <f t="shared" si="92"/>
        <v>-397868770.88</v>
      </c>
      <c r="AC246">
        <f t="shared" si="93"/>
        <v>-522324264.13999993</v>
      </c>
      <c r="AD246">
        <f t="shared" si="94"/>
        <v>-646762399.92000008</v>
      </c>
      <c r="AE246">
        <f t="shared" si="95"/>
        <v>-701892785.98999989</v>
      </c>
    </row>
    <row r="247" spans="1:31" x14ac:dyDescent="0.25">
      <c r="A247">
        <v>32.668362340000002</v>
      </c>
      <c r="B247">
        <v>112.5989658</v>
      </c>
      <c r="C247">
        <v>52.400897980000003</v>
      </c>
      <c r="D247">
        <v>1.3590209499999999</v>
      </c>
      <c r="E247" t="b">
        <f t="shared" si="72"/>
        <v>0</v>
      </c>
      <c r="F247">
        <f t="shared" si="73"/>
        <v>-260.64546895000001</v>
      </c>
      <c r="G247">
        <f t="shared" si="74"/>
        <v>-522.64995885000008</v>
      </c>
      <c r="H247">
        <f t="shared" si="75"/>
        <v>-784.65444875000014</v>
      </c>
      <c r="I247">
        <f t="shared" si="76"/>
        <v>-1046.65893865</v>
      </c>
      <c r="J247">
        <f t="shared" si="77"/>
        <v>-1308.6634285499999</v>
      </c>
      <c r="L247">
        <f t="shared" si="78"/>
        <v>2745222.3190000001</v>
      </c>
      <c r="M247">
        <f t="shared" si="79"/>
        <v>-448310206.5940001</v>
      </c>
      <c r="N247">
        <f t="shared" si="80"/>
        <v>-773521939.09800017</v>
      </c>
      <c r="O247">
        <f t="shared" si="81"/>
        <v>-878812982.60000026</v>
      </c>
      <c r="P247">
        <f t="shared" si="82"/>
        <v>-962926223.55799985</v>
      </c>
      <c r="Q247">
        <f t="shared" si="83"/>
        <v>-1125450548.553</v>
      </c>
      <c r="S247">
        <f t="shared" si="84"/>
        <v>3329601.3275000001</v>
      </c>
      <c r="T247">
        <f t="shared" si="85"/>
        <v>-1134150410.7045002</v>
      </c>
      <c r="U247">
        <f t="shared" si="86"/>
        <v>-972128923.46100008</v>
      </c>
      <c r="V247">
        <f t="shared" si="87"/>
        <v>-1114209317.2250001</v>
      </c>
      <c r="W247">
        <f t="shared" si="88"/>
        <v>-1433922745.9505</v>
      </c>
      <c r="X247">
        <f t="shared" si="89"/>
        <v>-1596569382.8309999</v>
      </c>
      <c r="Z247">
        <f t="shared" si="90"/>
        <v>3913980.3359999997</v>
      </c>
      <c r="AA247">
        <f t="shared" si="91"/>
        <v>-682891128.64900005</v>
      </c>
      <c r="AB247">
        <f t="shared" si="92"/>
        <v>-1170735907.8240004</v>
      </c>
      <c r="AC247">
        <f t="shared" si="93"/>
        <v>-1537922719.5500002</v>
      </c>
      <c r="AD247">
        <f t="shared" si="94"/>
        <v>-1904919268.3429999</v>
      </c>
      <c r="AE247">
        <f t="shared" si="95"/>
        <v>-2067688217.109</v>
      </c>
    </row>
    <row r="248" spans="1:31" x14ac:dyDescent="0.25">
      <c r="A248">
        <v>32.6699439</v>
      </c>
      <c r="B248">
        <v>120.1777835</v>
      </c>
      <c r="C248">
        <v>134.76608279999999</v>
      </c>
      <c r="D248">
        <v>0.22456300000000001</v>
      </c>
      <c r="E248" t="b">
        <f t="shared" si="72"/>
        <v>0</v>
      </c>
      <c r="F248">
        <f t="shared" si="73"/>
        <v>-673.60585100000003</v>
      </c>
      <c r="G248">
        <f t="shared" si="74"/>
        <v>-1347.436265</v>
      </c>
      <c r="H248">
        <f t="shared" si="75"/>
        <v>-2021.2666789999998</v>
      </c>
      <c r="I248">
        <f t="shared" si="76"/>
        <v>-2695.0970929999999</v>
      </c>
      <c r="J248">
        <f t="shared" si="77"/>
        <v>-3368.9275069999994</v>
      </c>
      <c r="L248">
        <f t="shared" si="78"/>
        <v>453617.26</v>
      </c>
      <c r="M248">
        <f t="shared" si="79"/>
        <v>-1158602063.72</v>
      </c>
      <c r="N248">
        <f t="shared" si="80"/>
        <v>-1994205672.2</v>
      </c>
      <c r="O248">
        <f t="shared" si="81"/>
        <v>-2263818680.48</v>
      </c>
      <c r="P248">
        <f t="shared" si="82"/>
        <v>-2479489325.5599999</v>
      </c>
      <c r="Q248">
        <f t="shared" si="83"/>
        <v>-2897277656.0199995</v>
      </c>
      <c r="S248">
        <f t="shared" si="84"/>
        <v>550179.35000000009</v>
      </c>
      <c r="T248">
        <f t="shared" si="85"/>
        <v>-2923936695.0499997</v>
      </c>
      <c r="U248">
        <f t="shared" si="86"/>
        <v>-2506231452.8999996</v>
      </c>
      <c r="V248">
        <f t="shared" si="87"/>
        <v>-2870198684.1799994</v>
      </c>
      <c r="W248">
        <f t="shared" si="88"/>
        <v>-3692283017.4100003</v>
      </c>
      <c r="X248">
        <f t="shared" si="89"/>
        <v>-4110091558.5399995</v>
      </c>
      <c r="Z248">
        <f t="shared" si="90"/>
        <v>646741.43999999994</v>
      </c>
      <c r="AA248">
        <f t="shared" si="91"/>
        <v>-1764847329.6200001</v>
      </c>
      <c r="AB248">
        <f t="shared" si="92"/>
        <v>-3018257233.6000004</v>
      </c>
      <c r="AC248">
        <f t="shared" si="93"/>
        <v>-3961682690.8399997</v>
      </c>
      <c r="AD248">
        <f t="shared" si="94"/>
        <v>-4905076709.2600002</v>
      </c>
      <c r="AE248">
        <f t="shared" si="95"/>
        <v>-5322905461.0599995</v>
      </c>
    </row>
    <row r="249" spans="1:31" x14ac:dyDescent="0.25">
      <c r="A249">
        <v>32.67478947</v>
      </c>
      <c r="B249">
        <v>113.2515401</v>
      </c>
      <c r="C249">
        <v>42.111118320000003</v>
      </c>
      <c r="D249">
        <v>3.3510620599999998</v>
      </c>
      <c r="E249" t="b">
        <f t="shared" si="72"/>
        <v>0</v>
      </c>
      <c r="F249">
        <f t="shared" si="73"/>
        <v>-207.20452954000001</v>
      </c>
      <c r="G249">
        <f t="shared" si="74"/>
        <v>-417.76012114000002</v>
      </c>
      <c r="H249">
        <f t="shared" si="75"/>
        <v>-628.31571273999998</v>
      </c>
      <c r="I249">
        <f t="shared" si="76"/>
        <v>-838.87130434000005</v>
      </c>
      <c r="J249">
        <f t="shared" si="77"/>
        <v>-1049.4268959400001</v>
      </c>
      <c r="L249">
        <f t="shared" si="78"/>
        <v>6769145.3612000002</v>
      </c>
      <c r="M249">
        <f t="shared" si="79"/>
        <v>-356391790.8088001</v>
      </c>
      <c r="N249">
        <f t="shared" si="80"/>
        <v>-618284979.28720009</v>
      </c>
      <c r="O249">
        <f t="shared" si="81"/>
        <v>-703713598.26880002</v>
      </c>
      <c r="P249">
        <f t="shared" si="82"/>
        <v>-771761599.9928</v>
      </c>
      <c r="Q249">
        <f t="shared" si="83"/>
        <v>-902507130.50840008</v>
      </c>
      <c r="S249">
        <f t="shared" si="84"/>
        <v>8210102.0470000012</v>
      </c>
      <c r="T249">
        <f t="shared" si="85"/>
        <v>-906539462.87380004</v>
      </c>
      <c r="U249">
        <f t="shared" si="86"/>
        <v>-777033825.3204</v>
      </c>
      <c r="V249">
        <f t="shared" si="87"/>
        <v>-892208312.09079993</v>
      </c>
      <c r="W249">
        <f t="shared" si="88"/>
        <v>-1149253686.9458001</v>
      </c>
      <c r="X249">
        <f t="shared" si="89"/>
        <v>-1280300813.0468001</v>
      </c>
      <c r="Z249">
        <f t="shared" si="90"/>
        <v>9651058.7327999994</v>
      </c>
      <c r="AA249">
        <f t="shared" si="91"/>
        <v>-542875867.39480007</v>
      </c>
      <c r="AB249">
        <f t="shared" si="92"/>
        <v>-935782671.35360014</v>
      </c>
      <c r="AC249">
        <f t="shared" si="93"/>
        <v>-1231498796.9704001</v>
      </c>
      <c r="AD249">
        <f t="shared" si="94"/>
        <v>-1526745773.8988001</v>
      </c>
      <c r="AE249">
        <f t="shared" si="95"/>
        <v>-1658094495.5852003</v>
      </c>
    </row>
    <row r="250" spans="1:31" x14ac:dyDescent="0.25">
      <c r="A250">
        <v>32.676595140000003</v>
      </c>
      <c r="B250">
        <v>119.35765360000001</v>
      </c>
      <c r="C250">
        <v>40.306919100000002</v>
      </c>
      <c r="D250">
        <v>0.687388</v>
      </c>
      <c r="E250" t="b">
        <f t="shared" si="72"/>
        <v>0</v>
      </c>
      <c r="F250">
        <f t="shared" si="73"/>
        <v>-200.84720750000002</v>
      </c>
      <c r="G250">
        <f t="shared" si="74"/>
        <v>-402.38180300000005</v>
      </c>
      <c r="H250">
        <f t="shared" si="75"/>
        <v>-603.91639850000001</v>
      </c>
      <c r="I250">
        <f t="shared" si="76"/>
        <v>-805.45099400000004</v>
      </c>
      <c r="J250">
        <f t="shared" si="77"/>
        <v>-1006.9855894999999</v>
      </c>
      <c r="L250">
        <f t="shared" si="78"/>
        <v>1388523.76</v>
      </c>
      <c r="M250">
        <f t="shared" si="79"/>
        <v>-345457196.9000001</v>
      </c>
      <c r="N250">
        <f t="shared" si="80"/>
        <v>-595525068.44000006</v>
      </c>
      <c r="O250">
        <f t="shared" si="81"/>
        <v>-676386366.32000005</v>
      </c>
      <c r="P250">
        <f t="shared" si="82"/>
        <v>-741014914.4799999</v>
      </c>
      <c r="Q250">
        <f t="shared" si="83"/>
        <v>-866007606.97000003</v>
      </c>
      <c r="S250">
        <f t="shared" si="84"/>
        <v>1684100.6</v>
      </c>
      <c r="T250">
        <f t="shared" si="85"/>
        <v>-873168512.51000011</v>
      </c>
      <c r="U250">
        <f t="shared" si="86"/>
        <v>-748430153.58000004</v>
      </c>
      <c r="V250">
        <f t="shared" si="87"/>
        <v>-857561285.87</v>
      </c>
      <c r="W250">
        <f t="shared" si="88"/>
        <v>-1103467861.78</v>
      </c>
      <c r="X250">
        <f t="shared" si="89"/>
        <v>-1228522419.1900001</v>
      </c>
      <c r="Z250">
        <f t="shared" si="90"/>
        <v>1979677.44</v>
      </c>
      <c r="AA250">
        <f t="shared" si="91"/>
        <v>-526219683.6500001</v>
      </c>
      <c r="AB250">
        <f t="shared" si="92"/>
        <v>-901335238.72000027</v>
      </c>
      <c r="AC250">
        <f t="shared" si="93"/>
        <v>-1183676141.0599999</v>
      </c>
      <c r="AD250">
        <f t="shared" si="94"/>
        <v>-1465920809.0800002</v>
      </c>
      <c r="AE250">
        <f t="shared" si="95"/>
        <v>-1591037231.4100001</v>
      </c>
    </row>
    <row r="251" spans="1:31" x14ac:dyDescent="0.25">
      <c r="A251">
        <v>32.677247399999999</v>
      </c>
      <c r="B251">
        <v>119.74090820000001</v>
      </c>
      <c r="C251">
        <v>134.76608279999999</v>
      </c>
      <c r="D251">
        <v>1.2693690099999999</v>
      </c>
      <c r="E251" t="b">
        <f t="shared" si="72"/>
        <v>0</v>
      </c>
      <c r="F251">
        <f t="shared" si="73"/>
        <v>-672.56104499000003</v>
      </c>
      <c r="G251">
        <f t="shared" si="74"/>
        <v>-1346.39145899</v>
      </c>
      <c r="H251">
        <f t="shared" si="75"/>
        <v>-2020.2218729899998</v>
      </c>
      <c r="I251">
        <f t="shared" si="76"/>
        <v>-2694.0522869900001</v>
      </c>
      <c r="J251">
        <f t="shared" si="77"/>
        <v>-3367.8827009899996</v>
      </c>
      <c r="L251">
        <f t="shared" si="78"/>
        <v>2564125.4002</v>
      </c>
      <c r="M251">
        <f t="shared" si="79"/>
        <v>-1156804997.3828001</v>
      </c>
      <c r="N251">
        <f t="shared" si="80"/>
        <v>-1992659359.3052001</v>
      </c>
      <c r="O251">
        <f t="shared" si="81"/>
        <v>-2262648497.7487998</v>
      </c>
      <c r="P251">
        <f t="shared" si="82"/>
        <v>-2478528104.0307999</v>
      </c>
      <c r="Q251">
        <f t="shared" si="83"/>
        <v>-2896379122.8513999</v>
      </c>
      <c r="S251">
        <f t="shared" si="84"/>
        <v>3109954.0745000001</v>
      </c>
      <c r="T251">
        <f t="shared" si="85"/>
        <v>-2921669466.0082998</v>
      </c>
      <c r="U251">
        <f t="shared" si="86"/>
        <v>-2504288113.7213998</v>
      </c>
      <c r="V251">
        <f t="shared" si="87"/>
        <v>-2868715059.6457996</v>
      </c>
      <c r="W251">
        <f t="shared" si="88"/>
        <v>-3690851633.1763005</v>
      </c>
      <c r="X251">
        <f t="shared" si="89"/>
        <v>-4108816895.2077994</v>
      </c>
      <c r="Z251">
        <f t="shared" si="90"/>
        <v>3655782.7487999997</v>
      </c>
      <c r="AA251">
        <f t="shared" si="91"/>
        <v>-1762109937.8738</v>
      </c>
      <c r="AB251">
        <f t="shared" si="92"/>
        <v>-3015916868.1376004</v>
      </c>
      <c r="AC251">
        <f t="shared" si="93"/>
        <v>-3959634871.0603995</v>
      </c>
      <c r="AD251">
        <f t="shared" si="94"/>
        <v>-4903175162.3218002</v>
      </c>
      <c r="AE251">
        <f t="shared" si="95"/>
        <v>-5321254667.5641994</v>
      </c>
    </row>
    <row r="252" spans="1:31" x14ac:dyDescent="0.25">
      <c r="A252">
        <v>32.68159575</v>
      </c>
      <c r="B252">
        <v>113.1434367</v>
      </c>
      <c r="C252">
        <v>42.111118320000003</v>
      </c>
      <c r="D252">
        <v>0.11136799999999999</v>
      </c>
      <c r="E252" t="b">
        <f t="shared" si="72"/>
        <v>0</v>
      </c>
      <c r="F252">
        <f t="shared" si="73"/>
        <v>-210.44422360000002</v>
      </c>
      <c r="G252">
        <f t="shared" si="74"/>
        <v>-420.9998152</v>
      </c>
      <c r="H252">
        <f t="shared" si="75"/>
        <v>-631.55540680000001</v>
      </c>
      <c r="I252">
        <f t="shared" si="76"/>
        <v>-842.11099840000008</v>
      </c>
      <c r="J252">
        <f t="shared" si="77"/>
        <v>-1052.66659</v>
      </c>
      <c r="L252">
        <f t="shared" si="78"/>
        <v>224963.36000000002</v>
      </c>
      <c r="M252">
        <f t="shared" si="79"/>
        <v>-361964064.59200007</v>
      </c>
      <c r="N252">
        <f t="shared" si="80"/>
        <v>-623079726.49599993</v>
      </c>
      <c r="O252">
        <f t="shared" si="81"/>
        <v>-707342055.61600018</v>
      </c>
      <c r="P252">
        <f t="shared" si="82"/>
        <v>-774742118.528</v>
      </c>
      <c r="Q252">
        <f t="shared" si="83"/>
        <v>-905293267.39999998</v>
      </c>
      <c r="S252">
        <f t="shared" si="84"/>
        <v>272851.60000000003</v>
      </c>
      <c r="T252">
        <f t="shared" si="85"/>
        <v>-913569598.98399997</v>
      </c>
      <c r="U252">
        <f t="shared" si="86"/>
        <v>-783059656.27199996</v>
      </c>
      <c r="V252">
        <f t="shared" si="87"/>
        <v>-896808677.65600002</v>
      </c>
      <c r="W252">
        <f t="shared" si="88"/>
        <v>-1153692067.8080003</v>
      </c>
      <c r="X252">
        <f t="shared" si="89"/>
        <v>-1284253239.8</v>
      </c>
      <c r="Z252">
        <f t="shared" si="90"/>
        <v>320739.83999999997</v>
      </c>
      <c r="AA252">
        <f t="shared" si="91"/>
        <v>-551363865.83200014</v>
      </c>
      <c r="AB252">
        <f t="shared" si="92"/>
        <v>-943039586.0480001</v>
      </c>
      <c r="AC252">
        <f t="shared" si="93"/>
        <v>-1237848597.3280001</v>
      </c>
      <c r="AD252">
        <f t="shared" si="94"/>
        <v>-1532642017.0880003</v>
      </c>
      <c r="AE252">
        <f t="shared" si="95"/>
        <v>-1663213212.2</v>
      </c>
    </row>
    <row r="253" spans="1:31" x14ac:dyDescent="0.25">
      <c r="A253">
        <v>32.683265300000002</v>
      </c>
      <c r="B253">
        <v>120.0705334</v>
      </c>
      <c r="C253">
        <v>134.76608279999999</v>
      </c>
      <c r="D253">
        <v>1.3656350399999999</v>
      </c>
      <c r="E253" t="b">
        <f t="shared" si="72"/>
        <v>0</v>
      </c>
      <c r="F253">
        <f t="shared" si="73"/>
        <v>-672.46477895999999</v>
      </c>
      <c r="G253">
        <f t="shared" si="74"/>
        <v>-1346.2951929600001</v>
      </c>
      <c r="H253">
        <f t="shared" si="75"/>
        <v>-2020.1256069599999</v>
      </c>
      <c r="I253">
        <f t="shared" si="76"/>
        <v>-2693.9560209599999</v>
      </c>
      <c r="J253">
        <f t="shared" si="77"/>
        <v>-3367.7864349599995</v>
      </c>
      <c r="L253">
        <f t="shared" si="78"/>
        <v>2758582.7807999998</v>
      </c>
      <c r="M253">
        <f t="shared" si="79"/>
        <v>-1156639419.8112001</v>
      </c>
      <c r="N253">
        <f t="shared" si="80"/>
        <v>-1992516885.5808001</v>
      </c>
      <c r="O253">
        <f t="shared" si="81"/>
        <v>-2262540679.7951999</v>
      </c>
      <c r="P253">
        <f t="shared" si="82"/>
        <v>-2478439539.2831998</v>
      </c>
      <c r="Q253">
        <f t="shared" si="83"/>
        <v>-2896296334.0655994</v>
      </c>
      <c r="S253">
        <f t="shared" si="84"/>
        <v>3345805.8479999998</v>
      </c>
      <c r="T253">
        <f t="shared" si="85"/>
        <v>-2921460568.7231998</v>
      </c>
      <c r="U253">
        <f t="shared" si="86"/>
        <v>-2504109058.9056001</v>
      </c>
      <c r="V253">
        <f t="shared" si="87"/>
        <v>-2868578361.8831997</v>
      </c>
      <c r="W253">
        <f t="shared" si="88"/>
        <v>-3690719748.7152004</v>
      </c>
      <c r="X253">
        <f t="shared" si="89"/>
        <v>-4108699450.6511993</v>
      </c>
      <c r="Z253">
        <f t="shared" si="90"/>
        <v>3933028.9151999992</v>
      </c>
      <c r="AA253">
        <f t="shared" si="91"/>
        <v>-1761857720.8752003</v>
      </c>
      <c r="AB253">
        <f t="shared" si="92"/>
        <v>-3015701232.2304006</v>
      </c>
      <c r="AC253">
        <f t="shared" si="93"/>
        <v>-3959446189.6415997</v>
      </c>
      <c r="AD253">
        <f t="shared" si="94"/>
        <v>-4902999958.1472006</v>
      </c>
      <c r="AE253">
        <f t="shared" si="95"/>
        <v>-5321102567.2367992</v>
      </c>
    </row>
    <row r="254" spans="1:31" x14ac:dyDescent="0.25">
      <c r="A254">
        <v>32.684960629999999</v>
      </c>
      <c r="B254">
        <v>113.0893782</v>
      </c>
      <c r="C254">
        <v>42.111118320000003</v>
      </c>
      <c r="D254">
        <v>5.1857371299999997</v>
      </c>
      <c r="E254" t="b">
        <f t="shared" si="72"/>
        <v>0</v>
      </c>
      <c r="F254">
        <f t="shared" si="73"/>
        <v>-205.36985447000001</v>
      </c>
      <c r="G254">
        <f t="shared" si="74"/>
        <v>-415.92544607000002</v>
      </c>
      <c r="H254">
        <f t="shared" si="75"/>
        <v>-626.48103766999998</v>
      </c>
      <c r="I254">
        <f t="shared" si="76"/>
        <v>-837.03662927000005</v>
      </c>
      <c r="J254">
        <f t="shared" si="77"/>
        <v>-1047.5922208700001</v>
      </c>
      <c r="L254">
        <f t="shared" si="78"/>
        <v>10475189.002599999</v>
      </c>
      <c r="M254">
        <f t="shared" si="79"/>
        <v>-353236149.68840003</v>
      </c>
      <c r="N254">
        <f t="shared" si="80"/>
        <v>-615569660.18359995</v>
      </c>
      <c r="O254">
        <f t="shared" si="81"/>
        <v>-701658762.1904</v>
      </c>
      <c r="P254">
        <f t="shared" si="82"/>
        <v>-770073698.92840004</v>
      </c>
      <c r="Q254">
        <f t="shared" si="83"/>
        <v>-900929309.94820011</v>
      </c>
      <c r="S254">
        <f t="shared" si="84"/>
        <v>12705055.968500001</v>
      </c>
      <c r="T254">
        <f t="shared" si="85"/>
        <v>-902558217.97189999</v>
      </c>
      <c r="U254">
        <f t="shared" si="86"/>
        <v>-773621329.69019997</v>
      </c>
      <c r="V254">
        <f t="shared" si="87"/>
        <v>-889603073.49139988</v>
      </c>
      <c r="W254">
        <f t="shared" si="88"/>
        <v>-1146740182.0999002</v>
      </c>
      <c r="X254">
        <f t="shared" si="89"/>
        <v>-1278062509.4614</v>
      </c>
      <c r="Z254">
        <f t="shared" si="90"/>
        <v>14934922.9344</v>
      </c>
      <c r="AA254">
        <f t="shared" si="91"/>
        <v>-538069018.71140003</v>
      </c>
      <c r="AB254">
        <f t="shared" si="92"/>
        <v>-931672999.19680011</v>
      </c>
      <c r="AC254">
        <f t="shared" si="93"/>
        <v>-1227902833.8332</v>
      </c>
      <c r="AD254">
        <f t="shared" si="94"/>
        <v>-1523406665.2714002</v>
      </c>
      <c r="AE254">
        <f t="shared" si="95"/>
        <v>-1655195708.9746003</v>
      </c>
    </row>
    <row r="255" spans="1:31" x14ac:dyDescent="0.25">
      <c r="A255">
        <v>32.696578029999998</v>
      </c>
      <c r="B255">
        <v>119.5799016</v>
      </c>
      <c r="C255">
        <v>17.315341950000001</v>
      </c>
      <c r="D255">
        <v>5.2894067800000002</v>
      </c>
      <c r="E255" t="b">
        <f t="shared" si="72"/>
        <v>0</v>
      </c>
      <c r="F255">
        <f t="shared" si="73"/>
        <v>-81.287302970000013</v>
      </c>
      <c r="G255">
        <f t="shared" si="74"/>
        <v>-167.86401272000001</v>
      </c>
      <c r="H255">
        <f t="shared" si="75"/>
        <v>-254.44072247</v>
      </c>
      <c r="I255">
        <f t="shared" si="76"/>
        <v>-341.01743222000005</v>
      </c>
      <c r="J255">
        <f t="shared" si="77"/>
        <v>-427.59414197000001</v>
      </c>
      <c r="L255">
        <f t="shared" si="78"/>
        <v>10684601.695600001</v>
      </c>
      <c r="M255">
        <f t="shared" si="79"/>
        <v>-139814161.10840005</v>
      </c>
      <c r="N255">
        <f t="shared" si="80"/>
        <v>-248438738.8256</v>
      </c>
      <c r="O255">
        <f t="shared" si="81"/>
        <v>-284973609.16640002</v>
      </c>
      <c r="P255">
        <f t="shared" si="82"/>
        <v>-313736037.64240003</v>
      </c>
      <c r="Q255">
        <f t="shared" si="83"/>
        <v>-367730962.09420002</v>
      </c>
      <c r="S255">
        <f t="shared" si="84"/>
        <v>12959046.611000001</v>
      </c>
      <c r="T255">
        <f t="shared" si="85"/>
        <v>-364264907.6024</v>
      </c>
      <c r="U255">
        <f t="shared" si="86"/>
        <v>-312227063.65919995</v>
      </c>
      <c r="V255">
        <f t="shared" si="87"/>
        <v>-361305825.90739995</v>
      </c>
      <c r="W255">
        <f t="shared" si="88"/>
        <v>-467193882.1414001</v>
      </c>
      <c r="X255">
        <f t="shared" si="89"/>
        <v>-521664853.20340002</v>
      </c>
      <c r="Z255">
        <f t="shared" si="90"/>
        <v>15233491.5264</v>
      </c>
      <c r="AA255">
        <f t="shared" si="91"/>
        <v>-212972733.78140005</v>
      </c>
      <c r="AB255">
        <f t="shared" si="92"/>
        <v>-376015388.49280006</v>
      </c>
      <c r="AC255">
        <f t="shared" si="93"/>
        <v>-498703816.04119998</v>
      </c>
      <c r="AD255">
        <f t="shared" si="94"/>
        <v>-620651726.64040005</v>
      </c>
      <c r="AE255">
        <f t="shared" si="95"/>
        <v>-675598744.31260002</v>
      </c>
    </row>
    <row r="256" spans="1:31" x14ac:dyDescent="0.25">
      <c r="A256">
        <v>32.708591689999999</v>
      </c>
      <c r="B256">
        <v>120.23933340000001</v>
      </c>
      <c r="C256">
        <v>134.76608279999999</v>
      </c>
      <c r="D256">
        <v>0.110794</v>
      </c>
      <c r="E256" t="b">
        <f t="shared" si="72"/>
        <v>0</v>
      </c>
      <c r="F256">
        <f t="shared" si="73"/>
        <v>-673.71961999999996</v>
      </c>
      <c r="G256">
        <f t="shared" si="74"/>
        <v>-1347.5500340000001</v>
      </c>
      <c r="H256">
        <f t="shared" si="75"/>
        <v>-2021.3804479999999</v>
      </c>
      <c r="I256">
        <f t="shared" si="76"/>
        <v>-2695.2108619999999</v>
      </c>
      <c r="J256">
        <f t="shared" si="77"/>
        <v>-3369.0412759999995</v>
      </c>
      <c r="L256">
        <f t="shared" si="78"/>
        <v>223803.88</v>
      </c>
      <c r="M256">
        <f t="shared" si="79"/>
        <v>-1158797746.4000001</v>
      </c>
      <c r="N256">
        <f t="shared" si="80"/>
        <v>-1994374050.3199999</v>
      </c>
      <c r="O256">
        <f t="shared" si="81"/>
        <v>-2263946101.7600002</v>
      </c>
      <c r="P256">
        <f t="shared" si="82"/>
        <v>-2479593993.04</v>
      </c>
      <c r="Q256">
        <f t="shared" si="83"/>
        <v>-2897375497.3599997</v>
      </c>
      <c r="S256">
        <f t="shared" si="84"/>
        <v>271445.30000000005</v>
      </c>
      <c r="T256">
        <f t="shared" si="85"/>
        <v>-2924183573.7799997</v>
      </c>
      <c r="U256">
        <f t="shared" si="86"/>
        <v>-2506443063.2399998</v>
      </c>
      <c r="V256">
        <f t="shared" si="87"/>
        <v>-2870360236.1599998</v>
      </c>
      <c r="W256">
        <f t="shared" si="88"/>
        <v>-3692438880.9400001</v>
      </c>
      <c r="X256">
        <f t="shared" si="89"/>
        <v>-4110230356.7199993</v>
      </c>
      <c r="Z256">
        <f t="shared" si="90"/>
        <v>319086.71999999997</v>
      </c>
      <c r="AA256">
        <f t="shared" si="91"/>
        <v>-1765145404.4000001</v>
      </c>
      <c r="AB256">
        <f t="shared" si="92"/>
        <v>-3018512076.1600003</v>
      </c>
      <c r="AC256">
        <f t="shared" si="93"/>
        <v>-3961905678.0799999</v>
      </c>
      <c r="AD256">
        <f t="shared" si="94"/>
        <v>-4905283768.8400002</v>
      </c>
      <c r="AE256">
        <f t="shared" si="95"/>
        <v>-5323085216.0799999</v>
      </c>
    </row>
    <row r="257" spans="1:31" x14ac:dyDescent="0.25">
      <c r="A257">
        <v>32.728623310000003</v>
      </c>
      <c r="B257">
        <v>120.0783842</v>
      </c>
      <c r="C257">
        <v>134.76608279999999</v>
      </c>
      <c r="D257">
        <v>0.84422302000000005</v>
      </c>
      <c r="E257" t="b">
        <f t="shared" si="72"/>
        <v>0</v>
      </c>
      <c r="F257">
        <f t="shared" si="73"/>
        <v>-672.98619098000006</v>
      </c>
      <c r="G257">
        <f t="shared" si="74"/>
        <v>-1346.81660498</v>
      </c>
      <c r="H257">
        <f t="shared" si="75"/>
        <v>-2020.6470189799998</v>
      </c>
      <c r="I257">
        <f t="shared" si="76"/>
        <v>-2694.4774329800002</v>
      </c>
      <c r="J257">
        <f t="shared" si="77"/>
        <v>-3368.3078469799998</v>
      </c>
      <c r="L257">
        <f t="shared" si="78"/>
        <v>1705330.5004</v>
      </c>
      <c r="M257">
        <f t="shared" si="79"/>
        <v>-1157536248.4856002</v>
      </c>
      <c r="N257">
        <f t="shared" si="80"/>
        <v>-1993288575.3704</v>
      </c>
      <c r="O257">
        <f t="shared" si="81"/>
        <v>-2263124661.2575998</v>
      </c>
      <c r="P257">
        <f t="shared" si="82"/>
        <v>-2478919238.3415999</v>
      </c>
      <c r="Q257">
        <f t="shared" si="83"/>
        <v>-2896744748.4028001</v>
      </c>
      <c r="S257">
        <f t="shared" si="84"/>
        <v>2068346.3990000002</v>
      </c>
      <c r="T257">
        <f t="shared" si="85"/>
        <v>-2922592032.8066001</v>
      </c>
      <c r="U257">
        <f t="shared" si="86"/>
        <v>-2505078885.2627997</v>
      </c>
      <c r="V257">
        <f t="shared" si="87"/>
        <v>-2869318766.9515996</v>
      </c>
      <c r="W257">
        <f t="shared" si="88"/>
        <v>-3691434083.1826005</v>
      </c>
      <c r="X257">
        <f t="shared" si="89"/>
        <v>-4109335573.3155999</v>
      </c>
      <c r="Z257">
        <f t="shared" si="90"/>
        <v>2431362.2976000002</v>
      </c>
      <c r="AA257">
        <f t="shared" si="91"/>
        <v>-1763223820.3676002</v>
      </c>
      <c r="AB257">
        <f t="shared" si="92"/>
        <v>-3016869195.1552005</v>
      </c>
      <c r="AC257">
        <f t="shared" si="93"/>
        <v>-3960468157.2007995</v>
      </c>
      <c r="AD257">
        <f t="shared" si="94"/>
        <v>-4903948928.0236006</v>
      </c>
      <c r="AE257">
        <f t="shared" si="95"/>
        <v>-5321926398.2284002</v>
      </c>
    </row>
    <row r="258" spans="1:31" x14ac:dyDescent="0.25">
      <c r="A258">
        <v>32.733669800000001</v>
      </c>
      <c r="B258">
        <v>120.4082372</v>
      </c>
      <c r="C258">
        <v>17.774396899999999</v>
      </c>
      <c r="D258">
        <v>0.10226200000000001</v>
      </c>
      <c r="E258" t="b">
        <f t="shared" si="72"/>
        <v>0</v>
      </c>
      <c r="F258">
        <f t="shared" si="73"/>
        <v>-88.7697225</v>
      </c>
      <c r="G258">
        <f t="shared" si="74"/>
        <v>-177.641707</v>
      </c>
      <c r="H258">
        <f t="shared" si="75"/>
        <v>-266.51369149999999</v>
      </c>
      <c r="I258">
        <f t="shared" si="76"/>
        <v>-355.38567599999999</v>
      </c>
      <c r="J258">
        <f t="shared" si="77"/>
        <v>-444.25766049999999</v>
      </c>
      <c r="L258">
        <f t="shared" si="78"/>
        <v>206569.24</v>
      </c>
      <c r="M258">
        <f t="shared" si="79"/>
        <v>-152683922.70000002</v>
      </c>
      <c r="N258">
        <f t="shared" si="80"/>
        <v>-262909726.35999998</v>
      </c>
      <c r="O258">
        <f t="shared" si="81"/>
        <v>-298495334.48000002</v>
      </c>
      <c r="P258">
        <f t="shared" si="82"/>
        <v>-326954821.91999996</v>
      </c>
      <c r="Q258">
        <f t="shared" si="83"/>
        <v>-382061588.02999997</v>
      </c>
      <c r="S258">
        <f t="shared" si="84"/>
        <v>250541.90000000002</v>
      </c>
      <c r="T258">
        <f t="shared" si="85"/>
        <v>-385482504.19</v>
      </c>
      <c r="U258">
        <f t="shared" si="86"/>
        <v>-330413575.01999998</v>
      </c>
      <c r="V258">
        <f t="shared" si="87"/>
        <v>-378449441.93000001</v>
      </c>
      <c r="W258">
        <f t="shared" si="88"/>
        <v>-486878376.12000006</v>
      </c>
      <c r="X258">
        <f t="shared" si="89"/>
        <v>-541994345.80999994</v>
      </c>
      <c r="Z258">
        <f t="shared" si="90"/>
        <v>294514.56</v>
      </c>
      <c r="AA258">
        <f t="shared" si="91"/>
        <v>-232576672.95000002</v>
      </c>
      <c r="AB258">
        <f t="shared" si="92"/>
        <v>-397917423.68000007</v>
      </c>
      <c r="AC258">
        <f t="shared" si="93"/>
        <v>-522366835.33999997</v>
      </c>
      <c r="AD258">
        <f t="shared" si="94"/>
        <v>-646801930.32000005</v>
      </c>
      <c r="AE258">
        <f t="shared" si="95"/>
        <v>-701927103.59000003</v>
      </c>
    </row>
    <row r="259" spans="1:31" x14ac:dyDescent="0.25">
      <c r="A259">
        <v>32.740451299999997</v>
      </c>
      <c r="B259">
        <v>120.3545937</v>
      </c>
      <c r="C259">
        <v>17.774396899999999</v>
      </c>
      <c r="D259">
        <v>0.49175598999999998</v>
      </c>
      <c r="E259" t="b">
        <f t="shared" ref="E259:E322" si="96">D259&gt;C259</f>
        <v>0</v>
      </c>
      <c r="F259">
        <f t="shared" ref="F259:F322" si="97">D259-(C259*(2030-2025))</f>
        <v>-88.380228509999995</v>
      </c>
      <c r="G259">
        <f t="shared" ref="G259:G322" si="98">D259-(C259*(2035-2025))</f>
        <v>-177.25221300999999</v>
      </c>
      <c r="H259">
        <f t="shared" ref="H259:H322" si="99">D259-(C259*(2040-2025))</f>
        <v>-266.12419750999999</v>
      </c>
      <c r="I259">
        <f t="shared" ref="I259:I322" si="100">D259-(C259*(2045-2025))</f>
        <v>-354.99618200999998</v>
      </c>
      <c r="J259">
        <f t="shared" ref="J259:J322" si="101">D259-(C259*(2050-2025))</f>
        <v>-443.86816650999998</v>
      </c>
      <c r="L259">
        <f t="shared" ref="L259:L322" si="102">MIN(C259,D259)*1000000*((280/250)+0.9)</f>
        <v>993347.09979999997</v>
      </c>
      <c r="M259">
        <f t="shared" ref="M259:M322" si="103">MIN(C259,F259)*1000000*((230/250)+0.8)</f>
        <v>-152013993.0372</v>
      </c>
      <c r="N259">
        <f t="shared" ref="N259:N322" si="104">MIN(C259,G259)*1000000*((195/250)+0.7)</f>
        <v>-262333275.25479999</v>
      </c>
      <c r="O259">
        <f t="shared" ref="O259:O322" si="105">MIN(C259,H259)*1000000*((130/250)+0.6)</f>
        <v>-298059101.2112</v>
      </c>
      <c r="P259">
        <f t="shared" ref="P259:P322" si="106">MIN(C259,I259)*1000000*((105/250)+0.5)</f>
        <v>-326596487.44919997</v>
      </c>
      <c r="Q259">
        <f t="shared" ref="Q259:Q322" si="107">MIN(C259,J259)*1000000*((90/250)+0.5)</f>
        <v>-381726623.19859999</v>
      </c>
      <c r="S259">
        <f t="shared" ref="S259:S322" si="108">MIN(C259,D259)*1000000*((325/250)+1.15)</f>
        <v>1204802.1755000001</v>
      </c>
      <c r="T259">
        <f t="shared" ref="T259:T322" si="109">MIN(C259,G259)*1000000*((280/250)+1.05)</f>
        <v>-384637302.23169994</v>
      </c>
      <c r="U259">
        <f t="shared" ref="U259:U322" si="110">MIN(C259,G259)*1000000*((227.5/250)+0.95)</f>
        <v>-329689116.19859993</v>
      </c>
      <c r="V259">
        <f t="shared" ref="V259:V322" si="111">MIN(C259,H259)*1000000*((142.5/250)+0.85)</f>
        <v>-377896360.46419996</v>
      </c>
      <c r="W259">
        <f t="shared" ref="W259:W322" si="112">MIN(C259,I259)*1000000*((142.5/250)+0.8)</f>
        <v>-486344769.35370004</v>
      </c>
      <c r="X259">
        <f t="shared" ref="X259:X322" si="113">MIN(C259,J259)*1000000*((117.5/250)+0.75)</f>
        <v>-541519163.14219999</v>
      </c>
      <c r="Z259">
        <f t="shared" ref="Z259:Z322" si="114">MIN(C259,D259)*1000000*((370/250)+1.4)</f>
        <v>1416257.2511999998</v>
      </c>
      <c r="AA259">
        <f t="shared" ref="AA259:AA322" si="115">MIN(C259,F259)*1000000*((330/250)+1.3)</f>
        <v>-231556198.69619998</v>
      </c>
      <c r="AB259">
        <f t="shared" ref="AB259:AB322" si="116">MIN(C259,G259)*1000000*((260/250)+1.2)</f>
        <v>-397044957.14240003</v>
      </c>
      <c r="AC259">
        <f t="shared" ref="AC259:AC322" si="117">MIN(C259,H259)*1000000*((215/250)+1.1)</f>
        <v>-521603427.1196</v>
      </c>
      <c r="AD259">
        <f t="shared" ref="AD259:AD322" si="118">MIN(C259,I259)*1000000*((180/250)+1.1)</f>
        <v>-646093051.25820005</v>
      </c>
      <c r="AE259">
        <f t="shared" ref="AE259:AE322" si="119">MIN(C259,J259)*1000000*((145/250)+1)</f>
        <v>-701311703.08580005</v>
      </c>
    </row>
    <row r="260" spans="1:31" x14ac:dyDescent="0.25">
      <c r="A260">
        <v>32.741852270000003</v>
      </c>
      <c r="B260">
        <v>119.9710412</v>
      </c>
      <c r="C260">
        <v>134.76608279999999</v>
      </c>
      <c r="D260">
        <v>0.54874498000000005</v>
      </c>
      <c r="E260" t="b">
        <f t="shared" si="96"/>
        <v>0</v>
      </c>
      <c r="F260">
        <f t="shared" si="97"/>
        <v>-673.28166901999998</v>
      </c>
      <c r="G260">
        <f t="shared" si="98"/>
        <v>-1347.11208302</v>
      </c>
      <c r="H260">
        <f t="shared" si="99"/>
        <v>-2020.9424970199998</v>
      </c>
      <c r="I260">
        <f t="shared" si="100"/>
        <v>-2694.7729110200003</v>
      </c>
      <c r="J260">
        <f t="shared" si="101"/>
        <v>-3368.6033250199998</v>
      </c>
      <c r="L260">
        <f t="shared" si="102"/>
        <v>1108464.8596000003</v>
      </c>
      <c r="M260">
        <f t="shared" si="103"/>
        <v>-1158044470.7144001</v>
      </c>
      <c r="N260">
        <f t="shared" si="104"/>
        <v>-1993725882.8696001</v>
      </c>
      <c r="O260">
        <f t="shared" si="105"/>
        <v>-2263455596.6623998</v>
      </c>
      <c r="P260">
        <f t="shared" si="106"/>
        <v>-2479191078.1384001</v>
      </c>
      <c r="Q260">
        <f t="shared" si="107"/>
        <v>-2896998859.5172</v>
      </c>
      <c r="S260">
        <f t="shared" si="108"/>
        <v>1344425.2010000004</v>
      </c>
      <c r="T260">
        <f t="shared" si="109"/>
        <v>-2923233220.1533999</v>
      </c>
      <c r="U260">
        <f t="shared" si="110"/>
        <v>-2505628474.4171996</v>
      </c>
      <c r="V260">
        <f t="shared" si="111"/>
        <v>-2869738345.7683997</v>
      </c>
      <c r="W260">
        <f t="shared" si="112"/>
        <v>-3691838888.0974011</v>
      </c>
      <c r="X260">
        <f t="shared" si="113"/>
        <v>-4109696056.5243998</v>
      </c>
      <c r="Z260">
        <f t="shared" si="114"/>
        <v>1580385.5424000002</v>
      </c>
      <c r="AA260">
        <f t="shared" si="115"/>
        <v>-1763997972.8324001</v>
      </c>
      <c r="AB260">
        <f t="shared" si="116"/>
        <v>-3017531065.9648004</v>
      </c>
      <c r="AC260">
        <f t="shared" si="117"/>
        <v>-3961047294.1591992</v>
      </c>
      <c r="AD260">
        <f t="shared" si="118"/>
        <v>-4904486698.0564013</v>
      </c>
      <c r="AE260">
        <f t="shared" si="119"/>
        <v>-5322393253.5316</v>
      </c>
    </row>
    <row r="261" spans="1:31" x14ac:dyDescent="0.25">
      <c r="A261">
        <v>32.74439091</v>
      </c>
      <c r="B261">
        <v>118.7666186</v>
      </c>
      <c r="C261">
        <v>13.949555399999999</v>
      </c>
      <c r="D261">
        <v>0.18561300999999999</v>
      </c>
      <c r="E261" t="b">
        <f t="shared" si="96"/>
        <v>0</v>
      </c>
      <c r="F261">
        <f t="shared" si="97"/>
        <v>-69.562163990000002</v>
      </c>
      <c r="G261">
        <f t="shared" si="98"/>
        <v>-139.30994099</v>
      </c>
      <c r="H261">
        <f t="shared" si="99"/>
        <v>-209.05771798999999</v>
      </c>
      <c r="I261">
        <f t="shared" si="100"/>
        <v>-278.80549499</v>
      </c>
      <c r="J261">
        <f t="shared" si="101"/>
        <v>-348.55327198999998</v>
      </c>
      <c r="L261">
        <f t="shared" si="102"/>
        <v>374938.28020000004</v>
      </c>
      <c r="M261">
        <f t="shared" si="103"/>
        <v>-119646922.06280001</v>
      </c>
      <c r="N261">
        <f t="shared" si="104"/>
        <v>-206178712.66520002</v>
      </c>
      <c r="O261">
        <f t="shared" si="105"/>
        <v>-234144644.14879999</v>
      </c>
      <c r="P261">
        <f t="shared" si="106"/>
        <v>-256501055.3908</v>
      </c>
      <c r="Q261">
        <f t="shared" si="107"/>
        <v>-299755813.91140002</v>
      </c>
      <c r="S261">
        <f t="shared" si="108"/>
        <v>454751.87450000003</v>
      </c>
      <c r="T261">
        <f t="shared" si="109"/>
        <v>-302302571.9483</v>
      </c>
      <c r="U261">
        <f t="shared" si="110"/>
        <v>-259116490.2414</v>
      </c>
      <c r="V261">
        <f t="shared" si="111"/>
        <v>-296861959.54579997</v>
      </c>
      <c r="W261">
        <f t="shared" si="112"/>
        <v>-381963528.13630003</v>
      </c>
      <c r="X261">
        <f t="shared" si="113"/>
        <v>-425234991.82779998</v>
      </c>
      <c r="Z261">
        <f t="shared" si="114"/>
        <v>534565.46880000003</v>
      </c>
      <c r="AA261">
        <f t="shared" si="115"/>
        <v>-182252869.65379998</v>
      </c>
      <c r="AB261">
        <f t="shared" si="116"/>
        <v>-312054267.81760007</v>
      </c>
      <c r="AC261">
        <f t="shared" si="117"/>
        <v>-409753127.26039994</v>
      </c>
      <c r="AD261">
        <f t="shared" si="118"/>
        <v>-507426000.88180006</v>
      </c>
      <c r="AE261">
        <f t="shared" si="119"/>
        <v>-550714169.74419999</v>
      </c>
    </row>
    <row r="262" spans="1:31" x14ac:dyDescent="0.25">
      <c r="A262">
        <v>32.74720773</v>
      </c>
      <c r="B262">
        <v>120.30094130000001</v>
      </c>
      <c r="C262">
        <v>17.774396899999999</v>
      </c>
      <c r="D262">
        <v>0.79345697000000004</v>
      </c>
      <c r="E262" t="b">
        <f t="shared" si="96"/>
        <v>0</v>
      </c>
      <c r="F262">
        <f t="shared" si="97"/>
        <v>-88.078527530000002</v>
      </c>
      <c r="G262">
        <f t="shared" si="98"/>
        <v>-176.95051203</v>
      </c>
      <c r="H262">
        <f t="shared" si="99"/>
        <v>-265.82249652999997</v>
      </c>
      <c r="I262">
        <f t="shared" si="100"/>
        <v>-354.69448102999996</v>
      </c>
      <c r="J262">
        <f t="shared" si="101"/>
        <v>-443.56646552999996</v>
      </c>
      <c r="L262">
        <f t="shared" si="102"/>
        <v>1602783.0794000002</v>
      </c>
      <c r="M262">
        <f t="shared" si="103"/>
        <v>-151495067.35160002</v>
      </c>
      <c r="N262">
        <f t="shared" si="104"/>
        <v>-261886757.8044</v>
      </c>
      <c r="O262">
        <f t="shared" si="105"/>
        <v>-297721196.11360002</v>
      </c>
      <c r="P262">
        <f t="shared" si="106"/>
        <v>-326318922.54759997</v>
      </c>
      <c r="Q262">
        <f t="shared" si="107"/>
        <v>-381467160.35579997</v>
      </c>
      <c r="S262">
        <f t="shared" si="108"/>
        <v>1943969.5765000004</v>
      </c>
      <c r="T262">
        <f t="shared" si="109"/>
        <v>-383982611.10509998</v>
      </c>
      <c r="U262">
        <f t="shared" si="110"/>
        <v>-329127952.37579995</v>
      </c>
      <c r="V262">
        <f t="shared" si="111"/>
        <v>-377467945.07259995</v>
      </c>
      <c r="W262">
        <f t="shared" si="112"/>
        <v>-485931439.01109999</v>
      </c>
      <c r="X262">
        <f t="shared" si="113"/>
        <v>-541151087.94659996</v>
      </c>
      <c r="Z262">
        <f t="shared" si="114"/>
        <v>2285156.0736000002</v>
      </c>
      <c r="AA262">
        <f t="shared" si="115"/>
        <v>-230765742.1286</v>
      </c>
      <c r="AB262">
        <f t="shared" si="116"/>
        <v>-396369146.94720006</v>
      </c>
      <c r="AC262">
        <f t="shared" si="117"/>
        <v>-521012093.19879991</v>
      </c>
      <c r="AD262">
        <f t="shared" si="118"/>
        <v>-645543955.47459996</v>
      </c>
      <c r="AE262">
        <f t="shared" si="119"/>
        <v>-700835015.53740001</v>
      </c>
    </row>
    <row r="263" spans="1:31" x14ac:dyDescent="0.25">
      <c r="A263">
        <v>32.753939090000003</v>
      </c>
      <c r="B263">
        <v>120.2472801</v>
      </c>
      <c r="C263">
        <v>134.76608279999999</v>
      </c>
      <c r="D263">
        <v>0.27352800999999999</v>
      </c>
      <c r="E263" t="b">
        <f t="shared" si="96"/>
        <v>0</v>
      </c>
      <c r="F263">
        <f t="shared" si="97"/>
        <v>-673.55688599000007</v>
      </c>
      <c r="G263">
        <f t="shared" si="98"/>
        <v>-1347.38729999</v>
      </c>
      <c r="H263">
        <f t="shared" si="99"/>
        <v>-2021.2177139899998</v>
      </c>
      <c r="I263">
        <f t="shared" si="100"/>
        <v>-2695.04812799</v>
      </c>
      <c r="J263">
        <f t="shared" si="101"/>
        <v>-3368.8785419899996</v>
      </c>
      <c r="L263">
        <f t="shared" si="102"/>
        <v>552526.58019999997</v>
      </c>
      <c r="M263">
        <f t="shared" si="103"/>
        <v>-1158517843.9028001</v>
      </c>
      <c r="N263">
        <f t="shared" si="104"/>
        <v>-1994133203.9851999</v>
      </c>
      <c r="O263">
        <f t="shared" si="105"/>
        <v>-2263763839.6687999</v>
      </c>
      <c r="P263">
        <f t="shared" si="106"/>
        <v>-2479444277.7508001</v>
      </c>
      <c r="Q263">
        <f t="shared" si="107"/>
        <v>-2897235546.1113997</v>
      </c>
      <c r="S263">
        <f t="shared" si="108"/>
        <v>670143.62450000003</v>
      </c>
      <c r="T263">
        <f t="shared" si="109"/>
        <v>-2923830440.9783001</v>
      </c>
      <c r="U263">
        <f t="shared" si="110"/>
        <v>-2506140377.9814</v>
      </c>
      <c r="V263">
        <f t="shared" si="111"/>
        <v>-2870129153.8657994</v>
      </c>
      <c r="W263">
        <f t="shared" si="112"/>
        <v>-3692215935.3463006</v>
      </c>
      <c r="X263">
        <f t="shared" si="113"/>
        <v>-4110031821.2277994</v>
      </c>
      <c r="Z263">
        <f t="shared" si="114"/>
        <v>787760.66879999998</v>
      </c>
      <c r="AA263">
        <f t="shared" si="115"/>
        <v>-1764719041.2938001</v>
      </c>
      <c r="AB263">
        <f t="shared" si="116"/>
        <v>-3018147551.9776001</v>
      </c>
      <c r="AC263">
        <f t="shared" si="117"/>
        <v>-3961586719.4203997</v>
      </c>
      <c r="AD263">
        <f t="shared" si="118"/>
        <v>-4904987592.9418011</v>
      </c>
      <c r="AE263">
        <f t="shared" si="119"/>
        <v>-5322828096.3442001</v>
      </c>
    </row>
    <row r="264" spans="1:31" x14ac:dyDescent="0.25">
      <c r="A264">
        <v>32.754980830000001</v>
      </c>
      <c r="B264">
        <v>119.8636637</v>
      </c>
      <c r="C264">
        <v>134.76608279999999</v>
      </c>
      <c r="D264">
        <v>0.92546998999999996</v>
      </c>
      <c r="E264" t="b">
        <f t="shared" si="96"/>
        <v>0</v>
      </c>
      <c r="F264">
        <f t="shared" si="97"/>
        <v>-672.90494401000001</v>
      </c>
      <c r="G264">
        <f t="shared" si="98"/>
        <v>-1346.73535801</v>
      </c>
      <c r="H264">
        <f t="shared" si="99"/>
        <v>-2020.5657720099998</v>
      </c>
      <c r="I264">
        <f t="shared" si="100"/>
        <v>-2694.3961860100003</v>
      </c>
      <c r="J264">
        <f t="shared" si="101"/>
        <v>-3368.2266000099999</v>
      </c>
      <c r="L264">
        <f t="shared" si="102"/>
        <v>1869449.3798</v>
      </c>
      <c r="M264">
        <f t="shared" si="103"/>
        <v>-1157396503.6972001</v>
      </c>
      <c r="N264">
        <f t="shared" si="104"/>
        <v>-1993168329.8548</v>
      </c>
      <c r="O264">
        <f t="shared" si="105"/>
        <v>-2263033664.6511998</v>
      </c>
      <c r="P264">
        <f t="shared" si="106"/>
        <v>-2478844491.1292</v>
      </c>
      <c r="Q264">
        <f t="shared" si="107"/>
        <v>-2896674876.0085998</v>
      </c>
      <c r="S264">
        <f t="shared" si="108"/>
        <v>2267401.4755000002</v>
      </c>
      <c r="T264">
        <f t="shared" si="109"/>
        <v>-2922415726.8817</v>
      </c>
      <c r="U264">
        <f t="shared" si="110"/>
        <v>-2504927765.8985996</v>
      </c>
      <c r="V264">
        <f t="shared" si="111"/>
        <v>-2869203396.2541995</v>
      </c>
      <c r="W264">
        <f t="shared" si="112"/>
        <v>-3691322774.8337007</v>
      </c>
      <c r="X264">
        <f t="shared" si="113"/>
        <v>-4109236452.0121994</v>
      </c>
      <c r="Z264">
        <f t="shared" si="114"/>
        <v>2665353.5711999997</v>
      </c>
      <c r="AA264">
        <f t="shared" si="115"/>
        <v>-1763010953.3062</v>
      </c>
      <c r="AB264">
        <f t="shared" si="116"/>
        <v>-3016687201.9424005</v>
      </c>
      <c r="AC264">
        <f t="shared" si="117"/>
        <v>-3960308913.1395993</v>
      </c>
      <c r="AD264">
        <f t="shared" si="118"/>
        <v>-4903801058.5382004</v>
      </c>
      <c r="AE264">
        <f t="shared" si="119"/>
        <v>-5321798028.0157995</v>
      </c>
    </row>
    <row r="265" spans="1:31" x14ac:dyDescent="0.25">
      <c r="A265">
        <v>32.761507430000002</v>
      </c>
      <c r="B265">
        <v>119.809962</v>
      </c>
      <c r="C265">
        <v>134.76608279999999</v>
      </c>
      <c r="D265">
        <v>3.3305249200000002</v>
      </c>
      <c r="E265" t="b">
        <f t="shared" si="96"/>
        <v>0</v>
      </c>
      <c r="F265">
        <f t="shared" si="97"/>
        <v>-670.49988908</v>
      </c>
      <c r="G265">
        <f t="shared" si="98"/>
        <v>-1344.33030308</v>
      </c>
      <c r="H265">
        <f t="shared" si="99"/>
        <v>-2018.1607170799998</v>
      </c>
      <c r="I265">
        <f t="shared" si="100"/>
        <v>-2691.9911310800003</v>
      </c>
      <c r="J265">
        <f t="shared" si="101"/>
        <v>-3365.8215450799999</v>
      </c>
      <c r="L265">
        <f t="shared" si="102"/>
        <v>6727660.3384000007</v>
      </c>
      <c r="M265">
        <f t="shared" si="103"/>
        <v>-1153259809.2176001</v>
      </c>
      <c r="N265">
        <f t="shared" si="104"/>
        <v>-1989608848.5583999</v>
      </c>
      <c r="O265">
        <f t="shared" si="105"/>
        <v>-2260340003.1296</v>
      </c>
      <c r="P265">
        <f t="shared" si="106"/>
        <v>-2476631840.5936003</v>
      </c>
      <c r="Q265">
        <f t="shared" si="107"/>
        <v>-2894606528.7687998</v>
      </c>
      <c r="S265">
        <f t="shared" si="108"/>
        <v>8159786.0540000014</v>
      </c>
      <c r="T265">
        <f t="shared" si="109"/>
        <v>-2917196757.6835999</v>
      </c>
      <c r="U265">
        <f t="shared" si="110"/>
        <v>-2500454363.7287998</v>
      </c>
      <c r="V265">
        <f t="shared" si="111"/>
        <v>-2865788218.2535996</v>
      </c>
      <c r="W265">
        <f t="shared" si="112"/>
        <v>-3688027849.5796008</v>
      </c>
      <c r="X265">
        <f t="shared" si="113"/>
        <v>-4106302284.9975996</v>
      </c>
      <c r="Z265">
        <f t="shared" si="114"/>
        <v>9591911.7696000002</v>
      </c>
      <c r="AA265">
        <f t="shared" si="115"/>
        <v>-1756709709.3896003</v>
      </c>
      <c r="AB265">
        <f t="shared" si="116"/>
        <v>-3011299878.8992</v>
      </c>
      <c r="AC265">
        <f t="shared" si="117"/>
        <v>-3955595005.4768</v>
      </c>
      <c r="AD265">
        <f t="shared" si="118"/>
        <v>-4899423858.5656013</v>
      </c>
      <c r="AE265">
        <f t="shared" si="119"/>
        <v>-5317998041.2264004</v>
      </c>
    </row>
    <row r="266" spans="1:31" x14ac:dyDescent="0.25">
      <c r="A266">
        <v>32.765360110000003</v>
      </c>
      <c r="B266">
        <v>120.5235983</v>
      </c>
      <c r="C266">
        <v>17.774396899999999</v>
      </c>
      <c r="D266">
        <v>0.28209900999999998</v>
      </c>
      <c r="E266" t="b">
        <f t="shared" si="96"/>
        <v>0</v>
      </c>
      <c r="F266">
        <f t="shared" si="97"/>
        <v>-88.58988549</v>
      </c>
      <c r="G266">
        <f t="shared" si="98"/>
        <v>-177.46186999</v>
      </c>
      <c r="H266">
        <f t="shared" si="99"/>
        <v>-266.33385448999996</v>
      </c>
      <c r="I266">
        <f t="shared" si="100"/>
        <v>-355.20583898999996</v>
      </c>
      <c r="J266">
        <f t="shared" si="101"/>
        <v>-444.07782348999996</v>
      </c>
      <c r="L266">
        <f t="shared" si="102"/>
        <v>569840.00020000001</v>
      </c>
      <c r="M266">
        <f t="shared" si="103"/>
        <v>-152374603.04280001</v>
      </c>
      <c r="N266">
        <f t="shared" si="104"/>
        <v>-262643567.58520001</v>
      </c>
      <c r="O266">
        <f t="shared" si="105"/>
        <v>-298293917.02879995</v>
      </c>
      <c r="P266">
        <f t="shared" si="106"/>
        <v>-326789371.8707999</v>
      </c>
      <c r="Q266">
        <f t="shared" si="107"/>
        <v>-381906928.20139992</v>
      </c>
      <c r="S266">
        <f t="shared" si="108"/>
        <v>691142.5745000001</v>
      </c>
      <c r="T266">
        <f t="shared" si="109"/>
        <v>-385092257.87830001</v>
      </c>
      <c r="U266">
        <f t="shared" si="110"/>
        <v>-330079078.1814</v>
      </c>
      <c r="V266">
        <f t="shared" si="111"/>
        <v>-378194073.37579989</v>
      </c>
      <c r="W266">
        <f t="shared" si="112"/>
        <v>-486631999.4163</v>
      </c>
      <c r="X266">
        <f t="shared" si="113"/>
        <v>-541774944.65779996</v>
      </c>
      <c r="Z266">
        <f t="shared" si="114"/>
        <v>812445.14879999997</v>
      </c>
      <c r="AA266">
        <f t="shared" si="115"/>
        <v>-232105499.98379999</v>
      </c>
      <c r="AB266">
        <f t="shared" si="116"/>
        <v>-397514588.77760005</v>
      </c>
      <c r="AC266">
        <f t="shared" si="117"/>
        <v>-522014354.8003999</v>
      </c>
      <c r="AD266">
        <f t="shared" si="118"/>
        <v>-646474626.96179998</v>
      </c>
      <c r="AE266">
        <f t="shared" si="119"/>
        <v>-701642961.1142</v>
      </c>
    </row>
    <row r="267" spans="1:31" x14ac:dyDescent="0.25">
      <c r="A267">
        <v>32.780936480000001</v>
      </c>
      <c r="B267">
        <v>119.64880580000001</v>
      </c>
      <c r="C267">
        <v>17.315341950000001</v>
      </c>
      <c r="D267">
        <v>9.8554229699999993</v>
      </c>
      <c r="E267" t="b">
        <f t="shared" si="96"/>
        <v>0</v>
      </c>
      <c r="F267">
        <f t="shared" si="97"/>
        <v>-76.721286780000014</v>
      </c>
      <c r="G267">
        <f t="shared" si="98"/>
        <v>-163.29799653000001</v>
      </c>
      <c r="H267">
        <f t="shared" si="99"/>
        <v>-249.87470628</v>
      </c>
      <c r="I267">
        <f t="shared" si="100"/>
        <v>-336.45141603000002</v>
      </c>
      <c r="J267">
        <f t="shared" si="101"/>
        <v>-423.02812577999998</v>
      </c>
      <c r="L267">
        <f t="shared" si="102"/>
        <v>19907954.3994</v>
      </c>
      <c r="M267">
        <f t="shared" si="103"/>
        <v>-131960613.26160005</v>
      </c>
      <c r="N267">
        <f t="shared" si="104"/>
        <v>-241681034.8644</v>
      </c>
      <c r="O267">
        <f t="shared" si="105"/>
        <v>-279859671.03360003</v>
      </c>
      <c r="P267">
        <f t="shared" si="106"/>
        <v>-309535302.74760002</v>
      </c>
      <c r="Q267">
        <f t="shared" si="107"/>
        <v>-363804188.17079997</v>
      </c>
      <c r="S267">
        <f t="shared" si="108"/>
        <v>24145786.276499998</v>
      </c>
      <c r="T267">
        <f t="shared" si="109"/>
        <v>-354356652.47009999</v>
      </c>
      <c r="U267">
        <f t="shared" si="110"/>
        <v>-303734273.54579997</v>
      </c>
      <c r="V267">
        <f t="shared" si="111"/>
        <v>-354822082.91759998</v>
      </c>
      <c r="W267">
        <f t="shared" si="112"/>
        <v>-460938439.9611001</v>
      </c>
      <c r="X267">
        <f t="shared" si="113"/>
        <v>-516094313.45159996</v>
      </c>
      <c r="Z267">
        <f t="shared" si="114"/>
        <v>28383618.153599996</v>
      </c>
      <c r="AA267">
        <f t="shared" si="115"/>
        <v>-201009771.36360005</v>
      </c>
      <c r="AB267">
        <f t="shared" si="116"/>
        <v>-365787512.22720003</v>
      </c>
      <c r="AC267">
        <f t="shared" si="117"/>
        <v>-489754424.30879998</v>
      </c>
      <c r="AD267">
        <f t="shared" si="118"/>
        <v>-612341577.17460012</v>
      </c>
      <c r="AE267">
        <f t="shared" si="119"/>
        <v>-668384438.73239994</v>
      </c>
    </row>
    <row r="268" spans="1:31" x14ac:dyDescent="0.25">
      <c r="A268">
        <v>32.783795670000003</v>
      </c>
      <c r="B268">
        <v>118.82755160000001</v>
      </c>
      <c r="C268">
        <v>13.949555399999999</v>
      </c>
      <c r="D268">
        <v>1.4663449500000001</v>
      </c>
      <c r="E268" t="b">
        <f t="shared" si="96"/>
        <v>0</v>
      </c>
      <c r="F268">
        <f t="shared" si="97"/>
        <v>-68.281432049999992</v>
      </c>
      <c r="G268">
        <f t="shared" si="98"/>
        <v>-138.02920904999999</v>
      </c>
      <c r="H268">
        <f t="shared" si="99"/>
        <v>-207.77698604999998</v>
      </c>
      <c r="I268">
        <f t="shared" si="100"/>
        <v>-277.52476304999999</v>
      </c>
      <c r="J268">
        <f t="shared" si="101"/>
        <v>-347.27254004999998</v>
      </c>
      <c r="L268">
        <f t="shared" si="102"/>
        <v>2962016.7990000006</v>
      </c>
      <c r="M268">
        <f t="shared" si="103"/>
        <v>-117444063.126</v>
      </c>
      <c r="N268">
        <f t="shared" si="104"/>
        <v>-204283229.39399996</v>
      </c>
      <c r="O268">
        <f t="shared" si="105"/>
        <v>-232710224.37600002</v>
      </c>
      <c r="P268">
        <f t="shared" si="106"/>
        <v>-255322782.00599998</v>
      </c>
      <c r="Q268">
        <f t="shared" si="107"/>
        <v>-298654384.44299996</v>
      </c>
      <c r="S268">
        <f t="shared" si="108"/>
        <v>3592545.1275000009</v>
      </c>
      <c r="T268">
        <f t="shared" si="109"/>
        <v>-299523383.63849998</v>
      </c>
      <c r="U268">
        <f t="shared" si="110"/>
        <v>-256734328.83299994</v>
      </c>
      <c r="V268">
        <f t="shared" si="111"/>
        <v>-295043320.19099998</v>
      </c>
      <c r="W268">
        <f t="shared" si="112"/>
        <v>-380208925.37850004</v>
      </c>
      <c r="X268">
        <f t="shared" si="113"/>
        <v>-423672498.86099994</v>
      </c>
      <c r="Z268">
        <f t="shared" si="114"/>
        <v>4223073.4560000002</v>
      </c>
      <c r="AA268">
        <f t="shared" si="115"/>
        <v>-178897351.97099999</v>
      </c>
      <c r="AB268">
        <f t="shared" si="116"/>
        <v>-309185428.27200001</v>
      </c>
      <c r="AC268">
        <f t="shared" si="117"/>
        <v>-407242892.65799993</v>
      </c>
      <c r="AD268">
        <f t="shared" si="118"/>
        <v>-505095068.75100005</v>
      </c>
      <c r="AE268">
        <f t="shared" si="119"/>
        <v>-548690613.27899992</v>
      </c>
    </row>
    <row r="269" spans="1:31" x14ac:dyDescent="0.25">
      <c r="A269">
        <v>32.785791940000003</v>
      </c>
      <c r="B269">
        <v>120.3626074</v>
      </c>
      <c r="C269">
        <v>17.774396899999999</v>
      </c>
      <c r="D269">
        <v>8.3521999999999999E-2</v>
      </c>
      <c r="E269" t="b">
        <f t="shared" si="96"/>
        <v>0</v>
      </c>
      <c r="F269">
        <f t="shared" si="97"/>
        <v>-88.788462499999994</v>
      </c>
      <c r="G269">
        <f t="shared" si="98"/>
        <v>-177.660447</v>
      </c>
      <c r="H269">
        <f t="shared" si="99"/>
        <v>-266.53243149999997</v>
      </c>
      <c r="I269">
        <f t="shared" si="100"/>
        <v>-355.40441599999997</v>
      </c>
      <c r="J269">
        <f t="shared" si="101"/>
        <v>-444.27640049999997</v>
      </c>
      <c r="L269">
        <f t="shared" si="102"/>
        <v>168714.44</v>
      </c>
      <c r="M269">
        <f t="shared" si="103"/>
        <v>-152716155.50000003</v>
      </c>
      <c r="N269">
        <f t="shared" si="104"/>
        <v>-262937461.56</v>
      </c>
      <c r="O269">
        <f t="shared" si="105"/>
        <v>-298516323.27999997</v>
      </c>
      <c r="P269">
        <f t="shared" si="106"/>
        <v>-326972062.71999991</v>
      </c>
      <c r="Q269">
        <f t="shared" si="107"/>
        <v>-382077704.42999995</v>
      </c>
      <c r="S269">
        <f t="shared" si="108"/>
        <v>204628.90000000002</v>
      </c>
      <c r="T269">
        <f t="shared" si="109"/>
        <v>-385523169.99000001</v>
      </c>
      <c r="U269">
        <f t="shared" si="110"/>
        <v>-330448431.41999996</v>
      </c>
      <c r="V269">
        <f t="shared" si="111"/>
        <v>-378476052.72999996</v>
      </c>
      <c r="W269">
        <f t="shared" si="112"/>
        <v>-486904049.91999996</v>
      </c>
      <c r="X269">
        <f t="shared" si="113"/>
        <v>-542017208.6099999</v>
      </c>
      <c r="Z269">
        <f t="shared" si="114"/>
        <v>240543.35999999999</v>
      </c>
      <c r="AA269">
        <f t="shared" si="115"/>
        <v>-232625771.75</v>
      </c>
      <c r="AB269">
        <f t="shared" si="116"/>
        <v>-397959401.28000003</v>
      </c>
      <c r="AC269">
        <f t="shared" si="117"/>
        <v>-522403565.73999995</v>
      </c>
      <c r="AD269">
        <f t="shared" si="118"/>
        <v>-646836037.11999989</v>
      </c>
      <c r="AE269">
        <f t="shared" si="119"/>
        <v>-701956712.78999996</v>
      </c>
    </row>
    <row r="270" spans="1:31" x14ac:dyDescent="0.25">
      <c r="A270">
        <v>32.789836639999997</v>
      </c>
      <c r="B270">
        <v>118.7737516</v>
      </c>
      <c r="C270">
        <v>13.949555399999999</v>
      </c>
      <c r="D270">
        <v>0.94662701999999999</v>
      </c>
      <c r="E270" t="b">
        <f t="shared" si="96"/>
        <v>0</v>
      </c>
      <c r="F270">
        <f t="shared" si="97"/>
        <v>-68.801149980000005</v>
      </c>
      <c r="G270">
        <f t="shared" si="98"/>
        <v>-138.54892698</v>
      </c>
      <c r="H270">
        <f t="shared" si="99"/>
        <v>-208.29670397999999</v>
      </c>
      <c r="I270">
        <f t="shared" si="100"/>
        <v>-278.04448098</v>
      </c>
      <c r="J270">
        <f t="shared" si="101"/>
        <v>-347.79225797999999</v>
      </c>
      <c r="L270">
        <f t="shared" si="102"/>
        <v>1912186.5804000001</v>
      </c>
      <c r="M270">
        <f t="shared" si="103"/>
        <v>-118337977.96560001</v>
      </c>
      <c r="N270">
        <f t="shared" si="104"/>
        <v>-205052411.93040001</v>
      </c>
      <c r="O270">
        <f t="shared" si="105"/>
        <v>-233292308.4576</v>
      </c>
      <c r="P270">
        <f t="shared" si="106"/>
        <v>-255800922.5016</v>
      </c>
      <c r="Q270">
        <f t="shared" si="107"/>
        <v>-299101341.86279994</v>
      </c>
      <c r="S270">
        <f t="shared" si="108"/>
        <v>2319236.199</v>
      </c>
      <c r="T270">
        <f t="shared" si="109"/>
        <v>-300651171.54660004</v>
      </c>
      <c r="U270">
        <f t="shared" si="110"/>
        <v>-257701004.18280002</v>
      </c>
      <c r="V270">
        <f t="shared" si="111"/>
        <v>-295781319.65159994</v>
      </c>
      <c r="W270">
        <f t="shared" si="112"/>
        <v>-380920938.94260007</v>
      </c>
      <c r="X270">
        <f t="shared" si="113"/>
        <v>-424306554.73559994</v>
      </c>
      <c r="Z270">
        <f t="shared" si="114"/>
        <v>2726285.8176000002</v>
      </c>
      <c r="AA270">
        <f t="shared" si="115"/>
        <v>-180259012.94760001</v>
      </c>
      <c r="AB270">
        <f t="shared" si="116"/>
        <v>-310349596.4352001</v>
      </c>
      <c r="AC270">
        <f t="shared" si="117"/>
        <v>-408261539.80079997</v>
      </c>
      <c r="AD270">
        <f t="shared" si="118"/>
        <v>-506040955.38360006</v>
      </c>
      <c r="AE270">
        <f t="shared" si="119"/>
        <v>-549511767.60839999</v>
      </c>
    </row>
    <row r="271" spans="1:31" x14ac:dyDescent="0.25">
      <c r="A271">
        <v>32.793800179999998</v>
      </c>
      <c r="B271">
        <v>119.9251289</v>
      </c>
      <c r="C271">
        <v>134.76608279999999</v>
      </c>
      <c r="D271">
        <v>2.9357829099999999</v>
      </c>
      <c r="E271" t="b">
        <f t="shared" si="96"/>
        <v>0</v>
      </c>
      <c r="F271">
        <f t="shared" si="97"/>
        <v>-670.89463109000008</v>
      </c>
      <c r="G271">
        <f t="shared" si="98"/>
        <v>-1344.7250450900001</v>
      </c>
      <c r="H271">
        <f t="shared" si="99"/>
        <v>-2018.5554590899999</v>
      </c>
      <c r="I271">
        <f t="shared" si="100"/>
        <v>-2692.3858730900001</v>
      </c>
      <c r="J271">
        <f t="shared" si="101"/>
        <v>-3366.2162870899997</v>
      </c>
      <c r="L271">
        <f t="shared" si="102"/>
        <v>5930281.4781999998</v>
      </c>
      <c r="M271">
        <f t="shared" si="103"/>
        <v>-1153938765.4748001</v>
      </c>
      <c r="N271">
        <f t="shared" si="104"/>
        <v>-1990193066.7332003</v>
      </c>
      <c r="O271">
        <f t="shared" si="105"/>
        <v>-2260782114.1808</v>
      </c>
      <c r="P271">
        <f t="shared" si="106"/>
        <v>-2476995003.2427998</v>
      </c>
      <c r="Q271">
        <f t="shared" si="107"/>
        <v>-2894946006.8973999</v>
      </c>
      <c r="S271">
        <f t="shared" si="108"/>
        <v>7192668.1294999998</v>
      </c>
      <c r="T271">
        <f t="shared" si="109"/>
        <v>-2918053347.8453002</v>
      </c>
      <c r="U271">
        <f t="shared" si="110"/>
        <v>-2501188583.8674002</v>
      </c>
      <c r="V271">
        <f t="shared" si="111"/>
        <v>-2866348751.9077997</v>
      </c>
      <c r="W271">
        <f t="shared" si="112"/>
        <v>-3688568646.1333003</v>
      </c>
      <c r="X271">
        <f t="shared" si="113"/>
        <v>-4106783870.2497997</v>
      </c>
      <c r="Z271">
        <f t="shared" si="114"/>
        <v>8455054.780799998</v>
      </c>
      <c r="AA271">
        <f t="shared" si="115"/>
        <v>-1757743933.4558001</v>
      </c>
      <c r="AB271">
        <f t="shared" si="116"/>
        <v>-3012184101.0016007</v>
      </c>
      <c r="AC271">
        <f t="shared" si="117"/>
        <v>-3956368699.8163996</v>
      </c>
      <c r="AD271">
        <f t="shared" si="118"/>
        <v>-4900142289.0238008</v>
      </c>
      <c r="AE271">
        <f t="shared" si="119"/>
        <v>-5318621733.6021996</v>
      </c>
    </row>
    <row r="272" spans="1:31" x14ac:dyDescent="0.25">
      <c r="A272">
        <v>32.806886280000001</v>
      </c>
      <c r="B272">
        <v>119.8176758</v>
      </c>
      <c r="C272">
        <v>134.76608279999999</v>
      </c>
      <c r="D272">
        <v>1.0994189999999999</v>
      </c>
      <c r="E272" t="b">
        <f t="shared" si="96"/>
        <v>0</v>
      </c>
      <c r="F272">
        <f t="shared" si="97"/>
        <v>-672.73099500000001</v>
      </c>
      <c r="G272">
        <f t="shared" si="98"/>
        <v>-1346.5614090000001</v>
      </c>
      <c r="H272">
        <f t="shared" si="99"/>
        <v>-2020.3918229999999</v>
      </c>
      <c r="I272">
        <f t="shared" si="100"/>
        <v>-2694.222237</v>
      </c>
      <c r="J272">
        <f t="shared" si="101"/>
        <v>-3368.0526509999995</v>
      </c>
      <c r="L272">
        <f t="shared" si="102"/>
        <v>2220826.38</v>
      </c>
      <c r="M272">
        <f t="shared" si="103"/>
        <v>-1157097311.4000001</v>
      </c>
      <c r="N272">
        <f t="shared" si="104"/>
        <v>-1992910885.3200004</v>
      </c>
      <c r="O272">
        <f t="shared" si="105"/>
        <v>-2262838841.7600002</v>
      </c>
      <c r="P272">
        <f t="shared" si="106"/>
        <v>-2478684458.04</v>
      </c>
      <c r="Q272">
        <f t="shared" si="107"/>
        <v>-2896525279.8599997</v>
      </c>
      <c r="S272">
        <f t="shared" si="108"/>
        <v>2693576.5500000003</v>
      </c>
      <c r="T272">
        <f t="shared" si="109"/>
        <v>-2922038257.5300002</v>
      </c>
      <c r="U272">
        <f t="shared" si="110"/>
        <v>-2504604220.7400002</v>
      </c>
      <c r="V272">
        <f t="shared" si="111"/>
        <v>-2868956388.6599998</v>
      </c>
      <c r="W272">
        <f t="shared" si="112"/>
        <v>-3691084464.6900001</v>
      </c>
      <c r="X272">
        <f t="shared" si="113"/>
        <v>-4109024234.2199993</v>
      </c>
      <c r="Z272">
        <f t="shared" si="114"/>
        <v>3166326.7199999997</v>
      </c>
      <c r="AA272">
        <f t="shared" si="115"/>
        <v>-1762555206.9000001</v>
      </c>
      <c r="AB272">
        <f t="shared" si="116"/>
        <v>-3016297556.1600008</v>
      </c>
      <c r="AC272">
        <f t="shared" si="117"/>
        <v>-3959967973.0799999</v>
      </c>
      <c r="AD272">
        <f t="shared" si="118"/>
        <v>-4903484471.3400002</v>
      </c>
      <c r="AE272">
        <f t="shared" si="119"/>
        <v>-5321523188.5799999</v>
      </c>
    </row>
    <row r="273" spans="1:31" x14ac:dyDescent="0.25">
      <c r="A273">
        <v>32.817074359999999</v>
      </c>
      <c r="B273">
        <v>118.9423567</v>
      </c>
      <c r="C273">
        <v>13.949555399999999</v>
      </c>
      <c r="D273">
        <v>1.6332730099999999</v>
      </c>
      <c r="E273" t="b">
        <f t="shared" si="96"/>
        <v>0</v>
      </c>
      <c r="F273">
        <f t="shared" si="97"/>
        <v>-68.114503990000003</v>
      </c>
      <c r="G273">
        <f t="shared" si="98"/>
        <v>-137.86228098999999</v>
      </c>
      <c r="H273">
        <f t="shared" si="99"/>
        <v>-207.61005798999997</v>
      </c>
      <c r="I273">
        <f t="shared" si="100"/>
        <v>-277.35783499000001</v>
      </c>
      <c r="J273">
        <f t="shared" si="101"/>
        <v>-347.10561199</v>
      </c>
      <c r="L273">
        <f t="shared" si="102"/>
        <v>3299211.4802000001</v>
      </c>
      <c r="M273">
        <f t="shared" si="103"/>
        <v>-117156946.86280003</v>
      </c>
      <c r="N273">
        <f t="shared" si="104"/>
        <v>-204036175.86519995</v>
      </c>
      <c r="O273">
        <f t="shared" si="105"/>
        <v>-232523264.9488</v>
      </c>
      <c r="P273">
        <f t="shared" si="106"/>
        <v>-255169208.19079998</v>
      </c>
      <c r="Q273">
        <f t="shared" si="107"/>
        <v>-298510826.3114</v>
      </c>
      <c r="S273">
        <f t="shared" si="108"/>
        <v>4001518.8745000004</v>
      </c>
      <c r="T273">
        <f t="shared" si="109"/>
        <v>-299161149.74829996</v>
      </c>
      <c r="U273">
        <f t="shared" si="110"/>
        <v>-256423842.64139995</v>
      </c>
      <c r="V273">
        <f t="shared" si="111"/>
        <v>-294806282.34579998</v>
      </c>
      <c r="W273">
        <f t="shared" si="112"/>
        <v>-379980233.93630004</v>
      </c>
      <c r="X273">
        <f t="shared" si="113"/>
        <v>-423468846.62779999</v>
      </c>
      <c r="Z273">
        <f t="shared" si="114"/>
        <v>4703826.2687999997</v>
      </c>
      <c r="AA273">
        <f t="shared" si="115"/>
        <v>-178460000.45380002</v>
      </c>
      <c r="AB273">
        <f t="shared" si="116"/>
        <v>-308811509.41759998</v>
      </c>
      <c r="AC273">
        <f t="shared" si="117"/>
        <v>-406915713.66039997</v>
      </c>
      <c r="AD273">
        <f t="shared" si="118"/>
        <v>-504791259.68180001</v>
      </c>
      <c r="AE273">
        <f t="shared" si="119"/>
        <v>-548426866.94420004</v>
      </c>
    </row>
    <row r="274" spans="1:31" x14ac:dyDescent="0.25">
      <c r="A274">
        <v>32.818749969999999</v>
      </c>
      <c r="B274">
        <v>113.15543839999999</v>
      </c>
      <c r="C274">
        <v>42.111118320000003</v>
      </c>
      <c r="D274">
        <v>1.0643060200000001</v>
      </c>
      <c r="E274" t="b">
        <f t="shared" si="96"/>
        <v>0</v>
      </c>
      <c r="F274">
        <f t="shared" si="97"/>
        <v>-209.49128558000001</v>
      </c>
      <c r="G274">
        <f t="shared" si="98"/>
        <v>-420.04687718000002</v>
      </c>
      <c r="H274">
        <f t="shared" si="99"/>
        <v>-630.60246877999998</v>
      </c>
      <c r="I274">
        <f t="shared" si="100"/>
        <v>-841.15806038000005</v>
      </c>
      <c r="J274">
        <f t="shared" si="101"/>
        <v>-1051.7136519800001</v>
      </c>
      <c r="L274">
        <f t="shared" si="102"/>
        <v>2149898.1603999999</v>
      </c>
      <c r="M274">
        <f t="shared" si="103"/>
        <v>-360325011.19760007</v>
      </c>
      <c r="N274">
        <f t="shared" si="104"/>
        <v>-621669378.22640002</v>
      </c>
      <c r="O274">
        <f t="shared" si="105"/>
        <v>-706274765.03360009</v>
      </c>
      <c r="P274">
        <f t="shared" si="106"/>
        <v>-773865415.54959989</v>
      </c>
      <c r="Q274">
        <f t="shared" si="107"/>
        <v>-904473740.70280015</v>
      </c>
      <c r="S274">
        <f t="shared" si="108"/>
        <v>2607549.7490000003</v>
      </c>
      <c r="T274">
        <f t="shared" si="109"/>
        <v>-911501723.4806</v>
      </c>
      <c r="U274">
        <f t="shared" si="110"/>
        <v>-781287191.55479991</v>
      </c>
      <c r="V274">
        <f t="shared" si="111"/>
        <v>-895455505.66759992</v>
      </c>
      <c r="W274">
        <f t="shared" si="112"/>
        <v>-1152386542.7206001</v>
      </c>
      <c r="X274">
        <f t="shared" si="113"/>
        <v>-1283090655.4156001</v>
      </c>
      <c r="Z274">
        <f t="shared" si="114"/>
        <v>3065201.3375999997</v>
      </c>
      <c r="AA274">
        <f t="shared" si="115"/>
        <v>-548867168.21960008</v>
      </c>
      <c r="AB274">
        <f t="shared" si="116"/>
        <v>-940905004.88320005</v>
      </c>
      <c r="AC274">
        <f t="shared" si="117"/>
        <v>-1235980838.8088</v>
      </c>
      <c r="AD274">
        <f t="shared" si="118"/>
        <v>-1530907669.8916001</v>
      </c>
      <c r="AE274">
        <f t="shared" si="119"/>
        <v>-1661707570.1284003</v>
      </c>
    </row>
    <row r="275" spans="1:31" x14ac:dyDescent="0.25">
      <c r="A275">
        <v>32.826326870000003</v>
      </c>
      <c r="B275">
        <v>119.656432</v>
      </c>
      <c r="C275">
        <v>134.76608279999999</v>
      </c>
      <c r="D275">
        <v>2.3453999999999999E-2</v>
      </c>
      <c r="E275" t="b">
        <f t="shared" si="96"/>
        <v>0</v>
      </c>
      <c r="F275">
        <f t="shared" si="97"/>
        <v>-673.80696</v>
      </c>
      <c r="G275">
        <f t="shared" si="98"/>
        <v>-1347.6373740000001</v>
      </c>
      <c r="H275">
        <f t="shared" si="99"/>
        <v>-2021.4677879999999</v>
      </c>
      <c r="I275">
        <f t="shared" si="100"/>
        <v>-2695.2982019999999</v>
      </c>
      <c r="J275">
        <f t="shared" si="101"/>
        <v>-3369.1286159999995</v>
      </c>
      <c r="L275">
        <f t="shared" si="102"/>
        <v>47377.08</v>
      </c>
      <c r="M275">
        <f t="shared" si="103"/>
        <v>-1158947971.2</v>
      </c>
      <c r="N275">
        <f t="shared" si="104"/>
        <v>-1994503313.5200002</v>
      </c>
      <c r="O275">
        <f t="shared" si="105"/>
        <v>-2264043922.5600004</v>
      </c>
      <c r="P275">
        <f t="shared" si="106"/>
        <v>-2479674345.8399997</v>
      </c>
      <c r="Q275">
        <f t="shared" si="107"/>
        <v>-2897450609.7599998</v>
      </c>
      <c r="S275">
        <f t="shared" si="108"/>
        <v>57462.3</v>
      </c>
      <c r="T275">
        <f t="shared" si="109"/>
        <v>-2924373101.5800004</v>
      </c>
      <c r="U275">
        <f t="shared" si="110"/>
        <v>-2506605515.6400003</v>
      </c>
      <c r="V275">
        <f t="shared" si="111"/>
        <v>-2870484258.96</v>
      </c>
      <c r="W275">
        <f t="shared" si="112"/>
        <v>-3692558536.7400002</v>
      </c>
      <c r="X275">
        <f t="shared" si="113"/>
        <v>-4110336911.5199995</v>
      </c>
      <c r="Z275">
        <f t="shared" si="114"/>
        <v>67547.520000000004</v>
      </c>
      <c r="AA275">
        <f t="shared" si="115"/>
        <v>-1765374235.2</v>
      </c>
      <c r="AB275">
        <f t="shared" si="116"/>
        <v>-3018707717.7600007</v>
      </c>
      <c r="AC275">
        <f t="shared" si="117"/>
        <v>-3962076864.48</v>
      </c>
      <c r="AD275">
        <f t="shared" si="118"/>
        <v>-4905442727.6400003</v>
      </c>
      <c r="AE275">
        <f t="shared" si="119"/>
        <v>-5323223213.2799997</v>
      </c>
    </row>
    <row r="276" spans="1:31" x14ac:dyDescent="0.25">
      <c r="A276">
        <v>32.837865209999997</v>
      </c>
      <c r="B276">
        <v>119.16488409999999</v>
      </c>
      <c r="C276">
        <v>13.185196879999999</v>
      </c>
      <c r="D276">
        <v>0.25119701</v>
      </c>
      <c r="E276" t="b">
        <f t="shared" si="96"/>
        <v>0</v>
      </c>
      <c r="F276">
        <f t="shared" si="97"/>
        <v>-65.674787390000006</v>
      </c>
      <c r="G276">
        <f t="shared" si="98"/>
        <v>-131.60077179000001</v>
      </c>
      <c r="H276">
        <f t="shared" si="99"/>
        <v>-197.52675618999999</v>
      </c>
      <c r="I276">
        <f t="shared" si="100"/>
        <v>-263.45274059000002</v>
      </c>
      <c r="J276">
        <f t="shared" si="101"/>
        <v>-329.37872498999997</v>
      </c>
      <c r="L276">
        <f t="shared" si="102"/>
        <v>507417.96020000003</v>
      </c>
      <c r="M276">
        <f t="shared" si="103"/>
        <v>-112960634.31080003</v>
      </c>
      <c r="N276">
        <f t="shared" si="104"/>
        <v>-194769142.24920002</v>
      </c>
      <c r="O276">
        <f t="shared" si="105"/>
        <v>-221229966.93280002</v>
      </c>
      <c r="P276">
        <f t="shared" si="106"/>
        <v>-242376521.34280002</v>
      </c>
      <c r="Q276">
        <f t="shared" si="107"/>
        <v>-283265703.49139994</v>
      </c>
      <c r="S276">
        <f t="shared" si="108"/>
        <v>615432.67450000008</v>
      </c>
      <c r="T276">
        <f t="shared" si="109"/>
        <v>-285573674.78430003</v>
      </c>
      <c r="U276">
        <f t="shared" si="110"/>
        <v>-244777435.52939999</v>
      </c>
      <c r="V276">
        <f t="shared" si="111"/>
        <v>-280487993.78979999</v>
      </c>
      <c r="W276">
        <f t="shared" si="112"/>
        <v>-360930254.60830009</v>
      </c>
      <c r="X276">
        <f t="shared" si="113"/>
        <v>-401842044.48779994</v>
      </c>
      <c r="Z276">
        <f t="shared" si="114"/>
        <v>723447.38879999996</v>
      </c>
      <c r="AA276">
        <f t="shared" si="115"/>
        <v>-172067942.96180004</v>
      </c>
      <c r="AB276">
        <f t="shared" si="116"/>
        <v>-294785728.80960006</v>
      </c>
      <c r="AC276">
        <f t="shared" si="117"/>
        <v>-387152442.13239998</v>
      </c>
      <c r="AD276">
        <f t="shared" si="118"/>
        <v>-479483987.8738001</v>
      </c>
      <c r="AE276">
        <f t="shared" si="119"/>
        <v>-520418385.48419994</v>
      </c>
    </row>
    <row r="277" spans="1:31" x14ac:dyDescent="0.25">
      <c r="A277">
        <v>32.844064709999998</v>
      </c>
      <c r="B277">
        <v>119.11107370000001</v>
      </c>
      <c r="C277">
        <v>13.185196879999999</v>
      </c>
      <c r="D277">
        <v>0.49432999</v>
      </c>
      <c r="E277" t="b">
        <f t="shared" si="96"/>
        <v>0</v>
      </c>
      <c r="F277">
        <f t="shared" si="97"/>
        <v>-65.431654410000007</v>
      </c>
      <c r="G277">
        <f t="shared" si="98"/>
        <v>-131.35763881</v>
      </c>
      <c r="H277">
        <f t="shared" si="99"/>
        <v>-197.28362320999997</v>
      </c>
      <c r="I277">
        <f t="shared" si="100"/>
        <v>-263.20960761000003</v>
      </c>
      <c r="J277">
        <f t="shared" si="101"/>
        <v>-329.13559200999998</v>
      </c>
      <c r="L277">
        <f t="shared" si="102"/>
        <v>998546.57979999995</v>
      </c>
      <c r="M277">
        <f t="shared" si="103"/>
        <v>-112542445.58520003</v>
      </c>
      <c r="N277">
        <f t="shared" si="104"/>
        <v>-194409305.43880001</v>
      </c>
      <c r="O277">
        <f t="shared" si="105"/>
        <v>-220957657.99520001</v>
      </c>
      <c r="P277">
        <f t="shared" si="106"/>
        <v>-242152839.00120002</v>
      </c>
      <c r="Q277">
        <f t="shared" si="107"/>
        <v>-283056609.1286</v>
      </c>
      <c r="S277">
        <f t="shared" si="108"/>
        <v>1211108.4755000002</v>
      </c>
      <c r="T277">
        <f t="shared" si="109"/>
        <v>-285046076.2177</v>
      </c>
      <c r="U277">
        <f t="shared" si="110"/>
        <v>-244325208.1866</v>
      </c>
      <c r="V277">
        <f t="shared" si="111"/>
        <v>-280142744.95819998</v>
      </c>
      <c r="W277">
        <f t="shared" si="112"/>
        <v>-360597162.42570007</v>
      </c>
      <c r="X277">
        <f t="shared" si="113"/>
        <v>-401545422.25220001</v>
      </c>
      <c r="Z277">
        <f t="shared" si="114"/>
        <v>1423670.3711999999</v>
      </c>
      <c r="AA277">
        <f t="shared" si="115"/>
        <v>-171430934.55420002</v>
      </c>
      <c r="AB277">
        <f t="shared" si="116"/>
        <v>-294241110.93440002</v>
      </c>
      <c r="AC277">
        <f t="shared" si="117"/>
        <v>-386675901.49159998</v>
      </c>
      <c r="AD277">
        <f t="shared" si="118"/>
        <v>-479041485.85020012</v>
      </c>
      <c r="AE277">
        <f t="shared" si="119"/>
        <v>-520034235.37580001</v>
      </c>
    </row>
    <row r="278" spans="1:31" x14ac:dyDescent="0.25">
      <c r="A278">
        <v>32.877061050000002</v>
      </c>
      <c r="B278">
        <v>119.2260782</v>
      </c>
      <c r="C278">
        <v>13.185196879999999</v>
      </c>
      <c r="D278">
        <v>0.95962000000000003</v>
      </c>
      <c r="E278" t="b">
        <f t="shared" si="96"/>
        <v>0</v>
      </c>
      <c r="F278">
        <f t="shared" si="97"/>
        <v>-64.966364400000003</v>
      </c>
      <c r="G278">
        <f t="shared" si="98"/>
        <v>-130.89234880000001</v>
      </c>
      <c r="H278">
        <f t="shared" si="99"/>
        <v>-196.81833319999998</v>
      </c>
      <c r="I278">
        <f t="shared" si="100"/>
        <v>-262.74431760000004</v>
      </c>
      <c r="J278">
        <f t="shared" si="101"/>
        <v>-328.67030199999999</v>
      </c>
      <c r="L278">
        <f t="shared" si="102"/>
        <v>1938432.4</v>
      </c>
      <c r="M278">
        <f t="shared" si="103"/>
        <v>-111742146.76800002</v>
      </c>
      <c r="N278">
        <f t="shared" si="104"/>
        <v>-193720676.22400001</v>
      </c>
      <c r="O278">
        <f t="shared" si="105"/>
        <v>-220436533.18400002</v>
      </c>
      <c r="P278">
        <f t="shared" si="106"/>
        <v>-241724772.19200003</v>
      </c>
      <c r="Q278">
        <f t="shared" si="107"/>
        <v>-282656459.71999997</v>
      </c>
      <c r="S278">
        <f t="shared" si="108"/>
        <v>2351069</v>
      </c>
      <c r="T278">
        <f t="shared" si="109"/>
        <v>-284036396.89600003</v>
      </c>
      <c r="U278">
        <f t="shared" si="110"/>
        <v>-243459768.76800001</v>
      </c>
      <c r="V278">
        <f t="shared" si="111"/>
        <v>-279482033.14399999</v>
      </c>
      <c r="W278">
        <f t="shared" si="112"/>
        <v>-359959715.11200011</v>
      </c>
      <c r="X278">
        <f t="shared" si="113"/>
        <v>-400977768.44</v>
      </c>
      <c r="Z278">
        <f t="shared" si="114"/>
        <v>2763705.6</v>
      </c>
      <c r="AA278">
        <f t="shared" si="115"/>
        <v>-170211874.72800002</v>
      </c>
      <c r="AB278">
        <f t="shared" si="116"/>
        <v>-293198861.31200004</v>
      </c>
      <c r="AC278">
        <f t="shared" si="117"/>
        <v>-385763933.07199997</v>
      </c>
      <c r="AD278">
        <f t="shared" si="118"/>
        <v>-478194658.03200012</v>
      </c>
      <c r="AE278">
        <f t="shared" si="119"/>
        <v>-519299077.16000003</v>
      </c>
    </row>
    <row r="279" spans="1:31" x14ac:dyDescent="0.25">
      <c r="A279">
        <v>32.883289449999999</v>
      </c>
      <c r="B279">
        <v>119.1722467</v>
      </c>
      <c r="C279">
        <v>13.185196879999999</v>
      </c>
      <c r="D279">
        <v>1.1769339999999999</v>
      </c>
      <c r="E279" t="b">
        <f t="shared" si="96"/>
        <v>0</v>
      </c>
      <c r="F279">
        <f t="shared" si="97"/>
        <v>-64.749050400000002</v>
      </c>
      <c r="G279">
        <f t="shared" si="98"/>
        <v>-130.67503480000002</v>
      </c>
      <c r="H279">
        <f t="shared" si="99"/>
        <v>-196.6010192</v>
      </c>
      <c r="I279">
        <f t="shared" si="100"/>
        <v>-262.5270036</v>
      </c>
      <c r="J279">
        <f t="shared" si="101"/>
        <v>-328.45298799999995</v>
      </c>
      <c r="L279">
        <f t="shared" si="102"/>
        <v>2377406.6800000002</v>
      </c>
      <c r="M279">
        <f t="shared" si="103"/>
        <v>-111368366.68800001</v>
      </c>
      <c r="N279">
        <f t="shared" si="104"/>
        <v>-193399051.50400004</v>
      </c>
      <c r="O279">
        <f t="shared" si="105"/>
        <v>-220193141.50400001</v>
      </c>
      <c r="P279">
        <f t="shared" si="106"/>
        <v>-241524843.31199998</v>
      </c>
      <c r="Q279">
        <f t="shared" si="107"/>
        <v>-282469569.67999995</v>
      </c>
      <c r="S279">
        <f t="shared" si="108"/>
        <v>2883488.3000000003</v>
      </c>
      <c r="T279">
        <f t="shared" si="109"/>
        <v>-283564825.51600003</v>
      </c>
      <c r="U279">
        <f t="shared" si="110"/>
        <v>-243055564.72800004</v>
      </c>
      <c r="V279">
        <f t="shared" si="111"/>
        <v>-279173447.264</v>
      </c>
      <c r="W279">
        <f t="shared" si="112"/>
        <v>-359661994.93200004</v>
      </c>
      <c r="X279">
        <f t="shared" si="113"/>
        <v>-400712645.3599999</v>
      </c>
      <c r="Z279">
        <f t="shared" si="114"/>
        <v>3389569.92</v>
      </c>
      <c r="AA279">
        <f t="shared" si="115"/>
        <v>-169642512.04800001</v>
      </c>
      <c r="AB279">
        <f t="shared" si="116"/>
        <v>-292712077.95200008</v>
      </c>
      <c r="AC279">
        <f t="shared" si="117"/>
        <v>-385337997.63199997</v>
      </c>
      <c r="AD279">
        <f t="shared" si="118"/>
        <v>-477799146.55199999</v>
      </c>
      <c r="AE279">
        <f t="shared" si="119"/>
        <v>-518955721.0399999</v>
      </c>
    </row>
    <row r="280" spans="1:31" x14ac:dyDescent="0.25">
      <c r="A280">
        <v>32.920130129999997</v>
      </c>
      <c r="B280">
        <v>118.8490865</v>
      </c>
      <c r="C280">
        <v>13.949555399999999</v>
      </c>
      <c r="D280">
        <v>0.76259398</v>
      </c>
      <c r="E280" t="b">
        <f t="shared" si="96"/>
        <v>0</v>
      </c>
      <c r="F280">
        <f t="shared" si="97"/>
        <v>-68.985183019999994</v>
      </c>
      <c r="G280">
        <f t="shared" si="98"/>
        <v>-138.73296002000001</v>
      </c>
      <c r="H280">
        <f t="shared" si="99"/>
        <v>-208.48073701999999</v>
      </c>
      <c r="I280">
        <f t="shared" si="100"/>
        <v>-278.22851401999998</v>
      </c>
      <c r="J280">
        <f t="shared" si="101"/>
        <v>-347.97629101999996</v>
      </c>
      <c r="L280">
        <f t="shared" si="102"/>
        <v>1540439.8396000001</v>
      </c>
      <c r="M280">
        <f t="shared" si="103"/>
        <v>-118654514.79440001</v>
      </c>
      <c r="N280">
        <f t="shared" si="104"/>
        <v>-205324780.82960001</v>
      </c>
      <c r="O280">
        <f t="shared" si="105"/>
        <v>-233498425.46239999</v>
      </c>
      <c r="P280">
        <f t="shared" si="106"/>
        <v>-255970232.89839995</v>
      </c>
      <c r="Q280">
        <f t="shared" si="107"/>
        <v>-299259610.27719998</v>
      </c>
      <c r="S280">
        <f t="shared" si="108"/>
        <v>1868355.2510000002</v>
      </c>
      <c r="T280">
        <f t="shared" si="109"/>
        <v>-301050523.24340004</v>
      </c>
      <c r="U280">
        <f t="shared" si="110"/>
        <v>-258043305.6372</v>
      </c>
      <c r="V280">
        <f t="shared" si="111"/>
        <v>-296042646.56839997</v>
      </c>
      <c r="W280">
        <f t="shared" si="112"/>
        <v>-381173064.20740002</v>
      </c>
      <c r="X280">
        <f t="shared" si="113"/>
        <v>-424531075.04439998</v>
      </c>
      <c r="Z280">
        <f t="shared" si="114"/>
        <v>2196270.6623999998</v>
      </c>
      <c r="AA280">
        <f t="shared" si="115"/>
        <v>-180741179.5124</v>
      </c>
      <c r="AB280">
        <f t="shared" si="116"/>
        <v>-310761830.44480008</v>
      </c>
      <c r="AC280">
        <f t="shared" si="117"/>
        <v>-408622244.55919993</v>
      </c>
      <c r="AD280">
        <f t="shared" si="118"/>
        <v>-506375895.51639998</v>
      </c>
      <c r="AE280">
        <f t="shared" si="119"/>
        <v>-549802539.81159997</v>
      </c>
    </row>
    <row r="281" spans="1:31" x14ac:dyDescent="0.25">
      <c r="A281">
        <v>32.934921840000001</v>
      </c>
      <c r="B281">
        <v>119.1257483</v>
      </c>
      <c r="C281">
        <v>13.185196879999999</v>
      </c>
      <c r="D281">
        <v>2.2273999999999999E-2</v>
      </c>
      <c r="E281" t="b">
        <f t="shared" si="96"/>
        <v>0</v>
      </c>
      <c r="F281">
        <f t="shared" si="97"/>
        <v>-65.903710400000008</v>
      </c>
      <c r="G281">
        <f t="shared" si="98"/>
        <v>-131.8296948</v>
      </c>
      <c r="H281">
        <f t="shared" si="99"/>
        <v>-197.75567919999997</v>
      </c>
      <c r="I281">
        <f t="shared" si="100"/>
        <v>-263.68166360000004</v>
      </c>
      <c r="J281">
        <f t="shared" si="101"/>
        <v>-329.60764799999998</v>
      </c>
      <c r="L281">
        <f t="shared" si="102"/>
        <v>44993.48</v>
      </c>
      <c r="M281">
        <f t="shared" si="103"/>
        <v>-113354381.88800003</v>
      </c>
      <c r="N281">
        <f t="shared" si="104"/>
        <v>-195107948.30399999</v>
      </c>
      <c r="O281">
        <f t="shared" si="105"/>
        <v>-221486360.704</v>
      </c>
      <c r="P281">
        <f t="shared" si="106"/>
        <v>-242587130.51199999</v>
      </c>
      <c r="Q281">
        <f t="shared" si="107"/>
        <v>-283462577.27999997</v>
      </c>
      <c r="S281">
        <f t="shared" si="108"/>
        <v>54571.3</v>
      </c>
      <c r="T281">
        <f t="shared" si="109"/>
        <v>-286070437.71599996</v>
      </c>
      <c r="U281">
        <f t="shared" si="110"/>
        <v>-245203232.32799998</v>
      </c>
      <c r="V281">
        <f t="shared" si="111"/>
        <v>-280813064.46399999</v>
      </c>
      <c r="W281">
        <f t="shared" si="112"/>
        <v>-361243879.13200009</v>
      </c>
      <c r="X281">
        <f t="shared" si="113"/>
        <v>-402121330.56</v>
      </c>
      <c r="Z281">
        <f t="shared" si="114"/>
        <v>64149.119999999995</v>
      </c>
      <c r="AA281">
        <f t="shared" si="115"/>
        <v>-172667721.24800003</v>
      </c>
      <c r="AB281">
        <f t="shared" si="116"/>
        <v>-295298516.352</v>
      </c>
      <c r="AC281">
        <f t="shared" si="117"/>
        <v>-387601131.23199999</v>
      </c>
      <c r="AD281">
        <f t="shared" si="118"/>
        <v>-479900627.75200003</v>
      </c>
      <c r="AE281">
        <f t="shared" si="119"/>
        <v>-520780083.84000003</v>
      </c>
    </row>
    <row r="282" spans="1:31" x14ac:dyDescent="0.25">
      <c r="A282">
        <v>32.971632890000002</v>
      </c>
      <c r="B282">
        <v>118.80236309999999</v>
      </c>
      <c r="C282">
        <v>13.185196879999999</v>
      </c>
      <c r="D282">
        <v>0.44052198999999997</v>
      </c>
      <c r="E282" t="b">
        <f t="shared" si="96"/>
        <v>0</v>
      </c>
      <c r="F282">
        <f t="shared" si="97"/>
        <v>-65.485462410000011</v>
      </c>
      <c r="G282">
        <f t="shared" si="98"/>
        <v>-131.41144681</v>
      </c>
      <c r="H282">
        <f t="shared" si="99"/>
        <v>-197.33743120999998</v>
      </c>
      <c r="I282">
        <f t="shared" si="100"/>
        <v>-263.26341561000004</v>
      </c>
      <c r="J282">
        <f t="shared" si="101"/>
        <v>-329.18940000999999</v>
      </c>
      <c r="L282">
        <f t="shared" si="102"/>
        <v>889854.41980000003</v>
      </c>
      <c r="M282">
        <f t="shared" si="103"/>
        <v>-112634995.34520003</v>
      </c>
      <c r="N282">
        <f t="shared" si="104"/>
        <v>-194488941.27880001</v>
      </c>
      <c r="O282">
        <f t="shared" si="105"/>
        <v>-221017922.95519999</v>
      </c>
      <c r="P282">
        <f t="shared" si="106"/>
        <v>-242202342.36120003</v>
      </c>
      <c r="Q282">
        <f t="shared" si="107"/>
        <v>-283102884.0086</v>
      </c>
      <c r="S282">
        <f t="shared" si="108"/>
        <v>1079278.8755000001</v>
      </c>
      <c r="T282">
        <f t="shared" si="109"/>
        <v>-285162839.57770002</v>
      </c>
      <c r="U282">
        <f t="shared" si="110"/>
        <v>-244425291.06659999</v>
      </c>
      <c r="V282">
        <f t="shared" si="111"/>
        <v>-280219152.31819993</v>
      </c>
      <c r="W282">
        <f t="shared" si="112"/>
        <v>-360670879.38570011</v>
      </c>
      <c r="X282">
        <f t="shared" si="113"/>
        <v>-401611068.0122</v>
      </c>
      <c r="Z282">
        <f t="shared" si="114"/>
        <v>1268703.3311999999</v>
      </c>
      <c r="AA282">
        <f t="shared" si="115"/>
        <v>-171571911.51420003</v>
      </c>
      <c r="AB282">
        <f t="shared" si="116"/>
        <v>-294361640.85440004</v>
      </c>
      <c r="AC282">
        <f t="shared" si="117"/>
        <v>-386781365.17159992</v>
      </c>
      <c r="AD282">
        <f t="shared" si="118"/>
        <v>-479139416.41020012</v>
      </c>
      <c r="AE282">
        <f t="shared" si="119"/>
        <v>-520119252.0158</v>
      </c>
    </row>
    <row r="283" spans="1:31" x14ac:dyDescent="0.25">
      <c r="A283">
        <v>32.986537579999997</v>
      </c>
      <c r="B283">
        <v>119.0791912</v>
      </c>
      <c r="C283">
        <v>13.185196879999999</v>
      </c>
      <c r="D283">
        <v>0.28646298999999997</v>
      </c>
      <c r="E283" t="b">
        <f t="shared" si="96"/>
        <v>0</v>
      </c>
      <c r="F283">
        <f t="shared" si="97"/>
        <v>-65.63952141</v>
      </c>
      <c r="G283">
        <f t="shared" si="98"/>
        <v>-131.56550581000002</v>
      </c>
      <c r="H283">
        <f t="shared" si="99"/>
        <v>-197.49149020999999</v>
      </c>
      <c r="I283">
        <f t="shared" si="100"/>
        <v>-263.41747461</v>
      </c>
      <c r="J283">
        <f t="shared" si="101"/>
        <v>-329.34345900999995</v>
      </c>
      <c r="L283">
        <f t="shared" si="102"/>
        <v>578655.23979999998</v>
      </c>
      <c r="M283">
        <f t="shared" si="103"/>
        <v>-112899976.82520002</v>
      </c>
      <c r="N283">
        <f t="shared" si="104"/>
        <v>-194716948.59880003</v>
      </c>
      <c r="O283">
        <f t="shared" si="105"/>
        <v>-221190469.03520003</v>
      </c>
      <c r="P283">
        <f t="shared" si="106"/>
        <v>-242344076.64119998</v>
      </c>
      <c r="Q283">
        <f t="shared" si="107"/>
        <v>-283235374.74859995</v>
      </c>
      <c r="S283">
        <f t="shared" si="108"/>
        <v>701834.32550000004</v>
      </c>
      <c r="T283">
        <f t="shared" si="109"/>
        <v>-285497147.60770005</v>
      </c>
      <c r="U283">
        <f t="shared" si="110"/>
        <v>-244711840.8066</v>
      </c>
      <c r="V283">
        <f t="shared" si="111"/>
        <v>-280437916.09820002</v>
      </c>
      <c r="W283">
        <f t="shared" si="112"/>
        <v>-360881940.21570003</v>
      </c>
      <c r="X283">
        <f t="shared" si="113"/>
        <v>-401799019.9921999</v>
      </c>
      <c r="Z283">
        <f t="shared" si="114"/>
        <v>825013.41119999997</v>
      </c>
      <c r="AA283">
        <f t="shared" si="115"/>
        <v>-171975546.09420002</v>
      </c>
      <c r="AB283">
        <f t="shared" si="116"/>
        <v>-294706733.01440006</v>
      </c>
      <c r="AC283">
        <f t="shared" si="117"/>
        <v>-387083320.81160003</v>
      </c>
      <c r="AD283">
        <f t="shared" si="118"/>
        <v>-479419803.7902</v>
      </c>
      <c r="AE283">
        <f t="shared" si="119"/>
        <v>-520362665.23579991</v>
      </c>
    </row>
    <row r="284" spans="1:31" x14ac:dyDescent="0.25">
      <c r="A284">
        <v>32.992697630000002</v>
      </c>
      <c r="B284">
        <v>119.0252763</v>
      </c>
      <c r="C284">
        <v>13.185196879999999</v>
      </c>
      <c r="D284">
        <v>6.6470000000000001E-2</v>
      </c>
      <c r="E284" t="b">
        <f t="shared" si="96"/>
        <v>0</v>
      </c>
      <c r="F284">
        <f t="shared" si="97"/>
        <v>-65.859514400000009</v>
      </c>
      <c r="G284">
        <f t="shared" si="98"/>
        <v>-131.7854988</v>
      </c>
      <c r="H284">
        <f t="shared" si="99"/>
        <v>-197.71148319999998</v>
      </c>
      <c r="I284">
        <f t="shared" si="100"/>
        <v>-263.63746760000004</v>
      </c>
      <c r="J284">
        <f t="shared" si="101"/>
        <v>-329.56345199999998</v>
      </c>
      <c r="L284">
        <f t="shared" si="102"/>
        <v>134269.4</v>
      </c>
      <c r="M284">
        <f t="shared" si="103"/>
        <v>-113278364.76800002</v>
      </c>
      <c r="N284">
        <f t="shared" si="104"/>
        <v>-195042538.22400001</v>
      </c>
      <c r="O284">
        <f t="shared" si="105"/>
        <v>-221436861.18400002</v>
      </c>
      <c r="P284">
        <f t="shared" si="106"/>
        <v>-242546470.192</v>
      </c>
      <c r="Q284">
        <f t="shared" si="107"/>
        <v>-283424568.71999997</v>
      </c>
      <c r="S284">
        <f t="shared" si="108"/>
        <v>162851.5</v>
      </c>
      <c r="T284">
        <f t="shared" si="109"/>
        <v>-285974532.39599997</v>
      </c>
      <c r="U284">
        <f t="shared" si="110"/>
        <v>-245121027.76799998</v>
      </c>
      <c r="V284">
        <f t="shared" si="111"/>
        <v>-280750306.14399999</v>
      </c>
      <c r="W284">
        <f t="shared" si="112"/>
        <v>-361183330.61200005</v>
      </c>
      <c r="X284">
        <f t="shared" si="113"/>
        <v>-402067411.44</v>
      </c>
      <c r="Z284">
        <f t="shared" si="114"/>
        <v>191433.60000000001</v>
      </c>
      <c r="AA284">
        <f t="shared" si="115"/>
        <v>-172551927.72800002</v>
      </c>
      <c r="AB284">
        <f t="shared" si="116"/>
        <v>-295199517.31200004</v>
      </c>
      <c r="AC284">
        <f t="shared" si="117"/>
        <v>-387514507.07199997</v>
      </c>
      <c r="AD284">
        <f t="shared" si="118"/>
        <v>-479820191.03200006</v>
      </c>
      <c r="AE284">
        <f t="shared" si="119"/>
        <v>-520710254.16000003</v>
      </c>
    </row>
    <row r="285" spans="1:31" x14ac:dyDescent="0.25">
      <c r="A285">
        <v>33.004941940000002</v>
      </c>
      <c r="B285">
        <v>118.9174222</v>
      </c>
      <c r="C285">
        <v>13.185196879999999</v>
      </c>
      <c r="D285">
        <v>1.3682639599999999</v>
      </c>
      <c r="E285" t="b">
        <f t="shared" si="96"/>
        <v>0</v>
      </c>
      <c r="F285">
        <f t="shared" si="97"/>
        <v>-64.557720440000011</v>
      </c>
      <c r="G285">
        <f t="shared" si="98"/>
        <v>-130.48370484</v>
      </c>
      <c r="H285">
        <f t="shared" si="99"/>
        <v>-196.40968923999998</v>
      </c>
      <c r="I285">
        <f t="shared" si="100"/>
        <v>-262.33567364000004</v>
      </c>
      <c r="J285">
        <f t="shared" si="101"/>
        <v>-328.26165803999999</v>
      </c>
      <c r="L285">
        <f t="shared" si="102"/>
        <v>2763893.1992000001</v>
      </c>
      <c r="M285">
        <f t="shared" si="103"/>
        <v>-111039279.15680003</v>
      </c>
      <c r="N285">
        <f t="shared" si="104"/>
        <v>-193115883.16319999</v>
      </c>
      <c r="O285">
        <f t="shared" si="105"/>
        <v>-219978851.9488</v>
      </c>
      <c r="P285">
        <f t="shared" si="106"/>
        <v>-241348819.74880001</v>
      </c>
      <c r="Q285">
        <f t="shared" si="107"/>
        <v>-282305025.91439998</v>
      </c>
      <c r="S285">
        <f t="shared" si="108"/>
        <v>3352246.702</v>
      </c>
      <c r="T285">
        <f t="shared" si="109"/>
        <v>-283149639.50279999</v>
      </c>
      <c r="U285">
        <f t="shared" si="110"/>
        <v>-242699691.00239998</v>
      </c>
      <c r="V285">
        <f t="shared" si="111"/>
        <v>-278901758.72079998</v>
      </c>
      <c r="W285">
        <f t="shared" si="112"/>
        <v>-359399872.88680011</v>
      </c>
      <c r="X285">
        <f t="shared" si="113"/>
        <v>-400479222.80879992</v>
      </c>
      <c r="Z285">
        <f t="shared" si="114"/>
        <v>3940600.2047999999</v>
      </c>
      <c r="AA285">
        <f t="shared" si="115"/>
        <v>-169141227.55280003</v>
      </c>
      <c r="AB285">
        <f t="shared" si="116"/>
        <v>-292283498.84160006</v>
      </c>
      <c r="AC285">
        <f t="shared" si="117"/>
        <v>-384962990.91039997</v>
      </c>
      <c r="AD285">
        <f t="shared" si="118"/>
        <v>-477450926.02480012</v>
      </c>
      <c r="AE285">
        <f t="shared" si="119"/>
        <v>-518653419.70319998</v>
      </c>
    </row>
    <row r="286" spans="1:31" x14ac:dyDescent="0.25">
      <c r="A286">
        <v>33.026049</v>
      </c>
      <c r="B286">
        <v>120.2951462</v>
      </c>
      <c r="C286">
        <v>134.76608279999999</v>
      </c>
      <c r="D286">
        <v>4.8578999999999997E-2</v>
      </c>
      <c r="E286" t="b">
        <f t="shared" si="96"/>
        <v>0</v>
      </c>
      <c r="F286">
        <f t="shared" si="97"/>
        <v>-673.781835</v>
      </c>
      <c r="G286">
        <f t="shared" si="98"/>
        <v>-1347.612249</v>
      </c>
      <c r="H286">
        <f t="shared" si="99"/>
        <v>-2021.4426629999998</v>
      </c>
      <c r="I286">
        <f t="shared" si="100"/>
        <v>-2695.2730770000003</v>
      </c>
      <c r="J286">
        <f t="shared" si="101"/>
        <v>-3369.1034909999998</v>
      </c>
      <c r="L286">
        <f t="shared" si="102"/>
        <v>98129.58</v>
      </c>
      <c r="M286">
        <f t="shared" si="103"/>
        <v>-1158904756.2</v>
      </c>
      <c r="N286">
        <f t="shared" si="104"/>
        <v>-1994466128.52</v>
      </c>
      <c r="O286">
        <f t="shared" si="105"/>
        <v>-2264015782.5599999</v>
      </c>
      <c r="P286">
        <f t="shared" si="106"/>
        <v>-2479651230.8400002</v>
      </c>
      <c r="Q286">
        <f t="shared" si="107"/>
        <v>-2897429002.2599998</v>
      </c>
      <c r="S286">
        <f t="shared" si="108"/>
        <v>119018.55</v>
      </c>
      <c r="T286">
        <f t="shared" si="109"/>
        <v>-2924318580.3299999</v>
      </c>
      <c r="U286">
        <f t="shared" si="110"/>
        <v>-2506558783.1399999</v>
      </c>
      <c r="V286">
        <f t="shared" si="111"/>
        <v>-2870448581.4599996</v>
      </c>
      <c r="W286">
        <f t="shared" si="112"/>
        <v>-3692524115.4900007</v>
      </c>
      <c r="X286">
        <f t="shared" si="113"/>
        <v>-4110306259.02</v>
      </c>
      <c r="Z286">
        <f t="shared" si="114"/>
        <v>139907.51999999999</v>
      </c>
      <c r="AA286">
        <f t="shared" si="115"/>
        <v>-1765308407.7</v>
      </c>
      <c r="AB286">
        <f t="shared" si="116"/>
        <v>-3018651437.7600002</v>
      </c>
      <c r="AC286">
        <f t="shared" si="117"/>
        <v>-3962027619.4799995</v>
      </c>
      <c r="AD286">
        <f t="shared" si="118"/>
        <v>-4905397000.1400013</v>
      </c>
      <c r="AE286">
        <f t="shared" si="119"/>
        <v>-5323183515.7800007</v>
      </c>
    </row>
    <row r="287" spans="1:31" x14ac:dyDescent="0.25">
      <c r="A287">
        <v>33.03197291</v>
      </c>
      <c r="B287">
        <v>119.08651949999999</v>
      </c>
      <c r="C287">
        <v>13.185196879999999</v>
      </c>
      <c r="D287">
        <v>9.7149999999999997E-3</v>
      </c>
      <c r="E287" t="b">
        <f t="shared" si="96"/>
        <v>0</v>
      </c>
      <c r="F287">
        <f t="shared" si="97"/>
        <v>-65.916269400000004</v>
      </c>
      <c r="G287">
        <f t="shared" si="98"/>
        <v>-131.84225380000001</v>
      </c>
      <c r="H287">
        <f t="shared" si="99"/>
        <v>-197.76823819999998</v>
      </c>
      <c r="I287">
        <f t="shared" si="100"/>
        <v>-263.69422259999999</v>
      </c>
      <c r="J287">
        <f t="shared" si="101"/>
        <v>-329.62020699999994</v>
      </c>
      <c r="L287">
        <f t="shared" si="102"/>
        <v>19624.3</v>
      </c>
      <c r="M287">
        <f t="shared" si="103"/>
        <v>-113375983.36800003</v>
      </c>
      <c r="N287">
        <f t="shared" si="104"/>
        <v>-195126535.62400001</v>
      </c>
      <c r="O287">
        <f t="shared" si="105"/>
        <v>-221500426.78400001</v>
      </c>
      <c r="P287">
        <f t="shared" si="106"/>
        <v>-242598684.79199997</v>
      </c>
      <c r="Q287">
        <f t="shared" si="107"/>
        <v>-283473378.01999992</v>
      </c>
      <c r="S287">
        <f t="shared" si="108"/>
        <v>23801.75</v>
      </c>
      <c r="T287">
        <f t="shared" si="109"/>
        <v>-286097690.74599999</v>
      </c>
      <c r="U287">
        <f t="shared" si="110"/>
        <v>-245226592.06800002</v>
      </c>
      <c r="V287">
        <f t="shared" si="111"/>
        <v>-280830898.24399996</v>
      </c>
      <c r="W287">
        <f t="shared" si="112"/>
        <v>-361261084.96200001</v>
      </c>
      <c r="X287">
        <f t="shared" si="113"/>
        <v>-402136652.5399999</v>
      </c>
      <c r="Z287">
        <f t="shared" si="114"/>
        <v>27979.200000000001</v>
      </c>
      <c r="AA287">
        <f t="shared" si="115"/>
        <v>-172700625.82800001</v>
      </c>
      <c r="AB287">
        <f t="shared" si="116"/>
        <v>-295326648.51200008</v>
      </c>
      <c r="AC287">
        <f t="shared" si="117"/>
        <v>-387625746.87199998</v>
      </c>
      <c r="AD287">
        <f t="shared" si="118"/>
        <v>-479923485.13200003</v>
      </c>
      <c r="AE287">
        <f t="shared" si="119"/>
        <v>-520799927.05999994</v>
      </c>
    </row>
    <row r="288" spans="1:31" x14ac:dyDescent="0.25">
      <c r="A288">
        <v>33.05038819</v>
      </c>
      <c r="B288">
        <v>118.92466210000001</v>
      </c>
      <c r="C288">
        <v>13.185196879999999</v>
      </c>
      <c r="D288">
        <v>0.47516998999999999</v>
      </c>
      <c r="E288" t="b">
        <f t="shared" si="96"/>
        <v>0</v>
      </c>
      <c r="F288">
        <f t="shared" si="97"/>
        <v>-65.450814410000007</v>
      </c>
      <c r="G288">
        <f t="shared" si="98"/>
        <v>-131.37679881</v>
      </c>
      <c r="H288">
        <f t="shared" si="99"/>
        <v>-197.30278320999997</v>
      </c>
      <c r="I288">
        <f t="shared" si="100"/>
        <v>-263.22876761000003</v>
      </c>
      <c r="J288">
        <f t="shared" si="101"/>
        <v>-329.15475200999998</v>
      </c>
      <c r="L288">
        <f t="shared" si="102"/>
        <v>959843.3798</v>
      </c>
      <c r="M288">
        <f t="shared" si="103"/>
        <v>-112575400.78520001</v>
      </c>
      <c r="N288">
        <f t="shared" si="104"/>
        <v>-194437662.23879999</v>
      </c>
      <c r="O288">
        <f t="shared" si="105"/>
        <v>-220979117.1952</v>
      </c>
      <c r="P288">
        <f t="shared" si="106"/>
        <v>-242170466.20120001</v>
      </c>
      <c r="Q288">
        <f t="shared" si="107"/>
        <v>-283073086.72859997</v>
      </c>
      <c r="S288">
        <f t="shared" si="108"/>
        <v>1164166.4755000002</v>
      </c>
      <c r="T288">
        <f t="shared" si="109"/>
        <v>-285087653.41769999</v>
      </c>
      <c r="U288">
        <f t="shared" si="110"/>
        <v>-244360845.78659999</v>
      </c>
      <c r="V288">
        <f t="shared" si="111"/>
        <v>-280169952.15819997</v>
      </c>
      <c r="W288">
        <f t="shared" si="112"/>
        <v>-360623411.62570012</v>
      </c>
      <c r="X288">
        <f t="shared" si="113"/>
        <v>-401568797.4522</v>
      </c>
      <c r="Z288">
        <f t="shared" si="114"/>
        <v>1368489.5711999999</v>
      </c>
      <c r="AA288">
        <f t="shared" si="115"/>
        <v>-171481133.75420001</v>
      </c>
      <c r="AB288">
        <f t="shared" si="116"/>
        <v>-294284029.33440006</v>
      </c>
      <c r="AC288">
        <f t="shared" si="117"/>
        <v>-386713455.09159994</v>
      </c>
      <c r="AD288">
        <f t="shared" si="118"/>
        <v>-479076357.0502001</v>
      </c>
      <c r="AE288">
        <f t="shared" si="119"/>
        <v>-520064508.17580003</v>
      </c>
    </row>
    <row r="289" spans="1:31" x14ac:dyDescent="0.25">
      <c r="A289">
        <v>33.064645949999999</v>
      </c>
      <c r="B289">
        <v>118.37767340000001</v>
      </c>
      <c r="C289">
        <v>4.5904979700000004</v>
      </c>
      <c r="D289">
        <v>0.34090501000000001</v>
      </c>
      <c r="E289" t="b">
        <f t="shared" si="96"/>
        <v>0</v>
      </c>
      <c r="F289">
        <f t="shared" si="97"/>
        <v>-22.611584840000003</v>
      </c>
      <c r="G289">
        <f t="shared" si="98"/>
        <v>-45.564074690000005</v>
      </c>
      <c r="H289">
        <f t="shared" si="99"/>
        <v>-68.516564540000005</v>
      </c>
      <c r="I289">
        <f t="shared" si="100"/>
        <v>-91.469054390000011</v>
      </c>
      <c r="J289">
        <f t="shared" si="101"/>
        <v>-114.42154424</v>
      </c>
      <c r="L289">
        <f t="shared" si="102"/>
        <v>688628.1202</v>
      </c>
      <c r="M289">
        <f t="shared" si="103"/>
        <v>-38891925.924800009</v>
      </c>
      <c r="N289">
        <f t="shared" si="104"/>
        <v>-67434830.541200012</v>
      </c>
      <c r="O289">
        <f t="shared" si="105"/>
        <v>-76738552.284800008</v>
      </c>
      <c r="P289">
        <f t="shared" si="106"/>
        <v>-84151530.038800001</v>
      </c>
      <c r="Q289">
        <f t="shared" si="107"/>
        <v>-98402528.046400011</v>
      </c>
      <c r="S289">
        <f t="shared" si="108"/>
        <v>835217.27450000006</v>
      </c>
      <c r="T289">
        <f t="shared" si="109"/>
        <v>-98874042.077300012</v>
      </c>
      <c r="U289">
        <f t="shared" si="110"/>
        <v>-84749178.9234</v>
      </c>
      <c r="V289">
        <f t="shared" si="111"/>
        <v>-97293521.646800011</v>
      </c>
      <c r="W289">
        <f t="shared" si="112"/>
        <v>-125312604.51430003</v>
      </c>
      <c r="X289">
        <f t="shared" si="113"/>
        <v>-139594283.97280002</v>
      </c>
      <c r="Z289">
        <f t="shared" si="114"/>
        <v>981806.42879999999</v>
      </c>
      <c r="AA289">
        <f t="shared" si="115"/>
        <v>-59242352.280800015</v>
      </c>
      <c r="AB289">
        <f t="shared" si="116"/>
        <v>-102063527.30560002</v>
      </c>
      <c r="AC289">
        <f t="shared" si="117"/>
        <v>-134292466.4984</v>
      </c>
      <c r="AD289">
        <f t="shared" si="118"/>
        <v>-166473678.98980004</v>
      </c>
      <c r="AE289">
        <f t="shared" si="119"/>
        <v>-180786039.89920002</v>
      </c>
    </row>
    <row r="290" spans="1:31" x14ac:dyDescent="0.25">
      <c r="A290">
        <v>33.068575860000003</v>
      </c>
      <c r="B290">
        <v>118.762732</v>
      </c>
      <c r="C290">
        <v>4.5904979700000004</v>
      </c>
      <c r="D290">
        <v>0.12783900000000001</v>
      </c>
      <c r="E290" t="b">
        <f t="shared" si="96"/>
        <v>0</v>
      </c>
      <c r="F290">
        <f t="shared" si="97"/>
        <v>-22.824650850000001</v>
      </c>
      <c r="G290">
        <f t="shared" si="98"/>
        <v>-45.777140700000004</v>
      </c>
      <c r="H290">
        <f t="shared" si="99"/>
        <v>-68.72963055000001</v>
      </c>
      <c r="I290">
        <f t="shared" si="100"/>
        <v>-91.682120400000017</v>
      </c>
      <c r="J290">
        <f t="shared" si="101"/>
        <v>-114.63461025000001</v>
      </c>
      <c r="L290">
        <f t="shared" si="102"/>
        <v>258234.78000000003</v>
      </c>
      <c r="M290">
        <f t="shared" si="103"/>
        <v>-39258399.462000005</v>
      </c>
      <c r="N290">
        <f t="shared" si="104"/>
        <v>-67750168.236000001</v>
      </c>
      <c r="O290">
        <f t="shared" si="105"/>
        <v>-76977186.216000021</v>
      </c>
      <c r="P290">
        <f t="shared" si="106"/>
        <v>-84347550.768000007</v>
      </c>
      <c r="Q290">
        <f t="shared" si="107"/>
        <v>-98585764.815000013</v>
      </c>
      <c r="S290">
        <f t="shared" si="108"/>
        <v>313205.55000000005</v>
      </c>
      <c r="T290">
        <f t="shared" si="109"/>
        <v>-99336395.319000006</v>
      </c>
      <c r="U290">
        <f t="shared" si="110"/>
        <v>-85145481.702000007</v>
      </c>
      <c r="V290">
        <f t="shared" si="111"/>
        <v>-97596075.381000012</v>
      </c>
      <c r="W290">
        <f t="shared" si="112"/>
        <v>-125604504.94800004</v>
      </c>
      <c r="X290">
        <f t="shared" si="113"/>
        <v>-139854224.50500003</v>
      </c>
      <c r="Z290">
        <f t="shared" si="114"/>
        <v>368176.32</v>
      </c>
      <c r="AA290">
        <f t="shared" si="115"/>
        <v>-59800585.227000006</v>
      </c>
      <c r="AB290">
        <f t="shared" si="116"/>
        <v>-102540795.16800001</v>
      </c>
      <c r="AC290">
        <f t="shared" si="117"/>
        <v>-134710075.87800002</v>
      </c>
      <c r="AD290">
        <f t="shared" si="118"/>
        <v>-166861459.12800005</v>
      </c>
      <c r="AE290">
        <f t="shared" si="119"/>
        <v>-181122684.19500002</v>
      </c>
    </row>
    <row r="291" spans="1:31" x14ac:dyDescent="0.25">
      <c r="A291">
        <v>33.07121678</v>
      </c>
      <c r="B291">
        <v>119.1478216</v>
      </c>
      <c r="C291">
        <v>13.185196879999999</v>
      </c>
      <c r="D291">
        <v>0.70388596999999997</v>
      </c>
      <c r="E291" t="b">
        <f t="shared" si="96"/>
        <v>0</v>
      </c>
      <c r="F291">
        <f t="shared" si="97"/>
        <v>-65.222098430000003</v>
      </c>
      <c r="G291">
        <f t="shared" si="98"/>
        <v>-131.14808283000002</v>
      </c>
      <c r="H291">
        <f t="shared" si="99"/>
        <v>-197.07406723</v>
      </c>
      <c r="I291">
        <f t="shared" si="100"/>
        <v>-263.00005163000003</v>
      </c>
      <c r="J291">
        <f t="shared" si="101"/>
        <v>-328.92603602999998</v>
      </c>
      <c r="L291">
        <f t="shared" si="102"/>
        <v>1421849.6594</v>
      </c>
      <c r="M291">
        <f t="shared" si="103"/>
        <v>-112182009.29960001</v>
      </c>
      <c r="N291">
        <f t="shared" si="104"/>
        <v>-194099162.58840004</v>
      </c>
      <c r="O291">
        <f t="shared" si="105"/>
        <v>-220722955.2976</v>
      </c>
      <c r="P291">
        <f t="shared" si="106"/>
        <v>-241960047.49959999</v>
      </c>
      <c r="Q291">
        <f t="shared" si="107"/>
        <v>-282876390.98579997</v>
      </c>
      <c r="S291">
        <f t="shared" si="108"/>
        <v>1724520.6265</v>
      </c>
      <c r="T291">
        <f t="shared" si="109"/>
        <v>-284591339.74110007</v>
      </c>
      <c r="U291">
        <f t="shared" si="110"/>
        <v>-243935434.06380004</v>
      </c>
      <c r="V291">
        <f t="shared" si="111"/>
        <v>-279845175.46659994</v>
      </c>
      <c r="W291">
        <f t="shared" si="112"/>
        <v>-360310070.73310006</v>
      </c>
      <c r="X291">
        <f t="shared" si="113"/>
        <v>-401289763.95659995</v>
      </c>
      <c r="Z291">
        <f t="shared" si="114"/>
        <v>2027191.5935999998</v>
      </c>
      <c r="AA291">
        <f t="shared" si="115"/>
        <v>-170881897.88660002</v>
      </c>
      <c r="AB291">
        <f t="shared" si="116"/>
        <v>-293771705.53920007</v>
      </c>
      <c r="AC291">
        <f t="shared" si="117"/>
        <v>-386265171.77079999</v>
      </c>
      <c r="AD291">
        <f t="shared" si="118"/>
        <v>-478660093.96660006</v>
      </c>
      <c r="AE291">
        <f t="shared" si="119"/>
        <v>-519703136.92739999</v>
      </c>
    </row>
    <row r="292" spans="1:31" x14ac:dyDescent="0.25">
      <c r="A292">
        <v>33.089718859999998</v>
      </c>
      <c r="B292">
        <v>118.98590009999999</v>
      </c>
      <c r="C292">
        <v>13.185196879999999</v>
      </c>
      <c r="D292">
        <v>4.1453999999999998E-2</v>
      </c>
      <c r="E292" t="b">
        <f t="shared" si="96"/>
        <v>0</v>
      </c>
      <c r="F292">
        <f t="shared" si="97"/>
        <v>-65.884530400000003</v>
      </c>
      <c r="G292">
        <f t="shared" si="98"/>
        <v>-131.81051480000002</v>
      </c>
      <c r="H292">
        <f t="shared" si="99"/>
        <v>-197.7364992</v>
      </c>
      <c r="I292">
        <f t="shared" si="100"/>
        <v>-263.66248360000003</v>
      </c>
      <c r="J292">
        <f t="shared" si="101"/>
        <v>-329.58846799999998</v>
      </c>
      <c r="L292">
        <f t="shared" si="102"/>
        <v>83737.08</v>
      </c>
      <c r="M292">
        <f t="shared" si="103"/>
        <v>-113321392.28800002</v>
      </c>
      <c r="N292">
        <f t="shared" si="104"/>
        <v>-195079561.90400004</v>
      </c>
      <c r="O292">
        <f t="shared" si="105"/>
        <v>-221464879.104</v>
      </c>
      <c r="P292">
        <f t="shared" si="106"/>
        <v>-242569484.912</v>
      </c>
      <c r="Q292">
        <f t="shared" si="107"/>
        <v>-283446082.48000002</v>
      </c>
      <c r="S292">
        <f t="shared" si="108"/>
        <v>101562.3</v>
      </c>
      <c r="T292">
        <f t="shared" si="109"/>
        <v>-286028817.11600006</v>
      </c>
      <c r="U292">
        <f t="shared" si="110"/>
        <v>-245167557.52800003</v>
      </c>
      <c r="V292">
        <f t="shared" si="111"/>
        <v>-280785828.86399996</v>
      </c>
      <c r="W292">
        <f t="shared" si="112"/>
        <v>-361217602.53200006</v>
      </c>
      <c r="X292">
        <f t="shared" si="113"/>
        <v>-402097930.95999998</v>
      </c>
      <c r="Z292">
        <f t="shared" si="114"/>
        <v>119387.51999999999</v>
      </c>
      <c r="AA292">
        <f t="shared" si="115"/>
        <v>-172617469.64800003</v>
      </c>
      <c r="AB292">
        <f t="shared" si="116"/>
        <v>-295255553.15200007</v>
      </c>
      <c r="AC292">
        <f t="shared" si="117"/>
        <v>-387563538.43199998</v>
      </c>
      <c r="AD292">
        <f t="shared" si="118"/>
        <v>-479865720.15200007</v>
      </c>
      <c r="AE292">
        <f t="shared" si="119"/>
        <v>-520749779.44</v>
      </c>
    </row>
    <row r="293" spans="1:31" x14ac:dyDescent="0.25">
      <c r="A293">
        <v>33.116650780000001</v>
      </c>
      <c r="B293">
        <v>119.1551958</v>
      </c>
      <c r="C293">
        <v>13.185196879999999</v>
      </c>
      <c r="D293">
        <v>2.1307E-2</v>
      </c>
      <c r="E293" t="b">
        <f t="shared" si="96"/>
        <v>0</v>
      </c>
      <c r="F293">
        <f t="shared" si="97"/>
        <v>-65.904677400000011</v>
      </c>
      <c r="G293">
        <f t="shared" si="98"/>
        <v>-131.8306618</v>
      </c>
      <c r="H293">
        <f t="shared" si="99"/>
        <v>-197.75664619999998</v>
      </c>
      <c r="I293">
        <f t="shared" si="100"/>
        <v>-263.68263060000004</v>
      </c>
      <c r="J293">
        <f t="shared" si="101"/>
        <v>-329.60861499999999</v>
      </c>
      <c r="L293">
        <f t="shared" si="102"/>
        <v>43040.14</v>
      </c>
      <c r="M293">
        <f t="shared" si="103"/>
        <v>-113356045.12800004</v>
      </c>
      <c r="N293">
        <f t="shared" si="104"/>
        <v>-195109379.46399999</v>
      </c>
      <c r="O293">
        <f t="shared" si="105"/>
        <v>-221487443.74400002</v>
      </c>
      <c r="P293">
        <f t="shared" si="106"/>
        <v>-242588020.15200001</v>
      </c>
      <c r="Q293">
        <f t="shared" si="107"/>
        <v>-283463408.89999998</v>
      </c>
      <c r="S293">
        <f t="shared" si="108"/>
        <v>52202.15</v>
      </c>
      <c r="T293">
        <f t="shared" si="109"/>
        <v>-286072536.10600001</v>
      </c>
      <c r="U293">
        <f t="shared" si="110"/>
        <v>-245205030.94799998</v>
      </c>
      <c r="V293">
        <f t="shared" si="111"/>
        <v>-280814437.60399997</v>
      </c>
      <c r="W293">
        <f t="shared" si="112"/>
        <v>-361245203.92200005</v>
      </c>
      <c r="X293">
        <f t="shared" si="113"/>
        <v>-402122510.30000001</v>
      </c>
      <c r="Z293">
        <f t="shared" si="114"/>
        <v>61364.159999999996</v>
      </c>
      <c r="AA293">
        <f t="shared" si="115"/>
        <v>-172670254.78800005</v>
      </c>
      <c r="AB293">
        <f t="shared" si="116"/>
        <v>-295300682.43200004</v>
      </c>
      <c r="AC293">
        <f t="shared" si="117"/>
        <v>-387603026.55199999</v>
      </c>
      <c r="AD293">
        <f t="shared" si="118"/>
        <v>-479902387.69200003</v>
      </c>
      <c r="AE293">
        <f t="shared" si="119"/>
        <v>-520781611.70000005</v>
      </c>
    </row>
    <row r="294" spans="1:31" x14ac:dyDescent="0.25">
      <c r="A294">
        <v>33.15344906</v>
      </c>
      <c r="B294">
        <v>118.83110240000001</v>
      </c>
      <c r="C294">
        <v>4.5469388999999998</v>
      </c>
      <c r="D294">
        <v>0.102087</v>
      </c>
      <c r="E294" t="b">
        <f t="shared" si="96"/>
        <v>0</v>
      </c>
      <c r="F294">
        <f t="shared" si="97"/>
        <v>-22.632607499999999</v>
      </c>
      <c r="G294">
        <f t="shared" si="98"/>
        <v>-45.367302000000002</v>
      </c>
      <c r="H294">
        <f t="shared" si="99"/>
        <v>-68.101996499999998</v>
      </c>
      <c r="I294">
        <f t="shared" si="100"/>
        <v>-90.836691000000002</v>
      </c>
      <c r="J294">
        <f t="shared" si="101"/>
        <v>-113.57138549999999</v>
      </c>
      <c r="L294">
        <f t="shared" si="102"/>
        <v>206215.74</v>
      </c>
      <c r="M294">
        <f t="shared" si="103"/>
        <v>-38928084.900000006</v>
      </c>
      <c r="N294">
        <f t="shared" si="104"/>
        <v>-67143606.959999993</v>
      </c>
      <c r="O294">
        <f t="shared" si="105"/>
        <v>-76274236.080000013</v>
      </c>
      <c r="P294">
        <f t="shared" si="106"/>
        <v>-83569755.719999999</v>
      </c>
      <c r="Q294">
        <f t="shared" si="107"/>
        <v>-97671391.529999986</v>
      </c>
      <c r="S294">
        <f t="shared" si="108"/>
        <v>250113.15000000002</v>
      </c>
      <c r="T294">
        <f t="shared" si="109"/>
        <v>-98447045.340000004</v>
      </c>
      <c r="U294">
        <f t="shared" si="110"/>
        <v>-84383181.719999999</v>
      </c>
      <c r="V294">
        <f t="shared" si="111"/>
        <v>-96704835.030000001</v>
      </c>
      <c r="W294">
        <f t="shared" si="112"/>
        <v>-124446266.67000002</v>
      </c>
      <c r="X294">
        <f t="shared" si="113"/>
        <v>-138557090.30999997</v>
      </c>
      <c r="Z294">
        <f t="shared" si="114"/>
        <v>294010.56</v>
      </c>
      <c r="AA294">
        <f t="shared" si="115"/>
        <v>-59297431.650000006</v>
      </c>
      <c r="AB294">
        <f t="shared" si="116"/>
        <v>-101622756.48</v>
      </c>
      <c r="AC294">
        <f t="shared" si="117"/>
        <v>-133479913.14</v>
      </c>
      <c r="AD294">
        <f t="shared" si="118"/>
        <v>-165322777.62</v>
      </c>
      <c r="AE294">
        <f t="shared" si="119"/>
        <v>-179442789.08999997</v>
      </c>
    </row>
    <row r="295" spans="1:31" x14ac:dyDescent="0.25">
      <c r="A295">
        <v>33.332170650000002</v>
      </c>
      <c r="B295">
        <v>119.68679349999999</v>
      </c>
      <c r="C295">
        <v>7.8538036299999998</v>
      </c>
      <c r="D295">
        <v>6.5775E-2</v>
      </c>
      <c r="E295" t="b">
        <f t="shared" si="96"/>
        <v>0</v>
      </c>
      <c r="F295">
        <f t="shared" si="97"/>
        <v>-39.203243149999999</v>
      </c>
      <c r="G295">
        <f t="shared" si="98"/>
        <v>-78.4722613</v>
      </c>
      <c r="H295">
        <f t="shared" si="99"/>
        <v>-117.74127944999999</v>
      </c>
      <c r="I295">
        <f t="shared" si="100"/>
        <v>-157.0102976</v>
      </c>
      <c r="J295">
        <f t="shared" si="101"/>
        <v>-196.27931574999999</v>
      </c>
      <c r="L295">
        <f t="shared" si="102"/>
        <v>132865.5</v>
      </c>
      <c r="M295">
        <f t="shared" si="103"/>
        <v>-67429578.21800001</v>
      </c>
      <c r="N295">
        <f t="shared" si="104"/>
        <v>-116138946.72399999</v>
      </c>
      <c r="O295">
        <f t="shared" si="105"/>
        <v>-131870232.984</v>
      </c>
      <c r="P295">
        <f t="shared" si="106"/>
        <v>-144449473.792</v>
      </c>
      <c r="Q295">
        <f t="shared" si="107"/>
        <v>-168800211.54499999</v>
      </c>
      <c r="S295">
        <f t="shared" si="108"/>
        <v>161148.75</v>
      </c>
      <c r="T295">
        <f t="shared" si="109"/>
        <v>-170284807.021</v>
      </c>
      <c r="U295">
        <f t="shared" si="110"/>
        <v>-145958406.01799998</v>
      </c>
      <c r="V295">
        <f t="shared" si="111"/>
        <v>-167192616.81899998</v>
      </c>
      <c r="W295">
        <f t="shared" si="112"/>
        <v>-215104107.71200001</v>
      </c>
      <c r="X295">
        <f t="shared" si="113"/>
        <v>-239460765.215</v>
      </c>
      <c r="Z295">
        <f t="shared" si="114"/>
        <v>189432</v>
      </c>
      <c r="AA295">
        <f t="shared" si="115"/>
        <v>-102712497.053</v>
      </c>
      <c r="AB295">
        <f t="shared" si="116"/>
        <v>-175777865.31200001</v>
      </c>
      <c r="AC295">
        <f t="shared" si="117"/>
        <v>-230772907.72199997</v>
      </c>
      <c r="AD295">
        <f t="shared" si="118"/>
        <v>-285758741.63199997</v>
      </c>
      <c r="AE295">
        <f t="shared" si="119"/>
        <v>-310121318.88499999</v>
      </c>
    </row>
    <row r="296" spans="1:31" x14ac:dyDescent="0.25">
      <c r="A296">
        <v>33.349220039999999</v>
      </c>
      <c r="B296">
        <v>114.79247789999999</v>
      </c>
      <c r="C296">
        <v>5.63210297</v>
      </c>
      <c r="D296">
        <v>0.37986599999999998</v>
      </c>
      <c r="E296" t="b">
        <f t="shared" si="96"/>
        <v>0</v>
      </c>
      <c r="F296">
        <f t="shared" si="97"/>
        <v>-27.780648849999999</v>
      </c>
      <c r="G296">
        <f t="shared" si="98"/>
        <v>-55.941163699999997</v>
      </c>
      <c r="H296">
        <f t="shared" si="99"/>
        <v>-84.101678549999988</v>
      </c>
      <c r="I296">
        <f t="shared" si="100"/>
        <v>-112.26219339999999</v>
      </c>
      <c r="J296">
        <f t="shared" si="101"/>
        <v>-140.42270825</v>
      </c>
      <c r="L296">
        <f t="shared" si="102"/>
        <v>767329.32</v>
      </c>
      <c r="M296">
        <f t="shared" si="103"/>
        <v>-47782716.022</v>
      </c>
      <c r="N296">
        <f t="shared" si="104"/>
        <v>-82792922.275999993</v>
      </c>
      <c r="O296">
        <f t="shared" si="105"/>
        <v>-94193879.975999996</v>
      </c>
      <c r="P296">
        <f t="shared" si="106"/>
        <v>-103281217.92799999</v>
      </c>
      <c r="Q296">
        <f t="shared" si="107"/>
        <v>-120763529.095</v>
      </c>
      <c r="S296">
        <f t="shared" si="108"/>
        <v>930671.70000000007</v>
      </c>
      <c r="T296">
        <f t="shared" si="109"/>
        <v>-121392325.22899999</v>
      </c>
      <c r="U296">
        <f t="shared" si="110"/>
        <v>-104050564.48199998</v>
      </c>
      <c r="V296">
        <f t="shared" si="111"/>
        <v>-119424383.54099996</v>
      </c>
      <c r="W296">
        <f t="shared" si="112"/>
        <v>-153799204.958</v>
      </c>
      <c r="X296">
        <f t="shared" si="113"/>
        <v>-171315704.065</v>
      </c>
      <c r="Z296">
        <f t="shared" si="114"/>
        <v>1094014.08</v>
      </c>
      <c r="AA296">
        <f t="shared" si="115"/>
        <v>-72785299.987000003</v>
      </c>
      <c r="AB296">
        <f t="shared" si="116"/>
        <v>-125308206.68800001</v>
      </c>
      <c r="AC296">
        <f t="shared" si="117"/>
        <v>-164839289.95799997</v>
      </c>
      <c r="AD296">
        <f t="shared" si="118"/>
        <v>-204317191.98800001</v>
      </c>
      <c r="AE296">
        <f t="shared" si="119"/>
        <v>-221867879.035</v>
      </c>
    </row>
    <row r="297" spans="1:31" x14ac:dyDescent="0.25">
      <c r="A297">
        <v>33.475584470000001</v>
      </c>
      <c r="B297">
        <v>115.5209424</v>
      </c>
      <c r="C297">
        <v>14.643466950000001</v>
      </c>
      <c r="D297">
        <v>4.2283000000000001E-2</v>
      </c>
      <c r="E297" t="b">
        <f t="shared" si="96"/>
        <v>0</v>
      </c>
      <c r="F297">
        <f t="shared" si="97"/>
        <v>-73.175051750000009</v>
      </c>
      <c r="G297">
        <f t="shared" si="98"/>
        <v>-146.39238650000001</v>
      </c>
      <c r="H297">
        <f t="shared" si="99"/>
        <v>-219.60972125000001</v>
      </c>
      <c r="I297">
        <f t="shared" si="100"/>
        <v>-292.82705600000003</v>
      </c>
      <c r="J297">
        <f t="shared" si="101"/>
        <v>-366.04439074999999</v>
      </c>
      <c r="L297">
        <f t="shared" si="102"/>
        <v>85411.66</v>
      </c>
      <c r="M297">
        <f t="shared" si="103"/>
        <v>-125861089.01000004</v>
      </c>
      <c r="N297">
        <f t="shared" si="104"/>
        <v>-216660732.02000001</v>
      </c>
      <c r="O297">
        <f t="shared" si="105"/>
        <v>-245962887.80000001</v>
      </c>
      <c r="P297">
        <f t="shared" si="106"/>
        <v>-269400891.51999998</v>
      </c>
      <c r="Q297">
        <f t="shared" si="107"/>
        <v>-314798176.04500002</v>
      </c>
      <c r="S297">
        <f t="shared" si="108"/>
        <v>103593.35</v>
      </c>
      <c r="T297">
        <f t="shared" si="109"/>
        <v>-317671478.70499998</v>
      </c>
      <c r="U297">
        <f t="shared" si="110"/>
        <v>-272289838.88999999</v>
      </c>
      <c r="V297">
        <f t="shared" si="111"/>
        <v>-311845804.17500001</v>
      </c>
      <c r="W297">
        <f t="shared" si="112"/>
        <v>-401173066.72000003</v>
      </c>
      <c r="X297">
        <f t="shared" si="113"/>
        <v>-446574156.71499997</v>
      </c>
      <c r="Z297">
        <f t="shared" si="114"/>
        <v>121775.03999999999</v>
      </c>
      <c r="AA297">
        <f t="shared" si="115"/>
        <v>-191718635.58500004</v>
      </c>
      <c r="AB297">
        <f t="shared" si="116"/>
        <v>-327918945.76000005</v>
      </c>
      <c r="AC297">
        <f t="shared" si="117"/>
        <v>-430435053.64999998</v>
      </c>
      <c r="AD297">
        <f t="shared" si="118"/>
        <v>-532945241.92000002</v>
      </c>
      <c r="AE297">
        <f t="shared" si="119"/>
        <v>-578350137.38499999</v>
      </c>
    </row>
    <row r="298" spans="1:31" x14ac:dyDescent="0.25">
      <c r="A298">
        <v>34.852790599999999</v>
      </c>
      <c r="B298">
        <v>115.01448600000001</v>
      </c>
      <c r="C298">
        <v>0</v>
      </c>
      <c r="D298">
        <v>2.50790501</v>
      </c>
      <c r="E298" t="b">
        <f t="shared" si="96"/>
        <v>1</v>
      </c>
      <c r="F298">
        <f t="shared" si="97"/>
        <v>2.50790501</v>
      </c>
      <c r="G298">
        <f t="shared" si="98"/>
        <v>2.50790501</v>
      </c>
      <c r="H298">
        <f t="shared" si="99"/>
        <v>2.50790501</v>
      </c>
      <c r="I298">
        <f t="shared" si="100"/>
        <v>2.50790501</v>
      </c>
      <c r="J298">
        <f t="shared" si="101"/>
        <v>2.50790501</v>
      </c>
      <c r="L298">
        <f t="shared" si="102"/>
        <v>0</v>
      </c>
      <c r="M298">
        <f t="shared" si="103"/>
        <v>0</v>
      </c>
      <c r="N298">
        <f t="shared" si="104"/>
        <v>0</v>
      </c>
      <c r="O298">
        <f t="shared" si="105"/>
        <v>0</v>
      </c>
      <c r="P298">
        <f t="shared" si="106"/>
        <v>0</v>
      </c>
      <c r="Q298">
        <f t="shared" si="107"/>
        <v>0</v>
      </c>
      <c r="S298">
        <f t="shared" si="108"/>
        <v>0</v>
      </c>
      <c r="T298">
        <f t="shared" si="109"/>
        <v>0</v>
      </c>
      <c r="U298">
        <f t="shared" si="110"/>
        <v>0</v>
      </c>
      <c r="V298">
        <f t="shared" si="111"/>
        <v>0</v>
      </c>
      <c r="W298">
        <f t="shared" si="112"/>
        <v>0</v>
      </c>
      <c r="X298">
        <f t="shared" si="113"/>
        <v>0</v>
      </c>
      <c r="Z298">
        <f t="shared" si="114"/>
        <v>0</v>
      </c>
      <c r="AA298">
        <f t="shared" si="115"/>
        <v>0</v>
      </c>
      <c r="AB298">
        <f t="shared" si="116"/>
        <v>0</v>
      </c>
      <c r="AC298">
        <f t="shared" si="117"/>
        <v>0</v>
      </c>
      <c r="AD298">
        <f t="shared" si="118"/>
        <v>0</v>
      </c>
      <c r="AE298">
        <f t="shared" si="119"/>
        <v>0</v>
      </c>
    </row>
    <row r="299" spans="1:31" x14ac:dyDescent="0.25">
      <c r="A299">
        <v>34.956883750000003</v>
      </c>
      <c r="B299">
        <v>114.8583192</v>
      </c>
      <c r="C299">
        <v>0</v>
      </c>
      <c r="D299">
        <v>0.90991199</v>
      </c>
      <c r="E299" t="b">
        <f t="shared" si="96"/>
        <v>1</v>
      </c>
      <c r="F299">
        <f t="shared" si="97"/>
        <v>0.90991199</v>
      </c>
      <c r="G299">
        <f t="shared" si="98"/>
        <v>0.90991199</v>
      </c>
      <c r="H299">
        <f t="shared" si="99"/>
        <v>0.90991199</v>
      </c>
      <c r="I299">
        <f t="shared" si="100"/>
        <v>0.90991199</v>
      </c>
      <c r="J299">
        <f t="shared" si="101"/>
        <v>0.90991199</v>
      </c>
      <c r="L299">
        <f t="shared" si="102"/>
        <v>0</v>
      </c>
      <c r="M299">
        <f t="shared" si="103"/>
        <v>0</v>
      </c>
      <c r="N299">
        <f t="shared" si="104"/>
        <v>0</v>
      </c>
      <c r="O299">
        <f t="shared" si="105"/>
        <v>0</v>
      </c>
      <c r="P299">
        <f t="shared" si="106"/>
        <v>0</v>
      </c>
      <c r="Q299">
        <f t="shared" si="107"/>
        <v>0</v>
      </c>
      <c r="S299">
        <f t="shared" si="108"/>
        <v>0</v>
      </c>
      <c r="T299">
        <f t="shared" si="109"/>
        <v>0</v>
      </c>
      <c r="U299">
        <f t="shared" si="110"/>
        <v>0</v>
      </c>
      <c r="V299">
        <f t="shared" si="111"/>
        <v>0</v>
      </c>
      <c r="W299">
        <f t="shared" si="112"/>
        <v>0</v>
      </c>
      <c r="X299">
        <f t="shared" si="113"/>
        <v>0</v>
      </c>
      <c r="Z299">
        <f t="shared" si="114"/>
        <v>0</v>
      </c>
      <c r="AA299">
        <f t="shared" si="115"/>
        <v>0</v>
      </c>
      <c r="AB299">
        <f t="shared" si="116"/>
        <v>0</v>
      </c>
      <c r="AC299">
        <f t="shared" si="117"/>
        <v>0</v>
      </c>
      <c r="AD299">
        <f t="shared" si="118"/>
        <v>0</v>
      </c>
      <c r="AE299">
        <f t="shared" si="119"/>
        <v>0</v>
      </c>
    </row>
    <row r="300" spans="1:31" x14ac:dyDescent="0.25">
      <c r="A300">
        <v>35.046528870000003</v>
      </c>
      <c r="B300">
        <v>107.8235207</v>
      </c>
      <c r="C300">
        <v>0</v>
      </c>
      <c r="D300">
        <v>0.124359</v>
      </c>
      <c r="E300" t="b">
        <f t="shared" si="96"/>
        <v>1</v>
      </c>
      <c r="F300">
        <f t="shared" si="97"/>
        <v>0.124359</v>
      </c>
      <c r="G300">
        <f t="shared" si="98"/>
        <v>0.124359</v>
      </c>
      <c r="H300">
        <f t="shared" si="99"/>
        <v>0.124359</v>
      </c>
      <c r="I300">
        <f t="shared" si="100"/>
        <v>0.124359</v>
      </c>
      <c r="J300">
        <f t="shared" si="101"/>
        <v>0.124359</v>
      </c>
      <c r="L300">
        <f t="shared" si="102"/>
        <v>0</v>
      </c>
      <c r="M300">
        <f t="shared" si="103"/>
        <v>0</v>
      </c>
      <c r="N300">
        <f t="shared" si="104"/>
        <v>0</v>
      </c>
      <c r="O300">
        <f t="shared" si="105"/>
        <v>0</v>
      </c>
      <c r="P300">
        <f t="shared" si="106"/>
        <v>0</v>
      </c>
      <c r="Q300">
        <f t="shared" si="107"/>
        <v>0</v>
      </c>
      <c r="S300">
        <f t="shared" si="108"/>
        <v>0</v>
      </c>
      <c r="T300">
        <f t="shared" si="109"/>
        <v>0</v>
      </c>
      <c r="U300">
        <f t="shared" si="110"/>
        <v>0</v>
      </c>
      <c r="V300">
        <f t="shared" si="111"/>
        <v>0</v>
      </c>
      <c r="W300">
        <f t="shared" si="112"/>
        <v>0</v>
      </c>
      <c r="X300">
        <f t="shared" si="113"/>
        <v>0</v>
      </c>
      <c r="Z300">
        <f t="shared" si="114"/>
        <v>0</v>
      </c>
      <c r="AA300">
        <f t="shared" si="115"/>
        <v>0</v>
      </c>
      <c r="AB300">
        <f t="shared" si="116"/>
        <v>0</v>
      </c>
      <c r="AC300">
        <f t="shared" si="117"/>
        <v>0</v>
      </c>
      <c r="AD300">
        <f t="shared" si="118"/>
        <v>0</v>
      </c>
      <c r="AE300">
        <f t="shared" si="119"/>
        <v>0</v>
      </c>
    </row>
    <row r="301" spans="1:31" x14ac:dyDescent="0.25">
      <c r="A301">
        <v>35.181206869999997</v>
      </c>
      <c r="B301">
        <v>114.9395234</v>
      </c>
      <c r="C301">
        <v>0</v>
      </c>
      <c r="D301">
        <v>0.61929798000000003</v>
      </c>
      <c r="E301" t="b">
        <f t="shared" si="96"/>
        <v>1</v>
      </c>
      <c r="F301">
        <f t="shared" si="97"/>
        <v>0.61929798000000003</v>
      </c>
      <c r="G301">
        <f t="shared" si="98"/>
        <v>0.61929798000000003</v>
      </c>
      <c r="H301">
        <f t="shared" si="99"/>
        <v>0.61929798000000003</v>
      </c>
      <c r="I301">
        <f t="shared" si="100"/>
        <v>0.61929798000000003</v>
      </c>
      <c r="J301">
        <f t="shared" si="101"/>
        <v>0.61929798000000003</v>
      </c>
      <c r="L301">
        <f t="shared" si="102"/>
        <v>0</v>
      </c>
      <c r="M301">
        <f t="shared" si="103"/>
        <v>0</v>
      </c>
      <c r="N301">
        <f t="shared" si="104"/>
        <v>0</v>
      </c>
      <c r="O301">
        <f t="shared" si="105"/>
        <v>0</v>
      </c>
      <c r="P301">
        <f t="shared" si="106"/>
        <v>0</v>
      </c>
      <c r="Q301">
        <f t="shared" si="107"/>
        <v>0</v>
      </c>
      <c r="S301">
        <f t="shared" si="108"/>
        <v>0</v>
      </c>
      <c r="T301">
        <f t="shared" si="109"/>
        <v>0</v>
      </c>
      <c r="U301">
        <f t="shared" si="110"/>
        <v>0</v>
      </c>
      <c r="V301">
        <f t="shared" si="111"/>
        <v>0</v>
      </c>
      <c r="W301">
        <f t="shared" si="112"/>
        <v>0</v>
      </c>
      <c r="X301">
        <f t="shared" si="113"/>
        <v>0</v>
      </c>
      <c r="Z301">
        <f t="shared" si="114"/>
        <v>0</v>
      </c>
      <c r="AA301">
        <f t="shared" si="115"/>
        <v>0</v>
      </c>
      <c r="AB301">
        <f t="shared" si="116"/>
        <v>0</v>
      </c>
      <c r="AC301">
        <f t="shared" si="117"/>
        <v>0</v>
      </c>
      <c r="AD301">
        <f t="shared" si="118"/>
        <v>0</v>
      </c>
      <c r="AE301">
        <f t="shared" si="119"/>
        <v>0</v>
      </c>
    </row>
    <row r="302" spans="1:31" x14ac:dyDescent="0.25">
      <c r="A302">
        <v>35.184206949999997</v>
      </c>
      <c r="B302">
        <v>107.8266782</v>
      </c>
      <c r="C302">
        <v>0</v>
      </c>
      <c r="D302">
        <v>6.2179999999999999E-2</v>
      </c>
      <c r="E302" t="b">
        <f t="shared" si="96"/>
        <v>1</v>
      </c>
      <c r="F302">
        <f t="shared" si="97"/>
        <v>6.2179999999999999E-2</v>
      </c>
      <c r="G302">
        <f t="shared" si="98"/>
        <v>6.2179999999999999E-2</v>
      </c>
      <c r="H302">
        <f t="shared" si="99"/>
        <v>6.2179999999999999E-2</v>
      </c>
      <c r="I302">
        <f t="shared" si="100"/>
        <v>6.2179999999999999E-2</v>
      </c>
      <c r="J302">
        <f t="shared" si="101"/>
        <v>6.2179999999999999E-2</v>
      </c>
      <c r="L302">
        <f t="shared" si="102"/>
        <v>0</v>
      </c>
      <c r="M302">
        <f t="shared" si="103"/>
        <v>0</v>
      </c>
      <c r="N302">
        <f t="shared" si="104"/>
        <v>0</v>
      </c>
      <c r="O302">
        <f t="shared" si="105"/>
        <v>0</v>
      </c>
      <c r="P302">
        <f t="shared" si="106"/>
        <v>0</v>
      </c>
      <c r="Q302">
        <f t="shared" si="107"/>
        <v>0</v>
      </c>
      <c r="S302">
        <f t="shared" si="108"/>
        <v>0</v>
      </c>
      <c r="T302">
        <f t="shared" si="109"/>
        <v>0</v>
      </c>
      <c r="U302">
        <f t="shared" si="110"/>
        <v>0</v>
      </c>
      <c r="V302">
        <f t="shared" si="111"/>
        <v>0</v>
      </c>
      <c r="W302">
        <f t="shared" si="112"/>
        <v>0</v>
      </c>
      <c r="X302">
        <f t="shared" si="113"/>
        <v>0</v>
      </c>
      <c r="Z302">
        <f t="shared" si="114"/>
        <v>0</v>
      </c>
      <c r="AA302">
        <f t="shared" si="115"/>
        <v>0</v>
      </c>
      <c r="AB302">
        <f t="shared" si="116"/>
        <v>0</v>
      </c>
      <c r="AC302">
        <f t="shared" si="117"/>
        <v>0</v>
      </c>
      <c r="AD302">
        <f t="shared" si="118"/>
        <v>0</v>
      </c>
      <c r="AE302">
        <f t="shared" si="119"/>
        <v>0</v>
      </c>
    </row>
    <row r="303" spans="1:31" x14ac:dyDescent="0.25">
      <c r="A303">
        <v>35.333705250000001</v>
      </c>
      <c r="B303">
        <v>115.3506149</v>
      </c>
      <c r="C303">
        <v>0</v>
      </c>
      <c r="D303">
        <v>4.2457428000000004</v>
      </c>
      <c r="E303" t="b">
        <f t="shared" si="96"/>
        <v>1</v>
      </c>
      <c r="F303">
        <f t="shared" si="97"/>
        <v>4.2457428000000004</v>
      </c>
      <c r="G303">
        <f t="shared" si="98"/>
        <v>4.2457428000000004</v>
      </c>
      <c r="H303">
        <f t="shared" si="99"/>
        <v>4.2457428000000004</v>
      </c>
      <c r="I303">
        <f t="shared" si="100"/>
        <v>4.2457428000000004</v>
      </c>
      <c r="J303">
        <f t="shared" si="101"/>
        <v>4.2457428000000004</v>
      </c>
      <c r="L303">
        <f t="shared" si="102"/>
        <v>0</v>
      </c>
      <c r="M303">
        <f t="shared" si="103"/>
        <v>0</v>
      </c>
      <c r="N303">
        <f t="shared" si="104"/>
        <v>0</v>
      </c>
      <c r="O303">
        <f t="shared" si="105"/>
        <v>0</v>
      </c>
      <c r="P303">
        <f t="shared" si="106"/>
        <v>0</v>
      </c>
      <c r="Q303">
        <f t="shared" si="107"/>
        <v>0</v>
      </c>
      <c r="S303">
        <f t="shared" si="108"/>
        <v>0</v>
      </c>
      <c r="T303">
        <f t="shared" si="109"/>
        <v>0</v>
      </c>
      <c r="U303">
        <f t="shared" si="110"/>
        <v>0</v>
      </c>
      <c r="V303">
        <f t="shared" si="111"/>
        <v>0</v>
      </c>
      <c r="W303">
        <f t="shared" si="112"/>
        <v>0</v>
      </c>
      <c r="X303">
        <f t="shared" si="113"/>
        <v>0</v>
      </c>
      <c r="Z303">
        <f t="shared" si="114"/>
        <v>0</v>
      </c>
      <c r="AA303">
        <f t="shared" si="115"/>
        <v>0</v>
      </c>
      <c r="AB303">
        <f t="shared" si="116"/>
        <v>0</v>
      </c>
      <c r="AC303">
        <f t="shared" si="117"/>
        <v>0</v>
      </c>
      <c r="AD303">
        <f t="shared" si="118"/>
        <v>0</v>
      </c>
      <c r="AE303">
        <f t="shared" si="119"/>
        <v>0</v>
      </c>
    </row>
    <row r="304" spans="1:31" x14ac:dyDescent="0.25">
      <c r="A304">
        <v>35.36825855</v>
      </c>
      <c r="B304">
        <v>114.90438090000001</v>
      </c>
      <c r="C304">
        <v>7.5089607200000001</v>
      </c>
      <c r="D304">
        <v>3.9196000000000002E-2</v>
      </c>
      <c r="E304" t="b">
        <f t="shared" si="96"/>
        <v>0</v>
      </c>
      <c r="F304">
        <f t="shared" si="97"/>
        <v>-37.505607600000005</v>
      </c>
      <c r="G304">
        <f t="shared" si="98"/>
        <v>-75.050411199999999</v>
      </c>
      <c r="H304">
        <f t="shared" si="99"/>
        <v>-112.59521479999999</v>
      </c>
      <c r="I304">
        <f t="shared" si="100"/>
        <v>-150.1400184</v>
      </c>
      <c r="J304">
        <f t="shared" si="101"/>
        <v>-187.684822</v>
      </c>
      <c r="L304">
        <f t="shared" si="102"/>
        <v>79175.92</v>
      </c>
      <c r="M304">
        <f t="shared" si="103"/>
        <v>-64509645.072000012</v>
      </c>
      <c r="N304">
        <f t="shared" si="104"/>
        <v>-111074608.57600001</v>
      </c>
      <c r="O304">
        <f t="shared" si="105"/>
        <v>-126106640.57600001</v>
      </c>
      <c r="P304">
        <f t="shared" si="106"/>
        <v>-138128816.928</v>
      </c>
      <c r="Q304">
        <f t="shared" si="107"/>
        <v>-161408946.91999999</v>
      </c>
      <c r="S304">
        <f t="shared" si="108"/>
        <v>96030.200000000012</v>
      </c>
      <c r="T304">
        <f t="shared" si="109"/>
        <v>-162859392.30399999</v>
      </c>
      <c r="U304">
        <f t="shared" si="110"/>
        <v>-139593764.83199999</v>
      </c>
      <c r="V304">
        <f t="shared" si="111"/>
        <v>-159885205.016</v>
      </c>
      <c r="W304">
        <f t="shared" si="112"/>
        <v>-205691825.20800003</v>
      </c>
      <c r="X304">
        <f t="shared" si="113"/>
        <v>-228975482.84</v>
      </c>
      <c r="Z304">
        <f t="shared" si="114"/>
        <v>112884.48</v>
      </c>
      <c r="AA304">
        <f t="shared" si="115"/>
        <v>-98264691.912</v>
      </c>
      <c r="AB304">
        <f t="shared" si="116"/>
        <v>-168112921.08800003</v>
      </c>
      <c r="AC304">
        <f t="shared" si="117"/>
        <v>-220686621.00799999</v>
      </c>
      <c r="AD304">
        <f t="shared" si="118"/>
        <v>-273254833.48800004</v>
      </c>
      <c r="AE304">
        <f t="shared" si="119"/>
        <v>-296542018.75999999</v>
      </c>
    </row>
    <row r="305" spans="1:31" x14ac:dyDescent="0.25">
      <c r="A305">
        <v>35.388195160000002</v>
      </c>
      <c r="B305">
        <v>115.2444316</v>
      </c>
      <c r="C305">
        <v>0</v>
      </c>
      <c r="D305">
        <v>0.57734101999999998</v>
      </c>
      <c r="E305" t="b">
        <f t="shared" si="96"/>
        <v>1</v>
      </c>
      <c r="F305">
        <f t="shared" si="97"/>
        <v>0.57734101999999998</v>
      </c>
      <c r="G305">
        <f t="shared" si="98"/>
        <v>0.57734101999999998</v>
      </c>
      <c r="H305">
        <f t="shared" si="99"/>
        <v>0.57734101999999998</v>
      </c>
      <c r="I305">
        <f t="shared" si="100"/>
        <v>0.57734101999999998</v>
      </c>
      <c r="J305">
        <f t="shared" si="101"/>
        <v>0.57734101999999998</v>
      </c>
      <c r="L305">
        <f t="shared" si="102"/>
        <v>0</v>
      </c>
      <c r="M305">
        <f t="shared" si="103"/>
        <v>0</v>
      </c>
      <c r="N305">
        <f t="shared" si="104"/>
        <v>0</v>
      </c>
      <c r="O305">
        <f t="shared" si="105"/>
        <v>0</v>
      </c>
      <c r="P305">
        <f t="shared" si="106"/>
        <v>0</v>
      </c>
      <c r="Q305">
        <f t="shared" si="107"/>
        <v>0</v>
      </c>
      <c r="S305">
        <f t="shared" si="108"/>
        <v>0</v>
      </c>
      <c r="T305">
        <f t="shared" si="109"/>
        <v>0</v>
      </c>
      <c r="U305">
        <f t="shared" si="110"/>
        <v>0</v>
      </c>
      <c r="V305">
        <f t="shared" si="111"/>
        <v>0</v>
      </c>
      <c r="W305">
        <f t="shared" si="112"/>
        <v>0</v>
      </c>
      <c r="X305">
        <f t="shared" si="113"/>
        <v>0</v>
      </c>
      <c r="Z305">
        <f t="shared" si="114"/>
        <v>0</v>
      </c>
      <c r="AA305">
        <f t="shared" si="115"/>
        <v>0</v>
      </c>
      <c r="AB305">
        <f t="shared" si="116"/>
        <v>0</v>
      </c>
      <c r="AC305">
        <f t="shared" si="117"/>
        <v>0</v>
      </c>
      <c r="AD305">
        <f t="shared" si="118"/>
        <v>0</v>
      </c>
      <c r="AE305">
        <f t="shared" si="119"/>
        <v>0</v>
      </c>
    </row>
    <row r="306" spans="1:31" x14ac:dyDescent="0.25">
      <c r="A306">
        <v>35.411887210000003</v>
      </c>
      <c r="B306">
        <v>107.94408679999999</v>
      </c>
      <c r="C306">
        <v>2.6567150000000001E-2</v>
      </c>
      <c r="D306">
        <v>0.27290400999999997</v>
      </c>
      <c r="E306" t="b">
        <f t="shared" si="96"/>
        <v>1</v>
      </c>
      <c r="F306">
        <f t="shared" si="97"/>
        <v>0.14006825999999997</v>
      </c>
      <c r="G306">
        <f t="shared" si="98"/>
        <v>7.2325099999999698E-3</v>
      </c>
      <c r="H306">
        <f t="shared" si="99"/>
        <v>-0.12560324000000006</v>
      </c>
      <c r="I306">
        <f t="shared" si="100"/>
        <v>-0.25843899000000004</v>
      </c>
      <c r="J306">
        <f t="shared" si="101"/>
        <v>-0.39127474000000007</v>
      </c>
      <c r="L306">
        <f t="shared" si="102"/>
        <v>53665.643000000004</v>
      </c>
      <c r="M306">
        <f t="shared" si="103"/>
        <v>45695.498000000007</v>
      </c>
      <c r="N306">
        <f t="shared" si="104"/>
        <v>10704.114799999956</v>
      </c>
      <c r="O306">
        <f t="shared" si="105"/>
        <v>-140675.62880000009</v>
      </c>
      <c r="P306">
        <f t="shared" si="106"/>
        <v>-237763.87080000003</v>
      </c>
      <c r="Q306">
        <f t="shared" si="107"/>
        <v>-336496.27640000003</v>
      </c>
      <c r="S306">
        <f t="shared" si="108"/>
        <v>65089.517500000009</v>
      </c>
      <c r="T306">
        <f t="shared" si="109"/>
        <v>15694.546699999935</v>
      </c>
      <c r="U306">
        <f t="shared" si="110"/>
        <v>13452.468599999944</v>
      </c>
      <c r="V306">
        <f t="shared" si="111"/>
        <v>-178356.60080000007</v>
      </c>
      <c r="W306">
        <f t="shared" si="112"/>
        <v>-354061.4163000001</v>
      </c>
      <c r="X306">
        <f t="shared" si="113"/>
        <v>-477355.18280000007</v>
      </c>
      <c r="Z306">
        <f t="shared" si="114"/>
        <v>76513.392000000007</v>
      </c>
      <c r="AA306">
        <f t="shared" si="115"/>
        <v>69605.933000000005</v>
      </c>
      <c r="AB306">
        <f t="shared" si="116"/>
        <v>16200.822399999935</v>
      </c>
      <c r="AC306">
        <f t="shared" si="117"/>
        <v>-246182.35040000011</v>
      </c>
      <c r="AD306">
        <f t="shared" si="118"/>
        <v>-470358.96180000011</v>
      </c>
      <c r="AE306">
        <f t="shared" si="119"/>
        <v>-618214.08920000016</v>
      </c>
    </row>
    <row r="307" spans="1:31" x14ac:dyDescent="0.25">
      <c r="A307">
        <v>35.492602089999998</v>
      </c>
      <c r="B307">
        <v>115.0875116</v>
      </c>
      <c r="C307">
        <v>7.5089607200000001</v>
      </c>
      <c r="D307">
        <v>2.37258792</v>
      </c>
      <c r="E307" t="b">
        <f t="shared" si="96"/>
        <v>0</v>
      </c>
      <c r="F307">
        <f t="shared" si="97"/>
        <v>-35.172215680000001</v>
      </c>
      <c r="G307">
        <f t="shared" si="98"/>
        <v>-72.717019280000002</v>
      </c>
      <c r="H307">
        <f t="shared" si="99"/>
        <v>-110.26182288</v>
      </c>
      <c r="I307">
        <f t="shared" si="100"/>
        <v>-147.80662648000001</v>
      </c>
      <c r="J307">
        <f t="shared" si="101"/>
        <v>-185.35143008</v>
      </c>
      <c r="L307">
        <f t="shared" si="102"/>
        <v>4792627.5983999996</v>
      </c>
      <c r="M307">
        <f t="shared" si="103"/>
        <v>-60496210.969600007</v>
      </c>
      <c r="N307">
        <f t="shared" si="104"/>
        <v>-107621188.5344</v>
      </c>
      <c r="O307">
        <f t="shared" si="105"/>
        <v>-123493241.62560001</v>
      </c>
      <c r="P307">
        <f t="shared" si="106"/>
        <v>-135982096.36160001</v>
      </c>
      <c r="Q307">
        <f t="shared" si="107"/>
        <v>-159402229.86880001</v>
      </c>
      <c r="S307">
        <f t="shared" si="108"/>
        <v>5812840.4040000001</v>
      </c>
      <c r="T307">
        <f t="shared" si="109"/>
        <v>-157795931.83759999</v>
      </c>
      <c r="U307">
        <f t="shared" si="110"/>
        <v>-135253655.8608</v>
      </c>
      <c r="V307">
        <f t="shared" si="111"/>
        <v>-156571788.48959997</v>
      </c>
      <c r="W307">
        <f t="shared" si="112"/>
        <v>-202495078.27760005</v>
      </c>
      <c r="X307">
        <f t="shared" si="113"/>
        <v>-226128744.69760001</v>
      </c>
      <c r="Z307">
        <f t="shared" si="114"/>
        <v>6833053.2095999997</v>
      </c>
      <c r="AA307">
        <f t="shared" si="115"/>
        <v>-92151205.08160001</v>
      </c>
      <c r="AB307">
        <f t="shared" si="116"/>
        <v>-162886123.18720001</v>
      </c>
      <c r="AC307">
        <f t="shared" si="117"/>
        <v>-216113172.8448</v>
      </c>
      <c r="AD307">
        <f t="shared" si="118"/>
        <v>-269008060.19360006</v>
      </c>
      <c r="AE307">
        <f t="shared" si="119"/>
        <v>-292855259.52640003</v>
      </c>
    </row>
    <row r="308" spans="1:31" x14ac:dyDescent="0.25">
      <c r="A308">
        <v>35.501150039999999</v>
      </c>
      <c r="B308">
        <v>114.97573730000001</v>
      </c>
      <c r="C308">
        <v>7.5089607200000001</v>
      </c>
      <c r="D308">
        <v>1.50518799</v>
      </c>
      <c r="E308" t="b">
        <f t="shared" si="96"/>
        <v>0</v>
      </c>
      <c r="F308">
        <f t="shared" si="97"/>
        <v>-36.039615609999998</v>
      </c>
      <c r="G308">
        <f t="shared" si="98"/>
        <v>-73.584419210000007</v>
      </c>
      <c r="H308">
        <f t="shared" si="99"/>
        <v>-111.12922281</v>
      </c>
      <c r="I308">
        <f t="shared" si="100"/>
        <v>-148.67402641000001</v>
      </c>
      <c r="J308">
        <f t="shared" si="101"/>
        <v>-186.21883001</v>
      </c>
      <c r="L308">
        <f t="shared" si="102"/>
        <v>3040479.7398000001</v>
      </c>
      <c r="M308">
        <f t="shared" si="103"/>
        <v>-61988138.849200003</v>
      </c>
      <c r="N308">
        <f t="shared" si="104"/>
        <v>-108904940.43080001</v>
      </c>
      <c r="O308">
        <f t="shared" si="105"/>
        <v>-124464729.54720001</v>
      </c>
      <c r="P308">
        <f t="shared" si="106"/>
        <v>-136780104.29719999</v>
      </c>
      <c r="Q308">
        <f t="shared" si="107"/>
        <v>-160148193.80859998</v>
      </c>
      <c r="S308">
        <f t="shared" si="108"/>
        <v>3687710.5755000003</v>
      </c>
      <c r="T308">
        <f t="shared" si="109"/>
        <v>-159678189.6857</v>
      </c>
      <c r="U308">
        <f t="shared" si="110"/>
        <v>-136867019.7306</v>
      </c>
      <c r="V308">
        <f t="shared" si="111"/>
        <v>-157803496.39019999</v>
      </c>
      <c r="W308">
        <f t="shared" si="112"/>
        <v>-203683416.18170002</v>
      </c>
      <c r="X308">
        <f t="shared" si="113"/>
        <v>-227186972.61219999</v>
      </c>
      <c r="Z308">
        <f t="shared" si="114"/>
        <v>4334941.4112</v>
      </c>
      <c r="AA308">
        <f t="shared" si="115"/>
        <v>-94423792.898200005</v>
      </c>
      <c r="AB308">
        <f t="shared" si="116"/>
        <v>-164829099.03040004</v>
      </c>
      <c r="AC308">
        <f t="shared" si="117"/>
        <v>-217813276.7076</v>
      </c>
      <c r="AD308">
        <f t="shared" si="118"/>
        <v>-270586728.06620002</v>
      </c>
      <c r="AE308">
        <f t="shared" si="119"/>
        <v>-294225751.41579998</v>
      </c>
    </row>
    <row r="309" spans="1:31" x14ac:dyDescent="0.25">
      <c r="A309">
        <v>35.512211020000002</v>
      </c>
      <c r="B309">
        <v>107.3289003</v>
      </c>
      <c r="C309">
        <v>1.062686E-2</v>
      </c>
      <c r="D309">
        <v>0.236591</v>
      </c>
      <c r="E309" t="b">
        <f t="shared" si="96"/>
        <v>1</v>
      </c>
      <c r="F309">
        <f t="shared" si="97"/>
        <v>0.1834567</v>
      </c>
      <c r="G309">
        <f t="shared" si="98"/>
        <v>0.1303224</v>
      </c>
      <c r="H309">
        <f t="shared" si="99"/>
        <v>7.7188099999999982E-2</v>
      </c>
      <c r="I309">
        <f t="shared" si="100"/>
        <v>2.4053799999999986E-2</v>
      </c>
      <c r="J309">
        <f t="shared" si="101"/>
        <v>-2.9080500000000009E-2</v>
      </c>
      <c r="L309">
        <f t="shared" si="102"/>
        <v>21466.2572</v>
      </c>
      <c r="M309">
        <f t="shared" si="103"/>
        <v>18278.199200000003</v>
      </c>
      <c r="N309">
        <f t="shared" si="104"/>
        <v>15727.7528</v>
      </c>
      <c r="O309">
        <f t="shared" si="105"/>
        <v>11902.083200000001</v>
      </c>
      <c r="P309">
        <f t="shared" si="106"/>
        <v>9776.7111999999997</v>
      </c>
      <c r="Q309">
        <f t="shared" si="107"/>
        <v>-25009.23000000001</v>
      </c>
      <c r="S309">
        <f t="shared" si="108"/>
        <v>26035.807000000004</v>
      </c>
      <c r="T309">
        <f t="shared" si="109"/>
        <v>23060.286200000002</v>
      </c>
      <c r="U309">
        <f t="shared" si="110"/>
        <v>19765.959599999998</v>
      </c>
      <c r="V309">
        <f t="shared" si="111"/>
        <v>15090.1412</v>
      </c>
      <c r="W309">
        <f t="shared" si="112"/>
        <v>14558.798200000001</v>
      </c>
      <c r="X309">
        <f t="shared" si="113"/>
        <v>-35478.210000000014</v>
      </c>
      <c r="Z309">
        <f t="shared" si="114"/>
        <v>30605.356800000001</v>
      </c>
      <c r="AA309">
        <f t="shared" si="115"/>
        <v>27842.373200000002</v>
      </c>
      <c r="AB309">
        <f t="shared" si="116"/>
        <v>23804.166400000002</v>
      </c>
      <c r="AC309">
        <f t="shared" si="117"/>
        <v>20828.6456</v>
      </c>
      <c r="AD309">
        <f t="shared" si="118"/>
        <v>19340.885200000001</v>
      </c>
      <c r="AE309">
        <f t="shared" si="119"/>
        <v>-45947.190000000017</v>
      </c>
    </row>
    <row r="310" spans="1:31" x14ac:dyDescent="0.25">
      <c r="A310">
        <v>35.57096937</v>
      </c>
      <c r="B310">
        <v>115.2658479</v>
      </c>
      <c r="C310">
        <v>7.5089607200000001</v>
      </c>
      <c r="D310">
        <v>15.849966050000001</v>
      </c>
      <c r="E310" t="b">
        <f t="shared" si="96"/>
        <v>1</v>
      </c>
      <c r="F310">
        <f t="shared" si="97"/>
        <v>-21.694837550000003</v>
      </c>
      <c r="G310">
        <f t="shared" si="98"/>
        <v>-59.239641150000004</v>
      </c>
      <c r="H310">
        <f t="shared" si="99"/>
        <v>-96.784444749999992</v>
      </c>
      <c r="I310">
        <f t="shared" si="100"/>
        <v>-134.32924835</v>
      </c>
      <c r="J310">
        <f t="shared" si="101"/>
        <v>-171.87405194999999</v>
      </c>
      <c r="L310">
        <f t="shared" si="102"/>
        <v>15168100.6544</v>
      </c>
      <c r="M310">
        <f t="shared" si="103"/>
        <v>-37315120.586000003</v>
      </c>
      <c r="N310">
        <f t="shared" si="104"/>
        <v>-87674668.90200001</v>
      </c>
      <c r="O310">
        <f t="shared" si="105"/>
        <v>-108398578.11999999</v>
      </c>
      <c r="P310">
        <f t="shared" si="106"/>
        <v>-123582908.48199998</v>
      </c>
      <c r="Q310">
        <f t="shared" si="107"/>
        <v>-147811684.67699999</v>
      </c>
      <c r="S310">
        <f t="shared" si="108"/>
        <v>18396953.764000002</v>
      </c>
      <c r="T310">
        <f t="shared" si="109"/>
        <v>-128550021.29550001</v>
      </c>
      <c r="U310">
        <f t="shared" si="110"/>
        <v>-110185732.539</v>
      </c>
      <c r="V310">
        <f t="shared" si="111"/>
        <v>-137433911.54499996</v>
      </c>
      <c r="W310">
        <f t="shared" si="112"/>
        <v>-184031070.23950002</v>
      </c>
      <c r="X310">
        <f t="shared" si="113"/>
        <v>-209686343.37899998</v>
      </c>
      <c r="Z310">
        <f t="shared" si="114"/>
        <v>21625806.873599999</v>
      </c>
      <c r="AA310">
        <f t="shared" si="115"/>
        <v>-56840474.381000005</v>
      </c>
      <c r="AB310">
        <f t="shared" si="116"/>
        <v>-132696796.17600003</v>
      </c>
      <c r="AC310">
        <f t="shared" si="117"/>
        <v>-189697511.70999998</v>
      </c>
      <c r="AD310">
        <f t="shared" si="118"/>
        <v>-244479231.99700001</v>
      </c>
      <c r="AE310">
        <f t="shared" si="119"/>
        <v>-271561002.08099997</v>
      </c>
    </row>
    <row r="311" spans="1:31" x14ac:dyDescent="0.25">
      <c r="A311">
        <v>35.588296249999999</v>
      </c>
      <c r="B311">
        <v>115.0420921</v>
      </c>
      <c r="C311">
        <v>7.5089607200000001</v>
      </c>
      <c r="D311">
        <v>16.250970840000001</v>
      </c>
      <c r="E311" t="b">
        <f t="shared" si="96"/>
        <v>1</v>
      </c>
      <c r="F311">
        <f t="shared" si="97"/>
        <v>-21.293832760000001</v>
      </c>
      <c r="G311">
        <f t="shared" si="98"/>
        <v>-58.838636360000002</v>
      </c>
      <c r="H311">
        <f t="shared" si="99"/>
        <v>-96.383439960000004</v>
      </c>
      <c r="I311">
        <f t="shared" si="100"/>
        <v>-133.92824356</v>
      </c>
      <c r="J311">
        <f t="shared" si="101"/>
        <v>-171.47304715999999</v>
      </c>
      <c r="L311">
        <f t="shared" si="102"/>
        <v>15168100.6544</v>
      </c>
      <c r="M311">
        <f t="shared" si="103"/>
        <v>-36625392.347200006</v>
      </c>
      <c r="N311">
        <f t="shared" si="104"/>
        <v>-87081181.812800005</v>
      </c>
      <c r="O311">
        <f t="shared" si="105"/>
        <v>-107949452.75520001</v>
      </c>
      <c r="P311">
        <f t="shared" si="106"/>
        <v>-123213984.07519999</v>
      </c>
      <c r="Q311">
        <f t="shared" si="107"/>
        <v>-147466820.55759999</v>
      </c>
      <c r="S311">
        <f t="shared" si="108"/>
        <v>18396953.764000002</v>
      </c>
      <c r="T311">
        <f t="shared" si="109"/>
        <v>-127679840.9012</v>
      </c>
      <c r="U311">
        <f t="shared" si="110"/>
        <v>-109439863.62959999</v>
      </c>
      <c r="V311">
        <f t="shared" si="111"/>
        <v>-136864484.7432</v>
      </c>
      <c r="W311">
        <f t="shared" si="112"/>
        <v>-183481693.67720002</v>
      </c>
      <c r="X311">
        <f t="shared" si="113"/>
        <v>-209197117.5352</v>
      </c>
      <c r="Z311">
        <f t="shared" si="114"/>
        <v>21625806.873599999</v>
      </c>
      <c r="AA311">
        <f t="shared" si="115"/>
        <v>-55789841.831200004</v>
      </c>
      <c r="AB311">
        <f t="shared" si="116"/>
        <v>-131798545.44640002</v>
      </c>
      <c r="AC311">
        <f t="shared" si="117"/>
        <v>-188911542.32160002</v>
      </c>
      <c r="AD311">
        <f t="shared" si="118"/>
        <v>-243749403.27920002</v>
      </c>
      <c r="AE311">
        <f t="shared" si="119"/>
        <v>-270927414.51279998</v>
      </c>
    </row>
    <row r="312" spans="1:31" x14ac:dyDescent="0.25">
      <c r="A312">
        <v>35.602694460000002</v>
      </c>
      <c r="B312">
        <v>107.4428441</v>
      </c>
      <c r="C312">
        <v>1.062686E-2</v>
      </c>
      <c r="D312">
        <v>16.476837159999999</v>
      </c>
      <c r="E312" t="b">
        <f t="shared" si="96"/>
        <v>1</v>
      </c>
      <c r="F312">
        <f t="shared" si="97"/>
        <v>16.423702859999999</v>
      </c>
      <c r="G312">
        <f t="shared" si="98"/>
        <v>16.370568559999999</v>
      </c>
      <c r="H312">
        <f t="shared" si="99"/>
        <v>16.317434259999999</v>
      </c>
      <c r="I312">
        <f t="shared" si="100"/>
        <v>16.264299959999999</v>
      </c>
      <c r="J312">
        <f t="shared" si="101"/>
        <v>16.211165659999999</v>
      </c>
      <c r="L312">
        <f t="shared" si="102"/>
        <v>21466.2572</v>
      </c>
      <c r="M312">
        <f t="shared" si="103"/>
        <v>18278.199200000003</v>
      </c>
      <c r="N312">
        <f t="shared" si="104"/>
        <v>15727.7528</v>
      </c>
      <c r="O312">
        <f t="shared" si="105"/>
        <v>11902.083200000001</v>
      </c>
      <c r="P312">
        <f t="shared" si="106"/>
        <v>9776.7111999999997</v>
      </c>
      <c r="Q312">
        <f t="shared" si="107"/>
        <v>9139.0995999999996</v>
      </c>
      <c r="S312">
        <f t="shared" si="108"/>
        <v>26035.807000000004</v>
      </c>
      <c r="T312">
        <f t="shared" si="109"/>
        <v>23060.286200000002</v>
      </c>
      <c r="U312">
        <f t="shared" si="110"/>
        <v>19765.959599999998</v>
      </c>
      <c r="V312">
        <f t="shared" si="111"/>
        <v>15090.1412</v>
      </c>
      <c r="W312">
        <f t="shared" si="112"/>
        <v>14558.798200000001</v>
      </c>
      <c r="X312">
        <f t="shared" si="113"/>
        <v>12964.769200000001</v>
      </c>
      <c r="Z312">
        <f t="shared" si="114"/>
        <v>30605.356800000001</v>
      </c>
      <c r="AA312">
        <f t="shared" si="115"/>
        <v>27842.373200000002</v>
      </c>
      <c r="AB312">
        <f t="shared" si="116"/>
        <v>23804.166400000002</v>
      </c>
      <c r="AC312">
        <f t="shared" si="117"/>
        <v>20828.6456</v>
      </c>
      <c r="AD312">
        <f t="shared" si="118"/>
        <v>19340.885200000001</v>
      </c>
      <c r="AE312">
        <f t="shared" si="119"/>
        <v>16790.4388</v>
      </c>
    </row>
    <row r="313" spans="1:31" x14ac:dyDescent="0.25">
      <c r="A313">
        <v>35.616662609999999</v>
      </c>
      <c r="B313">
        <v>115.2712174</v>
      </c>
      <c r="C313">
        <v>7.5089607200000001</v>
      </c>
      <c r="D313">
        <v>23.01345444</v>
      </c>
      <c r="E313" t="b">
        <f t="shared" si="96"/>
        <v>1</v>
      </c>
      <c r="F313">
        <f t="shared" si="97"/>
        <v>-14.531349160000001</v>
      </c>
      <c r="G313">
        <f t="shared" si="98"/>
        <v>-52.076152759999999</v>
      </c>
      <c r="H313">
        <f t="shared" si="99"/>
        <v>-89.620956359999994</v>
      </c>
      <c r="I313">
        <f t="shared" si="100"/>
        <v>-127.16575996</v>
      </c>
      <c r="J313">
        <f t="shared" si="101"/>
        <v>-164.71056356</v>
      </c>
      <c r="L313">
        <f t="shared" si="102"/>
        <v>15168100.6544</v>
      </c>
      <c r="M313">
        <f t="shared" si="103"/>
        <v>-24993920.555200007</v>
      </c>
      <c r="N313">
        <f t="shared" si="104"/>
        <v>-77072706.08479999</v>
      </c>
      <c r="O313">
        <f t="shared" si="105"/>
        <v>-100375471.12320001</v>
      </c>
      <c r="P313">
        <f t="shared" si="106"/>
        <v>-116992499.16320001</v>
      </c>
      <c r="Q313">
        <f t="shared" si="107"/>
        <v>-141651084.66159999</v>
      </c>
      <c r="S313">
        <f t="shared" si="108"/>
        <v>18396953.764000002</v>
      </c>
      <c r="T313">
        <f t="shared" si="109"/>
        <v>-113005251.4892</v>
      </c>
      <c r="U313">
        <f t="shared" si="110"/>
        <v>-96861644.133599997</v>
      </c>
      <c r="V313">
        <f t="shared" si="111"/>
        <v>-127261758.03119999</v>
      </c>
      <c r="W313">
        <f t="shared" si="112"/>
        <v>-174217091.14520001</v>
      </c>
      <c r="X313">
        <f t="shared" si="113"/>
        <v>-200946887.54319999</v>
      </c>
      <c r="Z313">
        <f t="shared" si="114"/>
        <v>21625806.873599999</v>
      </c>
      <c r="AA313">
        <f t="shared" si="115"/>
        <v>-38072134.799200006</v>
      </c>
      <c r="AB313">
        <f t="shared" si="116"/>
        <v>-116650582.1824</v>
      </c>
      <c r="AC313">
        <f t="shared" si="117"/>
        <v>-175657074.46559998</v>
      </c>
      <c r="AD313">
        <f t="shared" si="118"/>
        <v>-231441683.12720004</v>
      </c>
      <c r="AE313">
        <f t="shared" si="119"/>
        <v>-260242690.42480001</v>
      </c>
    </row>
    <row r="314" spans="1:31" x14ac:dyDescent="0.25">
      <c r="A314">
        <v>35.66673205</v>
      </c>
      <c r="B314">
        <v>115.2205993</v>
      </c>
      <c r="C314">
        <v>7.5089607200000001</v>
      </c>
      <c r="D314">
        <v>13.111167910000001</v>
      </c>
      <c r="E314" t="b">
        <f t="shared" si="96"/>
        <v>1</v>
      </c>
      <c r="F314">
        <f t="shared" si="97"/>
        <v>-24.433635690000003</v>
      </c>
      <c r="G314">
        <f t="shared" si="98"/>
        <v>-61.978439290000004</v>
      </c>
      <c r="H314">
        <f t="shared" si="99"/>
        <v>-99.523242889999992</v>
      </c>
      <c r="I314">
        <f t="shared" si="100"/>
        <v>-137.06804649</v>
      </c>
      <c r="J314">
        <f t="shared" si="101"/>
        <v>-174.61285008999999</v>
      </c>
      <c r="L314">
        <f t="shared" si="102"/>
        <v>15168100.6544</v>
      </c>
      <c r="M314">
        <f t="shared" si="103"/>
        <v>-42025853.386800006</v>
      </c>
      <c r="N314">
        <f t="shared" si="104"/>
        <v>-91728090.149200007</v>
      </c>
      <c r="O314">
        <f t="shared" si="105"/>
        <v>-111466032.0368</v>
      </c>
      <c r="P314">
        <f t="shared" si="106"/>
        <v>-126102602.77079999</v>
      </c>
      <c r="Q314">
        <f t="shared" si="107"/>
        <v>-150167051.0774</v>
      </c>
      <c r="S314">
        <f t="shared" si="108"/>
        <v>18396953.764000002</v>
      </c>
      <c r="T314">
        <f t="shared" si="109"/>
        <v>-134493213.25930002</v>
      </c>
      <c r="U314">
        <f t="shared" si="110"/>
        <v>-115279897.0794</v>
      </c>
      <c r="V314">
        <f t="shared" si="111"/>
        <v>-141323004.90379998</v>
      </c>
      <c r="W314">
        <f t="shared" si="112"/>
        <v>-187783223.69130003</v>
      </c>
      <c r="X314">
        <f t="shared" si="113"/>
        <v>-213027677.10980001</v>
      </c>
      <c r="Z314">
        <f t="shared" si="114"/>
        <v>21625806.873599999</v>
      </c>
      <c r="AA314">
        <f t="shared" si="115"/>
        <v>-64016125.507800005</v>
      </c>
      <c r="AB314">
        <f t="shared" si="116"/>
        <v>-138831704.00960001</v>
      </c>
      <c r="AC314">
        <f t="shared" si="117"/>
        <v>-195065556.06439996</v>
      </c>
      <c r="AD314">
        <f t="shared" si="118"/>
        <v>-249463844.61180001</v>
      </c>
      <c r="AE314">
        <f t="shared" si="119"/>
        <v>-275888303.14219999</v>
      </c>
    </row>
    <row r="315" spans="1:31" x14ac:dyDescent="0.25">
      <c r="A315">
        <v>35.703643200000002</v>
      </c>
      <c r="B315">
        <v>115.3379948</v>
      </c>
      <c r="C315">
        <v>7.5089607200000001</v>
      </c>
      <c r="D315">
        <v>0.14679600000000001</v>
      </c>
      <c r="E315" t="b">
        <f t="shared" si="96"/>
        <v>0</v>
      </c>
      <c r="F315">
        <f t="shared" si="97"/>
        <v>-37.3980076</v>
      </c>
      <c r="G315">
        <f t="shared" si="98"/>
        <v>-74.942811200000008</v>
      </c>
      <c r="H315">
        <f t="shared" si="99"/>
        <v>-112.4876148</v>
      </c>
      <c r="I315">
        <f t="shared" si="100"/>
        <v>-150.03241840000001</v>
      </c>
      <c r="J315">
        <f t="shared" si="101"/>
        <v>-187.57722200000001</v>
      </c>
      <c r="L315">
        <f t="shared" si="102"/>
        <v>296527.92</v>
      </c>
      <c r="M315">
        <f t="shared" si="103"/>
        <v>-64324573.072000012</v>
      </c>
      <c r="N315">
        <f t="shared" si="104"/>
        <v>-110915360.57600001</v>
      </c>
      <c r="O315">
        <f t="shared" si="105"/>
        <v>-125986128.57600001</v>
      </c>
      <c r="P315">
        <f t="shared" si="106"/>
        <v>-138029824.928</v>
      </c>
      <c r="Q315">
        <f t="shared" si="107"/>
        <v>-161316410.91999999</v>
      </c>
      <c r="S315">
        <f t="shared" si="108"/>
        <v>359650.2</v>
      </c>
      <c r="T315">
        <f t="shared" si="109"/>
        <v>-162625900.30399999</v>
      </c>
      <c r="U315">
        <f t="shared" si="110"/>
        <v>-139393628.83199999</v>
      </c>
      <c r="V315">
        <f t="shared" si="111"/>
        <v>-159732413.016</v>
      </c>
      <c r="W315">
        <f t="shared" si="112"/>
        <v>-205544413.20800003</v>
      </c>
      <c r="X315">
        <f t="shared" si="113"/>
        <v>-228844210.84</v>
      </c>
      <c r="Z315">
        <f t="shared" si="114"/>
        <v>422772.47999999998</v>
      </c>
      <c r="AA315">
        <f t="shared" si="115"/>
        <v>-97982779.912</v>
      </c>
      <c r="AB315">
        <f t="shared" si="116"/>
        <v>-167871897.08800003</v>
      </c>
      <c r="AC315">
        <f t="shared" si="117"/>
        <v>-220475725.00799999</v>
      </c>
      <c r="AD315">
        <f t="shared" si="118"/>
        <v>-273059001.48800004</v>
      </c>
      <c r="AE315">
        <f t="shared" si="119"/>
        <v>-296372010.75999999</v>
      </c>
    </row>
    <row r="316" spans="1:31" x14ac:dyDescent="0.25">
      <c r="A316">
        <v>35.718865839999999</v>
      </c>
      <c r="B316">
        <v>108.6836078</v>
      </c>
      <c r="C316">
        <v>1.062686E-2</v>
      </c>
      <c r="D316">
        <v>2.7404370299999998</v>
      </c>
      <c r="E316" t="b">
        <f t="shared" si="96"/>
        <v>1</v>
      </c>
      <c r="F316">
        <f t="shared" si="97"/>
        <v>2.6873027299999999</v>
      </c>
      <c r="G316">
        <f t="shared" si="98"/>
        <v>2.6341684299999999</v>
      </c>
      <c r="H316">
        <f t="shared" si="99"/>
        <v>2.5810341299999999</v>
      </c>
      <c r="I316">
        <f t="shared" si="100"/>
        <v>2.52789983</v>
      </c>
      <c r="J316">
        <f t="shared" si="101"/>
        <v>2.47476553</v>
      </c>
      <c r="L316">
        <f t="shared" si="102"/>
        <v>21466.2572</v>
      </c>
      <c r="M316">
        <f t="shared" si="103"/>
        <v>18278.199200000003</v>
      </c>
      <c r="N316">
        <f t="shared" si="104"/>
        <v>15727.7528</v>
      </c>
      <c r="O316">
        <f t="shared" si="105"/>
        <v>11902.083200000001</v>
      </c>
      <c r="P316">
        <f t="shared" si="106"/>
        <v>9776.7111999999997</v>
      </c>
      <c r="Q316">
        <f t="shared" si="107"/>
        <v>9139.0995999999996</v>
      </c>
      <c r="S316">
        <f t="shared" si="108"/>
        <v>26035.807000000004</v>
      </c>
      <c r="T316">
        <f t="shared" si="109"/>
        <v>23060.286200000002</v>
      </c>
      <c r="U316">
        <f t="shared" si="110"/>
        <v>19765.959599999998</v>
      </c>
      <c r="V316">
        <f t="shared" si="111"/>
        <v>15090.1412</v>
      </c>
      <c r="W316">
        <f t="shared" si="112"/>
        <v>14558.798200000001</v>
      </c>
      <c r="X316">
        <f t="shared" si="113"/>
        <v>12964.769200000001</v>
      </c>
      <c r="Z316">
        <f t="shared" si="114"/>
        <v>30605.356800000001</v>
      </c>
      <c r="AA316">
        <f t="shared" si="115"/>
        <v>27842.373200000002</v>
      </c>
      <c r="AB316">
        <f t="shared" si="116"/>
        <v>23804.166400000002</v>
      </c>
      <c r="AC316">
        <f t="shared" si="117"/>
        <v>20828.6456</v>
      </c>
      <c r="AD316">
        <f t="shared" si="118"/>
        <v>19340.885200000001</v>
      </c>
      <c r="AE316">
        <f t="shared" si="119"/>
        <v>16790.4388</v>
      </c>
    </row>
    <row r="317" spans="1:31" x14ac:dyDescent="0.25">
      <c r="A317">
        <v>35.74489895</v>
      </c>
      <c r="B317">
        <v>115.3994606</v>
      </c>
      <c r="C317">
        <v>7.5089607200000001</v>
      </c>
      <c r="D317">
        <v>34.599956509999998</v>
      </c>
      <c r="E317" t="b">
        <f t="shared" si="96"/>
        <v>1</v>
      </c>
      <c r="F317">
        <f t="shared" si="97"/>
        <v>-2.9448470900000032</v>
      </c>
      <c r="G317">
        <f t="shared" si="98"/>
        <v>-40.489650690000005</v>
      </c>
      <c r="H317">
        <f t="shared" si="99"/>
        <v>-78.034454289999999</v>
      </c>
      <c r="I317">
        <f t="shared" si="100"/>
        <v>-115.57925789000001</v>
      </c>
      <c r="J317">
        <f t="shared" si="101"/>
        <v>-153.12406149</v>
      </c>
      <c r="L317">
        <f t="shared" si="102"/>
        <v>15168100.6544</v>
      </c>
      <c r="M317">
        <f t="shared" si="103"/>
        <v>-5065136.994800006</v>
      </c>
      <c r="N317">
        <f t="shared" si="104"/>
        <v>-59924683.021200009</v>
      </c>
      <c r="O317">
        <f t="shared" si="105"/>
        <v>-87398588.804800019</v>
      </c>
      <c r="P317">
        <f t="shared" si="106"/>
        <v>-106332917.2588</v>
      </c>
      <c r="Q317">
        <f t="shared" si="107"/>
        <v>-131686692.8814</v>
      </c>
      <c r="S317">
        <f t="shared" si="108"/>
        <v>18396953.764000002</v>
      </c>
      <c r="T317">
        <f t="shared" si="109"/>
        <v>-87862541.997300014</v>
      </c>
      <c r="U317">
        <f t="shared" si="110"/>
        <v>-75310750.283399999</v>
      </c>
      <c r="V317">
        <f t="shared" si="111"/>
        <v>-110808925.0918</v>
      </c>
      <c r="W317">
        <f t="shared" si="112"/>
        <v>-158343583.30930004</v>
      </c>
      <c r="X317">
        <f t="shared" si="113"/>
        <v>-186811355.0178</v>
      </c>
      <c r="Z317">
        <f t="shared" si="114"/>
        <v>21625806.873599999</v>
      </c>
      <c r="AA317">
        <f t="shared" si="115"/>
        <v>-7715499.3758000089</v>
      </c>
      <c r="AB317">
        <f t="shared" si="116"/>
        <v>-90696817.545600027</v>
      </c>
      <c r="AC317">
        <f t="shared" si="117"/>
        <v>-152947530.4084</v>
      </c>
      <c r="AD317">
        <f t="shared" si="118"/>
        <v>-210354249.35980004</v>
      </c>
      <c r="AE317">
        <f t="shared" si="119"/>
        <v>-241936017.15420002</v>
      </c>
    </row>
    <row r="318" spans="1:31" x14ac:dyDescent="0.25">
      <c r="A318">
        <v>35.758122579999998</v>
      </c>
      <c r="B318">
        <v>115.2313053</v>
      </c>
      <c r="C318">
        <v>7.5089607200000001</v>
      </c>
      <c r="D318">
        <v>6.51179504</v>
      </c>
      <c r="E318" t="b">
        <f t="shared" si="96"/>
        <v>0</v>
      </c>
      <c r="F318">
        <f t="shared" si="97"/>
        <v>-31.033008560000003</v>
      </c>
      <c r="G318">
        <f t="shared" si="98"/>
        <v>-68.577812160000008</v>
      </c>
      <c r="H318">
        <f t="shared" si="99"/>
        <v>-106.12261576</v>
      </c>
      <c r="I318">
        <f t="shared" si="100"/>
        <v>-143.66741936</v>
      </c>
      <c r="J318">
        <f t="shared" si="101"/>
        <v>-181.21222295999999</v>
      </c>
      <c r="L318">
        <f t="shared" si="102"/>
        <v>13153825.980800001</v>
      </c>
      <c r="M318">
        <f t="shared" si="103"/>
        <v>-53376774.723200008</v>
      </c>
      <c r="N318">
        <f t="shared" si="104"/>
        <v>-101495161.99680002</v>
      </c>
      <c r="O318">
        <f t="shared" si="105"/>
        <v>-118857329.65120001</v>
      </c>
      <c r="P318">
        <f t="shared" si="106"/>
        <v>-132174025.81119998</v>
      </c>
      <c r="Q318">
        <f t="shared" si="107"/>
        <v>-155842511.74559999</v>
      </c>
      <c r="S318">
        <f t="shared" si="108"/>
        <v>15953897.848000001</v>
      </c>
      <c r="T318">
        <f t="shared" si="109"/>
        <v>-148813852.38720003</v>
      </c>
      <c r="U318">
        <f t="shared" si="110"/>
        <v>-127554730.61760001</v>
      </c>
      <c r="V318">
        <f t="shared" si="111"/>
        <v>-150694114.37920001</v>
      </c>
      <c r="W318">
        <f t="shared" si="112"/>
        <v>-196824364.52320001</v>
      </c>
      <c r="X318">
        <f t="shared" si="113"/>
        <v>-221078912.01119998</v>
      </c>
      <c r="Z318">
        <f t="shared" si="114"/>
        <v>18753969.7152</v>
      </c>
      <c r="AA318">
        <f t="shared" si="115"/>
        <v>-81306482.427200004</v>
      </c>
      <c r="AB318">
        <f t="shared" si="116"/>
        <v>-153614299.23840004</v>
      </c>
      <c r="AC318">
        <f t="shared" si="117"/>
        <v>-208000326.88960001</v>
      </c>
      <c r="AD318">
        <f t="shared" si="118"/>
        <v>-261474703.23519999</v>
      </c>
      <c r="AE318">
        <f t="shared" si="119"/>
        <v>-286315312.27679998</v>
      </c>
    </row>
    <row r="319" spans="1:31" x14ac:dyDescent="0.25">
      <c r="A319">
        <v>35.790586179999998</v>
      </c>
      <c r="B319">
        <v>115.4049193</v>
      </c>
      <c r="C319">
        <v>7.5089607200000001</v>
      </c>
      <c r="D319">
        <v>1.2747780099999999</v>
      </c>
      <c r="E319" t="b">
        <f t="shared" si="96"/>
        <v>0</v>
      </c>
      <c r="F319">
        <f t="shared" si="97"/>
        <v>-36.270025590000003</v>
      </c>
      <c r="G319">
        <f t="shared" si="98"/>
        <v>-73.814829189999998</v>
      </c>
      <c r="H319">
        <f t="shared" si="99"/>
        <v>-111.35963278999999</v>
      </c>
      <c r="I319">
        <f t="shared" si="100"/>
        <v>-148.90443639</v>
      </c>
      <c r="J319">
        <f t="shared" si="101"/>
        <v>-186.44923999</v>
      </c>
      <c r="L319">
        <f t="shared" si="102"/>
        <v>2575051.5802000002</v>
      </c>
      <c r="M319">
        <f t="shared" si="103"/>
        <v>-62384444.014800012</v>
      </c>
      <c r="N319">
        <f t="shared" si="104"/>
        <v>-109245947.20119999</v>
      </c>
      <c r="O319">
        <f t="shared" si="105"/>
        <v>-124722788.72480001</v>
      </c>
      <c r="P319">
        <f t="shared" si="106"/>
        <v>-136992081.4788</v>
      </c>
      <c r="Q319">
        <f t="shared" si="107"/>
        <v>-160346346.39140001</v>
      </c>
      <c r="S319">
        <f t="shared" si="108"/>
        <v>3123206.1245000004</v>
      </c>
      <c r="T319">
        <f t="shared" si="109"/>
        <v>-160178179.3423</v>
      </c>
      <c r="U319">
        <f t="shared" si="110"/>
        <v>-137295582.29339999</v>
      </c>
      <c r="V319">
        <f t="shared" si="111"/>
        <v>-158130678.56179997</v>
      </c>
      <c r="W319">
        <f t="shared" si="112"/>
        <v>-203999077.85430005</v>
      </c>
      <c r="X319">
        <f t="shared" si="113"/>
        <v>-227468072.78780001</v>
      </c>
      <c r="Z319">
        <f t="shared" si="114"/>
        <v>3671360.6688000001</v>
      </c>
      <c r="AA319">
        <f t="shared" si="115"/>
        <v>-95027467.045800015</v>
      </c>
      <c r="AB319">
        <f t="shared" si="116"/>
        <v>-165345217.3856</v>
      </c>
      <c r="AC319">
        <f t="shared" si="117"/>
        <v>-218264880.26839998</v>
      </c>
      <c r="AD319">
        <f t="shared" si="118"/>
        <v>-271006074.22980005</v>
      </c>
      <c r="AE319">
        <f t="shared" si="119"/>
        <v>-294589799.18420005</v>
      </c>
    </row>
    <row r="320" spans="1:31" x14ac:dyDescent="0.25">
      <c r="A320">
        <v>35.795023059999998</v>
      </c>
      <c r="B320">
        <v>115.34884169999999</v>
      </c>
      <c r="C320">
        <v>7.5089607200000001</v>
      </c>
      <c r="D320">
        <v>20.65184975</v>
      </c>
      <c r="E320" t="b">
        <f t="shared" si="96"/>
        <v>1</v>
      </c>
      <c r="F320">
        <f t="shared" si="97"/>
        <v>-16.892953850000001</v>
      </c>
      <c r="G320">
        <f t="shared" si="98"/>
        <v>-54.437757450000007</v>
      </c>
      <c r="H320">
        <f t="shared" si="99"/>
        <v>-91.982561050000001</v>
      </c>
      <c r="I320">
        <f t="shared" si="100"/>
        <v>-129.52736465000001</v>
      </c>
      <c r="J320">
        <f t="shared" si="101"/>
        <v>-167.07216825</v>
      </c>
      <c r="L320">
        <f t="shared" si="102"/>
        <v>15168100.6544</v>
      </c>
      <c r="M320">
        <f t="shared" si="103"/>
        <v>-29055880.622000005</v>
      </c>
      <c r="N320">
        <f t="shared" si="104"/>
        <v>-80567881.026000008</v>
      </c>
      <c r="O320">
        <f t="shared" si="105"/>
        <v>-103020468.376</v>
      </c>
      <c r="P320">
        <f t="shared" si="106"/>
        <v>-119165175.478</v>
      </c>
      <c r="Q320">
        <f t="shared" si="107"/>
        <v>-143682064.69499999</v>
      </c>
      <c r="S320">
        <f t="shared" si="108"/>
        <v>18396953.764000002</v>
      </c>
      <c r="T320">
        <f t="shared" si="109"/>
        <v>-118129933.6665</v>
      </c>
      <c r="U320">
        <f t="shared" si="110"/>
        <v>-101254228.85699999</v>
      </c>
      <c r="V320">
        <f t="shared" si="111"/>
        <v>-130615236.69099998</v>
      </c>
      <c r="W320">
        <f t="shared" si="112"/>
        <v>-177452489.57050002</v>
      </c>
      <c r="X320">
        <f t="shared" si="113"/>
        <v>-203828045.26499999</v>
      </c>
      <c r="Z320">
        <f t="shared" si="114"/>
        <v>21625806.873599999</v>
      </c>
      <c r="AA320">
        <f t="shared" si="115"/>
        <v>-44259539.087000005</v>
      </c>
      <c r="AB320">
        <f t="shared" si="116"/>
        <v>-121940576.68800002</v>
      </c>
      <c r="AC320">
        <f t="shared" si="117"/>
        <v>-180285819.65799999</v>
      </c>
      <c r="AD320">
        <f t="shared" si="118"/>
        <v>-235739803.66300002</v>
      </c>
      <c r="AE320">
        <f t="shared" si="119"/>
        <v>-263974025.83500001</v>
      </c>
    </row>
    <row r="321" spans="1:31" x14ac:dyDescent="0.25">
      <c r="A321">
        <v>35.821014249999998</v>
      </c>
      <c r="B321">
        <v>108.17966850000001</v>
      </c>
      <c r="C321">
        <v>4.2673910000000002E-2</v>
      </c>
      <c r="D321">
        <v>34.820617679999998</v>
      </c>
      <c r="E321" t="b">
        <f t="shared" si="96"/>
        <v>1</v>
      </c>
      <c r="F321">
        <f t="shared" si="97"/>
        <v>34.607248129999995</v>
      </c>
      <c r="G321">
        <f t="shared" si="98"/>
        <v>34.393878579999999</v>
      </c>
      <c r="H321">
        <f t="shared" si="99"/>
        <v>34.180509029999996</v>
      </c>
      <c r="I321">
        <f t="shared" si="100"/>
        <v>33.96713948</v>
      </c>
      <c r="J321">
        <f t="shared" si="101"/>
        <v>33.753769929999997</v>
      </c>
      <c r="L321">
        <f t="shared" si="102"/>
        <v>86201.298200000005</v>
      </c>
      <c r="M321">
        <f t="shared" si="103"/>
        <v>73399.125200000009</v>
      </c>
      <c r="N321">
        <f t="shared" si="104"/>
        <v>63157.386800000007</v>
      </c>
      <c r="O321">
        <f t="shared" si="105"/>
        <v>47794.779200000012</v>
      </c>
      <c r="P321">
        <f t="shared" si="106"/>
        <v>39259.997199999998</v>
      </c>
      <c r="Q321">
        <f t="shared" si="107"/>
        <v>36699.562600000005</v>
      </c>
      <c r="S321">
        <f t="shared" si="108"/>
        <v>104551.07950000002</v>
      </c>
      <c r="T321">
        <f t="shared" si="109"/>
        <v>92602.38470000001</v>
      </c>
      <c r="U321">
        <f t="shared" si="110"/>
        <v>79373.472600000008</v>
      </c>
      <c r="V321">
        <f t="shared" si="111"/>
        <v>60596.9522</v>
      </c>
      <c r="W321">
        <f t="shared" si="112"/>
        <v>58463.256700000013</v>
      </c>
      <c r="X321">
        <f t="shared" si="113"/>
        <v>52062.1702</v>
      </c>
      <c r="Z321">
        <f t="shared" si="114"/>
        <v>122900.86080000001</v>
      </c>
      <c r="AA321">
        <f t="shared" si="115"/>
        <v>111805.64420000001</v>
      </c>
      <c r="AB321">
        <f t="shared" si="116"/>
        <v>95589.558400000024</v>
      </c>
      <c r="AC321">
        <f t="shared" si="117"/>
        <v>83640.863600000012</v>
      </c>
      <c r="AD321">
        <f t="shared" si="118"/>
        <v>77666.516200000013</v>
      </c>
      <c r="AE321">
        <f t="shared" si="119"/>
        <v>67424.777800000011</v>
      </c>
    </row>
    <row r="322" spans="1:31" x14ac:dyDescent="0.25">
      <c r="A322">
        <v>35.84071256</v>
      </c>
      <c r="B322">
        <v>115.3542745</v>
      </c>
      <c r="C322">
        <v>7.5089607200000001</v>
      </c>
      <c r="D322">
        <v>17.769199369999999</v>
      </c>
      <c r="E322" t="b">
        <f t="shared" si="96"/>
        <v>1</v>
      </c>
      <c r="F322">
        <f t="shared" si="97"/>
        <v>-19.775604230000003</v>
      </c>
      <c r="G322">
        <f t="shared" si="98"/>
        <v>-57.320407830000008</v>
      </c>
      <c r="H322">
        <f t="shared" si="99"/>
        <v>-94.865211430000002</v>
      </c>
      <c r="I322">
        <f t="shared" si="100"/>
        <v>-132.41001503000001</v>
      </c>
      <c r="J322">
        <f t="shared" si="101"/>
        <v>-169.95481863000001</v>
      </c>
      <c r="L322">
        <f t="shared" si="102"/>
        <v>15168100.6544</v>
      </c>
      <c r="M322">
        <f t="shared" si="103"/>
        <v>-34014039.275600009</v>
      </c>
      <c r="N322">
        <f t="shared" si="104"/>
        <v>-84834203.588400006</v>
      </c>
      <c r="O322">
        <f t="shared" si="105"/>
        <v>-106249036.80160002</v>
      </c>
      <c r="P322">
        <f t="shared" si="106"/>
        <v>-121817213.8276</v>
      </c>
      <c r="Q322">
        <f t="shared" si="107"/>
        <v>-146161144.02179998</v>
      </c>
      <c r="S322">
        <f t="shared" si="108"/>
        <v>18396953.764000002</v>
      </c>
      <c r="T322">
        <f t="shared" si="109"/>
        <v>-124385284.99110001</v>
      </c>
      <c r="U322">
        <f t="shared" si="110"/>
        <v>-106615958.56380001</v>
      </c>
      <c r="V322">
        <f t="shared" si="111"/>
        <v>-134708600.2306</v>
      </c>
      <c r="W322">
        <f t="shared" si="112"/>
        <v>-181401720.59110004</v>
      </c>
      <c r="X322">
        <f t="shared" si="113"/>
        <v>-207344878.7286</v>
      </c>
      <c r="Z322">
        <f t="shared" si="114"/>
        <v>21625806.873599999</v>
      </c>
      <c r="AA322">
        <f t="shared" si="115"/>
        <v>-51812083.082600012</v>
      </c>
      <c r="AB322">
        <f t="shared" si="116"/>
        <v>-128397713.53920002</v>
      </c>
      <c r="AC322">
        <f t="shared" si="117"/>
        <v>-185935814.40280002</v>
      </c>
      <c r="AD322">
        <f t="shared" si="118"/>
        <v>-240986227.35460004</v>
      </c>
      <c r="AE322">
        <f t="shared" si="119"/>
        <v>-268528613.43540001</v>
      </c>
    </row>
    <row r="323" spans="1:31" x14ac:dyDescent="0.25">
      <c r="A323">
        <v>35.875125230000002</v>
      </c>
      <c r="B323">
        <v>107.67346120000001</v>
      </c>
      <c r="C323">
        <v>0.14331736</v>
      </c>
      <c r="D323">
        <v>52.646286009999997</v>
      </c>
      <c r="E323" t="b">
        <f t="shared" ref="E323:E386" si="120">D323&gt;C323</f>
        <v>1</v>
      </c>
      <c r="F323">
        <f t="shared" ref="F323:F386" si="121">D323-(C323*(2030-2025))</f>
        <v>51.929699209999995</v>
      </c>
      <c r="G323">
        <f t="shared" ref="G323:G386" si="122">D323-(C323*(2035-2025))</f>
        <v>51.213112409999994</v>
      </c>
      <c r="H323">
        <f t="shared" ref="H323:H386" si="123">D323-(C323*(2040-2025))</f>
        <v>50.496525609999999</v>
      </c>
      <c r="I323">
        <f t="shared" ref="I323:I386" si="124">D323-(C323*(2045-2025))</f>
        <v>49.779938809999997</v>
      </c>
      <c r="J323">
        <f t="shared" ref="J323:J386" si="125">D323-(C323*(2050-2025))</f>
        <v>49.063352009999996</v>
      </c>
      <c r="L323">
        <f t="shared" ref="L323:L386" si="126">MIN(C323,D323)*1000000*((280/250)+0.9)</f>
        <v>289501.06720000005</v>
      </c>
      <c r="M323">
        <f t="shared" ref="M323:M386" si="127">MIN(C323,F323)*1000000*((230/250)+0.8)</f>
        <v>246505.85920000006</v>
      </c>
      <c r="N323">
        <f t="shared" ref="N323:N386" si="128">MIN(C323,G323)*1000000*((195/250)+0.7)</f>
        <v>212109.69280000002</v>
      </c>
      <c r="O323">
        <f t="shared" ref="O323:O386" si="129">MIN(C323,H323)*1000000*((130/250)+0.6)</f>
        <v>160515.44320000004</v>
      </c>
      <c r="P323">
        <f t="shared" ref="P323:P386" si="130">MIN(C323,I323)*1000000*((105/250)+0.5)</f>
        <v>131851.9712</v>
      </c>
      <c r="Q323">
        <f t="shared" ref="Q323:Q386" si="131">MIN(C323,J323)*1000000*((90/250)+0.5)</f>
        <v>123252.92960000002</v>
      </c>
      <c r="S323">
        <f t="shared" ref="S323:S386" si="132">MIN(C323,D323)*1000000*((325/250)+1.15)</f>
        <v>351127.53200000006</v>
      </c>
      <c r="T323">
        <f t="shared" ref="T323:T386" si="133">MIN(C323,G323)*1000000*((280/250)+1.05)</f>
        <v>310998.67120000004</v>
      </c>
      <c r="U323">
        <f t="shared" ref="U323:U386" si="134">MIN(C323,G323)*1000000*((227.5/250)+0.95)</f>
        <v>266570.28960000002</v>
      </c>
      <c r="V323">
        <f t="shared" ref="V323:V386" si="135">MIN(C323,H323)*1000000*((142.5/250)+0.85)</f>
        <v>203510.65120000002</v>
      </c>
      <c r="W323">
        <f t="shared" ref="W323:W386" si="136">MIN(C323,I323)*1000000*((142.5/250)+0.8)</f>
        <v>196344.78320000003</v>
      </c>
      <c r="X323">
        <f t="shared" ref="X323:X386" si="137">MIN(C323,J323)*1000000*((117.5/250)+0.75)</f>
        <v>174847.17920000001</v>
      </c>
      <c r="Z323">
        <f t="shared" ref="Z323:Z386" si="138">MIN(C323,D323)*1000000*((370/250)+1.4)</f>
        <v>412753.99680000002</v>
      </c>
      <c r="AA323">
        <f t="shared" ref="AA323:AA386" si="139">MIN(C323,F323)*1000000*((330/250)+1.3)</f>
        <v>375491.48320000008</v>
      </c>
      <c r="AB323">
        <f t="shared" ref="AB323:AB386" si="140">MIN(C323,G323)*1000000*((260/250)+1.2)</f>
        <v>321030.88640000008</v>
      </c>
      <c r="AC323">
        <f t="shared" ref="AC323:AC386" si="141">MIN(C323,H323)*1000000*((215/250)+1.1)</f>
        <v>280902.02560000005</v>
      </c>
      <c r="AD323">
        <f t="shared" ref="AD323:AD386" si="142">MIN(C323,I323)*1000000*((180/250)+1.1)</f>
        <v>260837.59520000004</v>
      </c>
      <c r="AE323">
        <f t="shared" ref="AE323:AE386" si="143">MIN(C323,J323)*1000000*((145/250)+1)</f>
        <v>226441.42880000002</v>
      </c>
    </row>
    <row r="324" spans="1:31" x14ac:dyDescent="0.25">
      <c r="A324">
        <v>35.923981550000001</v>
      </c>
      <c r="B324">
        <v>107.4487286</v>
      </c>
      <c r="C324">
        <v>0.14331736</v>
      </c>
      <c r="D324">
        <v>15.91948223</v>
      </c>
      <c r="E324" t="b">
        <f t="shared" si="120"/>
        <v>1</v>
      </c>
      <c r="F324">
        <f t="shared" si="121"/>
        <v>15.20289543</v>
      </c>
      <c r="G324">
        <f t="shared" si="122"/>
        <v>14.48630863</v>
      </c>
      <c r="H324">
        <f t="shared" si="123"/>
        <v>13.76972183</v>
      </c>
      <c r="I324">
        <f t="shared" si="124"/>
        <v>13.05313503</v>
      </c>
      <c r="J324">
        <f t="shared" si="125"/>
        <v>12.33654823</v>
      </c>
      <c r="L324">
        <f t="shared" si="126"/>
        <v>289501.06720000005</v>
      </c>
      <c r="M324">
        <f t="shared" si="127"/>
        <v>246505.85920000006</v>
      </c>
      <c r="N324">
        <f t="shared" si="128"/>
        <v>212109.69280000002</v>
      </c>
      <c r="O324">
        <f t="shared" si="129"/>
        <v>160515.44320000004</v>
      </c>
      <c r="P324">
        <f t="shared" si="130"/>
        <v>131851.9712</v>
      </c>
      <c r="Q324">
        <f t="shared" si="131"/>
        <v>123252.92960000002</v>
      </c>
      <c r="S324">
        <f t="shared" si="132"/>
        <v>351127.53200000006</v>
      </c>
      <c r="T324">
        <f t="shared" si="133"/>
        <v>310998.67120000004</v>
      </c>
      <c r="U324">
        <f t="shared" si="134"/>
        <v>266570.28960000002</v>
      </c>
      <c r="V324">
        <f t="shared" si="135"/>
        <v>203510.65120000002</v>
      </c>
      <c r="W324">
        <f t="shared" si="136"/>
        <v>196344.78320000003</v>
      </c>
      <c r="X324">
        <f t="shared" si="137"/>
        <v>174847.17920000001</v>
      </c>
      <c r="Z324">
        <f t="shared" si="138"/>
        <v>412753.99680000002</v>
      </c>
      <c r="AA324">
        <f t="shared" si="139"/>
        <v>375491.48320000008</v>
      </c>
      <c r="AB324">
        <f t="shared" si="140"/>
        <v>321030.88640000008</v>
      </c>
      <c r="AC324">
        <f t="shared" si="141"/>
        <v>280902.02560000005</v>
      </c>
      <c r="AD324">
        <f t="shared" si="142"/>
        <v>260837.59520000004</v>
      </c>
      <c r="AE324">
        <f t="shared" si="143"/>
        <v>226441.42880000002</v>
      </c>
    </row>
    <row r="325" spans="1:31" x14ac:dyDescent="0.25">
      <c r="A325">
        <v>36.009421770000003</v>
      </c>
      <c r="B325">
        <v>107.9023419</v>
      </c>
      <c r="C325">
        <v>0.14331736</v>
      </c>
      <c r="D325">
        <v>0.26115501000000002</v>
      </c>
      <c r="E325" t="b">
        <f t="shared" si="120"/>
        <v>1</v>
      </c>
      <c r="F325">
        <f t="shared" si="121"/>
        <v>-0.45543178999999995</v>
      </c>
      <c r="G325">
        <f t="shared" si="122"/>
        <v>-1.17201859</v>
      </c>
      <c r="H325">
        <f t="shared" si="123"/>
        <v>-1.8886053899999999</v>
      </c>
      <c r="I325">
        <f t="shared" si="124"/>
        <v>-2.6051921899999999</v>
      </c>
      <c r="J325">
        <f t="shared" si="125"/>
        <v>-3.3217789900000003</v>
      </c>
      <c r="L325">
        <f t="shared" si="126"/>
        <v>289501.06720000005</v>
      </c>
      <c r="M325">
        <f t="shared" si="127"/>
        <v>-783342.67879999999</v>
      </c>
      <c r="N325">
        <f t="shared" si="128"/>
        <v>-1734587.5132000002</v>
      </c>
      <c r="O325">
        <f t="shared" si="129"/>
        <v>-2115238.0367999999</v>
      </c>
      <c r="P325">
        <f t="shared" si="130"/>
        <v>-2396776.8147999998</v>
      </c>
      <c r="Q325">
        <f t="shared" si="131"/>
        <v>-2856729.9314000001</v>
      </c>
      <c r="S325">
        <f t="shared" si="132"/>
        <v>351127.53200000006</v>
      </c>
      <c r="T325">
        <f t="shared" si="133"/>
        <v>-2543280.3403000003</v>
      </c>
      <c r="U325">
        <f t="shared" si="134"/>
        <v>-2179954.5773999998</v>
      </c>
      <c r="V325">
        <f t="shared" si="135"/>
        <v>-2681819.6537999995</v>
      </c>
      <c r="W325">
        <f t="shared" si="136"/>
        <v>-3569113.3003000002</v>
      </c>
      <c r="X325">
        <f t="shared" si="137"/>
        <v>-4052570.3678000001</v>
      </c>
      <c r="Z325">
        <f t="shared" si="138"/>
        <v>412753.99680000002</v>
      </c>
      <c r="AA325">
        <f t="shared" si="139"/>
        <v>-1193231.2897999999</v>
      </c>
      <c r="AB325">
        <f t="shared" si="140"/>
        <v>-2625321.6416000002</v>
      </c>
      <c r="AC325">
        <f t="shared" si="141"/>
        <v>-3701666.5643999996</v>
      </c>
      <c r="AD325">
        <f t="shared" si="142"/>
        <v>-4741449.7857999997</v>
      </c>
      <c r="AE325">
        <f t="shared" si="143"/>
        <v>-5248410.8042000001</v>
      </c>
    </row>
    <row r="326" spans="1:31" x14ac:dyDescent="0.25">
      <c r="A326">
        <v>36.157631389999999</v>
      </c>
      <c r="B326">
        <v>107.0567827</v>
      </c>
      <c r="C326">
        <v>1.2898562</v>
      </c>
      <c r="D326">
        <v>6.2236909899999997</v>
      </c>
      <c r="E326" t="b">
        <f t="shared" si="120"/>
        <v>1</v>
      </c>
      <c r="F326">
        <f t="shared" si="121"/>
        <v>-0.22559001000000034</v>
      </c>
      <c r="G326">
        <f t="shared" si="122"/>
        <v>-6.6748710100000004</v>
      </c>
      <c r="H326">
        <f t="shared" si="123"/>
        <v>-13.124152010000001</v>
      </c>
      <c r="I326">
        <f t="shared" si="124"/>
        <v>-19.573433010000002</v>
      </c>
      <c r="J326">
        <f t="shared" si="125"/>
        <v>-26.022714010000001</v>
      </c>
      <c r="L326">
        <f t="shared" si="126"/>
        <v>2605509.5239999997</v>
      </c>
      <c r="M326">
        <f t="shared" si="127"/>
        <v>-388014.81720000063</v>
      </c>
      <c r="N326">
        <f t="shared" si="128"/>
        <v>-9878809.094800001</v>
      </c>
      <c r="O326">
        <f t="shared" si="129"/>
        <v>-14699050.251200004</v>
      </c>
      <c r="P326">
        <f t="shared" si="130"/>
        <v>-18007558.369199999</v>
      </c>
      <c r="Q326">
        <f t="shared" si="131"/>
        <v>-22379534.048599999</v>
      </c>
      <c r="S326">
        <f t="shared" si="132"/>
        <v>3160147.69</v>
      </c>
      <c r="T326">
        <f t="shared" si="133"/>
        <v>-14484470.091700001</v>
      </c>
      <c r="U326">
        <f t="shared" si="134"/>
        <v>-12415260.078600001</v>
      </c>
      <c r="V326">
        <f t="shared" si="135"/>
        <v>-18636295.854200002</v>
      </c>
      <c r="W326">
        <f t="shared" si="136"/>
        <v>-26815603.223700006</v>
      </c>
      <c r="X326">
        <f t="shared" si="137"/>
        <v>-31747711.0922</v>
      </c>
      <c r="Z326">
        <f t="shared" si="138"/>
        <v>3714785.8559999997</v>
      </c>
      <c r="AA326">
        <f t="shared" si="139"/>
        <v>-591045.82620000094</v>
      </c>
      <c r="AB326">
        <f t="shared" si="140"/>
        <v>-14951711.062400004</v>
      </c>
      <c r="AC326">
        <f t="shared" si="141"/>
        <v>-25723337.939600002</v>
      </c>
      <c r="AD326">
        <f t="shared" si="142"/>
        <v>-35623648.078200005</v>
      </c>
      <c r="AE326">
        <f t="shared" si="143"/>
        <v>-41115888.135800004</v>
      </c>
    </row>
    <row r="327" spans="1:31" x14ac:dyDescent="0.25">
      <c r="A327">
        <v>36.289724640000003</v>
      </c>
      <c r="B327">
        <v>107.5688969</v>
      </c>
      <c r="C327">
        <v>1.2898562</v>
      </c>
      <c r="D327">
        <v>15.64400768</v>
      </c>
      <c r="E327" t="b">
        <f t="shared" si="120"/>
        <v>1</v>
      </c>
      <c r="F327">
        <f t="shared" si="121"/>
        <v>9.1947266799999987</v>
      </c>
      <c r="G327">
        <f t="shared" si="122"/>
        <v>2.7454456799999996</v>
      </c>
      <c r="H327">
        <f t="shared" si="123"/>
        <v>-3.7038353200000014</v>
      </c>
      <c r="I327">
        <f t="shared" si="124"/>
        <v>-10.153116320000001</v>
      </c>
      <c r="J327">
        <f t="shared" si="125"/>
        <v>-16.602397320000001</v>
      </c>
      <c r="L327">
        <f t="shared" si="126"/>
        <v>2605509.5239999997</v>
      </c>
      <c r="M327">
        <f t="shared" si="127"/>
        <v>2218552.6640000003</v>
      </c>
      <c r="N327">
        <f t="shared" si="128"/>
        <v>1908987.176</v>
      </c>
      <c r="O327">
        <f t="shared" si="129"/>
        <v>-4148295.5584000018</v>
      </c>
      <c r="P327">
        <f t="shared" si="130"/>
        <v>-9340867.0143999998</v>
      </c>
      <c r="Q327">
        <f t="shared" si="131"/>
        <v>-14278061.695200002</v>
      </c>
      <c r="S327">
        <f t="shared" si="132"/>
        <v>3160147.69</v>
      </c>
      <c r="T327">
        <f t="shared" si="133"/>
        <v>2798987.9539999999</v>
      </c>
      <c r="U327">
        <f t="shared" si="134"/>
        <v>2399132.5319999997</v>
      </c>
      <c r="V327">
        <f t="shared" si="135"/>
        <v>-5259446.1544000013</v>
      </c>
      <c r="W327">
        <f t="shared" si="136"/>
        <v>-13909769.358400002</v>
      </c>
      <c r="X327">
        <f t="shared" si="137"/>
        <v>-20254924.730400003</v>
      </c>
      <c r="Z327">
        <f t="shared" si="138"/>
        <v>3714785.8559999997</v>
      </c>
      <c r="AA327">
        <f t="shared" si="139"/>
        <v>3379423.2439999999</v>
      </c>
      <c r="AB327">
        <f t="shared" si="140"/>
        <v>2889277.8880000003</v>
      </c>
      <c r="AC327">
        <f t="shared" si="141"/>
        <v>-7259517.2272000024</v>
      </c>
      <c r="AD327">
        <f t="shared" si="142"/>
        <v>-18478671.702400003</v>
      </c>
      <c r="AE327">
        <f t="shared" si="143"/>
        <v>-26231787.765600003</v>
      </c>
    </row>
    <row r="328" spans="1:31" x14ac:dyDescent="0.25">
      <c r="A328">
        <v>36.329753859999997</v>
      </c>
      <c r="B328">
        <v>107.9668568</v>
      </c>
      <c r="C328">
        <v>4.8771324199999997</v>
      </c>
      <c r="D328">
        <v>2.66443801</v>
      </c>
      <c r="E328" t="b">
        <f t="shared" si="120"/>
        <v>0</v>
      </c>
      <c r="F328">
        <f t="shared" si="121"/>
        <v>-21.721224089999996</v>
      </c>
      <c r="G328">
        <f t="shared" si="122"/>
        <v>-46.106886189999997</v>
      </c>
      <c r="H328">
        <f t="shared" si="123"/>
        <v>-70.492548290000002</v>
      </c>
      <c r="I328">
        <f t="shared" si="124"/>
        <v>-94.878210389999992</v>
      </c>
      <c r="J328">
        <f t="shared" si="125"/>
        <v>-119.26387249</v>
      </c>
      <c r="L328">
        <f t="shared" si="126"/>
        <v>5382164.7802000009</v>
      </c>
      <c r="M328">
        <f t="shared" si="127"/>
        <v>-37360505.434799999</v>
      </c>
      <c r="N328">
        <f t="shared" si="128"/>
        <v>-68238191.561199993</v>
      </c>
      <c r="O328">
        <f t="shared" si="129"/>
        <v>-78951654.08480002</v>
      </c>
      <c r="P328">
        <f t="shared" si="130"/>
        <v>-87287953.558799982</v>
      </c>
      <c r="Q328">
        <f t="shared" si="131"/>
        <v>-102566930.3414</v>
      </c>
      <c r="S328">
        <f t="shared" si="132"/>
        <v>6527873.1245000008</v>
      </c>
      <c r="T328">
        <f t="shared" si="133"/>
        <v>-100051943.0323</v>
      </c>
      <c r="U328">
        <f t="shared" si="134"/>
        <v>-85758808.313399985</v>
      </c>
      <c r="V328">
        <f t="shared" si="135"/>
        <v>-100099418.57180001</v>
      </c>
      <c r="W328">
        <f t="shared" si="136"/>
        <v>-129983148.23429999</v>
      </c>
      <c r="X328">
        <f t="shared" si="137"/>
        <v>-145501924.43779999</v>
      </c>
      <c r="Z328">
        <f t="shared" si="138"/>
        <v>7673581.4688000008</v>
      </c>
      <c r="AA328">
        <f t="shared" si="139"/>
        <v>-56909607.115799993</v>
      </c>
      <c r="AB328">
        <f t="shared" si="140"/>
        <v>-103279425.06560001</v>
      </c>
      <c r="AC328">
        <f t="shared" si="141"/>
        <v>-138165394.64840001</v>
      </c>
      <c r="AD328">
        <f t="shared" si="142"/>
        <v>-172678342.90979999</v>
      </c>
      <c r="AE328">
        <f t="shared" si="143"/>
        <v>-188436918.53420001</v>
      </c>
    </row>
    <row r="329" spans="1:31" x14ac:dyDescent="0.25">
      <c r="A329">
        <v>36.363760540000001</v>
      </c>
      <c r="B329">
        <v>108.59215759999999</v>
      </c>
      <c r="C329">
        <v>4.2673910000000002E-2</v>
      </c>
      <c r="D329">
        <v>2.28124189</v>
      </c>
      <c r="E329" t="b">
        <f t="shared" si="120"/>
        <v>1</v>
      </c>
      <c r="F329">
        <f t="shared" si="121"/>
        <v>2.0678723400000001</v>
      </c>
      <c r="G329">
        <f t="shared" si="122"/>
        <v>1.85450279</v>
      </c>
      <c r="H329">
        <f t="shared" si="123"/>
        <v>1.6411332399999998</v>
      </c>
      <c r="I329">
        <f t="shared" si="124"/>
        <v>1.4277636899999999</v>
      </c>
      <c r="J329">
        <f t="shared" si="125"/>
        <v>1.21439414</v>
      </c>
      <c r="L329">
        <f t="shared" si="126"/>
        <v>86201.298200000005</v>
      </c>
      <c r="M329">
        <f t="shared" si="127"/>
        <v>73399.125200000009</v>
      </c>
      <c r="N329">
        <f t="shared" si="128"/>
        <v>63157.386800000007</v>
      </c>
      <c r="O329">
        <f t="shared" si="129"/>
        <v>47794.779200000012</v>
      </c>
      <c r="P329">
        <f t="shared" si="130"/>
        <v>39259.997199999998</v>
      </c>
      <c r="Q329">
        <f t="shared" si="131"/>
        <v>36699.562600000005</v>
      </c>
      <c r="S329">
        <f t="shared" si="132"/>
        <v>104551.07950000002</v>
      </c>
      <c r="T329">
        <f t="shared" si="133"/>
        <v>92602.38470000001</v>
      </c>
      <c r="U329">
        <f t="shared" si="134"/>
        <v>79373.472600000008</v>
      </c>
      <c r="V329">
        <f t="shared" si="135"/>
        <v>60596.9522</v>
      </c>
      <c r="W329">
        <f t="shared" si="136"/>
        <v>58463.256700000013</v>
      </c>
      <c r="X329">
        <f t="shared" si="137"/>
        <v>52062.1702</v>
      </c>
      <c r="Z329">
        <f t="shared" si="138"/>
        <v>122900.86080000001</v>
      </c>
      <c r="AA329">
        <f t="shared" si="139"/>
        <v>111805.64420000001</v>
      </c>
      <c r="AB329">
        <f t="shared" si="140"/>
        <v>95589.558400000024</v>
      </c>
      <c r="AC329">
        <f t="shared" si="141"/>
        <v>83640.863600000012</v>
      </c>
      <c r="AD329">
        <f t="shared" si="142"/>
        <v>77666.516200000013</v>
      </c>
      <c r="AE329">
        <f t="shared" si="143"/>
        <v>67424.777800000011</v>
      </c>
    </row>
    <row r="330" spans="1:31" x14ac:dyDescent="0.25">
      <c r="A330">
        <v>36.371699649999996</v>
      </c>
      <c r="B330">
        <v>108.19499399999999</v>
      </c>
      <c r="C330">
        <v>4.8771324199999997</v>
      </c>
      <c r="D330">
        <v>24.808153149999999</v>
      </c>
      <c r="E330" t="b">
        <f t="shared" si="120"/>
        <v>1</v>
      </c>
      <c r="F330">
        <f t="shared" si="121"/>
        <v>0.42249105000000142</v>
      </c>
      <c r="G330">
        <f t="shared" si="122"/>
        <v>-23.963171049999996</v>
      </c>
      <c r="H330">
        <f t="shared" si="123"/>
        <v>-48.348833150000004</v>
      </c>
      <c r="I330">
        <f t="shared" si="124"/>
        <v>-72.734495249999995</v>
      </c>
      <c r="J330">
        <f t="shared" si="125"/>
        <v>-97.120157349999999</v>
      </c>
      <c r="L330">
        <f t="shared" si="126"/>
        <v>9851807.4883999992</v>
      </c>
      <c r="M330">
        <f t="shared" si="127"/>
        <v>726684.60600000259</v>
      </c>
      <c r="N330">
        <f t="shared" si="128"/>
        <v>-35465493.153999992</v>
      </c>
      <c r="O330">
        <f t="shared" si="129"/>
        <v>-54150693.128000014</v>
      </c>
      <c r="P330">
        <f t="shared" si="130"/>
        <v>-66915735.629999995</v>
      </c>
      <c r="Q330">
        <f t="shared" si="131"/>
        <v>-83523335.320999995</v>
      </c>
      <c r="S330">
        <f t="shared" si="132"/>
        <v>11948974.429000001</v>
      </c>
      <c r="T330">
        <f t="shared" si="133"/>
        <v>-52000081.178499989</v>
      </c>
      <c r="U330">
        <f t="shared" si="134"/>
        <v>-44571498.15299999</v>
      </c>
      <c r="V330">
        <f t="shared" si="135"/>
        <v>-68655343.072999999</v>
      </c>
      <c r="W330">
        <f t="shared" si="136"/>
        <v>-99646258.492500007</v>
      </c>
      <c r="X330">
        <f t="shared" si="137"/>
        <v>-118486591.96699999</v>
      </c>
      <c r="Z330">
        <f t="shared" si="138"/>
        <v>14046141.3696</v>
      </c>
      <c r="AA330">
        <f t="shared" si="139"/>
        <v>1106926.5510000039</v>
      </c>
      <c r="AB330">
        <f t="shared" si="140"/>
        <v>-53677503.151999995</v>
      </c>
      <c r="AC330">
        <f t="shared" si="141"/>
        <v>-94763712.974000007</v>
      </c>
      <c r="AD330">
        <f t="shared" si="142"/>
        <v>-132376781.355</v>
      </c>
      <c r="AE330">
        <f t="shared" si="143"/>
        <v>-153449848.61300001</v>
      </c>
    </row>
    <row r="331" spans="1:31" x14ac:dyDescent="0.25">
      <c r="A331">
        <v>36.424213659999999</v>
      </c>
      <c r="B331">
        <v>107.7988106</v>
      </c>
      <c r="C331">
        <v>4.8771324199999997</v>
      </c>
      <c r="D331">
        <v>0.63358802000000003</v>
      </c>
      <c r="E331" t="b">
        <f t="shared" si="120"/>
        <v>0</v>
      </c>
      <c r="F331">
        <f t="shared" si="121"/>
        <v>-23.752074079999996</v>
      </c>
      <c r="G331">
        <f t="shared" si="122"/>
        <v>-48.137736179999997</v>
      </c>
      <c r="H331">
        <f t="shared" si="123"/>
        <v>-72.523398279999995</v>
      </c>
      <c r="I331">
        <f t="shared" si="124"/>
        <v>-96.909060379999985</v>
      </c>
      <c r="J331">
        <f t="shared" si="125"/>
        <v>-121.29472247999999</v>
      </c>
      <c r="L331">
        <f t="shared" si="126"/>
        <v>1279847.8004000001</v>
      </c>
      <c r="M331">
        <f t="shared" si="127"/>
        <v>-40853567.417599998</v>
      </c>
      <c r="N331">
        <f t="shared" si="128"/>
        <v>-71243849.546399996</v>
      </c>
      <c r="O331">
        <f t="shared" si="129"/>
        <v>-81226206.073600009</v>
      </c>
      <c r="P331">
        <f t="shared" si="130"/>
        <v>-89156335.549599975</v>
      </c>
      <c r="Q331">
        <f t="shared" si="131"/>
        <v>-104313461.33279999</v>
      </c>
      <c r="S331">
        <f t="shared" si="132"/>
        <v>1552290.6490000002</v>
      </c>
      <c r="T331">
        <f t="shared" si="133"/>
        <v>-104458887.5106</v>
      </c>
      <c r="U331">
        <f t="shared" si="134"/>
        <v>-89536189.294799998</v>
      </c>
      <c r="V331">
        <f t="shared" si="135"/>
        <v>-102983225.55759999</v>
      </c>
      <c r="W331">
        <f t="shared" si="136"/>
        <v>-132765412.72059998</v>
      </c>
      <c r="X331">
        <f t="shared" si="137"/>
        <v>-147979561.42559999</v>
      </c>
      <c r="Z331">
        <f t="shared" si="138"/>
        <v>1824733.4975999999</v>
      </c>
      <c r="AA331">
        <f t="shared" si="139"/>
        <v>-62230434.089599989</v>
      </c>
      <c r="AB331">
        <f t="shared" si="140"/>
        <v>-107828529.04320002</v>
      </c>
      <c r="AC331">
        <f t="shared" si="141"/>
        <v>-142145860.6288</v>
      </c>
      <c r="AD331">
        <f t="shared" si="142"/>
        <v>-176374489.89159998</v>
      </c>
      <c r="AE331">
        <f t="shared" si="143"/>
        <v>-191645661.51839998</v>
      </c>
    </row>
    <row r="332" spans="1:31" x14ac:dyDescent="0.25">
      <c r="A332">
        <v>36.437269090000001</v>
      </c>
      <c r="B332">
        <v>109.3334103</v>
      </c>
      <c r="C332">
        <v>4.2673910000000002E-2</v>
      </c>
      <c r="D332">
        <v>0.61390602999999999</v>
      </c>
      <c r="E332" t="b">
        <f t="shared" si="120"/>
        <v>1</v>
      </c>
      <c r="F332">
        <f t="shared" si="121"/>
        <v>0.40053647999999997</v>
      </c>
      <c r="G332">
        <f t="shared" si="122"/>
        <v>0.18716692999999995</v>
      </c>
      <c r="H332">
        <f t="shared" si="123"/>
        <v>-2.6202620000000065E-2</v>
      </c>
      <c r="I332">
        <f t="shared" si="124"/>
        <v>-0.23957217000000008</v>
      </c>
      <c r="J332">
        <f t="shared" si="125"/>
        <v>-0.45294171999999999</v>
      </c>
      <c r="L332">
        <f t="shared" si="126"/>
        <v>86201.298200000005</v>
      </c>
      <c r="M332">
        <f t="shared" si="127"/>
        <v>73399.125200000009</v>
      </c>
      <c r="N332">
        <f t="shared" si="128"/>
        <v>63157.386800000007</v>
      </c>
      <c r="O332">
        <f t="shared" si="129"/>
        <v>-29346.934400000075</v>
      </c>
      <c r="P332">
        <f t="shared" si="130"/>
        <v>-220406.39640000006</v>
      </c>
      <c r="Q332">
        <f t="shared" si="131"/>
        <v>-389529.87919999997</v>
      </c>
      <c r="S332">
        <f t="shared" si="132"/>
        <v>104551.07950000002</v>
      </c>
      <c r="T332">
        <f t="shared" si="133"/>
        <v>92602.38470000001</v>
      </c>
      <c r="U332">
        <f t="shared" si="134"/>
        <v>79373.472600000008</v>
      </c>
      <c r="V332">
        <f t="shared" si="135"/>
        <v>-37207.720400000093</v>
      </c>
      <c r="W332">
        <f t="shared" si="136"/>
        <v>-328213.87290000013</v>
      </c>
      <c r="X332">
        <f t="shared" si="137"/>
        <v>-552588.89839999995</v>
      </c>
      <c r="Z332">
        <f t="shared" si="138"/>
        <v>122900.86080000001</v>
      </c>
      <c r="AA332">
        <f t="shared" si="139"/>
        <v>111805.64420000001</v>
      </c>
      <c r="AB332">
        <f t="shared" si="140"/>
        <v>95589.558400000024</v>
      </c>
      <c r="AC332">
        <f t="shared" si="141"/>
        <v>-51357.135200000128</v>
      </c>
      <c r="AD332">
        <f t="shared" si="142"/>
        <v>-436021.34940000012</v>
      </c>
      <c r="AE332">
        <f t="shared" si="143"/>
        <v>-715647.91760000004</v>
      </c>
    </row>
    <row r="333" spans="1:31" x14ac:dyDescent="0.25">
      <c r="A333">
        <v>36.467425630000001</v>
      </c>
      <c r="B333">
        <v>107.9703184</v>
      </c>
      <c r="C333">
        <v>4.8771324199999997</v>
      </c>
      <c r="D333">
        <v>8.5576982499999996</v>
      </c>
      <c r="E333" t="b">
        <f t="shared" si="120"/>
        <v>1</v>
      </c>
      <c r="F333">
        <f t="shared" si="121"/>
        <v>-15.827963849999998</v>
      </c>
      <c r="G333">
        <f t="shared" si="122"/>
        <v>-40.213625949999994</v>
      </c>
      <c r="H333">
        <f t="shared" si="123"/>
        <v>-64.599288049999998</v>
      </c>
      <c r="I333">
        <f t="shared" si="124"/>
        <v>-88.984950149999989</v>
      </c>
      <c r="J333">
        <f t="shared" si="125"/>
        <v>-113.37061224999999</v>
      </c>
      <c r="L333">
        <f t="shared" si="126"/>
        <v>9851807.4883999992</v>
      </c>
      <c r="M333">
        <f t="shared" si="127"/>
        <v>-27224097.822000001</v>
      </c>
      <c r="N333">
        <f t="shared" si="128"/>
        <v>-59516166.405999996</v>
      </c>
      <c r="O333">
        <f t="shared" si="129"/>
        <v>-72351202.615999997</v>
      </c>
      <c r="P333">
        <f t="shared" si="130"/>
        <v>-81866154.137999982</v>
      </c>
      <c r="Q333">
        <f t="shared" si="131"/>
        <v>-97498726.534999996</v>
      </c>
      <c r="S333">
        <f t="shared" si="132"/>
        <v>11948974.429000001</v>
      </c>
      <c r="T333">
        <f t="shared" si="133"/>
        <v>-87263568.311499983</v>
      </c>
      <c r="U333">
        <f t="shared" si="134"/>
        <v>-74797344.26699999</v>
      </c>
      <c r="V333">
        <f t="shared" si="135"/>
        <v>-91730989.030999988</v>
      </c>
      <c r="W333">
        <f t="shared" si="136"/>
        <v>-121909381.70549999</v>
      </c>
      <c r="X333">
        <f t="shared" si="137"/>
        <v>-138312146.94499999</v>
      </c>
      <c r="Z333">
        <f t="shared" si="138"/>
        <v>14046141.3696</v>
      </c>
      <c r="AA333">
        <f t="shared" si="139"/>
        <v>-41469265.286999993</v>
      </c>
      <c r="AB333">
        <f t="shared" si="140"/>
        <v>-90078522.127999991</v>
      </c>
      <c r="AC333">
        <f t="shared" si="141"/>
        <v>-126614604.57799999</v>
      </c>
      <c r="AD333">
        <f t="shared" si="142"/>
        <v>-161952609.273</v>
      </c>
      <c r="AE333">
        <f t="shared" si="143"/>
        <v>-179125567.35500002</v>
      </c>
    </row>
    <row r="334" spans="1:31" x14ac:dyDescent="0.25">
      <c r="A334">
        <v>36.557281119999999</v>
      </c>
      <c r="B334">
        <v>108.08639460000001</v>
      </c>
      <c r="C334">
        <v>4.8771324199999997</v>
      </c>
      <c r="D334">
        <v>107.913826</v>
      </c>
      <c r="E334" t="b">
        <f t="shared" si="120"/>
        <v>1</v>
      </c>
      <c r="F334">
        <f t="shared" si="121"/>
        <v>83.52816390000001</v>
      </c>
      <c r="G334">
        <f t="shared" si="122"/>
        <v>59.142501800000005</v>
      </c>
      <c r="H334">
        <f t="shared" si="123"/>
        <v>34.7568397</v>
      </c>
      <c r="I334">
        <f t="shared" si="124"/>
        <v>10.37117760000001</v>
      </c>
      <c r="J334">
        <f t="shared" si="125"/>
        <v>-14.014484499999995</v>
      </c>
      <c r="L334">
        <f t="shared" si="126"/>
        <v>9851807.4883999992</v>
      </c>
      <c r="M334">
        <f t="shared" si="127"/>
        <v>8388667.7624000013</v>
      </c>
      <c r="N334">
        <f t="shared" si="128"/>
        <v>7218155.9815999996</v>
      </c>
      <c r="O334">
        <f t="shared" si="129"/>
        <v>5462388.3104000008</v>
      </c>
      <c r="P334">
        <f t="shared" si="130"/>
        <v>4486961.8263999997</v>
      </c>
      <c r="Q334">
        <f t="shared" si="131"/>
        <v>-12052456.669999994</v>
      </c>
      <c r="S334">
        <f t="shared" si="132"/>
        <v>11948974.429000001</v>
      </c>
      <c r="T334">
        <f t="shared" si="133"/>
        <v>10583377.351399999</v>
      </c>
      <c r="U334">
        <f t="shared" si="134"/>
        <v>9071466.3011999987</v>
      </c>
      <c r="V334">
        <f t="shared" si="135"/>
        <v>6925528.0363999996</v>
      </c>
      <c r="W334">
        <f t="shared" si="136"/>
        <v>6681671.4154000003</v>
      </c>
      <c r="X334">
        <f t="shared" si="137"/>
        <v>-17097671.089999992</v>
      </c>
      <c r="Z334">
        <f t="shared" si="138"/>
        <v>14046141.3696</v>
      </c>
      <c r="AA334">
        <f t="shared" si="139"/>
        <v>12778086.940400001</v>
      </c>
      <c r="AB334">
        <f t="shared" si="140"/>
        <v>10924776.620800002</v>
      </c>
      <c r="AC334">
        <f t="shared" si="141"/>
        <v>9559179.5431999993</v>
      </c>
      <c r="AD334">
        <f t="shared" si="142"/>
        <v>8876381.0044</v>
      </c>
      <c r="AE334">
        <f t="shared" si="143"/>
        <v>-22142885.50999999</v>
      </c>
    </row>
    <row r="335" spans="1:31" x14ac:dyDescent="0.25">
      <c r="A335">
        <v>36.596748359999999</v>
      </c>
      <c r="B335">
        <v>108.42907030000001</v>
      </c>
      <c r="C335">
        <v>0.21280456</v>
      </c>
      <c r="D335">
        <v>11.07043934</v>
      </c>
      <c r="E335" t="b">
        <f t="shared" si="120"/>
        <v>1</v>
      </c>
      <c r="F335">
        <f t="shared" si="121"/>
        <v>10.00641654</v>
      </c>
      <c r="G335">
        <f t="shared" si="122"/>
        <v>8.94239374</v>
      </c>
      <c r="H335">
        <f t="shared" si="123"/>
        <v>7.8783709399999999</v>
      </c>
      <c r="I335">
        <f t="shared" si="124"/>
        <v>6.8143481399999999</v>
      </c>
      <c r="J335">
        <f t="shared" si="125"/>
        <v>5.7503253399999998</v>
      </c>
      <c r="L335">
        <f t="shared" si="126"/>
        <v>429865.21120000002</v>
      </c>
      <c r="M335">
        <f t="shared" si="127"/>
        <v>366023.84320000006</v>
      </c>
      <c r="N335">
        <f t="shared" si="128"/>
        <v>314950.7488</v>
      </c>
      <c r="O335">
        <f t="shared" si="129"/>
        <v>238341.10720000003</v>
      </c>
      <c r="P335">
        <f t="shared" si="130"/>
        <v>195780.19519999999</v>
      </c>
      <c r="Q335">
        <f t="shared" si="131"/>
        <v>183011.9216</v>
      </c>
      <c r="S335">
        <f t="shared" si="132"/>
        <v>521371.17200000002</v>
      </c>
      <c r="T335">
        <f t="shared" si="133"/>
        <v>461785.89519999997</v>
      </c>
      <c r="U335">
        <f t="shared" si="134"/>
        <v>395816.48159999994</v>
      </c>
      <c r="V335">
        <f t="shared" si="135"/>
        <v>302182.47519999999</v>
      </c>
      <c r="W335">
        <f t="shared" si="136"/>
        <v>291542.24720000004</v>
      </c>
      <c r="X335">
        <f t="shared" si="137"/>
        <v>259621.5632</v>
      </c>
      <c r="Z335">
        <f t="shared" si="138"/>
        <v>612877.13280000002</v>
      </c>
      <c r="AA335">
        <f t="shared" si="139"/>
        <v>557547.94720000005</v>
      </c>
      <c r="AB335">
        <f t="shared" si="140"/>
        <v>476682.21440000006</v>
      </c>
      <c r="AC335">
        <f t="shared" si="141"/>
        <v>417096.9376</v>
      </c>
      <c r="AD335">
        <f t="shared" si="142"/>
        <v>387304.29920000001</v>
      </c>
      <c r="AE335">
        <f t="shared" si="143"/>
        <v>336231.20480000001</v>
      </c>
    </row>
    <row r="336" spans="1:31" x14ac:dyDescent="0.25">
      <c r="A336">
        <v>36.603168580000002</v>
      </c>
      <c r="B336">
        <v>108.0876207</v>
      </c>
      <c r="C336">
        <v>8.3210926099999991</v>
      </c>
      <c r="D336">
        <v>7.5248999999999996E-2</v>
      </c>
      <c r="E336" t="b">
        <f t="shared" si="120"/>
        <v>0</v>
      </c>
      <c r="F336">
        <f t="shared" si="121"/>
        <v>-41.530214049999998</v>
      </c>
      <c r="G336">
        <f t="shared" si="122"/>
        <v>-83.135677099999995</v>
      </c>
      <c r="H336">
        <f t="shared" si="123"/>
        <v>-124.74114014999999</v>
      </c>
      <c r="I336">
        <f t="shared" si="124"/>
        <v>-166.34660319999998</v>
      </c>
      <c r="J336">
        <f t="shared" si="125"/>
        <v>-207.95206624999997</v>
      </c>
      <c r="L336">
        <f t="shared" si="126"/>
        <v>152002.98000000001</v>
      </c>
      <c r="M336">
        <f t="shared" si="127"/>
        <v>-71431968.166000009</v>
      </c>
      <c r="N336">
        <f t="shared" si="128"/>
        <v>-123040802.108</v>
      </c>
      <c r="O336">
        <f t="shared" si="129"/>
        <v>-139710076.96799999</v>
      </c>
      <c r="P336">
        <f t="shared" si="130"/>
        <v>-153038874.94399998</v>
      </c>
      <c r="Q336">
        <f t="shared" si="131"/>
        <v>-178838776.97499996</v>
      </c>
      <c r="S336">
        <f t="shared" si="132"/>
        <v>184360.05000000002</v>
      </c>
      <c r="T336">
        <f t="shared" si="133"/>
        <v>-180404419.30699998</v>
      </c>
      <c r="U336">
        <f t="shared" si="134"/>
        <v>-154632359.40599999</v>
      </c>
      <c r="V336">
        <f t="shared" si="135"/>
        <v>-177132419.01299998</v>
      </c>
      <c r="W336">
        <f t="shared" si="136"/>
        <v>-227894846.384</v>
      </c>
      <c r="X336">
        <f t="shared" si="137"/>
        <v>-253701520.82499996</v>
      </c>
      <c r="Z336">
        <f t="shared" si="138"/>
        <v>216717.12</v>
      </c>
      <c r="AA336">
        <f t="shared" si="139"/>
        <v>-108809160.81099999</v>
      </c>
      <c r="AB336">
        <f t="shared" si="140"/>
        <v>-186223916.704</v>
      </c>
      <c r="AC336">
        <f t="shared" si="141"/>
        <v>-244492634.69399998</v>
      </c>
      <c r="AD336">
        <f t="shared" si="142"/>
        <v>-302750817.824</v>
      </c>
      <c r="AE336">
        <f t="shared" si="143"/>
        <v>-328564264.67499995</v>
      </c>
    </row>
    <row r="337" spans="1:31" x14ac:dyDescent="0.25">
      <c r="A337">
        <v>36.64905546</v>
      </c>
      <c r="B337">
        <v>108.0888482</v>
      </c>
      <c r="C337">
        <v>8.3210926099999991</v>
      </c>
      <c r="D337">
        <v>8.6067037600000003</v>
      </c>
      <c r="E337" t="b">
        <f t="shared" si="120"/>
        <v>1</v>
      </c>
      <c r="F337">
        <f t="shared" si="121"/>
        <v>-32.998759289999995</v>
      </c>
      <c r="G337">
        <f t="shared" si="122"/>
        <v>-74.604222339999993</v>
      </c>
      <c r="H337">
        <f t="shared" si="123"/>
        <v>-116.20968538999999</v>
      </c>
      <c r="I337">
        <f t="shared" si="124"/>
        <v>-157.81514844</v>
      </c>
      <c r="J337">
        <f t="shared" si="125"/>
        <v>-199.42061149</v>
      </c>
      <c r="L337">
        <f t="shared" si="126"/>
        <v>16808607.0722</v>
      </c>
      <c r="M337">
        <f t="shared" si="127"/>
        <v>-56757865.978799999</v>
      </c>
      <c r="N337">
        <f t="shared" si="128"/>
        <v>-110414249.06319998</v>
      </c>
      <c r="O337">
        <f t="shared" si="129"/>
        <v>-130154847.63679999</v>
      </c>
      <c r="P337">
        <f t="shared" si="130"/>
        <v>-145189936.56479999</v>
      </c>
      <c r="Q337">
        <f t="shared" si="131"/>
        <v>-171501725.88140002</v>
      </c>
      <c r="S337">
        <f t="shared" si="132"/>
        <v>20386676.894499999</v>
      </c>
      <c r="T337">
        <f t="shared" si="133"/>
        <v>-161891162.47779998</v>
      </c>
      <c r="U337">
        <f t="shared" si="134"/>
        <v>-138763853.55239996</v>
      </c>
      <c r="V337">
        <f t="shared" si="135"/>
        <v>-165017753.25379997</v>
      </c>
      <c r="W337">
        <f t="shared" si="136"/>
        <v>-216206753.3628</v>
      </c>
      <c r="X337">
        <f t="shared" si="137"/>
        <v>-243293146.0178</v>
      </c>
      <c r="Z337">
        <f t="shared" si="138"/>
        <v>23964746.716799997</v>
      </c>
      <c r="AA337">
        <f t="shared" si="139"/>
        <v>-86456749.339799985</v>
      </c>
      <c r="AB337">
        <f t="shared" si="140"/>
        <v>-167113458.04159999</v>
      </c>
      <c r="AC337">
        <f t="shared" si="141"/>
        <v>-227770983.36439997</v>
      </c>
      <c r="AD337">
        <f t="shared" si="142"/>
        <v>-287223570.16079998</v>
      </c>
      <c r="AE337">
        <f t="shared" si="143"/>
        <v>-315084566.15420002</v>
      </c>
    </row>
    <row r="338" spans="1:31" x14ac:dyDescent="0.25">
      <c r="A338">
        <v>36.653666829999999</v>
      </c>
      <c r="B338">
        <v>107.80409969999999</v>
      </c>
      <c r="C338">
        <v>4.8771324199999997</v>
      </c>
      <c r="D338">
        <v>7.5939068799999996</v>
      </c>
      <c r="E338" t="b">
        <f t="shared" si="120"/>
        <v>1</v>
      </c>
      <c r="F338">
        <f t="shared" si="121"/>
        <v>-16.791755219999999</v>
      </c>
      <c r="G338">
        <f t="shared" si="122"/>
        <v>-41.177417319999996</v>
      </c>
      <c r="H338">
        <f t="shared" si="123"/>
        <v>-65.563079419999994</v>
      </c>
      <c r="I338">
        <f t="shared" si="124"/>
        <v>-89.948741519999984</v>
      </c>
      <c r="J338">
        <f t="shared" si="125"/>
        <v>-114.33440361999999</v>
      </c>
      <c r="L338">
        <f t="shared" si="126"/>
        <v>9851807.4883999992</v>
      </c>
      <c r="M338">
        <f t="shared" si="127"/>
        <v>-28881818.978399999</v>
      </c>
      <c r="N338">
        <f t="shared" si="128"/>
        <v>-60942577.633599989</v>
      </c>
      <c r="O338">
        <f t="shared" si="129"/>
        <v>-73430648.950399995</v>
      </c>
      <c r="P338">
        <f t="shared" si="130"/>
        <v>-82752842.198399976</v>
      </c>
      <c r="Q338">
        <f t="shared" si="131"/>
        <v>-98327587.113199994</v>
      </c>
      <c r="S338">
        <f t="shared" si="132"/>
        <v>11948974.429000001</v>
      </c>
      <c r="T338">
        <f t="shared" si="133"/>
        <v>-89354995.584399983</v>
      </c>
      <c r="U338">
        <f t="shared" si="134"/>
        <v>-76589996.215199977</v>
      </c>
      <c r="V338">
        <f t="shared" si="135"/>
        <v>-93099572.776399985</v>
      </c>
      <c r="W338">
        <f t="shared" si="136"/>
        <v>-123229775.88239998</v>
      </c>
      <c r="X338">
        <f t="shared" si="137"/>
        <v>-139487972.41639999</v>
      </c>
      <c r="Z338">
        <f t="shared" si="138"/>
        <v>14046141.3696</v>
      </c>
      <c r="AA338">
        <f t="shared" si="139"/>
        <v>-43994398.676399998</v>
      </c>
      <c r="AB338">
        <f t="shared" si="140"/>
        <v>-92237414.796799988</v>
      </c>
      <c r="AC338">
        <f t="shared" si="141"/>
        <v>-128503635.66319999</v>
      </c>
      <c r="AD338">
        <f t="shared" si="142"/>
        <v>-163706709.56639996</v>
      </c>
      <c r="AE338">
        <f t="shared" si="143"/>
        <v>-180648357.71959999</v>
      </c>
    </row>
    <row r="339" spans="1:31" x14ac:dyDescent="0.25">
      <c r="A339">
        <v>36.663889679999997</v>
      </c>
      <c r="B339">
        <v>106.89271890000001</v>
      </c>
      <c r="C339">
        <v>1.2898562</v>
      </c>
      <c r="D339">
        <v>48.273925779999999</v>
      </c>
      <c r="E339" t="b">
        <f t="shared" si="120"/>
        <v>1</v>
      </c>
      <c r="F339">
        <f t="shared" si="121"/>
        <v>41.82464478</v>
      </c>
      <c r="G339">
        <f t="shared" si="122"/>
        <v>35.375363780000001</v>
      </c>
      <c r="H339">
        <f t="shared" si="123"/>
        <v>28.926082779999998</v>
      </c>
      <c r="I339">
        <f t="shared" si="124"/>
        <v>22.476801779999999</v>
      </c>
      <c r="J339">
        <f t="shared" si="125"/>
        <v>16.027520779999996</v>
      </c>
      <c r="L339">
        <f t="shared" si="126"/>
        <v>2605509.5239999997</v>
      </c>
      <c r="M339">
        <f t="shared" si="127"/>
        <v>2218552.6640000003</v>
      </c>
      <c r="N339">
        <f t="shared" si="128"/>
        <v>1908987.176</v>
      </c>
      <c r="O339">
        <f t="shared" si="129"/>
        <v>1444638.9440000001</v>
      </c>
      <c r="P339">
        <f t="shared" si="130"/>
        <v>1186667.7039999999</v>
      </c>
      <c r="Q339">
        <f t="shared" si="131"/>
        <v>1109276.3319999999</v>
      </c>
      <c r="S339">
        <f t="shared" si="132"/>
        <v>3160147.69</v>
      </c>
      <c r="T339">
        <f t="shared" si="133"/>
        <v>2798987.9539999999</v>
      </c>
      <c r="U339">
        <f t="shared" si="134"/>
        <v>2399132.5319999997</v>
      </c>
      <c r="V339">
        <f t="shared" si="135"/>
        <v>1831595.8039999998</v>
      </c>
      <c r="W339">
        <f t="shared" si="136"/>
        <v>1767102.9940000002</v>
      </c>
      <c r="X339">
        <f t="shared" si="137"/>
        <v>1573624.564</v>
      </c>
      <c r="Z339">
        <f t="shared" si="138"/>
        <v>3714785.8559999997</v>
      </c>
      <c r="AA339">
        <f t="shared" si="139"/>
        <v>3379423.2439999999</v>
      </c>
      <c r="AB339">
        <f t="shared" si="140"/>
        <v>2889277.8880000003</v>
      </c>
      <c r="AC339">
        <f t="shared" si="141"/>
        <v>2528118.1519999998</v>
      </c>
      <c r="AD339">
        <f t="shared" si="142"/>
        <v>2347538.284</v>
      </c>
      <c r="AE339">
        <f t="shared" si="143"/>
        <v>2037972.7960000001</v>
      </c>
    </row>
    <row r="340" spans="1:31" x14ac:dyDescent="0.25">
      <c r="A340">
        <v>36.694941720000003</v>
      </c>
      <c r="B340">
        <v>108.0900772</v>
      </c>
      <c r="C340">
        <v>8.3210926099999991</v>
      </c>
      <c r="D340">
        <v>0.10063999999999999</v>
      </c>
      <c r="E340" t="b">
        <f t="shared" si="120"/>
        <v>0</v>
      </c>
      <c r="F340">
        <f t="shared" si="121"/>
        <v>-41.504823049999999</v>
      </c>
      <c r="G340">
        <f t="shared" si="122"/>
        <v>-83.110286099999996</v>
      </c>
      <c r="H340">
        <f t="shared" si="123"/>
        <v>-124.71574914999999</v>
      </c>
      <c r="I340">
        <f t="shared" si="124"/>
        <v>-166.32121219999999</v>
      </c>
      <c r="J340">
        <f t="shared" si="125"/>
        <v>-207.92667524999999</v>
      </c>
      <c r="L340">
        <f t="shared" si="126"/>
        <v>203292.79999999999</v>
      </c>
      <c r="M340">
        <f t="shared" si="127"/>
        <v>-71388295.645999998</v>
      </c>
      <c r="N340">
        <f t="shared" si="128"/>
        <v>-123003223.42799999</v>
      </c>
      <c r="O340">
        <f t="shared" si="129"/>
        <v>-139681639.04800001</v>
      </c>
      <c r="P340">
        <f t="shared" si="130"/>
        <v>-153015515.22399998</v>
      </c>
      <c r="Q340">
        <f t="shared" si="131"/>
        <v>-178816940.715</v>
      </c>
      <c r="S340">
        <f t="shared" si="132"/>
        <v>246568.00000000003</v>
      </c>
      <c r="T340">
        <f t="shared" si="133"/>
        <v>-180349320.83699998</v>
      </c>
      <c r="U340">
        <f t="shared" si="134"/>
        <v>-154585132.14599997</v>
      </c>
      <c r="V340">
        <f t="shared" si="135"/>
        <v>-177096363.79299998</v>
      </c>
      <c r="W340">
        <f t="shared" si="136"/>
        <v>-227860060.71399999</v>
      </c>
      <c r="X340">
        <f t="shared" si="137"/>
        <v>-253670543.80500001</v>
      </c>
      <c r="Z340">
        <f t="shared" si="138"/>
        <v>289843.20000000001</v>
      </c>
      <c r="AA340">
        <f t="shared" si="139"/>
        <v>-108742636.391</v>
      </c>
      <c r="AB340">
        <f t="shared" si="140"/>
        <v>-186167040.86399999</v>
      </c>
      <c r="AC340">
        <f t="shared" si="141"/>
        <v>-244442868.33399999</v>
      </c>
      <c r="AD340">
        <f t="shared" si="142"/>
        <v>-302704606.204</v>
      </c>
      <c r="AE340">
        <f t="shared" si="143"/>
        <v>-328524146.89500004</v>
      </c>
    </row>
    <row r="341" spans="1:31" x14ac:dyDescent="0.25">
      <c r="A341">
        <v>36.70420163</v>
      </c>
      <c r="B341">
        <v>107.46322120000001</v>
      </c>
      <c r="C341">
        <v>1.2898562</v>
      </c>
      <c r="D341">
        <v>4.44613981</v>
      </c>
      <c r="E341" t="b">
        <f t="shared" si="120"/>
        <v>1</v>
      </c>
      <c r="F341">
        <f t="shared" si="121"/>
        <v>-2.00314119</v>
      </c>
      <c r="G341">
        <f t="shared" si="122"/>
        <v>-8.4524221900000001</v>
      </c>
      <c r="H341">
        <f t="shared" si="123"/>
        <v>-14.901703190000001</v>
      </c>
      <c r="I341">
        <f t="shared" si="124"/>
        <v>-21.350984189999998</v>
      </c>
      <c r="J341">
        <f t="shared" si="125"/>
        <v>-27.800265190000005</v>
      </c>
      <c r="L341">
        <f t="shared" si="126"/>
        <v>2605509.5239999997</v>
      </c>
      <c r="M341">
        <f t="shared" si="127"/>
        <v>-3445402.8468000004</v>
      </c>
      <c r="N341">
        <f t="shared" si="128"/>
        <v>-12509584.8412</v>
      </c>
      <c r="O341">
        <f t="shared" si="129"/>
        <v>-16689907.572800003</v>
      </c>
      <c r="P341">
        <f t="shared" si="130"/>
        <v>-19642905.454799995</v>
      </c>
      <c r="Q341">
        <f t="shared" si="131"/>
        <v>-23908228.063400004</v>
      </c>
      <c r="S341">
        <f t="shared" si="132"/>
        <v>3160147.69</v>
      </c>
      <c r="T341">
        <f t="shared" si="133"/>
        <v>-18341756.152299996</v>
      </c>
      <c r="U341">
        <f t="shared" si="134"/>
        <v>-15721505.273399998</v>
      </c>
      <c r="V341">
        <f t="shared" si="135"/>
        <v>-21160418.529800002</v>
      </c>
      <c r="W341">
        <f t="shared" si="136"/>
        <v>-29250848.340299997</v>
      </c>
      <c r="X341">
        <f t="shared" si="137"/>
        <v>-33916323.531800002</v>
      </c>
      <c r="Z341">
        <f t="shared" si="138"/>
        <v>3714785.8559999997</v>
      </c>
      <c r="AA341">
        <f t="shared" si="139"/>
        <v>-5248229.9177999999</v>
      </c>
      <c r="AB341">
        <f t="shared" si="140"/>
        <v>-18933425.705600001</v>
      </c>
      <c r="AC341">
        <f t="shared" si="141"/>
        <v>-29207338.252400003</v>
      </c>
      <c r="AD341">
        <f t="shared" si="142"/>
        <v>-38858791.2258</v>
      </c>
      <c r="AE341">
        <f t="shared" si="143"/>
        <v>-43924419.000200011</v>
      </c>
    </row>
    <row r="342" spans="1:31" x14ac:dyDescent="0.25">
      <c r="A342">
        <v>36.726992670000001</v>
      </c>
      <c r="B342">
        <v>108.7753512</v>
      </c>
      <c r="C342">
        <v>0.21280456</v>
      </c>
      <c r="D342">
        <v>21.72185516</v>
      </c>
      <c r="E342" t="b">
        <f t="shared" si="120"/>
        <v>1</v>
      </c>
      <c r="F342">
        <f t="shared" si="121"/>
        <v>20.65783236</v>
      </c>
      <c r="G342">
        <f t="shared" si="122"/>
        <v>19.59380956</v>
      </c>
      <c r="H342">
        <f t="shared" si="123"/>
        <v>18.52978676</v>
      </c>
      <c r="I342">
        <f t="shared" si="124"/>
        <v>17.46576396</v>
      </c>
      <c r="J342">
        <f t="shared" si="125"/>
        <v>16.40174116</v>
      </c>
      <c r="L342">
        <f t="shared" si="126"/>
        <v>429865.21120000002</v>
      </c>
      <c r="M342">
        <f t="shared" si="127"/>
        <v>366023.84320000006</v>
      </c>
      <c r="N342">
        <f t="shared" si="128"/>
        <v>314950.7488</v>
      </c>
      <c r="O342">
        <f t="shared" si="129"/>
        <v>238341.10720000003</v>
      </c>
      <c r="P342">
        <f t="shared" si="130"/>
        <v>195780.19519999999</v>
      </c>
      <c r="Q342">
        <f t="shared" si="131"/>
        <v>183011.9216</v>
      </c>
      <c r="S342">
        <f t="shared" si="132"/>
        <v>521371.17200000002</v>
      </c>
      <c r="T342">
        <f t="shared" si="133"/>
        <v>461785.89519999997</v>
      </c>
      <c r="U342">
        <f t="shared" si="134"/>
        <v>395816.48159999994</v>
      </c>
      <c r="V342">
        <f t="shared" si="135"/>
        <v>302182.47519999999</v>
      </c>
      <c r="W342">
        <f t="shared" si="136"/>
        <v>291542.24720000004</v>
      </c>
      <c r="X342">
        <f t="shared" si="137"/>
        <v>259621.5632</v>
      </c>
      <c r="Z342">
        <f t="shared" si="138"/>
        <v>612877.13280000002</v>
      </c>
      <c r="AA342">
        <f t="shared" si="139"/>
        <v>557547.94720000005</v>
      </c>
      <c r="AB342">
        <f t="shared" si="140"/>
        <v>476682.21440000006</v>
      </c>
      <c r="AC342">
        <f t="shared" si="141"/>
        <v>417096.9376</v>
      </c>
      <c r="AD342">
        <f t="shared" si="142"/>
        <v>387304.29920000001</v>
      </c>
      <c r="AE342">
        <f t="shared" si="143"/>
        <v>336231.20480000001</v>
      </c>
    </row>
    <row r="343" spans="1:31" x14ac:dyDescent="0.25">
      <c r="A343">
        <v>36.874957209999998</v>
      </c>
      <c r="B343">
        <v>110.03816430000001</v>
      </c>
      <c r="C343">
        <v>0</v>
      </c>
      <c r="D343">
        <v>1.2388830200000001</v>
      </c>
      <c r="E343" t="b">
        <f t="shared" si="120"/>
        <v>1</v>
      </c>
      <c r="F343">
        <f t="shared" si="121"/>
        <v>1.2388830200000001</v>
      </c>
      <c r="G343">
        <f t="shared" si="122"/>
        <v>1.2388830200000001</v>
      </c>
      <c r="H343">
        <f t="shared" si="123"/>
        <v>1.2388830200000001</v>
      </c>
      <c r="I343">
        <f t="shared" si="124"/>
        <v>1.2388830200000001</v>
      </c>
      <c r="J343">
        <f t="shared" si="125"/>
        <v>1.2388830200000001</v>
      </c>
      <c r="L343">
        <f t="shared" si="126"/>
        <v>0</v>
      </c>
      <c r="M343">
        <f t="shared" si="127"/>
        <v>0</v>
      </c>
      <c r="N343">
        <f t="shared" si="128"/>
        <v>0</v>
      </c>
      <c r="O343">
        <f t="shared" si="129"/>
        <v>0</v>
      </c>
      <c r="P343">
        <f t="shared" si="130"/>
        <v>0</v>
      </c>
      <c r="Q343">
        <f t="shared" si="131"/>
        <v>0</v>
      </c>
      <c r="S343">
        <f t="shared" si="132"/>
        <v>0</v>
      </c>
      <c r="T343">
        <f t="shared" si="133"/>
        <v>0</v>
      </c>
      <c r="U343">
        <f t="shared" si="134"/>
        <v>0</v>
      </c>
      <c r="V343">
        <f t="shared" si="135"/>
        <v>0</v>
      </c>
      <c r="W343">
        <f t="shared" si="136"/>
        <v>0</v>
      </c>
      <c r="X343">
        <f t="shared" si="137"/>
        <v>0</v>
      </c>
      <c r="Z343">
        <f t="shared" si="138"/>
        <v>0</v>
      </c>
      <c r="AA343">
        <f t="shared" si="139"/>
        <v>0</v>
      </c>
      <c r="AB343">
        <f t="shared" si="140"/>
        <v>0</v>
      </c>
      <c r="AC343">
        <f t="shared" si="141"/>
        <v>0</v>
      </c>
      <c r="AD343">
        <f t="shared" si="142"/>
        <v>0</v>
      </c>
      <c r="AE343">
        <f t="shared" si="143"/>
        <v>0</v>
      </c>
    </row>
    <row r="344" spans="1:31" x14ac:dyDescent="0.25">
      <c r="A344">
        <v>36.92232241</v>
      </c>
      <c r="B344">
        <v>108.2105365</v>
      </c>
      <c r="C344">
        <v>8.3210926099999991</v>
      </c>
      <c r="D344">
        <v>9.3369884499999998</v>
      </c>
      <c r="E344" t="b">
        <f t="shared" si="120"/>
        <v>1</v>
      </c>
      <c r="F344">
        <f t="shared" si="121"/>
        <v>-32.268474599999998</v>
      </c>
      <c r="G344">
        <f t="shared" si="122"/>
        <v>-73.873937649999988</v>
      </c>
      <c r="H344">
        <f t="shared" si="123"/>
        <v>-115.47940069999999</v>
      </c>
      <c r="I344">
        <f t="shared" si="124"/>
        <v>-157.08486374999998</v>
      </c>
      <c r="J344">
        <f t="shared" si="125"/>
        <v>-198.69032679999998</v>
      </c>
      <c r="L344">
        <f t="shared" si="126"/>
        <v>16808607.0722</v>
      </c>
      <c r="M344">
        <f t="shared" si="127"/>
        <v>-55501776.311999999</v>
      </c>
      <c r="N344">
        <f t="shared" si="128"/>
        <v>-109333427.72199999</v>
      </c>
      <c r="O344">
        <f t="shared" si="129"/>
        <v>-129336928.78399999</v>
      </c>
      <c r="P344">
        <f t="shared" si="130"/>
        <v>-144518074.64999998</v>
      </c>
      <c r="Q344">
        <f t="shared" si="131"/>
        <v>-170873681.04799998</v>
      </c>
      <c r="S344">
        <f t="shared" si="132"/>
        <v>20386676.894499999</v>
      </c>
      <c r="T344">
        <f t="shared" si="133"/>
        <v>-160306444.70049998</v>
      </c>
      <c r="U344">
        <f t="shared" si="134"/>
        <v>-137405524.02899998</v>
      </c>
      <c r="V344">
        <f t="shared" si="135"/>
        <v>-163980748.99399999</v>
      </c>
      <c r="W344">
        <f t="shared" si="136"/>
        <v>-215206263.33749998</v>
      </c>
      <c r="X344">
        <f t="shared" si="137"/>
        <v>-242402198.69599998</v>
      </c>
      <c r="Z344">
        <f t="shared" si="138"/>
        <v>23964746.716799997</v>
      </c>
      <c r="AA344">
        <f t="shared" si="139"/>
        <v>-84543403.451999992</v>
      </c>
      <c r="AB344">
        <f t="shared" si="140"/>
        <v>-165477620.336</v>
      </c>
      <c r="AC344">
        <f t="shared" si="141"/>
        <v>-226339625.37199998</v>
      </c>
      <c r="AD344">
        <f t="shared" si="142"/>
        <v>-285894452.02499998</v>
      </c>
      <c r="AE344">
        <f t="shared" si="143"/>
        <v>-313930716.34399998</v>
      </c>
    </row>
    <row r="345" spans="1:31" x14ac:dyDescent="0.25">
      <c r="A345">
        <v>36.925342430000001</v>
      </c>
      <c r="B345">
        <v>108.0390955</v>
      </c>
      <c r="C345">
        <v>8.3210926099999991</v>
      </c>
      <c r="D345">
        <v>26.901620860000001</v>
      </c>
      <c r="E345" t="b">
        <f t="shared" si="120"/>
        <v>1</v>
      </c>
      <c r="F345">
        <f t="shared" si="121"/>
        <v>-14.703842189999996</v>
      </c>
      <c r="G345">
        <f t="shared" si="122"/>
        <v>-56.309305239999993</v>
      </c>
      <c r="H345">
        <f t="shared" si="123"/>
        <v>-97.914768289999984</v>
      </c>
      <c r="I345">
        <f t="shared" si="124"/>
        <v>-139.52023133999998</v>
      </c>
      <c r="J345">
        <f t="shared" si="125"/>
        <v>-181.12569438999998</v>
      </c>
      <c r="L345">
        <f t="shared" si="126"/>
        <v>16808607.0722</v>
      </c>
      <c r="M345">
        <f t="shared" si="127"/>
        <v>-25290608.566799995</v>
      </c>
      <c r="N345">
        <f t="shared" si="128"/>
        <v>-83337771.755199984</v>
      </c>
      <c r="O345">
        <f t="shared" si="129"/>
        <v>-109664540.48479998</v>
      </c>
      <c r="P345">
        <f t="shared" si="130"/>
        <v>-128358612.83279997</v>
      </c>
      <c r="Q345">
        <f t="shared" si="131"/>
        <v>-155768097.17539999</v>
      </c>
      <c r="S345">
        <f t="shared" si="132"/>
        <v>20386676.894499999</v>
      </c>
      <c r="T345">
        <f t="shared" si="133"/>
        <v>-122191192.37079999</v>
      </c>
      <c r="U345">
        <f t="shared" si="134"/>
        <v>-104735307.74639998</v>
      </c>
      <c r="V345">
        <f t="shared" si="135"/>
        <v>-139038970.97179997</v>
      </c>
      <c r="W345">
        <f t="shared" si="136"/>
        <v>-191142716.93579999</v>
      </c>
      <c r="X345">
        <f t="shared" si="137"/>
        <v>-220973347.15579998</v>
      </c>
      <c r="Z345">
        <f t="shared" si="138"/>
        <v>23964746.716799997</v>
      </c>
      <c r="AA345">
        <f t="shared" si="139"/>
        <v>-38524066.537799992</v>
      </c>
      <c r="AB345">
        <f t="shared" si="140"/>
        <v>-126132843.7376</v>
      </c>
      <c r="AC345">
        <f t="shared" si="141"/>
        <v>-191912945.84839994</v>
      </c>
      <c r="AD345">
        <f t="shared" si="142"/>
        <v>-253926821.03879997</v>
      </c>
      <c r="AE345">
        <f t="shared" si="143"/>
        <v>-286178597.13620001</v>
      </c>
    </row>
    <row r="346" spans="1:31" x14ac:dyDescent="0.25">
      <c r="A346">
        <v>36.927220419999998</v>
      </c>
      <c r="B346">
        <v>107.9247943</v>
      </c>
      <c r="C346">
        <v>8.3210926099999991</v>
      </c>
      <c r="D346">
        <v>0.106679</v>
      </c>
      <c r="E346" t="b">
        <f t="shared" si="120"/>
        <v>0</v>
      </c>
      <c r="F346">
        <f t="shared" si="121"/>
        <v>-41.498784049999998</v>
      </c>
      <c r="G346">
        <f t="shared" si="122"/>
        <v>-83.104247099999995</v>
      </c>
      <c r="H346">
        <f t="shared" si="123"/>
        <v>-124.70971014999999</v>
      </c>
      <c r="I346">
        <f t="shared" si="124"/>
        <v>-166.31517319999998</v>
      </c>
      <c r="J346">
        <f t="shared" si="125"/>
        <v>-207.92063624999997</v>
      </c>
      <c r="L346">
        <f t="shared" si="126"/>
        <v>215491.58000000002</v>
      </c>
      <c r="M346">
        <f t="shared" si="127"/>
        <v>-71377908.566</v>
      </c>
      <c r="N346">
        <f t="shared" si="128"/>
        <v>-122994285.70799999</v>
      </c>
      <c r="O346">
        <f t="shared" si="129"/>
        <v>-139674875.368</v>
      </c>
      <c r="P346">
        <f t="shared" si="130"/>
        <v>-153009959.34399998</v>
      </c>
      <c r="Q346">
        <f t="shared" si="131"/>
        <v>-178811747.17499998</v>
      </c>
      <c r="S346">
        <f t="shared" si="132"/>
        <v>261363.55000000002</v>
      </c>
      <c r="T346">
        <f t="shared" si="133"/>
        <v>-180336216.20699999</v>
      </c>
      <c r="U346">
        <f t="shared" si="134"/>
        <v>-154573899.60599998</v>
      </c>
      <c r="V346">
        <f t="shared" si="135"/>
        <v>-177087788.41299999</v>
      </c>
      <c r="W346">
        <f t="shared" si="136"/>
        <v>-227851787.28400001</v>
      </c>
      <c r="X346">
        <f t="shared" si="137"/>
        <v>-253663176.22499996</v>
      </c>
      <c r="Z346">
        <f t="shared" si="138"/>
        <v>307235.51999999996</v>
      </c>
      <c r="AA346">
        <f t="shared" si="139"/>
        <v>-108726814.211</v>
      </c>
      <c r="AB346">
        <f t="shared" si="140"/>
        <v>-186153513.50400001</v>
      </c>
      <c r="AC346">
        <f t="shared" si="141"/>
        <v>-244431031.89399996</v>
      </c>
      <c r="AD346">
        <f t="shared" si="142"/>
        <v>-302693615.22399998</v>
      </c>
      <c r="AE346">
        <f t="shared" si="143"/>
        <v>-328514605.27499998</v>
      </c>
    </row>
    <row r="347" spans="1:31" x14ac:dyDescent="0.25">
      <c r="A347">
        <v>36.955038190000003</v>
      </c>
      <c r="B347">
        <v>108.8407028</v>
      </c>
      <c r="C347">
        <v>0.21280456</v>
      </c>
      <c r="D347">
        <v>83.612007140000003</v>
      </c>
      <c r="E347" t="b">
        <f t="shared" si="120"/>
        <v>1</v>
      </c>
      <c r="F347">
        <f t="shared" si="121"/>
        <v>82.547984339999999</v>
      </c>
      <c r="G347">
        <f t="shared" si="122"/>
        <v>81.483961539999996</v>
      </c>
      <c r="H347">
        <f t="shared" si="123"/>
        <v>80.419938740000006</v>
      </c>
      <c r="I347">
        <f t="shared" si="124"/>
        <v>79.355915940000003</v>
      </c>
      <c r="J347">
        <f t="shared" si="125"/>
        <v>78.291893139999999</v>
      </c>
      <c r="L347">
        <f t="shared" si="126"/>
        <v>429865.21120000002</v>
      </c>
      <c r="M347">
        <f t="shared" si="127"/>
        <v>366023.84320000006</v>
      </c>
      <c r="N347">
        <f t="shared" si="128"/>
        <v>314950.7488</v>
      </c>
      <c r="O347">
        <f t="shared" si="129"/>
        <v>238341.10720000003</v>
      </c>
      <c r="P347">
        <f t="shared" si="130"/>
        <v>195780.19519999999</v>
      </c>
      <c r="Q347">
        <f t="shared" si="131"/>
        <v>183011.9216</v>
      </c>
      <c r="S347">
        <f t="shared" si="132"/>
        <v>521371.17200000002</v>
      </c>
      <c r="T347">
        <f t="shared" si="133"/>
        <v>461785.89519999997</v>
      </c>
      <c r="U347">
        <f t="shared" si="134"/>
        <v>395816.48159999994</v>
      </c>
      <c r="V347">
        <f t="shared" si="135"/>
        <v>302182.47519999999</v>
      </c>
      <c r="W347">
        <f t="shared" si="136"/>
        <v>291542.24720000004</v>
      </c>
      <c r="X347">
        <f t="shared" si="137"/>
        <v>259621.5632</v>
      </c>
      <c r="Z347">
        <f t="shared" si="138"/>
        <v>612877.13280000002</v>
      </c>
      <c r="AA347">
        <f t="shared" si="139"/>
        <v>557547.94720000005</v>
      </c>
      <c r="AB347">
        <f t="shared" si="140"/>
        <v>476682.21440000006</v>
      </c>
      <c r="AC347">
        <f t="shared" si="141"/>
        <v>417096.9376</v>
      </c>
      <c r="AD347">
        <f t="shared" si="142"/>
        <v>387304.29920000001</v>
      </c>
      <c r="AE347">
        <f t="shared" si="143"/>
        <v>336231.20480000001</v>
      </c>
    </row>
    <row r="348" spans="1:31" x14ac:dyDescent="0.25">
      <c r="A348">
        <v>36.982802720000002</v>
      </c>
      <c r="B348">
        <v>109.52854050000001</v>
      </c>
      <c r="C348">
        <v>4.2673910000000002E-2</v>
      </c>
      <c r="D348">
        <v>0.72275001000000005</v>
      </c>
      <c r="E348" t="b">
        <f t="shared" si="120"/>
        <v>1</v>
      </c>
      <c r="F348">
        <f t="shared" si="121"/>
        <v>0.50938046000000003</v>
      </c>
      <c r="G348">
        <f t="shared" si="122"/>
        <v>0.29601091000000002</v>
      </c>
      <c r="H348">
        <f t="shared" si="123"/>
        <v>8.2641359999999997E-2</v>
      </c>
      <c r="I348">
        <f t="shared" si="124"/>
        <v>-0.13072819000000002</v>
      </c>
      <c r="J348">
        <f t="shared" si="125"/>
        <v>-0.34409773999999993</v>
      </c>
      <c r="L348">
        <f t="shared" si="126"/>
        <v>86201.298200000005</v>
      </c>
      <c r="M348">
        <f t="shared" si="127"/>
        <v>73399.125200000009</v>
      </c>
      <c r="N348">
        <f t="shared" si="128"/>
        <v>63157.386800000007</v>
      </c>
      <c r="O348">
        <f t="shared" si="129"/>
        <v>47794.779200000012</v>
      </c>
      <c r="P348">
        <f t="shared" si="130"/>
        <v>-120269.9348</v>
      </c>
      <c r="Q348">
        <f t="shared" si="131"/>
        <v>-295924.05639999994</v>
      </c>
      <c r="S348">
        <f t="shared" si="132"/>
        <v>104551.07950000002</v>
      </c>
      <c r="T348">
        <f t="shared" si="133"/>
        <v>92602.38470000001</v>
      </c>
      <c r="U348">
        <f t="shared" si="134"/>
        <v>79373.472600000008</v>
      </c>
      <c r="V348">
        <f t="shared" si="135"/>
        <v>60596.9522</v>
      </c>
      <c r="W348">
        <f t="shared" si="136"/>
        <v>-179097.62030000004</v>
      </c>
      <c r="X348">
        <f t="shared" si="137"/>
        <v>-419799.24279999989</v>
      </c>
      <c r="Z348">
        <f t="shared" si="138"/>
        <v>122900.86080000001</v>
      </c>
      <c r="AA348">
        <f t="shared" si="139"/>
        <v>111805.64420000001</v>
      </c>
      <c r="AB348">
        <f t="shared" si="140"/>
        <v>95589.558400000024</v>
      </c>
      <c r="AC348">
        <f t="shared" si="141"/>
        <v>83640.863600000012</v>
      </c>
      <c r="AD348">
        <f t="shared" si="142"/>
        <v>-237925.30580000003</v>
      </c>
      <c r="AE348">
        <f t="shared" si="143"/>
        <v>-543674.4291999999</v>
      </c>
    </row>
    <row r="349" spans="1:31" x14ac:dyDescent="0.25">
      <c r="A349">
        <v>37.024733580000003</v>
      </c>
      <c r="B349">
        <v>119.4169534</v>
      </c>
      <c r="C349">
        <v>0</v>
      </c>
      <c r="D349">
        <v>0.83479296999999997</v>
      </c>
      <c r="E349" t="b">
        <f t="shared" si="120"/>
        <v>1</v>
      </c>
      <c r="F349">
        <f t="shared" si="121"/>
        <v>0.83479296999999997</v>
      </c>
      <c r="G349">
        <f t="shared" si="122"/>
        <v>0.83479296999999997</v>
      </c>
      <c r="H349">
        <f t="shared" si="123"/>
        <v>0.83479296999999997</v>
      </c>
      <c r="I349">
        <f t="shared" si="124"/>
        <v>0.83479296999999997</v>
      </c>
      <c r="J349">
        <f t="shared" si="125"/>
        <v>0.83479296999999997</v>
      </c>
      <c r="L349">
        <f t="shared" si="126"/>
        <v>0</v>
      </c>
      <c r="M349">
        <f t="shared" si="127"/>
        <v>0</v>
      </c>
      <c r="N349">
        <f t="shared" si="128"/>
        <v>0</v>
      </c>
      <c r="O349">
        <f t="shared" si="129"/>
        <v>0</v>
      </c>
      <c r="P349">
        <f t="shared" si="130"/>
        <v>0</v>
      </c>
      <c r="Q349">
        <f t="shared" si="131"/>
        <v>0</v>
      </c>
      <c r="S349">
        <f t="shared" si="132"/>
        <v>0</v>
      </c>
      <c r="T349">
        <f t="shared" si="133"/>
        <v>0</v>
      </c>
      <c r="U349">
        <f t="shared" si="134"/>
        <v>0</v>
      </c>
      <c r="V349">
        <f t="shared" si="135"/>
        <v>0</v>
      </c>
      <c r="W349">
        <f t="shared" si="136"/>
        <v>0</v>
      </c>
      <c r="X349">
        <f t="shared" si="137"/>
        <v>0</v>
      </c>
      <c r="Z349">
        <f t="shared" si="138"/>
        <v>0</v>
      </c>
      <c r="AA349">
        <f t="shared" si="139"/>
        <v>0</v>
      </c>
      <c r="AB349">
        <f t="shared" si="140"/>
        <v>0</v>
      </c>
      <c r="AC349">
        <f t="shared" si="141"/>
        <v>0</v>
      </c>
      <c r="AD349">
        <f t="shared" si="142"/>
        <v>0</v>
      </c>
      <c r="AE349">
        <f t="shared" si="143"/>
        <v>0</v>
      </c>
    </row>
    <row r="350" spans="1:31" x14ac:dyDescent="0.25">
      <c r="A350">
        <v>37.03513684</v>
      </c>
      <c r="B350">
        <v>109.3018063</v>
      </c>
      <c r="C350">
        <v>0.55589759000000005</v>
      </c>
      <c r="D350">
        <v>60.610736850000002</v>
      </c>
      <c r="E350" t="b">
        <f t="shared" si="120"/>
        <v>1</v>
      </c>
      <c r="F350">
        <f t="shared" si="121"/>
        <v>57.831248900000006</v>
      </c>
      <c r="G350">
        <f t="shared" si="122"/>
        <v>55.051760950000002</v>
      </c>
      <c r="H350">
        <f t="shared" si="123"/>
        <v>52.272272999999998</v>
      </c>
      <c r="I350">
        <f t="shared" si="124"/>
        <v>49.492785050000002</v>
      </c>
      <c r="J350">
        <f t="shared" si="125"/>
        <v>46.713297099999998</v>
      </c>
      <c r="L350">
        <f t="shared" si="126"/>
        <v>1122913.1318000001</v>
      </c>
      <c r="M350">
        <f t="shared" si="127"/>
        <v>956143.8548000002</v>
      </c>
      <c r="N350">
        <f t="shared" si="128"/>
        <v>822728.43320000009</v>
      </c>
      <c r="O350">
        <f t="shared" si="129"/>
        <v>622605.3008000002</v>
      </c>
      <c r="P350">
        <f t="shared" si="130"/>
        <v>511425.78280000004</v>
      </c>
      <c r="Q350">
        <f t="shared" si="131"/>
        <v>478071.92740000004</v>
      </c>
      <c r="S350">
        <f t="shared" si="132"/>
        <v>1361949.0955000003</v>
      </c>
      <c r="T350">
        <f t="shared" si="133"/>
        <v>1206297.7703000002</v>
      </c>
      <c r="U350">
        <f t="shared" si="134"/>
        <v>1033969.5174000001</v>
      </c>
      <c r="V350">
        <f t="shared" si="135"/>
        <v>789374.57780000009</v>
      </c>
      <c r="W350">
        <f t="shared" si="136"/>
        <v>761579.69830000016</v>
      </c>
      <c r="X350">
        <f t="shared" si="137"/>
        <v>678195.05980000005</v>
      </c>
      <c r="Z350">
        <f t="shared" si="138"/>
        <v>1600985.0592000003</v>
      </c>
      <c r="AA350">
        <f t="shared" si="139"/>
        <v>1456451.6858000003</v>
      </c>
      <c r="AB350">
        <f t="shared" si="140"/>
        <v>1245210.6016000004</v>
      </c>
      <c r="AC350">
        <f t="shared" si="141"/>
        <v>1089559.2764000001</v>
      </c>
      <c r="AD350">
        <f t="shared" si="142"/>
        <v>1011733.6138000002</v>
      </c>
      <c r="AE350">
        <f t="shared" si="143"/>
        <v>878318.19220000017</v>
      </c>
    </row>
    <row r="351" spans="1:31" x14ac:dyDescent="0.25">
      <c r="A351">
        <v>37.043841690000001</v>
      </c>
      <c r="B351">
        <v>117.9189599</v>
      </c>
      <c r="C351">
        <v>0</v>
      </c>
      <c r="D351">
        <v>0.67801201</v>
      </c>
      <c r="E351" t="b">
        <f t="shared" si="120"/>
        <v>1</v>
      </c>
      <c r="F351">
        <f t="shared" si="121"/>
        <v>0.67801201</v>
      </c>
      <c r="G351">
        <f t="shared" si="122"/>
        <v>0.67801201</v>
      </c>
      <c r="H351">
        <f t="shared" si="123"/>
        <v>0.67801201</v>
      </c>
      <c r="I351">
        <f t="shared" si="124"/>
        <v>0.67801201</v>
      </c>
      <c r="J351">
        <f t="shared" si="125"/>
        <v>0.67801201</v>
      </c>
      <c r="L351">
        <f t="shared" si="126"/>
        <v>0</v>
      </c>
      <c r="M351">
        <f t="shared" si="127"/>
        <v>0</v>
      </c>
      <c r="N351">
        <f t="shared" si="128"/>
        <v>0</v>
      </c>
      <c r="O351">
        <f t="shared" si="129"/>
        <v>0</v>
      </c>
      <c r="P351">
        <f t="shared" si="130"/>
        <v>0</v>
      </c>
      <c r="Q351">
        <f t="shared" si="131"/>
        <v>0</v>
      </c>
      <c r="S351">
        <f t="shared" si="132"/>
        <v>0</v>
      </c>
      <c r="T351">
        <f t="shared" si="133"/>
        <v>0</v>
      </c>
      <c r="U351">
        <f t="shared" si="134"/>
        <v>0</v>
      </c>
      <c r="V351">
        <f t="shared" si="135"/>
        <v>0</v>
      </c>
      <c r="W351">
        <f t="shared" si="136"/>
        <v>0</v>
      </c>
      <c r="X351">
        <f t="shared" si="137"/>
        <v>0</v>
      </c>
      <c r="Z351">
        <f t="shared" si="138"/>
        <v>0</v>
      </c>
      <c r="AA351">
        <f t="shared" si="139"/>
        <v>0</v>
      </c>
      <c r="AB351">
        <f t="shared" si="140"/>
        <v>0</v>
      </c>
      <c r="AC351">
        <f t="shared" si="141"/>
        <v>0</v>
      </c>
      <c r="AD351">
        <f t="shared" si="142"/>
        <v>0</v>
      </c>
      <c r="AE351">
        <f t="shared" si="143"/>
        <v>0</v>
      </c>
    </row>
    <row r="352" spans="1:31" x14ac:dyDescent="0.25">
      <c r="A352">
        <v>37.054827320000001</v>
      </c>
      <c r="B352">
        <v>116.82521989999999</v>
      </c>
      <c r="C352">
        <v>0</v>
      </c>
      <c r="D352">
        <v>4.81981897</v>
      </c>
      <c r="E352" t="b">
        <f t="shared" si="120"/>
        <v>1</v>
      </c>
      <c r="F352">
        <f t="shared" si="121"/>
        <v>4.81981897</v>
      </c>
      <c r="G352">
        <f t="shared" si="122"/>
        <v>4.81981897</v>
      </c>
      <c r="H352">
        <f t="shared" si="123"/>
        <v>4.81981897</v>
      </c>
      <c r="I352">
        <f t="shared" si="124"/>
        <v>4.81981897</v>
      </c>
      <c r="J352">
        <f t="shared" si="125"/>
        <v>4.81981897</v>
      </c>
      <c r="L352">
        <f t="shared" si="126"/>
        <v>0</v>
      </c>
      <c r="M352">
        <f t="shared" si="127"/>
        <v>0</v>
      </c>
      <c r="N352">
        <f t="shared" si="128"/>
        <v>0</v>
      </c>
      <c r="O352">
        <f t="shared" si="129"/>
        <v>0</v>
      </c>
      <c r="P352">
        <f t="shared" si="130"/>
        <v>0</v>
      </c>
      <c r="Q352">
        <f t="shared" si="131"/>
        <v>0</v>
      </c>
      <c r="S352">
        <f t="shared" si="132"/>
        <v>0</v>
      </c>
      <c r="T352">
        <f t="shared" si="133"/>
        <v>0</v>
      </c>
      <c r="U352">
        <f t="shared" si="134"/>
        <v>0</v>
      </c>
      <c r="V352">
        <f t="shared" si="135"/>
        <v>0</v>
      </c>
      <c r="W352">
        <f t="shared" si="136"/>
        <v>0</v>
      </c>
      <c r="X352">
        <f t="shared" si="137"/>
        <v>0</v>
      </c>
      <c r="Z352">
        <f t="shared" si="138"/>
        <v>0</v>
      </c>
      <c r="AA352">
        <f t="shared" si="139"/>
        <v>0</v>
      </c>
      <c r="AB352">
        <f t="shared" si="140"/>
        <v>0</v>
      </c>
      <c r="AC352">
        <f t="shared" si="141"/>
        <v>0</v>
      </c>
      <c r="AD352">
        <f t="shared" si="142"/>
        <v>0</v>
      </c>
      <c r="AE352">
        <f t="shared" si="143"/>
        <v>0</v>
      </c>
    </row>
    <row r="353" spans="1:31" x14ac:dyDescent="0.25">
      <c r="A353">
        <v>37.0716714</v>
      </c>
      <c r="B353">
        <v>117.6347765</v>
      </c>
      <c r="C353">
        <v>18.32290459</v>
      </c>
      <c r="D353">
        <v>0.109276</v>
      </c>
      <c r="E353" t="b">
        <f t="shared" si="120"/>
        <v>0</v>
      </c>
      <c r="F353">
        <f t="shared" si="121"/>
        <v>-91.505246950000014</v>
      </c>
      <c r="G353">
        <f t="shared" si="122"/>
        <v>-183.11976990000002</v>
      </c>
      <c r="H353">
        <f t="shared" si="123"/>
        <v>-274.73429284999997</v>
      </c>
      <c r="I353">
        <f t="shared" si="124"/>
        <v>-366.34881580000001</v>
      </c>
      <c r="J353">
        <f t="shared" si="125"/>
        <v>-457.96333874999999</v>
      </c>
      <c r="L353">
        <f t="shared" si="126"/>
        <v>220737.52</v>
      </c>
      <c r="M353">
        <f t="shared" si="127"/>
        <v>-157389024.75400004</v>
      </c>
      <c r="N353">
        <f t="shared" si="128"/>
        <v>-271017259.45200002</v>
      </c>
      <c r="O353">
        <f t="shared" si="129"/>
        <v>-307702407.99199998</v>
      </c>
      <c r="P353">
        <f t="shared" si="130"/>
        <v>-337040910.53600001</v>
      </c>
      <c r="Q353">
        <f t="shared" si="131"/>
        <v>-393848471.32499999</v>
      </c>
      <c r="S353">
        <f t="shared" si="132"/>
        <v>267726.2</v>
      </c>
      <c r="T353">
        <f t="shared" si="133"/>
        <v>-397369900.68300009</v>
      </c>
      <c r="U353">
        <f t="shared" si="134"/>
        <v>-340602772.01400006</v>
      </c>
      <c r="V353">
        <f t="shared" si="135"/>
        <v>-390122695.84699994</v>
      </c>
      <c r="W353">
        <f t="shared" si="136"/>
        <v>-501897877.64600003</v>
      </c>
      <c r="X353">
        <f t="shared" si="137"/>
        <v>-558715273.27499998</v>
      </c>
      <c r="Z353">
        <f t="shared" si="138"/>
        <v>314714.88</v>
      </c>
      <c r="AA353">
        <f t="shared" si="139"/>
        <v>-239743747.00900006</v>
      </c>
      <c r="AB353">
        <f t="shared" si="140"/>
        <v>-410188284.57600009</v>
      </c>
      <c r="AC353">
        <f t="shared" si="141"/>
        <v>-538479213.98599994</v>
      </c>
      <c r="AD353">
        <f t="shared" si="142"/>
        <v>-666754844.75600004</v>
      </c>
      <c r="AE353">
        <f t="shared" si="143"/>
        <v>-723582075.22500002</v>
      </c>
    </row>
    <row r="354" spans="1:31" x14ac:dyDescent="0.25">
      <c r="A354">
        <v>37.112523549999999</v>
      </c>
      <c r="B354">
        <v>107.8147716</v>
      </c>
      <c r="C354">
        <v>8.3210926099999991</v>
      </c>
      <c r="D354">
        <v>0.99576198999999999</v>
      </c>
      <c r="E354" t="b">
        <f t="shared" si="120"/>
        <v>0</v>
      </c>
      <c r="F354">
        <f t="shared" si="121"/>
        <v>-40.609701059999999</v>
      </c>
      <c r="G354">
        <f t="shared" si="122"/>
        <v>-82.215164109999989</v>
      </c>
      <c r="H354">
        <f t="shared" si="123"/>
        <v>-123.82062715999999</v>
      </c>
      <c r="I354">
        <f t="shared" si="124"/>
        <v>-165.42609020999998</v>
      </c>
      <c r="J354">
        <f t="shared" si="125"/>
        <v>-207.03155325999998</v>
      </c>
      <c r="L354">
        <f t="shared" si="126"/>
        <v>2011439.2198000001</v>
      </c>
      <c r="M354">
        <f t="shared" si="127"/>
        <v>-69848685.823200017</v>
      </c>
      <c r="N354">
        <f t="shared" si="128"/>
        <v>-121678442.88279998</v>
      </c>
      <c r="O354">
        <f t="shared" si="129"/>
        <v>-138679102.4192</v>
      </c>
      <c r="P354">
        <f t="shared" si="130"/>
        <v>-152192002.99319997</v>
      </c>
      <c r="Q354">
        <f t="shared" si="131"/>
        <v>-178047135.80359998</v>
      </c>
      <c r="S354">
        <f t="shared" si="132"/>
        <v>2439616.8755000001</v>
      </c>
      <c r="T354">
        <f t="shared" si="133"/>
        <v>-178406906.11869997</v>
      </c>
      <c r="U354">
        <f t="shared" si="134"/>
        <v>-152920205.24459997</v>
      </c>
      <c r="V354">
        <f t="shared" si="135"/>
        <v>-175825290.56719998</v>
      </c>
      <c r="W354">
        <f t="shared" si="136"/>
        <v>-226633743.58769998</v>
      </c>
      <c r="X354">
        <f t="shared" si="137"/>
        <v>-252578494.97719997</v>
      </c>
      <c r="Z354">
        <f t="shared" si="138"/>
        <v>2867794.5312000001</v>
      </c>
      <c r="AA354">
        <f t="shared" si="139"/>
        <v>-106397416.77720001</v>
      </c>
      <c r="AB354">
        <f t="shared" si="140"/>
        <v>-184161967.60639998</v>
      </c>
      <c r="AC354">
        <f t="shared" si="141"/>
        <v>-242688429.23359996</v>
      </c>
      <c r="AD354">
        <f t="shared" si="142"/>
        <v>-301075484.18219995</v>
      </c>
      <c r="AE354">
        <f t="shared" si="143"/>
        <v>-327109854.15079999</v>
      </c>
    </row>
    <row r="355" spans="1:31" x14ac:dyDescent="0.25">
      <c r="A355">
        <v>37.123217050000001</v>
      </c>
      <c r="B355">
        <v>106.8406954</v>
      </c>
      <c r="C355">
        <v>0</v>
      </c>
      <c r="D355">
        <v>1.54738402</v>
      </c>
      <c r="E355" t="b">
        <f t="shared" si="120"/>
        <v>1</v>
      </c>
      <c r="F355">
        <f t="shared" si="121"/>
        <v>1.54738402</v>
      </c>
      <c r="G355">
        <f t="shared" si="122"/>
        <v>1.54738402</v>
      </c>
      <c r="H355">
        <f t="shared" si="123"/>
        <v>1.54738402</v>
      </c>
      <c r="I355">
        <f t="shared" si="124"/>
        <v>1.54738402</v>
      </c>
      <c r="J355">
        <f t="shared" si="125"/>
        <v>1.54738402</v>
      </c>
      <c r="L355">
        <f t="shared" si="126"/>
        <v>0</v>
      </c>
      <c r="M355">
        <f t="shared" si="127"/>
        <v>0</v>
      </c>
      <c r="N355">
        <f t="shared" si="128"/>
        <v>0</v>
      </c>
      <c r="O355">
        <f t="shared" si="129"/>
        <v>0</v>
      </c>
      <c r="P355">
        <f t="shared" si="130"/>
        <v>0</v>
      </c>
      <c r="Q355">
        <f t="shared" si="131"/>
        <v>0</v>
      </c>
      <c r="S355">
        <f t="shared" si="132"/>
        <v>0</v>
      </c>
      <c r="T355">
        <f t="shared" si="133"/>
        <v>0</v>
      </c>
      <c r="U355">
        <f t="shared" si="134"/>
        <v>0</v>
      </c>
      <c r="V355">
        <f t="shared" si="135"/>
        <v>0</v>
      </c>
      <c r="W355">
        <f t="shared" si="136"/>
        <v>0</v>
      </c>
      <c r="X355">
        <f t="shared" si="137"/>
        <v>0</v>
      </c>
      <c r="Z355">
        <f t="shared" si="138"/>
        <v>0</v>
      </c>
      <c r="AA355">
        <f t="shared" si="139"/>
        <v>0</v>
      </c>
      <c r="AB355">
        <f t="shared" si="140"/>
        <v>0</v>
      </c>
      <c r="AC355">
        <f t="shared" si="141"/>
        <v>0</v>
      </c>
      <c r="AD355">
        <f t="shared" si="142"/>
        <v>0</v>
      </c>
      <c r="AE355">
        <f t="shared" si="143"/>
        <v>0</v>
      </c>
    </row>
    <row r="356" spans="1:31" x14ac:dyDescent="0.25">
      <c r="A356">
        <v>37.140552919999998</v>
      </c>
      <c r="B356">
        <v>117.8761441</v>
      </c>
      <c r="C356">
        <v>18.32290459</v>
      </c>
      <c r="D356">
        <v>3.8501780000000001</v>
      </c>
      <c r="E356" t="b">
        <f t="shared" si="120"/>
        <v>0</v>
      </c>
      <c r="F356">
        <f t="shared" si="121"/>
        <v>-87.764344950000009</v>
      </c>
      <c r="G356">
        <f t="shared" si="122"/>
        <v>-179.37886790000002</v>
      </c>
      <c r="H356">
        <f t="shared" si="123"/>
        <v>-270.99339084999997</v>
      </c>
      <c r="I356">
        <f t="shared" si="124"/>
        <v>-362.60791380000001</v>
      </c>
      <c r="J356">
        <f t="shared" si="125"/>
        <v>-454.22243674999999</v>
      </c>
      <c r="L356">
        <f t="shared" si="126"/>
        <v>7777359.5600000005</v>
      </c>
      <c r="M356">
        <f t="shared" si="127"/>
        <v>-150954673.31400001</v>
      </c>
      <c r="N356">
        <f t="shared" si="128"/>
        <v>-265480724.49200001</v>
      </c>
      <c r="O356">
        <f t="shared" si="129"/>
        <v>-303512597.75199997</v>
      </c>
      <c r="P356">
        <f t="shared" si="130"/>
        <v>-333599280.69599998</v>
      </c>
      <c r="Q356">
        <f t="shared" si="131"/>
        <v>-390631295.60500002</v>
      </c>
      <c r="S356">
        <f t="shared" si="132"/>
        <v>9432936.1000000015</v>
      </c>
      <c r="T356">
        <f t="shared" si="133"/>
        <v>-389252143.34299999</v>
      </c>
      <c r="U356">
        <f t="shared" si="134"/>
        <v>-333644694.29399997</v>
      </c>
      <c r="V356">
        <f t="shared" si="135"/>
        <v>-384810615.00699991</v>
      </c>
      <c r="W356">
        <f t="shared" si="136"/>
        <v>-496772841.90600008</v>
      </c>
      <c r="X356">
        <f t="shared" si="137"/>
        <v>-554151372.83500004</v>
      </c>
      <c r="Z356">
        <f t="shared" si="138"/>
        <v>11088512.639999999</v>
      </c>
      <c r="AA356">
        <f t="shared" si="139"/>
        <v>-229942583.76900002</v>
      </c>
      <c r="AB356">
        <f t="shared" si="140"/>
        <v>-401808664.09600008</v>
      </c>
      <c r="AC356">
        <f t="shared" si="141"/>
        <v>-531147046.06599993</v>
      </c>
      <c r="AD356">
        <f t="shared" si="142"/>
        <v>-659946403.11600006</v>
      </c>
      <c r="AE356">
        <f t="shared" si="143"/>
        <v>-717671450.06500006</v>
      </c>
    </row>
    <row r="357" spans="1:31" x14ac:dyDescent="0.25">
      <c r="A357">
        <v>37.15172424</v>
      </c>
      <c r="B357">
        <v>117.7623473</v>
      </c>
      <c r="C357">
        <v>18.32290459</v>
      </c>
      <c r="D357">
        <v>8.7413000000000005E-2</v>
      </c>
      <c r="E357" t="b">
        <f t="shared" si="120"/>
        <v>0</v>
      </c>
      <c r="F357">
        <f t="shared" si="121"/>
        <v>-91.52710995000001</v>
      </c>
      <c r="G357">
        <f t="shared" si="122"/>
        <v>-183.14163290000002</v>
      </c>
      <c r="H357">
        <f t="shared" si="123"/>
        <v>-274.75615584999997</v>
      </c>
      <c r="I357">
        <f t="shared" si="124"/>
        <v>-366.37067880000001</v>
      </c>
      <c r="J357">
        <f t="shared" si="125"/>
        <v>-457.98520174999999</v>
      </c>
      <c r="L357">
        <f t="shared" si="126"/>
        <v>176574.26</v>
      </c>
      <c r="M357">
        <f t="shared" si="127"/>
        <v>-157426629.11400005</v>
      </c>
      <c r="N357">
        <f t="shared" si="128"/>
        <v>-271049616.69200003</v>
      </c>
      <c r="O357">
        <f t="shared" si="129"/>
        <v>-307726894.55199999</v>
      </c>
      <c r="P357">
        <f t="shared" si="130"/>
        <v>-337061024.49599999</v>
      </c>
      <c r="Q357">
        <f t="shared" si="131"/>
        <v>-393867273.505</v>
      </c>
      <c r="S357">
        <f t="shared" si="132"/>
        <v>214161.85</v>
      </c>
      <c r="T357">
        <f t="shared" si="133"/>
        <v>-397417343.39300001</v>
      </c>
      <c r="U357">
        <f t="shared" si="134"/>
        <v>-340643437.19400001</v>
      </c>
      <c r="V357">
        <f t="shared" si="135"/>
        <v>-390153741.30699992</v>
      </c>
      <c r="W357">
        <f t="shared" si="136"/>
        <v>-501927829.95600003</v>
      </c>
      <c r="X357">
        <f t="shared" si="137"/>
        <v>-558741946.13499999</v>
      </c>
      <c r="Z357">
        <f t="shared" si="138"/>
        <v>251749.44</v>
      </c>
      <c r="AA357">
        <f t="shared" si="139"/>
        <v>-239801028.06900007</v>
      </c>
      <c r="AB357">
        <f t="shared" si="140"/>
        <v>-410237257.69600004</v>
      </c>
      <c r="AC357">
        <f t="shared" si="141"/>
        <v>-538522065.46599996</v>
      </c>
      <c r="AD357">
        <f t="shared" si="142"/>
        <v>-666794635.41600001</v>
      </c>
      <c r="AE357">
        <f t="shared" si="143"/>
        <v>-723616618.76499999</v>
      </c>
    </row>
    <row r="358" spans="1:31" x14ac:dyDescent="0.25">
      <c r="A358">
        <v>37.163420270000003</v>
      </c>
      <c r="B358">
        <v>118.1107848</v>
      </c>
      <c r="C358">
        <v>21.771209720000002</v>
      </c>
      <c r="D358">
        <v>3.2437488999999999</v>
      </c>
      <c r="E358" t="b">
        <f t="shared" si="120"/>
        <v>0</v>
      </c>
      <c r="F358">
        <f t="shared" si="121"/>
        <v>-105.61229970000001</v>
      </c>
      <c r="G358">
        <f t="shared" si="122"/>
        <v>-214.4683483</v>
      </c>
      <c r="H358">
        <f t="shared" si="123"/>
        <v>-323.32439690000001</v>
      </c>
      <c r="I358">
        <f t="shared" si="124"/>
        <v>-432.18044550000002</v>
      </c>
      <c r="J358">
        <f t="shared" si="125"/>
        <v>-541.03649410000003</v>
      </c>
      <c r="L358">
        <f t="shared" si="126"/>
        <v>6552372.7779999999</v>
      </c>
      <c r="M358">
        <f t="shared" si="127"/>
        <v>-181653155.48400003</v>
      </c>
      <c r="N358">
        <f t="shared" si="128"/>
        <v>-317413155.48400003</v>
      </c>
      <c r="O358">
        <f t="shared" si="129"/>
        <v>-362123324.52800006</v>
      </c>
      <c r="P358">
        <f t="shared" si="130"/>
        <v>-397606009.85999995</v>
      </c>
      <c r="Q358">
        <f t="shared" si="131"/>
        <v>-465291384.926</v>
      </c>
      <c r="S358">
        <f t="shared" si="132"/>
        <v>7947184.8050000006</v>
      </c>
      <c r="T358">
        <f t="shared" si="133"/>
        <v>-465396315.81099999</v>
      </c>
      <c r="U358">
        <f t="shared" si="134"/>
        <v>-398911127.838</v>
      </c>
      <c r="V358">
        <f t="shared" si="135"/>
        <v>-459120643.59800005</v>
      </c>
      <c r="W358">
        <f t="shared" si="136"/>
        <v>-592087210.33500004</v>
      </c>
      <c r="X358">
        <f t="shared" si="137"/>
        <v>-660064522.80200005</v>
      </c>
      <c r="Z358">
        <f t="shared" si="138"/>
        <v>9341996.8319999985</v>
      </c>
      <c r="AA358">
        <f t="shared" si="139"/>
        <v>-276704225.21400005</v>
      </c>
      <c r="AB358">
        <f t="shared" si="140"/>
        <v>-480409100.19200009</v>
      </c>
      <c r="AC358">
        <f t="shared" si="141"/>
        <v>-633715817.92400002</v>
      </c>
      <c r="AD358">
        <f t="shared" si="142"/>
        <v>-786568410.81000006</v>
      </c>
      <c r="AE358">
        <f t="shared" si="143"/>
        <v>-854837660.67800009</v>
      </c>
    </row>
    <row r="359" spans="1:31" x14ac:dyDescent="0.25">
      <c r="A359">
        <v>37.169104320000002</v>
      </c>
      <c r="B359">
        <v>106.8411931</v>
      </c>
      <c r="C359">
        <v>0</v>
      </c>
      <c r="D359">
        <v>0.18582699999999999</v>
      </c>
      <c r="E359" t="b">
        <f t="shared" si="120"/>
        <v>1</v>
      </c>
      <c r="F359">
        <f t="shared" si="121"/>
        <v>0.18582699999999999</v>
      </c>
      <c r="G359">
        <f t="shared" si="122"/>
        <v>0.18582699999999999</v>
      </c>
      <c r="H359">
        <f t="shared" si="123"/>
        <v>0.18582699999999999</v>
      </c>
      <c r="I359">
        <f t="shared" si="124"/>
        <v>0.18582699999999999</v>
      </c>
      <c r="J359">
        <f t="shared" si="125"/>
        <v>0.18582699999999999</v>
      </c>
      <c r="L359">
        <f t="shared" si="126"/>
        <v>0</v>
      </c>
      <c r="M359">
        <f t="shared" si="127"/>
        <v>0</v>
      </c>
      <c r="N359">
        <f t="shared" si="128"/>
        <v>0</v>
      </c>
      <c r="O359">
        <f t="shared" si="129"/>
        <v>0</v>
      </c>
      <c r="P359">
        <f t="shared" si="130"/>
        <v>0</v>
      </c>
      <c r="Q359">
        <f t="shared" si="131"/>
        <v>0</v>
      </c>
      <c r="S359">
        <f t="shared" si="132"/>
        <v>0</v>
      </c>
      <c r="T359">
        <f t="shared" si="133"/>
        <v>0</v>
      </c>
      <c r="U359">
        <f t="shared" si="134"/>
        <v>0</v>
      </c>
      <c r="V359">
        <f t="shared" si="135"/>
        <v>0</v>
      </c>
      <c r="W359">
        <f t="shared" si="136"/>
        <v>0</v>
      </c>
      <c r="X359">
        <f t="shared" si="137"/>
        <v>0</v>
      </c>
      <c r="Z359">
        <f t="shared" si="138"/>
        <v>0</v>
      </c>
      <c r="AA359">
        <f t="shared" si="139"/>
        <v>0</v>
      </c>
      <c r="AB359">
        <f t="shared" si="140"/>
        <v>0</v>
      </c>
      <c r="AC359">
        <f t="shared" si="141"/>
        <v>0</v>
      </c>
      <c r="AD359">
        <f t="shared" si="142"/>
        <v>0</v>
      </c>
      <c r="AE359">
        <f t="shared" si="143"/>
        <v>0</v>
      </c>
    </row>
    <row r="360" spans="1:31" x14ac:dyDescent="0.25">
      <c r="A360">
        <v>37.174279390000002</v>
      </c>
      <c r="B360">
        <v>109.2503574</v>
      </c>
      <c r="C360">
        <v>0.55589759000000005</v>
      </c>
      <c r="D360">
        <v>2.6454040999999999</v>
      </c>
      <c r="E360" t="b">
        <f t="shared" si="120"/>
        <v>1</v>
      </c>
      <c r="F360">
        <f t="shared" si="121"/>
        <v>-0.13408385000000012</v>
      </c>
      <c r="G360">
        <f t="shared" si="122"/>
        <v>-2.9135718000000002</v>
      </c>
      <c r="H360">
        <f t="shared" si="123"/>
        <v>-5.6930597499999998</v>
      </c>
      <c r="I360">
        <f t="shared" si="124"/>
        <v>-8.4725476999999998</v>
      </c>
      <c r="J360">
        <f t="shared" si="125"/>
        <v>-11.252035650000002</v>
      </c>
      <c r="L360">
        <f t="shared" si="126"/>
        <v>1122913.1318000001</v>
      </c>
      <c r="M360">
        <f t="shared" si="127"/>
        <v>-230624.22200000024</v>
      </c>
      <c r="N360">
        <f t="shared" si="128"/>
        <v>-4312086.2640000004</v>
      </c>
      <c r="O360">
        <f t="shared" si="129"/>
        <v>-6376226.9200000009</v>
      </c>
      <c r="P360">
        <f t="shared" si="130"/>
        <v>-7794743.8839999987</v>
      </c>
      <c r="Q360">
        <f t="shared" si="131"/>
        <v>-9676750.6590000018</v>
      </c>
      <c r="S360">
        <f t="shared" si="132"/>
        <v>1361949.0955000003</v>
      </c>
      <c r="T360">
        <f t="shared" si="133"/>
        <v>-6322450.8060000008</v>
      </c>
      <c r="U360">
        <f t="shared" si="134"/>
        <v>-5419243.5480000004</v>
      </c>
      <c r="V360">
        <f t="shared" si="135"/>
        <v>-8084144.8449999997</v>
      </c>
      <c r="W360">
        <f t="shared" si="136"/>
        <v>-11607390.348999999</v>
      </c>
      <c r="X360">
        <f t="shared" si="137"/>
        <v>-13727483.493000003</v>
      </c>
      <c r="Z360">
        <f t="shared" si="138"/>
        <v>1600985.0592000003</v>
      </c>
      <c r="AA360">
        <f t="shared" si="139"/>
        <v>-351299.68700000033</v>
      </c>
      <c r="AB360">
        <f t="shared" si="140"/>
        <v>-6526400.8320000013</v>
      </c>
      <c r="AC360">
        <f t="shared" si="141"/>
        <v>-11158397.109999999</v>
      </c>
      <c r="AD360">
        <f t="shared" si="142"/>
        <v>-15420036.813999999</v>
      </c>
      <c r="AE360">
        <f t="shared" si="143"/>
        <v>-17778216.327000003</v>
      </c>
    </row>
    <row r="361" spans="1:31" x14ac:dyDescent="0.25">
      <c r="A361">
        <v>37.179985860000002</v>
      </c>
      <c r="B361">
        <v>118.4024471</v>
      </c>
      <c r="C361">
        <v>152.459259</v>
      </c>
      <c r="D361">
        <v>6.7695441199999999</v>
      </c>
      <c r="E361" t="b">
        <f t="shared" si="120"/>
        <v>0</v>
      </c>
      <c r="F361">
        <f t="shared" si="121"/>
        <v>-755.52675088000001</v>
      </c>
      <c r="G361">
        <f t="shared" si="122"/>
        <v>-1517.8230458799999</v>
      </c>
      <c r="H361">
        <f t="shared" si="123"/>
        <v>-2280.11934088</v>
      </c>
      <c r="I361">
        <f t="shared" si="124"/>
        <v>-3042.4156358800001</v>
      </c>
      <c r="J361">
        <f t="shared" si="125"/>
        <v>-3804.7119308800002</v>
      </c>
      <c r="L361">
        <f t="shared" si="126"/>
        <v>13674479.122400001</v>
      </c>
      <c r="M361">
        <f t="shared" si="127"/>
        <v>-1299506011.5136001</v>
      </c>
      <c r="N361">
        <f t="shared" si="128"/>
        <v>-2246378107.9024</v>
      </c>
      <c r="O361">
        <f t="shared" si="129"/>
        <v>-2553733661.7856002</v>
      </c>
      <c r="P361">
        <f t="shared" si="130"/>
        <v>-2799022385.0095997</v>
      </c>
      <c r="Q361">
        <f t="shared" si="131"/>
        <v>-3272052260.5567999</v>
      </c>
      <c r="S361">
        <f t="shared" si="132"/>
        <v>16585383.094000002</v>
      </c>
      <c r="T361">
        <f t="shared" si="133"/>
        <v>-3293676009.5595994</v>
      </c>
      <c r="U361">
        <f t="shared" si="134"/>
        <v>-2823150865.3367996</v>
      </c>
      <c r="V361">
        <f t="shared" si="135"/>
        <v>-3237769464.0496001</v>
      </c>
      <c r="W361">
        <f t="shared" si="136"/>
        <v>-4168109421.1556005</v>
      </c>
      <c r="X361">
        <f t="shared" si="137"/>
        <v>-4641748555.6736002</v>
      </c>
      <c r="Z361">
        <f t="shared" si="138"/>
        <v>19496287.0656</v>
      </c>
      <c r="AA361">
        <f t="shared" si="139"/>
        <v>-1979480087.3056002</v>
      </c>
      <c r="AB361">
        <f t="shared" si="140"/>
        <v>-3399923622.7712002</v>
      </c>
      <c r="AC361">
        <f t="shared" si="141"/>
        <v>-4469033908.1247997</v>
      </c>
      <c r="AD361">
        <f t="shared" si="142"/>
        <v>-5537196457.3016005</v>
      </c>
      <c r="AE361">
        <f t="shared" si="143"/>
        <v>-6011444850.7904005</v>
      </c>
    </row>
    <row r="362" spans="1:31" x14ac:dyDescent="0.25">
      <c r="A362">
        <v>37.180220650000003</v>
      </c>
      <c r="B362">
        <v>109.02108699999999</v>
      </c>
      <c r="C362">
        <v>2.8402893499999999</v>
      </c>
      <c r="D362">
        <v>4.7013421099999997</v>
      </c>
      <c r="E362" t="b">
        <f t="shared" si="120"/>
        <v>1</v>
      </c>
      <c r="F362">
        <f t="shared" si="121"/>
        <v>-9.50010464</v>
      </c>
      <c r="G362">
        <f t="shared" si="122"/>
        <v>-23.701551389999999</v>
      </c>
      <c r="H362">
        <f t="shared" si="123"/>
        <v>-37.902998140000001</v>
      </c>
      <c r="I362">
        <f t="shared" si="124"/>
        <v>-52.104444889999996</v>
      </c>
      <c r="J362">
        <f t="shared" si="125"/>
        <v>-66.305891639999999</v>
      </c>
      <c r="L362">
        <f t="shared" si="126"/>
        <v>5737384.4870000007</v>
      </c>
      <c r="M362">
        <f t="shared" si="127"/>
        <v>-16340179.980800003</v>
      </c>
      <c r="N362">
        <f t="shared" si="128"/>
        <v>-35078296.0572</v>
      </c>
      <c r="O362">
        <f t="shared" si="129"/>
        <v>-42451357.916800007</v>
      </c>
      <c r="P362">
        <f t="shared" si="130"/>
        <v>-47936089.298799992</v>
      </c>
      <c r="Q362">
        <f t="shared" si="131"/>
        <v>-57023066.810400002</v>
      </c>
      <c r="S362">
        <f t="shared" si="132"/>
        <v>6958708.9075000007</v>
      </c>
      <c r="T362">
        <f t="shared" si="133"/>
        <v>-51432366.5163</v>
      </c>
      <c r="U362">
        <f t="shared" si="134"/>
        <v>-44084885.5854</v>
      </c>
      <c r="V362">
        <f t="shared" si="135"/>
        <v>-53822257.358800001</v>
      </c>
      <c r="W362">
        <f t="shared" si="136"/>
        <v>-71383089.499300003</v>
      </c>
      <c r="X362">
        <f t="shared" si="137"/>
        <v>-80893187.800799996</v>
      </c>
      <c r="Z362">
        <f t="shared" si="138"/>
        <v>8180033.3279999997</v>
      </c>
      <c r="AA362">
        <f t="shared" si="139"/>
        <v>-24890274.156800002</v>
      </c>
      <c r="AB362">
        <f t="shared" si="140"/>
        <v>-53091475.113600008</v>
      </c>
      <c r="AC362">
        <f t="shared" si="141"/>
        <v>-74289876.354399994</v>
      </c>
      <c r="AD362">
        <f t="shared" si="142"/>
        <v>-94830089.699799985</v>
      </c>
      <c r="AE362">
        <f t="shared" si="143"/>
        <v>-104763308.79120001</v>
      </c>
    </row>
    <row r="363" spans="1:31" x14ac:dyDescent="0.25">
      <c r="A363">
        <v>37.191699100000001</v>
      </c>
      <c r="B363">
        <v>117.82623150000001</v>
      </c>
      <c r="C363">
        <v>18.32290459</v>
      </c>
      <c r="D363">
        <v>2.00331306</v>
      </c>
      <c r="E363" t="b">
        <f t="shared" si="120"/>
        <v>0</v>
      </c>
      <c r="F363">
        <f t="shared" si="121"/>
        <v>-89.611209890000012</v>
      </c>
      <c r="G363">
        <f t="shared" si="122"/>
        <v>-181.22573284000001</v>
      </c>
      <c r="H363">
        <f t="shared" si="123"/>
        <v>-272.84025579000001</v>
      </c>
      <c r="I363">
        <f t="shared" si="124"/>
        <v>-364.45477874000005</v>
      </c>
      <c r="J363">
        <f t="shared" si="125"/>
        <v>-456.06930169000003</v>
      </c>
      <c r="L363">
        <f t="shared" si="126"/>
        <v>4046692.3812000002</v>
      </c>
      <c r="M363">
        <f t="shared" si="127"/>
        <v>-154131281.01080003</v>
      </c>
      <c r="N363">
        <f t="shared" si="128"/>
        <v>-268214084.60319999</v>
      </c>
      <c r="O363">
        <f t="shared" si="129"/>
        <v>-305581086.48480004</v>
      </c>
      <c r="P363">
        <f t="shared" si="130"/>
        <v>-335298396.44080001</v>
      </c>
      <c r="Q363">
        <f t="shared" si="131"/>
        <v>-392219599.45340002</v>
      </c>
      <c r="S363">
        <f t="shared" si="132"/>
        <v>4908116.9970000004</v>
      </c>
      <c r="T363">
        <f t="shared" si="133"/>
        <v>-393259840.26279998</v>
      </c>
      <c r="U363">
        <f t="shared" si="134"/>
        <v>-337079863.08239996</v>
      </c>
      <c r="V363">
        <f t="shared" si="135"/>
        <v>-387433163.22180003</v>
      </c>
      <c r="W363">
        <f t="shared" si="136"/>
        <v>-499303046.87380016</v>
      </c>
      <c r="X363">
        <f t="shared" si="137"/>
        <v>-556404548.0618</v>
      </c>
      <c r="Z363">
        <f t="shared" si="138"/>
        <v>5769541.6128000002</v>
      </c>
      <c r="AA363">
        <f t="shared" si="139"/>
        <v>-234781369.91180006</v>
      </c>
      <c r="AB363">
        <f t="shared" si="140"/>
        <v>-405945641.56160003</v>
      </c>
      <c r="AC363">
        <f t="shared" si="141"/>
        <v>-534766901.34840006</v>
      </c>
      <c r="AD363">
        <f t="shared" si="142"/>
        <v>-663307697.30680013</v>
      </c>
      <c r="AE363">
        <f t="shared" si="143"/>
        <v>-720589496.67020011</v>
      </c>
    </row>
    <row r="364" spans="1:31" x14ac:dyDescent="0.25">
      <c r="A364">
        <v>37.196748720000002</v>
      </c>
      <c r="B364">
        <v>116.7874082</v>
      </c>
      <c r="C364">
        <v>0</v>
      </c>
      <c r="D364">
        <v>39.648090359999998</v>
      </c>
      <c r="E364" t="b">
        <f t="shared" si="120"/>
        <v>1</v>
      </c>
      <c r="F364">
        <f t="shared" si="121"/>
        <v>39.648090359999998</v>
      </c>
      <c r="G364">
        <f t="shared" si="122"/>
        <v>39.648090359999998</v>
      </c>
      <c r="H364">
        <f t="shared" si="123"/>
        <v>39.648090359999998</v>
      </c>
      <c r="I364">
        <f t="shared" si="124"/>
        <v>39.648090359999998</v>
      </c>
      <c r="J364">
        <f t="shared" si="125"/>
        <v>39.648090359999998</v>
      </c>
      <c r="L364">
        <f t="shared" si="126"/>
        <v>0</v>
      </c>
      <c r="M364">
        <f t="shared" si="127"/>
        <v>0</v>
      </c>
      <c r="N364">
        <f t="shared" si="128"/>
        <v>0</v>
      </c>
      <c r="O364">
        <f t="shared" si="129"/>
        <v>0</v>
      </c>
      <c r="P364">
        <f t="shared" si="130"/>
        <v>0</v>
      </c>
      <c r="Q364">
        <f t="shared" si="131"/>
        <v>0</v>
      </c>
      <c r="S364">
        <f t="shared" si="132"/>
        <v>0</v>
      </c>
      <c r="T364">
        <f t="shared" si="133"/>
        <v>0</v>
      </c>
      <c r="U364">
        <f t="shared" si="134"/>
        <v>0</v>
      </c>
      <c r="V364">
        <f t="shared" si="135"/>
        <v>0</v>
      </c>
      <c r="W364">
        <f t="shared" si="136"/>
        <v>0</v>
      </c>
      <c r="X364">
        <f t="shared" si="137"/>
        <v>0</v>
      </c>
      <c r="Z364">
        <f t="shared" si="138"/>
        <v>0</v>
      </c>
      <c r="AA364">
        <f t="shared" si="139"/>
        <v>0</v>
      </c>
      <c r="AB364">
        <f t="shared" si="140"/>
        <v>0</v>
      </c>
      <c r="AC364">
        <f t="shared" si="141"/>
        <v>0</v>
      </c>
      <c r="AD364">
        <f t="shared" si="142"/>
        <v>0</v>
      </c>
      <c r="AE364">
        <f t="shared" si="143"/>
        <v>0</v>
      </c>
    </row>
    <row r="365" spans="1:31" x14ac:dyDescent="0.25">
      <c r="A365">
        <v>37.20062471</v>
      </c>
      <c r="B365">
        <v>108.0463408</v>
      </c>
      <c r="C365">
        <v>1.38540113</v>
      </c>
      <c r="D365">
        <v>3.69812202</v>
      </c>
      <c r="E365" t="b">
        <f t="shared" si="120"/>
        <v>1</v>
      </c>
      <c r="F365">
        <f t="shared" si="121"/>
        <v>-3.2288836299999999</v>
      </c>
      <c r="G365">
        <f t="shared" si="122"/>
        <v>-10.15588928</v>
      </c>
      <c r="H365">
        <f t="shared" si="123"/>
        <v>-17.082894930000002</v>
      </c>
      <c r="I365">
        <f t="shared" si="124"/>
        <v>-24.00990058</v>
      </c>
      <c r="J365">
        <f t="shared" si="125"/>
        <v>-30.936906229999998</v>
      </c>
      <c r="L365">
        <f t="shared" si="126"/>
        <v>2798510.2825999996</v>
      </c>
      <c r="M365">
        <f t="shared" si="127"/>
        <v>-5553679.8436000003</v>
      </c>
      <c r="N365">
        <f t="shared" si="128"/>
        <v>-15030716.134399999</v>
      </c>
      <c r="O365">
        <f t="shared" si="129"/>
        <v>-19132842.321600005</v>
      </c>
      <c r="P365">
        <f t="shared" si="130"/>
        <v>-22089108.533599995</v>
      </c>
      <c r="Q365">
        <f t="shared" si="131"/>
        <v>-26605739.357799996</v>
      </c>
      <c r="S365">
        <f t="shared" si="132"/>
        <v>3394232.7684999998</v>
      </c>
      <c r="T365">
        <f t="shared" si="133"/>
        <v>-22038279.737599999</v>
      </c>
      <c r="U365">
        <f t="shared" si="134"/>
        <v>-18889954.060799997</v>
      </c>
      <c r="V365">
        <f t="shared" si="135"/>
        <v>-24257710.800600003</v>
      </c>
      <c r="W365">
        <f t="shared" si="136"/>
        <v>-32893563.794599999</v>
      </c>
      <c r="X365">
        <f t="shared" si="137"/>
        <v>-37743025.600599997</v>
      </c>
      <c r="Z365">
        <f t="shared" si="138"/>
        <v>3989955.2543999995</v>
      </c>
      <c r="AA365">
        <f t="shared" si="139"/>
        <v>-8459675.1106000002</v>
      </c>
      <c r="AB365">
        <f t="shared" si="140"/>
        <v>-22749191.987199999</v>
      </c>
      <c r="AC365">
        <f t="shared" si="141"/>
        <v>-33482474.062800005</v>
      </c>
      <c r="AD365">
        <f t="shared" si="142"/>
        <v>-43698019.055599995</v>
      </c>
      <c r="AE365">
        <f t="shared" si="143"/>
        <v>-48880311.843399994</v>
      </c>
    </row>
    <row r="366" spans="1:31" x14ac:dyDescent="0.25">
      <c r="A366">
        <v>37.210301219999998</v>
      </c>
      <c r="B366">
        <v>107.3580233</v>
      </c>
      <c r="C366">
        <v>1.38540113</v>
      </c>
      <c r="D366">
        <v>221.55906680000001</v>
      </c>
      <c r="E366" t="b">
        <f t="shared" si="120"/>
        <v>1</v>
      </c>
      <c r="F366">
        <f t="shared" si="121"/>
        <v>214.63206115</v>
      </c>
      <c r="G366">
        <f t="shared" si="122"/>
        <v>207.70505550000001</v>
      </c>
      <c r="H366">
        <f t="shared" si="123"/>
        <v>200.77804985</v>
      </c>
      <c r="I366">
        <f t="shared" si="124"/>
        <v>193.85104420000002</v>
      </c>
      <c r="J366">
        <f t="shared" si="125"/>
        <v>186.92403855000001</v>
      </c>
      <c r="L366">
        <f t="shared" si="126"/>
        <v>2798510.2825999996</v>
      </c>
      <c r="M366">
        <f t="shared" si="127"/>
        <v>2382889.9435999999</v>
      </c>
      <c r="N366">
        <f t="shared" si="128"/>
        <v>2050393.6723999998</v>
      </c>
      <c r="O366">
        <f t="shared" si="129"/>
        <v>1551649.2656</v>
      </c>
      <c r="P366">
        <f t="shared" si="130"/>
        <v>1274569.0395999998</v>
      </c>
      <c r="Q366">
        <f t="shared" si="131"/>
        <v>1191444.9717999999</v>
      </c>
      <c r="S366">
        <f t="shared" si="132"/>
        <v>3394232.7684999998</v>
      </c>
      <c r="T366">
        <f t="shared" si="133"/>
        <v>3006320.4520999999</v>
      </c>
      <c r="U366">
        <f t="shared" si="134"/>
        <v>2576846.1017999998</v>
      </c>
      <c r="V366">
        <f t="shared" si="135"/>
        <v>1967269.6045999997</v>
      </c>
      <c r="W366">
        <f t="shared" si="136"/>
        <v>1897999.5481</v>
      </c>
      <c r="X366">
        <f t="shared" si="137"/>
        <v>1690189.3785999999</v>
      </c>
      <c r="Z366">
        <f t="shared" si="138"/>
        <v>3989955.2543999995</v>
      </c>
      <c r="AA366">
        <f t="shared" si="139"/>
        <v>3629750.9605999999</v>
      </c>
      <c r="AB366">
        <f t="shared" si="140"/>
        <v>3103298.5312000001</v>
      </c>
      <c r="AC366">
        <f t="shared" si="141"/>
        <v>2715386.2147999997</v>
      </c>
      <c r="AD366">
        <f t="shared" si="142"/>
        <v>2521430.0565999998</v>
      </c>
      <c r="AE366">
        <f t="shared" si="143"/>
        <v>2188933.7853999999</v>
      </c>
    </row>
    <row r="367" spans="1:31" x14ac:dyDescent="0.25">
      <c r="A367">
        <v>37.211250849999999</v>
      </c>
      <c r="B367">
        <v>117.1358896</v>
      </c>
      <c r="C367">
        <v>0</v>
      </c>
      <c r="D367">
        <v>2.75858903</v>
      </c>
      <c r="E367" t="b">
        <f t="shared" si="120"/>
        <v>1</v>
      </c>
      <c r="F367">
        <f t="shared" si="121"/>
        <v>2.75858903</v>
      </c>
      <c r="G367">
        <f t="shared" si="122"/>
        <v>2.75858903</v>
      </c>
      <c r="H367">
        <f t="shared" si="123"/>
        <v>2.75858903</v>
      </c>
      <c r="I367">
        <f t="shared" si="124"/>
        <v>2.75858903</v>
      </c>
      <c r="J367">
        <f t="shared" si="125"/>
        <v>2.75858903</v>
      </c>
      <c r="L367">
        <f t="shared" si="126"/>
        <v>0</v>
      </c>
      <c r="M367">
        <f t="shared" si="127"/>
        <v>0</v>
      </c>
      <c r="N367">
        <f t="shared" si="128"/>
        <v>0</v>
      </c>
      <c r="O367">
        <f t="shared" si="129"/>
        <v>0</v>
      </c>
      <c r="P367">
        <f t="shared" si="130"/>
        <v>0</v>
      </c>
      <c r="Q367">
        <f t="shared" si="131"/>
        <v>0</v>
      </c>
      <c r="S367">
        <f t="shared" si="132"/>
        <v>0</v>
      </c>
      <c r="T367">
        <f t="shared" si="133"/>
        <v>0</v>
      </c>
      <c r="U367">
        <f t="shared" si="134"/>
        <v>0</v>
      </c>
      <c r="V367">
        <f t="shared" si="135"/>
        <v>0</v>
      </c>
      <c r="W367">
        <f t="shared" si="136"/>
        <v>0</v>
      </c>
      <c r="X367">
        <f t="shared" si="137"/>
        <v>0</v>
      </c>
      <c r="Z367">
        <f t="shared" si="138"/>
        <v>0</v>
      </c>
      <c r="AA367">
        <f t="shared" si="139"/>
        <v>0</v>
      </c>
      <c r="AB367">
        <f t="shared" si="140"/>
        <v>0</v>
      </c>
      <c r="AC367">
        <f t="shared" si="141"/>
        <v>0</v>
      </c>
      <c r="AD367">
        <f t="shared" si="142"/>
        <v>0</v>
      </c>
      <c r="AE367">
        <f t="shared" si="143"/>
        <v>0</v>
      </c>
    </row>
    <row r="368" spans="1:31" x14ac:dyDescent="0.25">
      <c r="A368">
        <v>37.216501450000003</v>
      </c>
      <c r="B368">
        <v>117.0788917</v>
      </c>
      <c r="C368">
        <v>0</v>
      </c>
      <c r="D368">
        <v>0.31732199</v>
      </c>
      <c r="E368" t="b">
        <f t="shared" si="120"/>
        <v>1</v>
      </c>
      <c r="F368">
        <f t="shared" si="121"/>
        <v>0.31732199</v>
      </c>
      <c r="G368">
        <f t="shared" si="122"/>
        <v>0.31732199</v>
      </c>
      <c r="H368">
        <f t="shared" si="123"/>
        <v>0.31732199</v>
      </c>
      <c r="I368">
        <f t="shared" si="124"/>
        <v>0.31732199</v>
      </c>
      <c r="J368">
        <f t="shared" si="125"/>
        <v>0.31732199</v>
      </c>
      <c r="L368">
        <f t="shared" si="126"/>
        <v>0</v>
      </c>
      <c r="M368">
        <f t="shared" si="127"/>
        <v>0</v>
      </c>
      <c r="N368">
        <f t="shared" si="128"/>
        <v>0</v>
      </c>
      <c r="O368">
        <f t="shared" si="129"/>
        <v>0</v>
      </c>
      <c r="P368">
        <f t="shared" si="130"/>
        <v>0</v>
      </c>
      <c r="Q368">
        <f t="shared" si="131"/>
        <v>0</v>
      </c>
      <c r="S368">
        <f t="shared" si="132"/>
        <v>0</v>
      </c>
      <c r="T368">
        <f t="shared" si="133"/>
        <v>0</v>
      </c>
      <c r="U368">
        <f t="shared" si="134"/>
        <v>0</v>
      </c>
      <c r="V368">
        <f t="shared" si="135"/>
        <v>0</v>
      </c>
      <c r="W368">
        <f t="shared" si="136"/>
        <v>0</v>
      </c>
      <c r="X368">
        <f t="shared" si="137"/>
        <v>0</v>
      </c>
      <c r="Z368">
        <f t="shared" si="138"/>
        <v>0</v>
      </c>
      <c r="AA368">
        <f t="shared" si="139"/>
        <v>0</v>
      </c>
      <c r="AB368">
        <f t="shared" si="140"/>
        <v>0</v>
      </c>
      <c r="AC368">
        <f t="shared" si="141"/>
        <v>0</v>
      </c>
      <c r="AD368">
        <f t="shared" si="142"/>
        <v>0</v>
      </c>
      <c r="AE368">
        <f t="shared" si="143"/>
        <v>0</v>
      </c>
    </row>
    <row r="369" spans="1:31" x14ac:dyDescent="0.25">
      <c r="A369">
        <v>37.221725220000003</v>
      </c>
      <c r="B369">
        <v>117.0218861</v>
      </c>
      <c r="C369">
        <v>0</v>
      </c>
      <c r="D369">
        <v>8.3825988799999998</v>
      </c>
      <c r="E369" t="b">
        <f t="shared" si="120"/>
        <v>1</v>
      </c>
      <c r="F369">
        <f t="shared" si="121"/>
        <v>8.3825988799999998</v>
      </c>
      <c r="G369">
        <f t="shared" si="122"/>
        <v>8.3825988799999998</v>
      </c>
      <c r="H369">
        <f t="shared" si="123"/>
        <v>8.3825988799999998</v>
      </c>
      <c r="I369">
        <f t="shared" si="124"/>
        <v>8.3825988799999998</v>
      </c>
      <c r="J369">
        <f t="shared" si="125"/>
        <v>8.3825988799999998</v>
      </c>
      <c r="L369">
        <f t="shared" si="126"/>
        <v>0</v>
      </c>
      <c r="M369">
        <f t="shared" si="127"/>
        <v>0</v>
      </c>
      <c r="N369">
        <f t="shared" si="128"/>
        <v>0</v>
      </c>
      <c r="O369">
        <f t="shared" si="129"/>
        <v>0</v>
      </c>
      <c r="P369">
        <f t="shared" si="130"/>
        <v>0</v>
      </c>
      <c r="Q369">
        <f t="shared" si="131"/>
        <v>0</v>
      </c>
      <c r="S369">
        <f t="shared" si="132"/>
        <v>0</v>
      </c>
      <c r="T369">
        <f t="shared" si="133"/>
        <v>0</v>
      </c>
      <c r="U369">
        <f t="shared" si="134"/>
        <v>0</v>
      </c>
      <c r="V369">
        <f t="shared" si="135"/>
        <v>0</v>
      </c>
      <c r="W369">
        <f t="shared" si="136"/>
        <v>0</v>
      </c>
      <c r="X369">
        <f t="shared" si="137"/>
        <v>0</v>
      </c>
      <c r="Z369">
        <f t="shared" si="138"/>
        <v>0</v>
      </c>
      <c r="AA369">
        <f t="shared" si="139"/>
        <v>0</v>
      </c>
      <c r="AB369">
        <f t="shared" si="140"/>
        <v>0</v>
      </c>
      <c r="AC369">
        <f t="shared" si="141"/>
        <v>0</v>
      </c>
      <c r="AD369">
        <f t="shared" si="142"/>
        <v>0</v>
      </c>
      <c r="AE369">
        <f t="shared" si="143"/>
        <v>0</v>
      </c>
    </row>
    <row r="370" spans="1:31" x14ac:dyDescent="0.25">
      <c r="A370">
        <v>37.226007299999999</v>
      </c>
      <c r="B370">
        <v>117.9471336</v>
      </c>
      <c r="C370">
        <v>150.00115969999999</v>
      </c>
      <c r="D370">
        <v>14.436474799999999</v>
      </c>
      <c r="E370" t="b">
        <f t="shared" si="120"/>
        <v>0</v>
      </c>
      <c r="F370">
        <f t="shared" si="121"/>
        <v>-735.56932369999993</v>
      </c>
      <c r="G370">
        <f t="shared" si="122"/>
        <v>-1485.5751221999999</v>
      </c>
      <c r="H370">
        <f t="shared" si="123"/>
        <v>-2235.5809207000002</v>
      </c>
      <c r="I370">
        <f t="shared" si="124"/>
        <v>-2985.5867192000001</v>
      </c>
      <c r="J370">
        <f t="shared" si="125"/>
        <v>-3735.5925176999999</v>
      </c>
      <c r="L370">
        <f t="shared" si="126"/>
        <v>29161679.095999997</v>
      </c>
      <c r="M370">
        <f t="shared" si="127"/>
        <v>-1265179236.7639999</v>
      </c>
      <c r="N370">
        <f t="shared" si="128"/>
        <v>-2198651180.8559995</v>
      </c>
      <c r="O370">
        <f t="shared" si="129"/>
        <v>-2503850631.1840005</v>
      </c>
      <c r="P370">
        <f t="shared" si="130"/>
        <v>-2746739781.664</v>
      </c>
      <c r="Q370">
        <f t="shared" si="131"/>
        <v>-3212609565.2219996</v>
      </c>
      <c r="S370">
        <f t="shared" si="132"/>
        <v>35369363.259999998</v>
      </c>
      <c r="T370">
        <f t="shared" si="133"/>
        <v>-3223698015.1739993</v>
      </c>
      <c r="U370">
        <f t="shared" si="134"/>
        <v>-2763169727.2919993</v>
      </c>
      <c r="V370">
        <f t="shared" si="135"/>
        <v>-3174524907.3940001</v>
      </c>
      <c r="W370">
        <f t="shared" si="136"/>
        <v>-4090253805.3040009</v>
      </c>
      <c r="X370">
        <f t="shared" si="137"/>
        <v>-4557422871.5939999</v>
      </c>
      <c r="Z370">
        <f t="shared" si="138"/>
        <v>41577047.423999995</v>
      </c>
      <c r="AA370">
        <f t="shared" si="139"/>
        <v>-1927191628.0939999</v>
      </c>
      <c r="AB370">
        <f t="shared" si="140"/>
        <v>-3327688273.7279997</v>
      </c>
      <c r="AC370">
        <f t="shared" si="141"/>
        <v>-4381738604.5720005</v>
      </c>
      <c r="AD370">
        <f t="shared" si="142"/>
        <v>-5433767828.9440002</v>
      </c>
      <c r="AE370">
        <f t="shared" si="143"/>
        <v>-5902236177.9659996</v>
      </c>
    </row>
    <row r="371" spans="1:31" x14ac:dyDescent="0.25">
      <c r="A371">
        <v>37.241342080000003</v>
      </c>
      <c r="B371">
        <v>118.7017319</v>
      </c>
      <c r="C371">
        <v>0</v>
      </c>
      <c r="D371">
        <v>11.66265488</v>
      </c>
      <c r="E371" t="b">
        <f t="shared" si="120"/>
        <v>1</v>
      </c>
      <c r="F371">
        <f t="shared" si="121"/>
        <v>11.66265488</v>
      </c>
      <c r="G371">
        <f t="shared" si="122"/>
        <v>11.66265488</v>
      </c>
      <c r="H371">
        <f t="shared" si="123"/>
        <v>11.66265488</v>
      </c>
      <c r="I371">
        <f t="shared" si="124"/>
        <v>11.66265488</v>
      </c>
      <c r="J371">
        <f t="shared" si="125"/>
        <v>11.66265488</v>
      </c>
      <c r="L371">
        <f t="shared" si="126"/>
        <v>0</v>
      </c>
      <c r="M371">
        <f t="shared" si="127"/>
        <v>0</v>
      </c>
      <c r="N371">
        <f t="shared" si="128"/>
        <v>0</v>
      </c>
      <c r="O371">
        <f t="shared" si="129"/>
        <v>0</v>
      </c>
      <c r="P371">
        <f t="shared" si="130"/>
        <v>0</v>
      </c>
      <c r="Q371">
        <f t="shared" si="131"/>
        <v>0</v>
      </c>
      <c r="S371">
        <f t="shared" si="132"/>
        <v>0</v>
      </c>
      <c r="T371">
        <f t="shared" si="133"/>
        <v>0</v>
      </c>
      <c r="U371">
        <f t="shared" si="134"/>
        <v>0</v>
      </c>
      <c r="V371">
        <f t="shared" si="135"/>
        <v>0</v>
      </c>
      <c r="W371">
        <f t="shared" si="136"/>
        <v>0</v>
      </c>
      <c r="X371">
        <f t="shared" si="137"/>
        <v>0</v>
      </c>
      <c r="Z371">
        <f t="shared" si="138"/>
        <v>0</v>
      </c>
      <c r="AA371">
        <f t="shared" si="139"/>
        <v>0</v>
      </c>
      <c r="AB371">
        <f t="shared" si="140"/>
        <v>0</v>
      </c>
      <c r="AC371">
        <f t="shared" si="141"/>
        <v>0</v>
      </c>
      <c r="AD371">
        <f t="shared" si="142"/>
        <v>0</v>
      </c>
      <c r="AE371">
        <f t="shared" si="143"/>
        <v>0</v>
      </c>
    </row>
    <row r="372" spans="1:31" x14ac:dyDescent="0.25">
      <c r="A372">
        <v>37.242966490000001</v>
      </c>
      <c r="B372">
        <v>118.2389969</v>
      </c>
      <c r="C372">
        <v>21.771209720000002</v>
      </c>
      <c r="D372">
        <v>7.0440378199999998</v>
      </c>
      <c r="E372" t="b">
        <f t="shared" si="120"/>
        <v>0</v>
      </c>
      <c r="F372">
        <f t="shared" si="121"/>
        <v>-101.81201078000001</v>
      </c>
      <c r="G372">
        <f t="shared" si="122"/>
        <v>-210.66805938000002</v>
      </c>
      <c r="H372">
        <f t="shared" si="123"/>
        <v>-319.52410798000005</v>
      </c>
      <c r="I372">
        <f t="shared" si="124"/>
        <v>-428.38015658000006</v>
      </c>
      <c r="J372">
        <f t="shared" si="125"/>
        <v>-537.23620518000007</v>
      </c>
      <c r="L372">
        <f t="shared" si="126"/>
        <v>14228956.396399999</v>
      </c>
      <c r="M372">
        <f t="shared" si="127"/>
        <v>-175116658.54160002</v>
      </c>
      <c r="N372">
        <f t="shared" si="128"/>
        <v>-311788727.88240004</v>
      </c>
      <c r="O372">
        <f t="shared" si="129"/>
        <v>-357867000.93760014</v>
      </c>
      <c r="P372">
        <f t="shared" si="130"/>
        <v>-394109744.05360001</v>
      </c>
      <c r="Q372">
        <f t="shared" si="131"/>
        <v>-462023136.45480007</v>
      </c>
      <c r="S372">
        <f t="shared" si="132"/>
        <v>17257892.658999998</v>
      </c>
      <c r="T372">
        <f t="shared" si="133"/>
        <v>-457149688.85460001</v>
      </c>
      <c r="U372">
        <f t="shared" si="134"/>
        <v>-391842590.44679999</v>
      </c>
      <c r="V372">
        <f t="shared" si="135"/>
        <v>-453724233.33160007</v>
      </c>
      <c r="W372">
        <f t="shared" si="136"/>
        <v>-586880814.51460016</v>
      </c>
      <c r="X372">
        <f t="shared" si="137"/>
        <v>-655428170.31960011</v>
      </c>
      <c r="Z372">
        <f t="shared" si="138"/>
        <v>20286828.921599999</v>
      </c>
      <c r="AA372">
        <f t="shared" si="139"/>
        <v>-266747468.24360001</v>
      </c>
      <c r="AB372">
        <f t="shared" si="140"/>
        <v>-471896453.01120013</v>
      </c>
      <c r="AC372">
        <f t="shared" si="141"/>
        <v>-626267251.64080012</v>
      </c>
      <c r="AD372">
        <f t="shared" si="142"/>
        <v>-779651884.97560012</v>
      </c>
      <c r="AE372">
        <f t="shared" si="143"/>
        <v>-848833204.1844002</v>
      </c>
    </row>
    <row r="373" spans="1:31" x14ac:dyDescent="0.25">
      <c r="A373">
        <v>37.261256289999999</v>
      </c>
      <c r="B373">
        <v>109.4263425</v>
      </c>
      <c r="C373">
        <v>3.0400650000000001E-2</v>
      </c>
      <c r="D373">
        <v>5.7981557800000001</v>
      </c>
      <c r="E373" t="b">
        <f t="shared" si="120"/>
        <v>1</v>
      </c>
      <c r="F373">
        <f t="shared" si="121"/>
        <v>5.6461525300000002</v>
      </c>
      <c r="G373">
        <f t="shared" si="122"/>
        <v>5.4941492800000002</v>
      </c>
      <c r="H373">
        <f t="shared" si="123"/>
        <v>5.3421460300000003</v>
      </c>
      <c r="I373">
        <f t="shared" si="124"/>
        <v>5.1901427800000004</v>
      </c>
      <c r="J373">
        <f t="shared" si="125"/>
        <v>5.0381395300000005</v>
      </c>
      <c r="L373">
        <f t="shared" si="126"/>
        <v>61409.313000000002</v>
      </c>
      <c r="M373">
        <f t="shared" si="127"/>
        <v>52289.118000000009</v>
      </c>
      <c r="N373">
        <f t="shared" si="128"/>
        <v>44992.962</v>
      </c>
      <c r="O373">
        <f t="shared" si="129"/>
        <v>34048.728000000003</v>
      </c>
      <c r="P373">
        <f t="shared" si="130"/>
        <v>27968.597999999998</v>
      </c>
      <c r="Q373">
        <f t="shared" si="131"/>
        <v>26144.559000000001</v>
      </c>
      <c r="S373">
        <f t="shared" si="132"/>
        <v>74481.592500000013</v>
      </c>
      <c r="T373">
        <f t="shared" si="133"/>
        <v>65969.410499999998</v>
      </c>
      <c r="U373">
        <f t="shared" si="134"/>
        <v>56545.209000000003</v>
      </c>
      <c r="V373">
        <f t="shared" si="135"/>
        <v>43168.923000000003</v>
      </c>
      <c r="W373">
        <f t="shared" si="136"/>
        <v>41648.890500000009</v>
      </c>
      <c r="X373">
        <f t="shared" si="137"/>
        <v>37088.792999999998</v>
      </c>
      <c r="Z373">
        <f t="shared" si="138"/>
        <v>87553.872000000003</v>
      </c>
      <c r="AA373">
        <f t="shared" si="139"/>
        <v>79649.703000000009</v>
      </c>
      <c r="AB373">
        <f t="shared" si="140"/>
        <v>68097.456000000006</v>
      </c>
      <c r="AC373">
        <f t="shared" si="141"/>
        <v>59585.274000000005</v>
      </c>
      <c r="AD373">
        <f t="shared" si="142"/>
        <v>55329.183000000005</v>
      </c>
      <c r="AE373">
        <f t="shared" si="143"/>
        <v>48033.027000000002</v>
      </c>
    </row>
    <row r="374" spans="1:31" x14ac:dyDescent="0.25">
      <c r="A374">
        <v>37.261950579999997</v>
      </c>
      <c r="B374">
        <v>106.6699655</v>
      </c>
      <c r="C374">
        <v>0</v>
      </c>
      <c r="D374">
        <v>9.3978999999999993E-2</v>
      </c>
      <c r="E374" t="b">
        <f t="shared" si="120"/>
        <v>1</v>
      </c>
      <c r="F374">
        <f t="shared" si="121"/>
        <v>9.3978999999999993E-2</v>
      </c>
      <c r="G374">
        <f t="shared" si="122"/>
        <v>9.3978999999999993E-2</v>
      </c>
      <c r="H374">
        <f t="shared" si="123"/>
        <v>9.3978999999999993E-2</v>
      </c>
      <c r="I374">
        <f t="shared" si="124"/>
        <v>9.3978999999999993E-2</v>
      </c>
      <c r="J374">
        <f t="shared" si="125"/>
        <v>9.3978999999999993E-2</v>
      </c>
      <c r="L374">
        <f t="shared" si="126"/>
        <v>0</v>
      </c>
      <c r="M374">
        <f t="shared" si="127"/>
        <v>0</v>
      </c>
      <c r="N374">
        <f t="shared" si="128"/>
        <v>0</v>
      </c>
      <c r="O374">
        <f t="shared" si="129"/>
        <v>0</v>
      </c>
      <c r="P374">
        <f t="shared" si="130"/>
        <v>0</v>
      </c>
      <c r="Q374">
        <f t="shared" si="131"/>
        <v>0</v>
      </c>
      <c r="S374">
        <f t="shared" si="132"/>
        <v>0</v>
      </c>
      <c r="T374">
        <f t="shared" si="133"/>
        <v>0</v>
      </c>
      <c r="U374">
        <f t="shared" si="134"/>
        <v>0</v>
      </c>
      <c r="V374">
        <f t="shared" si="135"/>
        <v>0</v>
      </c>
      <c r="W374">
        <f t="shared" si="136"/>
        <v>0</v>
      </c>
      <c r="X374">
        <f t="shared" si="137"/>
        <v>0</v>
      </c>
      <c r="Z374">
        <f t="shared" si="138"/>
        <v>0</v>
      </c>
      <c r="AA374">
        <f t="shared" si="139"/>
        <v>0</v>
      </c>
      <c r="AB374">
        <f t="shared" si="140"/>
        <v>0</v>
      </c>
      <c r="AC374">
        <f t="shared" si="141"/>
        <v>0</v>
      </c>
      <c r="AD374">
        <f t="shared" si="142"/>
        <v>0</v>
      </c>
      <c r="AE374">
        <f t="shared" si="143"/>
        <v>0</v>
      </c>
    </row>
    <row r="375" spans="1:31" x14ac:dyDescent="0.25">
      <c r="A375">
        <v>37.265128650000001</v>
      </c>
      <c r="B375">
        <v>118.47405240000001</v>
      </c>
      <c r="C375">
        <v>34.005298609999997</v>
      </c>
      <c r="D375">
        <v>8.0388326600000006</v>
      </c>
      <c r="E375" t="b">
        <f t="shared" si="120"/>
        <v>0</v>
      </c>
      <c r="F375">
        <f t="shared" si="121"/>
        <v>-161.98766039</v>
      </c>
      <c r="G375">
        <f t="shared" si="122"/>
        <v>-332.01415343999997</v>
      </c>
      <c r="H375">
        <f t="shared" si="123"/>
        <v>-502.04064648999992</v>
      </c>
      <c r="I375">
        <f t="shared" si="124"/>
        <v>-672.06713953999997</v>
      </c>
      <c r="J375">
        <f t="shared" si="125"/>
        <v>-842.09363258999986</v>
      </c>
      <c r="L375">
        <f t="shared" si="126"/>
        <v>16238441.973200003</v>
      </c>
      <c r="M375">
        <f t="shared" si="127"/>
        <v>-278618775.87080008</v>
      </c>
      <c r="N375">
        <f t="shared" si="128"/>
        <v>-491380947.09119999</v>
      </c>
      <c r="O375">
        <f t="shared" si="129"/>
        <v>-562285524.06879997</v>
      </c>
      <c r="P375">
        <f t="shared" si="130"/>
        <v>-618301768.37679994</v>
      </c>
      <c r="Q375">
        <f t="shared" si="131"/>
        <v>-724200524.0273999</v>
      </c>
      <c r="S375">
        <f t="shared" si="132"/>
        <v>19695140.017000005</v>
      </c>
      <c r="T375">
        <f t="shared" si="133"/>
        <v>-720470712.9648</v>
      </c>
      <c r="U375">
        <f t="shared" si="134"/>
        <v>-617546325.39839995</v>
      </c>
      <c r="V375">
        <f t="shared" si="135"/>
        <v>-712897718.01579976</v>
      </c>
      <c r="W375">
        <f t="shared" si="136"/>
        <v>-920731981.16980004</v>
      </c>
      <c r="X375">
        <f t="shared" si="137"/>
        <v>-1027354231.7597998</v>
      </c>
      <c r="Z375">
        <f t="shared" si="138"/>
        <v>23151838.060800001</v>
      </c>
      <c r="AA375">
        <f t="shared" si="139"/>
        <v>-424407670.22180003</v>
      </c>
      <c r="AB375">
        <f t="shared" si="140"/>
        <v>-743711703.70560002</v>
      </c>
      <c r="AC375">
        <f t="shared" si="141"/>
        <v>-983999667.12039971</v>
      </c>
      <c r="AD375">
        <f t="shared" si="142"/>
        <v>-1223162193.9628</v>
      </c>
      <c r="AE375">
        <f t="shared" si="143"/>
        <v>-1330507939.4921999</v>
      </c>
    </row>
    <row r="376" spans="1:31" x14ac:dyDescent="0.25">
      <c r="A376">
        <v>37.270504410000001</v>
      </c>
      <c r="B376">
        <v>109.0820569</v>
      </c>
      <c r="C376">
        <v>2.8402893499999999</v>
      </c>
      <c r="D376">
        <v>3.1137549899999999</v>
      </c>
      <c r="E376" t="b">
        <f t="shared" si="120"/>
        <v>1</v>
      </c>
      <c r="F376">
        <f t="shared" si="121"/>
        <v>-11.087691759999998</v>
      </c>
      <c r="G376">
        <f t="shared" si="122"/>
        <v>-25.289138509999997</v>
      </c>
      <c r="H376">
        <f t="shared" si="123"/>
        <v>-39.490585260000003</v>
      </c>
      <c r="I376">
        <f t="shared" si="124"/>
        <v>-53.692032009999998</v>
      </c>
      <c r="J376">
        <f t="shared" si="125"/>
        <v>-67.893478759999994</v>
      </c>
      <c r="L376">
        <f t="shared" si="126"/>
        <v>5737384.4870000007</v>
      </c>
      <c r="M376">
        <f t="shared" si="127"/>
        <v>-19070829.827199999</v>
      </c>
      <c r="N376">
        <f t="shared" si="128"/>
        <v>-37427924.994799994</v>
      </c>
      <c r="O376">
        <f t="shared" si="129"/>
        <v>-44229455.491200007</v>
      </c>
      <c r="P376">
        <f t="shared" si="130"/>
        <v>-49396669.449199997</v>
      </c>
      <c r="Q376">
        <f t="shared" si="131"/>
        <v>-58388391.733599991</v>
      </c>
      <c r="S376">
        <f t="shared" si="132"/>
        <v>6958708.9075000007</v>
      </c>
      <c r="T376">
        <f t="shared" si="133"/>
        <v>-54877430.566699997</v>
      </c>
      <c r="U376">
        <f t="shared" si="134"/>
        <v>-47037797.628599994</v>
      </c>
      <c r="V376">
        <f t="shared" si="135"/>
        <v>-56076631.069200002</v>
      </c>
      <c r="W376">
        <f t="shared" si="136"/>
        <v>-73558083.853699997</v>
      </c>
      <c r="X376">
        <f t="shared" si="137"/>
        <v>-82830044.087199986</v>
      </c>
      <c r="Z376">
        <f t="shared" si="138"/>
        <v>8180033.3279999997</v>
      </c>
      <c r="AA376">
        <f t="shared" si="139"/>
        <v>-29049752.411199994</v>
      </c>
      <c r="AB376">
        <f t="shared" si="140"/>
        <v>-56647670.262400001</v>
      </c>
      <c r="AC376">
        <f t="shared" si="141"/>
        <v>-77401547.109600008</v>
      </c>
      <c r="AD376">
        <f t="shared" si="142"/>
        <v>-97719498.258200005</v>
      </c>
      <c r="AE376">
        <f t="shared" si="143"/>
        <v>-107271696.4408</v>
      </c>
    </row>
    <row r="377" spans="1:31" x14ac:dyDescent="0.25">
      <c r="A377">
        <v>37.277180739999999</v>
      </c>
      <c r="B377">
        <v>117.89721280000001</v>
      </c>
      <c r="C377">
        <v>18.32290459</v>
      </c>
      <c r="D377">
        <v>0.37897598999999998</v>
      </c>
      <c r="E377" t="b">
        <f t="shared" si="120"/>
        <v>0</v>
      </c>
      <c r="F377">
        <f t="shared" si="121"/>
        <v>-91.235546960000008</v>
      </c>
      <c r="G377">
        <f t="shared" si="122"/>
        <v>-182.85006991000003</v>
      </c>
      <c r="H377">
        <f t="shared" si="123"/>
        <v>-274.46459285999998</v>
      </c>
      <c r="I377">
        <f t="shared" si="124"/>
        <v>-366.07911581000002</v>
      </c>
      <c r="J377">
        <f t="shared" si="125"/>
        <v>-457.69363876</v>
      </c>
      <c r="L377">
        <f t="shared" si="126"/>
        <v>765531.49979999999</v>
      </c>
      <c r="M377">
        <f t="shared" si="127"/>
        <v>-156925140.77120003</v>
      </c>
      <c r="N377">
        <f t="shared" si="128"/>
        <v>-270618103.46680003</v>
      </c>
      <c r="O377">
        <f t="shared" si="129"/>
        <v>-307400344.00319999</v>
      </c>
      <c r="P377">
        <f t="shared" si="130"/>
        <v>-336792786.54519999</v>
      </c>
      <c r="Q377">
        <f t="shared" si="131"/>
        <v>-393616529.33359998</v>
      </c>
      <c r="S377">
        <f t="shared" si="132"/>
        <v>928491.17550000001</v>
      </c>
      <c r="T377">
        <f t="shared" si="133"/>
        <v>-396784651.70470005</v>
      </c>
      <c r="U377">
        <f t="shared" si="134"/>
        <v>-340101130.03260005</v>
      </c>
      <c r="V377">
        <f t="shared" si="135"/>
        <v>-389739721.86119992</v>
      </c>
      <c r="W377">
        <f t="shared" si="136"/>
        <v>-501528388.65970004</v>
      </c>
      <c r="X377">
        <f t="shared" si="137"/>
        <v>-558386239.28719997</v>
      </c>
      <c r="Z377">
        <f t="shared" si="138"/>
        <v>1091450.8511999999</v>
      </c>
      <c r="AA377">
        <f t="shared" si="139"/>
        <v>-239037133.03520003</v>
      </c>
      <c r="AB377">
        <f t="shared" si="140"/>
        <v>-409584156.59840012</v>
      </c>
      <c r="AC377">
        <f t="shared" si="141"/>
        <v>-537950602.00559986</v>
      </c>
      <c r="AD377">
        <f t="shared" si="142"/>
        <v>-666263990.77420008</v>
      </c>
      <c r="AE377">
        <f t="shared" si="143"/>
        <v>-723155949.24080002</v>
      </c>
    </row>
    <row r="378" spans="1:31" x14ac:dyDescent="0.25">
      <c r="A378">
        <v>37.288486949999999</v>
      </c>
      <c r="B378">
        <v>118.2462343</v>
      </c>
      <c r="C378">
        <v>21.771209720000002</v>
      </c>
      <c r="D378">
        <v>15.44776821</v>
      </c>
      <c r="E378" t="b">
        <f t="shared" si="120"/>
        <v>0</v>
      </c>
      <c r="F378">
        <f t="shared" si="121"/>
        <v>-93.408280390000016</v>
      </c>
      <c r="G378">
        <f t="shared" si="122"/>
        <v>-202.26432899000002</v>
      </c>
      <c r="H378">
        <f t="shared" si="123"/>
        <v>-311.12037759000003</v>
      </c>
      <c r="I378">
        <f t="shared" si="124"/>
        <v>-419.97642619000004</v>
      </c>
      <c r="J378">
        <f t="shared" si="125"/>
        <v>-528.83247478999999</v>
      </c>
      <c r="L378">
        <f t="shared" si="126"/>
        <v>31204491.784199998</v>
      </c>
      <c r="M378">
        <f t="shared" si="127"/>
        <v>-160662242.27080005</v>
      </c>
      <c r="N378">
        <f t="shared" si="128"/>
        <v>-299351206.9052</v>
      </c>
      <c r="O378">
        <f t="shared" si="129"/>
        <v>-348454822.90080005</v>
      </c>
      <c r="P378">
        <f t="shared" si="130"/>
        <v>-386378312.0948</v>
      </c>
      <c r="Q378">
        <f t="shared" si="131"/>
        <v>-454795928.31940001</v>
      </c>
      <c r="S378">
        <f t="shared" si="132"/>
        <v>37847032.114500001</v>
      </c>
      <c r="T378">
        <f t="shared" si="133"/>
        <v>-438913593.90829998</v>
      </c>
      <c r="U378">
        <f t="shared" si="134"/>
        <v>-376211651.92140001</v>
      </c>
      <c r="V378">
        <f t="shared" si="135"/>
        <v>-441790936.1778</v>
      </c>
      <c r="W378">
        <f t="shared" si="136"/>
        <v>-575367703.88030016</v>
      </c>
      <c r="X378">
        <f t="shared" si="137"/>
        <v>-645175619.24380004</v>
      </c>
      <c r="Z378">
        <f t="shared" si="138"/>
        <v>44489572.444799997</v>
      </c>
      <c r="AA378">
        <f t="shared" si="139"/>
        <v>-244729694.62180007</v>
      </c>
      <c r="AB378">
        <f t="shared" si="140"/>
        <v>-453072096.93760008</v>
      </c>
      <c r="AC378">
        <f t="shared" si="141"/>
        <v>-609795940.07640004</v>
      </c>
      <c r="AD378">
        <f t="shared" si="142"/>
        <v>-764357095.66580009</v>
      </c>
      <c r="AE378">
        <f t="shared" si="143"/>
        <v>-835555310.16820002</v>
      </c>
    </row>
    <row r="379" spans="1:31" x14ac:dyDescent="0.25">
      <c r="A379">
        <v>37.305724400000003</v>
      </c>
      <c r="B379">
        <v>118.0752811</v>
      </c>
      <c r="C379">
        <v>150.00115969999999</v>
      </c>
      <c r="D379">
        <v>3.0393459799999998</v>
      </c>
      <c r="E379" t="b">
        <f t="shared" si="120"/>
        <v>0</v>
      </c>
      <c r="F379">
        <f t="shared" si="121"/>
        <v>-746.96645251999996</v>
      </c>
      <c r="G379">
        <f t="shared" si="122"/>
        <v>-1496.9722510199999</v>
      </c>
      <c r="H379">
        <f t="shared" si="123"/>
        <v>-2246.9780495200002</v>
      </c>
      <c r="I379">
        <f t="shared" si="124"/>
        <v>-2996.9838480200001</v>
      </c>
      <c r="J379">
        <f t="shared" si="125"/>
        <v>-3746.98964652</v>
      </c>
      <c r="L379">
        <f t="shared" si="126"/>
        <v>6139478.8795999996</v>
      </c>
      <c r="M379">
        <f t="shared" si="127"/>
        <v>-1284782298.3344002</v>
      </c>
      <c r="N379">
        <f t="shared" si="128"/>
        <v>-2215518931.5096002</v>
      </c>
      <c r="O379">
        <f t="shared" si="129"/>
        <v>-2516615415.4624009</v>
      </c>
      <c r="P379">
        <f t="shared" si="130"/>
        <v>-2757225140.1783996</v>
      </c>
      <c r="Q379">
        <f t="shared" si="131"/>
        <v>-3222411096.0071998</v>
      </c>
      <c r="S379">
        <f t="shared" si="132"/>
        <v>7446397.6510000005</v>
      </c>
      <c r="T379">
        <f t="shared" si="133"/>
        <v>-3248429784.7133999</v>
      </c>
      <c r="U379">
        <f t="shared" si="134"/>
        <v>-2784368386.8971996</v>
      </c>
      <c r="V379">
        <f t="shared" si="135"/>
        <v>-3190708830.3184004</v>
      </c>
      <c r="W379">
        <f t="shared" si="136"/>
        <v>-4105867871.7874002</v>
      </c>
      <c r="X379">
        <f t="shared" si="137"/>
        <v>-4571327368.7544003</v>
      </c>
      <c r="Z379">
        <f t="shared" si="138"/>
        <v>8753316.4223999996</v>
      </c>
      <c r="AA379">
        <f t="shared" si="139"/>
        <v>-1957052105.6024001</v>
      </c>
      <c r="AB379">
        <f t="shared" si="140"/>
        <v>-3353217842.2848001</v>
      </c>
      <c r="AC379">
        <f t="shared" si="141"/>
        <v>-4404076977.0592012</v>
      </c>
      <c r="AD379">
        <f t="shared" si="142"/>
        <v>-5454510603.3964005</v>
      </c>
      <c r="AE379">
        <f t="shared" si="143"/>
        <v>-5920243641.5016003</v>
      </c>
    </row>
    <row r="380" spans="1:31" x14ac:dyDescent="0.25">
      <c r="A380">
        <v>37.32025788</v>
      </c>
      <c r="B380">
        <v>118.8306778</v>
      </c>
      <c r="C380">
        <v>34.005298609999997</v>
      </c>
      <c r="D380">
        <v>0.37020901000000001</v>
      </c>
      <c r="E380" t="b">
        <f t="shared" si="120"/>
        <v>0</v>
      </c>
      <c r="F380">
        <f t="shared" si="121"/>
        <v>-169.65628404</v>
      </c>
      <c r="G380">
        <f t="shared" si="122"/>
        <v>-339.68277709</v>
      </c>
      <c r="H380">
        <f t="shared" si="123"/>
        <v>-509.70927013999994</v>
      </c>
      <c r="I380">
        <f t="shared" si="124"/>
        <v>-679.73576318999994</v>
      </c>
      <c r="J380">
        <f t="shared" si="125"/>
        <v>-849.76225623999983</v>
      </c>
      <c r="L380">
        <f t="shared" si="126"/>
        <v>747822.20020000008</v>
      </c>
      <c r="M380">
        <f t="shared" si="127"/>
        <v>-291808808.54879999</v>
      </c>
      <c r="N380">
        <f t="shared" si="128"/>
        <v>-502730510.09319997</v>
      </c>
      <c r="O380">
        <f t="shared" si="129"/>
        <v>-570874382.55680001</v>
      </c>
      <c r="P380">
        <f t="shared" si="130"/>
        <v>-625356902.13479984</v>
      </c>
      <c r="Q380">
        <f t="shared" si="131"/>
        <v>-730795540.36639977</v>
      </c>
      <c r="S380">
        <f t="shared" si="132"/>
        <v>907012.0745000001</v>
      </c>
      <c r="T380">
        <f t="shared" si="133"/>
        <v>-737111626.2852999</v>
      </c>
      <c r="U380">
        <f t="shared" si="134"/>
        <v>-631809965.38739991</v>
      </c>
      <c r="V380">
        <f t="shared" si="135"/>
        <v>-723787163.59879982</v>
      </c>
      <c r="W380">
        <f t="shared" si="136"/>
        <v>-931237995.57029998</v>
      </c>
      <c r="X380">
        <f t="shared" si="137"/>
        <v>-1036709952.6127996</v>
      </c>
      <c r="Z380">
        <f t="shared" si="138"/>
        <v>1066201.9487999999</v>
      </c>
      <c r="AA380">
        <f t="shared" si="139"/>
        <v>-444499464.18479997</v>
      </c>
      <c r="AB380">
        <f t="shared" si="140"/>
        <v>-760889420.68159997</v>
      </c>
      <c r="AC380">
        <f t="shared" si="141"/>
        <v>-999030169.47439981</v>
      </c>
      <c r="AD380">
        <f t="shared" si="142"/>
        <v>-1237119089.0058</v>
      </c>
      <c r="AE380">
        <f t="shared" si="143"/>
        <v>-1342624364.8591998</v>
      </c>
    </row>
    <row r="381" spans="1:31" x14ac:dyDescent="0.25">
      <c r="A381">
        <v>37.320626730000001</v>
      </c>
      <c r="B381">
        <v>108.9116101</v>
      </c>
      <c r="C381">
        <v>2.8402893499999999</v>
      </c>
      <c r="D381">
        <v>3.2481150599999999</v>
      </c>
      <c r="E381" t="b">
        <f t="shared" si="120"/>
        <v>1</v>
      </c>
      <c r="F381">
        <f t="shared" si="121"/>
        <v>-10.953331689999999</v>
      </c>
      <c r="G381">
        <f t="shared" si="122"/>
        <v>-25.154778439999998</v>
      </c>
      <c r="H381">
        <f t="shared" si="123"/>
        <v>-39.356225190000004</v>
      </c>
      <c r="I381">
        <f t="shared" si="124"/>
        <v>-53.557671939999992</v>
      </c>
      <c r="J381">
        <f t="shared" si="125"/>
        <v>-67.759118689999994</v>
      </c>
      <c r="L381">
        <f t="shared" si="126"/>
        <v>5737384.4870000007</v>
      </c>
      <c r="M381">
        <f t="shared" si="127"/>
        <v>-18839730.5068</v>
      </c>
      <c r="N381">
        <f t="shared" si="128"/>
        <v>-37229072.091199994</v>
      </c>
      <c r="O381">
        <f t="shared" si="129"/>
        <v>-44078972.212800011</v>
      </c>
      <c r="P381">
        <f t="shared" si="130"/>
        <v>-49273058.184799984</v>
      </c>
      <c r="Q381">
        <f t="shared" si="131"/>
        <v>-58272842.073399998</v>
      </c>
      <c r="S381">
        <f t="shared" si="132"/>
        <v>6958708.9075000007</v>
      </c>
      <c r="T381">
        <f t="shared" si="133"/>
        <v>-54585869.214799993</v>
      </c>
      <c r="U381">
        <f t="shared" si="134"/>
        <v>-46787887.898399994</v>
      </c>
      <c r="V381">
        <f t="shared" si="135"/>
        <v>-55885839.769800007</v>
      </c>
      <c r="W381">
        <f t="shared" si="136"/>
        <v>-73374010.557799995</v>
      </c>
      <c r="X381">
        <f t="shared" si="137"/>
        <v>-82666124.801799998</v>
      </c>
      <c r="Z381">
        <f t="shared" si="138"/>
        <v>8180033.3279999997</v>
      </c>
      <c r="AA381">
        <f t="shared" si="139"/>
        <v>-28697729.027800001</v>
      </c>
      <c r="AB381">
        <f t="shared" si="140"/>
        <v>-56346703.705600001</v>
      </c>
      <c r="AC381">
        <f t="shared" si="141"/>
        <v>-77138201.372400016</v>
      </c>
      <c r="AD381">
        <f t="shared" si="142"/>
        <v>-97474962.930799991</v>
      </c>
      <c r="AE381">
        <f t="shared" si="143"/>
        <v>-107059407.5302</v>
      </c>
    </row>
    <row r="382" spans="1:31" x14ac:dyDescent="0.25">
      <c r="A382">
        <v>37.328203289999998</v>
      </c>
      <c r="B382">
        <v>118.31048060000001</v>
      </c>
      <c r="C382">
        <v>34.005298609999997</v>
      </c>
      <c r="D382">
        <v>16.85540962</v>
      </c>
      <c r="E382" t="b">
        <f t="shared" si="120"/>
        <v>0</v>
      </c>
      <c r="F382">
        <f t="shared" si="121"/>
        <v>-153.17108343000001</v>
      </c>
      <c r="G382">
        <f t="shared" si="122"/>
        <v>-323.19757648000001</v>
      </c>
      <c r="H382">
        <f t="shared" si="123"/>
        <v>-493.22406952999995</v>
      </c>
      <c r="I382">
        <f t="shared" si="124"/>
        <v>-663.25056257999995</v>
      </c>
      <c r="J382">
        <f t="shared" si="125"/>
        <v>-833.27705562999984</v>
      </c>
      <c r="L382">
        <f t="shared" si="126"/>
        <v>34047927.432400003</v>
      </c>
      <c r="M382">
        <f t="shared" si="127"/>
        <v>-263454263.49960005</v>
      </c>
      <c r="N382">
        <f t="shared" si="128"/>
        <v>-478332413.1904</v>
      </c>
      <c r="O382">
        <f t="shared" si="129"/>
        <v>-552410957.87360001</v>
      </c>
      <c r="P382">
        <f t="shared" si="130"/>
        <v>-610190517.57359993</v>
      </c>
      <c r="Q382">
        <f t="shared" si="131"/>
        <v>-716618267.84179986</v>
      </c>
      <c r="S382">
        <f t="shared" si="132"/>
        <v>41295753.569000006</v>
      </c>
      <c r="T382">
        <f t="shared" si="133"/>
        <v>-701338740.96160007</v>
      </c>
      <c r="U382">
        <f t="shared" si="134"/>
        <v>-601147492.25279999</v>
      </c>
      <c r="V382">
        <f t="shared" si="135"/>
        <v>-700378178.73259997</v>
      </c>
      <c r="W382">
        <f t="shared" si="136"/>
        <v>-908653270.73459995</v>
      </c>
      <c r="X382">
        <f t="shared" si="137"/>
        <v>-1016598007.8685998</v>
      </c>
      <c r="Z382">
        <f t="shared" si="138"/>
        <v>48543579.705600001</v>
      </c>
      <c r="AA382">
        <f t="shared" si="139"/>
        <v>-401308238.58660001</v>
      </c>
      <c r="AB382">
        <f t="shared" si="140"/>
        <v>-723962571.31520009</v>
      </c>
      <c r="AC382">
        <f t="shared" si="141"/>
        <v>-966719176.27879989</v>
      </c>
      <c r="AD382">
        <f t="shared" si="142"/>
        <v>-1207116023.8955998</v>
      </c>
      <c r="AE382">
        <f t="shared" si="143"/>
        <v>-1316577747.8953998</v>
      </c>
    </row>
    <row r="383" spans="1:31" x14ac:dyDescent="0.25">
      <c r="A383">
        <v>37.350225600000002</v>
      </c>
      <c r="B383">
        <v>118.5458155</v>
      </c>
      <c r="C383">
        <v>34.005298609999997</v>
      </c>
      <c r="D383">
        <v>3.84434509</v>
      </c>
      <c r="E383" t="b">
        <f t="shared" si="120"/>
        <v>0</v>
      </c>
      <c r="F383">
        <f t="shared" si="121"/>
        <v>-166.18214796000001</v>
      </c>
      <c r="G383">
        <f t="shared" si="122"/>
        <v>-336.20864101000001</v>
      </c>
      <c r="H383">
        <f t="shared" si="123"/>
        <v>-506.23513405999995</v>
      </c>
      <c r="I383">
        <f t="shared" si="124"/>
        <v>-676.26162710999995</v>
      </c>
      <c r="J383">
        <f t="shared" si="125"/>
        <v>-846.28812015999983</v>
      </c>
      <c r="L383">
        <f t="shared" si="126"/>
        <v>7765577.0817999998</v>
      </c>
      <c r="M383">
        <f t="shared" si="127"/>
        <v>-285833294.49120003</v>
      </c>
      <c r="N383">
        <f t="shared" si="128"/>
        <v>-497588788.69479996</v>
      </c>
      <c r="O383">
        <f t="shared" si="129"/>
        <v>-566983350.14719999</v>
      </c>
      <c r="P383">
        <f t="shared" si="130"/>
        <v>-622160696.9411999</v>
      </c>
      <c r="Q383">
        <f t="shared" si="131"/>
        <v>-727807783.33759987</v>
      </c>
      <c r="S383">
        <f t="shared" si="132"/>
        <v>9418645.4704999998</v>
      </c>
      <c r="T383">
        <f t="shared" si="133"/>
        <v>-729572750.99169993</v>
      </c>
      <c r="U383">
        <f t="shared" si="134"/>
        <v>-625348072.27859998</v>
      </c>
      <c r="V383">
        <f t="shared" si="135"/>
        <v>-718853890.36519992</v>
      </c>
      <c r="W383">
        <f t="shared" si="136"/>
        <v>-926478429.14069998</v>
      </c>
      <c r="X383">
        <f t="shared" si="137"/>
        <v>-1032471506.5951998</v>
      </c>
      <c r="Z383">
        <f t="shared" si="138"/>
        <v>11071713.859199999</v>
      </c>
      <c r="AA383">
        <f t="shared" si="139"/>
        <v>-435397227.65520006</v>
      </c>
      <c r="AB383">
        <f t="shared" si="140"/>
        <v>-753107355.86240005</v>
      </c>
      <c r="AC383">
        <f t="shared" si="141"/>
        <v>-992220862.75759983</v>
      </c>
      <c r="AD383">
        <f t="shared" si="142"/>
        <v>-1230796161.3401999</v>
      </c>
      <c r="AE383">
        <f t="shared" si="143"/>
        <v>-1337135229.8527999</v>
      </c>
    </row>
    <row r="384" spans="1:31" x14ac:dyDescent="0.25">
      <c r="A384">
        <v>37.362617229999998</v>
      </c>
      <c r="B384">
        <v>117.968351</v>
      </c>
      <c r="C384">
        <v>150.00115969999999</v>
      </c>
      <c r="D384">
        <v>6.3215909000000003</v>
      </c>
      <c r="E384" t="b">
        <f t="shared" si="120"/>
        <v>0</v>
      </c>
      <c r="F384">
        <f t="shared" si="121"/>
        <v>-743.68420759999992</v>
      </c>
      <c r="G384">
        <f t="shared" si="122"/>
        <v>-1493.6900060999999</v>
      </c>
      <c r="H384">
        <f t="shared" si="123"/>
        <v>-2243.6958046</v>
      </c>
      <c r="I384">
        <f t="shared" si="124"/>
        <v>-2993.7016030999998</v>
      </c>
      <c r="J384">
        <f t="shared" si="125"/>
        <v>-3743.7074015999997</v>
      </c>
      <c r="L384">
        <f t="shared" si="126"/>
        <v>12769613.618000001</v>
      </c>
      <c r="M384">
        <f t="shared" si="127"/>
        <v>-1279136837.072</v>
      </c>
      <c r="N384">
        <f t="shared" si="128"/>
        <v>-2210661209.0279999</v>
      </c>
      <c r="O384">
        <f t="shared" si="129"/>
        <v>-2512939301.152</v>
      </c>
      <c r="P384">
        <f t="shared" si="130"/>
        <v>-2754205474.8519998</v>
      </c>
      <c r="Q384">
        <f t="shared" si="131"/>
        <v>-3219588365.3759999</v>
      </c>
      <c r="S384">
        <f t="shared" si="132"/>
        <v>15487897.705000002</v>
      </c>
      <c r="T384">
        <f t="shared" si="133"/>
        <v>-3241307313.2369995</v>
      </c>
      <c r="U384">
        <f t="shared" si="134"/>
        <v>-2778263411.3459997</v>
      </c>
      <c r="V384">
        <f t="shared" si="135"/>
        <v>-3186048042.5319996</v>
      </c>
      <c r="W384">
        <f t="shared" si="136"/>
        <v>-4101371196.2470002</v>
      </c>
      <c r="X384">
        <f t="shared" si="137"/>
        <v>-4567323029.9519997</v>
      </c>
      <c r="Z384">
        <f t="shared" si="138"/>
        <v>18206181.791999999</v>
      </c>
      <c r="AA384">
        <f t="shared" si="139"/>
        <v>-1948452623.9119999</v>
      </c>
      <c r="AB384">
        <f t="shared" si="140"/>
        <v>-3345865613.664</v>
      </c>
      <c r="AC384">
        <f t="shared" si="141"/>
        <v>-4397643777.0159998</v>
      </c>
      <c r="AD384">
        <f t="shared" si="142"/>
        <v>-5448536917.6420002</v>
      </c>
      <c r="AE384">
        <f t="shared" si="143"/>
        <v>-5915057694.5279999</v>
      </c>
    </row>
    <row r="385" spans="1:31" x14ac:dyDescent="0.25">
      <c r="A385">
        <v>37.365740430000002</v>
      </c>
      <c r="B385">
        <v>118.8382707</v>
      </c>
      <c r="C385">
        <v>34.005298609999997</v>
      </c>
      <c r="D385">
        <v>0.21855300999999999</v>
      </c>
      <c r="E385" t="b">
        <f t="shared" si="120"/>
        <v>0</v>
      </c>
      <c r="F385">
        <f t="shared" si="121"/>
        <v>-169.80794004000001</v>
      </c>
      <c r="G385">
        <f t="shared" si="122"/>
        <v>-339.83443309</v>
      </c>
      <c r="H385">
        <f t="shared" si="123"/>
        <v>-509.86092613999995</v>
      </c>
      <c r="I385">
        <f t="shared" si="124"/>
        <v>-679.88741918999995</v>
      </c>
      <c r="J385">
        <f t="shared" si="125"/>
        <v>-849.91391223999983</v>
      </c>
      <c r="L385">
        <f t="shared" si="126"/>
        <v>441477.08019999997</v>
      </c>
      <c r="M385">
        <f t="shared" si="127"/>
        <v>-292069656.86880004</v>
      </c>
      <c r="N385">
        <f t="shared" si="128"/>
        <v>-502954960.97320002</v>
      </c>
      <c r="O385">
        <f t="shared" si="129"/>
        <v>-571044237.27679992</v>
      </c>
      <c r="P385">
        <f t="shared" si="130"/>
        <v>-625496425.65479994</v>
      </c>
      <c r="Q385">
        <f t="shared" si="131"/>
        <v>-730925964.52639985</v>
      </c>
      <c r="S385">
        <f t="shared" si="132"/>
        <v>535454.87450000003</v>
      </c>
      <c r="T385">
        <f t="shared" si="133"/>
        <v>-737440719.8053</v>
      </c>
      <c r="U385">
        <f t="shared" si="134"/>
        <v>-632092045.5474</v>
      </c>
      <c r="V385">
        <f t="shared" si="135"/>
        <v>-724002515.11879981</v>
      </c>
      <c r="W385">
        <f t="shared" si="136"/>
        <v>-931445764.29030001</v>
      </c>
      <c r="X385">
        <f t="shared" si="137"/>
        <v>-1036894972.9327998</v>
      </c>
      <c r="Z385">
        <f t="shared" si="138"/>
        <v>629432.66879999987</v>
      </c>
      <c r="AA385">
        <f t="shared" si="139"/>
        <v>-444896802.9048</v>
      </c>
      <c r="AB385">
        <f t="shared" si="140"/>
        <v>-761229130.12160015</v>
      </c>
      <c r="AC385">
        <f t="shared" si="141"/>
        <v>-999327415.2343998</v>
      </c>
      <c r="AD385">
        <f t="shared" si="142"/>
        <v>-1237395102.9257998</v>
      </c>
      <c r="AE385">
        <f t="shared" si="143"/>
        <v>-1342863981.3391998</v>
      </c>
    </row>
    <row r="386" spans="1:31" x14ac:dyDescent="0.25">
      <c r="A386">
        <v>37.369196100000003</v>
      </c>
      <c r="B386">
        <v>108.7984099</v>
      </c>
      <c r="C386">
        <v>2.8402893499999999</v>
      </c>
      <c r="D386">
        <v>1.18485296</v>
      </c>
      <c r="E386" t="b">
        <f t="shared" si="120"/>
        <v>0</v>
      </c>
      <c r="F386">
        <f t="shared" si="121"/>
        <v>-13.016593789999998</v>
      </c>
      <c r="G386">
        <f t="shared" si="122"/>
        <v>-27.218040539999997</v>
      </c>
      <c r="H386">
        <f t="shared" si="123"/>
        <v>-41.419487289999999</v>
      </c>
      <c r="I386">
        <f t="shared" si="124"/>
        <v>-55.620934039999995</v>
      </c>
      <c r="J386">
        <f t="shared" si="125"/>
        <v>-69.822380789999997</v>
      </c>
      <c r="L386">
        <f t="shared" si="126"/>
        <v>2393402.9791999999</v>
      </c>
      <c r="M386">
        <f t="shared" si="127"/>
        <v>-22388541.318799999</v>
      </c>
      <c r="N386">
        <f t="shared" si="128"/>
        <v>-40282699.999199994</v>
      </c>
      <c r="O386">
        <f t="shared" si="129"/>
        <v>-46389825.764800005</v>
      </c>
      <c r="P386">
        <f t="shared" si="130"/>
        <v>-51171259.316799991</v>
      </c>
      <c r="Q386">
        <f t="shared" si="131"/>
        <v>-60047247.479399994</v>
      </c>
      <c r="S386">
        <f t="shared" si="132"/>
        <v>2902889.7520000003</v>
      </c>
      <c r="T386">
        <f t="shared" si="133"/>
        <v>-59063147.971799985</v>
      </c>
      <c r="U386">
        <f t="shared" si="134"/>
        <v>-50625555.404399991</v>
      </c>
      <c r="V386">
        <f t="shared" si="135"/>
        <v>-58815671.951799996</v>
      </c>
      <c r="W386">
        <f t="shared" si="136"/>
        <v>-76200679.634799987</v>
      </c>
      <c r="X386">
        <f t="shared" si="137"/>
        <v>-85183304.563799992</v>
      </c>
      <c r="Z386">
        <f t="shared" si="138"/>
        <v>3412376.5247999998</v>
      </c>
      <c r="AA386">
        <f t="shared" si="139"/>
        <v>-34103475.729799993</v>
      </c>
      <c r="AB386">
        <f t="shared" si="140"/>
        <v>-60968410.809599996</v>
      </c>
      <c r="AC386">
        <f t="shared" si="141"/>
        <v>-81182195.088399991</v>
      </c>
      <c r="AD386">
        <f t="shared" si="142"/>
        <v>-101230099.95279999</v>
      </c>
      <c r="AE386">
        <f t="shared" si="143"/>
        <v>-110319361.64819999</v>
      </c>
    </row>
    <row r="387" spans="1:31" x14ac:dyDescent="0.25">
      <c r="A387">
        <v>37.379462019999998</v>
      </c>
      <c r="B387">
        <v>117.79717309999999</v>
      </c>
      <c r="C387">
        <v>9.6543779399999998</v>
      </c>
      <c r="D387">
        <v>2.6311309299999999</v>
      </c>
      <c r="E387" t="b">
        <f t="shared" ref="E387:E450" si="144">D387&gt;C387</f>
        <v>0</v>
      </c>
      <c r="F387">
        <f t="shared" ref="F387:F450" si="145">D387-(C387*(2030-2025))</f>
        <v>-45.640758770000005</v>
      </c>
      <c r="G387">
        <f t="shared" ref="G387:G450" si="146">D387-(C387*(2035-2025))</f>
        <v>-93.912648470000008</v>
      </c>
      <c r="H387">
        <f t="shared" ref="H387:H450" si="147">D387-(C387*(2040-2025))</f>
        <v>-142.18453817</v>
      </c>
      <c r="I387">
        <f t="shared" ref="I387:I450" si="148">D387-(C387*(2045-2025))</f>
        <v>-190.45642787</v>
      </c>
      <c r="J387">
        <f t="shared" ref="J387:J450" si="149">D387-(C387*(2050-2025))</f>
        <v>-238.72831756999997</v>
      </c>
      <c r="L387">
        <f t="shared" ref="L387:L450" si="150">MIN(C387,D387)*1000000*((280/250)+0.9)</f>
        <v>5314884.4785999991</v>
      </c>
      <c r="M387">
        <f t="shared" ref="M387:M450" si="151">MIN(C387,F387)*1000000*((230/250)+0.8)</f>
        <v>-78502105.084400013</v>
      </c>
      <c r="N387">
        <f t="shared" ref="N387:N450" si="152">MIN(C387,G387)*1000000*((195/250)+0.7)</f>
        <v>-138990719.73560002</v>
      </c>
      <c r="O387">
        <f t="shared" ref="O387:O450" si="153">MIN(C387,H387)*1000000*((130/250)+0.6)</f>
        <v>-159246682.75040001</v>
      </c>
      <c r="P387">
        <f t="shared" ref="P387:P450" si="154">MIN(C387,I387)*1000000*((105/250)+0.5)</f>
        <v>-175219913.64039999</v>
      </c>
      <c r="Q387">
        <f t="shared" ref="Q387:Q450" si="155">MIN(C387,J387)*1000000*((90/250)+0.5)</f>
        <v>-205306353.11019996</v>
      </c>
      <c r="S387">
        <f t="shared" ref="S387:S450" si="156">MIN(C387,D387)*1000000*((325/250)+1.15)</f>
        <v>6446270.7785</v>
      </c>
      <c r="T387">
        <f t="shared" ref="T387:T450" si="157">MIN(C387,G387)*1000000*((280/250)+1.05)</f>
        <v>-203790447.17990002</v>
      </c>
      <c r="U387">
        <f t="shared" ref="U387:U450" si="158">MIN(C387,G387)*1000000*((227.5/250)+0.95)</f>
        <v>-174677526.15420002</v>
      </c>
      <c r="V387">
        <f t="shared" ref="V387:V450" si="159">MIN(C387,H387)*1000000*((142.5/250)+0.85)</f>
        <v>-201902044.20139998</v>
      </c>
      <c r="W387">
        <f t="shared" ref="W387:W450" si="160">MIN(C387,I387)*1000000*((142.5/250)+0.8)</f>
        <v>-260925306.18190002</v>
      </c>
      <c r="X387">
        <f t="shared" ref="X387:X450" si="161">MIN(C387,J387)*1000000*((117.5/250)+0.75)</f>
        <v>-291248547.43539995</v>
      </c>
      <c r="Z387">
        <f t="shared" ref="Z387:Z450" si="162">MIN(C387,D387)*1000000*((370/250)+1.4)</f>
        <v>7577657.0783999991</v>
      </c>
      <c r="AA387">
        <f t="shared" ref="AA387:AA450" si="163">MIN(C387,F387)*1000000*((330/250)+1.3)</f>
        <v>-119578787.97740002</v>
      </c>
      <c r="AB387">
        <f t="shared" ref="AB387:AB450" si="164">MIN(C387,G387)*1000000*((260/250)+1.2)</f>
        <v>-210364332.57280004</v>
      </c>
      <c r="AC387">
        <f t="shared" ref="AC387:AC450" si="165">MIN(C387,H387)*1000000*((215/250)+1.1)</f>
        <v>-278681694.8132</v>
      </c>
      <c r="AD387">
        <f t="shared" ref="AD387:AD450" si="166">MIN(C387,I387)*1000000*((180/250)+1.1)</f>
        <v>-346630698.7234</v>
      </c>
      <c r="AE387">
        <f t="shared" ref="AE387:AE450" si="167">MIN(C387,J387)*1000000*((145/250)+1)</f>
        <v>-377190741.76059997</v>
      </c>
    </row>
    <row r="388" spans="1:31" x14ac:dyDescent="0.25">
      <c r="A388">
        <v>37.386016009999999</v>
      </c>
      <c r="B388">
        <v>107.9362203</v>
      </c>
      <c r="C388">
        <v>1.38540113</v>
      </c>
      <c r="D388">
        <v>11.823537829999999</v>
      </c>
      <c r="E388" t="b">
        <f t="shared" si="144"/>
        <v>1</v>
      </c>
      <c r="F388">
        <f t="shared" si="145"/>
        <v>4.8965321799999995</v>
      </c>
      <c r="G388">
        <f t="shared" si="146"/>
        <v>-2.0304734700000004</v>
      </c>
      <c r="H388">
        <f t="shared" si="147"/>
        <v>-8.9574791200000021</v>
      </c>
      <c r="I388">
        <f t="shared" si="148"/>
        <v>-15.88448477</v>
      </c>
      <c r="J388">
        <f t="shared" si="149"/>
        <v>-22.811490419999998</v>
      </c>
      <c r="L388">
        <f t="shared" si="150"/>
        <v>2798510.2825999996</v>
      </c>
      <c r="M388">
        <f t="shared" si="151"/>
        <v>2382889.9435999999</v>
      </c>
      <c r="N388">
        <f t="shared" si="152"/>
        <v>-3005100.7356000007</v>
      </c>
      <c r="O388">
        <f t="shared" si="153"/>
        <v>-10032376.614400005</v>
      </c>
      <c r="P388">
        <f t="shared" si="154"/>
        <v>-14613725.988399999</v>
      </c>
      <c r="Q388">
        <f t="shared" si="155"/>
        <v>-19617881.7612</v>
      </c>
      <c r="S388">
        <f t="shared" si="156"/>
        <v>3394232.7684999998</v>
      </c>
      <c r="T388">
        <f t="shared" si="157"/>
        <v>-4406127.4299000008</v>
      </c>
      <c r="U388">
        <f t="shared" si="158"/>
        <v>-3776680.6542000007</v>
      </c>
      <c r="V388">
        <f t="shared" si="159"/>
        <v>-12719620.350400003</v>
      </c>
      <c r="W388">
        <f t="shared" si="160"/>
        <v>-21761744.1349</v>
      </c>
      <c r="X388">
        <f t="shared" si="161"/>
        <v>-27830018.312399998</v>
      </c>
      <c r="Z388">
        <f t="shared" si="162"/>
        <v>3989955.2543999995</v>
      </c>
      <c r="AA388">
        <f t="shared" si="163"/>
        <v>3629750.9605999999</v>
      </c>
      <c r="AB388">
        <f t="shared" si="164"/>
        <v>-4548260.5728000011</v>
      </c>
      <c r="AC388">
        <f t="shared" si="165"/>
        <v>-17556659.075200006</v>
      </c>
      <c r="AD388">
        <f t="shared" si="166"/>
        <v>-28909762.281399999</v>
      </c>
      <c r="AE388">
        <f t="shared" si="167"/>
        <v>-36042154.863600001</v>
      </c>
    </row>
    <row r="389" spans="1:31" x14ac:dyDescent="0.25">
      <c r="A389">
        <v>37.3957251</v>
      </c>
      <c r="B389">
        <v>118.5532436</v>
      </c>
      <c r="C389">
        <v>34.005298609999997</v>
      </c>
      <c r="D389">
        <v>12.07094288</v>
      </c>
      <c r="E389" t="b">
        <f t="shared" si="144"/>
        <v>0</v>
      </c>
      <c r="F389">
        <f t="shared" si="145"/>
        <v>-157.95555017000001</v>
      </c>
      <c r="G389">
        <f t="shared" si="146"/>
        <v>-327.98204321999998</v>
      </c>
      <c r="H389">
        <f t="shared" si="147"/>
        <v>-498.00853626999992</v>
      </c>
      <c r="I389">
        <f t="shared" si="148"/>
        <v>-668.03502932000004</v>
      </c>
      <c r="J389">
        <f t="shared" si="149"/>
        <v>-838.06152236999992</v>
      </c>
      <c r="L389">
        <f t="shared" si="150"/>
        <v>24383304.617600001</v>
      </c>
      <c r="M389">
        <f t="shared" si="151"/>
        <v>-271683546.29240006</v>
      </c>
      <c r="N389">
        <f t="shared" si="152"/>
        <v>-485413423.96559995</v>
      </c>
      <c r="O389">
        <f t="shared" si="153"/>
        <v>-557769560.62239993</v>
      </c>
      <c r="P389">
        <f t="shared" si="154"/>
        <v>-614592226.97440004</v>
      </c>
      <c r="Q389">
        <f t="shared" si="155"/>
        <v>-720732909.23819995</v>
      </c>
      <c r="S389">
        <f t="shared" si="156"/>
        <v>29573810.056000005</v>
      </c>
      <c r="T389">
        <f t="shared" si="157"/>
        <v>-711721033.78739989</v>
      </c>
      <c r="U389">
        <f t="shared" si="158"/>
        <v>-610046600.38919985</v>
      </c>
      <c r="V389">
        <f t="shared" si="159"/>
        <v>-707172121.50339985</v>
      </c>
      <c r="W389">
        <f t="shared" si="160"/>
        <v>-915207990.16840017</v>
      </c>
      <c r="X389">
        <f t="shared" si="161"/>
        <v>-1022435057.2913998</v>
      </c>
      <c r="Z389">
        <f t="shared" si="162"/>
        <v>34764315.494400002</v>
      </c>
      <c r="AA389">
        <f t="shared" si="163"/>
        <v>-413843541.44540006</v>
      </c>
      <c r="AB389">
        <f t="shared" si="164"/>
        <v>-734679776.81280005</v>
      </c>
      <c r="AC389">
        <f t="shared" si="165"/>
        <v>-976096731.08919978</v>
      </c>
      <c r="AD389">
        <f t="shared" si="166"/>
        <v>-1215823753.3624001</v>
      </c>
      <c r="AE389">
        <f t="shared" si="167"/>
        <v>-1324137205.3446</v>
      </c>
    </row>
    <row r="390" spans="1:31" x14ac:dyDescent="0.25">
      <c r="A390">
        <v>37.397672239999999</v>
      </c>
      <c r="B390">
        <v>106.95870840000001</v>
      </c>
      <c r="C390">
        <v>2.6882860700000002</v>
      </c>
      <c r="D390">
        <v>0.42500000999999998</v>
      </c>
      <c r="E390" t="b">
        <f t="shared" si="144"/>
        <v>0</v>
      </c>
      <c r="F390">
        <f t="shared" si="145"/>
        <v>-13.016430340000001</v>
      </c>
      <c r="G390">
        <f t="shared" si="146"/>
        <v>-26.45786069</v>
      </c>
      <c r="H390">
        <f t="shared" si="147"/>
        <v>-39.899291040000001</v>
      </c>
      <c r="I390">
        <f t="shared" si="148"/>
        <v>-53.340721390000006</v>
      </c>
      <c r="J390">
        <f t="shared" si="149"/>
        <v>-66.782151740000003</v>
      </c>
      <c r="L390">
        <f t="shared" si="150"/>
        <v>858500.02020000003</v>
      </c>
      <c r="M390">
        <f t="shared" si="151"/>
        <v>-22388260.184800006</v>
      </c>
      <c r="N390">
        <f t="shared" si="152"/>
        <v>-39157633.821199998</v>
      </c>
      <c r="O390">
        <f t="shared" si="153"/>
        <v>-44687205.9648</v>
      </c>
      <c r="P390">
        <f t="shared" si="154"/>
        <v>-49073463.678800002</v>
      </c>
      <c r="Q390">
        <f t="shared" si="155"/>
        <v>-57432650.496399999</v>
      </c>
      <c r="S390">
        <f t="shared" si="156"/>
        <v>1041250.0245000001</v>
      </c>
      <c r="T390">
        <f t="shared" si="157"/>
        <v>-57413557.697300002</v>
      </c>
      <c r="U390">
        <f t="shared" si="158"/>
        <v>-49211620.883400001</v>
      </c>
      <c r="V390">
        <f t="shared" si="159"/>
        <v>-56656993.276799999</v>
      </c>
      <c r="W390">
        <f t="shared" si="160"/>
        <v>-73076788.30430001</v>
      </c>
      <c r="X390">
        <f t="shared" si="161"/>
        <v>-81474225.122800007</v>
      </c>
      <c r="Z390">
        <f t="shared" si="162"/>
        <v>1224000.0288</v>
      </c>
      <c r="AA390">
        <f t="shared" si="163"/>
        <v>-34103047.490800008</v>
      </c>
      <c r="AB390">
        <f t="shared" si="164"/>
        <v>-59265607.94560001</v>
      </c>
      <c r="AC390">
        <f t="shared" si="165"/>
        <v>-78202610.4384</v>
      </c>
      <c r="AD390">
        <f t="shared" si="166"/>
        <v>-97080112.929800019</v>
      </c>
      <c r="AE390">
        <f t="shared" si="167"/>
        <v>-105515799.7492</v>
      </c>
    </row>
    <row r="391" spans="1:31" x14ac:dyDescent="0.25">
      <c r="A391">
        <v>37.413795960000002</v>
      </c>
      <c r="B391">
        <v>117.9183561</v>
      </c>
      <c r="C391">
        <v>9.6543779399999998</v>
      </c>
      <c r="D391">
        <v>6.9414272300000004</v>
      </c>
      <c r="E391" t="b">
        <f t="shared" si="144"/>
        <v>0</v>
      </c>
      <c r="F391">
        <f t="shared" si="145"/>
        <v>-41.330462470000001</v>
      </c>
      <c r="G391">
        <f t="shared" si="146"/>
        <v>-89.602352170000003</v>
      </c>
      <c r="H391">
        <f t="shared" si="147"/>
        <v>-137.87424187000002</v>
      </c>
      <c r="I391">
        <f t="shared" si="148"/>
        <v>-186.14613157000002</v>
      </c>
      <c r="J391">
        <f t="shared" si="149"/>
        <v>-234.41802127</v>
      </c>
      <c r="L391">
        <f t="shared" si="150"/>
        <v>14021683.004600001</v>
      </c>
      <c r="M391">
        <f t="shared" si="151"/>
        <v>-71088395.448400006</v>
      </c>
      <c r="N391">
        <f t="shared" si="152"/>
        <v>-132611481.21160001</v>
      </c>
      <c r="O391">
        <f t="shared" si="153"/>
        <v>-154419150.89440006</v>
      </c>
      <c r="P391">
        <f t="shared" si="154"/>
        <v>-171254441.04440001</v>
      </c>
      <c r="Q391">
        <f t="shared" si="155"/>
        <v>-201599498.2922</v>
      </c>
      <c r="S391">
        <f t="shared" si="156"/>
        <v>17006496.713500001</v>
      </c>
      <c r="T391">
        <f t="shared" si="157"/>
        <v>-194437104.2089</v>
      </c>
      <c r="U391">
        <f t="shared" si="158"/>
        <v>-166660375.03619999</v>
      </c>
      <c r="V391">
        <f t="shared" si="159"/>
        <v>-195781423.45540005</v>
      </c>
      <c r="W391">
        <f t="shared" si="160"/>
        <v>-255020200.25090006</v>
      </c>
      <c r="X391">
        <f t="shared" si="161"/>
        <v>-285989985.94940001</v>
      </c>
      <c r="Z391">
        <f t="shared" si="162"/>
        <v>19991310.422400001</v>
      </c>
      <c r="AA391">
        <f t="shared" si="163"/>
        <v>-108285811.6714</v>
      </c>
      <c r="AB391">
        <f t="shared" si="164"/>
        <v>-200709268.86080003</v>
      </c>
      <c r="AC391">
        <f t="shared" si="165"/>
        <v>-270233514.06520009</v>
      </c>
      <c r="AD391">
        <f t="shared" si="166"/>
        <v>-338785959.45740002</v>
      </c>
      <c r="AE391">
        <f t="shared" si="167"/>
        <v>-370380473.60660005</v>
      </c>
    </row>
    <row r="392" spans="1:31" x14ac:dyDescent="0.25">
      <c r="A392">
        <v>37.423302530000001</v>
      </c>
      <c r="B392">
        <v>118.7318223</v>
      </c>
      <c r="C392">
        <v>40.0941124</v>
      </c>
      <c r="D392">
        <v>6.9784479099999999</v>
      </c>
      <c r="E392" t="b">
        <f t="shared" si="144"/>
        <v>0</v>
      </c>
      <c r="F392">
        <f t="shared" si="145"/>
        <v>-193.49211409</v>
      </c>
      <c r="G392">
        <f t="shared" si="146"/>
        <v>-393.96267609</v>
      </c>
      <c r="H392">
        <f t="shared" si="147"/>
        <v>-594.43323809000003</v>
      </c>
      <c r="I392">
        <f t="shared" si="148"/>
        <v>-794.90380009</v>
      </c>
      <c r="J392">
        <f t="shared" si="149"/>
        <v>-995.37436208999998</v>
      </c>
      <c r="L392">
        <f t="shared" si="150"/>
        <v>14096464.778200001</v>
      </c>
      <c r="M392">
        <f t="shared" si="151"/>
        <v>-332806436.23480004</v>
      </c>
      <c r="N392">
        <f t="shared" si="152"/>
        <v>-583064760.61319995</v>
      </c>
      <c r="O392">
        <f t="shared" si="153"/>
        <v>-665765226.6608001</v>
      </c>
      <c r="P392">
        <f t="shared" si="154"/>
        <v>-731311496.08280003</v>
      </c>
      <c r="Q392">
        <f t="shared" si="155"/>
        <v>-856021951.39740002</v>
      </c>
      <c r="S392">
        <f t="shared" si="156"/>
        <v>17097197.379500002</v>
      </c>
      <c r="T392">
        <f t="shared" si="157"/>
        <v>-854899007.11529994</v>
      </c>
      <c r="U392">
        <f t="shared" si="158"/>
        <v>-732770577.5273999</v>
      </c>
      <c r="V392">
        <f t="shared" si="159"/>
        <v>-844095198.08780003</v>
      </c>
      <c r="W392">
        <f t="shared" si="160"/>
        <v>-1089018206.1233001</v>
      </c>
      <c r="X392">
        <f t="shared" si="161"/>
        <v>-1214356721.7498</v>
      </c>
      <c r="Z392">
        <f t="shared" si="162"/>
        <v>20097929.980799999</v>
      </c>
      <c r="AA392">
        <f t="shared" si="163"/>
        <v>-506949338.91580003</v>
      </c>
      <c r="AB392">
        <f t="shared" si="164"/>
        <v>-882476394.44160008</v>
      </c>
      <c r="AC392">
        <f t="shared" si="165"/>
        <v>-1165089146.6564</v>
      </c>
      <c r="AD392">
        <f t="shared" si="166"/>
        <v>-1446724916.1638</v>
      </c>
      <c r="AE392">
        <f t="shared" si="167"/>
        <v>-1572691492.1022</v>
      </c>
    </row>
    <row r="393" spans="1:31" x14ac:dyDescent="0.25">
      <c r="A393">
        <v>37.438368089999997</v>
      </c>
      <c r="B393">
        <v>119.02459020000001</v>
      </c>
      <c r="C393">
        <v>39.583812709999997</v>
      </c>
      <c r="D393">
        <v>4.8972258599999998</v>
      </c>
      <c r="E393" t="b">
        <f t="shared" si="144"/>
        <v>0</v>
      </c>
      <c r="F393">
        <f t="shared" si="145"/>
        <v>-193.02183768999998</v>
      </c>
      <c r="G393">
        <f t="shared" si="146"/>
        <v>-390.94090123999996</v>
      </c>
      <c r="H393">
        <f t="shared" si="147"/>
        <v>-588.85996478999994</v>
      </c>
      <c r="I393">
        <f t="shared" si="148"/>
        <v>-786.77902833999985</v>
      </c>
      <c r="J393">
        <f t="shared" si="149"/>
        <v>-984.69809188999989</v>
      </c>
      <c r="L393">
        <f t="shared" si="150"/>
        <v>9892396.2371999994</v>
      </c>
      <c r="M393">
        <f t="shared" si="151"/>
        <v>-331997560.82680005</v>
      </c>
      <c r="N393">
        <f t="shared" si="152"/>
        <v>-578592533.83519995</v>
      </c>
      <c r="O393">
        <f t="shared" si="153"/>
        <v>-659523160.56480002</v>
      </c>
      <c r="P393">
        <f t="shared" si="154"/>
        <v>-723836706.0727998</v>
      </c>
      <c r="Q393">
        <f t="shared" si="155"/>
        <v>-846840359.02539992</v>
      </c>
      <c r="S393">
        <f t="shared" si="156"/>
        <v>11998203.356999999</v>
      </c>
      <c r="T393">
        <f t="shared" si="157"/>
        <v>-848341755.69079983</v>
      </c>
      <c r="U393">
        <f t="shared" si="158"/>
        <v>-727150076.30639982</v>
      </c>
      <c r="V393">
        <f t="shared" si="159"/>
        <v>-836181150.00179994</v>
      </c>
      <c r="W393">
        <f t="shared" si="160"/>
        <v>-1077887268.8257997</v>
      </c>
      <c r="X393">
        <f t="shared" si="161"/>
        <v>-1201331672.1057999</v>
      </c>
      <c r="Z393">
        <f t="shared" si="162"/>
        <v>14104010.476799998</v>
      </c>
      <c r="AA393">
        <f t="shared" si="163"/>
        <v>-505717214.74779999</v>
      </c>
      <c r="AB393">
        <f t="shared" si="164"/>
        <v>-875707618.77759993</v>
      </c>
      <c r="AC393">
        <f t="shared" si="165"/>
        <v>-1154165530.9884</v>
      </c>
      <c r="AD393">
        <f t="shared" si="166"/>
        <v>-1431937831.5787997</v>
      </c>
      <c r="AE393">
        <f t="shared" si="167"/>
        <v>-1555822985.1861999</v>
      </c>
    </row>
    <row r="394" spans="1:31" x14ac:dyDescent="0.25">
      <c r="A394">
        <v>37.443993720000002</v>
      </c>
      <c r="B394">
        <v>106.9017351</v>
      </c>
      <c r="C394">
        <v>2.6882860700000002</v>
      </c>
      <c r="D394">
        <v>0.88060302000000001</v>
      </c>
      <c r="E394" t="b">
        <f t="shared" si="144"/>
        <v>0</v>
      </c>
      <c r="F394">
        <f t="shared" si="145"/>
        <v>-12.56082733</v>
      </c>
      <c r="G394">
        <f t="shared" si="146"/>
        <v>-26.002257680000003</v>
      </c>
      <c r="H394">
        <f t="shared" si="147"/>
        <v>-39.443688029999997</v>
      </c>
      <c r="I394">
        <f t="shared" si="148"/>
        <v>-52.885118380000002</v>
      </c>
      <c r="J394">
        <f t="shared" si="149"/>
        <v>-66.326548730000013</v>
      </c>
      <c r="L394">
        <f t="shared" si="150"/>
        <v>1778818.1004000001</v>
      </c>
      <c r="M394">
        <f t="shared" si="151"/>
        <v>-21604623.007600002</v>
      </c>
      <c r="N394">
        <f t="shared" si="152"/>
        <v>-38483341.366400003</v>
      </c>
      <c r="O394">
        <f t="shared" si="153"/>
        <v>-44176930.593599997</v>
      </c>
      <c r="P394">
        <f t="shared" si="154"/>
        <v>-48654308.909599997</v>
      </c>
      <c r="Q394">
        <f t="shared" si="155"/>
        <v>-57040831.907800011</v>
      </c>
      <c r="S394">
        <f t="shared" si="156"/>
        <v>2157477.3990000002</v>
      </c>
      <c r="T394">
        <f t="shared" si="157"/>
        <v>-56424899.165600009</v>
      </c>
      <c r="U394">
        <f t="shared" si="158"/>
        <v>-48364199.2848</v>
      </c>
      <c r="V394">
        <f t="shared" si="159"/>
        <v>-56010037.002599992</v>
      </c>
      <c r="W394">
        <f t="shared" si="160"/>
        <v>-72452612.180600002</v>
      </c>
      <c r="X394">
        <f t="shared" si="161"/>
        <v>-80918389.450600013</v>
      </c>
      <c r="Z394">
        <f t="shared" si="162"/>
        <v>2536136.6976000001</v>
      </c>
      <c r="AA394">
        <f t="shared" si="163"/>
        <v>-32909367.604600001</v>
      </c>
      <c r="AB394">
        <f t="shared" si="164"/>
        <v>-58245057.203200012</v>
      </c>
      <c r="AC394">
        <f t="shared" si="165"/>
        <v>-77309628.538799986</v>
      </c>
      <c r="AD394">
        <f t="shared" si="166"/>
        <v>-96250915.451600015</v>
      </c>
      <c r="AE394">
        <f t="shared" si="167"/>
        <v>-104795946.99340002</v>
      </c>
    </row>
    <row r="395" spans="1:31" x14ac:dyDescent="0.25">
      <c r="A395">
        <v>37.444505839999998</v>
      </c>
      <c r="B395">
        <v>118.96756360000001</v>
      </c>
      <c r="C395">
        <v>15.59544373</v>
      </c>
      <c r="D395">
        <v>4.9094691299999997</v>
      </c>
      <c r="E395" t="b">
        <f t="shared" si="144"/>
        <v>0</v>
      </c>
      <c r="F395">
        <f t="shared" si="145"/>
        <v>-73.067749519999992</v>
      </c>
      <c r="G395">
        <f t="shared" si="146"/>
        <v>-151.04496817</v>
      </c>
      <c r="H395">
        <f t="shared" si="147"/>
        <v>-229.02218682</v>
      </c>
      <c r="I395">
        <f t="shared" si="148"/>
        <v>-306.99940547</v>
      </c>
      <c r="J395">
        <f t="shared" si="149"/>
        <v>-384.97662412</v>
      </c>
      <c r="L395">
        <f t="shared" si="150"/>
        <v>9917127.6425999999</v>
      </c>
      <c r="M395">
        <f t="shared" si="151"/>
        <v>-125676529.1744</v>
      </c>
      <c r="N395">
        <f t="shared" si="152"/>
        <v>-223546552.89160001</v>
      </c>
      <c r="O395">
        <f t="shared" si="153"/>
        <v>-256504849.23840001</v>
      </c>
      <c r="P395">
        <f t="shared" si="154"/>
        <v>-282439453.03240001</v>
      </c>
      <c r="Q395">
        <f t="shared" si="155"/>
        <v>-331079896.7432</v>
      </c>
      <c r="S395">
        <f t="shared" si="156"/>
        <v>12028199.3685</v>
      </c>
      <c r="T395">
        <f t="shared" si="157"/>
        <v>-327767580.9289</v>
      </c>
      <c r="U395">
        <f t="shared" si="158"/>
        <v>-280943640.79620004</v>
      </c>
      <c r="V395">
        <f t="shared" si="159"/>
        <v>-325211505.28439999</v>
      </c>
      <c r="W395">
        <f t="shared" si="160"/>
        <v>-420589185.49390006</v>
      </c>
      <c r="X395">
        <f t="shared" si="161"/>
        <v>-469671481.42640001</v>
      </c>
      <c r="Z395">
        <f t="shared" si="162"/>
        <v>14139271.0944</v>
      </c>
      <c r="AA395">
        <f t="shared" si="163"/>
        <v>-191437503.74239999</v>
      </c>
      <c r="AB395">
        <f t="shared" si="164"/>
        <v>-338340728.70080006</v>
      </c>
      <c r="AC395">
        <f t="shared" si="165"/>
        <v>-448883486.16719997</v>
      </c>
      <c r="AD395">
        <f t="shared" si="166"/>
        <v>-558738917.95540011</v>
      </c>
      <c r="AE395">
        <f t="shared" si="167"/>
        <v>-608263066.10960007</v>
      </c>
    </row>
    <row r="396" spans="1:31" x14ac:dyDescent="0.25">
      <c r="A396">
        <v>37.447877990000002</v>
      </c>
      <c r="B396">
        <v>109.3194585</v>
      </c>
      <c r="C396">
        <v>3.4743599999999999E-2</v>
      </c>
      <c r="D396">
        <v>1.86935103</v>
      </c>
      <c r="E396" t="b">
        <f t="shared" si="144"/>
        <v>1</v>
      </c>
      <c r="F396">
        <f t="shared" si="145"/>
        <v>1.69563303</v>
      </c>
      <c r="G396">
        <f t="shared" si="146"/>
        <v>1.5219150300000002</v>
      </c>
      <c r="H396">
        <f t="shared" si="147"/>
        <v>1.3481970300000001</v>
      </c>
      <c r="I396">
        <f t="shared" si="148"/>
        <v>1.1744790300000001</v>
      </c>
      <c r="J396">
        <f t="shared" si="149"/>
        <v>1.0007610300000001</v>
      </c>
      <c r="L396">
        <f t="shared" si="150"/>
        <v>70182.072</v>
      </c>
      <c r="M396">
        <f t="shared" si="151"/>
        <v>59758.992000000006</v>
      </c>
      <c r="N396">
        <f t="shared" si="152"/>
        <v>51420.527999999998</v>
      </c>
      <c r="O396">
        <f t="shared" si="153"/>
        <v>38912.832000000002</v>
      </c>
      <c r="P396">
        <f t="shared" si="154"/>
        <v>31964.111999999997</v>
      </c>
      <c r="Q396">
        <f t="shared" si="155"/>
        <v>29879.495999999999</v>
      </c>
      <c r="S396">
        <f t="shared" si="156"/>
        <v>85121.82</v>
      </c>
      <c r="T396">
        <f t="shared" si="157"/>
        <v>75393.611999999994</v>
      </c>
      <c r="U396">
        <f t="shared" si="158"/>
        <v>64623.09599999999</v>
      </c>
      <c r="V396">
        <f t="shared" si="159"/>
        <v>49335.911999999997</v>
      </c>
      <c r="W396">
        <f t="shared" si="160"/>
        <v>47598.732000000004</v>
      </c>
      <c r="X396">
        <f t="shared" si="161"/>
        <v>42387.191999999995</v>
      </c>
      <c r="Z396">
        <f t="shared" si="162"/>
        <v>100061.568</v>
      </c>
      <c r="AA396">
        <f t="shared" si="163"/>
        <v>91028.232000000004</v>
      </c>
      <c r="AB396">
        <f t="shared" si="164"/>
        <v>77825.664000000004</v>
      </c>
      <c r="AC396">
        <f t="shared" si="165"/>
        <v>68097.455999999991</v>
      </c>
      <c r="AD396">
        <f t="shared" si="166"/>
        <v>63233.351999999999</v>
      </c>
      <c r="AE396">
        <f t="shared" si="167"/>
        <v>54894.887999999999</v>
      </c>
    </row>
    <row r="397" spans="1:31" x14ac:dyDescent="0.25">
      <c r="A397">
        <v>37.44800824</v>
      </c>
      <c r="B397">
        <v>118.0396466</v>
      </c>
      <c r="C397">
        <v>150.00115969999999</v>
      </c>
      <c r="D397">
        <v>11.192254070000001</v>
      </c>
      <c r="E397" t="b">
        <f t="shared" si="144"/>
        <v>0</v>
      </c>
      <c r="F397">
        <f t="shared" si="145"/>
        <v>-738.81354442999998</v>
      </c>
      <c r="G397">
        <f t="shared" si="146"/>
        <v>-1488.8193429299999</v>
      </c>
      <c r="H397">
        <f t="shared" si="147"/>
        <v>-2238.8251414299998</v>
      </c>
      <c r="I397">
        <f t="shared" si="148"/>
        <v>-2988.8309399299997</v>
      </c>
      <c r="J397">
        <f t="shared" si="149"/>
        <v>-3738.8367384299995</v>
      </c>
      <c r="L397">
        <f t="shared" si="150"/>
        <v>22608353.2214</v>
      </c>
      <c r="M397">
        <f t="shared" si="151"/>
        <v>-1270759296.4196</v>
      </c>
      <c r="N397">
        <f t="shared" si="152"/>
        <v>-2203452627.5363998</v>
      </c>
      <c r="O397">
        <f t="shared" si="153"/>
        <v>-2507484158.4015999</v>
      </c>
      <c r="P397">
        <f t="shared" si="154"/>
        <v>-2749724464.7355995</v>
      </c>
      <c r="Q397">
        <f t="shared" si="155"/>
        <v>-3215399595.0497994</v>
      </c>
      <c r="S397">
        <f t="shared" si="156"/>
        <v>27421022.471500002</v>
      </c>
      <c r="T397">
        <f t="shared" si="157"/>
        <v>-3230737974.1581001</v>
      </c>
      <c r="U397">
        <f t="shared" si="158"/>
        <v>-2769203977.8498001</v>
      </c>
      <c r="V397">
        <f t="shared" si="159"/>
        <v>-3179131700.8305998</v>
      </c>
      <c r="W397">
        <f t="shared" si="160"/>
        <v>-4094698387.7041001</v>
      </c>
      <c r="X397">
        <f t="shared" si="161"/>
        <v>-4561380820.8845987</v>
      </c>
      <c r="Z397">
        <f t="shared" si="162"/>
        <v>32233691.7216</v>
      </c>
      <c r="AA397">
        <f t="shared" si="163"/>
        <v>-1935691486.4066</v>
      </c>
      <c r="AB397">
        <f t="shared" si="164"/>
        <v>-3334955328.1632004</v>
      </c>
      <c r="AC397">
        <f t="shared" si="165"/>
        <v>-4388097277.2027998</v>
      </c>
      <c r="AD397">
        <f t="shared" si="166"/>
        <v>-5439672310.6725998</v>
      </c>
      <c r="AE397">
        <f t="shared" si="167"/>
        <v>-5907362046.7193995</v>
      </c>
    </row>
    <row r="398" spans="1:31" x14ac:dyDescent="0.25">
      <c r="A398">
        <v>37.458902260000002</v>
      </c>
      <c r="B398">
        <v>118.3894598</v>
      </c>
      <c r="C398">
        <v>65.630661009999997</v>
      </c>
      <c r="D398">
        <v>3.79358912</v>
      </c>
      <c r="E398" t="b">
        <f t="shared" si="144"/>
        <v>0</v>
      </c>
      <c r="F398">
        <f t="shared" si="145"/>
        <v>-324.35971592999999</v>
      </c>
      <c r="G398">
        <f t="shared" si="146"/>
        <v>-652.51302097999996</v>
      </c>
      <c r="H398">
        <f t="shared" si="147"/>
        <v>-980.66632602999994</v>
      </c>
      <c r="I398">
        <f t="shared" si="148"/>
        <v>-1308.8196310799999</v>
      </c>
      <c r="J398">
        <f t="shared" si="149"/>
        <v>-1636.9729361299999</v>
      </c>
      <c r="L398">
        <f t="shared" si="150"/>
        <v>7663050.0224000001</v>
      </c>
      <c r="M398">
        <f t="shared" si="151"/>
        <v>-557898711.39960003</v>
      </c>
      <c r="N398">
        <f t="shared" si="152"/>
        <v>-965719271.05040002</v>
      </c>
      <c r="O398">
        <f t="shared" si="153"/>
        <v>-1098346285.1536</v>
      </c>
      <c r="P398">
        <f t="shared" si="154"/>
        <v>-1204114060.5935998</v>
      </c>
      <c r="Q398">
        <f t="shared" si="155"/>
        <v>-1407796725.0717998</v>
      </c>
      <c r="S398">
        <f t="shared" si="156"/>
        <v>9294293.3440000005</v>
      </c>
      <c r="T398">
        <f t="shared" si="157"/>
        <v>-1415953255.5265999</v>
      </c>
      <c r="U398">
        <f t="shared" si="158"/>
        <v>-1213674219.0228</v>
      </c>
      <c r="V398">
        <f t="shared" si="159"/>
        <v>-1392546182.9626</v>
      </c>
      <c r="W398">
        <f t="shared" si="160"/>
        <v>-1793082894.5796001</v>
      </c>
      <c r="X398">
        <f t="shared" si="161"/>
        <v>-1997106982.0785997</v>
      </c>
      <c r="Z398">
        <f t="shared" si="162"/>
        <v>10925536.6656</v>
      </c>
      <c r="AA398">
        <f t="shared" si="163"/>
        <v>-849822455.73660004</v>
      </c>
      <c r="AB398">
        <f t="shared" si="164"/>
        <v>-1461629166.9952002</v>
      </c>
      <c r="AC398">
        <f t="shared" si="165"/>
        <v>-1922105999.0188</v>
      </c>
      <c r="AD398">
        <f t="shared" si="166"/>
        <v>-2382051728.5655999</v>
      </c>
      <c r="AE398">
        <f t="shared" si="167"/>
        <v>-2586417239.0854001</v>
      </c>
    </row>
    <row r="399" spans="1:31" x14ac:dyDescent="0.25">
      <c r="A399">
        <v>37.477601559999997</v>
      </c>
      <c r="B399">
        <v>77.295424130000001</v>
      </c>
      <c r="C399">
        <v>0</v>
      </c>
      <c r="D399">
        <v>1.9848309799999999</v>
      </c>
      <c r="E399" t="b">
        <f t="shared" si="144"/>
        <v>1</v>
      </c>
      <c r="F399">
        <f t="shared" si="145"/>
        <v>1.9848309799999999</v>
      </c>
      <c r="G399">
        <f t="shared" si="146"/>
        <v>1.9848309799999999</v>
      </c>
      <c r="H399">
        <f t="shared" si="147"/>
        <v>1.9848309799999999</v>
      </c>
      <c r="I399">
        <f t="shared" si="148"/>
        <v>1.9848309799999999</v>
      </c>
      <c r="J399">
        <f t="shared" si="149"/>
        <v>1.9848309799999999</v>
      </c>
      <c r="L399">
        <f t="shared" si="150"/>
        <v>0</v>
      </c>
      <c r="M399">
        <f t="shared" si="151"/>
        <v>0</v>
      </c>
      <c r="N399">
        <f t="shared" si="152"/>
        <v>0</v>
      </c>
      <c r="O399">
        <f t="shared" si="153"/>
        <v>0</v>
      </c>
      <c r="P399">
        <f t="shared" si="154"/>
        <v>0</v>
      </c>
      <c r="Q399">
        <f t="shared" si="155"/>
        <v>0</v>
      </c>
      <c r="S399">
        <f t="shared" si="156"/>
        <v>0</v>
      </c>
      <c r="T399">
        <f t="shared" si="157"/>
        <v>0</v>
      </c>
      <c r="U399">
        <f t="shared" si="158"/>
        <v>0</v>
      </c>
      <c r="V399">
        <f t="shared" si="159"/>
        <v>0</v>
      </c>
      <c r="W399">
        <f t="shared" si="160"/>
        <v>0</v>
      </c>
      <c r="X399">
        <f t="shared" si="161"/>
        <v>0</v>
      </c>
      <c r="Z399">
        <f t="shared" si="162"/>
        <v>0</v>
      </c>
      <c r="AA399">
        <f t="shared" si="163"/>
        <v>0</v>
      </c>
      <c r="AB399">
        <f t="shared" si="164"/>
        <v>0</v>
      </c>
      <c r="AC399">
        <f t="shared" si="165"/>
        <v>0</v>
      </c>
      <c r="AD399">
        <f t="shared" si="166"/>
        <v>0</v>
      </c>
      <c r="AE399">
        <f t="shared" si="167"/>
        <v>0</v>
      </c>
    </row>
    <row r="400" spans="1:31" x14ac:dyDescent="0.25">
      <c r="A400">
        <v>37.481217700000002</v>
      </c>
      <c r="B400">
        <v>107.70827389999999</v>
      </c>
      <c r="C400">
        <v>1.38540113</v>
      </c>
      <c r="D400">
        <v>3.0344989299999998</v>
      </c>
      <c r="E400" t="b">
        <f t="shared" si="144"/>
        <v>1</v>
      </c>
      <c r="F400">
        <f t="shared" si="145"/>
        <v>-3.8925067200000001</v>
      </c>
      <c r="G400">
        <f t="shared" si="146"/>
        <v>-10.81951237</v>
      </c>
      <c r="H400">
        <f t="shared" si="147"/>
        <v>-17.746518020000003</v>
      </c>
      <c r="I400">
        <f t="shared" si="148"/>
        <v>-24.673523670000002</v>
      </c>
      <c r="J400">
        <f t="shared" si="149"/>
        <v>-31.60052932</v>
      </c>
      <c r="L400">
        <f t="shared" si="150"/>
        <v>2798510.2825999996</v>
      </c>
      <c r="M400">
        <f t="shared" si="151"/>
        <v>-6695111.5584000014</v>
      </c>
      <c r="N400">
        <f t="shared" si="152"/>
        <v>-16012878.307599999</v>
      </c>
      <c r="O400">
        <f t="shared" si="153"/>
        <v>-19876100.182400007</v>
      </c>
      <c r="P400">
        <f t="shared" si="154"/>
        <v>-22699641.7764</v>
      </c>
      <c r="Q400">
        <f t="shared" si="155"/>
        <v>-27176455.2152</v>
      </c>
      <c r="S400">
        <f t="shared" si="156"/>
        <v>3394232.7684999998</v>
      </c>
      <c r="T400">
        <f t="shared" si="157"/>
        <v>-23478341.842899997</v>
      </c>
      <c r="U400">
        <f t="shared" si="158"/>
        <v>-20124293.008199997</v>
      </c>
      <c r="V400">
        <f t="shared" si="159"/>
        <v>-25200055.588400003</v>
      </c>
      <c r="W400">
        <f t="shared" si="160"/>
        <v>-33802727.427900001</v>
      </c>
      <c r="X400">
        <f t="shared" si="161"/>
        <v>-38552645.770400003</v>
      </c>
      <c r="Z400">
        <f t="shared" si="162"/>
        <v>3989955.2543999995</v>
      </c>
      <c r="AA400">
        <f t="shared" si="163"/>
        <v>-10198367.606400002</v>
      </c>
      <c r="AB400">
        <f t="shared" si="164"/>
        <v>-24235707.708799999</v>
      </c>
      <c r="AC400">
        <f t="shared" si="165"/>
        <v>-34783175.319200009</v>
      </c>
      <c r="AD400">
        <f t="shared" si="166"/>
        <v>-44905813.079400003</v>
      </c>
      <c r="AE400">
        <f t="shared" si="167"/>
        <v>-49928836.325600006</v>
      </c>
    </row>
    <row r="401" spans="1:31" x14ac:dyDescent="0.25">
      <c r="A401">
        <v>37.482098710000002</v>
      </c>
      <c r="B401">
        <v>118.1610445</v>
      </c>
      <c r="C401">
        <v>65.630661009999997</v>
      </c>
      <c r="D401">
        <v>6.6123471299999999</v>
      </c>
      <c r="E401" t="b">
        <f>D401&gt;C401</f>
        <v>0</v>
      </c>
      <c r="F401">
        <f t="shared" si="145"/>
        <v>-321.54095791999998</v>
      </c>
      <c r="G401">
        <f t="shared" si="146"/>
        <v>-649.69426296999995</v>
      </c>
      <c r="H401">
        <f t="shared" si="147"/>
        <v>-977.84756801999993</v>
      </c>
      <c r="I401">
        <f t="shared" si="148"/>
        <v>-1306.0008730699999</v>
      </c>
      <c r="J401">
        <f t="shared" si="149"/>
        <v>-1634.1541781199999</v>
      </c>
      <c r="L401">
        <f t="shared" si="150"/>
        <v>13356941.2026</v>
      </c>
      <c r="M401">
        <f t="shared" si="151"/>
        <v>-553050447.62240005</v>
      </c>
      <c r="N401">
        <f t="shared" si="152"/>
        <v>-961547509.19559991</v>
      </c>
      <c r="O401">
        <f t="shared" si="153"/>
        <v>-1095189276.1824</v>
      </c>
      <c r="P401">
        <f t="shared" si="154"/>
        <v>-1201520803.2243998</v>
      </c>
      <c r="Q401">
        <f t="shared" si="155"/>
        <v>-1405372593.1831999</v>
      </c>
      <c r="S401">
        <f t="shared" si="156"/>
        <v>16200250.468500001</v>
      </c>
      <c r="T401">
        <f t="shared" si="157"/>
        <v>-1409836550.6448998</v>
      </c>
      <c r="U401">
        <f t="shared" si="158"/>
        <v>-1208431329.1241999</v>
      </c>
      <c r="V401">
        <f t="shared" si="159"/>
        <v>-1388543546.5883999</v>
      </c>
      <c r="W401">
        <f t="shared" si="160"/>
        <v>-1789221196.1059</v>
      </c>
      <c r="X401">
        <f t="shared" si="161"/>
        <v>-1993668097.3063998</v>
      </c>
      <c r="Z401">
        <f t="shared" si="162"/>
        <v>19043559.7344</v>
      </c>
      <c r="AA401">
        <f t="shared" si="163"/>
        <v>-842437309.75039995</v>
      </c>
      <c r="AB401">
        <f t="shared" si="164"/>
        <v>-1455315149.0527999</v>
      </c>
      <c r="AC401">
        <f t="shared" si="165"/>
        <v>-1916581233.3192</v>
      </c>
      <c r="AD401">
        <f t="shared" si="166"/>
        <v>-2376921588.9874001</v>
      </c>
      <c r="AE401">
        <f t="shared" si="167"/>
        <v>-2581963601.4295998</v>
      </c>
    </row>
    <row r="402" spans="1:31" x14ac:dyDescent="0.25">
      <c r="A402">
        <v>37.484922619999999</v>
      </c>
      <c r="B402">
        <v>107.42043719999999</v>
      </c>
      <c r="C402">
        <v>1.38540113</v>
      </c>
      <c r="D402">
        <v>9.0967999999999993E-2</v>
      </c>
      <c r="E402" t="b">
        <f t="shared" si="144"/>
        <v>0</v>
      </c>
      <c r="F402">
        <f t="shared" si="145"/>
        <v>-6.8360376499999997</v>
      </c>
      <c r="G402">
        <f t="shared" si="146"/>
        <v>-13.7630433</v>
      </c>
      <c r="H402">
        <f t="shared" si="147"/>
        <v>-20.690048950000001</v>
      </c>
      <c r="I402">
        <f t="shared" si="148"/>
        <v>-27.617054599999999</v>
      </c>
      <c r="J402">
        <f t="shared" si="149"/>
        <v>-34.544060250000001</v>
      </c>
      <c r="L402">
        <f t="shared" si="150"/>
        <v>183755.36000000002</v>
      </c>
      <c r="M402">
        <f t="shared" si="151"/>
        <v>-11757984.757999999</v>
      </c>
      <c r="N402">
        <f t="shared" si="152"/>
        <v>-20369304.083999999</v>
      </c>
      <c r="O402">
        <f t="shared" si="153"/>
        <v>-23172854.824000005</v>
      </c>
      <c r="P402">
        <f t="shared" si="154"/>
        <v>-25407690.231999997</v>
      </c>
      <c r="Q402">
        <f t="shared" si="155"/>
        <v>-29707891.815000001</v>
      </c>
      <c r="S402">
        <f t="shared" si="156"/>
        <v>222871.6</v>
      </c>
      <c r="T402">
        <f t="shared" si="157"/>
        <v>-29865803.960999995</v>
      </c>
      <c r="U402">
        <f t="shared" si="158"/>
        <v>-25599260.537999995</v>
      </c>
      <c r="V402">
        <f t="shared" si="159"/>
        <v>-29379869.509000003</v>
      </c>
      <c r="W402">
        <f t="shared" si="160"/>
        <v>-37835364.802000001</v>
      </c>
      <c r="X402">
        <f t="shared" si="161"/>
        <v>-42143753.505000003</v>
      </c>
      <c r="Z402">
        <f t="shared" si="162"/>
        <v>261987.84</v>
      </c>
      <c r="AA402">
        <f t="shared" si="163"/>
        <v>-17910418.642999999</v>
      </c>
      <c r="AB402">
        <f t="shared" si="164"/>
        <v>-30829216.991999999</v>
      </c>
      <c r="AC402">
        <f t="shared" si="165"/>
        <v>-40552495.942000002</v>
      </c>
      <c r="AD402">
        <f t="shared" si="166"/>
        <v>-50263039.372000001</v>
      </c>
      <c r="AE402">
        <f t="shared" si="167"/>
        <v>-54579615.195</v>
      </c>
    </row>
    <row r="403" spans="1:31" x14ac:dyDescent="0.25">
      <c r="A403">
        <v>37.486719520000001</v>
      </c>
      <c r="B403">
        <v>118.5681261</v>
      </c>
      <c r="C403">
        <v>40.0941124</v>
      </c>
      <c r="D403">
        <v>39.29350281</v>
      </c>
      <c r="E403" t="b">
        <f t="shared" si="144"/>
        <v>0</v>
      </c>
      <c r="F403">
        <f t="shared" si="145"/>
        <v>-161.17705918999999</v>
      </c>
      <c r="G403">
        <f t="shared" si="146"/>
        <v>-361.64762119</v>
      </c>
      <c r="H403">
        <f t="shared" si="147"/>
        <v>-562.11818319000008</v>
      </c>
      <c r="I403">
        <f t="shared" si="148"/>
        <v>-762.58874519000005</v>
      </c>
      <c r="J403">
        <f t="shared" si="149"/>
        <v>-963.05930719000003</v>
      </c>
      <c r="L403">
        <f t="shared" si="150"/>
        <v>79372875.676200002</v>
      </c>
      <c r="M403">
        <f t="shared" si="151"/>
        <v>-277224541.80680001</v>
      </c>
      <c r="N403">
        <f t="shared" si="152"/>
        <v>-535238479.36119998</v>
      </c>
      <c r="O403">
        <f t="shared" si="153"/>
        <v>-629572365.17280018</v>
      </c>
      <c r="P403">
        <f t="shared" si="154"/>
        <v>-701581645.57480001</v>
      </c>
      <c r="Q403">
        <f t="shared" si="155"/>
        <v>-828231004.18340003</v>
      </c>
      <c r="S403">
        <f t="shared" si="156"/>
        <v>96269081.884500012</v>
      </c>
      <c r="T403">
        <f t="shared" si="157"/>
        <v>-784775337.98229992</v>
      </c>
      <c r="U403">
        <f t="shared" si="158"/>
        <v>-672664575.41339993</v>
      </c>
      <c r="V403">
        <f t="shared" si="159"/>
        <v>-798207820.12980008</v>
      </c>
      <c r="W403">
        <f t="shared" si="160"/>
        <v>-1044746580.9103001</v>
      </c>
      <c r="X403">
        <f t="shared" si="161"/>
        <v>-1174932354.7718</v>
      </c>
      <c r="Z403">
        <f t="shared" si="162"/>
        <v>113165288.09280001</v>
      </c>
      <c r="AA403">
        <f t="shared" si="163"/>
        <v>-422283895.07780004</v>
      </c>
      <c r="AB403">
        <f t="shared" si="164"/>
        <v>-810090671.46560001</v>
      </c>
      <c r="AC403">
        <f t="shared" si="165"/>
        <v>-1101751639.0524001</v>
      </c>
      <c r="AD403">
        <f t="shared" si="166"/>
        <v>-1387911516.2458003</v>
      </c>
      <c r="AE403">
        <f t="shared" si="167"/>
        <v>-1521633705.3602002</v>
      </c>
    </row>
    <row r="404" spans="1:31" x14ac:dyDescent="0.25">
      <c r="A404">
        <v>37.504454729999999</v>
      </c>
      <c r="B404">
        <v>119.2683157</v>
      </c>
      <c r="C404">
        <v>15.0779438</v>
      </c>
      <c r="D404">
        <v>1.74586105</v>
      </c>
      <c r="E404" t="b">
        <f t="shared" si="144"/>
        <v>0</v>
      </c>
      <c r="F404">
        <f t="shared" si="145"/>
        <v>-73.643857949999997</v>
      </c>
      <c r="G404">
        <f t="shared" si="146"/>
        <v>-149.03357695</v>
      </c>
      <c r="H404">
        <f t="shared" si="147"/>
        <v>-224.42329594999998</v>
      </c>
      <c r="I404">
        <f t="shared" si="148"/>
        <v>-299.81301495000002</v>
      </c>
      <c r="J404">
        <f t="shared" si="149"/>
        <v>-375.20273395000004</v>
      </c>
      <c r="L404">
        <f t="shared" si="150"/>
        <v>3526639.321</v>
      </c>
      <c r="M404">
        <f t="shared" si="151"/>
        <v>-126667435.67400002</v>
      </c>
      <c r="N404">
        <f t="shared" si="152"/>
        <v>-220569693.88599998</v>
      </c>
      <c r="O404">
        <f t="shared" si="153"/>
        <v>-251354091.46400002</v>
      </c>
      <c r="P404">
        <f t="shared" si="154"/>
        <v>-275827973.75400001</v>
      </c>
      <c r="Q404">
        <f t="shared" si="155"/>
        <v>-322674351.19700003</v>
      </c>
      <c r="S404">
        <f t="shared" si="156"/>
        <v>4277359.5725000007</v>
      </c>
      <c r="T404">
        <f t="shared" si="157"/>
        <v>-323402861.98149997</v>
      </c>
      <c r="U404">
        <f t="shared" si="158"/>
        <v>-277202453.12699997</v>
      </c>
      <c r="V404">
        <f t="shared" si="159"/>
        <v>-318681080.24899995</v>
      </c>
      <c r="W404">
        <f t="shared" si="160"/>
        <v>-410743830.48150009</v>
      </c>
      <c r="X404">
        <f t="shared" si="161"/>
        <v>-457747335.41900003</v>
      </c>
      <c r="Z404">
        <f t="shared" si="162"/>
        <v>5028079.824</v>
      </c>
      <c r="AA404">
        <f t="shared" si="163"/>
        <v>-192946907.82900003</v>
      </c>
      <c r="AB404">
        <f t="shared" si="164"/>
        <v>-333835212.36800003</v>
      </c>
      <c r="AC404">
        <f t="shared" si="165"/>
        <v>-439869660.06199998</v>
      </c>
      <c r="AD404">
        <f t="shared" si="166"/>
        <v>-545659687.20900011</v>
      </c>
      <c r="AE404">
        <f t="shared" si="167"/>
        <v>-592820319.64100015</v>
      </c>
    </row>
    <row r="405" spans="1:31" x14ac:dyDescent="0.25">
      <c r="A405">
        <v>37.508239619999998</v>
      </c>
      <c r="B405">
        <v>118.8040163</v>
      </c>
      <c r="C405">
        <v>40.0941124</v>
      </c>
      <c r="D405">
        <v>5.8404440900000001</v>
      </c>
      <c r="E405" t="b">
        <f t="shared" si="144"/>
        <v>0</v>
      </c>
      <c r="F405">
        <f t="shared" si="145"/>
        <v>-194.63011791</v>
      </c>
      <c r="G405">
        <f t="shared" si="146"/>
        <v>-395.10067991</v>
      </c>
      <c r="H405">
        <f t="shared" si="147"/>
        <v>-595.57124191000003</v>
      </c>
      <c r="I405">
        <f t="shared" si="148"/>
        <v>-796.04180391</v>
      </c>
      <c r="J405">
        <f t="shared" si="149"/>
        <v>-996.51236590999997</v>
      </c>
      <c r="L405">
        <f t="shared" si="150"/>
        <v>11797697.061799999</v>
      </c>
      <c r="M405">
        <f t="shared" si="151"/>
        <v>-334763802.80520004</v>
      </c>
      <c r="N405">
        <f t="shared" si="152"/>
        <v>-584749006.26680005</v>
      </c>
      <c r="O405">
        <f t="shared" si="153"/>
        <v>-667039790.93920004</v>
      </c>
      <c r="P405">
        <f t="shared" si="154"/>
        <v>-732358459.59719992</v>
      </c>
      <c r="Q405">
        <f t="shared" si="155"/>
        <v>-857000634.6825999</v>
      </c>
      <c r="S405">
        <f t="shared" si="156"/>
        <v>14309088.020500001</v>
      </c>
      <c r="T405">
        <f t="shared" si="157"/>
        <v>-857368475.40470004</v>
      </c>
      <c r="U405">
        <f t="shared" si="158"/>
        <v>-734887264.63259995</v>
      </c>
      <c r="V405">
        <f t="shared" si="159"/>
        <v>-845711163.51219988</v>
      </c>
      <c r="W405">
        <f t="shared" si="160"/>
        <v>-1090577271.3566999</v>
      </c>
      <c r="X405">
        <f t="shared" si="161"/>
        <v>-1215745086.4101999</v>
      </c>
      <c r="Z405">
        <f t="shared" si="162"/>
        <v>16820478.979199998</v>
      </c>
      <c r="AA405">
        <f t="shared" si="163"/>
        <v>-509930908.9242</v>
      </c>
      <c r="AB405">
        <f t="shared" si="164"/>
        <v>-885025522.99840009</v>
      </c>
      <c r="AC405">
        <f t="shared" si="165"/>
        <v>-1167319634.1436</v>
      </c>
      <c r="AD405">
        <f t="shared" si="166"/>
        <v>-1448796083.1162</v>
      </c>
      <c r="AE405">
        <f t="shared" si="167"/>
        <v>-1574489538.1378</v>
      </c>
    </row>
    <row r="406" spans="1:31" x14ac:dyDescent="0.25">
      <c r="A406">
        <v>37.51427357</v>
      </c>
      <c r="B406">
        <v>118.7469207</v>
      </c>
      <c r="C406">
        <v>40.0941124</v>
      </c>
      <c r="D406">
        <v>23.542100909999998</v>
      </c>
      <c r="E406" t="b">
        <f t="shared" si="144"/>
        <v>0</v>
      </c>
      <c r="F406">
        <f t="shared" si="145"/>
        <v>-176.92846109000001</v>
      </c>
      <c r="G406">
        <f t="shared" si="146"/>
        <v>-377.39902309000001</v>
      </c>
      <c r="H406">
        <f t="shared" si="147"/>
        <v>-577.86958508999999</v>
      </c>
      <c r="I406">
        <f t="shared" si="148"/>
        <v>-778.34014708999996</v>
      </c>
      <c r="J406">
        <f t="shared" si="149"/>
        <v>-978.81070908999993</v>
      </c>
      <c r="L406">
        <f t="shared" si="150"/>
        <v>47555043.838200003</v>
      </c>
      <c r="M406">
        <f t="shared" si="151"/>
        <v>-304316953.07480001</v>
      </c>
      <c r="N406">
        <f t="shared" si="152"/>
        <v>-558550554.17320001</v>
      </c>
      <c r="O406">
        <f t="shared" si="153"/>
        <v>-647213935.30080009</v>
      </c>
      <c r="P406">
        <f t="shared" si="154"/>
        <v>-716072935.32279992</v>
      </c>
      <c r="Q406">
        <f t="shared" si="155"/>
        <v>-841777209.81739986</v>
      </c>
      <c r="S406">
        <f t="shared" si="156"/>
        <v>57678147.229500003</v>
      </c>
      <c r="T406">
        <f t="shared" si="157"/>
        <v>-818955880.10530007</v>
      </c>
      <c r="U406">
        <f t="shared" si="158"/>
        <v>-701962182.94739997</v>
      </c>
      <c r="V406">
        <f t="shared" si="159"/>
        <v>-820574810.82780004</v>
      </c>
      <c r="W406">
        <f t="shared" si="160"/>
        <v>-1066326001.5132999</v>
      </c>
      <c r="X406">
        <f t="shared" si="161"/>
        <v>-1194149065.0897999</v>
      </c>
      <c r="Z406">
        <f t="shared" si="162"/>
        <v>67801250.620800003</v>
      </c>
      <c r="AA406">
        <f t="shared" si="163"/>
        <v>-463552568.05580002</v>
      </c>
      <c r="AB406">
        <f t="shared" si="164"/>
        <v>-845373811.72160017</v>
      </c>
      <c r="AC406">
        <f t="shared" si="165"/>
        <v>-1132624386.7764001</v>
      </c>
      <c r="AD406">
        <f t="shared" si="166"/>
        <v>-1416579067.7038</v>
      </c>
      <c r="AE406">
        <f t="shared" si="167"/>
        <v>-1546520920.3622</v>
      </c>
    </row>
    <row r="407" spans="1:31" x14ac:dyDescent="0.25">
      <c r="A407">
        <v>37.516067190000001</v>
      </c>
      <c r="B407">
        <v>118.28254939999999</v>
      </c>
      <c r="C407">
        <v>65.630661009999997</v>
      </c>
      <c r="D407">
        <v>8.6780061699999997</v>
      </c>
      <c r="E407" t="b">
        <f t="shared" si="144"/>
        <v>0</v>
      </c>
      <c r="F407">
        <f t="shared" si="145"/>
        <v>-319.47529887999997</v>
      </c>
      <c r="G407">
        <f t="shared" si="146"/>
        <v>-647.62860392999994</v>
      </c>
      <c r="H407">
        <f t="shared" si="147"/>
        <v>-975.78190897999991</v>
      </c>
      <c r="I407">
        <f t="shared" si="148"/>
        <v>-1303.93521403</v>
      </c>
      <c r="J407">
        <f t="shared" si="149"/>
        <v>-1632.08851908</v>
      </c>
      <c r="L407">
        <f t="shared" si="150"/>
        <v>17529572.463399999</v>
      </c>
      <c r="M407">
        <f t="shared" si="151"/>
        <v>-549497514.07360005</v>
      </c>
      <c r="N407">
        <f t="shared" si="152"/>
        <v>-958490333.81639993</v>
      </c>
      <c r="O407">
        <f t="shared" si="153"/>
        <v>-1092875738.0576</v>
      </c>
      <c r="P407">
        <f t="shared" si="154"/>
        <v>-1199620396.9075999</v>
      </c>
      <c r="Q407">
        <f t="shared" si="155"/>
        <v>-1403596126.4087999</v>
      </c>
      <c r="S407">
        <f t="shared" si="156"/>
        <v>21261115.116500001</v>
      </c>
      <c r="T407">
        <f t="shared" si="157"/>
        <v>-1405354070.5280998</v>
      </c>
      <c r="U407">
        <f t="shared" si="158"/>
        <v>-1204589203.3097999</v>
      </c>
      <c r="V407">
        <f t="shared" si="159"/>
        <v>-1385610310.7515998</v>
      </c>
      <c r="W407">
        <f t="shared" si="160"/>
        <v>-1786391243.2211001</v>
      </c>
      <c r="X407">
        <f t="shared" si="161"/>
        <v>-1991147993.2775998</v>
      </c>
      <c r="Z407">
        <f t="shared" si="162"/>
        <v>24992657.7696</v>
      </c>
      <c r="AA407">
        <f t="shared" si="163"/>
        <v>-837025283.06560004</v>
      </c>
      <c r="AB407">
        <f t="shared" si="164"/>
        <v>-1450688072.8032</v>
      </c>
      <c r="AC407">
        <f t="shared" si="165"/>
        <v>-1912532541.6007998</v>
      </c>
      <c r="AD407">
        <f t="shared" si="166"/>
        <v>-2373162089.5346003</v>
      </c>
      <c r="AE407">
        <f t="shared" si="167"/>
        <v>-2578699860.1464</v>
      </c>
    </row>
    <row r="408" spans="1:31" x14ac:dyDescent="0.25">
      <c r="A408">
        <v>37.529397529999997</v>
      </c>
      <c r="B408">
        <v>107.5364884</v>
      </c>
      <c r="C408">
        <v>2.6882860700000002</v>
      </c>
      <c r="D408">
        <v>7.5719881100000004</v>
      </c>
      <c r="E408" t="b">
        <f t="shared" si="144"/>
        <v>1</v>
      </c>
      <c r="F408">
        <f t="shared" si="145"/>
        <v>-5.8694422400000006</v>
      </c>
      <c r="G408">
        <f t="shared" si="146"/>
        <v>-19.310872590000002</v>
      </c>
      <c r="H408">
        <f t="shared" si="147"/>
        <v>-32.75230294</v>
      </c>
      <c r="I408">
        <f t="shared" si="148"/>
        <v>-46.193733290000004</v>
      </c>
      <c r="J408">
        <f t="shared" si="149"/>
        <v>-59.635163640000009</v>
      </c>
      <c r="L408">
        <f t="shared" si="150"/>
        <v>5430337.8614000008</v>
      </c>
      <c r="M408">
        <f t="shared" si="151"/>
        <v>-10095440.652800001</v>
      </c>
      <c r="N408">
        <f t="shared" si="152"/>
        <v>-28580091.433200005</v>
      </c>
      <c r="O408">
        <f t="shared" si="153"/>
        <v>-36682579.292800002</v>
      </c>
      <c r="P408">
        <f t="shared" si="154"/>
        <v>-42498234.626800001</v>
      </c>
      <c r="Q408">
        <f t="shared" si="155"/>
        <v>-51286240.730400003</v>
      </c>
      <c r="S408">
        <f t="shared" si="156"/>
        <v>6586300.8715000013</v>
      </c>
      <c r="T408">
        <f t="shared" si="157"/>
        <v>-41904593.520300008</v>
      </c>
      <c r="U408">
        <f t="shared" si="158"/>
        <v>-35918223.017400004</v>
      </c>
      <c r="V408">
        <f t="shared" si="159"/>
        <v>-46508270.174800001</v>
      </c>
      <c r="W408">
        <f t="shared" si="160"/>
        <v>-63285414.607300013</v>
      </c>
      <c r="X408">
        <f t="shared" si="161"/>
        <v>-72754899.640800014</v>
      </c>
      <c r="Z408">
        <f t="shared" si="162"/>
        <v>7742263.8816000009</v>
      </c>
      <c r="AA408">
        <f t="shared" si="163"/>
        <v>-15377938.668800002</v>
      </c>
      <c r="AB408">
        <f t="shared" si="164"/>
        <v>-43256354.601600014</v>
      </c>
      <c r="AC408">
        <f t="shared" si="165"/>
        <v>-64194513.762400001</v>
      </c>
      <c r="AD408">
        <f t="shared" si="166"/>
        <v>-84072594.587800011</v>
      </c>
      <c r="AE408">
        <f t="shared" si="167"/>
        <v>-94223558.551200017</v>
      </c>
    </row>
    <row r="409" spans="1:31" x14ac:dyDescent="0.25">
      <c r="A409">
        <v>37.533823439999999</v>
      </c>
      <c r="B409">
        <v>107.1332489</v>
      </c>
      <c r="C409">
        <v>2.6882860700000002</v>
      </c>
      <c r="D409">
        <v>2.2268109300000001</v>
      </c>
      <c r="E409" t="b">
        <f t="shared" si="144"/>
        <v>0</v>
      </c>
      <c r="F409">
        <f t="shared" si="145"/>
        <v>-11.214619420000002</v>
      </c>
      <c r="G409">
        <f t="shared" si="146"/>
        <v>-24.656049770000003</v>
      </c>
      <c r="H409">
        <f t="shared" si="147"/>
        <v>-38.09748012</v>
      </c>
      <c r="I409">
        <f t="shared" si="148"/>
        <v>-51.538910470000005</v>
      </c>
      <c r="J409">
        <f t="shared" si="149"/>
        <v>-64.980340820000009</v>
      </c>
      <c r="L409">
        <f t="shared" si="150"/>
        <v>4498158.0786000006</v>
      </c>
      <c r="M409">
        <f t="shared" si="151"/>
        <v>-19289145.402400006</v>
      </c>
      <c r="N409">
        <f t="shared" si="152"/>
        <v>-36490953.659600005</v>
      </c>
      <c r="O409">
        <f t="shared" si="153"/>
        <v>-42669177.734400004</v>
      </c>
      <c r="P409">
        <f t="shared" si="154"/>
        <v>-47415797.632399999</v>
      </c>
      <c r="Q409">
        <f t="shared" si="155"/>
        <v>-55883093.105200008</v>
      </c>
      <c r="S409">
        <f t="shared" si="156"/>
        <v>5455686.7785000009</v>
      </c>
      <c r="T409">
        <f t="shared" si="157"/>
        <v>-53503628.000900008</v>
      </c>
      <c r="U409">
        <f t="shared" si="158"/>
        <v>-45860252.5722</v>
      </c>
      <c r="V409">
        <f t="shared" si="159"/>
        <v>-54098421.770399995</v>
      </c>
      <c r="W409">
        <f t="shared" si="160"/>
        <v>-70608307.34390001</v>
      </c>
      <c r="X409">
        <f t="shared" si="161"/>
        <v>-79276015.800400004</v>
      </c>
      <c r="Z409">
        <f t="shared" si="162"/>
        <v>6413215.4784000004</v>
      </c>
      <c r="AA409">
        <f t="shared" si="163"/>
        <v>-29382302.880400006</v>
      </c>
      <c r="AB409">
        <f t="shared" si="164"/>
        <v>-55229551.484800011</v>
      </c>
      <c r="AC409">
        <f t="shared" si="165"/>
        <v>-74671061.0352</v>
      </c>
      <c r="AD409">
        <f t="shared" si="166"/>
        <v>-93800817.055400014</v>
      </c>
      <c r="AE409">
        <f t="shared" si="167"/>
        <v>-102668938.49560001</v>
      </c>
    </row>
    <row r="410" spans="1:31" x14ac:dyDescent="0.25">
      <c r="A410">
        <v>37.537998850000001</v>
      </c>
      <c r="B410">
        <v>109.3809888</v>
      </c>
      <c r="C410">
        <v>3.4743599999999999E-2</v>
      </c>
      <c r="D410">
        <v>0.51882397999999996</v>
      </c>
      <c r="E410" t="b">
        <f t="shared" si="144"/>
        <v>1</v>
      </c>
      <c r="F410">
        <f t="shared" si="145"/>
        <v>0.34510597999999998</v>
      </c>
      <c r="G410">
        <f t="shared" si="146"/>
        <v>0.17138798</v>
      </c>
      <c r="H410">
        <f t="shared" si="147"/>
        <v>-2.3300200000000437E-3</v>
      </c>
      <c r="I410">
        <f t="shared" si="148"/>
        <v>-0.17604801999999997</v>
      </c>
      <c r="J410">
        <f t="shared" si="149"/>
        <v>-0.34976602000000001</v>
      </c>
      <c r="L410">
        <f t="shared" si="150"/>
        <v>70182.072</v>
      </c>
      <c r="M410">
        <f t="shared" si="151"/>
        <v>59758.992000000006</v>
      </c>
      <c r="N410">
        <f t="shared" si="152"/>
        <v>51420.527999999998</v>
      </c>
      <c r="O410">
        <f t="shared" si="153"/>
        <v>-2609.6224000000493</v>
      </c>
      <c r="P410">
        <f t="shared" si="154"/>
        <v>-161964.17839999995</v>
      </c>
      <c r="Q410">
        <f t="shared" si="155"/>
        <v>-300798.77720000001</v>
      </c>
      <c r="S410">
        <f t="shared" si="156"/>
        <v>85121.82</v>
      </c>
      <c r="T410">
        <f t="shared" si="157"/>
        <v>75393.611999999994</v>
      </c>
      <c r="U410">
        <f t="shared" si="158"/>
        <v>64623.09599999999</v>
      </c>
      <c r="V410">
        <f t="shared" si="159"/>
        <v>-3308.6284000000619</v>
      </c>
      <c r="W410">
        <f t="shared" si="160"/>
        <v>-241185.78739999997</v>
      </c>
      <c r="X410">
        <f t="shared" si="161"/>
        <v>-426714.54440000001</v>
      </c>
      <c r="Z410">
        <f t="shared" si="162"/>
        <v>100061.568</v>
      </c>
      <c r="AA410">
        <f t="shared" si="163"/>
        <v>91028.232000000004</v>
      </c>
      <c r="AB410">
        <f t="shared" si="164"/>
        <v>77825.664000000004</v>
      </c>
      <c r="AC410">
        <f t="shared" si="165"/>
        <v>-4566.8392000000858</v>
      </c>
      <c r="AD410">
        <f t="shared" si="166"/>
        <v>-320407.39639999991</v>
      </c>
      <c r="AE410">
        <f t="shared" si="167"/>
        <v>-552630.31160000002</v>
      </c>
    </row>
    <row r="411" spans="1:31" x14ac:dyDescent="0.25">
      <c r="A411">
        <v>37.538140949999999</v>
      </c>
      <c r="B411">
        <v>118.5184495</v>
      </c>
      <c r="C411">
        <v>40.0941124</v>
      </c>
      <c r="D411">
        <v>61.105094909999998</v>
      </c>
      <c r="E411" t="b">
        <f t="shared" si="144"/>
        <v>1</v>
      </c>
      <c r="F411">
        <f t="shared" si="145"/>
        <v>-139.36546709000001</v>
      </c>
      <c r="G411">
        <f t="shared" si="146"/>
        <v>-339.83602909000001</v>
      </c>
      <c r="H411">
        <f t="shared" si="147"/>
        <v>-540.30659108999998</v>
      </c>
      <c r="I411">
        <f t="shared" si="148"/>
        <v>-740.77715308999996</v>
      </c>
      <c r="J411">
        <f t="shared" si="149"/>
        <v>-941.24771508999993</v>
      </c>
      <c r="L411">
        <f t="shared" si="150"/>
        <v>80990107.047999993</v>
      </c>
      <c r="M411">
        <f t="shared" si="151"/>
        <v>-239708603.39480004</v>
      </c>
      <c r="N411">
        <f t="shared" si="152"/>
        <v>-502957323.05320007</v>
      </c>
      <c r="O411">
        <f t="shared" si="153"/>
        <v>-605143382.02080011</v>
      </c>
      <c r="P411">
        <f t="shared" si="154"/>
        <v>-681514980.8427999</v>
      </c>
      <c r="Q411">
        <f t="shared" si="155"/>
        <v>-809473034.97739995</v>
      </c>
      <c r="S411">
        <f t="shared" si="156"/>
        <v>98230575.38000001</v>
      </c>
      <c r="T411">
        <f t="shared" si="157"/>
        <v>-737444183.12530005</v>
      </c>
      <c r="U411">
        <f t="shared" si="158"/>
        <v>-632095014.10740006</v>
      </c>
      <c r="V411">
        <f t="shared" si="159"/>
        <v>-767235359.34780002</v>
      </c>
      <c r="W411">
        <f t="shared" si="160"/>
        <v>-1014864699.7333</v>
      </c>
      <c r="X411">
        <f t="shared" si="161"/>
        <v>-1148322212.4097998</v>
      </c>
      <c r="Z411">
        <f t="shared" si="162"/>
        <v>115471043.712</v>
      </c>
      <c r="AA411">
        <f t="shared" si="163"/>
        <v>-365137523.77580005</v>
      </c>
      <c r="AB411">
        <f t="shared" si="164"/>
        <v>-761232705.16160011</v>
      </c>
      <c r="AC411">
        <f t="shared" si="165"/>
        <v>-1059000918.5364001</v>
      </c>
      <c r="AD411">
        <f t="shared" si="166"/>
        <v>-1348214418.6237998</v>
      </c>
      <c r="AE411">
        <f t="shared" si="167"/>
        <v>-1487171389.8422</v>
      </c>
    </row>
    <row r="412" spans="1:31" x14ac:dyDescent="0.25">
      <c r="A412">
        <v>37.555759510000001</v>
      </c>
      <c r="B412">
        <v>118.347004</v>
      </c>
      <c r="C412">
        <v>65.630661009999997</v>
      </c>
      <c r="D412">
        <v>2.6242559000000001</v>
      </c>
      <c r="E412" t="b">
        <f t="shared" si="144"/>
        <v>0</v>
      </c>
      <c r="F412">
        <f t="shared" si="145"/>
        <v>-325.52904914999999</v>
      </c>
      <c r="G412">
        <f t="shared" si="146"/>
        <v>-653.68235419999996</v>
      </c>
      <c r="H412">
        <f t="shared" si="147"/>
        <v>-981.83565924999994</v>
      </c>
      <c r="I412">
        <f t="shared" si="148"/>
        <v>-1309.9889642999999</v>
      </c>
      <c r="J412">
        <f t="shared" si="149"/>
        <v>-1638.1422693499999</v>
      </c>
      <c r="L412">
        <f t="shared" si="150"/>
        <v>5300996.9179999996</v>
      </c>
      <c r="M412">
        <f t="shared" si="151"/>
        <v>-559909964.53799999</v>
      </c>
      <c r="N412">
        <f t="shared" si="152"/>
        <v>-967449884.21599984</v>
      </c>
      <c r="O412">
        <f t="shared" si="153"/>
        <v>-1099655938.3599999</v>
      </c>
      <c r="P412">
        <f t="shared" si="154"/>
        <v>-1205189847.1559999</v>
      </c>
      <c r="Q412">
        <f t="shared" si="155"/>
        <v>-1408802351.6409998</v>
      </c>
      <c r="S412">
        <f t="shared" si="156"/>
        <v>6429426.9550000001</v>
      </c>
      <c r="T412">
        <f t="shared" si="157"/>
        <v>-1418490708.6139998</v>
      </c>
      <c r="U412">
        <f t="shared" si="158"/>
        <v>-1215849178.8119998</v>
      </c>
      <c r="V412">
        <f t="shared" si="159"/>
        <v>-1394206636.1349998</v>
      </c>
      <c r="W412">
        <f t="shared" si="160"/>
        <v>-1794684881.0910001</v>
      </c>
      <c r="X412">
        <f t="shared" si="161"/>
        <v>-1998533568.6069999</v>
      </c>
      <c r="Z412">
        <f t="shared" si="162"/>
        <v>7557856.9919999996</v>
      </c>
      <c r="AA412">
        <f t="shared" si="163"/>
        <v>-852886108.773</v>
      </c>
      <c r="AB412">
        <f t="shared" si="164"/>
        <v>-1464248473.408</v>
      </c>
      <c r="AC412">
        <f t="shared" si="165"/>
        <v>-1924397892.1299996</v>
      </c>
      <c r="AD412">
        <f t="shared" si="166"/>
        <v>-2384179915.026</v>
      </c>
      <c r="AE412">
        <f t="shared" si="167"/>
        <v>-2588264785.573</v>
      </c>
    </row>
    <row r="413" spans="1:31" x14ac:dyDescent="0.25">
      <c r="A413">
        <v>37.57313619</v>
      </c>
      <c r="B413">
        <v>118.17548069999999</v>
      </c>
      <c r="C413">
        <v>65.630661009999997</v>
      </c>
      <c r="D413">
        <v>0.24909800000000001</v>
      </c>
      <c r="E413" t="b">
        <f t="shared" si="144"/>
        <v>0</v>
      </c>
      <c r="F413">
        <f t="shared" si="145"/>
        <v>-327.90420704999997</v>
      </c>
      <c r="G413">
        <f t="shared" si="146"/>
        <v>-656.05751209999994</v>
      </c>
      <c r="H413">
        <f t="shared" si="147"/>
        <v>-984.21081714999991</v>
      </c>
      <c r="I413">
        <f t="shared" si="148"/>
        <v>-1312.3641221999999</v>
      </c>
      <c r="J413">
        <f t="shared" si="149"/>
        <v>-1640.5174272499999</v>
      </c>
      <c r="L413">
        <f t="shared" si="150"/>
        <v>503177.96</v>
      </c>
      <c r="M413">
        <f t="shared" si="151"/>
        <v>-563995236.12599993</v>
      </c>
      <c r="N413">
        <f t="shared" si="152"/>
        <v>-970965117.90799987</v>
      </c>
      <c r="O413">
        <f t="shared" si="153"/>
        <v>-1102316115.2079999</v>
      </c>
      <c r="P413">
        <f t="shared" si="154"/>
        <v>-1207374992.4239998</v>
      </c>
      <c r="Q413">
        <f t="shared" si="155"/>
        <v>-1410844987.4349997</v>
      </c>
      <c r="S413">
        <f t="shared" si="156"/>
        <v>610290.10000000009</v>
      </c>
      <c r="T413">
        <f t="shared" si="157"/>
        <v>-1423644801.2569997</v>
      </c>
      <c r="U413">
        <f t="shared" si="158"/>
        <v>-1220266972.5059998</v>
      </c>
      <c r="V413">
        <f t="shared" si="159"/>
        <v>-1397579360.3529997</v>
      </c>
      <c r="W413">
        <f t="shared" si="160"/>
        <v>-1797938847.4139998</v>
      </c>
      <c r="X413">
        <f t="shared" si="161"/>
        <v>-2001431261.2449996</v>
      </c>
      <c r="Z413">
        <f t="shared" si="162"/>
        <v>717402.24</v>
      </c>
      <c r="AA413">
        <f t="shared" si="163"/>
        <v>-859109022.47099996</v>
      </c>
      <c r="AB413">
        <f t="shared" si="164"/>
        <v>-1469568827.1039999</v>
      </c>
      <c r="AC413">
        <f t="shared" si="165"/>
        <v>-1929053201.6139996</v>
      </c>
      <c r="AD413">
        <f t="shared" si="166"/>
        <v>-2388502702.4039998</v>
      </c>
      <c r="AE413">
        <f t="shared" si="167"/>
        <v>-2592017535.0549998</v>
      </c>
    </row>
    <row r="414" spans="1:31" x14ac:dyDescent="0.25">
      <c r="A414">
        <v>37.583637539999998</v>
      </c>
      <c r="B414">
        <v>118.5258796</v>
      </c>
      <c r="C414">
        <v>40.0941124</v>
      </c>
      <c r="D414">
        <v>0.10477599999999999</v>
      </c>
      <c r="E414" t="b">
        <f t="shared" si="144"/>
        <v>0</v>
      </c>
      <c r="F414">
        <f t="shared" si="145"/>
        <v>-200.36578600000001</v>
      </c>
      <c r="G414">
        <f t="shared" si="146"/>
        <v>-400.83634799999999</v>
      </c>
      <c r="H414">
        <f t="shared" si="147"/>
        <v>-601.30691000000002</v>
      </c>
      <c r="I414">
        <f t="shared" si="148"/>
        <v>-801.77747199999999</v>
      </c>
      <c r="J414">
        <f t="shared" si="149"/>
        <v>-1002.248034</v>
      </c>
      <c r="L414">
        <f t="shared" si="150"/>
        <v>211647.52</v>
      </c>
      <c r="M414">
        <f t="shared" si="151"/>
        <v>-344629151.92000002</v>
      </c>
      <c r="N414">
        <f t="shared" si="152"/>
        <v>-593237795.03999996</v>
      </c>
      <c r="O414">
        <f t="shared" si="153"/>
        <v>-673463739.20000005</v>
      </c>
      <c r="P414">
        <f t="shared" si="154"/>
        <v>-737635274.23999989</v>
      </c>
      <c r="Q414">
        <f t="shared" si="155"/>
        <v>-861933309.24000001</v>
      </c>
      <c r="S414">
        <f t="shared" si="156"/>
        <v>256701.2</v>
      </c>
      <c r="T414">
        <f t="shared" si="157"/>
        <v>-869814875.15999997</v>
      </c>
      <c r="U414">
        <f t="shared" si="158"/>
        <v>-745555607.27999997</v>
      </c>
      <c r="V414">
        <f t="shared" si="159"/>
        <v>-853855812.19999993</v>
      </c>
      <c r="W414">
        <f t="shared" si="160"/>
        <v>-1098435136.6400001</v>
      </c>
      <c r="X414">
        <f t="shared" si="161"/>
        <v>-1222742601.48</v>
      </c>
      <c r="Z414">
        <f t="shared" si="162"/>
        <v>301754.88</v>
      </c>
      <c r="AA414">
        <f t="shared" si="163"/>
        <v>-524958359.31999999</v>
      </c>
      <c r="AB414">
        <f t="shared" si="164"/>
        <v>-897873419.5200001</v>
      </c>
      <c r="AC414">
        <f t="shared" si="165"/>
        <v>-1178561543.5999999</v>
      </c>
      <c r="AD414">
        <f t="shared" si="166"/>
        <v>-1459234999.04</v>
      </c>
      <c r="AE414">
        <f t="shared" si="167"/>
        <v>-1583551893.72</v>
      </c>
    </row>
    <row r="415" spans="1:31" x14ac:dyDescent="0.25">
      <c r="A415">
        <v>37.589540589999999</v>
      </c>
      <c r="B415">
        <v>118.4687067</v>
      </c>
      <c r="C415">
        <v>40.0941124</v>
      </c>
      <c r="D415">
        <v>0.21717800000000001</v>
      </c>
      <c r="E415" t="b">
        <f t="shared" si="144"/>
        <v>0</v>
      </c>
      <c r="F415">
        <f t="shared" si="145"/>
        <v>-200.25338400000001</v>
      </c>
      <c r="G415">
        <f t="shared" si="146"/>
        <v>-400.72394600000001</v>
      </c>
      <c r="H415">
        <f t="shared" si="147"/>
        <v>-601.19450800000004</v>
      </c>
      <c r="I415">
        <f t="shared" si="148"/>
        <v>-801.66507000000001</v>
      </c>
      <c r="J415">
        <f t="shared" si="149"/>
        <v>-1002.135632</v>
      </c>
      <c r="L415">
        <f t="shared" si="150"/>
        <v>438699.56</v>
      </c>
      <c r="M415">
        <f t="shared" si="151"/>
        <v>-344435820.48000002</v>
      </c>
      <c r="N415">
        <f t="shared" si="152"/>
        <v>-593071440.08000004</v>
      </c>
      <c r="O415">
        <f t="shared" si="153"/>
        <v>-673337848.96000004</v>
      </c>
      <c r="P415">
        <f t="shared" si="154"/>
        <v>-737531864.39999998</v>
      </c>
      <c r="Q415">
        <f t="shared" si="155"/>
        <v>-861836643.51999998</v>
      </c>
      <c r="S415">
        <f t="shared" si="156"/>
        <v>532086.10000000009</v>
      </c>
      <c r="T415">
        <f t="shared" si="157"/>
        <v>-869570962.81999993</v>
      </c>
      <c r="U415">
        <f t="shared" si="158"/>
        <v>-745346539.55999994</v>
      </c>
      <c r="V415">
        <f t="shared" si="159"/>
        <v>-853696201.36000001</v>
      </c>
      <c r="W415">
        <f t="shared" si="160"/>
        <v>-1098281145.9000001</v>
      </c>
      <c r="X415">
        <f t="shared" si="161"/>
        <v>-1222605471.04</v>
      </c>
      <c r="Z415">
        <f t="shared" si="162"/>
        <v>625472.64</v>
      </c>
      <c r="AA415">
        <f t="shared" si="163"/>
        <v>-524663866.08000004</v>
      </c>
      <c r="AB415">
        <f t="shared" si="164"/>
        <v>-897621639.04000008</v>
      </c>
      <c r="AC415">
        <f t="shared" si="165"/>
        <v>-1178341235.6800001</v>
      </c>
      <c r="AD415">
        <f t="shared" si="166"/>
        <v>-1459030427.4000001</v>
      </c>
      <c r="AE415">
        <f t="shared" si="167"/>
        <v>-1583374298.5600002</v>
      </c>
    </row>
    <row r="416" spans="1:31" x14ac:dyDescent="0.25">
      <c r="A416">
        <v>37.594665220000003</v>
      </c>
      <c r="B416">
        <v>117.4818068</v>
      </c>
      <c r="C416">
        <v>0</v>
      </c>
      <c r="D416">
        <v>0.45891800999999999</v>
      </c>
      <c r="E416" t="b">
        <f t="shared" si="144"/>
        <v>1</v>
      </c>
      <c r="F416">
        <f t="shared" si="145"/>
        <v>0.45891800999999999</v>
      </c>
      <c r="G416">
        <f t="shared" si="146"/>
        <v>0.45891800999999999</v>
      </c>
      <c r="H416">
        <f t="shared" si="147"/>
        <v>0.45891800999999999</v>
      </c>
      <c r="I416">
        <f t="shared" si="148"/>
        <v>0.45891800999999999</v>
      </c>
      <c r="J416">
        <f t="shared" si="149"/>
        <v>0.45891800999999999</v>
      </c>
      <c r="L416">
        <f t="shared" si="150"/>
        <v>0</v>
      </c>
      <c r="M416">
        <f t="shared" si="151"/>
        <v>0</v>
      </c>
      <c r="N416">
        <f t="shared" si="152"/>
        <v>0</v>
      </c>
      <c r="O416">
        <f t="shared" si="153"/>
        <v>0</v>
      </c>
      <c r="P416">
        <f t="shared" si="154"/>
        <v>0</v>
      </c>
      <c r="Q416">
        <f t="shared" si="155"/>
        <v>0</v>
      </c>
      <c r="S416">
        <f t="shared" si="156"/>
        <v>0</v>
      </c>
      <c r="T416">
        <f t="shared" si="157"/>
        <v>0</v>
      </c>
      <c r="U416">
        <f t="shared" si="158"/>
        <v>0</v>
      </c>
      <c r="V416">
        <f t="shared" si="159"/>
        <v>0</v>
      </c>
      <c r="W416">
        <f t="shared" si="160"/>
        <v>0</v>
      </c>
      <c r="X416">
        <f t="shared" si="161"/>
        <v>0</v>
      </c>
      <c r="Z416">
        <f t="shared" si="162"/>
        <v>0</v>
      </c>
      <c r="AA416">
        <f t="shared" si="163"/>
        <v>0</v>
      </c>
      <c r="AB416">
        <f t="shared" si="164"/>
        <v>0</v>
      </c>
      <c r="AC416">
        <f t="shared" si="165"/>
        <v>0</v>
      </c>
      <c r="AD416">
        <f t="shared" si="166"/>
        <v>0</v>
      </c>
      <c r="AE416">
        <f t="shared" si="167"/>
        <v>0</v>
      </c>
    </row>
    <row r="417" spans="1:31" x14ac:dyDescent="0.25">
      <c r="A417">
        <v>37.595513529999998</v>
      </c>
      <c r="B417">
        <v>114.6991276</v>
      </c>
      <c r="C417">
        <v>5.4292302100000001</v>
      </c>
      <c r="D417">
        <v>0.74794799000000001</v>
      </c>
      <c r="E417" t="b">
        <f t="shared" si="144"/>
        <v>0</v>
      </c>
      <c r="F417">
        <f t="shared" si="145"/>
        <v>-26.39820306</v>
      </c>
      <c r="G417">
        <f t="shared" si="146"/>
        <v>-53.54435411</v>
      </c>
      <c r="H417">
        <f t="shared" si="147"/>
        <v>-80.690505160000001</v>
      </c>
      <c r="I417">
        <f t="shared" si="148"/>
        <v>-107.83665621</v>
      </c>
      <c r="J417">
        <f t="shared" si="149"/>
        <v>-134.98280726000002</v>
      </c>
      <c r="L417">
        <f t="shared" si="150"/>
        <v>1510854.9398000001</v>
      </c>
      <c r="M417">
        <f t="shared" si="151"/>
        <v>-45404909.2632</v>
      </c>
      <c r="N417">
        <f t="shared" si="152"/>
        <v>-79245644.082800001</v>
      </c>
      <c r="O417">
        <f t="shared" si="153"/>
        <v>-90373365.779200003</v>
      </c>
      <c r="P417">
        <f t="shared" si="154"/>
        <v>-99209723.713200003</v>
      </c>
      <c r="Q417">
        <f t="shared" si="155"/>
        <v>-116085214.24360001</v>
      </c>
      <c r="S417">
        <f t="shared" si="156"/>
        <v>1832472.5755</v>
      </c>
      <c r="T417">
        <f t="shared" si="157"/>
        <v>-116191248.41869999</v>
      </c>
      <c r="U417">
        <f t="shared" si="158"/>
        <v>-99592498.644599989</v>
      </c>
      <c r="V417">
        <f t="shared" si="159"/>
        <v>-114580517.3272</v>
      </c>
      <c r="W417">
        <f t="shared" si="160"/>
        <v>-147736219.00770003</v>
      </c>
      <c r="X417">
        <f t="shared" si="161"/>
        <v>-164679024.85720003</v>
      </c>
      <c r="Z417">
        <f t="shared" si="162"/>
        <v>2154090.2111999998</v>
      </c>
      <c r="AA417">
        <f t="shared" si="163"/>
        <v>-69163292.017199993</v>
      </c>
      <c r="AB417">
        <f t="shared" si="164"/>
        <v>-119939353.20640001</v>
      </c>
      <c r="AC417">
        <f t="shared" si="165"/>
        <v>-158153390.11359999</v>
      </c>
      <c r="AD417">
        <f t="shared" si="166"/>
        <v>-196262714.30220002</v>
      </c>
      <c r="AE417">
        <f t="shared" si="167"/>
        <v>-213272835.47080004</v>
      </c>
    </row>
    <row r="418" spans="1:31" x14ac:dyDescent="0.25">
      <c r="A418">
        <v>37.625024029999999</v>
      </c>
      <c r="B418">
        <v>107.1922756</v>
      </c>
      <c r="C418">
        <v>2.6882860700000002</v>
      </c>
      <c r="D418">
        <v>1.63150799</v>
      </c>
      <c r="E418" t="b">
        <f t="shared" si="144"/>
        <v>0</v>
      </c>
      <c r="F418">
        <f t="shared" si="145"/>
        <v>-11.809922360000002</v>
      </c>
      <c r="G418">
        <f t="shared" si="146"/>
        <v>-25.251352710000003</v>
      </c>
      <c r="H418">
        <f t="shared" si="147"/>
        <v>-38.692783059999996</v>
      </c>
      <c r="I418">
        <f t="shared" si="148"/>
        <v>-52.134213410000001</v>
      </c>
      <c r="J418">
        <f t="shared" si="149"/>
        <v>-65.575643760000005</v>
      </c>
      <c r="L418">
        <f t="shared" si="150"/>
        <v>3295646.1398</v>
      </c>
      <c r="M418">
        <f t="shared" si="151"/>
        <v>-20313066.459200006</v>
      </c>
      <c r="N418">
        <f t="shared" si="152"/>
        <v>-37372002.010800004</v>
      </c>
      <c r="O418">
        <f t="shared" si="153"/>
        <v>-43335917.027199998</v>
      </c>
      <c r="P418">
        <f t="shared" si="154"/>
        <v>-47963476.337200001</v>
      </c>
      <c r="Q418">
        <f t="shared" si="155"/>
        <v>-56395053.633600004</v>
      </c>
      <c r="S418">
        <f t="shared" si="156"/>
        <v>3997194.5755000003</v>
      </c>
      <c r="T418">
        <f t="shared" si="157"/>
        <v>-54795435.3807</v>
      </c>
      <c r="U418">
        <f t="shared" si="158"/>
        <v>-46967516.040600002</v>
      </c>
      <c r="V418">
        <f t="shared" si="159"/>
        <v>-54943751.945199989</v>
      </c>
      <c r="W418">
        <f t="shared" si="160"/>
        <v>-71423872.371700004</v>
      </c>
      <c r="X418">
        <f t="shared" si="161"/>
        <v>-80002285.387199998</v>
      </c>
      <c r="Z418">
        <f t="shared" si="162"/>
        <v>4698743.0111999996</v>
      </c>
      <c r="AA418">
        <f t="shared" si="163"/>
        <v>-30941996.583200004</v>
      </c>
      <c r="AB418">
        <f t="shared" si="164"/>
        <v>-56563030.070400007</v>
      </c>
      <c r="AC418">
        <f t="shared" si="165"/>
        <v>-75837854.797599986</v>
      </c>
      <c r="AD418">
        <f t="shared" si="166"/>
        <v>-94884268.406200007</v>
      </c>
      <c r="AE418">
        <f t="shared" si="167"/>
        <v>-103609517.14080001</v>
      </c>
    </row>
    <row r="419" spans="1:31" x14ac:dyDescent="0.25">
      <c r="A419">
        <v>37.626595219999999</v>
      </c>
      <c r="B419">
        <v>107.0192423</v>
      </c>
      <c r="C419">
        <v>2.6882860700000002</v>
      </c>
      <c r="D419">
        <v>0.14516699</v>
      </c>
      <c r="E419" t="b">
        <f t="shared" si="144"/>
        <v>0</v>
      </c>
      <c r="F419">
        <f t="shared" si="145"/>
        <v>-13.296263360000001</v>
      </c>
      <c r="G419">
        <f t="shared" si="146"/>
        <v>-26.737693710000002</v>
      </c>
      <c r="H419">
        <f t="shared" si="147"/>
        <v>-40.179124059999999</v>
      </c>
      <c r="I419">
        <f t="shared" si="148"/>
        <v>-53.620554410000004</v>
      </c>
      <c r="J419">
        <f t="shared" si="149"/>
        <v>-67.061984760000001</v>
      </c>
      <c r="L419">
        <f t="shared" si="150"/>
        <v>293237.3198</v>
      </c>
      <c r="M419">
        <f t="shared" si="151"/>
        <v>-22869572.979200006</v>
      </c>
      <c r="N419">
        <f t="shared" si="152"/>
        <v>-39571786.690800004</v>
      </c>
      <c r="O419">
        <f t="shared" si="153"/>
        <v>-45000618.947200008</v>
      </c>
      <c r="P419">
        <f t="shared" si="154"/>
        <v>-49330910.0572</v>
      </c>
      <c r="Q419">
        <f t="shared" si="155"/>
        <v>-57673306.893599994</v>
      </c>
      <c r="S419">
        <f t="shared" si="156"/>
        <v>355659.12550000002</v>
      </c>
      <c r="T419">
        <f t="shared" si="157"/>
        <v>-58020795.350699998</v>
      </c>
      <c r="U419">
        <f t="shared" si="158"/>
        <v>-49732110.3006</v>
      </c>
      <c r="V419">
        <f t="shared" si="159"/>
        <v>-57054356.165200002</v>
      </c>
      <c r="W419">
        <f t="shared" si="160"/>
        <v>-73460159.541700006</v>
      </c>
      <c r="X419">
        <f t="shared" si="161"/>
        <v>-81815621.407199994</v>
      </c>
      <c r="Z419">
        <f t="shared" si="162"/>
        <v>418080.93119999993</v>
      </c>
      <c r="AA419">
        <f t="shared" si="163"/>
        <v>-34836210.003200002</v>
      </c>
      <c r="AB419">
        <f t="shared" si="164"/>
        <v>-59892433.910400011</v>
      </c>
      <c r="AC419">
        <f t="shared" si="165"/>
        <v>-78751083.157600001</v>
      </c>
      <c r="AD419">
        <f t="shared" si="166"/>
        <v>-97589409.026200011</v>
      </c>
      <c r="AE419">
        <f t="shared" si="167"/>
        <v>-105957935.9208</v>
      </c>
    </row>
    <row r="420" spans="1:31" x14ac:dyDescent="0.25">
      <c r="A420">
        <v>37.64436559</v>
      </c>
      <c r="B420">
        <v>108.80840980000001</v>
      </c>
      <c r="C420">
        <v>2.8402893499999999</v>
      </c>
      <c r="D420">
        <v>0.21495900000000001</v>
      </c>
      <c r="E420" t="b">
        <f t="shared" si="144"/>
        <v>0</v>
      </c>
      <c r="F420">
        <f t="shared" si="145"/>
        <v>-13.986487749999998</v>
      </c>
      <c r="G420">
        <f t="shared" si="146"/>
        <v>-28.187934499999997</v>
      </c>
      <c r="H420">
        <f t="shared" si="147"/>
        <v>-42.38938125</v>
      </c>
      <c r="I420">
        <f t="shared" si="148"/>
        <v>-56.590827999999995</v>
      </c>
      <c r="J420">
        <f t="shared" si="149"/>
        <v>-70.792274750000004</v>
      </c>
      <c r="L420">
        <f t="shared" si="150"/>
        <v>434217.18</v>
      </c>
      <c r="M420">
        <f t="shared" si="151"/>
        <v>-24056758.93</v>
      </c>
      <c r="N420">
        <f t="shared" si="152"/>
        <v>-41718143.059999995</v>
      </c>
      <c r="O420">
        <f t="shared" si="153"/>
        <v>-47476107.000000007</v>
      </c>
      <c r="P420">
        <f t="shared" si="154"/>
        <v>-52063561.75999999</v>
      </c>
      <c r="Q420">
        <f t="shared" si="155"/>
        <v>-60881356.284999996</v>
      </c>
      <c r="S420">
        <f t="shared" si="156"/>
        <v>526649.55000000005</v>
      </c>
      <c r="T420">
        <f t="shared" si="157"/>
        <v>-61167817.864999987</v>
      </c>
      <c r="U420">
        <f t="shared" si="158"/>
        <v>-52429558.169999987</v>
      </c>
      <c r="V420">
        <f t="shared" si="159"/>
        <v>-60192921.375</v>
      </c>
      <c r="W420">
        <f t="shared" si="160"/>
        <v>-77529434.359999999</v>
      </c>
      <c r="X420">
        <f t="shared" si="161"/>
        <v>-86366575.194999993</v>
      </c>
      <c r="Z420">
        <f t="shared" si="162"/>
        <v>619081.91999999993</v>
      </c>
      <c r="AA420">
        <f t="shared" si="163"/>
        <v>-36644597.904999994</v>
      </c>
      <c r="AB420">
        <f t="shared" si="164"/>
        <v>-63140973.280000001</v>
      </c>
      <c r="AC420">
        <f t="shared" si="165"/>
        <v>-83083187.25</v>
      </c>
      <c r="AD420">
        <f t="shared" si="166"/>
        <v>-102995306.95999999</v>
      </c>
      <c r="AE420">
        <f t="shared" si="167"/>
        <v>-111851794.105</v>
      </c>
    </row>
    <row r="421" spans="1:31" x14ac:dyDescent="0.25">
      <c r="A421">
        <v>37.660913139999998</v>
      </c>
      <c r="B421">
        <v>119.5285063</v>
      </c>
      <c r="C421">
        <v>7.2894048700000003</v>
      </c>
      <c r="D421">
        <v>11.71413898</v>
      </c>
      <c r="E421" t="b">
        <f t="shared" si="144"/>
        <v>1</v>
      </c>
      <c r="F421">
        <f t="shared" si="145"/>
        <v>-24.732885369999998</v>
      </c>
      <c r="G421">
        <f t="shared" si="146"/>
        <v>-61.179909719999998</v>
      </c>
      <c r="H421">
        <f t="shared" si="147"/>
        <v>-97.626934070000004</v>
      </c>
      <c r="I421">
        <f t="shared" si="148"/>
        <v>-134.07395842</v>
      </c>
      <c r="J421">
        <f t="shared" si="149"/>
        <v>-170.52098277000002</v>
      </c>
      <c r="L421">
        <f t="shared" si="150"/>
        <v>14724597.837400001</v>
      </c>
      <c r="M421">
        <f t="shared" si="151"/>
        <v>-42540562.836400002</v>
      </c>
      <c r="N421">
        <f t="shared" si="152"/>
        <v>-90546266.385600001</v>
      </c>
      <c r="O421">
        <f t="shared" si="153"/>
        <v>-109342166.15840001</v>
      </c>
      <c r="P421">
        <f t="shared" si="154"/>
        <v>-123348041.7464</v>
      </c>
      <c r="Q421">
        <f t="shared" si="155"/>
        <v>-146648045.18220001</v>
      </c>
      <c r="S421">
        <f t="shared" si="156"/>
        <v>17859041.931500003</v>
      </c>
      <c r="T421">
        <f t="shared" si="157"/>
        <v>-132760404.0924</v>
      </c>
      <c r="U421">
        <f t="shared" si="158"/>
        <v>-113794632.07919998</v>
      </c>
      <c r="V421">
        <f t="shared" si="159"/>
        <v>-138630246.37940001</v>
      </c>
      <c r="W421">
        <f t="shared" si="160"/>
        <v>-183681323.0354</v>
      </c>
      <c r="X421">
        <f t="shared" si="161"/>
        <v>-208035598.97940001</v>
      </c>
      <c r="Z421">
        <f t="shared" si="162"/>
        <v>20993486.025600001</v>
      </c>
      <c r="AA421">
        <f t="shared" si="163"/>
        <v>-64800159.669399999</v>
      </c>
      <c r="AB421">
        <f t="shared" si="164"/>
        <v>-137042997.7728</v>
      </c>
      <c r="AC421">
        <f t="shared" si="165"/>
        <v>-191348790.77720001</v>
      </c>
      <c r="AD421">
        <f t="shared" si="166"/>
        <v>-244014604.32440001</v>
      </c>
      <c r="AE421">
        <f t="shared" si="167"/>
        <v>-269423152.7766</v>
      </c>
    </row>
    <row r="422" spans="1:31" x14ac:dyDescent="0.25">
      <c r="A422">
        <v>37.673633100000004</v>
      </c>
      <c r="B422">
        <v>119.41419569999999</v>
      </c>
      <c r="C422">
        <v>15.833525659999999</v>
      </c>
      <c r="D422">
        <v>9.3414583199999992</v>
      </c>
      <c r="E422" t="b">
        <f t="shared" si="144"/>
        <v>0</v>
      </c>
      <c r="F422">
        <f t="shared" si="145"/>
        <v>-69.826169979999989</v>
      </c>
      <c r="G422">
        <f t="shared" si="146"/>
        <v>-148.99379827999999</v>
      </c>
      <c r="H422">
        <f t="shared" si="147"/>
        <v>-228.16142658000001</v>
      </c>
      <c r="I422">
        <f t="shared" si="148"/>
        <v>-307.32905487999994</v>
      </c>
      <c r="J422">
        <f t="shared" si="149"/>
        <v>-386.49668317999999</v>
      </c>
      <c r="L422">
        <f t="shared" si="150"/>
        <v>18869745.806399997</v>
      </c>
      <c r="M422">
        <f t="shared" si="151"/>
        <v>-120101012.36559999</v>
      </c>
      <c r="N422">
        <f t="shared" si="152"/>
        <v>-220510821.4544</v>
      </c>
      <c r="O422">
        <f t="shared" si="153"/>
        <v>-255540797.76960003</v>
      </c>
      <c r="P422">
        <f t="shared" si="154"/>
        <v>-282742730.48959994</v>
      </c>
      <c r="Q422">
        <f t="shared" si="155"/>
        <v>-332387147.53479999</v>
      </c>
      <c r="S422">
        <f t="shared" si="156"/>
        <v>22886572.884</v>
      </c>
      <c r="T422">
        <f t="shared" si="157"/>
        <v>-323316542.2676</v>
      </c>
      <c r="U422">
        <f t="shared" si="158"/>
        <v>-277128464.80079997</v>
      </c>
      <c r="V422">
        <f t="shared" si="159"/>
        <v>-323989225.74360001</v>
      </c>
      <c r="W422">
        <f t="shared" si="160"/>
        <v>-421040805.18559992</v>
      </c>
      <c r="X422">
        <f t="shared" si="161"/>
        <v>-471525953.47960001</v>
      </c>
      <c r="Z422">
        <f t="shared" si="162"/>
        <v>26903399.961599994</v>
      </c>
      <c r="AA422">
        <f t="shared" si="163"/>
        <v>-182944565.34759998</v>
      </c>
      <c r="AB422">
        <f t="shared" si="164"/>
        <v>-333746108.14720005</v>
      </c>
      <c r="AC422">
        <f t="shared" si="165"/>
        <v>-447196396.09680003</v>
      </c>
      <c r="AD422">
        <f t="shared" si="166"/>
        <v>-559338879.8815999</v>
      </c>
      <c r="AE422">
        <f t="shared" si="167"/>
        <v>-610664759.42440009</v>
      </c>
    </row>
    <row r="423" spans="1:31" x14ac:dyDescent="0.25">
      <c r="A423">
        <v>37.694392280000002</v>
      </c>
      <c r="B423">
        <v>115.2321666</v>
      </c>
      <c r="C423">
        <v>8.8866233799999996</v>
      </c>
      <c r="D423">
        <v>2.8249459300000002</v>
      </c>
      <c r="E423" t="b">
        <f t="shared" si="144"/>
        <v>0</v>
      </c>
      <c r="F423">
        <f t="shared" si="145"/>
        <v>-41.608170970000003</v>
      </c>
      <c r="G423">
        <f t="shared" si="146"/>
        <v>-86.041287870000005</v>
      </c>
      <c r="H423">
        <f t="shared" si="147"/>
        <v>-130.47440476999998</v>
      </c>
      <c r="I423">
        <f t="shared" si="148"/>
        <v>-174.90752166999999</v>
      </c>
      <c r="J423">
        <f t="shared" si="149"/>
        <v>-219.34063856999998</v>
      </c>
      <c r="L423">
        <f t="shared" si="150"/>
        <v>5706390.7786000008</v>
      </c>
      <c r="M423">
        <f t="shared" si="151"/>
        <v>-71566054.068400025</v>
      </c>
      <c r="N423">
        <f t="shared" si="152"/>
        <v>-127341106.0476</v>
      </c>
      <c r="O423">
        <f t="shared" si="153"/>
        <v>-146131333.34239998</v>
      </c>
      <c r="P423">
        <f t="shared" si="154"/>
        <v>-160914919.93639997</v>
      </c>
      <c r="Q423">
        <f t="shared" si="155"/>
        <v>-188632949.17019999</v>
      </c>
      <c r="S423">
        <f t="shared" si="156"/>
        <v>6921117.5285000009</v>
      </c>
      <c r="T423">
        <f t="shared" si="157"/>
        <v>-186709594.67790002</v>
      </c>
      <c r="U423">
        <f t="shared" si="158"/>
        <v>-160036795.4382</v>
      </c>
      <c r="V423">
        <f t="shared" si="159"/>
        <v>-185273654.77339995</v>
      </c>
      <c r="W423">
        <f t="shared" si="160"/>
        <v>-239623304.68790001</v>
      </c>
      <c r="X423">
        <f t="shared" si="161"/>
        <v>-267595579.05539998</v>
      </c>
      <c r="Z423">
        <f t="shared" si="162"/>
        <v>8135844.2784000002</v>
      </c>
      <c r="AA423">
        <f t="shared" si="163"/>
        <v>-109013407.94140002</v>
      </c>
      <c r="AB423">
        <f t="shared" si="164"/>
        <v>-192732484.82880002</v>
      </c>
      <c r="AC423">
        <f t="shared" si="165"/>
        <v>-255729833.34919995</v>
      </c>
      <c r="AD423">
        <f t="shared" si="166"/>
        <v>-318331689.43939996</v>
      </c>
      <c r="AE423">
        <f t="shared" si="167"/>
        <v>-346558208.94059998</v>
      </c>
    </row>
    <row r="424" spans="1:31" x14ac:dyDescent="0.25">
      <c r="A424">
        <v>37.699938469999999</v>
      </c>
      <c r="B424">
        <v>119.5937191</v>
      </c>
      <c r="C424">
        <v>12.76437569</v>
      </c>
      <c r="D424">
        <v>5.8913621899999997</v>
      </c>
      <c r="E424" t="b">
        <f t="shared" si="144"/>
        <v>0</v>
      </c>
      <c r="F424">
        <f t="shared" si="145"/>
        <v>-57.930516259999997</v>
      </c>
      <c r="G424">
        <f t="shared" si="146"/>
        <v>-121.75239471</v>
      </c>
      <c r="H424">
        <f t="shared" si="147"/>
        <v>-185.57427315999999</v>
      </c>
      <c r="I424">
        <f t="shared" si="148"/>
        <v>-249.39615161</v>
      </c>
      <c r="J424">
        <f t="shared" si="149"/>
        <v>-313.21803005999999</v>
      </c>
      <c r="L424">
        <f t="shared" si="150"/>
        <v>11900551.623799998</v>
      </c>
      <c r="M424">
        <f t="shared" si="151"/>
        <v>-99640487.967200011</v>
      </c>
      <c r="N424">
        <f t="shared" si="152"/>
        <v>-180193544.1708</v>
      </c>
      <c r="O424">
        <f t="shared" si="153"/>
        <v>-207843185.93920001</v>
      </c>
      <c r="P424">
        <f t="shared" si="154"/>
        <v>-229444459.48120001</v>
      </c>
      <c r="Q424">
        <f t="shared" si="155"/>
        <v>-269367505.85159999</v>
      </c>
      <c r="S424">
        <f t="shared" si="156"/>
        <v>14433837.365499999</v>
      </c>
      <c r="T424">
        <f t="shared" si="157"/>
        <v>-264202696.52070001</v>
      </c>
      <c r="U424">
        <f t="shared" si="158"/>
        <v>-226459454.16060001</v>
      </c>
      <c r="V424">
        <f t="shared" si="159"/>
        <v>-263515467.88719997</v>
      </c>
      <c r="W424">
        <f t="shared" si="160"/>
        <v>-341672727.70570004</v>
      </c>
      <c r="X424">
        <f t="shared" si="161"/>
        <v>-382125996.67320001</v>
      </c>
      <c r="Z424">
        <f t="shared" si="162"/>
        <v>16967123.107199997</v>
      </c>
      <c r="AA424">
        <f t="shared" si="163"/>
        <v>-151777952.60120001</v>
      </c>
      <c r="AB424">
        <f t="shared" si="164"/>
        <v>-272725364.15040004</v>
      </c>
      <c r="AC424">
        <f t="shared" si="165"/>
        <v>-363725575.39359999</v>
      </c>
      <c r="AD424">
        <f t="shared" si="166"/>
        <v>-453900995.93020004</v>
      </c>
      <c r="AE424">
        <f t="shared" si="167"/>
        <v>-494884487.49480003</v>
      </c>
    </row>
    <row r="425" spans="1:31" x14ac:dyDescent="0.25">
      <c r="A425">
        <v>37.703905159999998</v>
      </c>
      <c r="B425">
        <v>118.2544819</v>
      </c>
      <c r="C425">
        <v>76.896270749999999</v>
      </c>
      <c r="D425">
        <v>5.7906041100000003</v>
      </c>
      <c r="E425" t="b">
        <f t="shared" si="144"/>
        <v>0</v>
      </c>
      <c r="F425">
        <f t="shared" si="145"/>
        <v>-378.69074963999998</v>
      </c>
      <c r="G425">
        <f t="shared" si="146"/>
        <v>-763.17210338999996</v>
      </c>
      <c r="H425">
        <f t="shared" si="147"/>
        <v>-1147.65345714</v>
      </c>
      <c r="I425">
        <f t="shared" si="148"/>
        <v>-1532.1348108899999</v>
      </c>
      <c r="J425">
        <f t="shared" si="149"/>
        <v>-1916.6161646400001</v>
      </c>
      <c r="L425">
        <f t="shared" si="150"/>
        <v>11697020.302200001</v>
      </c>
      <c r="M425">
        <f t="shared" si="151"/>
        <v>-651348089.38080001</v>
      </c>
      <c r="N425">
        <f t="shared" si="152"/>
        <v>-1129494713.0172</v>
      </c>
      <c r="O425">
        <f t="shared" si="153"/>
        <v>-1285371871.9968002</v>
      </c>
      <c r="P425">
        <f t="shared" si="154"/>
        <v>-1409564026.0187998</v>
      </c>
      <c r="Q425">
        <f t="shared" si="155"/>
        <v>-1648289901.5904</v>
      </c>
      <c r="S425">
        <f t="shared" si="156"/>
        <v>14186980.069500001</v>
      </c>
      <c r="T425">
        <f t="shared" si="157"/>
        <v>-1656083464.3562999</v>
      </c>
      <c r="U425">
        <f t="shared" si="158"/>
        <v>-1419500112.3053999</v>
      </c>
      <c r="V425">
        <f t="shared" si="159"/>
        <v>-1629667909.1388001</v>
      </c>
      <c r="W425">
        <f t="shared" si="160"/>
        <v>-2099024690.9193001</v>
      </c>
      <c r="X425">
        <f t="shared" si="161"/>
        <v>-2338271720.8608003</v>
      </c>
      <c r="Z425">
        <f t="shared" si="162"/>
        <v>16676939.8368</v>
      </c>
      <c r="AA425">
        <f t="shared" si="163"/>
        <v>-992169764.05680001</v>
      </c>
      <c r="AB425">
        <f t="shared" si="164"/>
        <v>-1709505511.5936</v>
      </c>
      <c r="AC425">
        <f t="shared" si="165"/>
        <v>-2249400775.9944</v>
      </c>
      <c r="AD425">
        <f t="shared" si="166"/>
        <v>-2788485355.8197999</v>
      </c>
      <c r="AE425">
        <f t="shared" si="167"/>
        <v>-3028253540.1312003</v>
      </c>
    </row>
    <row r="426" spans="1:31" x14ac:dyDescent="0.25">
      <c r="A426">
        <v>37.715584700000001</v>
      </c>
      <c r="B426">
        <v>107.3091862</v>
      </c>
      <c r="C426">
        <v>2.6882860700000002</v>
      </c>
      <c r="D426">
        <v>1.1967999999999999E-2</v>
      </c>
      <c r="E426" t="b">
        <f t="shared" si="144"/>
        <v>0</v>
      </c>
      <c r="F426">
        <f t="shared" si="145"/>
        <v>-13.429462350000001</v>
      </c>
      <c r="G426">
        <f t="shared" si="146"/>
        <v>-26.870892700000002</v>
      </c>
      <c r="H426">
        <f t="shared" si="147"/>
        <v>-40.312323049999996</v>
      </c>
      <c r="I426">
        <f t="shared" si="148"/>
        <v>-53.753753400000001</v>
      </c>
      <c r="J426">
        <f t="shared" si="149"/>
        <v>-67.195183750000012</v>
      </c>
      <c r="L426">
        <f t="shared" si="150"/>
        <v>24175.360000000001</v>
      </c>
      <c r="M426">
        <f t="shared" si="151"/>
        <v>-23098675.242000006</v>
      </c>
      <c r="N426">
        <f t="shared" si="152"/>
        <v>-39768921.196000002</v>
      </c>
      <c r="O426">
        <f t="shared" si="153"/>
        <v>-45149801.816</v>
      </c>
      <c r="P426">
        <f t="shared" si="154"/>
        <v>-49453453.127999991</v>
      </c>
      <c r="Q426">
        <f t="shared" si="155"/>
        <v>-57787858.025000013</v>
      </c>
      <c r="S426">
        <f t="shared" si="156"/>
        <v>29321.600000000002</v>
      </c>
      <c r="T426">
        <f t="shared" si="157"/>
        <v>-58309837.159000002</v>
      </c>
      <c r="U426">
        <f t="shared" si="158"/>
        <v>-49979860.422000006</v>
      </c>
      <c r="V426">
        <f t="shared" si="159"/>
        <v>-57243498.730999991</v>
      </c>
      <c r="W426">
        <f t="shared" si="160"/>
        <v>-73642642.158000007</v>
      </c>
      <c r="X426">
        <f t="shared" si="161"/>
        <v>-81978124.175000012</v>
      </c>
      <c r="Z426">
        <f t="shared" si="162"/>
        <v>34467.839999999997</v>
      </c>
      <c r="AA426">
        <f t="shared" si="163"/>
        <v>-35185191.357000008</v>
      </c>
      <c r="AB426">
        <f t="shared" si="164"/>
        <v>-60190799.648000009</v>
      </c>
      <c r="AC426">
        <f t="shared" si="165"/>
        <v>-79012153.177999988</v>
      </c>
      <c r="AD426">
        <f t="shared" si="166"/>
        <v>-97831831.187999994</v>
      </c>
      <c r="AE426">
        <f t="shared" si="167"/>
        <v>-106168390.32500003</v>
      </c>
    </row>
    <row r="427" spans="1:31" x14ac:dyDescent="0.25">
      <c r="A427">
        <v>37.726030379999997</v>
      </c>
      <c r="B427">
        <v>118.4909499</v>
      </c>
      <c r="C427">
        <v>65.630661009999997</v>
      </c>
      <c r="D427">
        <v>3.4091000600000001</v>
      </c>
      <c r="E427" t="b">
        <f t="shared" si="144"/>
        <v>0</v>
      </c>
      <c r="F427">
        <f t="shared" si="145"/>
        <v>-324.74420498999996</v>
      </c>
      <c r="G427">
        <f t="shared" si="146"/>
        <v>-652.89751003999993</v>
      </c>
      <c r="H427">
        <f t="shared" si="147"/>
        <v>-981.0508150899999</v>
      </c>
      <c r="I427">
        <f t="shared" si="148"/>
        <v>-1309.20412014</v>
      </c>
      <c r="J427">
        <f t="shared" si="149"/>
        <v>-1637.35742519</v>
      </c>
      <c r="L427">
        <f t="shared" si="150"/>
        <v>6886382.1211999999</v>
      </c>
      <c r="M427">
        <f t="shared" si="151"/>
        <v>-558560032.58280003</v>
      </c>
      <c r="N427">
        <f t="shared" si="152"/>
        <v>-966288314.85919988</v>
      </c>
      <c r="O427">
        <f t="shared" si="153"/>
        <v>-1098776912.9008</v>
      </c>
      <c r="P427">
        <f t="shared" si="154"/>
        <v>-1204467790.5288</v>
      </c>
      <c r="Q427">
        <f t="shared" si="155"/>
        <v>-1408127385.6633999</v>
      </c>
      <c r="S427">
        <f t="shared" si="156"/>
        <v>8352295.1470000008</v>
      </c>
      <c r="T427">
        <f t="shared" si="157"/>
        <v>-1416787596.7867999</v>
      </c>
      <c r="U427">
        <f t="shared" si="158"/>
        <v>-1214389368.6743999</v>
      </c>
      <c r="V427">
        <f t="shared" si="159"/>
        <v>-1393092157.4277997</v>
      </c>
      <c r="W427">
        <f t="shared" si="160"/>
        <v>-1793609644.5918002</v>
      </c>
      <c r="X427">
        <f t="shared" si="161"/>
        <v>-1997576058.7318001</v>
      </c>
      <c r="Z427">
        <f t="shared" si="162"/>
        <v>9818208.1727999989</v>
      </c>
      <c r="AA427">
        <f t="shared" si="163"/>
        <v>-850829817.07379985</v>
      </c>
      <c r="AB427">
        <f t="shared" si="164"/>
        <v>-1462490422.4895999</v>
      </c>
      <c r="AC427">
        <f t="shared" si="165"/>
        <v>-1922859597.5763998</v>
      </c>
      <c r="AD427">
        <f t="shared" si="166"/>
        <v>-2382751498.6548004</v>
      </c>
      <c r="AE427">
        <f t="shared" si="167"/>
        <v>-2587024731.8002</v>
      </c>
    </row>
    <row r="428" spans="1:31" x14ac:dyDescent="0.25">
      <c r="A428">
        <v>37.728452490000002</v>
      </c>
      <c r="B428">
        <v>114.7721944</v>
      </c>
      <c r="C428">
        <v>5.4292302100000001</v>
      </c>
      <c r="D428">
        <v>1.15940702</v>
      </c>
      <c r="E428" t="b">
        <f t="shared" si="144"/>
        <v>0</v>
      </c>
      <c r="F428">
        <f t="shared" si="145"/>
        <v>-25.986744030000001</v>
      </c>
      <c r="G428">
        <f t="shared" si="146"/>
        <v>-53.132895079999997</v>
      </c>
      <c r="H428">
        <f t="shared" si="147"/>
        <v>-80.279046129999998</v>
      </c>
      <c r="I428">
        <f t="shared" si="148"/>
        <v>-107.42519718</v>
      </c>
      <c r="J428">
        <f t="shared" si="149"/>
        <v>-134.57134823000001</v>
      </c>
      <c r="L428">
        <f t="shared" si="150"/>
        <v>2342002.1804</v>
      </c>
      <c r="M428">
        <f t="shared" si="151"/>
        <v>-44697199.731600009</v>
      </c>
      <c r="N428">
        <f t="shared" si="152"/>
        <v>-78636684.718400002</v>
      </c>
      <c r="O428">
        <f t="shared" si="153"/>
        <v>-89912531.665600002</v>
      </c>
      <c r="P428">
        <f t="shared" si="154"/>
        <v>-98831181.405599982</v>
      </c>
      <c r="Q428">
        <f t="shared" si="155"/>
        <v>-115731359.47780001</v>
      </c>
      <c r="S428">
        <f t="shared" si="156"/>
        <v>2840547.199</v>
      </c>
      <c r="T428">
        <f t="shared" si="157"/>
        <v>-115298382.32359999</v>
      </c>
      <c r="U428">
        <f t="shared" si="158"/>
        <v>-98827184.848799989</v>
      </c>
      <c r="V428">
        <f t="shared" si="159"/>
        <v>-113996245.50459999</v>
      </c>
      <c r="W428">
        <f t="shared" si="160"/>
        <v>-147172520.13659999</v>
      </c>
      <c r="X428">
        <f t="shared" si="161"/>
        <v>-164177044.84060001</v>
      </c>
      <c r="Z428">
        <f t="shared" si="162"/>
        <v>3339092.2176000001</v>
      </c>
      <c r="AA428">
        <f t="shared" si="163"/>
        <v>-68085269.358600006</v>
      </c>
      <c r="AB428">
        <f t="shared" si="164"/>
        <v>-119017684.97920001</v>
      </c>
      <c r="AC428">
        <f t="shared" si="165"/>
        <v>-157346930.41479999</v>
      </c>
      <c r="AD428">
        <f t="shared" si="166"/>
        <v>-195513858.86759999</v>
      </c>
      <c r="AE428">
        <f t="shared" si="167"/>
        <v>-212622730.20340005</v>
      </c>
    </row>
    <row r="429" spans="1:31" x14ac:dyDescent="0.25">
      <c r="A429">
        <v>37.75176965</v>
      </c>
      <c r="B429">
        <v>119.54459300000001</v>
      </c>
      <c r="C429">
        <v>18.107927320000002</v>
      </c>
      <c r="D429">
        <v>48.972255709999999</v>
      </c>
      <c r="E429" t="b">
        <f t="shared" si="144"/>
        <v>1</v>
      </c>
      <c r="F429">
        <f t="shared" si="145"/>
        <v>-41.56738089000001</v>
      </c>
      <c r="G429">
        <f t="shared" si="146"/>
        <v>-132.10701749000003</v>
      </c>
      <c r="H429">
        <f t="shared" si="147"/>
        <v>-222.64665409000003</v>
      </c>
      <c r="I429">
        <f t="shared" si="148"/>
        <v>-313.18629069000002</v>
      </c>
      <c r="J429">
        <f t="shared" si="149"/>
        <v>-403.72592729000002</v>
      </c>
      <c r="L429">
        <f t="shared" si="150"/>
        <v>36578013.186400004</v>
      </c>
      <c r="M429">
        <f t="shared" si="151"/>
        <v>-71495895.130800024</v>
      </c>
      <c r="N429">
        <f t="shared" si="152"/>
        <v>-195518385.88520005</v>
      </c>
      <c r="O429">
        <f t="shared" si="153"/>
        <v>-249364252.58080006</v>
      </c>
      <c r="P429">
        <f t="shared" si="154"/>
        <v>-288131387.43479997</v>
      </c>
      <c r="Q429">
        <f t="shared" si="155"/>
        <v>-347204297.46939999</v>
      </c>
      <c r="S429">
        <f t="shared" si="156"/>
        <v>44364421.934</v>
      </c>
      <c r="T429">
        <f t="shared" si="157"/>
        <v>-286672227.95330006</v>
      </c>
      <c r="U429">
        <f t="shared" si="158"/>
        <v>-245719052.53140005</v>
      </c>
      <c r="V429">
        <f t="shared" si="159"/>
        <v>-316158248.80780005</v>
      </c>
      <c r="W429">
        <f t="shared" si="160"/>
        <v>-429065218.24530005</v>
      </c>
      <c r="X429">
        <f t="shared" si="161"/>
        <v>-492545631.2938</v>
      </c>
      <c r="Z429">
        <f t="shared" si="162"/>
        <v>52150830.681599997</v>
      </c>
      <c r="AA429">
        <f t="shared" si="163"/>
        <v>-108906537.93180002</v>
      </c>
      <c r="AB429">
        <f t="shared" si="164"/>
        <v>-295919719.17760015</v>
      </c>
      <c r="AC429">
        <f t="shared" si="165"/>
        <v>-436387442.01640004</v>
      </c>
      <c r="AD429">
        <f t="shared" si="166"/>
        <v>-569999049.05579996</v>
      </c>
      <c r="AE429">
        <f t="shared" si="167"/>
        <v>-637886965.11820006</v>
      </c>
    </row>
    <row r="430" spans="1:31" x14ac:dyDescent="0.25">
      <c r="A430">
        <v>37.758150219999997</v>
      </c>
      <c r="B430">
        <v>119.48737629999999</v>
      </c>
      <c r="C430">
        <v>15.833525659999999</v>
      </c>
      <c r="D430">
        <v>2.4486000000000001E-2</v>
      </c>
      <c r="E430" t="b">
        <f t="shared" si="144"/>
        <v>0</v>
      </c>
      <c r="F430">
        <f t="shared" si="145"/>
        <v>-79.143142299999994</v>
      </c>
      <c r="G430">
        <f t="shared" si="146"/>
        <v>-158.31077059999998</v>
      </c>
      <c r="H430">
        <f t="shared" si="147"/>
        <v>-237.4783989</v>
      </c>
      <c r="I430">
        <f t="shared" si="148"/>
        <v>-316.64602719999993</v>
      </c>
      <c r="J430">
        <f t="shared" si="149"/>
        <v>-395.81365549999998</v>
      </c>
      <c r="L430">
        <f t="shared" si="150"/>
        <v>49461.72</v>
      </c>
      <c r="M430">
        <f t="shared" si="151"/>
        <v>-136126204.75600001</v>
      </c>
      <c r="N430">
        <f t="shared" si="152"/>
        <v>-234299940.48799998</v>
      </c>
      <c r="O430">
        <f t="shared" si="153"/>
        <v>-265975806.76800004</v>
      </c>
      <c r="P430">
        <f t="shared" si="154"/>
        <v>-291314345.02399993</v>
      </c>
      <c r="Q430">
        <f t="shared" si="155"/>
        <v>-340399743.73000002</v>
      </c>
      <c r="S430">
        <f t="shared" si="156"/>
        <v>59990.700000000004</v>
      </c>
      <c r="T430">
        <f t="shared" si="157"/>
        <v>-343534372.20199996</v>
      </c>
      <c r="U430">
        <f t="shared" si="158"/>
        <v>-294458033.31599998</v>
      </c>
      <c r="V430">
        <f t="shared" si="159"/>
        <v>-337219326.43799996</v>
      </c>
      <c r="W430">
        <f t="shared" si="160"/>
        <v>-433805057.26399994</v>
      </c>
      <c r="X430">
        <f t="shared" si="161"/>
        <v>-482892659.70999998</v>
      </c>
      <c r="Z430">
        <f t="shared" si="162"/>
        <v>70519.679999999993</v>
      </c>
      <c r="AA430">
        <f t="shared" si="163"/>
        <v>-207355032.82600001</v>
      </c>
      <c r="AB430">
        <f t="shared" si="164"/>
        <v>-354616126.14399999</v>
      </c>
      <c r="AC430">
        <f t="shared" si="165"/>
        <v>-465457661.84399998</v>
      </c>
      <c r="AD430">
        <f t="shared" si="166"/>
        <v>-576295769.50399995</v>
      </c>
      <c r="AE430">
        <f t="shared" si="167"/>
        <v>-625385575.69000006</v>
      </c>
    </row>
    <row r="431" spans="1:31" x14ac:dyDescent="0.25">
      <c r="A431">
        <v>37.759663879999998</v>
      </c>
      <c r="B431">
        <v>118.61298499999999</v>
      </c>
      <c r="C431">
        <v>65.630661009999997</v>
      </c>
      <c r="D431">
        <v>1.05774105</v>
      </c>
      <c r="E431" t="b">
        <f t="shared" si="144"/>
        <v>0</v>
      </c>
      <c r="F431">
        <f t="shared" si="145"/>
        <v>-327.09556399999997</v>
      </c>
      <c r="G431">
        <f t="shared" si="146"/>
        <v>-655.24886904999994</v>
      </c>
      <c r="H431">
        <f t="shared" si="147"/>
        <v>-983.40217409999991</v>
      </c>
      <c r="I431">
        <f t="shared" si="148"/>
        <v>-1311.5554791499999</v>
      </c>
      <c r="J431">
        <f t="shared" si="149"/>
        <v>-1639.7087841999999</v>
      </c>
      <c r="L431">
        <f t="shared" si="150"/>
        <v>2136636.9210000001</v>
      </c>
      <c r="M431">
        <f t="shared" si="151"/>
        <v>-562604370.07999992</v>
      </c>
      <c r="N431">
        <f t="shared" si="152"/>
        <v>-969768326.19399989</v>
      </c>
      <c r="O431">
        <f t="shared" si="153"/>
        <v>-1101410434.9920001</v>
      </c>
      <c r="P431">
        <f t="shared" si="154"/>
        <v>-1206631040.8179998</v>
      </c>
      <c r="Q431">
        <f t="shared" si="155"/>
        <v>-1410149554.4119997</v>
      </c>
      <c r="S431">
        <f t="shared" si="156"/>
        <v>2591465.5725000002</v>
      </c>
      <c r="T431">
        <f t="shared" si="157"/>
        <v>-1421890045.8384998</v>
      </c>
      <c r="U431">
        <f t="shared" si="158"/>
        <v>-1218762896.4329998</v>
      </c>
      <c r="V431">
        <f t="shared" si="159"/>
        <v>-1396431087.2219999</v>
      </c>
      <c r="W431">
        <f t="shared" si="160"/>
        <v>-1796831006.4354999</v>
      </c>
      <c r="X431">
        <f t="shared" si="161"/>
        <v>-2000444716.7239997</v>
      </c>
      <c r="Z431">
        <f t="shared" si="162"/>
        <v>3046294.2239999999</v>
      </c>
      <c r="AA431">
        <f t="shared" si="163"/>
        <v>-856990377.67999983</v>
      </c>
      <c r="AB431">
        <f t="shared" si="164"/>
        <v>-1467757466.6719999</v>
      </c>
      <c r="AC431">
        <f t="shared" si="165"/>
        <v>-1927468261.2359998</v>
      </c>
      <c r="AD431">
        <f t="shared" si="166"/>
        <v>-2387030972.053</v>
      </c>
      <c r="AE431">
        <f t="shared" si="167"/>
        <v>-2590739879.0359998</v>
      </c>
    </row>
    <row r="432" spans="1:31" x14ac:dyDescent="0.25">
      <c r="A432">
        <v>37.78109267</v>
      </c>
      <c r="B432">
        <v>118.84972500000001</v>
      </c>
      <c r="C432">
        <v>43.008232120000002</v>
      </c>
      <c r="D432">
        <v>7.0134511000000002</v>
      </c>
      <c r="E432" t="b">
        <f t="shared" si="144"/>
        <v>0</v>
      </c>
      <c r="F432">
        <f t="shared" si="145"/>
        <v>-208.02770950000001</v>
      </c>
      <c r="G432">
        <f t="shared" si="146"/>
        <v>-423.06887010000003</v>
      </c>
      <c r="H432">
        <f t="shared" si="147"/>
        <v>-638.11003070000004</v>
      </c>
      <c r="I432">
        <f t="shared" si="148"/>
        <v>-853.15119130000005</v>
      </c>
      <c r="J432">
        <f t="shared" si="149"/>
        <v>-1068.1923518999999</v>
      </c>
      <c r="L432">
        <f t="shared" si="150"/>
        <v>14167171.222000001</v>
      </c>
      <c r="M432">
        <f t="shared" si="151"/>
        <v>-357807660.34000003</v>
      </c>
      <c r="N432">
        <f t="shared" si="152"/>
        <v>-626141927.74800003</v>
      </c>
      <c r="O432">
        <f t="shared" si="153"/>
        <v>-714683234.38400006</v>
      </c>
      <c r="P432">
        <f t="shared" si="154"/>
        <v>-784899095.99600005</v>
      </c>
      <c r="Q432">
        <f t="shared" si="155"/>
        <v>-918645422.63399994</v>
      </c>
      <c r="S432">
        <f t="shared" si="156"/>
        <v>17182955.195000004</v>
      </c>
      <c r="T432">
        <f t="shared" si="157"/>
        <v>-918059448.11699998</v>
      </c>
      <c r="U432">
        <f t="shared" si="158"/>
        <v>-786908098.38600004</v>
      </c>
      <c r="V432">
        <f t="shared" si="159"/>
        <v>-906116243.59399998</v>
      </c>
      <c r="W432">
        <f t="shared" si="160"/>
        <v>-1168817132.0810001</v>
      </c>
      <c r="X432">
        <f t="shared" si="161"/>
        <v>-1303194669.3179998</v>
      </c>
      <c r="Z432">
        <f t="shared" si="162"/>
        <v>20198739.168000001</v>
      </c>
      <c r="AA432">
        <f t="shared" si="163"/>
        <v>-545032598.88999999</v>
      </c>
      <c r="AB432">
        <f t="shared" si="164"/>
        <v>-947674269.02400017</v>
      </c>
      <c r="AC432">
        <f t="shared" si="165"/>
        <v>-1250695660.1720002</v>
      </c>
      <c r="AD432">
        <f t="shared" si="166"/>
        <v>-1552735168.1660001</v>
      </c>
      <c r="AE432">
        <f t="shared" si="167"/>
        <v>-1687743916.0020001</v>
      </c>
    </row>
    <row r="433" spans="1:31" x14ac:dyDescent="0.25">
      <c r="A433">
        <v>37.78434627</v>
      </c>
      <c r="B433">
        <v>119.6671219</v>
      </c>
      <c r="C433">
        <v>16.40350342</v>
      </c>
      <c r="D433">
        <v>17.87487411</v>
      </c>
      <c r="E433" t="b">
        <f t="shared" si="144"/>
        <v>1</v>
      </c>
      <c r="F433">
        <f t="shared" si="145"/>
        <v>-64.142642989999985</v>
      </c>
      <c r="G433">
        <f t="shared" si="146"/>
        <v>-146.16016008999998</v>
      </c>
      <c r="H433">
        <f t="shared" si="147"/>
        <v>-228.17767719</v>
      </c>
      <c r="I433">
        <f t="shared" si="148"/>
        <v>-310.19519428999996</v>
      </c>
      <c r="J433">
        <f t="shared" si="149"/>
        <v>-392.21271138999998</v>
      </c>
      <c r="L433">
        <f t="shared" si="150"/>
        <v>33135076.908399999</v>
      </c>
      <c r="M433">
        <f t="shared" si="151"/>
        <v>-110325345.94279999</v>
      </c>
      <c r="N433">
        <f t="shared" si="152"/>
        <v>-216317036.93319997</v>
      </c>
      <c r="O433">
        <f t="shared" si="153"/>
        <v>-255558998.45280004</v>
      </c>
      <c r="P433">
        <f t="shared" si="154"/>
        <v>-285379578.74679995</v>
      </c>
      <c r="Q433">
        <f t="shared" si="155"/>
        <v>-337302931.79539996</v>
      </c>
      <c r="S433">
        <f t="shared" si="156"/>
        <v>40188583.379000001</v>
      </c>
      <c r="T433">
        <f t="shared" si="157"/>
        <v>-317167547.39529991</v>
      </c>
      <c r="U433">
        <f t="shared" si="158"/>
        <v>-271857897.76739991</v>
      </c>
      <c r="V433">
        <f t="shared" si="159"/>
        <v>-324012301.60979998</v>
      </c>
      <c r="W433">
        <f t="shared" si="160"/>
        <v>-424967416.17729998</v>
      </c>
      <c r="X433">
        <f t="shared" si="161"/>
        <v>-478499507.89579999</v>
      </c>
      <c r="Z433">
        <f t="shared" si="162"/>
        <v>47242089.849599995</v>
      </c>
      <c r="AA433">
        <f t="shared" si="163"/>
        <v>-168053724.63379997</v>
      </c>
      <c r="AB433">
        <f t="shared" si="164"/>
        <v>-327398758.60159999</v>
      </c>
      <c r="AC433">
        <f t="shared" si="165"/>
        <v>-447228247.2924</v>
      </c>
      <c r="AD433">
        <f t="shared" si="166"/>
        <v>-564555253.60780001</v>
      </c>
      <c r="AE433">
        <f t="shared" si="167"/>
        <v>-619696083.99619997</v>
      </c>
    </row>
    <row r="434" spans="1:31" x14ac:dyDescent="0.25">
      <c r="A434">
        <v>37.79008185</v>
      </c>
      <c r="B434">
        <v>115.18562679999999</v>
      </c>
      <c r="C434">
        <v>5.4292302100000001</v>
      </c>
      <c r="D434">
        <v>2.6224670400000001</v>
      </c>
      <c r="E434" t="b">
        <f t="shared" si="144"/>
        <v>0</v>
      </c>
      <c r="F434">
        <f t="shared" si="145"/>
        <v>-24.52368401</v>
      </c>
      <c r="G434">
        <f t="shared" si="146"/>
        <v>-51.669835059999997</v>
      </c>
      <c r="H434">
        <f t="shared" si="147"/>
        <v>-78.815986109999997</v>
      </c>
      <c r="I434">
        <f t="shared" si="148"/>
        <v>-105.96213716</v>
      </c>
      <c r="J434">
        <f t="shared" si="149"/>
        <v>-133.10828821000001</v>
      </c>
      <c r="L434">
        <f t="shared" si="150"/>
        <v>5297383.4208000004</v>
      </c>
      <c r="M434">
        <f t="shared" si="151"/>
        <v>-42180736.497200005</v>
      </c>
      <c r="N434">
        <f t="shared" si="152"/>
        <v>-76471355.888799995</v>
      </c>
      <c r="O434">
        <f t="shared" si="153"/>
        <v>-88273904.443200007</v>
      </c>
      <c r="P434">
        <f t="shared" si="154"/>
        <v>-97485166.187199995</v>
      </c>
      <c r="Q434">
        <f t="shared" si="155"/>
        <v>-114473127.86060001</v>
      </c>
      <c r="S434">
        <f t="shared" si="156"/>
        <v>6425044.2480000006</v>
      </c>
      <c r="T434">
        <f t="shared" si="157"/>
        <v>-112123542.08019999</v>
      </c>
      <c r="U434">
        <f t="shared" si="158"/>
        <v>-96105893.211599991</v>
      </c>
      <c r="V434">
        <f t="shared" si="159"/>
        <v>-111918700.2762</v>
      </c>
      <c r="W434">
        <f t="shared" si="160"/>
        <v>-145168127.90920001</v>
      </c>
      <c r="X434">
        <f t="shared" si="161"/>
        <v>-162392111.6162</v>
      </c>
      <c r="Z434">
        <f t="shared" si="162"/>
        <v>7552705.0751999998</v>
      </c>
      <c r="AA434">
        <f t="shared" si="163"/>
        <v>-64252052.10620001</v>
      </c>
      <c r="AB434">
        <f t="shared" si="164"/>
        <v>-115740430.5344</v>
      </c>
      <c r="AC434">
        <f t="shared" si="165"/>
        <v>-154479332.77559999</v>
      </c>
      <c r="AD434">
        <f t="shared" si="166"/>
        <v>-192851089.63119999</v>
      </c>
      <c r="AE434">
        <f t="shared" si="167"/>
        <v>-210311095.37180004</v>
      </c>
    </row>
    <row r="435" spans="1:31" x14ac:dyDescent="0.25">
      <c r="A435">
        <v>37.795323799999998</v>
      </c>
      <c r="B435">
        <v>91.240437200000002</v>
      </c>
      <c r="C435">
        <v>20.624670030000001</v>
      </c>
      <c r="D435">
        <v>25.24060059</v>
      </c>
      <c r="E435" t="b">
        <f t="shared" si="144"/>
        <v>1</v>
      </c>
      <c r="F435">
        <f t="shared" si="145"/>
        <v>-77.882749560000008</v>
      </c>
      <c r="G435">
        <f t="shared" si="146"/>
        <v>-181.00609971</v>
      </c>
      <c r="H435">
        <f t="shared" si="147"/>
        <v>-284.12944986000002</v>
      </c>
      <c r="I435">
        <f t="shared" si="148"/>
        <v>-387.25280001000004</v>
      </c>
      <c r="J435">
        <f t="shared" si="149"/>
        <v>-490.37615016000007</v>
      </c>
      <c r="L435">
        <f t="shared" si="150"/>
        <v>41661833.460600004</v>
      </c>
      <c r="M435">
        <f t="shared" si="151"/>
        <v>-133958329.24320002</v>
      </c>
      <c r="N435">
        <f t="shared" si="152"/>
        <v>-267889027.57080001</v>
      </c>
      <c r="O435">
        <f t="shared" si="153"/>
        <v>-318224983.84320003</v>
      </c>
      <c r="P435">
        <f t="shared" si="154"/>
        <v>-356272576.00920004</v>
      </c>
      <c r="Q435">
        <f t="shared" si="155"/>
        <v>-421723489.13760006</v>
      </c>
      <c r="S435">
        <f t="shared" si="156"/>
        <v>50530441.573500007</v>
      </c>
      <c r="T435">
        <f t="shared" si="157"/>
        <v>-392783236.3707</v>
      </c>
      <c r="U435">
        <f t="shared" si="158"/>
        <v>-336671345.46060002</v>
      </c>
      <c r="V435">
        <f t="shared" si="159"/>
        <v>-403463818.80119997</v>
      </c>
      <c r="W435">
        <f t="shared" si="160"/>
        <v>-530536336.01370013</v>
      </c>
      <c r="X435">
        <f t="shared" si="161"/>
        <v>-598258903.19520009</v>
      </c>
      <c r="Z435">
        <f t="shared" si="162"/>
        <v>59399049.686400004</v>
      </c>
      <c r="AA435">
        <f t="shared" si="163"/>
        <v>-204052803.84720001</v>
      </c>
      <c r="AB435">
        <f t="shared" si="164"/>
        <v>-405453663.35040003</v>
      </c>
      <c r="AC435">
        <f t="shared" si="165"/>
        <v>-556893721.7256</v>
      </c>
      <c r="AD435">
        <f t="shared" si="166"/>
        <v>-704800096.01820016</v>
      </c>
      <c r="AE435">
        <f t="shared" si="167"/>
        <v>-774794317.25280023</v>
      </c>
    </row>
    <row r="436" spans="1:31" x14ac:dyDescent="0.25">
      <c r="A436">
        <v>37.805148619999997</v>
      </c>
      <c r="B436">
        <v>118.6204925</v>
      </c>
      <c r="C436">
        <v>43.008232120000002</v>
      </c>
      <c r="D436">
        <v>2.7329630900000002</v>
      </c>
      <c r="E436" t="b">
        <f t="shared" si="144"/>
        <v>0</v>
      </c>
      <c r="F436">
        <f t="shared" si="145"/>
        <v>-212.30819751000001</v>
      </c>
      <c r="G436">
        <f t="shared" si="146"/>
        <v>-427.34935811000003</v>
      </c>
      <c r="H436">
        <f t="shared" si="147"/>
        <v>-642.39051871000004</v>
      </c>
      <c r="I436">
        <f t="shared" si="148"/>
        <v>-857.43167931000005</v>
      </c>
      <c r="J436">
        <f t="shared" si="149"/>
        <v>-1072.4728399099999</v>
      </c>
      <c r="L436">
        <f t="shared" si="150"/>
        <v>5520585.4418000011</v>
      </c>
      <c r="M436">
        <f t="shared" si="151"/>
        <v>-365170099.7172001</v>
      </c>
      <c r="N436">
        <f t="shared" si="152"/>
        <v>-632477050.00279999</v>
      </c>
      <c r="O436">
        <f t="shared" si="153"/>
        <v>-719477380.95520008</v>
      </c>
      <c r="P436">
        <f t="shared" si="154"/>
        <v>-788837144.96519995</v>
      </c>
      <c r="Q436">
        <f t="shared" si="155"/>
        <v>-922326642.32260001</v>
      </c>
      <c r="S436">
        <f t="shared" si="156"/>
        <v>6695759.5705000013</v>
      </c>
      <c r="T436">
        <f t="shared" si="157"/>
        <v>-927348107.09870005</v>
      </c>
      <c r="U436">
        <f t="shared" si="158"/>
        <v>-794869806.08459997</v>
      </c>
      <c r="V436">
        <f t="shared" si="159"/>
        <v>-912194536.56819999</v>
      </c>
      <c r="W436">
        <f t="shared" si="160"/>
        <v>-1174681400.6547003</v>
      </c>
      <c r="X436">
        <f t="shared" si="161"/>
        <v>-1308416864.6901999</v>
      </c>
      <c r="Z436">
        <f t="shared" si="162"/>
        <v>7870933.6992000006</v>
      </c>
      <c r="AA436">
        <f t="shared" si="163"/>
        <v>-556247477.4762001</v>
      </c>
      <c r="AB436">
        <f t="shared" si="164"/>
        <v>-957262562.16640007</v>
      </c>
      <c r="AC436">
        <f t="shared" si="165"/>
        <v>-1259085416.6716001</v>
      </c>
      <c r="AD436">
        <f t="shared" si="166"/>
        <v>-1560525656.3442001</v>
      </c>
      <c r="AE436">
        <f t="shared" si="167"/>
        <v>-1694507087.0578001</v>
      </c>
    </row>
    <row r="437" spans="1:31" x14ac:dyDescent="0.25">
      <c r="A437">
        <v>37.806455849999999</v>
      </c>
      <c r="B437">
        <v>118.1543626</v>
      </c>
      <c r="C437">
        <v>76.896270749999999</v>
      </c>
      <c r="D437">
        <v>0.19832601</v>
      </c>
      <c r="E437" t="b">
        <f t="shared" si="144"/>
        <v>0</v>
      </c>
      <c r="F437">
        <f t="shared" si="145"/>
        <v>-384.28302773999997</v>
      </c>
      <c r="G437">
        <f t="shared" si="146"/>
        <v>-768.76438149000001</v>
      </c>
      <c r="H437">
        <f t="shared" si="147"/>
        <v>-1153.2457352399999</v>
      </c>
      <c r="I437">
        <f t="shared" si="148"/>
        <v>-1537.7270889899999</v>
      </c>
      <c r="J437">
        <f t="shared" si="149"/>
        <v>-1922.20844274</v>
      </c>
      <c r="L437">
        <f t="shared" si="150"/>
        <v>400618.54020000005</v>
      </c>
      <c r="M437">
        <f t="shared" si="151"/>
        <v>-660966807.71280003</v>
      </c>
      <c r="N437">
        <f t="shared" si="152"/>
        <v>-1137771284.6052001</v>
      </c>
      <c r="O437">
        <f t="shared" si="153"/>
        <v>-1291635223.4688001</v>
      </c>
      <c r="P437">
        <f t="shared" si="154"/>
        <v>-1414708921.8707998</v>
      </c>
      <c r="Q437">
        <f t="shared" si="155"/>
        <v>-1653099260.7563999</v>
      </c>
      <c r="S437">
        <f t="shared" si="156"/>
        <v>485898.72450000007</v>
      </c>
      <c r="T437">
        <f t="shared" si="157"/>
        <v>-1668218707.8332999</v>
      </c>
      <c r="U437">
        <f t="shared" si="158"/>
        <v>-1429901749.5713999</v>
      </c>
      <c r="V437">
        <f t="shared" si="159"/>
        <v>-1637608944.0407999</v>
      </c>
      <c r="W437">
        <f t="shared" si="160"/>
        <v>-2106686111.9162998</v>
      </c>
      <c r="X437">
        <f t="shared" si="161"/>
        <v>-2345094300.1427999</v>
      </c>
      <c r="Z437">
        <f t="shared" si="162"/>
        <v>571178.90879999998</v>
      </c>
      <c r="AA437">
        <f t="shared" si="163"/>
        <v>-1006821532.6787999</v>
      </c>
      <c r="AB437">
        <f t="shared" si="164"/>
        <v>-1722032214.5376003</v>
      </c>
      <c r="AC437">
        <f t="shared" si="165"/>
        <v>-2260361641.0703998</v>
      </c>
      <c r="AD437">
        <f t="shared" si="166"/>
        <v>-2798663301.9617996</v>
      </c>
      <c r="AE437">
        <f t="shared" si="167"/>
        <v>-3037089339.5292001</v>
      </c>
    </row>
    <row r="438" spans="1:31" x14ac:dyDescent="0.25">
      <c r="A438">
        <v>37.816267019999998</v>
      </c>
      <c r="B438">
        <v>119.3808725</v>
      </c>
      <c r="C438">
        <v>15.833525659999999</v>
      </c>
      <c r="D438">
        <v>11.114254000000001</v>
      </c>
      <c r="E438" t="b">
        <f t="shared" si="144"/>
        <v>0</v>
      </c>
      <c r="F438">
        <f t="shared" si="145"/>
        <v>-68.053374299999987</v>
      </c>
      <c r="G438">
        <f t="shared" si="146"/>
        <v>-147.22100259999999</v>
      </c>
      <c r="H438">
        <f t="shared" si="147"/>
        <v>-226.38863090000001</v>
      </c>
      <c r="I438">
        <f t="shared" si="148"/>
        <v>-305.55625919999994</v>
      </c>
      <c r="J438">
        <f t="shared" si="149"/>
        <v>-384.72388749999999</v>
      </c>
      <c r="L438">
        <f t="shared" si="150"/>
        <v>22450793.080000002</v>
      </c>
      <c r="M438">
        <f t="shared" si="151"/>
        <v>-117051803.79599999</v>
      </c>
      <c r="N438">
        <f t="shared" si="152"/>
        <v>-217887083.84799999</v>
      </c>
      <c r="O438">
        <f t="shared" si="153"/>
        <v>-253555266.60800004</v>
      </c>
      <c r="P438">
        <f t="shared" si="154"/>
        <v>-281111758.46399993</v>
      </c>
      <c r="Q438">
        <f t="shared" si="155"/>
        <v>-330862543.25</v>
      </c>
      <c r="S438">
        <f t="shared" si="156"/>
        <v>27229922.300000001</v>
      </c>
      <c r="T438">
        <f t="shared" si="157"/>
        <v>-319469575.64199996</v>
      </c>
      <c r="U438">
        <f t="shared" si="158"/>
        <v>-273831064.83599997</v>
      </c>
      <c r="V438">
        <f t="shared" si="159"/>
        <v>-321471855.87800002</v>
      </c>
      <c r="W438">
        <f t="shared" si="160"/>
        <v>-418612075.10399991</v>
      </c>
      <c r="X438">
        <f t="shared" si="161"/>
        <v>-469363142.75</v>
      </c>
      <c r="Z438">
        <f t="shared" si="162"/>
        <v>32009051.52</v>
      </c>
      <c r="AA438">
        <f t="shared" si="163"/>
        <v>-178299840.66599995</v>
      </c>
      <c r="AB438">
        <f t="shared" si="164"/>
        <v>-329775045.824</v>
      </c>
      <c r="AC438">
        <f t="shared" si="165"/>
        <v>-443721716.56400001</v>
      </c>
      <c r="AD438">
        <f t="shared" si="166"/>
        <v>-556112391.74399984</v>
      </c>
      <c r="AE438">
        <f t="shared" si="167"/>
        <v>-607863742.25</v>
      </c>
    </row>
    <row r="439" spans="1:31" x14ac:dyDescent="0.25">
      <c r="A439">
        <v>37.822570519999999</v>
      </c>
      <c r="B439">
        <v>119.3235942</v>
      </c>
      <c r="C439">
        <v>15.833525659999999</v>
      </c>
      <c r="D439">
        <v>26.00519371</v>
      </c>
      <c r="E439" t="b">
        <f t="shared" si="144"/>
        <v>1</v>
      </c>
      <c r="F439">
        <f t="shared" si="145"/>
        <v>-53.162434589999989</v>
      </c>
      <c r="G439">
        <f t="shared" si="146"/>
        <v>-132.33006288999997</v>
      </c>
      <c r="H439">
        <f t="shared" si="147"/>
        <v>-211.49769119000001</v>
      </c>
      <c r="I439">
        <f t="shared" si="148"/>
        <v>-290.66531948999994</v>
      </c>
      <c r="J439">
        <f t="shared" si="149"/>
        <v>-369.83294778999999</v>
      </c>
      <c r="L439">
        <f t="shared" si="150"/>
        <v>31983721.8332</v>
      </c>
      <c r="M439">
        <f t="shared" si="151"/>
        <v>-91439387.494799986</v>
      </c>
      <c r="N439">
        <f t="shared" si="152"/>
        <v>-195848493.07719997</v>
      </c>
      <c r="O439">
        <f t="shared" si="153"/>
        <v>-236877414.13280001</v>
      </c>
      <c r="P439">
        <f t="shared" si="154"/>
        <v>-267412093.93079993</v>
      </c>
      <c r="Q439">
        <f t="shared" si="155"/>
        <v>-318056335.09939998</v>
      </c>
      <c r="S439">
        <f t="shared" si="156"/>
        <v>38792137.867000006</v>
      </c>
      <c r="T439">
        <f t="shared" si="157"/>
        <v>-287156236.47129995</v>
      </c>
      <c r="U439">
        <f t="shared" si="158"/>
        <v>-246133916.97539994</v>
      </c>
      <c r="V439">
        <f t="shared" si="159"/>
        <v>-300326721.48979998</v>
      </c>
      <c r="W439">
        <f t="shared" si="160"/>
        <v>-398211487.70129997</v>
      </c>
      <c r="X439">
        <f t="shared" si="161"/>
        <v>-451196196.30379993</v>
      </c>
      <c r="Z439">
        <f t="shared" si="162"/>
        <v>45600553.900799997</v>
      </c>
      <c r="AA439">
        <f t="shared" si="163"/>
        <v>-139285578.62579998</v>
      </c>
      <c r="AB439">
        <f t="shared" si="164"/>
        <v>-296419340.87359995</v>
      </c>
      <c r="AC439">
        <f t="shared" si="165"/>
        <v>-414535474.7324</v>
      </c>
      <c r="AD439">
        <f t="shared" si="166"/>
        <v>-529010881.47179991</v>
      </c>
      <c r="AE439">
        <f t="shared" si="167"/>
        <v>-584336057.50819993</v>
      </c>
    </row>
    <row r="440" spans="1:31" x14ac:dyDescent="0.25">
      <c r="A440">
        <v>37.823557919999999</v>
      </c>
      <c r="B440">
        <v>117.9822367</v>
      </c>
      <c r="C440">
        <v>76.896270749999999</v>
      </c>
      <c r="D440">
        <v>3.0308749700000002</v>
      </c>
      <c r="E440" t="b">
        <f t="shared" si="144"/>
        <v>0</v>
      </c>
      <c r="F440">
        <f t="shared" si="145"/>
        <v>-381.45047877999997</v>
      </c>
      <c r="G440">
        <f t="shared" si="146"/>
        <v>-765.93183252999995</v>
      </c>
      <c r="H440">
        <f t="shared" si="147"/>
        <v>-1150.41318628</v>
      </c>
      <c r="I440">
        <f t="shared" si="148"/>
        <v>-1534.8945400299999</v>
      </c>
      <c r="J440">
        <f t="shared" si="149"/>
        <v>-1919.3758937800001</v>
      </c>
      <c r="L440">
        <f t="shared" si="150"/>
        <v>6122367.4394000005</v>
      </c>
      <c r="M440">
        <f t="shared" si="151"/>
        <v>-656094823.50160003</v>
      </c>
      <c r="N440">
        <f t="shared" si="152"/>
        <v>-1133579112.1443999</v>
      </c>
      <c r="O440">
        <f t="shared" si="153"/>
        <v>-1288462768.6336</v>
      </c>
      <c r="P440">
        <f t="shared" si="154"/>
        <v>-1412102976.8275998</v>
      </c>
      <c r="Q440">
        <f t="shared" si="155"/>
        <v>-1650663268.6508</v>
      </c>
      <c r="S440">
        <f t="shared" si="156"/>
        <v>7425643.676500001</v>
      </c>
      <c r="T440">
        <f t="shared" si="157"/>
        <v>-1662072076.5900998</v>
      </c>
      <c r="U440">
        <f t="shared" si="158"/>
        <v>-1424633208.5057998</v>
      </c>
      <c r="V440">
        <f t="shared" si="159"/>
        <v>-1633586724.5175998</v>
      </c>
      <c r="W440">
        <f t="shared" si="160"/>
        <v>-2102805519.8411002</v>
      </c>
      <c r="X440">
        <f t="shared" si="161"/>
        <v>-2341638590.4116001</v>
      </c>
      <c r="Z440">
        <f t="shared" si="162"/>
        <v>8728919.9135999996</v>
      </c>
      <c r="AA440">
        <f t="shared" si="163"/>
        <v>-999400254.40359998</v>
      </c>
      <c r="AB440">
        <f t="shared" si="164"/>
        <v>-1715687304.8672001</v>
      </c>
      <c r="AC440">
        <f t="shared" si="165"/>
        <v>-2254809845.1087999</v>
      </c>
      <c r="AD440">
        <f t="shared" si="166"/>
        <v>-2793508062.8546</v>
      </c>
      <c r="AE440">
        <f t="shared" si="167"/>
        <v>-3032613912.1724</v>
      </c>
    </row>
    <row r="441" spans="1:31" x14ac:dyDescent="0.25">
      <c r="A441">
        <v>37.828773509999998</v>
      </c>
      <c r="B441">
        <v>118.3911176</v>
      </c>
      <c r="C441">
        <v>43.008232120000002</v>
      </c>
      <c r="D441">
        <v>1.58661199</v>
      </c>
      <c r="E441" t="b">
        <f t="shared" si="144"/>
        <v>0</v>
      </c>
      <c r="F441">
        <f t="shared" si="145"/>
        <v>-213.45454861000002</v>
      </c>
      <c r="G441">
        <f t="shared" si="146"/>
        <v>-428.49570921000003</v>
      </c>
      <c r="H441">
        <f t="shared" si="147"/>
        <v>-643.53686980999998</v>
      </c>
      <c r="I441">
        <f t="shared" si="148"/>
        <v>-858.57803041</v>
      </c>
      <c r="J441">
        <f t="shared" si="149"/>
        <v>-1073.6191910100001</v>
      </c>
      <c r="L441">
        <f t="shared" si="150"/>
        <v>3204956.2198000001</v>
      </c>
      <c r="M441">
        <f t="shared" si="151"/>
        <v>-367141823.60920006</v>
      </c>
      <c r="N441">
        <f t="shared" si="152"/>
        <v>-634173649.63080001</v>
      </c>
      <c r="O441">
        <f t="shared" si="153"/>
        <v>-720761294.18719995</v>
      </c>
      <c r="P441">
        <f t="shared" si="154"/>
        <v>-789891787.97719991</v>
      </c>
      <c r="Q441">
        <f t="shared" si="155"/>
        <v>-923312504.26860011</v>
      </c>
      <c r="S441">
        <f t="shared" si="156"/>
        <v>3887199.3755000001</v>
      </c>
      <c r="T441">
        <f t="shared" si="157"/>
        <v>-929835688.98570001</v>
      </c>
      <c r="U441">
        <f t="shared" si="158"/>
        <v>-797002019.13059998</v>
      </c>
      <c r="V441">
        <f t="shared" si="159"/>
        <v>-913822355.13019991</v>
      </c>
      <c r="W441">
        <f t="shared" si="160"/>
        <v>-1176251901.6617</v>
      </c>
      <c r="X441">
        <f t="shared" si="161"/>
        <v>-1309815413.0322001</v>
      </c>
      <c r="Z441">
        <f t="shared" si="162"/>
        <v>4569442.5312000001</v>
      </c>
      <c r="AA441">
        <f t="shared" si="163"/>
        <v>-559250917.35820007</v>
      </c>
      <c r="AB441">
        <f t="shared" si="164"/>
        <v>-959830388.63040018</v>
      </c>
      <c r="AC441">
        <f t="shared" si="165"/>
        <v>-1261332264.8275998</v>
      </c>
      <c r="AD441">
        <f t="shared" si="166"/>
        <v>-1562612015.3462</v>
      </c>
      <c r="AE441">
        <f t="shared" si="167"/>
        <v>-1696318321.7958002</v>
      </c>
    </row>
    <row r="442" spans="1:31" x14ac:dyDescent="0.25">
      <c r="A442">
        <v>37.82884713</v>
      </c>
      <c r="B442">
        <v>119.2663065</v>
      </c>
      <c r="C442">
        <v>40.0941124</v>
      </c>
      <c r="D442">
        <v>2.51788306</v>
      </c>
      <c r="E442" t="b">
        <f t="shared" si="144"/>
        <v>0</v>
      </c>
      <c r="F442">
        <f t="shared" si="145"/>
        <v>-197.95267894</v>
      </c>
      <c r="G442">
        <f t="shared" si="146"/>
        <v>-398.42324094000003</v>
      </c>
      <c r="H442">
        <f t="shared" si="147"/>
        <v>-598.89380294</v>
      </c>
      <c r="I442">
        <f t="shared" si="148"/>
        <v>-799.36436493999997</v>
      </c>
      <c r="J442">
        <f t="shared" si="149"/>
        <v>-999.83492693999995</v>
      </c>
      <c r="L442">
        <f t="shared" si="150"/>
        <v>5086123.7812000001</v>
      </c>
      <c r="M442">
        <f t="shared" si="151"/>
        <v>-340478607.77680004</v>
      </c>
      <c r="N442">
        <f t="shared" si="152"/>
        <v>-589666396.59120011</v>
      </c>
      <c r="O442">
        <f t="shared" si="153"/>
        <v>-670761059.29280007</v>
      </c>
      <c r="P442">
        <f t="shared" si="154"/>
        <v>-735415215.74479985</v>
      </c>
      <c r="Q442">
        <f t="shared" si="155"/>
        <v>-859858037.16839993</v>
      </c>
      <c r="S442">
        <f t="shared" si="156"/>
        <v>6168813.4970000004</v>
      </c>
      <c r="T442">
        <f t="shared" si="157"/>
        <v>-864578432.83980012</v>
      </c>
      <c r="U442">
        <f t="shared" si="158"/>
        <v>-741067228.14840007</v>
      </c>
      <c r="V442">
        <f t="shared" si="159"/>
        <v>-850429200.17480004</v>
      </c>
      <c r="W442">
        <f t="shared" si="160"/>
        <v>-1095129179.9677999</v>
      </c>
      <c r="X442">
        <f t="shared" si="161"/>
        <v>-1219798610.8667998</v>
      </c>
      <c r="Z442">
        <f t="shared" si="162"/>
        <v>7251503.2127999999</v>
      </c>
      <c r="AA442">
        <f t="shared" si="163"/>
        <v>-518636018.82280004</v>
      </c>
      <c r="AB442">
        <f t="shared" si="164"/>
        <v>-892468059.70560026</v>
      </c>
      <c r="AC442">
        <f t="shared" si="165"/>
        <v>-1173831853.7624002</v>
      </c>
      <c r="AD442">
        <f t="shared" si="166"/>
        <v>-1454843144.1908</v>
      </c>
      <c r="AE442">
        <f t="shared" si="167"/>
        <v>-1579739184.5652001</v>
      </c>
    </row>
    <row r="443" spans="1:31" x14ac:dyDescent="0.25">
      <c r="A443">
        <v>37.82920464</v>
      </c>
      <c r="B443">
        <v>117.92484450000001</v>
      </c>
      <c r="C443">
        <v>0</v>
      </c>
      <c r="D443">
        <v>1.46722496</v>
      </c>
      <c r="E443" t="b">
        <f t="shared" si="144"/>
        <v>1</v>
      </c>
      <c r="F443">
        <f t="shared" si="145"/>
        <v>1.46722496</v>
      </c>
      <c r="G443">
        <f t="shared" si="146"/>
        <v>1.46722496</v>
      </c>
      <c r="H443">
        <f t="shared" si="147"/>
        <v>1.46722496</v>
      </c>
      <c r="I443">
        <f t="shared" si="148"/>
        <v>1.46722496</v>
      </c>
      <c r="J443">
        <f t="shared" si="149"/>
        <v>1.46722496</v>
      </c>
      <c r="L443">
        <f t="shared" si="150"/>
        <v>0</v>
      </c>
      <c r="M443">
        <f t="shared" si="151"/>
        <v>0</v>
      </c>
      <c r="N443">
        <f t="shared" si="152"/>
        <v>0</v>
      </c>
      <c r="O443">
        <f t="shared" si="153"/>
        <v>0</v>
      </c>
      <c r="P443">
        <f t="shared" si="154"/>
        <v>0</v>
      </c>
      <c r="Q443">
        <f t="shared" si="155"/>
        <v>0</v>
      </c>
      <c r="S443">
        <f t="shared" si="156"/>
        <v>0</v>
      </c>
      <c r="T443">
        <f t="shared" si="157"/>
        <v>0</v>
      </c>
      <c r="U443">
        <f t="shared" si="158"/>
        <v>0</v>
      </c>
      <c r="V443">
        <f t="shared" si="159"/>
        <v>0</v>
      </c>
      <c r="W443">
        <f t="shared" si="160"/>
        <v>0</v>
      </c>
      <c r="X443">
        <f t="shared" si="161"/>
        <v>0</v>
      </c>
      <c r="Z443">
        <f t="shared" si="162"/>
        <v>0</v>
      </c>
      <c r="AA443">
        <f t="shared" si="163"/>
        <v>0</v>
      </c>
      <c r="AB443">
        <f t="shared" si="164"/>
        <v>0</v>
      </c>
      <c r="AC443">
        <f t="shared" si="165"/>
        <v>0</v>
      </c>
      <c r="AD443">
        <f t="shared" si="166"/>
        <v>0</v>
      </c>
      <c r="AE443">
        <f t="shared" si="167"/>
        <v>0</v>
      </c>
    </row>
    <row r="444" spans="1:31" x14ac:dyDescent="0.25">
      <c r="A444">
        <v>37.829762729999999</v>
      </c>
      <c r="B444">
        <v>119.6752554</v>
      </c>
      <c r="C444">
        <v>9.4243545500000003</v>
      </c>
      <c r="D444">
        <v>0.142739</v>
      </c>
      <c r="E444" t="b">
        <f t="shared" si="144"/>
        <v>0</v>
      </c>
      <c r="F444">
        <f t="shared" si="145"/>
        <v>-46.979033750000006</v>
      </c>
      <c r="G444">
        <f t="shared" si="146"/>
        <v>-94.100806500000004</v>
      </c>
      <c r="H444">
        <f t="shared" si="147"/>
        <v>-141.22257925</v>
      </c>
      <c r="I444">
        <f t="shared" si="148"/>
        <v>-188.34435200000001</v>
      </c>
      <c r="J444">
        <f t="shared" si="149"/>
        <v>-235.46612475000001</v>
      </c>
      <c r="L444">
        <f t="shared" si="150"/>
        <v>288332.78000000003</v>
      </c>
      <c r="M444">
        <f t="shared" si="151"/>
        <v>-80803938.050000027</v>
      </c>
      <c r="N444">
        <f t="shared" si="152"/>
        <v>-139269193.62</v>
      </c>
      <c r="O444">
        <f t="shared" si="153"/>
        <v>-158169288.76000002</v>
      </c>
      <c r="P444">
        <f t="shared" si="154"/>
        <v>-173276803.83999997</v>
      </c>
      <c r="Q444">
        <f t="shared" si="155"/>
        <v>-202500867.285</v>
      </c>
      <c r="S444">
        <f t="shared" si="156"/>
        <v>349710.55000000005</v>
      </c>
      <c r="T444">
        <f t="shared" si="157"/>
        <v>-204198750.10499999</v>
      </c>
      <c r="U444">
        <f t="shared" si="158"/>
        <v>-175027500.08999997</v>
      </c>
      <c r="V444">
        <f t="shared" si="159"/>
        <v>-200536062.535</v>
      </c>
      <c r="W444">
        <f t="shared" si="160"/>
        <v>-258031762.24000001</v>
      </c>
      <c r="X444">
        <f t="shared" si="161"/>
        <v>-287268672.19499999</v>
      </c>
      <c r="Z444">
        <f t="shared" si="162"/>
        <v>411088.32</v>
      </c>
      <c r="AA444">
        <f t="shared" si="163"/>
        <v>-123085068.42500003</v>
      </c>
      <c r="AB444">
        <f t="shared" si="164"/>
        <v>-210785806.56000003</v>
      </c>
      <c r="AC444">
        <f t="shared" si="165"/>
        <v>-276796255.32999998</v>
      </c>
      <c r="AD444">
        <f t="shared" si="166"/>
        <v>-342786720.63999999</v>
      </c>
      <c r="AE444">
        <f t="shared" si="167"/>
        <v>-372036477.10500002</v>
      </c>
    </row>
    <row r="445" spans="1:31" x14ac:dyDescent="0.25">
      <c r="A445">
        <v>37.836204250000002</v>
      </c>
      <c r="B445">
        <v>119.61799139999999</v>
      </c>
      <c r="C445">
        <v>55.417339320000004</v>
      </c>
      <c r="D445">
        <v>0.97944498000000002</v>
      </c>
      <c r="E445" t="b">
        <f t="shared" si="144"/>
        <v>0</v>
      </c>
      <c r="F445">
        <f t="shared" si="145"/>
        <v>-276.10725162000006</v>
      </c>
      <c r="G445">
        <f t="shared" si="146"/>
        <v>-553.19394822000004</v>
      </c>
      <c r="H445">
        <f t="shared" si="147"/>
        <v>-830.28064482000002</v>
      </c>
      <c r="I445">
        <f t="shared" si="148"/>
        <v>-1107.3673414200002</v>
      </c>
      <c r="J445">
        <f t="shared" si="149"/>
        <v>-1384.4540380200001</v>
      </c>
      <c r="L445">
        <f t="shared" si="150"/>
        <v>1978478.8596000001</v>
      </c>
      <c r="M445">
        <f t="shared" si="151"/>
        <v>-474904472.78640014</v>
      </c>
      <c r="N445">
        <f t="shared" si="152"/>
        <v>-818727043.36559999</v>
      </c>
      <c r="O445">
        <f t="shared" si="153"/>
        <v>-929914322.19840014</v>
      </c>
      <c r="P445">
        <f t="shared" si="154"/>
        <v>-1018777954.1064003</v>
      </c>
      <c r="Q445">
        <f t="shared" si="155"/>
        <v>-1190630472.6972001</v>
      </c>
      <c r="S445">
        <f t="shared" si="156"/>
        <v>2399640.2010000004</v>
      </c>
      <c r="T445">
        <f t="shared" si="157"/>
        <v>-1200430867.6373999</v>
      </c>
      <c r="U445">
        <f t="shared" si="158"/>
        <v>-1028940743.6892</v>
      </c>
      <c r="V445">
        <f t="shared" si="159"/>
        <v>-1178998515.6444001</v>
      </c>
      <c r="W445">
        <f t="shared" si="160"/>
        <v>-1517093257.7454007</v>
      </c>
      <c r="X445">
        <f t="shared" si="161"/>
        <v>-1689033926.3843999</v>
      </c>
      <c r="Z445">
        <f t="shared" si="162"/>
        <v>2820801.5423999997</v>
      </c>
      <c r="AA445">
        <f t="shared" si="163"/>
        <v>-723400999.24440014</v>
      </c>
      <c r="AB445">
        <f t="shared" si="164"/>
        <v>-1239154444.0128002</v>
      </c>
      <c r="AC445">
        <f t="shared" si="165"/>
        <v>-1627350063.8472002</v>
      </c>
      <c r="AD445">
        <f t="shared" si="166"/>
        <v>-2015408561.3844006</v>
      </c>
      <c r="AE445">
        <f t="shared" si="167"/>
        <v>-2187437380.0716</v>
      </c>
    </row>
    <row r="446" spans="1:31" x14ac:dyDescent="0.25">
      <c r="A446">
        <v>37.842548440000002</v>
      </c>
      <c r="B446">
        <v>119.969739</v>
      </c>
      <c r="C446">
        <v>60.695182799999998</v>
      </c>
      <c r="D446">
        <v>7.3458380700000001</v>
      </c>
      <c r="E446" t="b">
        <f t="shared" si="144"/>
        <v>0</v>
      </c>
      <c r="F446">
        <f t="shared" si="145"/>
        <v>-296.13007592999998</v>
      </c>
      <c r="G446">
        <f t="shared" si="146"/>
        <v>-599.60598992999996</v>
      </c>
      <c r="H446">
        <f t="shared" si="147"/>
        <v>-903.08190392999995</v>
      </c>
      <c r="I446">
        <f t="shared" si="148"/>
        <v>-1206.5578179300001</v>
      </c>
      <c r="J446">
        <f t="shared" si="149"/>
        <v>-1510.0337319300002</v>
      </c>
      <c r="L446">
        <f t="shared" si="150"/>
        <v>14838592.9014</v>
      </c>
      <c r="M446">
        <f t="shared" si="151"/>
        <v>-509343730.59959996</v>
      </c>
      <c r="N446">
        <f t="shared" si="152"/>
        <v>-887416865.0963999</v>
      </c>
      <c r="O446">
        <f t="shared" si="153"/>
        <v>-1011451732.4016</v>
      </c>
      <c r="P446">
        <f t="shared" si="154"/>
        <v>-1110033192.4956</v>
      </c>
      <c r="Q446">
        <f t="shared" si="155"/>
        <v>-1298629009.4598</v>
      </c>
      <c r="S446">
        <f t="shared" si="156"/>
        <v>17997303.271500003</v>
      </c>
      <c r="T446">
        <f t="shared" si="157"/>
        <v>-1301144998.1480999</v>
      </c>
      <c r="U446">
        <f t="shared" si="158"/>
        <v>-1115267141.2697997</v>
      </c>
      <c r="V446">
        <f t="shared" si="159"/>
        <v>-1282376303.5805998</v>
      </c>
      <c r="W446">
        <f t="shared" si="160"/>
        <v>-1652984210.5641003</v>
      </c>
      <c r="X446">
        <f t="shared" si="161"/>
        <v>-1842241152.9546001</v>
      </c>
      <c r="Z446">
        <f t="shared" si="162"/>
        <v>21156013.641600002</v>
      </c>
      <c r="AA446">
        <f t="shared" si="163"/>
        <v>-775860798.93659985</v>
      </c>
      <c r="AB446">
        <f t="shared" si="164"/>
        <v>-1343117417.4432001</v>
      </c>
      <c r="AC446">
        <f t="shared" si="165"/>
        <v>-1770040531.7027998</v>
      </c>
      <c r="AD446">
        <f t="shared" si="166"/>
        <v>-2195935228.6326003</v>
      </c>
      <c r="AE446">
        <f t="shared" si="167"/>
        <v>-2385853296.4494004</v>
      </c>
    </row>
    <row r="447" spans="1:31" x14ac:dyDescent="0.25">
      <c r="A447">
        <v>37.847515489999999</v>
      </c>
      <c r="B447">
        <v>119.0943877</v>
      </c>
      <c r="C447">
        <v>40.0941124</v>
      </c>
      <c r="D447">
        <v>2.2625091099999999</v>
      </c>
      <c r="E447" t="b">
        <f t="shared" si="144"/>
        <v>0</v>
      </c>
      <c r="F447">
        <f t="shared" si="145"/>
        <v>-198.20805289</v>
      </c>
      <c r="G447">
        <f t="shared" si="146"/>
        <v>-398.67861489000001</v>
      </c>
      <c r="H447">
        <f t="shared" si="147"/>
        <v>-599.14917689000004</v>
      </c>
      <c r="I447">
        <f t="shared" si="148"/>
        <v>-799.61973889000001</v>
      </c>
      <c r="J447">
        <f t="shared" si="149"/>
        <v>-1000.09030089</v>
      </c>
      <c r="L447">
        <f t="shared" si="150"/>
        <v>4570268.4021999994</v>
      </c>
      <c r="M447">
        <f t="shared" si="151"/>
        <v>-340917850.97080004</v>
      </c>
      <c r="N447">
        <f t="shared" si="152"/>
        <v>-590044350.03719997</v>
      </c>
      <c r="O447">
        <f t="shared" si="153"/>
        <v>-671047078.11680007</v>
      </c>
      <c r="P447">
        <f t="shared" si="154"/>
        <v>-735650159.77879989</v>
      </c>
      <c r="Q447">
        <f t="shared" si="155"/>
        <v>-860077658.76539993</v>
      </c>
      <c r="S447">
        <f t="shared" si="156"/>
        <v>5543147.3195000002</v>
      </c>
      <c r="T447">
        <f t="shared" si="157"/>
        <v>-865132594.31129992</v>
      </c>
      <c r="U447">
        <f t="shared" si="158"/>
        <v>-741542223.69539988</v>
      </c>
      <c r="V447">
        <f t="shared" si="159"/>
        <v>-850791831.18379998</v>
      </c>
      <c r="W447">
        <f t="shared" si="160"/>
        <v>-1095479042.2793</v>
      </c>
      <c r="X447">
        <f t="shared" si="161"/>
        <v>-1220110167.0857999</v>
      </c>
      <c r="Z447">
        <f t="shared" si="162"/>
        <v>6516026.2367999991</v>
      </c>
      <c r="AA447">
        <f t="shared" si="163"/>
        <v>-519305098.57180005</v>
      </c>
      <c r="AB447">
        <f t="shared" si="164"/>
        <v>-893040097.35360003</v>
      </c>
      <c r="AC447">
        <f t="shared" si="165"/>
        <v>-1174332386.7044001</v>
      </c>
      <c r="AD447">
        <f t="shared" si="166"/>
        <v>-1455307924.7797999</v>
      </c>
      <c r="AE447">
        <f t="shared" si="167"/>
        <v>-1580142675.4061999</v>
      </c>
    </row>
    <row r="448" spans="1:31" x14ac:dyDescent="0.25">
      <c r="A448">
        <v>37.849006619999997</v>
      </c>
      <c r="B448">
        <v>119.5034347</v>
      </c>
      <c r="C448">
        <v>15.833525659999999</v>
      </c>
      <c r="D448">
        <v>3.028934</v>
      </c>
      <c r="E448" t="b">
        <f t="shared" si="144"/>
        <v>0</v>
      </c>
      <c r="F448">
        <f t="shared" si="145"/>
        <v>-76.138694299999983</v>
      </c>
      <c r="G448">
        <f t="shared" si="146"/>
        <v>-155.30632259999999</v>
      </c>
      <c r="H448">
        <f t="shared" si="147"/>
        <v>-234.47395090000001</v>
      </c>
      <c r="I448">
        <f t="shared" si="148"/>
        <v>-313.64157919999997</v>
      </c>
      <c r="J448">
        <f t="shared" si="149"/>
        <v>-392.80920750000001</v>
      </c>
      <c r="L448">
        <f t="shared" si="150"/>
        <v>6118446.6799999997</v>
      </c>
      <c r="M448">
        <f t="shared" si="151"/>
        <v>-130958554.19599998</v>
      </c>
      <c r="N448">
        <f t="shared" si="152"/>
        <v>-229853357.44799998</v>
      </c>
      <c r="O448">
        <f t="shared" si="153"/>
        <v>-262610825.00800005</v>
      </c>
      <c r="P448">
        <f t="shared" si="154"/>
        <v>-288550252.86399996</v>
      </c>
      <c r="Q448">
        <f t="shared" si="155"/>
        <v>-337815918.44999999</v>
      </c>
      <c r="S448">
        <f t="shared" si="156"/>
        <v>7420888.3000000007</v>
      </c>
      <c r="T448">
        <f t="shared" si="157"/>
        <v>-337014720.042</v>
      </c>
      <c r="U448">
        <f t="shared" si="158"/>
        <v>-288869760.03599995</v>
      </c>
      <c r="V448">
        <f t="shared" si="159"/>
        <v>-332953010.278</v>
      </c>
      <c r="W448">
        <f t="shared" si="160"/>
        <v>-429688963.50400001</v>
      </c>
      <c r="X448">
        <f t="shared" si="161"/>
        <v>-479227233.14999998</v>
      </c>
      <c r="Z448">
        <f t="shared" si="162"/>
        <v>8723329.9199999999</v>
      </c>
      <c r="AA448">
        <f t="shared" si="163"/>
        <v>-199483379.06599995</v>
      </c>
      <c r="AB448">
        <f t="shared" si="164"/>
        <v>-347886162.62400001</v>
      </c>
      <c r="AC448">
        <f t="shared" si="165"/>
        <v>-459568943.764</v>
      </c>
      <c r="AD448">
        <f t="shared" si="166"/>
        <v>-570827674.14400005</v>
      </c>
      <c r="AE448">
        <f t="shared" si="167"/>
        <v>-620638547.85000002</v>
      </c>
    </row>
    <row r="449" spans="1:31" x14ac:dyDescent="0.25">
      <c r="A449">
        <v>37.856581570000003</v>
      </c>
      <c r="B449">
        <v>118.570645</v>
      </c>
      <c r="C449">
        <v>43.008232120000002</v>
      </c>
      <c r="D449">
        <v>1.9290929999999999</v>
      </c>
      <c r="E449" t="b">
        <f t="shared" si="144"/>
        <v>0</v>
      </c>
      <c r="F449">
        <f t="shared" si="145"/>
        <v>-213.11206760000002</v>
      </c>
      <c r="G449">
        <f t="shared" si="146"/>
        <v>-428.1532282</v>
      </c>
      <c r="H449">
        <f t="shared" si="147"/>
        <v>-643.19438880000007</v>
      </c>
      <c r="I449">
        <f t="shared" si="148"/>
        <v>-858.23554940000008</v>
      </c>
      <c r="J449">
        <f t="shared" si="149"/>
        <v>-1073.2767100000001</v>
      </c>
      <c r="L449">
        <f t="shared" si="150"/>
        <v>3896767.86</v>
      </c>
      <c r="M449">
        <f t="shared" si="151"/>
        <v>-366552756.27200007</v>
      </c>
      <c r="N449">
        <f t="shared" si="152"/>
        <v>-633666777.73599994</v>
      </c>
      <c r="O449">
        <f t="shared" si="153"/>
        <v>-720377715.45600009</v>
      </c>
      <c r="P449">
        <f t="shared" si="154"/>
        <v>-789576705.44800007</v>
      </c>
      <c r="Q449">
        <f t="shared" si="155"/>
        <v>-923017970.60000014</v>
      </c>
      <c r="S449">
        <f t="shared" si="156"/>
        <v>4726277.8500000006</v>
      </c>
      <c r="T449">
        <f t="shared" si="157"/>
        <v>-929092505.19399989</v>
      </c>
      <c r="U449">
        <f t="shared" si="158"/>
        <v>-796365004.4519999</v>
      </c>
      <c r="V449">
        <f t="shared" si="159"/>
        <v>-913336032.09600008</v>
      </c>
      <c r="W449">
        <f t="shared" si="160"/>
        <v>-1175782702.6780002</v>
      </c>
      <c r="X449">
        <f t="shared" si="161"/>
        <v>-1309397586.2</v>
      </c>
      <c r="Z449">
        <f t="shared" si="162"/>
        <v>5555787.8399999999</v>
      </c>
      <c r="AA449">
        <f t="shared" si="163"/>
        <v>-558353617.11200011</v>
      </c>
      <c r="AB449">
        <f t="shared" si="164"/>
        <v>-959063231.1680001</v>
      </c>
      <c r="AC449">
        <f t="shared" si="165"/>
        <v>-1260661002.0480001</v>
      </c>
      <c r="AD449">
        <f t="shared" si="166"/>
        <v>-1561988699.9080002</v>
      </c>
      <c r="AE449">
        <f t="shared" si="167"/>
        <v>-1695777201.8000002</v>
      </c>
    </row>
    <row r="450" spans="1:31" x14ac:dyDescent="0.25">
      <c r="A450">
        <v>37.857139789999998</v>
      </c>
      <c r="B450">
        <v>114.90312830000001</v>
      </c>
      <c r="C450">
        <v>5.4292302100000001</v>
      </c>
      <c r="D450">
        <v>0.13498599999999999</v>
      </c>
      <c r="E450" t="b">
        <f t="shared" si="144"/>
        <v>0</v>
      </c>
      <c r="F450">
        <f t="shared" si="145"/>
        <v>-27.011165049999999</v>
      </c>
      <c r="G450">
        <f t="shared" si="146"/>
        <v>-54.157316100000003</v>
      </c>
      <c r="H450">
        <f t="shared" si="147"/>
        <v>-81.303467150000003</v>
      </c>
      <c r="I450">
        <f t="shared" si="148"/>
        <v>-108.4496182</v>
      </c>
      <c r="J450">
        <f t="shared" si="149"/>
        <v>-135.59576925000002</v>
      </c>
      <c r="L450">
        <f t="shared" si="150"/>
        <v>272671.72000000003</v>
      </c>
      <c r="M450">
        <f t="shared" si="151"/>
        <v>-46459203.886000007</v>
      </c>
      <c r="N450">
        <f t="shared" si="152"/>
        <v>-80152827.827999994</v>
      </c>
      <c r="O450">
        <f t="shared" si="153"/>
        <v>-91059883.208000019</v>
      </c>
      <c r="P450">
        <f t="shared" si="154"/>
        <v>-99773648.743999988</v>
      </c>
      <c r="Q450">
        <f t="shared" si="155"/>
        <v>-116612361.55500002</v>
      </c>
      <c r="S450">
        <f t="shared" si="156"/>
        <v>330715.7</v>
      </c>
      <c r="T450">
        <f t="shared" si="157"/>
        <v>-117521375.93700001</v>
      </c>
      <c r="U450">
        <f t="shared" si="158"/>
        <v>-100732607.94599999</v>
      </c>
      <c r="V450">
        <f t="shared" si="159"/>
        <v>-115450923.353</v>
      </c>
      <c r="W450">
        <f t="shared" si="160"/>
        <v>-148575976.93400002</v>
      </c>
      <c r="X450">
        <f t="shared" si="161"/>
        <v>-165426838.48500004</v>
      </c>
      <c r="Z450">
        <f t="shared" si="162"/>
        <v>388759.68</v>
      </c>
      <c r="AA450">
        <f t="shared" si="163"/>
        <v>-70769252.431000009</v>
      </c>
      <c r="AB450">
        <f t="shared" si="164"/>
        <v>-121312388.06400001</v>
      </c>
      <c r="AC450">
        <f t="shared" si="165"/>
        <v>-159354795.61400002</v>
      </c>
      <c r="AD450">
        <f t="shared" si="166"/>
        <v>-197378305.12400001</v>
      </c>
      <c r="AE450">
        <f t="shared" si="167"/>
        <v>-214241315.41500005</v>
      </c>
    </row>
    <row r="451" spans="1:31" x14ac:dyDescent="0.25">
      <c r="A451">
        <v>37.865941540000001</v>
      </c>
      <c r="B451">
        <v>118.92238570000001</v>
      </c>
      <c r="C451">
        <v>43.008232120000002</v>
      </c>
      <c r="D451">
        <v>1.5617549399999999</v>
      </c>
      <c r="E451" t="b">
        <f t="shared" ref="E451:E514" si="168">D451&gt;C451</f>
        <v>0</v>
      </c>
      <c r="F451">
        <f t="shared" ref="F451:F514" si="169">D451-(C451*(2030-2025))</f>
        <v>-213.47940566000003</v>
      </c>
      <c r="G451">
        <f t="shared" ref="G451:G514" si="170">D451-(C451*(2035-2025))</f>
        <v>-428.52056626000001</v>
      </c>
      <c r="H451">
        <f t="shared" ref="H451:H514" si="171">D451-(C451*(2040-2025))</f>
        <v>-643.56172686000002</v>
      </c>
      <c r="I451">
        <f t="shared" ref="I451:I514" si="172">D451-(C451*(2045-2025))</f>
        <v>-858.60288746000003</v>
      </c>
      <c r="J451">
        <f t="shared" ref="J451:J514" si="173">D451-(C451*(2050-2025))</f>
        <v>-1073.6440480600002</v>
      </c>
      <c r="L451">
        <f t="shared" ref="L451:L514" si="174">MIN(C451,D451)*1000000*((280/250)+0.9)</f>
        <v>3154744.9787999997</v>
      </c>
      <c r="M451">
        <f t="shared" ref="M451:M514" si="175">MIN(C451,F451)*1000000*((230/250)+0.8)</f>
        <v>-367184577.73520011</v>
      </c>
      <c r="N451">
        <f t="shared" ref="N451:N514" si="176">MIN(C451,G451)*1000000*((195/250)+0.7)</f>
        <v>-634210438.06480002</v>
      </c>
      <c r="O451">
        <f t="shared" ref="O451:O514" si="177">MIN(C451,H451)*1000000*((130/250)+0.6)</f>
        <v>-720789134.0832001</v>
      </c>
      <c r="P451">
        <f t="shared" ref="P451:P514" si="178">MIN(C451,I451)*1000000*((105/250)+0.5)</f>
        <v>-789914656.46319997</v>
      </c>
      <c r="Q451">
        <f t="shared" ref="Q451:Q514" si="179">MIN(C451,J451)*1000000*((90/250)+0.5)</f>
        <v>-923333881.33160019</v>
      </c>
      <c r="S451">
        <f t="shared" ref="S451:S514" si="180">MIN(C451,D451)*1000000*((325/250)+1.15)</f>
        <v>3826299.6030000001</v>
      </c>
      <c r="T451">
        <f t="shared" ref="T451:T514" si="181">MIN(C451,G451)*1000000*((280/250)+1.05)</f>
        <v>-929889628.78419995</v>
      </c>
      <c r="U451">
        <f t="shared" ref="U451:U514" si="182">MIN(C451,G451)*1000000*((227.5/250)+0.95)</f>
        <v>-797048253.24359989</v>
      </c>
      <c r="V451">
        <f t="shared" ref="V451:V514" si="183">MIN(C451,H451)*1000000*((142.5/250)+0.85)</f>
        <v>-913857652.14119995</v>
      </c>
      <c r="W451">
        <f t="shared" ref="W451:W514" si="184">MIN(C451,I451)*1000000*((142.5/250)+0.8)</f>
        <v>-1176285955.8202002</v>
      </c>
      <c r="X451">
        <f t="shared" ref="X451:X514" si="185">MIN(C451,J451)*1000000*((117.5/250)+0.75)</f>
        <v>-1309845738.6332002</v>
      </c>
      <c r="Z451">
        <f t="shared" ref="Z451:Z514" si="186">MIN(C451,D451)*1000000*((370/250)+1.4)</f>
        <v>4497854.2271999996</v>
      </c>
      <c r="AA451">
        <f t="shared" ref="AA451:AA514" si="187">MIN(C451,F451)*1000000*((330/250)+1.3)</f>
        <v>-559316042.82920015</v>
      </c>
      <c r="AB451">
        <f t="shared" ref="AB451:AB514" si="188">MIN(C451,G451)*1000000*((260/250)+1.2)</f>
        <v>-959886068.42240012</v>
      </c>
      <c r="AC451">
        <f t="shared" ref="AC451:AC514" si="189">MIN(C451,H451)*1000000*((215/250)+1.1)</f>
        <v>-1261380984.6456001</v>
      </c>
      <c r="AD451">
        <f t="shared" ref="AD451:AD514" si="190">MIN(C451,I451)*1000000*((180/250)+1.1)</f>
        <v>-1562657255.1772001</v>
      </c>
      <c r="AE451">
        <f t="shared" ref="AE451:AE514" si="191">MIN(C451,J451)*1000000*((145/250)+1)</f>
        <v>-1696357595.9348004</v>
      </c>
    </row>
    <row r="452" spans="1:31" x14ac:dyDescent="0.25">
      <c r="A452">
        <v>37.87705038</v>
      </c>
      <c r="B452">
        <v>115.2541966</v>
      </c>
      <c r="C452">
        <v>10.663947110000001</v>
      </c>
      <c r="D452">
        <v>0.21548999999999999</v>
      </c>
      <c r="E452" t="b">
        <f t="shared" si="168"/>
        <v>0</v>
      </c>
      <c r="F452">
        <f t="shared" si="169"/>
        <v>-53.104245550000002</v>
      </c>
      <c r="G452">
        <f t="shared" si="170"/>
        <v>-106.42398110000001</v>
      </c>
      <c r="H452">
        <f t="shared" si="171"/>
        <v>-159.74371665000001</v>
      </c>
      <c r="I452">
        <f t="shared" si="172"/>
        <v>-213.06345220000003</v>
      </c>
      <c r="J452">
        <f t="shared" si="173"/>
        <v>-266.38318775000005</v>
      </c>
      <c r="L452">
        <f t="shared" si="174"/>
        <v>435289.8</v>
      </c>
      <c r="M452">
        <f t="shared" si="175"/>
        <v>-91339302.346000016</v>
      </c>
      <c r="N452">
        <f t="shared" si="176"/>
        <v>-157507492.028</v>
      </c>
      <c r="O452">
        <f t="shared" si="177"/>
        <v>-178912962.64800003</v>
      </c>
      <c r="P452">
        <f t="shared" si="178"/>
        <v>-196018376.02399999</v>
      </c>
      <c r="Q452">
        <f t="shared" si="179"/>
        <v>-229089541.46500003</v>
      </c>
      <c r="S452">
        <f t="shared" si="180"/>
        <v>527950.5</v>
      </c>
      <c r="T452">
        <f t="shared" si="181"/>
        <v>-230940038.98700002</v>
      </c>
      <c r="U452">
        <f t="shared" si="182"/>
        <v>-197948604.84600002</v>
      </c>
      <c r="V452">
        <f t="shared" si="183"/>
        <v>-226836077.64300001</v>
      </c>
      <c r="W452">
        <f t="shared" si="184"/>
        <v>-291896929.51400006</v>
      </c>
      <c r="X452">
        <f t="shared" si="185"/>
        <v>-324987489.05500007</v>
      </c>
      <c r="Z452">
        <f t="shared" si="186"/>
        <v>620611.19999999995</v>
      </c>
      <c r="AA452">
        <f t="shared" si="187"/>
        <v>-139133123.34100002</v>
      </c>
      <c r="AB452">
        <f t="shared" si="188"/>
        <v>-238389717.66400003</v>
      </c>
      <c r="AC452">
        <f t="shared" si="189"/>
        <v>-313097684.634</v>
      </c>
      <c r="AD452">
        <f t="shared" si="190"/>
        <v>-387775483.00400007</v>
      </c>
      <c r="AE452">
        <f t="shared" si="191"/>
        <v>-420885436.6450001</v>
      </c>
    </row>
    <row r="453" spans="1:31" x14ac:dyDescent="0.25">
      <c r="A453">
        <v>37.884125109999999</v>
      </c>
      <c r="B453">
        <v>118.7503018</v>
      </c>
      <c r="C453">
        <v>43.008232120000002</v>
      </c>
      <c r="D453">
        <v>66.016807560000004</v>
      </c>
      <c r="E453" t="b">
        <f t="shared" si="168"/>
        <v>1</v>
      </c>
      <c r="F453">
        <f t="shared" si="169"/>
        <v>-149.02435303999999</v>
      </c>
      <c r="G453">
        <f t="shared" si="170"/>
        <v>-364.06551364000001</v>
      </c>
      <c r="H453">
        <f t="shared" si="171"/>
        <v>-579.10667424000007</v>
      </c>
      <c r="I453">
        <f t="shared" si="172"/>
        <v>-794.14783484000009</v>
      </c>
      <c r="J453">
        <f t="shared" si="173"/>
        <v>-1009.1889954400001</v>
      </c>
      <c r="L453">
        <f t="shared" si="174"/>
        <v>86876628.882400006</v>
      </c>
      <c r="M453">
        <f t="shared" si="175"/>
        <v>-256321887.22880003</v>
      </c>
      <c r="N453">
        <f t="shared" si="176"/>
        <v>-538816960.18719995</v>
      </c>
      <c r="O453">
        <f t="shared" si="177"/>
        <v>-648599475.14880025</v>
      </c>
      <c r="P453">
        <f t="shared" si="178"/>
        <v>-730616008.05279994</v>
      </c>
      <c r="Q453">
        <f t="shared" si="179"/>
        <v>-867902536.07840002</v>
      </c>
      <c r="S453">
        <f t="shared" si="180"/>
        <v>105370168.69400002</v>
      </c>
      <c r="T453">
        <f t="shared" si="181"/>
        <v>-790022164.59879994</v>
      </c>
      <c r="U453">
        <f t="shared" si="182"/>
        <v>-677161855.37039995</v>
      </c>
      <c r="V453">
        <f t="shared" si="183"/>
        <v>-822331477.42080009</v>
      </c>
      <c r="W453">
        <f t="shared" si="184"/>
        <v>-1087982533.7308002</v>
      </c>
      <c r="X453">
        <f t="shared" si="185"/>
        <v>-1231210574.4368</v>
      </c>
      <c r="Z453">
        <f t="shared" si="186"/>
        <v>123863708.50560001</v>
      </c>
      <c r="AA453">
        <f t="shared" si="187"/>
        <v>-390443804.9648</v>
      </c>
      <c r="AB453">
        <f t="shared" si="188"/>
        <v>-815506750.55360007</v>
      </c>
      <c r="AC453">
        <f t="shared" si="189"/>
        <v>-1135049081.5104003</v>
      </c>
      <c r="AD453">
        <f t="shared" si="190"/>
        <v>-1445349059.4088001</v>
      </c>
      <c r="AE453">
        <f t="shared" si="191"/>
        <v>-1594518612.7952001</v>
      </c>
    </row>
    <row r="454" spans="1:31" x14ac:dyDescent="0.25">
      <c r="A454">
        <v>37.885947280000003</v>
      </c>
      <c r="B454">
        <v>117.8170741</v>
      </c>
      <c r="C454">
        <v>0</v>
      </c>
      <c r="D454">
        <v>2.24981594</v>
      </c>
      <c r="E454" t="b">
        <f t="shared" si="168"/>
        <v>1</v>
      </c>
      <c r="F454">
        <f t="shared" si="169"/>
        <v>2.24981594</v>
      </c>
      <c r="G454">
        <f t="shared" si="170"/>
        <v>2.24981594</v>
      </c>
      <c r="H454">
        <f t="shared" si="171"/>
        <v>2.24981594</v>
      </c>
      <c r="I454">
        <f t="shared" si="172"/>
        <v>2.24981594</v>
      </c>
      <c r="J454">
        <f t="shared" si="173"/>
        <v>2.24981594</v>
      </c>
      <c r="L454">
        <f t="shared" si="174"/>
        <v>0</v>
      </c>
      <c r="M454">
        <f t="shared" si="175"/>
        <v>0</v>
      </c>
      <c r="N454">
        <f t="shared" si="176"/>
        <v>0</v>
      </c>
      <c r="O454">
        <f t="shared" si="177"/>
        <v>0</v>
      </c>
      <c r="P454">
        <f t="shared" si="178"/>
        <v>0</v>
      </c>
      <c r="Q454">
        <f t="shared" si="179"/>
        <v>0</v>
      </c>
      <c r="S454">
        <f t="shared" si="180"/>
        <v>0</v>
      </c>
      <c r="T454">
        <f t="shared" si="181"/>
        <v>0</v>
      </c>
      <c r="U454">
        <f t="shared" si="182"/>
        <v>0</v>
      </c>
      <c r="V454">
        <f t="shared" si="183"/>
        <v>0</v>
      </c>
      <c r="W454">
        <f t="shared" si="184"/>
        <v>0</v>
      </c>
      <c r="X454">
        <f t="shared" si="185"/>
        <v>0</v>
      </c>
      <c r="Z454">
        <f t="shared" si="186"/>
        <v>0</v>
      </c>
      <c r="AA454">
        <f t="shared" si="187"/>
        <v>0</v>
      </c>
      <c r="AB454">
        <f t="shared" si="188"/>
        <v>0</v>
      </c>
      <c r="AC454">
        <f t="shared" si="189"/>
        <v>0</v>
      </c>
      <c r="AD454">
        <f t="shared" si="190"/>
        <v>0</v>
      </c>
      <c r="AE454">
        <f t="shared" si="191"/>
        <v>0</v>
      </c>
    </row>
    <row r="455" spans="1:31" x14ac:dyDescent="0.25">
      <c r="A455">
        <v>37.89296023</v>
      </c>
      <c r="B455">
        <v>91.280076750000006</v>
      </c>
      <c r="C455">
        <v>20.624670030000001</v>
      </c>
      <c r="D455">
        <v>4.7342062</v>
      </c>
      <c r="E455" t="b">
        <f t="shared" si="168"/>
        <v>0</v>
      </c>
      <c r="F455">
        <f t="shared" si="169"/>
        <v>-98.389143950000005</v>
      </c>
      <c r="G455">
        <f t="shared" si="170"/>
        <v>-201.51249410000003</v>
      </c>
      <c r="H455">
        <f t="shared" si="171"/>
        <v>-304.63584424999999</v>
      </c>
      <c r="I455">
        <f t="shared" si="172"/>
        <v>-407.75919440000001</v>
      </c>
      <c r="J455">
        <f t="shared" si="173"/>
        <v>-510.88254455000003</v>
      </c>
      <c r="L455">
        <f t="shared" si="174"/>
        <v>9563096.5240000002</v>
      </c>
      <c r="M455">
        <f t="shared" si="175"/>
        <v>-169229327.59400001</v>
      </c>
      <c r="N455">
        <f t="shared" si="176"/>
        <v>-298238491.26800001</v>
      </c>
      <c r="O455">
        <f t="shared" si="177"/>
        <v>-341192145.56000006</v>
      </c>
      <c r="P455">
        <f t="shared" si="178"/>
        <v>-375138458.84799999</v>
      </c>
      <c r="Q455">
        <f t="shared" si="179"/>
        <v>-439358988.31300002</v>
      </c>
      <c r="S455">
        <f t="shared" si="180"/>
        <v>11598805.190000001</v>
      </c>
      <c r="T455">
        <f t="shared" si="181"/>
        <v>-437282112.19700003</v>
      </c>
      <c r="U455">
        <f t="shared" si="182"/>
        <v>-374813239.02600002</v>
      </c>
      <c r="V455">
        <f t="shared" si="183"/>
        <v>-432582898.83499998</v>
      </c>
      <c r="W455">
        <f t="shared" si="184"/>
        <v>-558630096.32800007</v>
      </c>
      <c r="X455">
        <f t="shared" si="185"/>
        <v>-623276704.35099995</v>
      </c>
      <c r="Z455">
        <f t="shared" si="186"/>
        <v>13634513.856000001</v>
      </c>
      <c r="AA455">
        <f t="shared" si="187"/>
        <v>-257779557.14900002</v>
      </c>
      <c r="AB455">
        <f t="shared" si="188"/>
        <v>-451387986.7840001</v>
      </c>
      <c r="AC455">
        <f t="shared" si="189"/>
        <v>-597086254.73000002</v>
      </c>
      <c r="AD455">
        <f t="shared" si="190"/>
        <v>-742121733.80800009</v>
      </c>
      <c r="AE455">
        <f t="shared" si="191"/>
        <v>-807194420.38900006</v>
      </c>
    </row>
    <row r="456" spans="1:31" x14ac:dyDescent="0.25">
      <c r="A456">
        <v>37.89296745</v>
      </c>
      <c r="B456">
        <v>119.10218879999999</v>
      </c>
      <c r="C456">
        <v>12.942860599999999</v>
      </c>
      <c r="D456">
        <v>181.1973419</v>
      </c>
      <c r="E456" t="b">
        <f t="shared" si="168"/>
        <v>1</v>
      </c>
      <c r="F456">
        <f t="shared" si="169"/>
        <v>116.4830389</v>
      </c>
      <c r="G456">
        <f t="shared" si="170"/>
        <v>51.768735899999996</v>
      </c>
      <c r="H456">
        <f t="shared" si="171"/>
        <v>-12.945567100000005</v>
      </c>
      <c r="I456">
        <f t="shared" si="172"/>
        <v>-77.659870100000006</v>
      </c>
      <c r="J456">
        <f t="shared" si="173"/>
        <v>-142.37417309999998</v>
      </c>
      <c r="L456">
        <f t="shared" si="174"/>
        <v>26144578.412</v>
      </c>
      <c r="M456">
        <f t="shared" si="175"/>
        <v>22261720.232000001</v>
      </c>
      <c r="N456">
        <f t="shared" si="176"/>
        <v>19155433.688000001</v>
      </c>
      <c r="O456">
        <f t="shared" si="177"/>
        <v>-14499035.152000008</v>
      </c>
      <c r="P456">
        <f t="shared" si="178"/>
        <v>-71447080.491999999</v>
      </c>
      <c r="Q456">
        <f t="shared" si="179"/>
        <v>-122441788.86599997</v>
      </c>
      <c r="S456">
        <f t="shared" si="180"/>
        <v>31710008.470000003</v>
      </c>
      <c r="T456">
        <f t="shared" si="181"/>
        <v>28086007.501999997</v>
      </c>
      <c r="U456">
        <f t="shared" si="182"/>
        <v>24073720.715999998</v>
      </c>
      <c r="V456">
        <f t="shared" si="183"/>
        <v>-18382705.282000005</v>
      </c>
      <c r="W456">
        <f t="shared" si="184"/>
        <v>-106394022.03700002</v>
      </c>
      <c r="X456">
        <f t="shared" si="185"/>
        <v>-173696491.18199995</v>
      </c>
      <c r="Z456">
        <f t="shared" si="186"/>
        <v>37275438.527999997</v>
      </c>
      <c r="AA456">
        <f t="shared" si="187"/>
        <v>33910294.772</v>
      </c>
      <c r="AB456">
        <f t="shared" si="188"/>
        <v>28992007.744000003</v>
      </c>
      <c r="AC456">
        <f t="shared" si="189"/>
        <v>-25373311.51600001</v>
      </c>
      <c r="AD456">
        <f t="shared" si="190"/>
        <v>-141340963.58200002</v>
      </c>
      <c r="AE456">
        <f t="shared" si="191"/>
        <v>-224951193.49799997</v>
      </c>
    </row>
    <row r="457" spans="1:31" x14ac:dyDescent="0.25">
      <c r="A457">
        <v>37.89452601</v>
      </c>
      <c r="B457">
        <v>119.9207759</v>
      </c>
      <c r="C457">
        <v>15.833525659999999</v>
      </c>
      <c r="D457">
        <v>5.5093789099999997</v>
      </c>
      <c r="E457" t="b">
        <f t="shared" si="168"/>
        <v>0</v>
      </c>
      <c r="F457">
        <f t="shared" si="169"/>
        <v>-73.658249389999995</v>
      </c>
      <c r="G457">
        <f t="shared" si="170"/>
        <v>-152.82587768999997</v>
      </c>
      <c r="H457">
        <f t="shared" si="171"/>
        <v>-231.99350598999999</v>
      </c>
      <c r="I457">
        <f t="shared" si="172"/>
        <v>-311.16113428999995</v>
      </c>
      <c r="J457">
        <f t="shared" si="173"/>
        <v>-390.32876259</v>
      </c>
      <c r="L457">
        <f t="shared" si="174"/>
        <v>11128945.3982</v>
      </c>
      <c r="M457">
        <f t="shared" si="175"/>
        <v>-126692188.95080002</v>
      </c>
      <c r="N457">
        <f t="shared" si="176"/>
        <v>-226182298.98119995</v>
      </c>
      <c r="O457">
        <f t="shared" si="177"/>
        <v>-259832726.70879999</v>
      </c>
      <c r="P457">
        <f t="shared" si="178"/>
        <v>-286268243.54679996</v>
      </c>
      <c r="Q457">
        <f t="shared" si="179"/>
        <v>-335682735.82739997</v>
      </c>
      <c r="S457">
        <f t="shared" si="180"/>
        <v>13497978.329500001</v>
      </c>
      <c r="T457">
        <f t="shared" si="181"/>
        <v>-331632154.58729994</v>
      </c>
      <c r="U457">
        <f t="shared" si="182"/>
        <v>-284256132.50339991</v>
      </c>
      <c r="V457">
        <f t="shared" si="183"/>
        <v>-329430778.50579995</v>
      </c>
      <c r="W457">
        <f t="shared" si="184"/>
        <v>-426290753.97729999</v>
      </c>
      <c r="X457">
        <f t="shared" si="185"/>
        <v>-476201090.35979998</v>
      </c>
      <c r="Z457">
        <f t="shared" si="186"/>
        <v>15867011.2608</v>
      </c>
      <c r="AA457">
        <f t="shared" si="187"/>
        <v>-192984613.40180001</v>
      </c>
      <c r="AB457">
        <f t="shared" si="188"/>
        <v>-342329966.02559996</v>
      </c>
      <c r="AC457">
        <f t="shared" si="189"/>
        <v>-454707271.74039996</v>
      </c>
      <c r="AD457">
        <f t="shared" si="190"/>
        <v>-566313264.40779996</v>
      </c>
      <c r="AE457">
        <f t="shared" si="191"/>
        <v>-616719444.89219999</v>
      </c>
    </row>
    <row r="458" spans="1:31" x14ac:dyDescent="0.25">
      <c r="A458">
        <v>37.898590089999999</v>
      </c>
      <c r="B458">
        <v>114.96608380000001</v>
      </c>
      <c r="C458">
        <v>5.4292302100000001</v>
      </c>
      <c r="D458">
        <v>0.40658399000000001</v>
      </c>
      <c r="E458" t="b">
        <f t="shared" si="168"/>
        <v>0</v>
      </c>
      <c r="F458">
        <f t="shared" si="169"/>
        <v>-26.739567059999999</v>
      </c>
      <c r="G458">
        <f t="shared" si="170"/>
        <v>-53.885718109999999</v>
      </c>
      <c r="H458">
        <f t="shared" si="171"/>
        <v>-81.031869159999999</v>
      </c>
      <c r="I458">
        <f t="shared" si="172"/>
        <v>-108.17802021</v>
      </c>
      <c r="J458">
        <f t="shared" si="173"/>
        <v>-135.32417126000001</v>
      </c>
      <c r="L458">
        <f t="shared" si="174"/>
        <v>821299.65980000002</v>
      </c>
      <c r="M458">
        <f t="shared" si="175"/>
        <v>-45992055.343200006</v>
      </c>
      <c r="N458">
        <f t="shared" si="176"/>
        <v>-79750862.8028</v>
      </c>
      <c r="O458">
        <f t="shared" si="177"/>
        <v>-90755693.45920001</v>
      </c>
      <c r="P458">
        <f t="shared" si="178"/>
        <v>-99523778.593199983</v>
      </c>
      <c r="Q458">
        <f t="shared" si="179"/>
        <v>-116378787.28360002</v>
      </c>
      <c r="S458">
        <f t="shared" si="180"/>
        <v>996130.77550000011</v>
      </c>
      <c r="T458">
        <f t="shared" si="181"/>
        <v>-116932008.29869999</v>
      </c>
      <c r="U458">
        <f t="shared" si="182"/>
        <v>-100227435.6846</v>
      </c>
      <c r="V458">
        <f t="shared" si="183"/>
        <v>-115065254.20719999</v>
      </c>
      <c r="W458">
        <f t="shared" si="184"/>
        <v>-148203887.6877</v>
      </c>
      <c r="X458">
        <f t="shared" si="185"/>
        <v>-165095488.93720001</v>
      </c>
      <c r="Z458">
        <f t="shared" si="186"/>
        <v>1170961.8912</v>
      </c>
      <c r="AA458">
        <f t="shared" si="187"/>
        <v>-70057665.6972</v>
      </c>
      <c r="AB458">
        <f t="shared" si="188"/>
        <v>-120704008.56640001</v>
      </c>
      <c r="AC458">
        <f t="shared" si="189"/>
        <v>-158822463.55359998</v>
      </c>
      <c r="AD458">
        <f t="shared" si="190"/>
        <v>-196883996.78220001</v>
      </c>
      <c r="AE458">
        <f t="shared" si="191"/>
        <v>-213812190.59080005</v>
      </c>
    </row>
    <row r="459" spans="1:31" x14ac:dyDescent="0.25">
      <c r="A459">
        <v>37.899139869999999</v>
      </c>
      <c r="B459">
        <v>119.04483070000001</v>
      </c>
      <c r="C459">
        <v>40.0941124</v>
      </c>
      <c r="D459">
        <v>30.594505309999999</v>
      </c>
      <c r="E459" t="b">
        <f t="shared" si="168"/>
        <v>0</v>
      </c>
      <c r="F459">
        <f t="shared" si="169"/>
        <v>-169.87605669000001</v>
      </c>
      <c r="G459">
        <f t="shared" si="170"/>
        <v>-370.34661869000001</v>
      </c>
      <c r="H459">
        <f t="shared" si="171"/>
        <v>-570.81718068999999</v>
      </c>
      <c r="I459">
        <f t="shared" si="172"/>
        <v>-771.28774268999996</v>
      </c>
      <c r="J459">
        <f t="shared" si="173"/>
        <v>-971.75830468999993</v>
      </c>
      <c r="L459">
        <f t="shared" si="174"/>
        <v>61800900.726199999</v>
      </c>
      <c r="M459">
        <f t="shared" si="175"/>
        <v>-292186817.50680006</v>
      </c>
      <c r="N459">
        <f t="shared" si="176"/>
        <v>-548112995.66120005</v>
      </c>
      <c r="O459">
        <f t="shared" si="177"/>
        <v>-639315242.37279999</v>
      </c>
      <c r="P459">
        <f t="shared" si="178"/>
        <v>-709584723.27479994</v>
      </c>
      <c r="Q459">
        <f t="shared" si="179"/>
        <v>-835712142.03339994</v>
      </c>
      <c r="S459">
        <f t="shared" si="180"/>
        <v>74956538.009499997</v>
      </c>
      <c r="T459">
        <f t="shared" si="181"/>
        <v>-803652162.55729997</v>
      </c>
      <c r="U459">
        <f t="shared" si="182"/>
        <v>-688844710.76339996</v>
      </c>
      <c r="V459">
        <f t="shared" si="183"/>
        <v>-810560396.57979989</v>
      </c>
      <c r="W459">
        <f t="shared" si="184"/>
        <v>-1056664207.4852999</v>
      </c>
      <c r="X459">
        <f t="shared" si="185"/>
        <v>-1185545131.7217999</v>
      </c>
      <c r="Z459">
        <f t="shared" si="186"/>
        <v>88112175.292799994</v>
      </c>
      <c r="AA459">
        <f t="shared" si="187"/>
        <v>-445075268.52780008</v>
      </c>
      <c r="AB459">
        <f t="shared" si="188"/>
        <v>-829576425.86560011</v>
      </c>
      <c r="AC459">
        <f t="shared" si="189"/>
        <v>-1118801674.1523998</v>
      </c>
      <c r="AD459">
        <f t="shared" si="190"/>
        <v>-1403743691.6957998</v>
      </c>
      <c r="AE459">
        <f t="shared" si="191"/>
        <v>-1535378121.4101999</v>
      </c>
    </row>
    <row r="460" spans="1:31" x14ac:dyDescent="0.25">
      <c r="A460">
        <v>37.902066040000001</v>
      </c>
      <c r="B460">
        <v>118.5781368</v>
      </c>
      <c r="C460">
        <v>43.008232120000002</v>
      </c>
      <c r="D460">
        <v>18.496994019999999</v>
      </c>
      <c r="E460" t="b">
        <f t="shared" si="168"/>
        <v>0</v>
      </c>
      <c r="F460">
        <f t="shared" si="169"/>
        <v>-196.54416658000002</v>
      </c>
      <c r="G460">
        <f t="shared" si="170"/>
        <v>-411.58532718000004</v>
      </c>
      <c r="H460">
        <f t="shared" si="171"/>
        <v>-626.62648778000005</v>
      </c>
      <c r="I460">
        <f t="shared" si="172"/>
        <v>-841.66764838000006</v>
      </c>
      <c r="J460">
        <f t="shared" si="173"/>
        <v>-1056.70880898</v>
      </c>
      <c r="L460">
        <f t="shared" si="174"/>
        <v>37363927.920400001</v>
      </c>
      <c r="M460">
        <f t="shared" si="175"/>
        <v>-338055966.51760006</v>
      </c>
      <c r="N460">
        <f t="shared" si="176"/>
        <v>-609146284.22640002</v>
      </c>
      <c r="O460">
        <f t="shared" si="177"/>
        <v>-701821666.31360018</v>
      </c>
      <c r="P460">
        <f t="shared" si="178"/>
        <v>-774334236.50960004</v>
      </c>
      <c r="Q460">
        <f t="shared" si="179"/>
        <v>-908769575.7227999</v>
      </c>
      <c r="S460">
        <f t="shared" si="180"/>
        <v>45317635.348999999</v>
      </c>
      <c r="T460">
        <f t="shared" si="181"/>
        <v>-893140159.9806</v>
      </c>
      <c r="U460">
        <f t="shared" si="182"/>
        <v>-765548708.55479991</v>
      </c>
      <c r="V460">
        <f t="shared" si="183"/>
        <v>-889809612.64760005</v>
      </c>
      <c r="W460">
        <f t="shared" si="184"/>
        <v>-1153084678.2806003</v>
      </c>
      <c r="X460">
        <f t="shared" si="185"/>
        <v>-1289184746.9555998</v>
      </c>
      <c r="Z460">
        <f t="shared" si="186"/>
        <v>53271342.777599998</v>
      </c>
      <c r="AA460">
        <f t="shared" si="187"/>
        <v>-514945716.43960005</v>
      </c>
      <c r="AB460">
        <f t="shared" si="188"/>
        <v>-921951132.88320005</v>
      </c>
      <c r="AC460">
        <f t="shared" si="189"/>
        <v>-1228187916.0488002</v>
      </c>
      <c r="AD460">
        <f t="shared" si="190"/>
        <v>-1531835120.0516002</v>
      </c>
      <c r="AE460">
        <f t="shared" si="191"/>
        <v>-1669599918.1884</v>
      </c>
    </row>
    <row r="461" spans="1:31" x14ac:dyDescent="0.25">
      <c r="A461">
        <v>37.908917459999998</v>
      </c>
      <c r="B461">
        <v>118.0539759</v>
      </c>
      <c r="C461">
        <v>76.896270749999999</v>
      </c>
      <c r="D461">
        <v>0.37020901000000001</v>
      </c>
      <c r="E461" t="b">
        <f t="shared" si="168"/>
        <v>0</v>
      </c>
      <c r="F461">
        <f t="shared" si="169"/>
        <v>-384.11114473999999</v>
      </c>
      <c r="G461">
        <f t="shared" si="170"/>
        <v>-768.59249848999991</v>
      </c>
      <c r="H461">
        <f t="shared" si="171"/>
        <v>-1153.07385224</v>
      </c>
      <c r="I461">
        <f t="shared" si="172"/>
        <v>-1537.5552059899999</v>
      </c>
      <c r="J461">
        <f t="shared" si="173"/>
        <v>-1922.03655974</v>
      </c>
      <c r="L461">
        <f t="shared" si="174"/>
        <v>747822.20020000008</v>
      </c>
      <c r="M461">
        <f t="shared" si="175"/>
        <v>-660671168.95280004</v>
      </c>
      <c r="N461">
        <f t="shared" si="176"/>
        <v>-1137516897.7651999</v>
      </c>
      <c r="O461">
        <f t="shared" si="177"/>
        <v>-1291442714.5088</v>
      </c>
      <c r="P461">
        <f t="shared" si="178"/>
        <v>-1414550789.5107996</v>
      </c>
      <c r="Q461">
        <f t="shared" si="179"/>
        <v>-1652951441.3764</v>
      </c>
      <c r="S461">
        <f t="shared" si="180"/>
        <v>907012.0745000001</v>
      </c>
      <c r="T461">
        <f t="shared" si="181"/>
        <v>-1667845721.7232997</v>
      </c>
      <c r="U461">
        <f t="shared" si="182"/>
        <v>-1429582047.1913998</v>
      </c>
      <c r="V461">
        <f t="shared" si="183"/>
        <v>-1637364870.1808</v>
      </c>
      <c r="W461">
        <f t="shared" si="184"/>
        <v>-2106450632.2062998</v>
      </c>
      <c r="X461">
        <f t="shared" si="185"/>
        <v>-2344884602.8828001</v>
      </c>
      <c r="Z461">
        <f t="shared" si="186"/>
        <v>1066201.9487999999</v>
      </c>
      <c r="AA461">
        <f t="shared" si="187"/>
        <v>-1006371199.2188001</v>
      </c>
      <c r="AB461">
        <f t="shared" si="188"/>
        <v>-1721647196.6176</v>
      </c>
      <c r="AC461">
        <f t="shared" si="189"/>
        <v>-2260024750.3903999</v>
      </c>
      <c r="AD461">
        <f t="shared" si="190"/>
        <v>-2798350474.9017997</v>
      </c>
      <c r="AE461">
        <f t="shared" si="191"/>
        <v>-3036817764.3892002</v>
      </c>
    </row>
    <row r="462" spans="1:31" x14ac:dyDescent="0.25">
      <c r="A462">
        <v>37.914114329999997</v>
      </c>
      <c r="B462">
        <v>119.74887200000001</v>
      </c>
      <c r="C462">
        <v>15.833525659999999</v>
      </c>
      <c r="D462">
        <v>3.6729190300000001</v>
      </c>
      <c r="E462" t="b">
        <f t="shared" si="168"/>
        <v>0</v>
      </c>
      <c r="F462">
        <f t="shared" si="169"/>
        <v>-75.494709269999987</v>
      </c>
      <c r="G462">
        <f t="shared" si="170"/>
        <v>-154.66233756999998</v>
      </c>
      <c r="H462">
        <f t="shared" si="171"/>
        <v>-233.82996587</v>
      </c>
      <c r="I462">
        <f t="shared" si="172"/>
        <v>-312.99759416999996</v>
      </c>
      <c r="J462">
        <f t="shared" si="173"/>
        <v>-392.16522247</v>
      </c>
      <c r="L462">
        <f t="shared" si="174"/>
        <v>7419296.4406000003</v>
      </c>
      <c r="M462">
        <f t="shared" si="175"/>
        <v>-129850899.94439998</v>
      </c>
      <c r="N462">
        <f t="shared" si="176"/>
        <v>-228900259.60359994</v>
      </c>
      <c r="O462">
        <f t="shared" si="177"/>
        <v>-261889561.77440003</v>
      </c>
      <c r="P462">
        <f t="shared" si="178"/>
        <v>-287957786.63639992</v>
      </c>
      <c r="Q462">
        <f t="shared" si="179"/>
        <v>-337262091.32420003</v>
      </c>
      <c r="S462">
        <f t="shared" si="180"/>
        <v>8998651.6235000007</v>
      </c>
      <c r="T462">
        <f t="shared" si="181"/>
        <v>-335617272.52689993</v>
      </c>
      <c r="U462">
        <f t="shared" si="182"/>
        <v>-287671947.88019991</v>
      </c>
      <c r="V462">
        <f t="shared" si="183"/>
        <v>-332038551.53539997</v>
      </c>
      <c r="W462">
        <f t="shared" si="184"/>
        <v>-428806704.01289999</v>
      </c>
      <c r="X462">
        <f t="shared" si="185"/>
        <v>-478441571.41340005</v>
      </c>
      <c r="Z462">
        <f t="shared" si="186"/>
        <v>10578006.806400001</v>
      </c>
      <c r="AA462">
        <f t="shared" si="187"/>
        <v>-197796138.28739995</v>
      </c>
      <c r="AB462">
        <f t="shared" si="188"/>
        <v>-346443636.15679997</v>
      </c>
      <c r="AC462">
        <f t="shared" si="189"/>
        <v>-458306733.10519999</v>
      </c>
      <c r="AD462">
        <f t="shared" si="190"/>
        <v>-569655621.38939989</v>
      </c>
      <c r="AE462">
        <f t="shared" si="191"/>
        <v>-619621051.50260007</v>
      </c>
    </row>
    <row r="463" spans="1:31" x14ac:dyDescent="0.25">
      <c r="A463">
        <v>37.91831895</v>
      </c>
      <c r="B463">
        <v>115.3173575</v>
      </c>
      <c r="C463">
        <v>10.663947110000001</v>
      </c>
      <c r="D463">
        <v>0.70071000000000006</v>
      </c>
      <c r="E463" t="b">
        <f t="shared" si="168"/>
        <v>0</v>
      </c>
      <c r="F463">
        <f t="shared" si="169"/>
        <v>-52.619025550000003</v>
      </c>
      <c r="G463">
        <f t="shared" si="170"/>
        <v>-105.93876110000001</v>
      </c>
      <c r="H463">
        <f t="shared" si="171"/>
        <v>-159.25849665000001</v>
      </c>
      <c r="I463">
        <f t="shared" si="172"/>
        <v>-212.57823220000003</v>
      </c>
      <c r="J463">
        <f t="shared" si="173"/>
        <v>-265.89796775000002</v>
      </c>
      <c r="L463">
        <f t="shared" si="174"/>
        <v>1415434.2</v>
      </c>
      <c r="M463">
        <f t="shared" si="175"/>
        <v>-90504723.946000025</v>
      </c>
      <c r="N463">
        <f t="shared" si="176"/>
        <v>-156789366.428</v>
      </c>
      <c r="O463">
        <f t="shared" si="177"/>
        <v>-178369516.24800003</v>
      </c>
      <c r="P463">
        <f t="shared" si="178"/>
        <v>-195571973.62400001</v>
      </c>
      <c r="Q463">
        <f t="shared" si="179"/>
        <v>-228672252.26500002</v>
      </c>
      <c r="S463">
        <f t="shared" si="180"/>
        <v>1716739.5000000002</v>
      </c>
      <c r="T463">
        <f t="shared" si="181"/>
        <v>-229887111.58700001</v>
      </c>
      <c r="U463">
        <f t="shared" si="182"/>
        <v>-197046095.646</v>
      </c>
      <c r="V463">
        <f t="shared" si="183"/>
        <v>-226147065.243</v>
      </c>
      <c r="W463">
        <f t="shared" si="184"/>
        <v>-291232178.11400002</v>
      </c>
      <c r="X463">
        <f t="shared" si="185"/>
        <v>-324395520.65500003</v>
      </c>
      <c r="Z463">
        <f t="shared" si="186"/>
        <v>2018044.7999999998</v>
      </c>
      <c r="AA463">
        <f t="shared" si="187"/>
        <v>-137861846.94100001</v>
      </c>
      <c r="AB463">
        <f t="shared" si="188"/>
        <v>-237302824.86400005</v>
      </c>
      <c r="AC463">
        <f t="shared" si="189"/>
        <v>-312146653.43400002</v>
      </c>
      <c r="AD463">
        <f t="shared" si="190"/>
        <v>-386892382.60400003</v>
      </c>
      <c r="AE463">
        <f t="shared" si="191"/>
        <v>-420118789.04500008</v>
      </c>
    </row>
    <row r="464" spans="1:31" x14ac:dyDescent="0.25">
      <c r="A464">
        <v>37.919764170000001</v>
      </c>
      <c r="B464">
        <v>118.4058919</v>
      </c>
      <c r="C464">
        <v>43.008232120000002</v>
      </c>
      <c r="D464">
        <v>1.75690806</v>
      </c>
      <c r="E464" t="b">
        <f t="shared" si="168"/>
        <v>0</v>
      </c>
      <c r="F464">
        <f t="shared" si="169"/>
        <v>-213.28425254000001</v>
      </c>
      <c r="G464">
        <f t="shared" si="170"/>
        <v>-428.32541314000002</v>
      </c>
      <c r="H464">
        <f t="shared" si="171"/>
        <v>-643.36657374000004</v>
      </c>
      <c r="I464">
        <f t="shared" si="172"/>
        <v>-858.40773434000005</v>
      </c>
      <c r="J464">
        <f t="shared" si="173"/>
        <v>-1073.4488949400002</v>
      </c>
      <c r="L464">
        <f t="shared" si="174"/>
        <v>3548954.2812000001</v>
      </c>
      <c r="M464">
        <f t="shared" si="175"/>
        <v>-366848914.3688001</v>
      </c>
      <c r="N464">
        <f t="shared" si="176"/>
        <v>-633921611.44720006</v>
      </c>
      <c r="O464">
        <f t="shared" si="177"/>
        <v>-720570562.58880007</v>
      </c>
      <c r="P464">
        <f t="shared" si="178"/>
        <v>-789735115.59280002</v>
      </c>
      <c r="Q464">
        <f t="shared" si="179"/>
        <v>-923166049.64840019</v>
      </c>
      <c r="S464">
        <f t="shared" si="180"/>
        <v>4304424.7470000004</v>
      </c>
      <c r="T464">
        <f t="shared" si="181"/>
        <v>-929466146.51380002</v>
      </c>
      <c r="U464">
        <f t="shared" si="182"/>
        <v>-796685268.4404</v>
      </c>
      <c r="V464">
        <f t="shared" si="183"/>
        <v>-913580534.71079993</v>
      </c>
      <c r="W464">
        <f t="shared" si="184"/>
        <v>-1176018596.0458002</v>
      </c>
      <c r="X464">
        <f t="shared" si="185"/>
        <v>-1309607651.8268001</v>
      </c>
      <c r="Z464">
        <f t="shared" si="186"/>
        <v>5059895.2127999999</v>
      </c>
      <c r="AA464">
        <f t="shared" si="187"/>
        <v>-558804741.65480006</v>
      </c>
      <c r="AB464">
        <f t="shared" si="188"/>
        <v>-959448925.43360019</v>
      </c>
      <c r="AC464">
        <f t="shared" si="189"/>
        <v>-1260998484.5304</v>
      </c>
      <c r="AD464">
        <f t="shared" si="190"/>
        <v>-1562302076.4988</v>
      </c>
      <c r="AE464">
        <f t="shared" si="191"/>
        <v>-1696049254.0052004</v>
      </c>
    </row>
    <row r="465" spans="1:31" x14ac:dyDescent="0.25">
      <c r="A465">
        <v>37.920080759999998</v>
      </c>
      <c r="B465">
        <v>120.1009864</v>
      </c>
      <c r="C465">
        <v>15.833525659999999</v>
      </c>
      <c r="D465">
        <v>8.4060878799999994</v>
      </c>
      <c r="E465" t="b">
        <f t="shared" si="168"/>
        <v>0</v>
      </c>
      <c r="F465">
        <f t="shared" si="169"/>
        <v>-70.761540419999989</v>
      </c>
      <c r="G465">
        <f t="shared" si="170"/>
        <v>-149.92916871999998</v>
      </c>
      <c r="H465">
        <f t="shared" si="171"/>
        <v>-229.09679702</v>
      </c>
      <c r="I465">
        <f t="shared" si="172"/>
        <v>-308.26442531999999</v>
      </c>
      <c r="J465">
        <f t="shared" si="173"/>
        <v>-387.43205362000003</v>
      </c>
      <c r="L465">
        <f t="shared" si="174"/>
        <v>16980297.5176</v>
      </c>
      <c r="M465">
        <f t="shared" si="175"/>
        <v>-121709849.52239999</v>
      </c>
      <c r="N465">
        <f t="shared" si="176"/>
        <v>-221895169.70559996</v>
      </c>
      <c r="O465">
        <f t="shared" si="177"/>
        <v>-256588412.66240004</v>
      </c>
      <c r="P465">
        <f t="shared" si="178"/>
        <v>-283603271.29439998</v>
      </c>
      <c r="Q465">
        <f t="shared" si="179"/>
        <v>-333191566.11320001</v>
      </c>
      <c r="S465">
        <f t="shared" si="180"/>
        <v>20594915.305999998</v>
      </c>
      <c r="T465">
        <f t="shared" si="181"/>
        <v>-325346296.12239993</v>
      </c>
      <c r="U465">
        <f t="shared" si="182"/>
        <v>-278868253.81919992</v>
      </c>
      <c r="V465">
        <f t="shared" si="183"/>
        <v>-325317451.76840001</v>
      </c>
      <c r="W465">
        <f t="shared" si="184"/>
        <v>-422322262.68840003</v>
      </c>
      <c r="X465">
        <f t="shared" si="185"/>
        <v>-472667105.41640002</v>
      </c>
      <c r="Z465">
        <f t="shared" si="186"/>
        <v>24209533.094399996</v>
      </c>
      <c r="AA465">
        <f t="shared" si="187"/>
        <v>-185395235.90039998</v>
      </c>
      <c r="AB465">
        <f t="shared" si="188"/>
        <v>-335841337.93279994</v>
      </c>
      <c r="AC465">
        <f t="shared" si="189"/>
        <v>-449029722.15920001</v>
      </c>
      <c r="AD465">
        <f t="shared" si="190"/>
        <v>-561041254.08239996</v>
      </c>
      <c r="AE465">
        <f t="shared" si="191"/>
        <v>-612142644.71960008</v>
      </c>
    </row>
    <row r="466" spans="1:31" x14ac:dyDescent="0.25">
      <c r="A466">
        <v>37.93142795</v>
      </c>
      <c r="B466">
        <v>118.29101799999999</v>
      </c>
      <c r="C466">
        <v>43.008232120000002</v>
      </c>
      <c r="D466">
        <v>2.7094440500000001</v>
      </c>
      <c r="E466" t="b">
        <f t="shared" si="168"/>
        <v>0</v>
      </c>
      <c r="F466">
        <f t="shared" si="169"/>
        <v>-212.33171655000001</v>
      </c>
      <c r="G466">
        <f t="shared" si="170"/>
        <v>-427.37287715000002</v>
      </c>
      <c r="H466">
        <f t="shared" si="171"/>
        <v>-642.41403775000003</v>
      </c>
      <c r="I466">
        <f t="shared" si="172"/>
        <v>-857.45519835000005</v>
      </c>
      <c r="J466">
        <f t="shared" si="173"/>
        <v>-1072.4963589500001</v>
      </c>
      <c r="L466">
        <f t="shared" si="174"/>
        <v>5473076.9810000006</v>
      </c>
      <c r="M466">
        <f t="shared" si="175"/>
        <v>-365210552.46600008</v>
      </c>
      <c r="N466">
        <f t="shared" si="176"/>
        <v>-632511858.18200004</v>
      </c>
      <c r="O466">
        <f t="shared" si="177"/>
        <v>-719503722.28000009</v>
      </c>
      <c r="P466">
        <f t="shared" si="178"/>
        <v>-788858782.48199999</v>
      </c>
      <c r="Q466">
        <f t="shared" si="179"/>
        <v>-922346868.69700003</v>
      </c>
      <c r="S466">
        <f t="shared" si="180"/>
        <v>6638137.9225000013</v>
      </c>
      <c r="T466">
        <f t="shared" si="181"/>
        <v>-927399143.41550004</v>
      </c>
      <c r="U466">
        <f t="shared" si="182"/>
        <v>-794913551.49900007</v>
      </c>
      <c r="V466">
        <f t="shared" si="183"/>
        <v>-912227933.6049999</v>
      </c>
      <c r="W466">
        <f t="shared" si="184"/>
        <v>-1174713621.7395</v>
      </c>
      <c r="X466">
        <f t="shared" si="185"/>
        <v>-1308445557.9190001</v>
      </c>
      <c r="Z466">
        <f t="shared" si="186"/>
        <v>7803198.8640000001</v>
      </c>
      <c r="AA466">
        <f t="shared" si="187"/>
        <v>-556309097.36100006</v>
      </c>
      <c r="AB466">
        <f t="shared" si="188"/>
        <v>-957315244.81600022</v>
      </c>
      <c r="AC466">
        <f t="shared" si="189"/>
        <v>-1259131513.99</v>
      </c>
      <c r="AD466">
        <f t="shared" si="190"/>
        <v>-1560568460.997</v>
      </c>
      <c r="AE466">
        <f t="shared" si="191"/>
        <v>-1694544247.141</v>
      </c>
    </row>
    <row r="467" spans="1:31" x14ac:dyDescent="0.25">
      <c r="A467">
        <v>37.933369489999997</v>
      </c>
      <c r="B467">
        <v>94.195383699999994</v>
      </c>
      <c r="C467">
        <v>20.624670030000001</v>
      </c>
      <c r="D467">
        <v>1.46234405</v>
      </c>
      <c r="E467" t="b">
        <f t="shared" si="168"/>
        <v>0</v>
      </c>
      <c r="F467">
        <f t="shared" si="169"/>
        <v>-101.66100610000001</v>
      </c>
      <c r="G467">
        <f t="shared" si="170"/>
        <v>-204.78435625</v>
      </c>
      <c r="H467">
        <f t="shared" si="171"/>
        <v>-307.9077064</v>
      </c>
      <c r="I467">
        <f t="shared" si="172"/>
        <v>-411.03105655000002</v>
      </c>
      <c r="J467">
        <f t="shared" si="173"/>
        <v>-514.1544067000001</v>
      </c>
      <c r="L467">
        <f t="shared" si="174"/>
        <v>2953934.9810000001</v>
      </c>
      <c r="M467">
        <f t="shared" si="175"/>
        <v>-174856930.49200004</v>
      </c>
      <c r="N467">
        <f t="shared" si="176"/>
        <v>-303080847.25</v>
      </c>
      <c r="O467">
        <f t="shared" si="177"/>
        <v>-344856631.16799998</v>
      </c>
      <c r="P467">
        <f t="shared" si="178"/>
        <v>-378148572.02599996</v>
      </c>
      <c r="Q467">
        <f t="shared" si="179"/>
        <v>-442172789.76200008</v>
      </c>
      <c r="S467">
        <f t="shared" si="180"/>
        <v>3582742.9225000003</v>
      </c>
      <c r="T467">
        <f t="shared" si="181"/>
        <v>-444382053.0625</v>
      </c>
      <c r="U467">
        <f t="shared" si="182"/>
        <v>-380898902.625</v>
      </c>
      <c r="V467">
        <f t="shared" si="183"/>
        <v>-437228943.08799994</v>
      </c>
      <c r="W467">
        <f t="shared" si="184"/>
        <v>-563112547.47350001</v>
      </c>
      <c r="X467">
        <f t="shared" si="185"/>
        <v>-627268376.17400014</v>
      </c>
      <c r="Z467">
        <f t="shared" si="186"/>
        <v>4211550.8640000001</v>
      </c>
      <c r="AA467">
        <f t="shared" si="187"/>
        <v>-266351835.98200002</v>
      </c>
      <c r="AB467">
        <f t="shared" si="188"/>
        <v>-458716958.00000006</v>
      </c>
      <c r="AC467">
        <f t="shared" si="189"/>
        <v>-603499104.54399991</v>
      </c>
      <c r="AD467">
        <f t="shared" si="190"/>
        <v>-748076522.921</v>
      </c>
      <c r="AE467">
        <f t="shared" si="191"/>
        <v>-812363962.5860002</v>
      </c>
    </row>
    <row r="468" spans="1:31" x14ac:dyDescent="0.25">
      <c r="A468">
        <v>37.933460580000002</v>
      </c>
      <c r="B468">
        <v>119.5768808</v>
      </c>
      <c r="C468">
        <v>15.833525659999999</v>
      </c>
      <c r="D468">
        <v>3.6729190300000001</v>
      </c>
      <c r="E468" t="b">
        <f t="shared" si="168"/>
        <v>0</v>
      </c>
      <c r="F468">
        <f t="shared" si="169"/>
        <v>-75.494709269999987</v>
      </c>
      <c r="G468">
        <f t="shared" si="170"/>
        <v>-154.66233756999998</v>
      </c>
      <c r="H468">
        <f t="shared" si="171"/>
        <v>-233.82996587</v>
      </c>
      <c r="I468">
        <f t="shared" si="172"/>
        <v>-312.99759416999996</v>
      </c>
      <c r="J468">
        <f t="shared" si="173"/>
        <v>-392.16522247</v>
      </c>
      <c r="L468">
        <f t="shared" si="174"/>
        <v>7419296.4406000003</v>
      </c>
      <c r="M468">
        <f t="shared" si="175"/>
        <v>-129850899.94439998</v>
      </c>
      <c r="N468">
        <f t="shared" si="176"/>
        <v>-228900259.60359994</v>
      </c>
      <c r="O468">
        <f t="shared" si="177"/>
        <v>-261889561.77440003</v>
      </c>
      <c r="P468">
        <f t="shared" si="178"/>
        <v>-287957786.63639992</v>
      </c>
      <c r="Q468">
        <f t="shared" si="179"/>
        <v>-337262091.32420003</v>
      </c>
      <c r="S468">
        <f t="shared" si="180"/>
        <v>8998651.6235000007</v>
      </c>
      <c r="T468">
        <f t="shared" si="181"/>
        <v>-335617272.52689993</v>
      </c>
      <c r="U468">
        <f t="shared" si="182"/>
        <v>-287671947.88019991</v>
      </c>
      <c r="V468">
        <f t="shared" si="183"/>
        <v>-332038551.53539997</v>
      </c>
      <c r="W468">
        <f t="shared" si="184"/>
        <v>-428806704.01289999</v>
      </c>
      <c r="X468">
        <f t="shared" si="185"/>
        <v>-478441571.41340005</v>
      </c>
      <c r="Z468">
        <f t="shared" si="186"/>
        <v>10578006.806400001</v>
      </c>
      <c r="AA468">
        <f t="shared" si="187"/>
        <v>-197796138.28739995</v>
      </c>
      <c r="AB468">
        <f t="shared" si="188"/>
        <v>-346443636.15679997</v>
      </c>
      <c r="AC468">
        <f t="shared" si="189"/>
        <v>-458306733.10519999</v>
      </c>
      <c r="AD468">
        <f t="shared" si="190"/>
        <v>-569655621.38939989</v>
      </c>
      <c r="AE468">
        <f t="shared" si="191"/>
        <v>-619621051.50260007</v>
      </c>
    </row>
    <row r="469" spans="1:31" x14ac:dyDescent="0.25">
      <c r="A469">
        <v>37.936903450000003</v>
      </c>
      <c r="B469">
        <v>94.719799559999998</v>
      </c>
      <c r="C469">
        <v>20.624670030000001</v>
      </c>
      <c r="D469">
        <v>1.68988502</v>
      </c>
      <c r="E469" t="b">
        <f t="shared" si="168"/>
        <v>0</v>
      </c>
      <c r="F469">
        <f t="shared" si="169"/>
        <v>-101.43346513</v>
      </c>
      <c r="G469">
        <f t="shared" si="170"/>
        <v>-204.55681528000002</v>
      </c>
      <c r="H469">
        <f t="shared" si="171"/>
        <v>-307.68016542999999</v>
      </c>
      <c r="I469">
        <f t="shared" si="172"/>
        <v>-410.80351558000001</v>
      </c>
      <c r="J469">
        <f t="shared" si="173"/>
        <v>-513.92686573000003</v>
      </c>
      <c r="L469">
        <f t="shared" si="174"/>
        <v>3413567.7404</v>
      </c>
      <c r="M469">
        <f t="shared" si="175"/>
        <v>-174465560.02360001</v>
      </c>
      <c r="N469">
        <f t="shared" si="176"/>
        <v>-302744086.61440003</v>
      </c>
      <c r="O469">
        <f t="shared" si="177"/>
        <v>-344601785.28160006</v>
      </c>
      <c r="P469">
        <f t="shared" si="178"/>
        <v>-377939234.33359998</v>
      </c>
      <c r="Q469">
        <f t="shared" si="179"/>
        <v>-441977104.52780002</v>
      </c>
      <c r="S469">
        <f t="shared" si="180"/>
        <v>4140218.2990000001</v>
      </c>
      <c r="T469">
        <f t="shared" si="181"/>
        <v>-443888289.15760005</v>
      </c>
      <c r="U469">
        <f t="shared" si="182"/>
        <v>-380475676.42080003</v>
      </c>
      <c r="V469">
        <f t="shared" si="183"/>
        <v>-436905834.91060001</v>
      </c>
      <c r="W469">
        <f t="shared" si="184"/>
        <v>-562800816.34459996</v>
      </c>
      <c r="X469">
        <f t="shared" si="185"/>
        <v>-626990776.19060004</v>
      </c>
      <c r="Z469">
        <f t="shared" si="186"/>
        <v>4866868.8575999998</v>
      </c>
      <c r="AA469">
        <f t="shared" si="187"/>
        <v>-265755678.6406</v>
      </c>
      <c r="AB469">
        <f t="shared" si="188"/>
        <v>-458207266.22720009</v>
      </c>
      <c r="AC469">
        <f t="shared" si="189"/>
        <v>-603053124.2428</v>
      </c>
      <c r="AD469">
        <f t="shared" si="190"/>
        <v>-747662398.3556</v>
      </c>
      <c r="AE469">
        <f t="shared" si="191"/>
        <v>-812004447.85340011</v>
      </c>
    </row>
    <row r="470" spans="1:31" x14ac:dyDescent="0.25">
      <c r="A470">
        <v>37.9398555</v>
      </c>
      <c r="B470">
        <v>119.5195312</v>
      </c>
      <c r="C470">
        <v>15.833525659999999</v>
      </c>
      <c r="D470">
        <v>1.7140289500000001</v>
      </c>
      <c r="E470" t="b">
        <f t="shared" si="168"/>
        <v>0</v>
      </c>
      <c r="F470">
        <f t="shared" si="169"/>
        <v>-77.45359934999999</v>
      </c>
      <c r="G470">
        <f t="shared" si="170"/>
        <v>-156.62122764999998</v>
      </c>
      <c r="H470">
        <f t="shared" si="171"/>
        <v>-235.78885595</v>
      </c>
      <c r="I470">
        <f t="shared" si="172"/>
        <v>-314.95648424999996</v>
      </c>
      <c r="J470">
        <f t="shared" si="173"/>
        <v>-394.12411255000001</v>
      </c>
      <c r="L470">
        <f t="shared" si="174"/>
        <v>3462338.4790000003</v>
      </c>
      <c r="M470">
        <f t="shared" si="175"/>
        <v>-133220190.882</v>
      </c>
      <c r="N470">
        <f t="shared" si="176"/>
        <v>-231799416.92199996</v>
      </c>
      <c r="O470">
        <f t="shared" si="177"/>
        <v>-264083518.664</v>
      </c>
      <c r="P470">
        <f t="shared" si="178"/>
        <v>-289759965.50999993</v>
      </c>
      <c r="Q470">
        <f t="shared" si="179"/>
        <v>-338946736.79299998</v>
      </c>
      <c r="S470">
        <f t="shared" si="180"/>
        <v>4199370.9275000012</v>
      </c>
      <c r="T470">
        <f t="shared" si="181"/>
        <v>-339868064.00049996</v>
      </c>
      <c r="U470">
        <f t="shared" si="182"/>
        <v>-291315483.42899996</v>
      </c>
      <c r="V470">
        <f t="shared" si="183"/>
        <v>-334820175.44899994</v>
      </c>
      <c r="W470">
        <f t="shared" si="184"/>
        <v>-431490383.42249995</v>
      </c>
      <c r="X470">
        <f t="shared" si="185"/>
        <v>-480831417.31099999</v>
      </c>
      <c r="Z470">
        <f t="shared" si="186"/>
        <v>4936403.3760000002</v>
      </c>
      <c r="AA470">
        <f t="shared" si="187"/>
        <v>-202928430.29699999</v>
      </c>
      <c r="AB470">
        <f t="shared" si="188"/>
        <v>-350831549.93599999</v>
      </c>
      <c r="AC470">
        <f t="shared" si="189"/>
        <v>-462146157.66199994</v>
      </c>
      <c r="AD470">
        <f t="shared" si="190"/>
        <v>-573220801.33499992</v>
      </c>
      <c r="AE470">
        <f t="shared" si="191"/>
        <v>-622716097.829</v>
      </c>
    </row>
    <row r="471" spans="1:31" x14ac:dyDescent="0.25">
      <c r="A471">
        <v>37.946125729999999</v>
      </c>
      <c r="B471">
        <v>115.5535393</v>
      </c>
      <c r="C471">
        <v>10.858460429999999</v>
      </c>
      <c r="D471">
        <v>1.4398139700000001</v>
      </c>
      <c r="E471" t="b">
        <f t="shared" si="168"/>
        <v>0</v>
      </c>
      <c r="F471">
        <f t="shared" si="169"/>
        <v>-52.852488179999995</v>
      </c>
      <c r="G471">
        <f t="shared" si="170"/>
        <v>-107.14479032999999</v>
      </c>
      <c r="H471">
        <f t="shared" si="171"/>
        <v>-161.43709247999999</v>
      </c>
      <c r="I471">
        <f t="shared" si="172"/>
        <v>-215.72939463</v>
      </c>
      <c r="J471">
        <f t="shared" si="173"/>
        <v>-270.02169678000001</v>
      </c>
      <c r="L471">
        <f t="shared" si="174"/>
        <v>2908424.2194000003</v>
      </c>
      <c r="M471">
        <f t="shared" si="175"/>
        <v>-90906279.669599995</v>
      </c>
      <c r="N471">
        <f t="shared" si="176"/>
        <v>-158574289.6884</v>
      </c>
      <c r="O471">
        <f t="shared" si="177"/>
        <v>-180809543.5776</v>
      </c>
      <c r="P471">
        <f t="shared" si="178"/>
        <v>-198471043.05959997</v>
      </c>
      <c r="Q471">
        <f t="shared" si="179"/>
        <v>-232218659.23080003</v>
      </c>
      <c r="S471">
        <f t="shared" si="180"/>
        <v>3527544.2265000008</v>
      </c>
      <c r="T471">
        <f t="shared" si="181"/>
        <v>-232504195.01609999</v>
      </c>
      <c r="U471">
        <f t="shared" si="182"/>
        <v>-199289310.0138</v>
      </c>
      <c r="V471">
        <f t="shared" si="183"/>
        <v>-229240671.32159996</v>
      </c>
      <c r="W471">
        <f t="shared" si="184"/>
        <v>-295549270.64310002</v>
      </c>
      <c r="X471">
        <f t="shared" si="185"/>
        <v>-329426470.07160002</v>
      </c>
      <c r="Z471">
        <f t="shared" si="186"/>
        <v>4146664.2336000004</v>
      </c>
      <c r="AA471">
        <f t="shared" si="187"/>
        <v>-138473519.0316</v>
      </c>
      <c r="AB471">
        <f t="shared" si="188"/>
        <v>-240004330.33920002</v>
      </c>
      <c r="AC471">
        <f t="shared" si="189"/>
        <v>-316416701.26079994</v>
      </c>
      <c r="AD471">
        <f t="shared" si="190"/>
        <v>-392627498.22659999</v>
      </c>
      <c r="AE471">
        <f t="shared" si="191"/>
        <v>-426634280.91240007</v>
      </c>
    </row>
    <row r="472" spans="1:31" x14ac:dyDescent="0.25">
      <c r="A472">
        <v>37.946223490000001</v>
      </c>
      <c r="B472">
        <v>119.4621721</v>
      </c>
      <c r="C472">
        <v>15.20367336</v>
      </c>
      <c r="D472">
        <v>6.81693792</v>
      </c>
      <c r="E472" t="b">
        <f t="shared" si="168"/>
        <v>0</v>
      </c>
      <c r="F472">
        <f t="shared" si="169"/>
        <v>-69.201428879999995</v>
      </c>
      <c r="G472">
        <f t="shared" si="170"/>
        <v>-145.21979568</v>
      </c>
      <c r="H472">
        <f t="shared" si="171"/>
        <v>-221.23816248</v>
      </c>
      <c r="I472">
        <f t="shared" si="172"/>
        <v>-297.25652928</v>
      </c>
      <c r="J472">
        <f t="shared" si="173"/>
        <v>-373.27489608000002</v>
      </c>
      <c r="L472">
        <f t="shared" si="174"/>
        <v>13770214.5984</v>
      </c>
      <c r="M472">
        <f t="shared" si="175"/>
        <v>-119026457.6736</v>
      </c>
      <c r="N472">
        <f t="shared" si="176"/>
        <v>-214925297.60640001</v>
      </c>
      <c r="O472">
        <f t="shared" si="177"/>
        <v>-247786741.97760001</v>
      </c>
      <c r="P472">
        <f t="shared" si="178"/>
        <v>-273476006.93759996</v>
      </c>
      <c r="Q472">
        <f t="shared" si="179"/>
        <v>-321016410.62880003</v>
      </c>
      <c r="S472">
        <f t="shared" si="180"/>
        <v>16701497.904000001</v>
      </c>
      <c r="T472">
        <f t="shared" si="181"/>
        <v>-315126956.62559998</v>
      </c>
      <c r="U472">
        <f t="shared" si="182"/>
        <v>-270108819.9648</v>
      </c>
      <c r="V472">
        <f t="shared" si="183"/>
        <v>-314158190.7216</v>
      </c>
      <c r="W472">
        <f t="shared" si="184"/>
        <v>-407241445.11360002</v>
      </c>
      <c r="X472">
        <f t="shared" si="185"/>
        <v>-455395373.21760005</v>
      </c>
      <c r="Z472">
        <f t="shared" si="186"/>
        <v>19632781.209599998</v>
      </c>
      <c r="AA472">
        <f t="shared" si="187"/>
        <v>-181307743.6656</v>
      </c>
      <c r="AB472">
        <f t="shared" si="188"/>
        <v>-325292342.32320005</v>
      </c>
      <c r="AC472">
        <f t="shared" si="189"/>
        <v>-433626798.46079999</v>
      </c>
      <c r="AD472">
        <f t="shared" si="190"/>
        <v>-541006883.28960001</v>
      </c>
      <c r="AE472">
        <f t="shared" si="191"/>
        <v>-589774335.80640006</v>
      </c>
    </row>
    <row r="473" spans="1:31" x14ac:dyDescent="0.25">
      <c r="A473">
        <v>37.950103810000002</v>
      </c>
      <c r="B473">
        <v>106.6759753</v>
      </c>
      <c r="C473">
        <v>0.30834942999999998</v>
      </c>
      <c r="D473">
        <v>0.15290599999999999</v>
      </c>
      <c r="E473" t="b">
        <f t="shared" si="168"/>
        <v>0</v>
      </c>
      <c r="F473">
        <f t="shared" si="169"/>
        <v>-1.38884115</v>
      </c>
      <c r="G473">
        <f t="shared" si="170"/>
        <v>-2.9305883000000001</v>
      </c>
      <c r="H473">
        <f t="shared" si="171"/>
        <v>-4.4723354500000001</v>
      </c>
      <c r="I473">
        <f t="shared" si="172"/>
        <v>-6.0140826000000001</v>
      </c>
      <c r="J473">
        <f t="shared" si="173"/>
        <v>-7.55582975</v>
      </c>
      <c r="L473">
        <f t="shared" si="174"/>
        <v>308870.12</v>
      </c>
      <c r="M473">
        <f t="shared" si="175"/>
        <v>-2388806.7779999999</v>
      </c>
      <c r="N473">
        <f t="shared" si="176"/>
        <v>-4337270.6840000004</v>
      </c>
      <c r="O473">
        <f t="shared" si="177"/>
        <v>-5009015.7040000008</v>
      </c>
      <c r="P473">
        <f t="shared" si="178"/>
        <v>-5532955.9919999996</v>
      </c>
      <c r="Q473">
        <f t="shared" si="179"/>
        <v>-6498013.585</v>
      </c>
      <c r="S473">
        <f t="shared" si="180"/>
        <v>374619.7</v>
      </c>
      <c r="T473">
        <f t="shared" si="181"/>
        <v>-6359376.6110000005</v>
      </c>
      <c r="U473">
        <f t="shared" si="182"/>
        <v>-5450894.2379999999</v>
      </c>
      <c r="V473">
        <f t="shared" si="183"/>
        <v>-6350716.3389999997</v>
      </c>
      <c r="W473">
        <f t="shared" si="184"/>
        <v>-8239293.1620000005</v>
      </c>
      <c r="X473">
        <f t="shared" si="185"/>
        <v>-9218112.2949999999</v>
      </c>
      <c r="Z473">
        <f t="shared" si="186"/>
        <v>440369.27999999997</v>
      </c>
      <c r="AA473">
        <f t="shared" si="187"/>
        <v>-3638763.8130000001</v>
      </c>
      <c r="AB473">
        <f t="shared" si="188"/>
        <v>-6564517.7920000013</v>
      </c>
      <c r="AC473">
        <f t="shared" si="189"/>
        <v>-8765777.4820000008</v>
      </c>
      <c r="AD473">
        <f t="shared" si="190"/>
        <v>-10945630.332</v>
      </c>
      <c r="AE473">
        <f t="shared" si="191"/>
        <v>-11938211.005000001</v>
      </c>
    </row>
    <row r="474" spans="1:31" x14ac:dyDescent="0.25">
      <c r="A474">
        <v>37.963975329999997</v>
      </c>
      <c r="B474">
        <v>115.32292200000001</v>
      </c>
      <c r="C474">
        <v>10.663947110000001</v>
      </c>
      <c r="D474">
        <v>0.89561599000000003</v>
      </c>
      <c r="E474" t="b">
        <f t="shared" si="168"/>
        <v>0</v>
      </c>
      <c r="F474">
        <f t="shared" si="169"/>
        <v>-52.424119560000001</v>
      </c>
      <c r="G474">
        <f t="shared" si="170"/>
        <v>-105.74385511000001</v>
      </c>
      <c r="H474">
        <f t="shared" si="171"/>
        <v>-159.06359065999999</v>
      </c>
      <c r="I474">
        <f t="shared" si="172"/>
        <v>-212.38332621000001</v>
      </c>
      <c r="J474">
        <f t="shared" si="173"/>
        <v>-265.70306176000003</v>
      </c>
      <c r="L474">
        <f t="shared" si="174"/>
        <v>1809144.2997999999</v>
      </c>
      <c r="M474">
        <f t="shared" si="175"/>
        <v>-90169485.64320001</v>
      </c>
      <c r="N474">
        <f t="shared" si="176"/>
        <v>-156500905.56280002</v>
      </c>
      <c r="O474">
        <f t="shared" si="177"/>
        <v>-178151221.53920001</v>
      </c>
      <c r="P474">
        <f t="shared" si="178"/>
        <v>-195392660.11319998</v>
      </c>
      <c r="Q474">
        <f t="shared" si="179"/>
        <v>-228504633.11360002</v>
      </c>
      <c r="S474">
        <f t="shared" si="180"/>
        <v>2194259.1755000004</v>
      </c>
      <c r="T474">
        <f t="shared" si="181"/>
        <v>-229464165.58870003</v>
      </c>
      <c r="U474">
        <f t="shared" si="182"/>
        <v>-196683570.50460002</v>
      </c>
      <c r="V474">
        <f t="shared" si="183"/>
        <v>-225870298.73719999</v>
      </c>
      <c r="W474">
        <f t="shared" si="184"/>
        <v>-290965156.90770006</v>
      </c>
      <c r="X474">
        <f t="shared" si="185"/>
        <v>-324157735.34720004</v>
      </c>
      <c r="Z474">
        <f t="shared" si="186"/>
        <v>2579374.0512000001</v>
      </c>
      <c r="AA474">
        <f t="shared" si="187"/>
        <v>-137351193.24720001</v>
      </c>
      <c r="AB474">
        <f t="shared" si="188"/>
        <v>-236866235.44640005</v>
      </c>
      <c r="AC474">
        <f t="shared" si="189"/>
        <v>-311764637.6936</v>
      </c>
      <c r="AD474">
        <f t="shared" si="190"/>
        <v>-386537653.70220006</v>
      </c>
      <c r="AE474">
        <f t="shared" si="191"/>
        <v>-419810837.58080006</v>
      </c>
    </row>
    <row r="475" spans="1:31" x14ac:dyDescent="0.25">
      <c r="A475">
        <v>37.968369750000001</v>
      </c>
      <c r="B475">
        <v>115.26525100000001</v>
      </c>
      <c r="C475">
        <v>10.663947110000001</v>
      </c>
      <c r="D475">
        <v>0.105712</v>
      </c>
      <c r="E475" t="b">
        <f t="shared" si="168"/>
        <v>0</v>
      </c>
      <c r="F475">
        <f t="shared" si="169"/>
        <v>-53.214023550000007</v>
      </c>
      <c r="G475">
        <f t="shared" si="170"/>
        <v>-106.53375910000001</v>
      </c>
      <c r="H475">
        <f t="shared" si="171"/>
        <v>-159.85349464999999</v>
      </c>
      <c r="I475">
        <f t="shared" si="172"/>
        <v>-213.17323020000001</v>
      </c>
      <c r="J475">
        <f t="shared" si="173"/>
        <v>-266.49296575000005</v>
      </c>
      <c r="L475">
        <f t="shared" si="174"/>
        <v>213538.24</v>
      </c>
      <c r="M475">
        <f t="shared" si="175"/>
        <v>-91528120.506000012</v>
      </c>
      <c r="N475">
        <f t="shared" si="176"/>
        <v>-157669963.46800002</v>
      </c>
      <c r="O475">
        <f t="shared" si="177"/>
        <v>-179035914.00799999</v>
      </c>
      <c r="P475">
        <f t="shared" si="178"/>
        <v>-196119371.78400001</v>
      </c>
      <c r="Q475">
        <f t="shared" si="179"/>
        <v>-229183950.54500005</v>
      </c>
      <c r="S475">
        <f t="shared" si="180"/>
        <v>258994.40000000002</v>
      </c>
      <c r="T475">
        <f t="shared" si="181"/>
        <v>-231178257.24700001</v>
      </c>
      <c r="U475">
        <f t="shared" si="182"/>
        <v>-198152791.926</v>
      </c>
      <c r="V475">
        <f t="shared" si="183"/>
        <v>-226991962.40299997</v>
      </c>
      <c r="W475">
        <f t="shared" si="184"/>
        <v>-292047325.37400007</v>
      </c>
      <c r="X475">
        <f t="shared" si="185"/>
        <v>-325121418.21500009</v>
      </c>
      <c r="Z475">
        <f t="shared" si="186"/>
        <v>304450.56</v>
      </c>
      <c r="AA475">
        <f t="shared" si="187"/>
        <v>-139420741.70100001</v>
      </c>
      <c r="AB475">
        <f t="shared" si="188"/>
        <v>-238635620.38400003</v>
      </c>
      <c r="AC475">
        <f t="shared" si="189"/>
        <v>-313312849.51399994</v>
      </c>
      <c r="AD475">
        <f t="shared" si="190"/>
        <v>-387975278.96400005</v>
      </c>
      <c r="AE475">
        <f t="shared" si="191"/>
        <v>-421058885.88500011</v>
      </c>
    </row>
    <row r="476" spans="1:31" x14ac:dyDescent="0.25">
      <c r="A476">
        <v>37.978878530000003</v>
      </c>
      <c r="B476">
        <v>119.5849767</v>
      </c>
      <c r="C476">
        <v>17.623571399999999</v>
      </c>
      <c r="D476">
        <v>0.320768</v>
      </c>
      <c r="E476" t="b">
        <f t="shared" si="168"/>
        <v>0</v>
      </c>
      <c r="F476">
        <f t="shared" si="169"/>
        <v>-87.797089</v>
      </c>
      <c r="G476">
        <f t="shared" si="170"/>
        <v>-175.91494600000001</v>
      </c>
      <c r="H476">
        <f t="shared" si="171"/>
        <v>-264.032803</v>
      </c>
      <c r="I476">
        <f t="shared" si="172"/>
        <v>-352.15066000000002</v>
      </c>
      <c r="J476">
        <f t="shared" si="173"/>
        <v>-440.26851699999997</v>
      </c>
      <c r="L476">
        <f t="shared" si="174"/>
        <v>647951.35999999999</v>
      </c>
      <c r="M476">
        <f t="shared" si="175"/>
        <v>-151010993.08000001</v>
      </c>
      <c r="N476">
        <f t="shared" si="176"/>
        <v>-260354120.07999998</v>
      </c>
      <c r="O476">
        <f t="shared" si="177"/>
        <v>-295716739.36000001</v>
      </c>
      <c r="P476">
        <f t="shared" si="178"/>
        <v>-323978607.19999999</v>
      </c>
      <c r="Q476">
        <f t="shared" si="179"/>
        <v>-378630924.62</v>
      </c>
      <c r="S476">
        <f t="shared" si="180"/>
        <v>785881.60000000009</v>
      </c>
      <c r="T476">
        <f t="shared" si="181"/>
        <v>-381735432.81999999</v>
      </c>
      <c r="U476">
        <f t="shared" si="182"/>
        <v>-327201799.56</v>
      </c>
      <c r="V476">
        <f t="shared" si="183"/>
        <v>-374926580.25999999</v>
      </c>
      <c r="W476">
        <f t="shared" si="184"/>
        <v>-482446404.20000005</v>
      </c>
      <c r="X476">
        <f t="shared" si="185"/>
        <v>-537127590.74000001</v>
      </c>
      <c r="Z476">
        <f t="shared" si="186"/>
        <v>923811.83999999997</v>
      </c>
      <c r="AA476">
        <f t="shared" si="187"/>
        <v>-230028373.18000001</v>
      </c>
      <c r="AB476">
        <f t="shared" si="188"/>
        <v>-394049479.04000002</v>
      </c>
      <c r="AC476">
        <f t="shared" si="189"/>
        <v>-517504293.88</v>
      </c>
      <c r="AD476">
        <f t="shared" si="190"/>
        <v>-640914201.20000005</v>
      </c>
      <c r="AE476">
        <f t="shared" si="191"/>
        <v>-695624256.86000001</v>
      </c>
    </row>
    <row r="477" spans="1:31" x14ac:dyDescent="0.25">
      <c r="A477">
        <v>37.982677340000002</v>
      </c>
      <c r="B477">
        <v>115.6745825</v>
      </c>
      <c r="C477">
        <v>10.858460429999999</v>
      </c>
      <c r="D477">
        <v>1.2384550599999999</v>
      </c>
      <c r="E477" t="b">
        <f t="shared" si="168"/>
        <v>0</v>
      </c>
      <c r="F477">
        <f t="shared" si="169"/>
        <v>-53.053847089999998</v>
      </c>
      <c r="G477">
        <f t="shared" si="170"/>
        <v>-107.34614923999999</v>
      </c>
      <c r="H477">
        <f t="shared" si="171"/>
        <v>-161.63845138999997</v>
      </c>
      <c r="I477">
        <f t="shared" si="172"/>
        <v>-215.93075353999998</v>
      </c>
      <c r="J477">
        <f t="shared" si="173"/>
        <v>-270.22305569000002</v>
      </c>
      <c r="L477">
        <f t="shared" si="174"/>
        <v>2501679.2212</v>
      </c>
      <c r="M477">
        <f t="shared" si="175"/>
        <v>-91252616.994800001</v>
      </c>
      <c r="N477">
        <f t="shared" si="176"/>
        <v>-158872300.8752</v>
      </c>
      <c r="O477">
        <f t="shared" si="177"/>
        <v>-181035065.55680001</v>
      </c>
      <c r="P477">
        <f t="shared" si="178"/>
        <v>-198656293.25679997</v>
      </c>
      <c r="Q477">
        <f t="shared" si="179"/>
        <v>-232391827.89339998</v>
      </c>
      <c r="S477">
        <f t="shared" si="180"/>
        <v>3034214.8970000003</v>
      </c>
      <c r="T477">
        <f t="shared" si="181"/>
        <v>-232941143.85079998</v>
      </c>
      <c r="U477">
        <f t="shared" si="182"/>
        <v>-199663837.58639997</v>
      </c>
      <c r="V477">
        <f t="shared" si="183"/>
        <v>-229526600.97379997</v>
      </c>
      <c r="W477">
        <f t="shared" si="184"/>
        <v>-295825132.34979999</v>
      </c>
      <c r="X477">
        <f t="shared" si="185"/>
        <v>-329672127.9418</v>
      </c>
      <c r="Z477">
        <f t="shared" si="186"/>
        <v>3566750.5728000002</v>
      </c>
      <c r="AA477">
        <f t="shared" si="187"/>
        <v>-139001079.37579998</v>
      </c>
      <c r="AB477">
        <f t="shared" si="188"/>
        <v>-240455374.2976</v>
      </c>
      <c r="AC477">
        <f t="shared" si="189"/>
        <v>-316811364.72439998</v>
      </c>
      <c r="AD477">
        <f t="shared" si="190"/>
        <v>-392993971.44279999</v>
      </c>
      <c r="AE477">
        <f t="shared" si="191"/>
        <v>-426952427.99020004</v>
      </c>
    </row>
    <row r="478" spans="1:31" x14ac:dyDescent="0.25">
      <c r="A478">
        <v>37.993029409999998</v>
      </c>
      <c r="B478">
        <v>118.5931472</v>
      </c>
      <c r="C478">
        <v>65.630661009999997</v>
      </c>
      <c r="D478">
        <v>0.21617500000000001</v>
      </c>
      <c r="E478" t="b">
        <f t="shared" si="168"/>
        <v>0</v>
      </c>
      <c r="F478">
        <f t="shared" si="169"/>
        <v>-327.93713004999995</v>
      </c>
      <c r="G478">
        <f t="shared" si="170"/>
        <v>-656.09043509999992</v>
      </c>
      <c r="H478">
        <f t="shared" si="171"/>
        <v>-984.24374014999989</v>
      </c>
      <c r="I478">
        <f t="shared" si="172"/>
        <v>-1312.3970451999999</v>
      </c>
      <c r="J478">
        <f t="shared" si="173"/>
        <v>-1640.5503502499998</v>
      </c>
      <c r="L478">
        <f t="shared" si="174"/>
        <v>436673.5</v>
      </c>
      <c r="M478">
        <f t="shared" si="175"/>
        <v>-564051863.68599999</v>
      </c>
      <c r="N478">
        <f t="shared" si="176"/>
        <v>-971013843.94799984</v>
      </c>
      <c r="O478">
        <f t="shared" si="177"/>
        <v>-1102352988.9679999</v>
      </c>
      <c r="P478">
        <f t="shared" si="178"/>
        <v>-1207405281.5839996</v>
      </c>
      <c r="Q478">
        <f t="shared" si="179"/>
        <v>-1410873301.2149997</v>
      </c>
      <c r="S478">
        <f t="shared" si="180"/>
        <v>529628.75</v>
      </c>
      <c r="T478">
        <f t="shared" si="181"/>
        <v>-1423716244.1669998</v>
      </c>
      <c r="U478">
        <f t="shared" si="182"/>
        <v>-1220328209.2859998</v>
      </c>
      <c r="V478">
        <f t="shared" si="183"/>
        <v>-1397626111.0129998</v>
      </c>
      <c r="W478">
        <f t="shared" si="184"/>
        <v>-1797983951.9239998</v>
      </c>
      <c r="X478">
        <f t="shared" si="185"/>
        <v>-2001471427.3049996</v>
      </c>
      <c r="Z478">
        <f t="shared" si="186"/>
        <v>622584</v>
      </c>
      <c r="AA478">
        <f t="shared" si="187"/>
        <v>-859195280.73099995</v>
      </c>
      <c r="AB478">
        <f t="shared" si="188"/>
        <v>-1469642574.6239998</v>
      </c>
      <c r="AC478">
        <f t="shared" si="189"/>
        <v>-1929117730.6939998</v>
      </c>
      <c r="AD478">
        <f t="shared" si="190"/>
        <v>-2388562622.2639999</v>
      </c>
      <c r="AE478">
        <f t="shared" si="191"/>
        <v>-2592069553.3949995</v>
      </c>
    </row>
    <row r="479" spans="1:31" x14ac:dyDescent="0.25">
      <c r="A479">
        <v>37.9984167</v>
      </c>
      <c r="B479">
        <v>119.8226506</v>
      </c>
      <c r="C479">
        <v>8.9278774300000006</v>
      </c>
      <c r="D479">
        <v>33.305839540000001</v>
      </c>
      <c r="E479" t="b">
        <f t="shared" si="168"/>
        <v>1</v>
      </c>
      <c r="F479">
        <f t="shared" si="169"/>
        <v>-11.333547610000004</v>
      </c>
      <c r="G479">
        <f t="shared" si="170"/>
        <v>-55.972934760000008</v>
      </c>
      <c r="H479">
        <f t="shared" si="171"/>
        <v>-100.61232191000002</v>
      </c>
      <c r="I479">
        <f t="shared" si="172"/>
        <v>-145.25170906000002</v>
      </c>
      <c r="J479">
        <f t="shared" si="173"/>
        <v>-189.89109621000003</v>
      </c>
      <c r="L479">
        <f t="shared" si="174"/>
        <v>18034312.408599999</v>
      </c>
      <c r="M479">
        <f t="shared" si="175"/>
        <v>-19493701.889200009</v>
      </c>
      <c r="N479">
        <f t="shared" si="176"/>
        <v>-82839943.444800004</v>
      </c>
      <c r="O479">
        <f t="shared" si="177"/>
        <v>-112685800.53920004</v>
      </c>
      <c r="P479">
        <f t="shared" si="178"/>
        <v>-133631572.33520003</v>
      </c>
      <c r="Q479">
        <f t="shared" si="179"/>
        <v>-163306342.74060002</v>
      </c>
      <c r="S479">
        <f t="shared" si="180"/>
        <v>21873299.703500003</v>
      </c>
      <c r="T479">
        <f t="shared" si="181"/>
        <v>-121461268.42920001</v>
      </c>
      <c r="U479">
        <f t="shared" si="182"/>
        <v>-104109658.65360001</v>
      </c>
      <c r="V479">
        <f t="shared" si="183"/>
        <v>-142869497.11220002</v>
      </c>
      <c r="W479">
        <f t="shared" si="184"/>
        <v>-198994841.41220006</v>
      </c>
      <c r="X479">
        <f t="shared" si="185"/>
        <v>-231667137.37620005</v>
      </c>
      <c r="Z479">
        <f t="shared" si="186"/>
        <v>25712286.998399999</v>
      </c>
      <c r="AA479">
        <f t="shared" si="187"/>
        <v>-29693894.738200009</v>
      </c>
      <c r="AB479">
        <f t="shared" si="188"/>
        <v>-125379373.86240003</v>
      </c>
      <c r="AC479">
        <f t="shared" si="189"/>
        <v>-197200150.94360006</v>
      </c>
      <c r="AD479">
        <f t="shared" si="190"/>
        <v>-264358110.48920006</v>
      </c>
      <c r="AE479">
        <f t="shared" si="191"/>
        <v>-300027932.01180005</v>
      </c>
    </row>
    <row r="480" spans="1:31" x14ac:dyDescent="0.25">
      <c r="A480">
        <v>38.002322829999997</v>
      </c>
      <c r="B480">
        <v>118.9455167</v>
      </c>
      <c r="C480">
        <v>43.008232120000002</v>
      </c>
      <c r="D480">
        <v>4.1563939999999997</v>
      </c>
      <c r="E480" t="b">
        <f t="shared" si="168"/>
        <v>0</v>
      </c>
      <c r="F480">
        <f t="shared" si="169"/>
        <v>-210.88476660000001</v>
      </c>
      <c r="G480">
        <f t="shared" si="170"/>
        <v>-425.92592720000005</v>
      </c>
      <c r="H480">
        <f t="shared" si="171"/>
        <v>-640.96708780000006</v>
      </c>
      <c r="I480">
        <f t="shared" si="172"/>
        <v>-856.00824840000007</v>
      </c>
      <c r="J480">
        <f t="shared" si="173"/>
        <v>-1071.049409</v>
      </c>
      <c r="L480">
        <f t="shared" si="174"/>
        <v>8395915.879999999</v>
      </c>
      <c r="M480">
        <f t="shared" si="175"/>
        <v>-362721798.55200005</v>
      </c>
      <c r="N480">
        <f t="shared" si="176"/>
        <v>-630370372.25600004</v>
      </c>
      <c r="O480">
        <f t="shared" si="177"/>
        <v>-717883138.3360002</v>
      </c>
      <c r="P480">
        <f t="shared" si="178"/>
        <v>-787527588.528</v>
      </c>
      <c r="Q480">
        <f t="shared" si="179"/>
        <v>-921102491.74000001</v>
      </c>
      <c r="S480">
        <f t="shared" si="180"/>
        <v>10183165.299999999</v>
      </c>
      <c r="T480">
        <f t="shared" si="181"/>
        <v>-924259262.02400005</v>
      </c>
      <c r="U480">
        <f t="shared" si="182"/>
        <v>-792222224.59200001</v>
      </c>
      <c r="V480">
        <f t="shared" si="183"/>
        <v>-910173264.676</v>
      </c>
      <c r="W480">
        <f t="shared" si="184"/>
        <v>-1172731300.3080003</v>
      </c>
      <c r="X480">
        <f t="shared" si="185"/>
        <v>-1306680278.98</v>
      </c>
      <c r="Z480">
        <f t="shared" si="186"/>
        <v>11970414.719999999</v>
      </c>
      <c r="AA480">
        <f t="shared" si="187"/>
        <v>-552518088.49199998</v>
      </c>
      <c r="AB480">
        <f t="shared" si="188"/>
        <v>-954074076.92800021</v>
      </c>
      <c r="AC480">
        <f t="shared" si="189"/>
        <v>-1256295492.0880001</v>
      </c>
      <c r="AD480">
        <f t="shared" si="190"/>
        <v>-1557935012.0880003</v>
      </c>
      <c r="AE480">
        <f t="shared" si="191"/>
        <v>-1692258066.22</v>
      </c>
    </row>
    <row r="481" spans="1:31" x14ac:dyDescent="0.25">
      <c r="A481">
        <v>38.008421239999997</v>
      </c>
      <c r="B481">
        <v>118.8880642</v>
      </c>
      <c r="C481">
        <v>43.008232120000002</v>
      </c>
      <c r="D481">
        <v>0.27772701</v>
      </c>
      <c r="E481" t="b">
        <f t="shared" si="168"/>
        <v>0</v>
      </c>
      <c r="F481">
        <f t="shared" si="169"/>
        <v>-214.76343359000001</v>
      </c>
      <c r="G481">
        <f t="shared" si="170"/>
        <v>-429.80459419000005</v>
      </c>
      <c r="H481">
        <f t="shared" si="171"/>
        <v>-644.84575479</v>
      </c>
      <c r="I481">
        <f t="shared" si="172"/>
        <v>-859.88691539000001</v>
      </c>
      <c r="J481">
        <f t="shared" si="173"/>
        <v>-1074.92807599</v>
      </c>
      <c r="L481">
        <f t="shared" si="174"/>
        <v>561008.56020000007</v>
      </c>
      <c r="M481">
        <f t="shared" si="175"/>
        <v>-369393105.77480006</v>
      </c>
      <c r="N481">
        <f t="shared" si="176"/>
        <v>-636110799.40120006</v>
      </c>
      <c r="O481">
        <f t="shared" si="177"/>
        <v>-722227245.36479998</v>
      </c>
      <c r="P481">
        <f t="shared" si="178"/>
        <v>-791095962.15879989</v>
      </c>
      <c r="Q481">
        <f t="shared" si="179"/>
        <v>-924438145.35140002</v>
      </c>
      <c r="S481">
        <f t="shared" si="180"/>
        <v>680431.17450000008</v>
      </c>
      <c r="T481">
        <f t="shared" si="181"/>
        <v>-932675969.39230013</v>
      </c>
      <c r="U481">
        <f t="shared" si="182"/>
        <v>-799436545.19340003</v>
      </c>
      <c r="V481">
        <f t="shared" si="183"/>
        <v>-915680971.80179989</v>
      </c>
      <c r="W481">
        <f t="shared" si="184"/>
        <v>-1178045074.0843</v>
      </c>
      <c r="X481">
        <f t="shared" si="185"/>
        <v>-1311412252.7077999</v>
      </c>
      <c r="Z481">
        <f t="shared" si="186"/>
        <v>799853.78879999998</v>
      </c>
      <c r="AA481">
        <f t="shared" si="187"/>
        <v>-562680196.00580001</v>
      </c>
      <c r="AB481">
        <f t="shared" si="188"/>
        <v>-962762290.98560023</v>
      </c>
      <c r="AC481">
        <f t="shared" si="189"/>
        <v>-1263897679.3883998</v>
      </c>
      <c r="AD481">
        <f t="shared" si="190"/>
        <v>-1564994186.0098</v>
      </c>
      <c r="AE481">
        <f t="shared" si="191"/>
        <v>-1698386360.0642002</v>
      </c>
    </row>
    <row r="482" spans="1:31" x14ac:dyDescent="0.25">
      <c r="A482">
        <v>38.011409469999997</v>
      </c>
      <c r="B482">
        <v>119.70788570000001</v>
      </c>
      <c r="C482">
        <v>15.833525659999999</v>
      </c>
      <c r="D482">
        <v>19.907222749999999</v>
      </c>
      <c r="E482" t="b">
        <f t="shared" si="168"/>
        <v>1</v>
      </c>
      <c r="F482">
        <f t="shared" si="169"/>
        <v>-59.260405549999987</v>
      </c>
      <c r="G482">
        <f t="shared" si="170"/>
        <v>-138.42803384999999</v>
      </c>
      <c r="H482">
        <f t="shared" si="171"/>
        <v>-217.59566215000001</v>
      </c>
      <c r="I482">
        <f t="shared" si="172"/>
        <v>-296.76329044999994</v>
      </c>
      <c r="J482">
        <f t="shared" si="173"/>
        <v>-375.93091874999999</v>
      </c>
      <c r="L482">
        <f t="shared" si="174"/>
        <v>31983721.8332</v>
      </c>
      <c r="M482">
        <f t="shared" si="175"/>
        <v>-101927897.54599999</v>
      </c>
      <c r="N482">
        <f t="shared" si="176"/>
        <v>-204873490.09799999</v>
      </c>
      <c r="O482">
        <f t="shared" si="177"/>
        <v>-243707141.60800004</v>
      </c>
      <c r="P482">
        <f t="shared" si="178"/>
        <v>-273022227.21399993</v>
      </c>
      <c r="Q482">
        <f t="shared" si="179"/>
        <v>-323300590.125</v>
      </c>
      <c r="S482">
        <f t="shared" si="180"/>
        <v>38792137.867000006</v>
      </c>
      <c r="T482">
        <f t="shared" si="181"/>
        <v>-300388833.45449996</v>
      </c>
      <c r="U482">
        <f t="shared" si="182"/>
        <v>-257476142.96099997</v>
      </c>
      <c r="V482">
        <f t="shared" si="183"/>
        <v>-308985840.25300002</v>
      </c>
      <c r="W482">
        <f t="shared" si="184"/>
        <v>-406565707.91649991</v>
      </c>
      <c r="X482">
        <f t="shared" si="185"/>
        <v>-458635720.875</v>
      </c>
      <c r="Z482">
        <f t="shared" si="186"/>
        <v>45600553.900799997</v>
      </c>
      <c r="AA482">
        <f t="shared" si="187"/>
        <v>-155262262.54099998</v>
      </c>
      <c r="AB482">
        <f t="shared" si="188"/>
        <v>-310078795.824</v>
      </c>
      <c r="AC482">
        <f t="shared" si="189"/>
        <v>-426487497.81400001</v>
      </c>
      <c r="AD482">
        <f t="shared" si="190"/>
        <v>-540109188.61899984</v>
      </c>
      <c r="AE482">
        <f t="shared" si="191"/>
        <v>-593970851.625</v>
      </c>
    </row>
    <row r="483" spans="1:31" x14ac:dyDescent="0.25">
      <c r="A483">
        <v>38.014463939999999</v>
      </c>
      <c r="B483">
        <v>115.85341870000001</v>
      </c>
      <c r="C483">
        <v>10.858460429999999</v>
      </c>
      <c r="D483">
        <v>0.54546499000000004</v>
      </c>
      <c r="E483" t="b">
        <f t="shared" si="168"/>
        <v>0</v>
      </c>
      <c r="F483">
        <f t="shared" si="169"/>
        <v>-53.746837159999998</v>
      </c>
      <c r="G483">
        <f t="shared" si="170"/>
        <v>-108.03913931</v>
      </c>
      <c r="H483">
        <f t="shared" si="171"/>
        <v>-162.33144145999998</v>
      </c>
      <c r="I483">
        <f t="shared" si="172"/>
        <v>-216.62374360999999</v>
      </c>
      <c r="J483">
        <f t="shared" si="173"/>
        <v>-270.91604575999997</v>
      </c>
      <c r="L483">
        <f t="shared" si="174"/>
        <v>1101839.2797999999</v>
      </c>
      <c r="M483">
        <f t="shared" si="175"/>
        <v>-92444559.91520001</v>
      </c>
      <c r="N483">
        <f t="shared" si="176"/>
        <v>-159897926.17879999</v>
      </c>
      <c r="O483">
        <f t="shared" si="177"/>
        <v>-181811214.43520001</v>
      </c>
      <c r="P483">
        <f t="shared" si="178"/>
        <v>-199293844.12119997</v>
      </c>
      <c r="Q483">
        <f t="shared" si="179"/>
        <v>-232987799.3536</v>
      </c>
      <c r="S483">
        <f t="shared" si="180"/>
        <v>1336389.2255000002</v>
      </c>
      <c r="T483">
        <f t="shared" si="181"/>
        <v>-234444932.30269998</v>
      </c>
      <c r="U483">
        <f t="shared" si="182"/>
        <v>-200952799.11659998</v>
      </c>
      <c r="V483">
        <f t="shared" si="183"/>
        <v>-230510646.87319997</v>
      </c>
      <c r="W483">
        <f t="shared" si="184"/>
        <v>-296774528.7457</v>
      </c>
      <c r="X483">
        <f t="shared" si="185"/>
        <v>-330517575.8272</v>
      </c>
      <c r="Z483">
        <f t="shared" si="186"/>
        <v>1570939.1712</v>
      </c>
      <c r="AA483">
        <f t="shared" si="187"/>
        <v>-140816713.3592</v>
      </c>
      <c r="AB483">
        <f t="shared" si="188"/>
        <v>-242007672.05440003</v>
      </c>
      <c r="AC483">
        <f t="shared" si="189"/>
        <v>-318169625.26159996</v>
      </c>
      <c r="AD483">
        <f t="shared" si="190"/>
        <v>-394255213.37019998</v>
      </c>
      <c r="AE483">
        <f t="shared" si="191"/>
        <v>-428047352.30080003</v>
      </c>
    </row>
    <row r="484" spans="1:31" x14ac:dyDescent="0.25">
      <c r="A484">
        <v>38.016599399999997</v>
      </c>
      <c r="B484">
        <v>118.3632016</v>
      </c>
      <c r="C484">
        <v>43.008232120000002</v>
      </c>
      <c r="D484">
        <v>0.79859500999999999</v>
      </c>
      <c r="E484" t="b">
        <f t="shared" si="168"/>
        <v>0</v>
      </c>
      <c r="F484">
        <f t="shared" si="169"/>
        <v>-214.24256559</v>
      </c>
      <c r="G484">
        <f t="shared" si="170"/>
        <v>-429.28372619000004</v>
      </c>
      <c r="H484">
        <f t="shared" si="171"/>
        <v>-644.32488679000005</v>
      </c>
      <c r="I484">
        <f t="shared" si="172"/>
        <v>-859.36604739000006</v>
      </c>
      <c r="J484">
        <f t="shared" si="173"/>
        <v>-1074.40720799</v>
      </c>
      <c r="L484">
        <f t="shared" si="174"/>
        <v>1613161.9202000001</v>
      </c>
      <c r="M484">
        <f t="shared" si="175"/>
        <v>-368497212.81480002</v>
      </c>
      <c r="N484">
        <f t="shared" si="176"/>
        <v>-635339914.76120007</v>
      </c>
      <c r="O484">
        <f t="shared" si="177"/>
        <v>-721643873.20480013</v>
      </c>
      <c r="P484">
        <f t="shared" si="178"/>
        <v>-790616763.59880006</v>
      </c>
      <c r="Q484">
        <f t="shared" si="179"/>
        <v>-923990198.8714</v>
      </c>
      <c r="S484">
        <f t="shared" si="180"/>
        <v>1956557.7745000001</v>
      </c>
      <c r="T484">
        <f t="shared" si="181"/>
        <v>-931545685.83230007</v>
      </c>
      <c r="U484">
        <f t="shared" si="182"/>
        <v>-798467730.71340001</v>
      </c>
      <c r="V484">
        <f t="shared" si="183"/>
        <v>-914941339.24180007</v>
      </c>
      <c r="W484">
        <f t="shared" si="184"/>
        <v>-1177331484.9243002</v>
      </c>
      <c r="X484">
        <f t="shared" si="185"/>
        <v>-1310776793.7477999</v>
      </c>
      <c r="Z484">
        <f t="shared" si="186"/>
        <v>2299953.6288000001</v>
      </c>
      <c r="AA484">
        <f t="shared" si="187"/>
        <v>-561315521.84580004</v>
      </c>
      <c r="AB484">
        <f t="shared" si="188"/>
        <v>-961595546.66560018</v>
      </c>
      <c r="AC484">
        <f t="shared" si="189"/>
        <v>-1262876778.1084001</v>
      </c>
      <c r="AD484">
        <f t="shared" si="190"/>
        <v>-1564046206.2498002</v>
      </c>
      <c r="AE484">
        <f t="shared" si="191"/>
        <v>-1697563388.6242001</v>
      </c>
    </row>
    <row r="485" spans="1:31" x14ac:dyDescent="0.25">
      <c r="A485">
        <v>38.020537060000002</v>
      </c>
      <c r="B485">
        <v>118.7731319</v>
      </c>
      <c r="C485">
        <v>43.008232120000002</v>
      </c>
      <c r="D485">
        <v>16.356826779999999</v>
      </c>
      <c r="E485" t="b">
        <f t="shared" si="168"/>
        <v>0</v>
      </c>
      <c r="F485">
        <f t="shared" si="169"/>
        <v>-198.68433382000001</v>
      </c>
      <c r="G485">
        <f t="shared" si="170"/>
        <v>-413.72549442000002</v>
      </c>
      <c r="H485">
        <f t="shared" si="171"/>
        <v>-628.76665502000003</v>
      </c>
      <c r="I485">
        <f t="shared" si="172"/>
        <v>-843.80781562000004</v>
      </c>
      <c r="J485">
        <f t="shared" si="173"/>
        <v>-1058.8489762200002</v>
      </c>
      <c r="L485">
        <f t="shared" si="174"/>
        <v>33040790.095599998</v>
      </c>
      <c r="M485">
        <f t="shared" si="175"/>
        <v>-341737054.17040002</v>
      </c>
      <c r="N485">
        <f t="shared" si="176"/>
        <v>-612313731.74160004</v>
      </c>
      <c r="O485">
        <f t="shared" si="177"/>
        <v>-704218653.62240005</v>
      </c>
      <c r="P485">
        <f t="shared" si="178"/>
        <v>-776303190.37039995</v>
      </c>
      <c r="Q485">
        <f t="shared" si="179"/>
        <v>-910610119.54920006</v>
      </c>
      <c r="S485">
        <f t="shared" si="180"/>
        <v>40074225.611000001</v>
      </c>
      <c r="T485">
        <f t="shared" si="181"/>
        <v>-897784322.89139998</v>
      </c>
      <c r="U485">
        <f t="shared" si="182"/>
        <v>-769529419.62119997</v>
      </c>
      <c r="V485">
        <f t="shared" si="183"/>
        <v>-892848650.12839997</v>
      </c>
      <c r="W485">
        <f t="shared" si="184"/>
        <v>-1156016707.3994</v>
      </c>
      <c r="X485">
        <f t="shared" si="185"/>
        <v>-1291795750.9884002</v>
      </c>
      <c r="Z485">
        <f t="shared" si="186"/>
        <v>47107661.126399994</v>
      </c>
      <c r="AA485">
        <f t="shared" si="187"/>
        <v>-520552954.60839999</v>
      </c>
      <c r="AB485">
        <f t="shared" si="188"/>
        <v>-926745107.50080013</v>
      </c>
      <c r="AC485">
        <f t="shared" si="189"/>
        <v>-1232382643.8392</v>
      </c>
      <c r="AD485">
        <f t="shared" si="190"/>
        <v>-1535730224.4284</v>
      </c>
      <c r="AE485">
        <f t="shared" si="191"/>
        <v>-1672981382.4276004</v>
      </c>
    </row>
    <row r="486" spans="1:31" x14ac:dyDescent="0.25">
      <c r="A486">
        <v>38.022517460000003</v>
      </c>
      <c r="B486">
        <v>116.8457784</v>
      </c>
      <c r="C486">
        <v>19.537851329999999</v>
      </c>
      <c r="D486">
        <v>0.346827</v>
      </c>
      <c r="E486" t="b">
        <f t="shared" si="168"/>
        <v>0</v>
      </c>
      <c r="F486">
        <f t="shared" si="169"/>
        <v>-97.342429649999985</v>
      </c>
      <c r="G486">
        <f t="shared" si="170"/>
        <v>-195.03168629999999</v>
      </c>
      <c r="H486">
        <f t="shared" si="171"/>
        <v>-292.72094294999994</v>
      </c>
      <c r="I486">
        <f t="shared" si="172"/>
        <v>-390.41019959999994</v>
      </c>
      <c r="J486">
        <f t="shared" si="173"/>
        <v>-488.09945624999995</v>
      </c>
      <c r="L486">
        <f t="shared" si="174"/>
        <v>700590.54</v>
      </c>
      <c r="M486">
        <f t="shared" si="175"/>
        <v>-167428978.998</v>
      </c>
      <c r="N486">
        <f t="shared" si="176"/>
        <v>-288646895.72399998</v>
      </c>
      <c r="O486">
        <f t="shared" si="177"/>
        <v>-327847456.10399997</v>
      </c>
      <c r="P486">
        <f t="shared" si="178"/>
        <v>-359177383.63199991</v>
      </c>
      <c r="Q486">
        <f t="shared" si="179"/>
        <v>-419765532.37499994</v>
      </c>
      <c r="S486">
        <f t="shared" si="180"/>
        <v>849726.15</v>
      </c>
      <c r="T486">
        <f t="shared" si="181"/>
        <v>-423218759.27099997</v>
      </c>
      <c r="U486">
        <f t="shared" si="182"/>
        <v>-362758936.51799995</v>
      </c>
      <c r="V486">
        <f t="shared" si="183"/>
        <v>-415663738.9889999</v>
      </c>
      <c r="W486">
        <f t="shared" si="184"/>
        <v>-534861973.45200002</v>
      </c>
      <c r="X486">
        <f t="shared" si="185"/>
        <v>-595481336.62499988</v>
      </c>
      <c r="Z486">
        <f t="shared" si="186"/>
        <v>998861.76</v>
      </c>
      <c r="AA486">
        <f t="shared" si="187"/>
        <v>-255037165.683</v>
      </c>
      <c r="AB486">
        <f t="shared" si="188"/>
        <v>-436870977.31199998</v>
      </c>
      <c r="AC486">
        <f t="shared" si="189"/>
        <v>-573733048.1819998</v>
      </c>
      <c r="AD486">
        <f t="shared" si="190"/>
        <v>-710546563.27199996</v>
      </c>
      <c r="AE486">
        <f t="shared" si="191"/>
        <v>-771197140.875</v>
      </c>
    </row>
    <row r="487" spans="1:31" x14ac:dyDescent="0.25">
      <c r="A487">
        <v>38.024114089999998</v>
      </c>
      <c r="B487">
        <v>120.0030727</v>
      </c>
      <c r="C487">
        <v>27.985301969999998</v>
      </c>
      <c r="D487">
        <v>0.48972300000000002</v>
      </c>
      <c r="E487" t="b">
        <f t="shared" si="168"/>
        <v>0</v>
      </c>
      <c r="F487">
        <f t="shared" si="169"/>
        <v>-139.43678685</v>
      </c>
      <c r="G487">
        <f t="shared" si="170"/>
        <v>-279.36329669999998</v>
      </c>
      <c r="H487">
        <f t="shared" si="171"/>
        <v>-419.28980654999992</v>
      </c>
      <c r="I487">
        <f t="shared" si="172"/>
        <v>-559.21631639999998</v>
      </c>
      <c r="J487">
        <f t="shared" si="173"/>
        <v>-699.14282624999998</v>
      </c>
      <c r="L487">
        <f t="shared" si="174"/>
        <v>989240.46</v>
      </c>
      <c r="M487">
        <f t="shared" si="175"/>
        <v>-239831273.38200003</v>
      </c>
      <c r="N487">
        <f t="shared" si="176"/>
        <v>-413457679.116</v>
      </c>
      <c r="O487">
        <f t="shared" si="177"/>
        <v>-469604583.33599997</v>
      </c>
      <c r="P487">
        <f t="shared" si="178"/>
        <v>-514479011.08799994</v>
      </c>
      <c r="Q487">
        <f t="shared" si="179"/>
        <v>-601262830.57500005</v>
      </c>
      <c r="S487">
        <f t="shared" si="180"/>
        <v>1199821.3500000001</v>
      </c>
      <c r="T487">
        <f t="shared" si="181"/>
        <v>-606218353.83899999</v>
      </c>
      <c r="U487">
        <f t="shared" si="182"/>
        <v>-519615731.86199993</v>
      </c>
      <c r="V487">
        <f t="shared" si="183"/>
        <v>-595391525.30099988</v>
      </c>
      <c r="W487">
        <f t="shared" si="184"/>
        <v>-766126353.46800005</v>
      </c>
      <c r="X487">
        <f t="shared" si="185"/>
        <v>-852954248.02499998</v>
      </c>
      <c r="Z487">
        <f t="shared" si="186"/>
        <v>1410402.24</v>
      </c>
      <c r="AA487">
        <f t="shared" si="187"/>
        <v>-365324381.54699999</v>
      </c>
      <c r="AB487">
        <f t="shared" si="188"/>
        <v>-625773784.60800004</v>
      </c>
      <c r="AC487">
        <f t="shared" si="189"/>
        <v>-821808020.83799994</v>
      </c>
      <c r="AD487">
        <f t="shared" si="190"/>
        <v>-1017773695.848</v>
      </c>
      <c r="AE487">
        <f t="shared" si="191"/>
        <v>-1104645665.4750001</v>
      </c>
    </row>
    <row r="488" spans="1:31" x14ac:dyDescent="0.25">
      <c r="A488">
        <v>38.030696599999999</v>
      </c>
      <c r="B488">
        <v>119.5356659</v>
      </c>
      <c r="C488">
        <v>17.948078160000001</v>
      </c>
      <c r="D488">
        <v>1.9368519799999999</v>
      </c>
      <c r="E488" t="b">
        <f t="shared" si="168"/>
        <v>0</v>
      </c>
      <c r="F488">
        <f t="shared" si="169"/>
        <v>-87.80353882</v>
      </c>
      <c r="G488">
        <f t="shared" si="170"/>
        <v>-177.54392962</v>
      </c>
      <c r="H488">
        <f t="shared" si="171"/>
        <v>-267.28432042000003</v>
      </c>
      <c r="I488">
        <f t="shared" si="172"/>
        <v>-357.02471122000003</v>
      </c>
      <c r="J488">
        <f t="shared" si="173"/>
        <v>-446.76510202000009</v>
      </c>
      <c r="L488">
        <f t="shared" si="174"/>
        <v>3912440.9996000002</v>
      </c>
      <c r="M488">
        <f t="shared" si="175"/>
        <v>-151022086.77040002</v>
      </c>
      <c r="N488">
        <f t="shared" si="176"/>
        <v>-262765015.83759999</v>
      </c>
      <c r="O488">
        <f t="shared" si="177"/>
        <v>-299358438.87040007</v>
      </c>
      <c r="P488">
        <f t="shared" si="178"/>
        <v>-328462734.32239997</v>
      </c>
      <c r="Q488">
        <f t="shared" si="179"/>
        <v>-384217987.73720008</v>
      </c>
      <c r="S488">
        <f t="shared" si="180"/>
        <v>4745287.3510000007</v>
      </c>
      <c r="T488">
        <f t="shared" si="181"/>
        <v>-385270327.27539998</v>
      </c>
      <c r="U488">
        <f t="shared" si="182"/>
        <v>-330231709.09319997</v>
      </c>
      <c r="V488">
        <f t="shared" si="183"/>
        <v>-379543734.9964</v>
      </c>
      <c r="W488">
        <f t="shared" si="184"/>
        <v>-489123854.37140006</v>
      </c>
      <c r="X488">
        <f t="shared" si="185"/>
        <v>-545053424.46440005</v>
      </c>
      <c r="Z488">
        <f t="shared" si="186"/>
        <v>5578133.7023999998</v>
      </c>
      <c r="AA488">
        <f t="shared" si="187"/>
        <v>-230045271.70839998</v>
      </c>
      <c r="AB488">
        <f t="shared" si="188"/>
        <v>-397698402.34880006</v>
      </c>
      <c r="AC488">
        <f t="shared" si="189"/>
        <v>-523877268.02320004</v>
      </c>
      <c r="AD488">
        <f t="shared" si="190"/>
        <v>-649784974.42040002</v>
      </c>
      <c r="AE488">
        <f t="shared" si="191"/>
        <v>-705888861.1916002</v>
      </c>
    </row>
    <row r="489" spans="1:31" x14ac:dyDescent="0.25">
      <c r="A489">
        <v>38.033993070000001</v>
      </c>
      <c r="B489">
        <v>118.1906503</v>
      </c>
      <c r="C489">
        <v>76.896270749999999</v>
      </c>
      <c r="D489">
        <v>1.61000597</v>
      </c>
      <c r="E489" t="b">
        <f t="shared" si="168"/>
        <v>0</v>
      </c>
      <c r="F489">
        <f t="shared" si="169"/>
        <v>-382.87134778000001</v>
      </c>
      <c r="G489">
        <f t="shared" si="170"/>
        <v>-767.35270152999999</v>
      </c>
      <c r="H489">
        <f t="shared" si="171"/>
        <v>-1151.83405528</v>
      </c>
      <c r="I489">
        <f t="shared" si="172"/>
        <v>-1536.31540903</v>
      </c>
      <c r="J489">
        <f t="shared" si="173"/>
        <v>-1920.7967627800001</v>
      </c>
      <c r="L489">
        <f t="shared" si="174"/>
        <v>3252212.0594000001</v>
      </c>
      <c r="M489">
        <f t="shared" si="175"/>
        <v>-658538718.18160009</v>
      </c>
      <c r="N489">
        <f t="shared" si="176"/>
        <v>-1135681998.2644</v>
      </c>
      <c r="O489">
        <f t="shared" si="177"/>
        <v>-1290054141.9136002</v>
      </c>
      <c r="P489">
        <f t="shared" si="178"/>
        <v>-1413410176.3075998</v>
      </c>
      <c r="Q489">
        <f t="shared" si="179"/>
        <v>-1651885215.9908001</v>
      </c>
      <c r="S489">
        <f t="shared" si="180"/>
        <v>3944514.6265000002</v>
      </c>
      <c r="T489">
        <f t="shared" si="181"/>
        <v>-1665155362.3200998</v>
      </c>
      <c r="U489">
        <f t="shared" si="182"/>
        <v>-1427276024.8457999</v>
      </c>
      <c r="V489">
        <f t="shared" si="183"/>
        <v>-1635604358.4975998</v>
      </c>
      <c r="W489">
        <f t="shared" si="184"/>
        <v>-2104752110.3711002</v>
      </c>
      <c r="X489">
        <f t="shared" si="185"/>
        <v>-2343372050.5916004</v>
      </c>
      <c r="Z489">
        <f t="shared" si="186"/>
        <v>4636817.1935999999</v>
      </c>
      <c r="AA489">
        <f t="shared" si="187"/>
        <v>-1003122931.1836001</v>
      </c>
      <c r="AB489">
        <f t="shared" si="188"/>
        <v>-1718870051.4272001</v>
      </c>
      <c r="AC489">
        <f t="shared" si="189"/>
        <v>-2257594748.3487997</v>
      </c>
      <c r="AD489">
        <f t="shared" si="190"/>
        <v>-2796094044.4345999</v>
      </c>
      <c r="AE489">
        <f t="shared" si="191"/>
        <v>-3034858885.1924005</v>
      </c>
    </row>
    <row r="490" spans="1:31" x14ac:dyDescent="0.25">
      <c r="A490">
        <v>38.039175290000003</v>
      </c>
      <c r="B490">
        <v>90.958337259999993</v>
      </c>
      <c r="C490">
        <v>20.624670030000001</v>
      </c>
      <c r="D490">
        <v>3.7280418900000001</v>
      </c>
      <c r="E490" t="b">
        <f t="shared" si="168"/>
        <v>0</v>
      </c>
      <c r="F490">
        <f t="shared" si="169"/>
        <v>-99.395308260000007</v>
      </c>
      <c r="G490">
        <f t="shared" si="170"/>
        <v>-202.51865841</v>
      </c>
      <c r="H490">
        <f t="shared" si="171"/>
        <v>-305.64200856000002</v>
      </c>
      <c r="I490">
        <f t="shared" si="172"/>
        <v>-408.76535871000004</v>
      </c>
      <c r="J490">
        <f t="shared" si="173"/>
        <v>-511.88870886000007</v>
      </c>
      <c r="L490">
        <f t="shared" si="174"/>
        <v>7530644.6178000001</v>
      </c>
      <c r="M490">
        <f t="shared" si="175"/>
        <v>-170959930.20720002</v>
      </c>
      <c r="N490">
        <f t="shared" si="176"/>
        <v>-299727614.44679999</v>
      </c>
      <c r="O490">
        <f t="shared" si="177"/>
        <v>-342319049.58720005</v>
      </c>
      <c r="P490">
        <f t="shared" si="178"/>
        <v>-376064130.01319999</v>
      </c>
      <c r="Q490">
        <f t="shared" si="179"/>
        <v>-440224289.61960006</v>
      </c>
      <c r="S490">
        <f t="shared" si="180"/>
        <v>9133702.6305000018</v>
      </c>
      <c r="T490">
        <f t="shared" si="181"/>
        <v>-439465488.74969995</v>
      </c>
      <c r="U490">
        <f t="shared" si="182"/>
        <v>-376684704.64259994</v>
      </c>
      <c r="V490">
        <f t="shared" si="183"/>
        <v>-434011652.1552</v>
      </c>
      <c r="W490">
        <f t="shared" si="184"/>
        <v>-560008541.43270004</v>
      </c>
      <c r="X490">
        <f t="shared" si="185"/>
        <v>-624504224.80920005</v>
      </c>
      <c r="Z490">
        <f t="shared" si="186"/>
        <v>10736760.643200001</v>
      </c>
      <c r="AA490">
        <f t="shared" si="187"/>
        <v>-260415707.64120004</v>
      </c>
      <c r="AB490">
        <f t="shared" si="188"/>
        <v>-453641794.83840001</v>
      </c>
      <c r="AC490">
        <f t="shared" si="189"/>
        <v>-599058336.77760005</v>
      </c>
      <c r="AD490">
        <f t="shared" si="190"/>
        <v>-743952952.85220015</v>
      </c>
      <c r="AE490">
        <f t="shared" si="191"/>
        <v>-808784159.99880016</v>
      </c>
    </row>
    <row r="491" spans="1:31" x14ac:dyDescent="0.25">
      <c r="A491">
        <v>38.044444599999999</v>
      </c>
      <c r="B491">
        <v>118.5431591</v>
      </c>
      <c r="C491">
        <v>65.630661009999997</v>
      </c>
      <c r="D491">
        <v>9.2032000000000003E-2</v>
      </c>
      <c r="E491" t="b">
        <f t="shared" si="168"/>
        <v>0</v>
      </c>
      <c r="F491">
        <f t="shared" si="169"/>
        <v>-328.06127304999995</v>
      </c>
      <c r="G491">
        <f t="shared" si="170"/>
        <v>-656.21457809999993</v>
      </c>
      <c r="H491">
        <f t="shared" si="171"/>
        <v>-984.3678831499999</v>
      </c>
      <c r="I491">
        <f t="shared" si="172"/>
        <v>-1312.5211881999999</v>
      </c>
      <c r="J491">
        <f t="shared" si="173"/>
        <v>-1640.6744932499998</v>
      </c>
      <c r="L491">
        <f t="shared" si="174"/>
        <v>185904.64000000001</v>
      </c>
      <c r="M491">
        <f t="shared" si="175"/>
        <v>-564265389.64600003</v>
      </c>
      <c r="N491">
        <f t="shared" si="176"/>
        <v>-971197575.58799982</v>
      </c>
      <c r="O491">
        <f t="shared" si="177"/>
        <v>-1102492029.128</v>
      </c>
      <c r="P491">
        <f t="shared" si="178"/>
        <v>-1207519493.1439998</v>
      </c>
      <c r="Q491">
        <f t="shared" si="179"/>
        <v>-1410980064.1949997</v>
      </c>
      <c r="S491">
        <f t="shared" si="180"/>
        <v>225478.40000000002</v>
      </c>
      <c r="T491">
        <f t="shared" si="181"/>
        <v>-1423985634.4769998</v>
      </c>
      <c r="U491">
        <f t="shared" si="182"/>
        <v>-1220559115.2659998</v>
      </c>
      <c r="V491">
        <f t="shared" si="183"/>
        <v>-1397802394.0729997</v>
      </c>
      <c r="W491">
        <f t="shared" si="184"/>
        <v>-1798154027.8339999</v>
      </c>
      <c r="X491">
        <f t="shared" si="185"/>
        <v>-2001622881.7649996</v>
      </c>
      <c r="Z491">
        <f t="shared" si="186"/>
        <v>265052.15999999997</v>
      </c>
      <c r="AA491">
        <f t="shared" si="187"/>
        <v>-859520535.39099991</v>
      </c>
      <c r="AB491">
        <f t="shared" si="188"/>
        <v>-1469920654.944</v>
      </c>
      <c r="AC491">
        <f t="shared" si="189"/>
        <v>-1929361050.9739997</v>
      </c>
      <c r="AD491">
        <f t="shared" si="190"/>
        <v>-2388788562.5239997</v>
      </c>
      <c r="AE491">
        <f t="shared" si="191"/>
        <v>-2592265699.3349996</v>
      </c>
    </row>
    <row r="492" spans="1:31" x14ac:dyDescent="0.25">
      <c r="A492">
        <v>38.046402530000002</v>
      </c>
      <c r="B492">
        <v>115.44952910000001</v>
      </c>
      <c r="C492">
        <v>10.663947110000001</v>
      </c>
      <c r="D492">
        <v>1.19535697</v>
      </c>
      <c r="E492" t="b">
        <f t="shared" si="168"/>
        <v>0</v>
      </c>
      <c r="F492">
        <f t="shared" si="169"/>
        <v>-52.124378580000005</v>
      </c>
      <c r="G492">
        <f t="shared" si="170"/>
        <v>-105.44411413</v>
      </c>
      <c r="H492">
        <f t="shared" si="171"/>
        <v>-158.76384967999999</v>
      </c>
      <c r="I492">
        <f t="shared" si="172"/>
        <v>-212.08358523000001</v>
      </c>
      <c r="J492">
        <f t="shared" si="173"/>
        <v>-265.40332078000006</v>
      </c>
      <c r="L492">
        <f t="shared" si="174"/>
        <v>2414621.0794000002</v>
      </c>
      <c r="M492">
        <f t="shared" si="175"/>
        <v>-89653931.157600015</v>
      </c>
      <c r="N492">
        <f t="shared" si="176"/>
        <v>-156057288.91239998</v>
      </c>
      <c r="O492">
        <f t="shared" si="177"/>
        <v>-177815511.64160001</v>
      </c>
      <c r="P492">
        <f t="shared" si="178"/>
        <v>-195116898.41159999</v>
      </c>
      <c r="Q492">
        <f t="shared" si="179"/>
        <v>-228246855.87080005</v>
      </c>
      <c r="S492">
        <f t="shared" si="180"/>
        <v>2928624.5765</v>
      </c>
      <c r="T492">
        <f t="shared" si="181"/>
        <v>-228813727.66209999</v>
      </c>
      <c r="U492">
        <f t="shared" si="182"/>
        <v>-196126052.28179997</v>
      </c>
      <c r="V492">
        <f t="shared" si="183"/>
        <v>-225444666.5456</v>
      </c>
      <c r="W492">
        <f t="shared" si="184"/>
        <v>-290554511.76510006</v>
      </c>
      <c r="X492">
        <f t="shared" si="185"/>
        <v>-323792051.35160005</v>
      </c>
      <c r="Z492">
        <f t="shared" si="186"/>
        <v>3442628.0735999998</v>
      </c>
      <c r="AA492">
        <f t="shared" si="187"/>
        <v>-136565871.87960002</v>
      </c>
      <c r="AB492">
        <f t="shared" si="188"/>
        <v>-236194815.65120003</v>
      </c>
      <c r="AC492">
        <f t="shared" si="189"/>
        <v>-311177145.37279999</v>
      </c>
      <c r="AD492">
        <f t="shared" si="190"/>
        <v>-385992125.11860007</v>
      </c>
      <c r="AE492">
        <f t="shared" si="191"/>
        <v>-419337246.83240014</v>
      </c>
    </row>
    <row r="493" spans="1:31" x14ac:dyDescent="0.25">
      <c r="A493">
        <v>38.053881250000003</v>
      </c>
      <c r="B493">
        <v>118.89575929999999</v>
      </c>
      <c r="C493">
        <v>43.008232120000002</v>
      </c>
      <c r="D493">
        <v>2.4491999099999999</v>
      </c>
      <c r="E493" t="b">
        <f t="shared" si="168"/>
        <v>0</v>
      </c>
      <c r="F493">
        <f t="shared" si="169"/>
        <v>-212.59196069000001</v>
      </c>
      <c r="G493">
        <f t="shared" si="170"/>
        <v>-427.63312129000002</v>
      </c>
      <c r="H493">
        <f t="shared" si="171"/>
        <v>-642.67428189000009</v>
      </c>
      <c r="I493">
        <f t="shared" si="172"/>
        <v>-857.7154424900001</v>
      </c>
      <c r="J493">
        <f t="shared" si="173"/>
        <v>-1072.75660309</v>
      </c>
      <c r="L493">
        <f t="shared" si="174"/>
        <v>4947383.8182000006</v>
      </c>
      <c r="M493">
        <f t="shared" si="175"/>
        <v>-365658172.38680005</v>
      </c>
      <c r="N493">
        <f t="shared" si="176"/>
        <v>-632897019.50919998</v>
      </c>
      <c r="O493">
        <f t="shared" si="177"/>
        <v>-719795195.71680021</v>
      </c>
      <c r="P493">
        <f t="shared" si="178"/>
        <v>-789098207.09080005</v>
      </c>
      <c r="Q493">
        <f t="shared" si="179"/>
        <v>-922570678.65740001</v>
      </c>
      <c r="S493">
        <f t="shared" si="180"/>
        <v>6000539.7795000011</v>
      </c>
      <c r="T493">
        <f t="shared" si="181"/>
        <v>-927963873.19930005</v>
      </c>
      <c r="U493">
        <f t="shared" si="182"/>
        <v>-795397605.59940004</v>
      </c>
      <c r="V493">
        <f t="shared" si="183"/>
        <v>-912597480.28380013</v>
      </c>
      <c r="W493">
        <f t="shared" si="184"/>
        <v>-1175070156.2113004</v>
      </c>
      <c r="X493">
        <f t="shared" si="185"/>
        <v>-1308763055.7697999</v>
      </c>
      <c r="Z493">
        <f t="shared" si="186"/>
        <v>7053695.7407999998</v>
      </c>
      <c r="AA493">
        <f t="shared" si="187"/>
        <v>-556990937.00779998</v>
      </c>
      <c r="AB493">
        <f t="shared" si="188"/>
        <v>-957898191.68960011</v>
      </c>
      <c r="AC493">
        <f t="shared" si="189"/>
        <v>-1259641592.5044003</v>
      </c>
      <c r="AD493">
        <f t="shared" si="190"/>
        <v>-1561042105.3318002</v>
      </c>
      <c r="AE493">
        <f t="shared" si="191"/>
        <v>-1694955432.8822002</v>
      </c>
    </row>
    <row r="494" spans="1:31" x14ac:dyDescent="0.25">
      <c r="A494">
        <v>38.06295377</v>
      </c>
      <c r="B494">
        <v>116.90990789999999</v>
      </c>
      <c r="C494">
        <v>19.537851329999999</v>
      </c>
      <c r="D494">
        <v>3.9906790299999999</v>
      </c>
      <c r="E494" t="b">
        <f t="shared" si="168"/>
        <v>0</v>
      </c>
      <c r="F494">
        <f t="shared" si="169"/>
        <v>-93.698577619999995</v>
      </c>
      <c r="G494">
        <f t="shared" si="170"/>
        <v>-191.38783426999998</v>
      </c>
      <c r="H494">
        <f t="shared" si="171"/>
        <v>-289.07709091999993</v>
      </c>
      <c r="I494">
        <f t="shared" si="172"/>
        <v>-386.76634756999994</v>
      </c>
      <c r="J494">
        <f t="shared" si="173"/>
        <v>-484.45560421999994</v>
      </c>
      <c r="L494">
        <f t="shared" si="174"/>
        <v>8061171.6405999996</v>
      </c>
      <c r="M494">
        <f t="shared" si="175"/>
        <v>-161161553.50639999</v>
      </c>
      <c r="N494">
        <f t="shared" si="176"/>
        <v>-283253994.71959996</v>
      </c>
      <c r="O494">
        <f t="shared" si="177"/>
        <v>-323766341.83039999</v>
      </c>
      <c r="P494">
        <f t="shared" si="178"/>
        <v>-355825039.76439989</v>
      </c>
      <c r="Q494">
        <f t="shared" si="179"/>
        <v>-416631819.62919998</v>
      </c>
      <c r="S494">
        <f t="shared" si="180"/>
        <v>9777163.6235000007</v>
      </c>
      <c r="T494">
        <f t="shared" si="181"/>
        <v>-415311600.36589992</v>
      </c>
      <c r="U494">
        <f t="shared" si="182"/>
        <v>-355981371.74219996</v>
      </c>
      <c r="V494">
        <f t="shared" si="183"/>
        <v>-410489469.10639989</v>
      </c>
      <c r="W494">
        <f t="shared" si="184"/>
        <v>-529869896.17089993</v>
      </c>
      <c r="X494">
        <f t="shared" si="185"/>
        <v>-591035837.14839995</v>
      </c>
      <c r="Z494">
        <f t="shared" si="186"/>
        <v>11493155.606399998</v>
      </c>
      <c r="AA494">
        <f t="shared" si="187"/>
        <v>-245490273.36439997</v>
      </c>
      <c r="AB494">
        <f t="shared" si="188"/>
        <v>-428708748.76480001</v>
      </c>
      <c r="AC494">
        <f t="shared" si="189"/>
        <v>-566591098.20319986</v>
      </c>
      <c r="AD494">
        <f t="shared" si="190"/>
        <v>-703914752.57739985</v>
      </c>
      <c r="AE494">
        <f t="shared" si="191"/>
        <v>-765439854.66760004</v>
      </c>
    </row>
    <row r="495" spans="1:31" x14ac:dyDescent="0.25">
      <c r="A495">
        <v>38.063275830000002</v>
      </c>
      <c r="B495">
        <v>119.6586372</v>
      </c>
      <c r="C495">
        <v>34.305973049999999</v>
      </c>
      <c r="D495">
        <v>0.61215299000000001</v>
      </c>
      <c r="E495" t="b">
        <f t="shared" si="168"/>
        <v>0</v>
      </c>
      <c r="F495">
        <f t="shared" si="169"/>
        <v>-170.91771226</v>
      </c>
      <c r="G495">
        <f t="shared" si="170"/>
        <v>-342.44757750999997</v>
      </c>
      <c r="H495">
        <f t="shared" si="171"/>
        <v>-513.97744275999992</v>
      </c>
      <c r="I495">
        <f t="shared" si="172"/>
        <v>-685.50730800999997</v>
      </c>
      <c r="J495">
        <f t="shared" si="173"/>
        <v>-857.03717325999992</v>
      </c>
      <c r="L495">
        <f t="shared" si="174"/>
        <v>1236549.0397999999</v>
      </c>
      <c r="M495">
        <f t="shared" si="175"/>
        <v>-293978465.08720005</v>
      </c>
      <c r="N495">
        <f t="shared" si="176"/>
        <v>-506822414.7148</v>
      </c>
      <c r="O495">
        <f t="shared" si="177"/>
        <v>-575654735.89119995</v>
      </c>
      <c r="P495">
        <f t="shared" si="178"/>
        <v>-630666723.36919999</v>
      </c>
      <c r="Q495">
        <f t="shared" si="179"/>
        <v>-737051969.00359988</v>
      </c>
      <c r="S495">
        <f t="shared" si="180"/>
        <v>1499774.8255</v>
      </c>
      <c r="T495">
        <f t="shared" si="181"/>
        <v>-743111243.19669998</v>
      </c>
      <c r="U495">
        <f t="shared" si="182"/>
        <v>-636952494.16859996</v>
      </c>
      <c r="V495">
        <f t="shared" si="183"/>
        <v>-729847968.7191999</v>
      </c>
      <c r="W495">
        <f t="shared" si="184"/>
        <v>-939145011.97370005</v>
      </c>
      <c r="X495">
        <f t="shared" si="185"/>
        <v>-1045585351.3771998</v>
      </c>
      <c r="Z495">
        <f t="shared" si="186"/>
        <v>1763000.6111999999</v>
      </c>
      <c r="AA495">
        <f t="shared" si="187"/>
        <v>-447804406.12119997</v>
      </c>
      <c r="AB495">
        <f t="shared" si="188"/>
        <v>-767082573.62240005</v>
      </c>
      <c r="AC495">
        <f t="shared" si="189"/>
        <v>-1007395787.8095999</v>
      </c>
      <c r="AD495">
        <f t="shared" si="190"/>
        <v>-1247623300.5782001</v>
      </c>
      <c r="AE495">
        <f t="shared" si="191"/>
        <v>-1354118733.7507999</v>
      </c>
    </row>
    <row r="496" spans="1:31" x14ac:dyDescent="0.25">
      <c r="A496">
        <v>38.069500490000003</v>
      </c>
      <c r="B496">
        <v>120.0114308</v>
      </c>
      <c r="C496">
        <v>52.500782010000002</v>
      </c>
      <c r="D496">
        <v>7.3458380700000001</v>
      </c>
      <c r="E496" t="b">
        <f t="shared" si="168"/>
        <v>0</v>
      </c>
      <c r="F496">
        <f t="shared" si="169"/>
        <v>-255.15807197999999</v>
      </c>
      <c r="G496">
        <f t="shared" si="170"/>
        <v>-517.66198202999999</v>
      </c>
      <c r="H496">
        <f t="shared" si="171"/>
        <v>-780.16589208000005</v>
      </c>
      <c r="I496">
        <f t="shared" si="172"/>
        <v>-1042.6698021300001</v>
      </c>
      <c r="J496">
        <f t="shared" si="173"/>
        <v>-1305.1737121800002</v>
      </c>
      <c r="L496">
        <f t="shared" si="174"/>
        <v>14838592.9014</v>
      </c>
      <c r="M496">
        <f t="shared" si="175"/>
        <v>-438871883.80560005</v>
      </c>
      <c r="N496">
        <f t="shared" si="176"/>
        <v>-766139733.40439999</v>
      </c>
      <c r="O496">
        <f t="shared" si="177"/>
        <v>-873785799.12960017</v>
      </c>
      <c r="P496">
        <f t="shared" si="178"/>
        <v>-959256217.95959997</v>
      </c>
      <c r="Q496">
        <f t="shared" si="179"/>
        <v>-1122449392.4748001</v>
      </c>
      <c r="S496">
        <f t="shared" si="180"/>
        <v>17997303.271500003</v>
      </c>
      <c r="T496">
        <f t="shared" si="181"/>
        <v>-1123326501.0051</v>
      </c>
      <c r="U496">
        <f t="shared" si="182"/>
        <v>-962851286.57579994</v>
      </c>
      <c r="V496">
        <f t="shared" si="183"/>
        <v>-1107835566.7536001</v>
      </c>
      <c r="W496">
        <f t="shared" si="184"/>
        <v>-1428457628.9181004</v>
      </c>
      <c r="X496">
        <f t="shared" si="185"/>
        <v>-1592311928.8596001</v>
      </c>
      <c r="Z496">
        <f t="shared" si="186"/>
        <v>21156013.641600002</v>
      </c>
      <c r="AA496">
        <f t="shared" si="187"/>
        <v>-668514148.58759999</v>
      </c>
      <c r="AB496">
        <f t="shared" si="188"/>
        <v>-1159562839.7472</v>
      </c>
      <c r="AC496">
        <f t="shared" si="189"/>
        <v>-1529125148.4768</v>
      </c>
      <c r="AD496">
        <f t="shared" si="190"/>
        <v>-1897659039.8766003</v>
      </c>
      <c r="AE496">
        <f t="shared" si="191"/>
        <v>-2062174465.2444003</v>
      </c>
    </row>
    <row r="497" spans="1:31" x14ac:dyDescent="0.25">
      <c r="A497">
        <v>38.071756049999998</v>
      </c>
      <c r="B497">
        <v>117.3199785</v>
      </c>
      <c r="C497">
        <v>13.02523422</v>
      </c>
      <c r="D497">
        <v>3.6507940300000001</v>
      </c>
      <c r="E497" t="b">
        <f t="shared" si="168"/>
        <v>0</v>
      </c>
      <c r="F497">
        <f t="shared" si="169"/>
        <v>-61.475377069999993</v>
      </c>
      <c r="G497">
        <f t="shared" si="170"/>
        <v>-126.60154816999999</v>
      </c>
      <c r="H497">
        <f t="shared" si="171"/>
        <v>-191.72771927000002</v>
      </c>
      <c r="I497">
        <f t="shared" si="172"/>
        <v>-256.85389036999999</v>
      </c>
      <c r="J497">
        <f t="shared" si="173"/>
        <v>-321.98006147000001</v>
      </c>
      <c r="L497">
        <f t="shared" si="174"/>
        <v>7374603.9406000003</v>
      </c>
      <c r="M497">
        <f t="shared" si="175"/>
        <v>-105737648.56039999</v>
      </c>
      <c r="N497">
        <f t="shared" si="176"/>
        <v>-187370291.29159999</v>
      </c>
      <c r="O497">
        <f t="shared" si="177"/>
        <v>-214735045.58240002</v>
      </c>
      <c r="P497">
        <f t="shared" si="178"/>
        <v>-236305579.14039996</v>
      </c>
      <c r="Q497">
        <f t="shared" si="179"/>
        <v>-276902852.8642</v>
      </c>
      <c r="S497">
        <f t="shared" si="180"/>
        <v>8944445.3735000007</v>
      </c>
      <c r="T497">
        <f t="shared" si="181"/>
        <v>-274725359.52889997</v>
      </c>
      <c r="U497">
        <f t="shared" si="182"/>
        <v>-235478879.59619996</v>
      </c>
      <c r="V497">
        <f t="shared" si="183"/>
        <v>-272253361.36339998</v>
      </c>
      <c r="W497">
        <f t="shared" si="184"/>
        <v>-351889829.80689996</v>
      </c>
      <c r="X497">
        <f t="shared" si="185"/>
        <v>-392815674.99340004</v>
      </c>
      <c r="Z497">
        <f t="shared" si="186"/>
        <v>10514286.806400001</v>
      </c>
      <c r="AA497">
        <f t="shared" si="187"/>
        <v>-161065487.92339998</v>
      </c>
      <c r="AB497">
        <f t="shared" si="188"/>
        <v>-283587467.90079999</v>
      </c>
      <c r="AC497">
        <f t="shared" si="189"/>
        <v>-375786329.76920003</v>
      </c>
      <c r="AD497">
        <f t="shared" si="190"/>
        <v>-467474080.4734</v>
      </c>
      <c r="AE497">
        <f t="shared" si="191"/>
        <v>-508728497.12260008</v>
      </c>
    </row>
    <row r="498" spans="1:31" x14ac:dyDescent="0.25">
      <c r="A498">
        <v>38.072024659999997</v>
      </c>
      <c r="B498">
        <v>118.7232468</v>
      </c>
      <c r="C498">
        <v>43.008232120000002</v>
      </c>
      <c r="D498">
        <v>3.3380479799999998</v>
      </c>
      <c r="E498" t="b">
        <f t="shared" si="168"/>
        <v>0</v>
      </c>
      <c r="F498">
        <f t="shared" si="169"/>
        <v>-211.70311262000001</v>
      </c>
      <c r="G498">
        <f t="shared" si="170"/>
        <v>-426.74427322000003</v>
      </c>
      <c r="H498">
        <f t="shared" si="171"/>
        <v>-641.78543381999998</v>
      </c>
      <c r="I498">
        <f t="shared" si="172"/>
        <v>-856.82659441999999</v>
      </c>
      <c r="J498">
        <f t="shared" si="173"/>
        <v>-1071.86775502</v>
      </c>
      <c r="L498">
        <f t="shared" si="174"/>
        <v>6742856.9195999997</v>
      </c>
      <c r="M498">
        <f t="shared" si="175"/>
        <v>-364129353.70640004</v>
      </c>
      <c r="N498">
        <f t="shared" si="176"/>
        <v>-631581524.36559999</v>
      </c>
      <c r="O498">
        <f t="shared" si="177"/>
        <v>-718799685.87839997</v>
      </c>
      <c r="P498">
        <f t="shared" si="178"/>
        <v>-788280466.86639988</v>
      </c>
      <c r="Q498">
        <f t="shared" si="179"/>
        <v>-921806269.31719995</v>
      </c>
      <c r="S498">
        <f t="shared" si="180"/>
        <v>8178217.5510000009</v>
      </c>
      <c r="T498">
        <f t="shared" si="181"/>
        <v>-926035072.88740003</v>
      </c>
      <c r="U498">
        <f t="shared" si="182"/>
        <v>-793744348.18920004</v>
      </c>
      <c r="V498">
        <f t="shared" si="183"/>
        <v>-911335316.02439988</v>
      </c>
      <c r="W498">
        <f t="shared" si="184"/>
        <v>-1173852434.3554001</v>
      </c>
      <c r="X498">
        <f t="shared" si="185"/>
        <v>-1307678661.1243999</v>
      </c>
      <c r="Z498">
        <f t="shared" si="186"/>
        <v>9613578.1823999994</v>
      </c>
      <c r="AA498">
        <f t="shared" si="187"/>
        <v>-554662155.06440008</v>
      </c>
      <c r="AB498">
        <f t="shared" si="188"/>
        <v>-955907172.0128001</v>
      </c>
      <c r="AC498">
        <f t="shared" si="189"/>
        <v>-1257899450.2871997</v>
      </c>
      <c r="AD498">
        <f t="shared" si="190"/>
        <v>-1559424401.8443999</v>
      </c>
      <c r="AE498">
        <f t="shared" si="191"/>
        <v>-1693551052.9316001</v>
      </c>
    </row>
    <row r="499" spans="1:31" x14ac:dyDescent="0.25">
      <c r="A499">
        <v>38.073720819999998</v>
      </c>
      <c r="B499">
        <v>118.2554932</v>
      </c>
      <c r="C499">
        <v>43.008232120000002</v>
      </c>
      <c r="D499">
        <v>1.94147801</v>
      </c>
      <c r="E499" t="b">
        <f t="shared" si="168"/>
        <v>0</v>
      </c>
      <c r="F499">
        <f t="shared" si="169"/>
        <v>-213.09968259000001</v>
      </c>
      <c r="G499">
        <f t="shared" si="170"/>
        <v>-428.14084319</v>
      </c>
      <c r="H499">
        <f t="shared" si="171"/>
        <v>-643.18200379000007</v>
      </c>
      <c r="I499">
        <f t="shared" si="172"/>
        <v>-858.22316439000008</v>
      </c>
      <c r="J499">
        <f t="shared" si="173"/>
        <v>-1073.26432499</v>
      </c>
      <c r="L499">
        <f t="shared" si="174"/>
        <v>3921785.5802000002</v>
      </c>
      <c r="M499">
        <f t="shared" si="175"/>
        <v>-366531454.05480003</v>
      </c>
      <c r="N499">
        <f t="shared" si="176"/>
        <v>-633648447.92120004</v>
      </c>
      <c r="O499">
        <f t="shared" si="177"/>
        <v>-720363844.24480021</v>
      </c>
      <c r="P499">
        <f t="shared" si="178"/>
        <v>-789565311.23880005</v>
      </c>
      <c r="Q499">
        <f t="shared" si="179"/>
        <v>-923007319.4914</v>
      </c>
      <c r="S499">
        <f t="shared" si="180"/>
        <v>4756621.1244999999</v>
      </c>
      <c r="T499">
        <f t="shared" si="181"/>
        <v>-929065629.72229993</v>
      </c>
      <c r="U499">
        <f t="shared" si="182"/>
        <v>-796341968.33339989</v>
      </c>
      <c r="V499">
        <f t="shared" si="183"/>
        <v>-913318445.38180006</v>
      </c>
      <c r="W499">
        <f t="shared" si="184"/>
        <v>-1175765735.2143002</v>
      </c>
      <c r="X499">
        <f t="shared" si="185"/>
        <v>-1309382476.4877999</v>
      </c>
      <c r="Z499">
        <f t="shared" si="186"/>
        <v>5591456.6688000001</v>
      </c>
      <c r="AA499">
        <f t="shared" si="187"/>
        <v>-558321168.3858</v>
      </c>
      <c r="AB499">
        <f t="shared" si="188"/>
        <v>-959035488.7456001</v>
      </c>
      <c r="AC499">
        <f t="shared" si="189"/>
        <v>-1260636727.4284</v>
      </c>
      <c r="AD499">
        <f t="shared" si="190"/>
        <v>-1561966159.1898003</v>
      </c>
      <c r="AE499">
        <f t="shared" si="191"/>
        <v>-1695757633.4842</v>
      </c>
    </row>
    <row r="500" spans="1:31" x14ac:dyDescent="0.25">
      <c r="A500">
        <v>38.076098469999998</v>
      </c>
      <c r="B500">
        <v>119.9540161</v>
      </c>
      <c r="C500">
        <v>15.833525659999999</v>
      </c>
      <c r="D500">
        <v>3.6729190300000001</v>
      </c>
      <c r="E500" t="b">
        <f t="shared" si="168"/>
        <v>0</v>
      </c>
      <c r="F500">
        <f t="shared" si="169"/>
        <v>-75.494709269999987</v>
      </c>
      <c r="G500">
        <f t="shared" si="170"/>
        <v>-154.66233756999998</v>
      </c>
      <c r="H500">
        <f t="shared" si="171"/>
        <v>-233.82996587</v>
      </c>
      <c r="I500">
        <f t="shared" si="172"/>
        <v>-312.99759416999996</v>
      </c>
      <c r="J500">
        <f t="shared" si="173"/>
        <v>-392.16522247</v>
      </c>
      <c r="L500">
        <f t="shared" si="174"/>
        <v>7419296.4406000003</v>
      </c>
      <c r="M500">
        <f t="shared" si="175"/>
        <v>-129850899.94439998</v>
      </c>
      <c r="N500">
        <f t="shared" si="176"/>
        <v>-228900259.60359994</v>
      </c>
      <c r="O500">
        <f t="shared" si="177"/>
        <v>-261889561.77440003</v>
      </c>
      <c r="P500">
        <f t="shared" si="178"/>
        <v>-287957786.63639992</v>
      </c>
      <c r="Q500">
        <f t="shared" si="179"/>
        <v>-337262091.32420003</v>
      </c>
      <c r="S500">
        <f t="shared" si="180"/>
        <v>8998651.6235000007</v>
      </c>
      <c r="T500">
        <f t="shared" si="181"/>
        <v>-335617272.52689993</v>
      </c>
      <c r="U500">
        <f t="shared" si="182"/>
        <v>-287671947.88019991</v>
      </c>
      <c r="V500">
        <f t="shared" si="183"/>
        <v>-332038551.53539997</v>
      </c>
      <c r="W500">
        <f t="shared" si="184"/>
        <v>-428806704.01289999</v>
      </c>
      <c r="X500">
        <f t="shared" si="185"/>
        <v>-478441571.41340005</v>
      </c>
      <c r="Z500">
        <f t="shared" si="186"/>
        <v>10578006.806400001</v>
      </c>
      <c r="AA500">
        <f t="shared" si="187"/>
        <v>-197796138.28739995</v>
      </c>
      <c r="AB500">
        <f t="shared" si="188"/>
        <v>-346443636.15679997</v>
      </c>
      <c r="AC500">
        <f t="shared" si="189"/>
        <v>-458306733.10519999</v>
      </c>
      <c r="AD500">
        <f t="shared" si="190"/>
        <v>-569655621.38939989</v>
      </c>
      <c r="AE500">
        <f t="shared" si="191"/>
        <v>-619621051.50260007</v>
      </c>
    </row>
    <row r="501" spans="1:31" x14ac:dyDescent="0.25">
      <c r="A501">
        <v>38.076114169999997</v>
      </c>
      <c r="B501">
        <v>119.5437476</v>
      </c>
      <c r="C501">
        <v>79.345855709999995</v>
      </c>
      <c r="D501">
        <v>9.4296083500000005</v>
      </c>
      <c r="E501" t="b">
        <f t="shared" si="168"/>
        <v>0</v>
      </c>
      <c r="F501">
        <f t="shared" si="169"/>
        <v>-387.29967019999998</v>
      </c>
      <c r="G501">
        <f t="shared" si="170"/>
        <v>-784.02894875000004</v>
      </c>
      <c r="H501">
        <f t="shared" si="171"/>
        <v>-1180.7582272999998</v>
      </c>
      <c r="I501">
        <f t="shared" si="172"/>
        <v>-1577.4875058499999</v>
      </c>
      <c r="J501">
        <f t="shared" si="173"/>
        <v>-1974.2167843999998</v>
      </c>
      <c r="L501">
        <f t="shared" si="174"/>
        <v>19047808.866999999</v>
      </c>
      <c r="M501">
        <f t="shared" si="175"/>
        <v>-666155432.74400008</v>
      </c>
      <c r="N501">
        <f t="shared" si="176"/>
        <v>-1160362844.1500001</v>
      </c>
      <c r="O501">
        <f t="shared" si="177"/>
        <v>-1322449214.5759997</v>
      </c>
      <c r="P501">
        <f t="shared" si="178"/>
        <v>-1451288505.3819997</v>
      </c>
      <c r="Q501">
        <f t="shared" si="179"/>
        <v>-1697826434.5839999</v>
      </c>
      <c r="S501">
        <f t="shared" si="180"/>
        <v>23102540.4575</v>
      </c>
      <c r="T501">
        <f t="shared" si="181"/>
        <v>-1701342818.7874999</v>
      </c>
      <c r="U501">
        <f t="shared" si="182"/>
        <v>-1458293844.675</v>
      </c>
      <c r="V501">
        <f t="shared" si="183"/>
        <v>-1676676682.7659996</v>
      </c>
      <c r="W501">
        <f t="shared" si="184"/>
        <v>-2161157883.0145001</v>
      </c>
      <c r="X501">
        <f t="shared" si="185"/>
        <v>-2408544476.9679999</v>
      </c>
      <c r="Z501">
        <f t="shared" si="186"/>
        <v>27157272.047999997</v>
      </c>
      <c r="AA501">
        <f t="shared" si="187"/>
        <v>-1014725135.924</v>
      </c>
      <c r="AB501">
        <f t="shared" si="188"/>
        <v>-1756224845.2000003</v>
      </c>
      <c r="AC501">
        <f t="shared" si="189"/>
        <v>-2314286125.5079994</v>
      </c>
      <c r="AD501">
        <f t="shared" si="190"/>
        <v>-2871027260.6469998</v>
      </c>
      <c r="AE501">
        <f t="shared" si="191"/>
        <v>-3119262519.3519998</v>
      </c>
    </row>
    <row r="502" spans="1:31" x14ac:dyDescent="0.25">
      <c r="A502">
        <v>38.077376360000002</v>
      </c>
      <c r="B502">
        <v>90.892039670000003</v>
      </c>
      <c r="C502">
        <v>20.624670030000001</v>
      </c>
      <c r="D502">
        <v>4.1073570300000002</v>
      </c>
      <c r="E502" t="b">
        <f t="shared" si="168"/>
        <v>0</v>
      </c>
      <c r="F502">
        <f t="shared" si="169"/>
        <v>-99.015993120000005</v>
      </c>
      <c r="G502">
        <f t="shared" si="170"/>
        <v>-202.13934327000001</v>
      </c>
      <c r="H502">
        <f t="shared" si="171"/>
        <v>-305.26269342000001</v>
      </c>
      <c r="I502">
        <f t="shared" si="172"/>
        <v>-408.38604357000003</v>
      </c>
      <c r="J502">
        <f t="shared" si="173"/>
        <v>-511.50939372000005</v>
      </c>
      <c r="L502">
        <f t="shared" si="174"/>
        <v>8296861.200600001</v>
      </c>
      <c r="M502">
        <f t="shared" si="175"/>
        <v>-170307508.16640002</v>
      </c>
      <c r="N502">
        <f t="shared" si="176"/>
        <v>-299166228.03960001</v>
      </c>
      <c r="O502">
        <f t="shared" si="177"/>
        <v>-341894216.63040006</v>
      </c>
      <c r="P502">
        <f t="shared" si="178"/>
        <v>-375715160.0844</v>
      </c>
      <c r="Q502">
        <f t="shared" si="179"/>
        <v>-439898078.59920001</v>
      </c>
      <c r="S502">
        <f t="shared" si="180"/>
        <v>10063024.723500002</v>
      </c>
      <c r="T502">
        <f t="shared" si="181"/>
        <v>-438642374.89590001</v>
      </c>
      <c r="U502">
        <f t="shared" si="182"/>
        <v>-375979178.48219997</v>
      </c>
      <c r="V502">
        <f t="shared" si="183"/>
        <v>-433473024.65640002</v>
      </c>
      <c r="W502">
        <f t="shared" si="184"/>
        <v>-559488879.69090009</v>
      </c>
      <c r="X502">
        <f t="shared" si="185"/>
        <v>-624041460.33840001</v>
      </c>
      <c r="Z502">
        <f t="shared" si="186"/>
        <v>11829188.246400001</v>
      </c>
      <c r="AA502">
        <f t="shared" si="187"/>
        <v>-259421901.97440001</v>
      </c>
      <c r="AB502">
        <f t="shared" si="188"/>
        <v>-452792128.92480004</v>
      </c>
      <c r="AC502">
        <f t="shared" si="189"/>
        <v>-598314879.10320008</v>
      </c>
      <c r="AD502">
        <f t="shared" si="190"/>
        <v>-743262599.29740012</v>
      </c>
      <c r="AE502">
        <f t="shared" si="191"/>
        <v>-808184842.07760012</v>
      </c>
    </row>
    <row r="503" spans="1:31" x14ac:dyDescent="0.25">
      <c r="A503">
        <v>38.0794949</v>
      </c>
      <c r="B503">
        <v>118.1979338</v>
      </c>
      <c r="C503">
        <v>76.896270749999999</v>
      </c>
      <c r="D503">
        <v>4.1423049000000001</v>
      </c>
      <c r="E503" t="b">
        <f t="shared" si="168"/>
        <v>0</v>
      </c>
      <c r="F503">
        <f t="shared" si="169"/>
        <v>-380.33904884999998</v>
      </c>
      <c r="G503">
        <f t="shared" si="170"/>
        <v>-764.82040259999997</v>
      </c>
      <c r="H503">
        <f t="shared" si="171"/>
        <v>-1149.30175635</v>
      </c>
      <c r="I503">
        <f t="shared" si="172"/>
        <v>-1533.7831100999999</v>
      </c>
      <c r="J503">
        <f t="shared" si="173"/>
        <v>-1918.2644638500001</v>
      </c>
      <c r="L503">
        <f t="shared" si="174"/>
        <v>8367455.898</v>
      </c>
      <c r="M503">
        <f t="shared" si="175"/>
        <v>-654183164.02199996</v>
      </c>
      <c r="N503">
        <f t="shared" si="176"/>
        <v>-1131934195.848</v>
      </c>
      <c r="O503">
        <f t="shared" si="177"/>
        <v>-1287217967.112</v>
      </c>
      <c r="P503">
        <f t="shared" si="178"/>
        <v>-1411080461.2919998</v>
      </c>
      <c r="Q503">
        <f t="shared" si="179"/>
        <v>-1649707438.911</v>
      </c>
      <c r="S503">
        <f t="shared" si="180"/>
        <v>10148647.005000001</v>
      </c>
      <c r="T503">
        <f t="shared" si="181"/>
        <v>-1659660273.642</v>
      </c>
      <c r="U503">
        <f t="shared" si="182"/>
        <v>-1422565948.836</v>
      </c>
      <c r="V503">
        <f t="shared" si="183"/>
        <v>-1632008494.0169997</v>
      </c>
      <c r="W503">
        <f t="shared" si="184"/>
        <v>-2101282860.8370001</v>
      </c>
      <c r="X503">
        <f t="shared" si="185"/>
        <v>-2340282645.8970003</v>
      </c>
      <c r="Z503">
        <f t="shared" si="186"/>
        <v>11929838.112</v>
      </c>
      <c r="AA503">
        <f t="shared" si="187"/>
        <v>-996488307.98699999</v>
      </c>
      <c r="AB503">
        <f t="shared" si="188"/>
        <v>-1713197701.8240001</v>
      </c>
      <c r="AC503">
        <f t="shared" si="189"/>
        <v>-2252631442.4459996</v>
      </c>
      <c r="AD503">
        <f t="shared" si="190"/>
        <v>-2791485260.382</v>
      </c>
      <c r="AE503">
        <f t="shared" si="191"/>
        <v>-3030857852.8830004</v>
      </c>
    </row>
    <row r="504" spans="1:31" x14ac:dyDescent="0.25">
      <c r="A504">
        <v>38.084487709999998</v>
      </c>
      <c r="B504">
        <v>90.949362280000003</v>
      </c>
      <c r="C504">
        <v>20.624670030000001</v>
      </c>
      <c r="D504">
        <v>49.024765010000003</v>
      </c>
      <c r="E504" t="b">
        <f t="shared" si="168"/>
        <v>1</v>
      </c>
      <c r="F504">
        <f t="shared" si="169"/>
        <v>-54.098585140000004</v>
      </c>
      <c r="G504">
        <f t="shared" si="170"/>
        <v>-157.22193529</v>
      </c>
      <c r="H504">
        <f t="shared" si="171"/>
        <v>-260.34528544</v>
      </c>
      <c r="I504">
        <f t="shared" si="172"/>
        <v>-363.46863559000002</v>
      </c>
      <c r="J504">
        <f t="shared" si="173"/>
        <v>-466.59198574000004</v>
      </c>
      <c r="L504">
        <f t="shared" si="174"/>
        <v>41661833.460600004</v>
      </c>
      <c r="M504">
        <f t="shared" si="175"/>
        <v>-93049566.440800026</v>
      </c>
      <c r="N504">
        <f t="shared" si="176"/>
        <v>-232688464.22919998</v>
      </c>
      <c r="O504">
        <f t="shared" si="177"/>
        <v>-291586719.69280005</v>
      </c>
      <c r="P504">
        <f t="shared" si="178"/>
        <v>-334391144.7428</v>
      </c>
      <c r="Q504">
        <f t="shared" si="179"/>
        <v>-401269107.73640007</v>
      </c>
      <c r="S504">
        <f t="shared" si="180"/>
        <v>50530441.573500007</v>
      </c>
      <c r="T504">
        <f t="shared" si="181"/>
        <v>-341171599.57929999</v>
      </c>
      <c r="U504">
        <f t="shared" si="182"/>
        <v>-292432799.63939995</v>
      </c>
      <c r="V504">
        <f t="shared" si="183"/>
        <v>-369690305.32479995</v>
      </c>
      <c r="W504">
        <f t="shared" si="184"/>
        <v>-497952030.75830007</v>
      </c>
      <c r="X504">
        <f t="shared" si="185"/>
        <v>-569242222.60280013</v>
      </c>
      <c r="Z504">
        <f t="shared" si="186"/>
        <v>59399049.686400004</v>
      </c>
      <c r="AA504">
        <f t="shared" si="187"/>
        <v>-141738293.06680003</v>
      </c>
      <c r="AB504">
        <f t="shared" si="188"/>
        <v>-352177135.04960001</v>
      </c>
      <c r="AC504">
        <f t="shared" si="189"/>
        <v>-510276759.46239996</v>
      </c>
      <c r="AD504">
        <f t="shared" si="190"/>
        <v>-661512916.77380013</v>
      </c>
      <c r="AE504">
        <f t="shared" si="191"/>
        <v>-737215337.46920013</v>
      </c>
    </row>
    <row r="505" spans="1:31" x14ac:dyDescent="0.25">
      <c r="A505">
        <v>38.089213610000002</v>
      </c>
      <c r="B505">
        <v>119.8391572</v>
      </c>
      <c r="C505">
        <v>16.461584089999999</v>
      </c>
      <c r="D505">
        <v>8.1832637800000008</v>
      </c>
      <c r="E505" t="b">
        <f t="shared" si="168"/>
        <v>0</v>
      </c>
      <c r="F505">
        <f t="shared" si="169"/>
        <v>-74.124656669999993</v>
      </c>
      <c r="G505">
        <f t="shared" si="170"/>
        <v>-156.43257711999999</v>
      </c>
      <c r="H505">
        <f t="shared" si="171"/>
        <v>-238.74049756999997</v>
      </c>
      <c r="I505">
        <f t="shared" si="172"/>
        <v>-321.04841801999999</v>
      </c>
      <c r="J505">
        <f t="shared" si="173"/>
        <v>-403.35633846999997</v>
      </c>
      <c r="L505">
        <f t="shared" si="174"/>
        <v>16530192.835600002</v>
      </c>
      <c r="M505">
        <f t="shared" si="175"/>
        <v>-127494409.47239999</v>
      </c>
      <c r="N505">
        <f t="shared" si="176"/>
        <v>-231520214.1376</v>
      </c>
      <c r="O505">
        <f t="shared" si="177"/>
        <v>-267389357.27839997</v>
      </c>
      <c r="P505">
        <f t="shared" si="178"/>
        <v>-295364544.57839996</v>
      </c>
      <c r="Q505">
        <f t="shared" si="179"/>
        <v>-346886451.08419997</v>
      </c>
      <c r="S505">
        <f t="shared" si="180"/>
        <v>20048996.261000004</v>
      </c>
      <c r="T505">
        <f t="shared" si="181"/>
        <v>-339458692.35039997</v>
      </c>
      <c r="U505">
        <f t="shared" si="182"/>
        <v>-290964593.44319999</v>
      </c>
      <c r="V505">
        <f t="shared" si="183"/>
        <v>-339011506.54939991</v>
      </c>
      <c r="W505">
        <f t="shared" si="184"/>
        <v>-439836332.68739998</v>
      </c>
      <c r="X505">
        <f t="shared" si="185"/>
        <v>-492094732.93339998</v>
      </c>
      <c r="Z505">
        <f t="shared" si="186"/>
        <v>23567799.686400004</v>
      </c>
      <c r="AA505">
        <f t="shared" si="187"/>
        <v>-194206600.47539997</v>
      </c>
      <c r="AB505">
        <f t="shared" si="188"/>
        <v>-350408972.74880004</v>
      </c>
      <c r="AC505">
        <f t="shared" si="189"/>
        <v>-467931375.2371999</v>
      </c>
      <c r="AD505">
        <f t="shared" si="190"/>
        <v>-584308120.79639995</v>
      </c>
      <c r="AE505">
        <f t="shared" si="191"/>
        <v>-637303014.78259993</v>
      </c>
    </row>
    <row r="506" spans="1:31" x14ac:dyDescent="0.25">
      <c r="A506">
        <v>38.101600650000002</v>
      </c>
      <c r="B506">
        <v>120.13466510000001</v>
      </c>
      <c r="C506">
        <v>39.583812709999997</v>
      </c>
      <c r="D506">
        <v>1.83645999</v>
      </c>
      <c r="E506" t="b">
        <f t="shared" si="168"/>
        <v>0</v>
      </c>
      <c r="F506">
        <f t="shared" si="169"/>
        <v>-196.08260355999997</v>
      </c>
      <c r="G506">
        <f t="shared" si="170"/>
        <v>-394.00166710999997</v>
      </c>
      <c r="H506">
        <f t="shared" si="171"/>
        <v>-591.92073066</v>
      </c>
      <c r="I506">
        <f t="shared" si="172"/>
        <v>-789.83979420999992</v>
      </c>
      <c r="J506">
        <f t="shared" si="173"/>
        <v>-987.75885775999996</v>
      </c>
      <c r="L506">
        <f t="shared" si="174"/>
        <v>3709649.1798</v>
      </c>
      <c r="M506">
        <f t="shared" si="175"/>
        <v>-337262078.1232</v>
      </c>
      <c r="N506">
        <f t="shared" si="176"/>
        <v>-583122467.32279992</v>
      </c>
      <c r="O506">
        <f t="shared" si="177"/>
        <v>-662951218.33920002</v>
      </c>
      <c r="P506">
        <f t="shared" si="178"/>
        <v>-726652610.67319989</v>
      </c>
      <c r="Q506">
        <f t="shared" si="179"/>
        <v>-849472617.67359996</v>
      </c>
      <c r="S506">
        <f t="shared" si="180"/>
        <v>4499326.9755000006</v>
      </c>
      <c r="T506">
        <f t="shared" si="181"/>
        <v>-854983617.6286999</v>
      </c>
      <c r="U506">
        <f t="shared" si="182"/>
        <v>-732843100.82459986</v>
      </c>
      <c r="V506">
        <f t="shared" si="183"/>
        <v>-840527437.53719985</v>
      </c>
      <c r="W506">
        <f t="shared" si="184"/>
        <v>-1082080518.0676999</v>
      </c>
      <c r="X506">
        <f t="shared" si="185"/>
        <v>-1205065806.4672</v>
      </c>
      <c r="Z506">
        <f t="shared" si="186"/>
        <v>5289004.7711999994</v>
      </c>
      <c r="AA506">
        <f t="shared" si="187"/>
        <v>-513736421.32719994</v>
      </c>
      <c r="AB506">
        <f t="shared" si="188"/>
        <v>-882563734.32640004</v>
      </c>
      <c r="AC506">
        <f t="shared" si="189"/>
        <v>-1160164632.0935998</v>
      </c>
      <c r="AD506">
        <f t="shared" si="190"/>
        <v>-1437508425.4621999</v>
      </c>
      <c r="AE506">
        <f t="shared" si="191"/>
        <v>-1560658995.2608001</v>
      </c>
    </row>
    <row r="507" spans="1:31" x14ac:dyDescent="0.25">
      <c r="A507">
        <v>38.103355290000003</v>
      </c>
      <c r="B507">
        <v>116.9741052</v>
      </c>
      <c r="C507">
        <v>19.537851329999999</v>
      </c>
      <c r="D507">
        <v>12.30202579</v>
      </c>
      <c r="E507" t="b">
        <f t="shared" si="168"/>
        <v>0</v>
      </c>
      <c r="F507">
        <f t="shared" si="169"/>
        <v>-85.387230859999988</v>
      </c>
      <c r="G507">
        <f t="shared" si="170"/>
        <v>-183.07648750999999</v>
      </c>
      <c r="H507">
        <f t="shared" si="171"/>
        <v>-280.76574415999994</v>
      </c>
      <c r="I507">
        <f t="shared" si="172"/>
        <v>-378.45500080999994</v>
      </c>
      <c r="J507">
        <f t="shared" si="173"/>
        <v>-476.14425745999995</v>
      </c>
      <c r="L507">
        <f t="shared" si="174"/>
        <v>24850092.095800001</v>
      </c>
      <c r="M507">
        <f t="shared" si="175"/>
        <v>-146866037.0792</v>
      </c>
      <c r="N507">
        <f t="shared" si="176"/>
        <v>-270953201.51480001</v>
      </c>
      <c r="O507">
        <f t="shared" si="177"/>
        <v>-314457633.45919997</v>
      </c>
      <c r="P507">
        <f t="shared" si="178"/>
        <v>-348178600.74519992</v>
      </c>
      <c r="Q507">
        <f t="shared" si="179"/>
        <v>-409484061.4156</v>
      </c>
      <c r="S507">
        <f t="shared" si="180"/>
        <v>30139963.185500003</v>
      </c>
      <c r="T507">
        <f t="shared" si="181"/>
        <v>-397275977.89669997</v>
      </c>
      <c r="U507">
        <f t="shared" si="182"/>
        <v>-340522266.76859999</v>
      </c>
      <c r="V507">
        <f t="shared" si="183"/>
        <v>-398687356.70719993</v>
      </c>
      <c r="W507">
        <f t="shared" si="184"/>
        <v>-518483351.10969996</v>
      </c>
      <c r="X507">
        <f t="shared" si="185"/>
        <v>-580895994.10119998</v>
      </c>
      <c r="Z507">
        <f t="shared" si="186"/>
        <v>35429834.275200002</v>
      </c>
      <c r="AA507">
        <f t="shared" si="187"/>
        <v>-223714544.85319996</v>
      </c>
      <c r="AB507">
        <f t="shared" si="188"/>
        <v>-410091332.02240002</v>
      </c>
      <c r="AC507">
        <f t="shared" si="189"/>
        <v>-550300858.55359995</v>
      </c>
      <c r="AD507">
        <f t="shared" si="190"/>
        <v>-688788101.47419989</v>
      </c>
      <c r="AE507">
        <f t="shared" si="191"/>
        <v>-752307926.78680003</v>
      </c>
    </row>
    <row r="508" spans="1:31" x14ac:dyDescent="0.25">
      <c r="A508">
        <v>38.108526840000003</v>
      </c>
      <c r="B508">
        <v>116.91643209999999</v>
      </c>
      <c r="C508">
        <v>19.537851329999999</v>
      </c>
      <c r="D508">
        <v>0.137877</v>
      </c>
      <c r="E508" t="b">
        <f t="shared" si="168"/>
        <v>0</v>
      </c>
      <c r="F508">
        <f t="shared" si="169"/>
        <v>-97.551379649999987</v>
      </c>
      <c r="G508">
        <f t="shared" si="170"/>
        <v>-195.24063629999998</v>
      </c>
      <c r="H508">
        <f t="shared" si="171"/>
        <v>-292.92989294999995</v>
      </c>
      <c r="I508">
        <f t="shared" si="172"/>
        <v>-390.61914959999996</v>
      </c>
      <c r="J508">
        <f t="shared" si="173"/>
        <v>-488.30840624999996</v>
      </c>
      <c r="L508">
        <f t="shared" si="174"/>
        <v>278511.53999999998</v>
      </c>
      <c r="M508">
        <f t="shared" si="175"/>
        <v>-167788372.998</v>
      </c>
      <c r="N508">
        <f t="shared" si="176"/>
        <v>-288956141.72399998</v>
      </c>
      <c r="O508">
        <f t="shared" si="177"/>
        <v>-328081480.10399997</v>
      </c>
      <c r="P508">
        <f t="shared" si="178"/>
        <v>-359369617.63199991</v>
      </c>
      <c r="Q508">
        <f t="shared" si="179"/>
        <v>-419945229.37499994</v>
      </c>
      <c r="S508">
        <f t="shared" si="180"/>
        <v>337798.65</v>
      </c>
      <c r="T508">
        <f t="shared" si="181"/>
        <v>-423672180.77099997</v>
      </c>
      <c r="U508">
        <f t="shared" si="182"/>
        <v>-363147583.51799995</v>
      </c>
      <c r="V508">
        <f t="shared" si="183"/>
        <v>-415960447.9889999</v>
      </c>
      <c r="W508">
        <f t="shared" si="184"/>
        <v>-535148234.95200002</v>
      </c>
      <c r="X508">
        <f t="shared" si="185"/>
        <v>-595736255.62499988</v>
      </c>
      <c r="Z508">
        <f t="shared" si="186"/>
        <v>397085.76</v>
      </c>
      <c r="AA508">
        <f t="shared" si="187"/>
        <v>-255584614.683</v>
      </c>
      <c r="AB508">
        <f t="shared" si="188"/>
        <v>-437339025.31199998</v>
      </c>
      <c r="AC508">
        <f t="shared" si="189"/>
        <v>-574142590.1819998</v>
      </c>
      <c r="AD508">
        <f t="shared" si="190"/>
        <v>-710926852.27199996</v>
      </c>
      <c r="AE508">
        <f t="shared" si="191"/>
        <v>-771527281.875</v>
      </c>
    </row>
    <row r="509" spans="1:31" x14ac:dyDescent="0.25">
      <c r="A509">
        <v>38.111468709999997</v>
      </c>
      <c r="B509">
        <v>118.78839720000001</v>
      </c>
      <c r="C509">
        <v>43.008232120000002</v>
      </c>
      <c r="D509">
        <v>6.14735079</v>
      </c>
      <c r="E509" t="b">
        <f t="shared" si="168"/>
        <v>0</v>
      </c>
      <c r="F509">
        <f t="shared" si="169"/>
        <v>-208.89380981000002</v>
      </c>
      <c r="G509">
        <f t="shared" si="170"/>
        <v>-423.93497041000001</v>
      </c>
      <c r="H509">
        <f t="shared" si="171"/>
        <v>-638.97613101000002</v>
      </c>
      <c r="I509">
        <f t="shared" si="172"/>
        <v>-854.01729161000003</v>
      </c>
      <c r="J509">
        <f t="shared" si="173"/>
        <v>-1069.05845221</v>
      </c>
      <c r="L509">
        <f t="shared" si="174"/>
        <v>12417648.595799999</v>
      </c>
      <c r="M509">
        <f t="shared" si="175"/>
        <v>-359297352.87320012</v>
      </c>
      <c r="N509">
        <f t="shared" si="176"/>
        <v>-627423756.20679998</v>
      </c>
      <c r="O509">
        <f t="shared" si="177"/>
        <v>-715653266.7312001</v>
      </c>
      <c r="P509">
        <f t="shared" si="178"/>
        <v>-785695908.28119993</v>
      </c>
      <c r="Q509">
        <f t="shared" si="179"/>
        <v>-919390268.90060008</v>
      </c>
      <c r="S509">
        <f t="shared" si="180"/>
        <v>15061009.435500002</v>
      </c>
      <c r="T509">
        <f t="shared" si="181"/>
        <v>-919938885.78970003</v>
      </c>
      <c r="U509">
        <f t="shared" si="182"/>
        <v>-788519044.96259999</v>
      </c>
      <c r="V509">
        <f t="shared" si="183"/>
        <v>-907346106.03419995</v>
      </c>
      <c r="W509">
        <f t="shared" si="184"/>
        <v>-1170003689.5057001</v>
      </c>
      <c r="X509">
        <f t="shared" si="185"/>
        <v>-1304251311.6962001</v>
      </c>
      <c r="Z509">
        <f t="shared" si="186"/>
        <v>17704370.275199998</v>
      </c>
      <c r="AA509">
        <f t="shared" si="187"/>
        <v>-547301781.70220006</v>
      </c>
      <c r="AB509">
        <f t="shared" si="188"/>
        <v>-949614333.71840012</v>
      </c>
      <c r="AC509">
        <f t="shared" si="189"/>
        <v>-1252393216.7795999</v>
      </c>
      <c r="AD509">
        <f t="shared" si="190"/>
        <v>-1554311470.7302001</v>
      </c>
      <c r="AE509">
        <f t="shared" si="191"/>
        <v>-1689112354.4918001</v>
      </c>
    </row>
    <row r="510" spans="1:31" x14ac:dyDescent="0.25">
      <c r="A510">
        <v>38.115120419999997</v>
      </c>
      <c r="B510">
        <v>119.6093219</v>
      </c>
      <c r="C510">
        <v>32.78838348</v>
      </c>
      <c r="D510">
        <v>16.170639040000001</v>
      </c>
      <c r="E510" t="b">
        <f t="shared" si="168"/>
        <v>0</v>
      </c>
      <c r="F510">
        <f t="shared" si="169"/>
        <v>-147.77127836</v>
      </c>
      <c r="G510">
        <f t="shared" si="170"/>
        <v>-311.71319575999996</v>
      </c>
      <c r="H510">
        <f t="shared" si="171"/>
        <v>-475.65511315999998</v>
      </c>
      <c r="I510">
        <f t="shared" si="172"/>
        <v>-639.59703056000001</v>
      </c>
      <c r="J510">
        <f t="shared" si="173"/>
        <v>-803.53894796000009</v>
      </c>
      <c r="L510">
        <f t="shared" si="174"/>
        <v>32664690.860800002</v>
      </c>
      <c r="M510">
        <f t="shared" si="175"/>
        <v>-254166598.77919999</v>
      </c>
      <c r="N510">
        <f t="shared" si="176"/>
        <v>-461335529.72479999</v>
      </c>
      <c r="O510">
        <f t="shared" si="177"/>
        <v>-532733726.7392</v>
      </c>
      <c r="P510">
        <f t="shared" si="178"/>
        <v>-588429268.11520004</v>
      </c>
      <c r="Q510">
        <f t="shared" si="179"/>
        <v>-691043495.24559999</v>
      </c>
      <c r="S510">
        <f t="shared" si="180"/>
        <v>39618065.648000002</v>
      </c>
      <c r="T510">
        <f t="shared" si="181"/>
        <v>-676417634.79919994</v>
      </c>
      <c r="U510">
        <f t="shared" si="182"/>
        <v>-579786544.1135999</v>
      </c>
      <c r="V510">
        <f t="shared" si="183"/>
        <v>-675430260.68719995</v>
      </c>
      <c r="W510">
        <f t="shared" si="184"/>
        <v>-876247931.86720014</v>
      </c>
      <c r="X510">
        <f t="shared" si="185"/>
        <v>-980317516.51120007</v>
      </c>
      <c r="Z510">
        <f t="shared" si="186"/>
        <v>46571440.435199998</v>
      </c>
      <c r="AA510">
        <f t="shared" si="187"/>
        <v>-387160749.30319995</v>
      </c>
      <c r="AB510">
        <f t="shared" si="188"/>
        <v>-698237558.50240004</v>
      </c>
      <c r="AC510">
        <f t="shared" si="189"/>
        <v>-932284021.79359996</v>
      </c>
      <c r="AD510">
        <f t="shared" si="190"/>
        <v>-1164066595.6192002</v>
      </c>
      <c r="AE510">
        <f t="shared" si="191"/>
        <v>-1269591537.7768002</v>
      </c>
    </row>
    <row r="511" spans="1:31" x14ac:dyDescent="0.25">
      <c r="A511">
        <v>38.121529700000004</v>
      </c>
      <c r="B511">
        <v>119.55183890000001</v>
      </c>
      <c r="C511">
        <v>27.15364838</v>
      </c>
      <c r="D511">
        <v>8.8150062600000005</v>
      </c>
      <c r="E511" t="b">
        <f t="shared" si="168"/>
        <v>0</v>
      </c>
      <c r="F511">
        <f t="shared" si="169"/>
        <v>-126.95323563999999</v>
      </c>
      <c r="G511">
        <f t="shared" si="170"/>
        <v>-262.72147753999997</v>
      </c>
      <c r="H511">
        <f t="shared" si="171"/>
        <v>-398.48971943999999</v>
      </c>
      <c r="I511">
        <f t="shared" si="172"/>
        <v>-534.25796133999995</v>
      </c>
      <c r="J511">
        <f t="shared" si="173"/>
        <v>-670.02620323999997</v>
      </c>
      <c r="L511">
        <f t="shared" si="174"/>
        <v>17806312.645199999</v>
      </c>
      <c r="M511">
        <f t="shared" si="175"/>
        <v>-218359565.3008</v>
      </c>
      <c r="N511">
        <f t="shared" si="176"/>
        <v>-388827786.75919992</v>
      </c>
      <c r="O511">
        <f t="shared" si="177"/>
        <v>-446308485.77280003</v>
      </c>
      <c r="P511">
        <f t="shared" si="178"/>
        <v>-491517324.43279994</v>
      </c>
      <c r="Q511">
        <f t="shared" si="179"/>
        <v>-576222534.78639996</v>
      </c>
      <c r="S511">
        <f t="shared" si="180"/>
        <v>21596765.337000001</v>
      </c>
      <c r="T511">
        <f t="shared" si="181"/>
        <v>-570105606.26179993</v>
      </c>
      <c r="U511">
        <f t="shared" si="182"/>
        <v>-488661948.22439992</v>
      </c>
      <c r="V511">
        <f t="shared" si="183"/>
        <v>-565855401.60479999</v>
      </c>
      <c r="W511">
        <f t="shared" si="184"/>
        <v>-731933407.03579998</v>
      </c>
      <c r="X511">
        <f t="shared" si="185"/>
        <v>-817431967.95280004</v>
      </c>
      <c r="Z511">
        <f t="shared" si="186"/>
        <v>25387218.0288</v>
      </c>
      <c r="AA511">
        <f t="shared" si="187"/>
        <v>-332617477.3768</v>
      </c>
      <c r="AB511">
        <f t="shared" si="188"/>
        <v>-588496109.68959999</v>
      </c>
      <c r="AC511">
        <f t="shared" si="189"/>
        <v>-781039850.10239995</v>
      </c>
      <c r="AD511">
        <f t="shared" si="190"/>
        <v>-972349489.63880002</v>
      </c>
      <c r="AE511">
        <f t="shared" si="191"/>
        <v>-1058641401.1192001</v>
      </c>
    </row>
    <row r="512" spans="1:31" x14ac:dyDescent="0.25">
      <c r="A512">
        <v>38.127911990000001</v>
      </c>
      <c r="B512">
        <v>119.4943462</v>
      </c>
      <c r="C512">
        <v>32.602592469999998</v>
      </c>
      <c r="D512">
        <v>50.972774510000001</v>
      </c>
      <c r="E512" t="b">
        <f t="shared" si="168"/>
        <v>1</v>
      </c>
      <c r="F512">
        <f t="shared" si="169"/>
        <v>-112.04018783999999</v>
      </c>
      <c r="G512">
        <f t="shared" si="170"/>
        <v>-275.05315018999994</v>
      </c>
      <c r="H512">
        <f t="shared" si="171"/>
        <v>-438.06611253999995</v>
      </c>
      <c r="I512">
        <f t="shared" si="172"/>
        <v>-601.0790748899999</v>
      </c>
      <c r="J512">
        <f t="shared" si="173"/>
        <v>-764.09203723999997</v>
      </c>
      <c r="L512">
        <f t="shared" si="174"/>
        <v>65857236.789399996</v>
      </c>
      <c r="M512">
        <f t="shared" si="175"/>
        <v>-192709123.0848</v>
      </c>
      <c r="N512">
        <f t="shared" si="176"/>
        <v>-407078662.28119993</v>
      </c>
      <c r="O512">
        <f t="shared" si="177"/>
        <v>-490634046.04479998</v>
      </c>
      <c r="P512">
        <f t="shared" si="178"/>
        <v>-552992748.89879978</v>
      </c>
      <c r="Q512">
        <f t="shared" si="179"/>
        <v>-657119152.02639997</v>
      </c>
      <c r="S512">
        <f t="shared" si="180"/>
        <v>79876351.551500008</v>
      </c>
      <c r="T512">
        <f t="shared" si="181"/>
        <v>-596865335.91229987</v>
      </c>
      <c r="U512">
        <f t="shared" si="182"/>
        <v>-511598859.35339987</v>
      </c>
      <c r="V512">
        <f t="shared" si="183"/>
        <v>-622053879.80679989</v>
      </c>
      <c r="W512">
        <f t="shared" si="184"/>
        <v>-823478332.59929991</v>
      </c>
      <c r="X512">
        <f t="shared" si="185"/>
        <v>-932192285.43279994</v>
      </c>
      <c r="Z512">
        <f t="shared" si="186"/>
        <v>93895466.313599989</v>
      </c>
      <c r="AA512">
        <f t="shared" si="187"/>
        <v>-293545292.1408</v>
      </c>
      <c r="AB512">
        <f t="shared" si="188"/>
        <v>-616119056.42559993</v>
      </c>
      <c r="AC512">
        <f t="shared" si="189"/>
        <v>-858609580.5783999</v>
      </c>
      <c r="AD512">
        <f t="shared" si="190"/>
        <v>-1093963916.2997997</v>
      </c>
      <c r="AE512">
        <f t="shared" si="191"/>
        <v>-1207265418.8392</v>
      </c>
    </row>
    <row r="513" spans="1:31" x14ac:dyDescent="0.25">
      <c r="A513">
        <v>38.12806123</v>
      </c>
      <c r="B513">
        <v>119.90489289999999</v>
      </c>
      <c r="C513">
        <v>39.583812709999997</v>
      </c>
      <c r="D513">
        <v>0.48972300000000002</v>
      </c>
      <c r="E513" t="b">
        <f t="shared" si="168"/>
        <v>0</v>
      </c>
      <c r="F513">
        <f t="shared" si="169"/>
        <v>-197.42934054999998</v>
      </c>
      <c r="G513">
        <f t="shared" si="170"/>
        <v>-395.34840409999993</v>
      </c>
      <c r="H513">
        <f t="shared" si="171"/>
        <v>-593.26746764999996</v>
      </c>
      <c r="I513">
        <f t="shared" si="172"/>
        <v>-791.18653119999988</v>
      </c>
      <c r="J513">
        <f t="shared" si="173"/>
        <v>-989.10559474999991</v>
      </c>
      <c r="L513">
        <f t="shared" si="174"/>
        <v>989240.46</v>
      </c>
      <c r="M513">
        <f t="shared" si="175"/>
        <v>-339578465.74599999</v>
      </c>
      <c r="N513">
        <f t="shared" si="176"/>
        <v>-585115638.06799984</v>
      </c>
      <c r="O513">
        <f t="shared" si="177"/>
        <v>-664459563.76800001</v>
      </c>
      <c r="P513">
        <f t="shared" si="178"/>
        <v>-727891608.70399988</v>
      </c>
      <c r="Q513">
        <f t="shared" si="179"/>
        <v>-850630811.4849999</v>
      </c>
      <c r="S513">
        <f t="shared" si="180"/>
        <v>1199821.3500000001</v>
      </c>
      <c r="T513">
        <f t="shared" si="181"/>
        <v>-857906036.89699972</v>
      </c>
      <c r="U513">
        <f t="shared" si="182"/>
        <v>-735348031.62599981</v>
      </c>
      <c r="V513">
        <f t="shared" si="183"/>
        <v>-842439804.06299996</v>
      </c>
      <c r="W513">
        <f t="shared" si="184"/>
        <v>-1083925547.744</v>
      </c>
      <c r="X513">
        <f t="shared" si="185"/>
        <v>-1206708825.5949998</v>
      </c>
      <c r="Z513">
        <f t="shared" si="186"/>
        <v>1410402.24</v>
      </c>
      <c r="AA513">
        <f t="shared" si="187"/>
        <v>-517264872.241</v>
      </c>
      <c r="AB513">
        <f t="shared" si="188"/>
        <v>-885580425.1839999</v>
      </c>
      <c r="AC513">
        <f t="shared" si="189"/>
        <v>-1162804236.5939999</v>
      </c>
      <c r="AD513">
        <f t="shared" si="190"/>
        <v>-1439959486.7839999</v>
      </c>
      <c r="AE513">
        <f t="shared" si="191"/>
        <v>-1562786839.7049999</v>
      </c>
    </row>
    <row r="514" spans="1:31" x14ac:dyDescent="0.25">
      <c r="A514">
        <v>38.136886410000002</v>
      </c>
      <c r="B514">
        <v>90.997743049999997</v>
      </c>
      <c r="C514">
        <v>20.624670030000001</v>
      </c>
      <c r="D514">
        <v>19.500913619999999</v>
      </c>
      <c r="E514" t="b">
        <f t="shared" si="168"/>
        <v>0</v>
      </c>
      <c r="F514">
        <f t="shared" si="169"/>
        <v>-83.622436530000016</v>
      </c>
      <c r="G514">
        <f t="shared" si="170"/>
        <v>-186.74578668000001</v>
      </c>
      <c r="H514">
        <f t="shared" si="171"/>
        <v>-289.86913683</v>
      </c>
      <c r="I514">
        <f t="shared" si="172"/>
        <v>-392.99248698000002</v>
      </c>
      <c r="J514">
        <f t="shared" si="173"/>
        <v>-496.11583713000005</v>
      </c>
      <c r="L514">
        <f t="shared" si="174"/>
        <v>39391845.512399994</v>
      </c>
      <c r="M514">
        <f t="shared" si="175"/>
        <v>-143830590.83160004</v>
      </c>
      <c r="N514">
        <f t="shared" si="176"/>
        <v>-276383764.28640002</v>
      </c>
      <c r="O514">
        <f t="shared" si="177"/>
        <v>-324653433.24959999</v>
      </c>
      <c r="P514">
        <f t="shared" si="178"/>
        <v>-361553088.02160001</v>
      </c>
      <c r="Q514">
        <f t="shared" si="179"/>
        <v>-426659619.93180007</v>
      </c>
      <c r="S514">
        <f t="shared" si="180"/>
        <v>47777238.368999995</v>
      </c>
      <c r="T514">
        <f t="shared" si="181"/>
        <v>-405238357.09560001</v>
      </c>
      <c r="U514">
        <f t="shared" si="182"/>
        <v>-347347163.22479999</v>
      </c>
      <c r="V514">
        <f t="shared" si="183"/>
        <v>-411614174.29859996</v>
      </c>
      <c r="W514">
        <f t="shared" si="184"/>
        <v>-538399707.16260004</v>
      </c>
      <c r="X514">
        <f t="shared" si="185"/>
        <v>-605261321.29860008</v>
      </c>
      <c r="Z514">
        <f t="shared" si="186"/>
        <v>56162631.225599989</v>
      </c>
      <c r="AA514">
        <f t="shared" si="187"/>
        <v>-219090783.70860004</v>
      </c>
      <c r="AB514">
        <f t="shared" si="188"/>
        <v>-418310562.16320008</v>
      </c>
      <c r="AC514">
        <f t="shared" si="189"/>
        <v>-568143508.1868</v>
      </c>
      <c r="AD514">
        <f t="shared" si="190"/>
        <v>-715246326.30360007</v>
      </c>
      <c r="AE514">
        <f t="shared" si="191"/>
        <v>-783863022.66540015</v>
      </c>
    </row>
    <row r="515" spans="1:31" x14ac:dyDescent="0.25">
      <c r="A515">
        <v>38.148923580000002</v>
      </c>
      <c r="B515">
        <v>116.980671</v>
      </c>
      <c r="C515">
        <v>19.537851329999999</v>
      </c>
      <c r="D515">
        <v>10.75517368</v>
      </c>
      <c r="E515" t="b">
        <f t="shared" ref="E515:E578" si="192">D515&gt;C515</f>
        <v>0</v>
      </c>
      <c r="F515">
        <f t="shared" ref="F515:F578" si="193">D515-(C515*(2030-2025))</f>
        <v>-86.934082969999992</v>
      </c>
      <c r="G515">
        <f t="shared" ref="G515:G578" si="194">D515-(C515*(2035-2025))</f>
        <v>-184.62333961999997</v>
      </c>
      <c r="H515">
        <f t="shared" ref="H515:H578" si="195">D515-(C515*(2040-2025))</f>
        <v>-282.31259626999997</v>
      </c>
      <c r="I515">
        <f t="shared" ref="I515:I578" si="196">D515-(C515*(2045-2025))</f>
        <v>-380.00185291999998</v>
      </c>
      <c r="J515">
        <f t="shared" ref="J515:J578" si="197">D515-(C515*(2050-2025))</f>
        <v>-477.69110956999998</v>
      </c>
      <c r="L515">
        <f t="shared" ref="L515:L578" si="198">MIN(C515,D515)*1000000*((280/250)+0.9)</f>
        <v>21725450.8336</v>
      </c>
      <c r="M515">
        <f t="shared" ref="M515:M578" si="199">MIN(C515,F515)*1000000*((230/250)+0.8)</f>
        <v>-149526622.70840001</v>
      </c>
      <c r="N515">
        <f t="shared" ref="N515:N578" si="200">MIN(C515,G515)*1000000*((195/250)+0.7)</f>
        <v>-273242542.63759995</v>
      </c>
      <c r="O515">
        <f t="shared" ref="O515:O578" si="201">MIN(C515,H515)*1000000*((130/250)+0.6)</f>
        <v>-316190107.82240003</v>
      </c>
      <c r="P515">
        <f t="shared" ref="P515:P578" si="202">MIN(C515,I515)*1000000*((105/250)+0.5)</f>
        <v>-349601704.68639994</v>
      </c>
      <c r="Q515">
        <f t="shared" ref="Q515:Q578" si="203">MIN(C515,J515)*1000000*((90/250)+0.5)</f>
        <v>-410814354.23019999</v>
      </c>
      <c r="S515">
        <f t="shared" ref="S515:S578" si="204">MIN(C515,D515)*1000000*((325/250)+1.15)</f>
        <v>26350175.516000003</v>
      </c>
      <c r="T515">
        <f t="shared" ref="T515:T578" si="205">MIN(C515,G515)*1000000*((280/250)+1.05)</f>
        <v>-400632646.97539991</v>
      </c>
      <c r="U515">
        <f t="shared" ref="U515:U578" si="206">MIN(C515,G515)*1000000*((227.5/250)+0.95)</f>
        <v>-343399411.69319993</v>
      </c>
      <c r="V515">
        <f t="shared" ref="V515:V578" si="207">MIN(C515,H515)*1000000*((142.5/250)+0.85)</f>
        <v>-400883886.70339996</v>
      </c>
      <c r="W515">
        <f t="shared" ref="W515:W578" si="208">MIN(C515,I515)*1000000*((142.5/250)+0.8)</f>
        <v>-520602538.50040001</v>
      </c>
      <c r="X515">
        <f t="shared" ref="X515:X578" si="209">MIN(C515,J515)*1000000*((117.5/250)+0.75)</f>
        <v>-582783153.67540002</v>
      </c>
      <c r="Z515">
        <f t="shared" ref="Z515:Z578" si="210">MIN(C515,D515)*1000000*((370/250)+1.4)</f>
        <v>30974900.198399998</v>
      </c>
      <c r="AA515">
        <f t="shared" ref="AA515:AA578" si="211">MIN(C515,F515)*1000000*((330/250)+1.3)</f>
        <v>-227767297.38140002</v>
      </c>
      <c r="AB515">
        <f t="shared" ref="AB515:AB578" si="212">MIN(C515,G515)*1000000*((260/250)+1.2)</f>
        <v>-413556280.74879998</v>
      </c>
      <c r="AC515">
        <f t="shared" ref="AC515:AC578" si="213">MIN(C515,H515)*1000000*((215/250)+1.1)</f>
        <v>-553332688.68919992</v>
      </c>
      <c r="AD515">
        <f t="shared" ref="AD515:AD578" si="214">MIN(C515,I515)*1000000*((180/250)+1.1)</f>
        <v>-691603372.31439996</v>
      </c>
      <c r="AE515">
        <f t="shared" ref="AE515:AE578" si="215">MIN(C515,J515)*1000000*((145/250)+1)</f>
        <v>-754751953.12059999</v>
      </c>
    </row>
    <row r="516" spans="1:31" x14ac:dyDescent="0.25">
      <c r="A516">
        <v>38.154090449999998</v>
      </c>
      <c r="B516">
        <v>119.6749631</v>
      </c>
      <c r="C516">
        <v>50.139499659999998</v>
      </c>
      <c r="D516">
        <v>1.95888996</v>
      </c>
      <c r="E516" t="b">
        <f t="shared" si="192"/>
        <v>0</v>
      </c>
      <c r="F516">
        <f t="shared" si="193"/>
        <v>-248.73860834000001</v>
      </c>
      <c r="G516">
        <f t="shared" si="194"/>
        <v>-499.43610663999999</v>
      </c>
      <c r="H516">
        <f t="shared" si="195"/>
        <v>-750.13360494000005</v>
      </c>
      <c r="I516">
        <f t="shared" si="196"/>
        <v>-1000.8311032400001</v>
      </c>
      <c r="J516">
        <f t="shared" si="197"/>
        <v>-1251.52860154</v>
      </c>
      <c r="L516">
        <f t="shared" si="198"/>
        <v>3956957.7192000002</v>
      </c>
      <c r="M516">
        <f t="shared" si="199"/>
        <v>-427830406.34480006</v>
      </c>
      <c r="N516">
        <f t="shared" si="200"/>
        <v>-739165437.82719994</v>
      </c>
      <c r="O516">
        <f t="shared" si="201"/>
        <v>-840149637.5328002</v>
      </c>
      <c r="P516">
        <f t="shared" si="202"/>
        <v>-920764614.98079991</v>
      </c>
      <c r="Q516">
        <f t="shared" si="203"/>
        <v>-1076314597.3243999</v>
      </c>
      <c r="S516">
        <f t="shared" si="204"/>
        <v>4799280.4020000007</v>
      </c>
      <c r="T516">
        <f t="shared" si="205"/>
        <v>-1083776351.4087999</v>
      </c>
      <c r="U516">
        <f t="shared" si="206"/>
        <v>-928951158.35039985</v>
      </c>
      <c r="V516">
        <f t="shared" si="207"/>
        <v>-1065189719.0148001</v>
      </c>
      <c r="W516">
        <f t="shared" si="208"/>
        <v>-1371138611.4388001</v>
      </c>
      <c r="X516">
        <f t="shared" si="209"/>
        <v>-1526864893.8787999</v>
      </c>
      <c r="Z516">
        <f t="shared" si="210"/>
        <v>5641603.0847999994</v>
      </c>
      <c r="AA516">
        <f t="shared" si="211"/>
        <v>-651695153.85080004</v>
      </c>
      <c r="AB516">
        <f t="shared" si="212"/>
        <v>-1118736878.8736</v>
      </c>
      <c r="AC516">
        <f t="shared" si="213"/>
        <v>-1470261865.6824</v>
      </c>
      <c r="AD516">
        <f t="shared" si="214"/>
        <v>-1821512607.8968</v>
      </c>
      <c r="AE516">
        <f t="shared" si="215"/>
        <v>-1977415190.4332001</v>
      </c>
    </row>
    <row r="517" spans="1:31" x14ac:dyDescent="0.25">
      <c r="A517">
        <v>38.164365400000001</v>
      </c>
      <c r="B517">
        <v>116.8075266</v>
      </c>
      <c r="C517">
        <v>19.537851329999999</v>
      </c>
      <c r="D517">
        <v>1.4556479499999999</v>
      </c>
      <c r="E517" t="b">
        <f t="shared" si="192"/>
        <v>0</v>
      </c>
      <c r="F517">
        <f t="shared" si="193"/>
        <v>-96.233608699999991</v>
      </c>
      <c r="G517">
        <f t="shared" si="194"/>
        <v>-193.92286534999997</v>
      </c>
      <c r="H517">
        <f t="shared" si="195"/>
        <v>-291.61212199999994</v>
      </c>
      <c r="I517">
        <f t="shared" si="196"/>
        <v>-389.30137864999995</v>
      </c>
      <c r="J517">
        <f t="shared" si="197"/>
        <v>-486.99063529999995</v>
      </c>
      <c r="L517">
        <f t="shared" si="198"/>
        <v>2940408.8589999997</v>
      </c>
      <c r="M517">
        <f t="shared" si="199"/>
        <v>-165521806.96399999</v>
      </c>
      <c r="N517">
        <f t="shared" si="200"/>
        <v>-287005840.71799994</v>
      </c>
      <c r="O517">
        <f t="shared" si="201"/>
        <v>-326605576.63999999</v>
      </c>
      <c r="P517">
        <f t="shared" si="202"/>
        <v>-358157268.35799992</v>
      </c>
      <c r="Q517">
        <f t="shared" si="203"/>
        <v>-418811946.35799998</v>
      </c>
      <c r="S517">
        <f t="shared" si="204"/>
        <v>3566337.4775</v>
      </c>
      <c r="T517">
        <f t="shared" si="205"/>
        <v>-420812617.80949992</v>
      </c>
      <c r="U517">
        <f t="shared" si="206"/>
        <v>-360696529.55099988</v>
      </c>
      <c r="V517">
        <f t="shared" si="207"/>
        <v>-414089213.23999989</v>
      </c>
      <c r="W517">
        <f t="shared" si="208"/>
        <v>-533342888.75050002</v>
      </c>
      <c r="X517">
        <f t="shared" si="209"/>
        <v>-594128575.06599998</v>
      </c>
      <c r="Z517">
        <f t="shared" si="210"/>
        <v>4192266.0959999999</v>
      </c>
      <c r="AA517">
        <f t="shared" si="211"/>
        <v>-252132054.79399997</v>
      </c>
      <c r="AB517">
        <f t="shared" si="212"/>
        <v>-434387218.38399994</v>
      </c>
      <c r="AC517">
        <f t="shared" si="213"/>
        <v>-571559759.11999989</v>
      </c>
      <c r="AD517">
        <f t="shared" si="214"/>
        <v>-708528509.14300001</v>
      </c>
      <c r="AE517">
        <f t="shared" si="215"/>
        <v>-769445203.77399993</v>
      </c>
    </row>
    <row r="518" spans="1:31" x14ac:dyDescent="0.25">
      <c r="A518">
        <v>38.166943170000003</v>
      </c>
      <c r="B518">
        <v>119.5599398</v>
      </c>
      <c r="C518">
        <v>11.70417213</v>
      </c>
      <c r="D518">
        <v>4.8972258599999998</v>
      </c>
      <c r="E518" t="b">
        <f t="shared" si="192"/>
        <v>0</v>
      </c>
      <c r="F518">
        <f t="shared" si="193"/>
        <v>-53.623634790000004</v>
      </c>
      <c r="G518">
        <f t="shared" si="194"/>
        <v>-112.14449544</v>
      </c>
      <c r="H518">
        <f t="shared" si="195"/>
        <v>-170.66535609000002</v>
      </c>
      <c r="I518">
        <f t="shared" si="196"/>
        <v>-229.18621674000002</v>
      </c>
      <c r="J518">
        <f t="shared" si="197"/>
        <v>-287.70707738999999</v>
      </c>
      <c r="L518">
        <f t="shared" si="198"/>
        <v>9892396.2371999994</v>
      </c>
      <c r="M518">
        <f t="shared" si="199"/>
        <v>-92232651.838800028</v>
      </c>
      <c r="N518">
        <f t="shared" si="200"/>
        <v>-165973853.25119999</v>
      </c>
      <c r="O518">
        <f t="shared" si="201"/>
        <v>-191145198.82080004</v>
      </c>
      <c r="P518">
        <f t="shared" si="202"/>
        <v>-210851319.40079999</v>
      </c>
      <c r="Q518">
        <f t="shared" si="203"/>
        <v>-247428086.55539998</v>
      </c>
      <c r="S518">
        <f t="shared" si="204"/>
        <v>11998203.356999999</v>
      </c>
      <c r="T518">
        <f t="shared" si="205"/>
        <v>-243353555.10479999</v>
      </c>
      <c r="U518">
        <f t="shared" si="206"/>
        <v>-208588761.51839998</v>
      </c>
      <c r="V518">
        <f t="shared" si="207"/>
        <v>-242344805.6478</v>
      </c>
      <c r="W518">
        <f t="shared" si="208"/>
        <v>-313985116.93380004</v>
      </c>
      <c r="X518">
        <f t="shared" si="209"/>
        <v>-351002634.41579998</v>
      </c>
      <c r="Z518">
        <f t="shared" si="210"/>
        <v>14104010.476799998</v>
      </c>
      <c r="AA518">
        <f t="shared" si="211"/>
        <v>-140493923.14980003</v>
      </c>
      <c r="AB518">
        <f t="shared" si="212"/>
        <v>-251203669.78560001</v>
      </c>
      <c r="AC518">
        <f t="shared" si="213"/>
        <v>-334504097.9364</v>
      </c>
      <c r="AD518">
        <f t="shared" si="214"/>
        <v>-417118914.46680003</v>
      </c>
      <c r="AE518">
        <f t="shared" si="215"/>
        <v>-454577182.2762</v>
      </c>
    </row>
    <row r="519" spans="1:31" x14ac:dyDescent="0.25">
      <c r="A519">
        <v>38.175106030000002</v>
      </c>
      <c r="B519">
        <v>90.931380419999996</v>
      </c>
      <c r="C519">
        <v>20.624670030000001</v>
      </c>
      <c r="D519">
        <v>3.39750504</v>
      </c>
      <c r="E519" t="b">
        <f t="shared" si="192"/>
        <v>0</v>
      </c>
      <c r="F519">
        <f t="shared" si="193"/>
        <v>-99.725845110000009</v>
      </c>
      <c r="G519">
        <f t="shared" si="194"/>
        <v>-202.84919526000002</v>
      </c>
      <c r="H519">
        <f t="shared" si="195"/>
        <v>-305.97254541000001</v>
      </c>
      <c r="I519">
        <f t="shared" si="196"/>
        <v>-409.09589556000003</v>
      </c>
      <c r="J519">
        <f t="shared" si="197"/>
        <v>-512.21924571</v>
      </c>
      <c r="L519">
        <f t="shared" si="198"/>
        <v>6862960.1808000002</v>
      </c>
      <c r="M519">
        <f t="shared" si="199"/>
        <v>-171528453.58920005</v>
      </c>
      <c r="N519">
        <f t="shared" si="200"/>
        <v>-300216808.98480004</v>
      </c>
      <c r="O519">
        <f t="shared" si="201"/>
        <v>-342689250.85920006</v>
      </c>
      <c r="P519">
        <f t="shared" si="202"/>
        <v>-376368223.9152</v>
      </c>
      <c r="Q519">
        <f t="shared" si="203"/>
        <v>-440508551.31059998</v>
      </c>
      <c r="S519">
        <f t="shared" si="204"/>
        <v>8323887.3480000002</v>
      </c>
      <c r="T519">
        <f t="shared" si="205"/>
        <v>-440182753.71420002</v>
      </c>
      <c r="U519">
        <f t="shared" si="206"/>
        <v>-377299503.18360001</v>
      </c>
      <c r="V519">
        <f t="shared" si="207"/>
        <v>-434481014.48220003</v>
      </c>
      <c r="W519">
        <f t="shared" si="208"/>
        <v>-560461376.91720009</v>
      </c>
      <c r="X519">
        <f t="shared" si="209"/>
        <v>-624907479.76619995</v>
      </c>
      <c r="Z519">
        <f t="shared" si="210"/>
        <v>9784814.5152000003</v>
      </c>
      <c r="AA519">
        <f t="shared" si="211"/>
        <v>-261281714.18820006</v>
      </c>
      <c r="AB519">
        <f t="shared" si="212"/>
        <v>-454382197.3824001</v>
      </c>
      <c r="AC519">
        <f t="shared" si="213"/>
        <v>-599706189.0036</v>
      </c>
      <c r="AD519">
        <f t="shared" si="214"/>
        <v>-744554529.91920006</v>
      </c>
      <c r="AE519">
        <f t="shared" si="215"/>
        <v>-809306408.22179997</v>
      </c>
    </row>
    <row r="520" spans="1:31" x14ac:dyDescent="0.25">
      <c r="A520">
        <v>38.180002279999997</v>
      </c>
      <c r="B520">
        <v>119.85570300000001</v>
      </c>
      <c r="C520">
        <v>26.389209749999999</v>
      </c>
      <c r="D520">
        <v>16.895427699999999</v>
      </c>
      <c r="E520" t="b">
        <f t="shared" si="192"/>
        <v>0</v>
      </c>
      <c r="F520">
        <f t="shared" si="193"/>
        <v>-115.05062104999999</v>
      </c>
      <c r="G520">
        <f t="shared" si="194"/>
        <v>-246.99666979999998</v>
      </c>
      <c r="H520">
        <f t="shared" si="195"/>
        <v>-378.94271855</v>
      </c>
      <c r="I520">
        <f t="shared" si="196"/>
        <v>-510.88876729999993</v>
      </c>
      <c r="J520">
        <f t="shared" si="197"/>
        <v>-642.83481604999997</v>
      </c>
      <c r="L520">
        <f t="shared" si="198"/>
        <v>34128763.953999996</v>
      </c>
      <c r="M520">
        <f t="shared" si="199"/>
        <v>-197887068.206</v>
      </c>
      <c r="N520">
        <f t="shared" si="200"/>
        <v>-365555071.30399996</v>
      </c>
      <c r="O520">
        <f t="shared" si="201"/>
        <v>-424415844.77600008</v>
      </c>
      <c r="P520">
        <f t="shared" si="202"/>
        <v>-470017665.91599995</v>
      </c>
      <c r="Q520">
        <f t="shared" si="203"/>
        <v>-552837941.80299997</v>
      </c>
      <c r="S520">
        <f t="shared" si="204"/>
        <v>41393797.865000002</v>
      </c>
      <c r="T520">
        <f t="shared" si="205"/>
        <v>-535982773.46599996</v>
      </c>
      <c r="U520">
        <f t="shared" si="206"/>
        <v>-459413805.82799995</v>
      </c>
      <c r="V520">
        <f t="shared" si="207"/>
        <v>-538098660.34099996</v>
      </c>
      <c r="W520">
        <f t="shared" si="208"/>
        <v>-699917611.20099998</v>
      </c>
      <c r="X520">
        <f t="shared" si="209"/>
        <v>-784258475.58099997</v>
      </c>
      <c r="Z520">
        <f t="shared" si="210"/>
        <v>48658831.775999993</v>
      </c>
      <c r="AA520">
        <f t="shared" si="211"/>
        <v>-301432627.15099996</v>
      </c>
      <c r="AB520">
        <f t="shared" si="212"/>
        <v>-553272540.352</v>
      </c>
      <c r="AC520">
        <f t="shared" si="213"/>
        <v>-742727728.35800004</v>
      </c>
      <c r="AD520">
        <f t="shared" si="214"/>
        <v>-929817556.48599994</v>
      </c>
      <c r="AE520">
        <f t="shared" si="215"/>
        <v>-1015679009.359</v>
      </c>
    </row>
    <row r="521" spans="1:31" x14ac:dyDescent="0.25">
      <c r="A521">
        <v>38.186526720000003</v>
      </c>
      <c r="B521">
        <v>119.79819190000001</v>
      </c>
      <c r="C521">
        <v>24.469165799999999</v>
      </c>
      <c r="D521">
        <v>14.38315201</v>
      </c>
      <c r="E521" t="b">
        <f t="shared" si="192"/>
        <v>0</v>
      </c>
      <c r="F521">
        <f t="shared" si="193"/>
        <v>-107.96267698999999</v>
      </c>
      <c r="G521">
        <f t="shared" si="194"/>
        <v>-230.30850598999999</v>
      </c>
      <c r="H521">
        <f t="shared" si="195"/>
        <v>-352.65433499</v>
      </c>
      <c r="I521">
        <f t="shared" si="196"/>
        <v>-475.00016398999998</v>
      </c>
      <c r="J521">
        <f t="shared" si="197"/>
        <v>-597.34599299000001</v>
      </c>
      <c r="L521">
        <f t="shared" si="198"/>
        <v>29053967.060199998</v>
      </c>
      <c r="M521">
        <f t="shared" si="199"/>
        <v>-185695804.4228</v>
      </c>
      <c r="N521">
        <f t="shared" si="200"/>
        <v>-340856588.86519998</v>
      </c>
      <c r="O521">
        <f t="shared" si="201"/>
        <v>-394972855.18880004</v>
      </c>
      <c r="P521">
        <f t="shared" si="202"/>
        <v>-437000150.8707999</v>
      </c>
      <c r="Q521">
        <f t="shared" si="203"/>
        <v>-513717553.97140002</v>
      </c>
      <c r="S521">
        <f t="shared" si="204"/>
        <v>35238722.424500003</v>
      </c>
      <c r="T521">
        <f t="shared" si="205"/>
        <v>-499769457.99829996</v>
      </c>
      <c r="U521">
        <f t="shared" si="206"/>
        <v>-428373821.14139992</v>
      </c>
      <c r="V521">
        <f t="shared" si="207"/>
        <v>-500769155.68580002</v>
      </c>
      <c r="W521">
        <f t="shared" si="208"/>
        <v>-650750224.66629994</v>
      </c>
      <c r="X521">
        <f t="shared" si="209"/>
        <v>-728762111.44780004</v>
      </c>
      <c r="Z521">
        <f t="shared" si="210"/>
        <v>41423477.788800001</v>
      </c>
      <c r="AA521">
        <f t="shared" si="211"/>
        <v>-282862213.71380001</v>
      </c>
      <c r="AB521">
        <f t="shared" si="212"/>
        <v>-515891053.41759998</v>
      </c>
      <c r="AC521">
        <f t="shared" si="213"/>
        <v>-691202496.58039999</v>
      </c>
      <c r="AD521">
        <f t="shared" si="214"/>
        <v>-864500298.46179998</v>
      </c>
      <c r="AE521">
        <f t="shared" si="215"/>
        <v>-943806668.92420006</v>
      </c>
    </row>
    <row r="522" spans="1:31" x14ac:dyDescent="0.25">
      <c r="A522">
        <v>38.193024170000001</v>
      </c>
      <c r="B522">
        <v>119.7406711</v>
      </c>
      <c r="C522">
        <v>26.389209749999999</v>
      </c>
      <c r="D522">
        <v>9.7945000000000004E-2</v>
      </c>
      <c r="E522" t="b">
        <f t="shared" si="192"/>
        <v>0</v>
      </c>
      <c r="F522">
        <f t="shared" si="193"/>
        <v>-131.84810374999998</v>
      </c>
      <c r="G522">
        <f t="shared" si="194"/>
        <v>-263.7941525</v>
      </c>
      <c r="H522">
        <f t="shared" si="195"/>
        <v>-395.74020124999998</v>
      </c>
      <c r="I522">
        <f t="shared" si="196"/>
        <v>-527.68624999999997</v>
      </c>
      <c r="J522">
        <f t="shared" si="197"/>
        <v>-659.63229875000002</v>
      </c>
      <c r="L522">
        <f t="shared" si="198"/>
        <v>197848.9</v>
      </c>
      <c r="M522">
        <f t="shared" si="199"/>
        <v>-226778738.44999999</v>
      </c>
      <c r="N522">
        <f t="shared" si="200"/>
        <v>-390415345.69999999</v>
      </c>
      <c r="O522">
        <f t="shared" si="201"/>
        <v>-443229025.40000004</v>
      </c>
      <c r="P522">
        <f t="shared" si="202"/>
        <v>-485471349.99999994</v>
      </c>
      <c r="Q522">
        <f t="shared" si="203"/>
        <v>-567283776.92499995</v>
      </c>
      <c r="S522">
        <f t="shared" si="204"/>
        <v>239965.25000000003</v>
      </c>
      <c r="T522">
        <f t="shared" si="205"/>
        <v>-572433310.92499995</v>
      </c>
      <c r="U522">
        <f t="shared" si="206"/>
        <v>-490657123.64999998</v>
      </c>
      <c r="V522">
        <f t="shared" si="207"/>
        <v>-561951085.77499998</v>
      </c>
      <c r="W522">
        <f t="shared" si="208"/>
        <v>-722930162.5</v>
      </c>
      <c r="X522">
        <f t="shared" si="209"/>
        <v>-804751404.47500002</v>
      </c>
      <c r="Z522">
        <f t="shared" si="210"/>
        <v>282081.59999999998</v>
      </c>
      <c r="AA522">
        <f t="shared" si="211"/>
        <v>-345442031.82499999</v>
      </c>
      <c r="AB522">
        <f t="shared" si="212"/>
        <v>-590898901.60000002</v>
      </c>
      <c r="AC522">
        <f t="shared" si="213"/>
        <v>-775650794.44999993</v>
      </c>
      <c r="AD522">
        <f t="shared" si="214"/>
        <v>-960388975</v>
      </c>
      <c r="AE522">
        <f t="shared" si="215"/>
        <v>-1042219032.0250001</v>
      </c>
    </row>
    <row r="523" spans="1:31" x14ac:dyDescent="0.25">
      <c r="A523">
        <v>38.194489949999998</v>
      </c>
      <c r="B523">
        <v>116.98724470000001</v>
      </c>
      <c r="C523">
        <v>19.537851329999999</v>
      </c>
      <c r="D523">
        <v>1.6951579999999999</v>
      </c>
      <c r="E523" t="b">
        <f t="shared" si="192"/>
        <v>0</v>
      </c>
      <c r="F523">
        <f t="shared" si="193"/>
        <v>-95.994098649999984</v>
      </c>
      <c r="G523">
        <f t="shared" si="194"/>
        <v>-193.68335529999999</v>
      </c>
      <c r="H523">
        <f t="shared" si="195"/>
        <v>-291.37261194999996</v>
      </c>
      <c r="I523">
        <f t="shared" si="196"/>
        <v>-389.06186859999997</v>
      </c>
      <c r="J523">
        <f t="shared" si="197"/>
        <v>-486.75112524999997</v>
      </c>
      <c r="L523">
        <f t="shared" si="198"/>
        <v>3424219.16</v>
      </c>
      <c r="M523">
        <f t="shared" si="199"/>
        <v>-165109849.678</v>
      </c>
      <c r="N523">
        <f t="shared" si="200"/>
        <v>-286651365.84399998</v>
      </c>
      <c r="O523">
        <f t="shared" si="201"/>
        <v>-326337325.384</v>
      </c>
      <c r="P523">
        <f t="shared" si="202"/>
        <v>-357936919.11199993</v>
      </c>
      <c r="Q523">
        <f t="shared" si="203"/>
        <v>-418605967.71499997</v>
      </c>
      <c r="S523">
        <f t="shared" si="204"/>
        <v>4153137.1</v>
      </c>
      <c r="T523">
        <f t="shared" si="205"/>
        <v>-420292881.00099993</v>
      </c>
      <c r="U523">
        <f t="shared" si="206"/>
        <v>-360251040.85799992</v>
      </c>
      <c r="V523">
        <f t="shared" si="207"/>
        <v>-413749108.96899998</v>
      </c>
      <c r="W523">
        <f t="shared" si="208"/>
        <v>-533014759.98199999</v>
      </c>
      <c r="X523">
        <f t="shared" si="209"/>
        <v>-593836372.80499995</v>
      </c>
      <c r="Z523">
        <f t="shared" si="210"/>
        <v>4882055.04</v>
      </c>
      <c r="AA523">
        <f t="shared" si="211"/>
        <v>-251504538.463</v>
      </c>
      <c r="AB523">
        <f t="shared" si="212"/>
        <v>-433850715.87199998</v>
      </c>
      <c r="AC523">
        <f t="shared" si="213"/>
        <v>-571090319.42199993</v>
      </c>
      <c r="AD523">
        <f t="shared" si="214"/>
        <v>-708092600.852</v>
      </c>
      <c r="AE523">
        <f t="shared" si="215"/>
        <v>-769066777.89499998</v>
      </c>
    </row>
    <row r="524" spans="1:31" x14ac:dyDescent="0.25">
      <c r="A524">
        <v>38.199011159999998</v>
      </c>
      <c r="B524">
        <v>120.0940696</v>
      </c>
      <c r="C524">
        <v>15.833525659999999</v>
      </c>
      <c r="D524">
        <v>12.41936398</v>
      </c>
      <c r="E524" t="b">
        <f t="shared" si="192"/>
        <v>0</v>
      </c>
      <c r="F524">
        <f t="shared" si="193"/>
        <v>-66.74826431999999</v>
      </c>
      <c r="G524">
        <f t="shared" si="194"/>
        <v>-145.91589261999997</v>
      </c>
      <c r="H524">
        <f t="shared" si="195"/>
        <v>-225.08352092000001</v>
      </c>
      <c r="I524">
        <f t="shared" si="196"/>
        <v>-304.25114921999995</v>
      </c>
      <c r="J524">
        <f t="shared" si="197"/>
        <v>-383.41877751999999</v>
      </c>
      <c r="L524">
        <f t="shared" si="198"/>
        <v>25087115.239600003</v>
      </c>
      <c r="M524">
        <f t="shared" si="199"/>
        <v>-114807014.6304</v>
      </c>
      <c r="N524">
        <f t="shared" si="200"/>
        <v>-215955521.07759997</v>
      </c>
      <c r="O524">
        <f t="shared" si="201"/>
        <v>-252093543.43040004</v>
      </c>
      <c r="P524">
        <f t="shared" si="202"/>
        <v>-279911057.28239995</v>
      </c>
      <c r="Q524">
        <f t="shared" si="203"/>
        <v>-329740148.66719997</v>
      </c>
      <c r="S524">
        <f t="shared" si="204"/>
        <v>30427441.751000002</v>
      </c>
      <c r="T524">
        <f t="shared" si="205"/>
        <v>-316637486.98539996</v>
      </c>
      <c r="U524">
        <f t="shared" si="206"/>
        <v>-271403560.27319992</v>
      </c>
      <c r="V524">
        <f t="shared" si="207"/>
        <v>-319618599.70640004</v>
      </c>
      <c r="W524">
        <f t="shared" si="208"/>
        <v>-416824074.4314</v>
      </c>
      <c r="X524">
        <f t="shared" si="209"/>
        <v>-467770908.57439995</v>
      </c>
      <c r="Z524">
        <f t="shared" si="210"/>
        <v>35767768.262400001</v>
      </c>
      <c r="AA524">
        <f t="shared" si="211"/>
        <v>-174880452.51839998</v>
      </c>
      <c r="AB524">
        <f t="shared" si="212"/>
        <v>-326851599.46879995</v>
      </c>
      <c r="AC524">
        <f t="shared" si="213"/>
        <v>-441163701.00320005</v>
      </c>
      <c r="AD524">
        <f t="shared" si="214"/>
        <v>-553737091.58039999</v>
      </c>
      <c r="AE524">
        <f t="shared" si="215"/>
        <v>-605801668.48160005</v>
      </c>
    </row>
    <row r="525" spans="1:31" x14ac:dyDescent="0.25">
      <c r="A525">
        <v>38.201620650000002</v>
      </c>
      <c r="B525">
        <v>115.81921060000001</v>
      </c>
      <c r="C525">
        <v>10.858460429999999</v>
      </c>
      <c r="D525">
        <v>4.0056657800000002</v>
      </c>
      <c r="E525" t="b">
        <f t="shared" si="192"/>
        <v>0</v>
      </c>
      <c r="F525">
        <f t="shared" si="193"/>
        <v>-50.286636369999997</v>
      </c>
      <c r="G525">
        <f t="shared" si="194"/>
        <v>-104.57893851999999</v>
      </c>
      <c r="H525">
        <f t="shared" si="195"/>
        <v>-158.87124066999999</v>
      </c>
      <c r="I525">
        <f t="shared" si="196"/>
        <v>-213.16354282</v>
      </c>
      <c r="J525">
        <f t="shared" si="197"/>
        <v>-267.45584496999999</v>
      </c>
      <c r="L525">
        <f t="shared" si="198"/>
        <v>8091444.8756000008</v>
      </c>
      <c r="M525">
        <f t="shared" si="199"/>
        <v>-86493014.556400001</v>
      </c>
      <c r="N525">
        <f t="shared" si="200"/>
        <v>-154776829.00959998</v>
      </c>
      <c r="O525">
        <f t="shared" si="201"/>
        <v>-177935789.55039999</v>
      </c>
      <c r="P525">
        <f t="shared" si="202"/>
        <v>-196110459.39439997</v>
      </c>
      <c r="Q525">
        <f t="shared" si="203"/>
        <v>-230012026.6742</v>
      </c>
      <c r="S525">
        <f t="shared" si="204"/>
        <v>9813881.1610000022</v>
      </c>
      <c r="T525">
        <f t="shared" si="205"/>
        <v>-226936296.58839998</v>
      </c>
      <c r="U525">
        <f t="shared" si="206"/>
        <v>-194516825.64719999</v>
      </c>
      <c r="V525">
        <f t="shared" si="207"/>
        <v>-225597161.75139996</v>
      </c>
      <c r="W525">
        <f t="shared" si="208"/>
        <v>-292034053.66339999</v>
      </c>
      <c r="X525">
        <f t="shared" si="209"/>
        <v>-326296130.86339998</v>
      </c>
      <c r="Z525">
        <f t="shared" si="210"/>
        <v>11536317.4464</v>
      </c>
      <c r="AA525">
        <f t="shared" si="211"/>
        <v>-131750987.2894</v>
      </c>
      <c r="AB525">
        <f t="shared" si="212"/>
        <v>-234256822.28480002</v>
      </c>
      <c r="AC525">
        <f t="shared" si="213"/>
        <v>-311387631.71319997</v>
      </c>
      <c r="AD525">
        <f t="shared" si="214"/>
        <v>-387957647.93239999</v>
      </c>
      <c r="AE525">
        <f t="shared" si="215"/>
        <v>-422580235.05260003</v>
      </c>
    </row>
    <row r="526" spans="1:31" x14ac:dyDescent="0.25">
      <c r="A526">
        <v>38.202392359999997</v>
      </c>
      <c r="B526">
        <v>118.80369880000001</v>
      </c>
      <c r="C526">
        <v>10.430261610000001</v>
      </c>
      <c r="D526">
        <v>4.9958758400000001</v>
      </c>
      <c r="E526" t="b">
        <f t="shared" si="192"/>
        <v>0</v>
      </c>
      <c r="F526">
        <f t="shared" si="193"/>
        <v>-47.155432210000001</v>
      </c>
      <c r="G526">
        <f t="shared" si="194"/>
        <v>-99.306740260000012</v>
      </c>
      <c r="H526">
        <f t="shared" si="195"/>
        <v>-151.45804831000001</v>
      </c>
      <c r="I526">
        <f t="shared" si="196"/>
        <v>-203.60935636000002</v>
      </c>
      <c r="J526">
        <f t="shared" si="197"/>
        <v>-255.76066441</v>
      </c>
      <c r="L526">
        <f t="shared" si="198"/>
        <v>10091669.196799999</v>
      </c>
      <c r="M526">
        <f t="shared" si="199"/>
        <v>-81107343.401200011</v>
      </c>
      <c r="N526">
        <f t="shared" si="200"/>
        <v>-146973975.5848</v>
      </c>
      <c r="O526">
        <f t="shared" si="201"/>
        <v>-169633014.10720003</v>
      </c>
      <c r="P526">
        <f t="shared" si="202"/>
        <v>-187320607.85119998</v>
      </c>
      <c r="Q526">
        <f t="shared" si="203"/>
        <v>-219954171.3926</v>
      </c>
      <c r="S526">
        <f t="shared" si="204"/>
        <v>12239895.808</v>
      </c>
      <c r="T526">
        <f t="shared" si="205"/>
        <v>-215495626.3642</v>
      </c>
      <c r="U526">
        <f t="shared" si="206"/>
        <v>-184710536.8836</v>
      </c>
      <c r="V526">
        <f t="shared" si="207"/>
        <v>-215070428.6002</v>
      </c>
      <c r="W526">
        <f t="shared" si="208"/>
        <v>-278944818.21320003</v>
      </c>
      <c r="X526">
        <f t="shared" si="209"/>
        <v>-312028010.58020002</v>
      </c>
      <c r="Z526">
        <f t="shared" si="210"/>
        <v>14388122.419199999</v>
      </c>
      <c r="AA526">
        <f t="shared" si="211"/>
        <v>-123547232.3902</v>
      </c>
      <c r="AB526">
        <f t="shared" si="212"/>
        <v>-222447098.18240005</v>
      </c>
      <c r="AC526">
        <f t="shared" si="213"/>
        <v>-296857774.68760002</v>
      </c>
      <c r="AD526">
        <f t="shared" si="214"/>
        <v>-370569028.57520002</v>
      </c>
      <c r="AE526">
        <f t="shared" si="215"/>
        <v>-404101849.76780003</v>
      </c>
    </row>
    <row r="527" spans="1:31" x14ac:dyDescent="0.25">
      <c r="A527">
        <v>38.21235454</v>
      </c>
      <c r="B527">
        <v>119.5680503</v>
      </c>
      <c r="C527">
        <v>20.99163055</v>
      </c>
      <c r="D527">
        <v>25.879388809999998</v>
      </c>
      <c r="E527" t="b">
        <f t="shared" si="192"/>
        <v>1</v>
      </c>
      <c r="F527">
        <f t="shared" si="193"/>
        <v>-79.078763940000002</v>
      </c>
      <c r="G527">
        <f t="shared" si="194"/>
        <v>-184.03691669</v>
      </c>
      <c r="H527">
        <f t="shared" si="195"/>
        <v>-288.99506943999995</v>
      </c>
      <c r="I527">
        <f t="shared" si="196"/>
        <v>-393.95322218999996</v>
      </c>
      <c r="J527">
        <f t="shared" si="197"/>
        <v>-498.91137493999997</v>
      </c>
      <c r="L527">
        <f t="shared" si="198"/>
        <v>42403093.711000003</v>
      </c>
      <c r="M527">
        <f t="shared" si="199"/>
        <v>-136015473.97680002</v>
      </c>
      <c r="N527">
        <f t="shared" si="200"/>
        <v>-272374636.70120001</v>
      </c>
      <c r="O527">
        <f t="shared" si="201"/>
        <v>-323674477.77279997</v>
      </c>
      <c r="P527">
        <f t="shared" si="202"/>
        <v>-362436964.41479993</v>
      </c>
      <c r="Q527">
        <f t="shared" si="203"/>
        <v>-429063782.44840002</v>
      </c>
      <c r="S527">
        <f t="shared" si="204"/>
        <v>51429494.847500004</v>
      </c>
      <c r="T527">
        <f t="shared" si="205"/>
        <v>-399360109.2173</v>
      </c>
      <c r="U527">
        <f t="shared" si="206"/>
        <v>-342308665.04339999</v>
      </c>
      <c r="V527">
        <f t="shared" si="207"/>
        <v>-410372998.60479987</v>
      </c>
      <c r="W527">
        <f t="shared" si="208"/>
        <v>-539715914.40029991</v>
      </c>
      <c r="X527">
        <f t="shared" si="209"/>
        <v>-608671877.42680001</v>
      </c>
      <c r="Z527">
        <f t="shared" si="210"/>
        <v>60455895.983999997</v>
      </c>
      <c r="AA527">
        <f t="shared" si="211"/>
        <v>-207186361.5228</v>
      </c>
      <c r="AB527">
        <f t="shared" si="212"/>
        <v>-412242693.38560003</v>
      </c>
      <c r="AC527">
        <f t="shared" si="213"/>
        <v>-566430336.10239983</v>
      </c>
      <c r="AD527">
        <f t="shared" si="214"/>
        <v>-716994864.38579988</v>
      </c>
      <c r="AE527">
        <f t="shared" si="215"/>
        <v>-788279972.4052</v>
      </c>
    </row>
    <row r="528" spans="1:31" x14ac:dyDescent="0.25">
      <c r="A528">
        <v>38.217273550000002</v>
      </c>
      <c r="B528">
        <v>119.0994645</v>
      </c>
      <c r="C528">
        <v>33.410434719999998</v>
      </c>
      <c r="D528">
        <v>40.262538910000004</v>
      </c>
      <c r="E528" t="b">
        <f t="shared" si="192"/>
        <v>1</v>
      </c>
      <c r="F528">
        <f t="shared" si="193"/>
        <v>-126.78963469</v>
      </c>
      <c r="G528">
        <f t="shared" si="194"/>
        <v>-293.84180829000002</v>
      </c>
      <c r="H528">
        <f t="shared" si="195"/>
        <v>-460.89398188999996</v>
      </c>
      <c r="I528">
        <f t="shared" si="196"/>
        <v>-627.94615549000002</v>
      </c>
      <c r="J528">
        <f t="shared" si="197"/>
        <v>-794.99832908999997</v>
      </c>
      <c r="L528">
        <f t="shared" si="198"/>
        <v>67489078.134399995</v>
      </c>
      <c r="M528">
        <f t="shared" si="199"/>
        <v>-218078171.66680002</v>
      </c>
      <c r="N528">
        <f t="shared" si="200"/>
        <v>-434885876.26920003</v>
      </c>
      <c r="O528">
        <f t="shared" si="201"/>
        <v>-516201259.71680003</v>
      </c>
      <c r="P528">
        <f t="shared" si="202"/>
        <v>-577710463.05079997</v>
      </c>
      <c r="Q528">
        <f t="shared" si="203"/>
        <v>-683698563.01739991</v>
      </c>
      <c r="S528">
        <f t="shared" si="204"/>
        <v>81855565.063999996</v>
      </c>
      <c r="T528">
        <f t="shared" si="205"/>
        <v>-637636723.98930001</v>
      </c>
      <c r="U528">
        <f t="shared" si="206"/>
        <v>-546545763.41939998</v>
      </c>
      <c r="V528">
        <f t="shared" si="207"/>
        <v>-654469454.28380001</v>
      </c>
      <c r="W528">
        <f t="shared" si="208"/>
        <v>-860286233.02130008</v>
      </c>
      <c r="X528">
        <f t="shared" si="209"/>
        <v>-969897961.48979986</v>
      </c>
      <c r="Z528">
        <f t="shared" si="210"/>
        <v>96222051.993599996</v>
      </c>
      <c r="AA528">
        <f t="shared" si="211"/>
        <v>-332188842.88779998</v>
      </c>
      <c r="AB528">
        <f t="shared" si="212"/>
        <v>-658205650.56960011</v>
      </c>
      <c r="AC528">
        <f t="shared" si="213"/>
        <v>-903352204.50440001</v>
      </c>
      <c r="AD528">
        <f t="shared" si="214"/>
        <v>-1142862002.9918001</v>
      </c>
      <c r="AE528">
        <f t="shared" si="215"/>
        <v>-1256097359.9621999</v>
      </c>
    </row>
    <row r="529" spans="1:31" x14ac:dyDescent="0.25">
      <c r="A529">
        <v>38.218743979999999</v>
      </c>
      <c r="B529">
        <v>119.51049070000001</v>
      </c>
      <c r="C529">
        <v>307.9655151</v>
      </c>
      <c r="D529">
        <v>0.24486100999999999</v>
      </c>
      <c r="E529" t="b">
        <f t="shared" si="192"/>
        <v>0</v>
      </c>
      <c r="F529">
        <f t="shared" si="193"/>
        <v>-1539.5827144899999</v>
      </c>
      <c r="G529">
        <f t="shared" si="194"/>
        <v>-3079.4102899899999</v>
      </c>
      <c r="H529">
        <f t="shared" si="195"/>
        <v>-4619.2378654900003</v>
      </c>
      <c r="I529">
        <f t="shared" si="196"/>
        <v>-6159.0654409899998</v>
      </c>
      <c r="J529">
        <f t="shared" si="197"/>
        <v>-7698.8930164900003</v>
      </c>
      <c r="L529">
        <f t="shared" si="198"/>
        <v>494619.24019999994</v>
      </c>
      <c r="M529">
        <f t="shared" si="199"/>
        <v>-2648082268.9228005</v>
      </c>
      <c r="N529">
        <f t="shared" si="200"/>
        <v>-4557527229.1851997</v>
      </c>
      <c r="O529">
        <f t="shared" si="201"/>
        <v>-5173546409.3488016</v>
      </c>
      <c r="P529">
        <f t="shared" si="202"/>
        <v>-5666340205.7107992</v>
      </c>
      <c r="Q529">
        <f t="shared" si="203"/>
        <v>-6621047994.1814003</v>
      </c>
      <c r="S529">
        <f t="shared" si="204"/>
        <v>599909.47450000001</v>
      </c>
      <c r="T529">
        <f t="shared" si="205"/>
        <v>-6682320329.2782993</v>
      </c>
      <c r="U529">
        <f t="shared" si="206"/>
        <v>-5727703139.3813992</v>
      </c>
      <c r="V529">
        <f t="shared" si="207"/>
        <v>-6559317768.995801</v>
      </c>
      <c r="W529">
        <f t="shared" si="208"/>
        <v>-8437919654.1563005</v>
      </c>
      <c r="X529">
        <f t="shared" si="209"/>
        <v>-9392649480.1177998</v>
      </c>
      <c r="Z529">
        <f t="shared" si="210"/>
        <v>705199.70879999991</v>
      </c>
      <c r="AA529">
        <f t="shared" si="211"/>
        <v>-4033706711.9638</v>
      </c>
      <c r="AB529">
        <f t="shared" si="212"/>
        <v>-6897879049.5776005</v>
      </c>
      <c r="AC529">
        <f t="shared" si="213"/>
        <v>-9053706216.3604012</v>
      </c>
      <c r="AD529">
        <f t="shared" si="214"/>
        <v>-11209499102.601801</v>
      </c>
      <c r="AE529">
        <f t="shared" si="215"/>
        <v>-12164250966.054201</v>
      </c>
    </row>
    <row r="530" spans="1:31" x14ac:dyDescent="0.25">
      <c r="A530">
        <v>38.220411890000001</v>
      </c>
      <c r="B530">
        <v>90.922373489999998</v>
      </c>
      <c r="C530">
        <v>20.624670030000001</v>
      </c>
      <c r="D530">
        <v>0.31869399999999998</v>
      </c>
      <c r="E530" t="b">
        <f t="shared" si="192"/>
        <v>0</v>
      </c>
      <c r="F530">
        <f t="shared" si="193"/>
        <v>-102.80465615000001</v>
      </c>
      <c r="G530">
        <f t="shared" si="194"/>
        <v>-205.92800630000002</v>
      </c>
      <c r="H530">
        <f t="shared" si="195"/>
        <v>-309.05135645000001</v>
      </c>
      <c r="I530">
        <f t="shared" si="196"/>
        <v>-412.17470660000004</v>
      </c>
      <c r="J530">
        <f t="shared" si="197"/>
        <v>-515.29805675</v>
      </c>
      <c r="L530">
        <f t="shared" si="198"/>
        <v>643761.88</v>
      </c>
      <c r="M530">
        <f t="shared" si="199"/>
        <v>-176824008.57800007</v>
      </c>
      <c r="N530">
        <f t="shared" si="200"/>
        <v>-304773449.324</v>
      </c>
      <c r="O530">
        <f t="shared" si="201"/>
        <v>-346137519.22400004</v>
      </c>
      <c r="P530">
        <f t="shared" si="202"/>
        <v>-379200730.07199997</v>
      </c>
      <c r="Q530">
        <f t="shared" si="203"/>
        <v>-443156328.80500001</v>
      </c>
      <c r="S530">
        <f t="shared" si="204"/>
        <v>780800.3</v>
      </c>
      <c r="T530">
        <f t="shared" si="205"/>
        <v>-446863773.671</v>
      </c>
      <c r="U530">
        <f t="shared" si="206"/>
        <v>-383026091.71799999</v>
      </c>
      <c r="V530">
        <f t="shared" si="207"/>
        <v>-438852926.15899998</v>
      </c>
      <c r="W530">
        <f t="shared" si="208"/>
        <v>-564679348.04200006</v>
      </c>
      <c r="X530">
        <f t="shared" si="209"/>
        <v>-628663629.23500001</v>
      </c>
      <c r="Z530">
        <f t="shared" si="210"/>
        <v>917838.72</v>
      </c>
      <c r="AA530">
        <f t="shared" si="211"/>
        <v>-269348199.11300009</v>
      </c>
      <c r="AB530">
        <f t="shared" si="212"/>
        <v>-461278734.11200005</v>
      </c>
      <c r="AC530">
        <f t="shared" si="213"/>
        <v>-605740658.64199996</v>
      </c>
      <c r="AD530">
        <f t="shared" si="214"/>
        <v>-750157966.01200008</v>
      </c>
      <c r="AE530">
        <f t="shared" si="215"/>
        <v>-814170929.66500008</v>
      </c>
    </row>
    <row r="531" spans="1:31" x14ac:dyDescent="0.25">
      <c r="A531">
        <v>38.225393439999998</v>
      </c>
      <c r="B531">
        <v>119.86399059999999</v>
      </c>
      <c r="C531">
        <v>50.139499659999998</v>
      </c>
      <c r="D531">
        <v>1.95888996</v>
      </c>
      <c r="E531" t="b">
        <f t="shared" si="192"/>
        <v>0</v>
      </c>
      <c r="F531">
        <f t="shared" si="193"/>
        <v>-248.73860834000001</v>
      </c>
      <c r="G531">
        <f t="shared" si="194"/>
        <v>-499.43610663999999</v>
      </c>
      <c r="H531">
        <f t="shared" si="195"/>
        <v>-750.13360494000005</v>
      </c>
      <c r="I531">
        <f t="shared" si="196"/>
        <v>-1000.8311032400001</v>
      </c>
      <c r="J531">
        <f t="shared" si="197"/>
        <v>-1251.52860154</v>
      </c>
      <c r="L531">
        <f t="shared" si="198"/>
        <v>3956957.7192000002</v>
      </c>
      <c r="M531">
        <f t="shared" si="199"/>
        <v>-427830406.34480006</v>
      </c>
      <c r="N531">
        <f t="shared" si="200"/>
        <v>-739165437.82719994</v>
      </c>
      <c r="O531">
        <f t="shared" si="201"/>
        <v>-840149637.5328002</v>
      </c>
      <c r="P531">
        <f t="shared" si="202"/>
        <v>-920764614.98079991</v>
      </c>
      <c r="Q531">
        <f t="shared" si="203"/>
        <v>-1076314597.3243999</v>
      </c>
      <c r="S531">
        <f t="shared" si="204"/>
        <v>4799280.4020000007</v>
      </c>
      <c r="T531">
        <f t="shared" si="205"/>
        <v>-1083776351.4087999</v>
      </c>
      <c r="U531">
        <f t="shared" si="206"/>
        <v>-928951158.35039985</v>
      </c>
      <c r="V531">
        <f t="shared" si="207"/>
        <v>-1065189719.0148001</v>
      </c>
      <c r="W531">
        <f t="shared" si="208"/>
        <v>-1371138611.4388001</v>
      </c>
      <c r="X531">
        <f t="shared" si="209"/>
        <v>-1526864893.8787999</v>
      </c>
      <c r="Z531">
        <f t="shared" si="210"/>
        <v>5641603.0847999994</v>
      </c>
      <c r="AA531">
        <f t="shared" si="211"/>
        <v>-651695153.85080004</v>
      </c>
      <c r="AB531">
        <f t="shared" si="212"/>
        <v>-1118736878.8736</v>
      </c>
      <c r="AC531">
        <f t="shared" si="213"/>
        <v>-1470261865.6824</v>
      </c>
      <c r="AD531">
        <f t="shared" si="214"/>
        <v>-1821512607.8968</v>
      </c>
      <c r="AE531">
        <f t="shared" si="215"/>
        <v>-1977415190.4332001</v>
      </c>
    </row>
    <row r="532" spans="1:31" x14ac:dyDescent="0.25">
      <c r="A532">
        <v>38.237902239999997</v>
      </c>
      <c r="B532">
        <v>115.9407849</v>
      </c>
      <c r="C532">
        <v>10.858460429999999</v>
      </c>
      <c r="D532">
        <v>3.6063230000000002</v>
      </c>
      <c r="E532" t="b">
        <f t="shared" si="192"/>
        <v>0</v>
      </c>
      <c r="F532">
        <f t="shared" si="193"/>
        <v>-50.685979149999994</v>
      </c>
      <c r="G532">
        <f t="shared" si="194"/>
        <v>-104.97828129999999</v>
      </c>
      <c r="H532">
        <f t="shared" si="195"/>
        <v>-159.27058344999998</v>
      </c>
      <c r="I532">
        <f t="shared" si="196"/>
        <v>-213.56288559999999</v>
      </c>
      <c r="J532">
        <f t="shared" si="197"/>
        <v>-267.85518775000003</v>
      </c>
      <c r="L532">
        <f t="shared" si="198"/>
        <v>7284772.46</v>
      </c>
      <c r="M532">
        <f t="shared" si="199"/>
        <v>-87179884.137999997</v>
      </c>
      <c r="N532">
        <f t="shared" si="200"/>
        <v>-155367856.324</v>
      </c>
      <c r="O532">
        <f t="shared" si="201"/>
        <v>-178383053.46400002</v>
      </c>
      <c r="P532">
        <f t="shared" si="202"/>
        <v>-196477854.75199997</v>
      </c>
      <c r="Q532">
        <f t="shared" si="203"/>
        <v>-230355461.46500003</v>
      </c>
      <c r="S532">
        <f t="shared" si="204"/>
        <v>8835491.3500000015</v>
      </c>
      <c r="T532">
        <f t="shared" si="205"/>
        <v>-227802870.42099997</v>
      </c>
      <c r="U532">
        <f t="shared" si="206"/>
        <v>-195259603.21799999</v>
      </c>
      <c r="V532">
        <f t="shared" si="207"/>
        <v>-226164228.49899998</v>
      </c>
      <c r="W532">
        <f t="shared" si="208"/>
        <v>-292581153.27200001</v>
      </c>
      <c r="X532">
        <f t="shared" si="209"/>
        <v>-326783329.05500001</v>
      </c>
      <c r="Z532">
        <f t="shared" si="210"/>
        <v>10386210.24</v>
      </c>
      <c r="AA532">
        <f t="shared" si="211"/>
        <v>-132797265.37299998</v>
      </c>
      <c r="AB532">
        <f t="shared" si="212"/>
        <v>-235151350.11200002</v>
      </c>
      <c r="AC532">
        <f t="shared" si="213"/>
        <v>-312170343.56199998</v>
      </c>
      <c r="AD532">
        <f t="shared" si="214"/>
        <v>-388684451.792</v>
      </c>
      <c r="AE532">
        <f t="shared" si="215"/>
        <v>-423211196.64500004</v>
      </c>
    </row>
    <row r="533" spans="1:31" x14ac:dyDescent="0.25">
      <c r="A533">
        <v>38.238422620000001</v>
      </c>
      <c r="B533">
        <v>119.7488918</v>
      </c>
      <c r="C533">
        <v>50.139499659999998</v>
      </c>
      <c r="D533">
        <v>1.95888996</v>
      </c>
      <c r="E533" t="b">
        <f t="shared" si="192"/>
        <v>0</v>
      </c>
      <c r="F533">
        <f t="shared" si="193"/>
        <v>-248.73860834000001</v>
      </c>
      <c r="G533">
        <f t="shared" si="194"/>
        <v>-499.43610663999999</v>
      </c>
      <c r="H533">
        <f t="shared" si="195"/>
        <v>-750.13360494000005</v>
      </c>
      <c r="I533">
        <f t="shared" si="196"/>
        <v>-1000.8311032400001</v>
      </c>
      <c r="J533">
        <f t="shared" si="197"/>
        <v>-1251.52860154</v>
      </c>
      <c r="L533">
        <f t="shared" si="198"/>
        <v>3956957.7192000002</v>
      </c>
      <c r="M533">
        <f t="shared" si="199"/>
        <v>-427830406.34480006</v>
      </c>
      <c r="N533">
        <f t="shared" si="200"/>
        <v>-739165437.82719994</v>
      </c>
      <c r="O533">
        <f t="shared" si="201"/>
        <v>-840149637.5328002</v>
      </c>
      <c r="P533">
        <f t="shared" si="202"/>
        <v>-920764614.98079991</v>
      </c>
      <c r="Q533">
        <f t="shared" si="203"/>
        <v>-1076314597.3243999</v>
      </c>
      <c r="S533">
        <f t="shared" si="204"/>
        <v>4799280.4020000007</v>
      </c>
      <c r="T533">
        <f t="shared" si="205"/>
        <v>-1083776351.4087999</v>
      </c>
      <c r="U533">
        <f t="shared" si="206"/>
        <v>-928951158.35039985</v>
      </c>
      <c r="V533">
        <f t="shared" si="207"/>
        <v>-1065189719.0148001</v>
      </c>
      <c r="W533">
        <f t="shared" si="208"/>
        <v>-1371138611.4388001</v>
      </c>
      <c r="X533">
        <f t="shared" si="209"/>
        <v>-1526864893.8787999</v>
      </c>
      <c r="Z533">
        <f t="shared" si="210"/>
        <v>5641603.0847999994</v>
      </c>
      <c r="AA533">
        <f t="shared" si="211"/>
        <v>-651695153.85080004</v>
      </c>
      <c r="AB533">
        <f t="shared" si="212"/>
        <v>-1118736878.8736</v>
      </c>
      <c r="AC533">
        <f t="shared" si="213"/>
        <v>-1470261865.6824</v>
      </c>
      <c r="AD533">
        <f t="shared" si="214"/>
        <v>-1821512607.8968</v>
      </c>
      <c r="AE533">
        <f t="shared" si="215"/>
        <v>-1977415190.4332001</v>
      </c>
    </row>
    <row r="534" spans="1:31" x14ac:dyDescent="0.25">
      <c r="A534">
        <v>38.241789730000001</v>
      </c>
      <c r="B534">
        <v>118.86900199999999</v>
      </c>
      <c r="C534">
        <v>22.77684975</v>
      </c>
      <c r="D534">
        <v>193.1955566</v>
      </c>
      <c r="E534" t="b">
        <f t="shared" si="192"/>
        <v>1</v>
      </c>
      <c r="F534">
        <f t="shared" si="193"/>
        <v>79.311307850000006</v>
      </c>
      <c r="G534">
        <f t="shared" si="194"/>
        <v>-34.572940899999992</v>
      </c>
      <c r="H534">
        <f t="shared" si="195"/>
        <v>-148.45718965</v>
      </c>
      <c r="I534">
        <f t="shared" si="196"/>
        <v>-262.34143840000002</v>
      </c>
      <c r="J534">
        <f t="shared" si="197"/>
        <v>-376.22568715</v>
      </c>
      <c r="L534">
        <f t="shared" si="198"/>
        <v>46009236.494999997</v>
      </c>
      <c r="M534">
        <f t="shared" si="199"/>
        <v>39176181.570000008</v>
      </c>
      <c r="N534">
        <f t="shared" si="200"/>
        <v>-51167952.531999983</v>
      </c>
      <c r="O534">
        <f t="shared" si="201"/>
        <v>-166272052.40800002</v>
      </c>
      <c r="P534">
        <f t="shared" si="202"/>
        <v>-241354123.32799998</v>
      </c>
      <c r="Q534">
        <f t="shared" si="203"/>
        <v>-323554090.949</v>
      </c>
      <c r="S534">
        <f t="shared" si="204"/>
        <v>55803281.887500003</v>
      </c>
      <c r="T534">
        <f t="shared" si="205"/>
        <v>-75023281.752999976</v>
      </c>
      <c r="U534">
        <f t="shared" si="206"/>
        <v>-64305670.073999979</v>
      </c>
      <c r="V534">
        <f t="shared" si="207"/>
        <v>-210809209.303</v>
      </c>
      <c r="W534">
        <f t="shared" si="208"/>
        <v>-359407770.60800004</v>
      </c>
      <c r="X534">
        <f t="shared" si="209"/>
        <v>-458995338.32299995</v>
      </c>
      <c r="Z534">
        <f t="shared" si="210"/>
        <v>65597327.280000001</v>
      </c>
      <c r="AA534">
        <f t="shared" si="211"/>
        <v>59675346.344999999</v>
      </c>
      <c r="AB534">
        <f t="shared" si="212"/>
        <v>-77443387.615999982</v>
      </c>
      <c r="AC534">
        <f t="shared" si="213"/>
        <v>-290976091.71399999</v>
      </c>
      <c r="AD534">
        <f t="shared" si="214"/>
        <v>-477461417.88800001</v>
      </c>
      <c r="AE534">
        <f t="shared" si="215"/>
        <v>-594436585.69700003</v>
      </c>
    </row>
    <row r="535" spans="1:31" x14ac:dyDescent="0.25">
      <c r="A535">
        <v>38.244031450000001</v>
      </c>
      <c r="B535">
        <v>119.2801565</v>
      </c>
      <c r="C535">
        <v>33.501247409999998</v>
      </c>
      <c r="D535">
        <v>4.99517012</v>
      </c>
      <c r="E535" t="b">
        <f t="shared" si="192"/>
        <v>0</v>
      </c>
      <c r="F535">
        <f t="shared" si="193"/>
        <v>-162.51106692999997</v>
      </c>
      <c r="G535">
        <f t="shared" si="194"/>
        <v>-330.01730397999995</v>
      </c>
      <c r="H535">
        <f t="shared" si="195"/>
        <v>-497.52354102999993</v>
      </c>
      <c r="I535">
        <f t="shared" si="196"/>
        <v>-665.02977807999991</v>
      </c>
      <c r="J535">
        <f t="shared" si="197"/>
        <v>-832.5360151299999</v>
      </c>
      <c r="L535">
        <f t="shared" si="198"/>
        <v>10090243.6424</v>
      </c>
      <c r="M535">
        <f t="shared" si="199"/>
        <v>-279519035.1196</v>
      </c>
      <c r="N535">
        <f t="shared" si="200"/>
        <v>-488425609.89039993</v>
      </c>
      <c r="O535">
        <f t="shared" si="201"/>
        <v>-557226365.95359993</v>
      </c>
      <c r="P535">
        <f t="shared" si="202"/>
        <v>-611827395.83359993</v>
      </c>
      <c r="Q535">
        <f t="shared" si="203"/>
        <v>-715980973.01179993</v>
      </c>
      <c r="S535">
        <f t="shared" si="204"/>
        <v>12238166.794000002</v>
      </c>
      <c r="T535">
        <f t="shared" si="205"/>
        <v>-716137549.6365999</v>
      </c>
      <c r="U535">
        <f t="shared" si="206"/>
        <v>-613832185.40279984</v>
      </c>
      <c r="V535">
        <f t="shared" si="207"/>
        <v>-706483428.26259983</v>
      </c>
      <c r="W535">
        <f t="shared" si="208"/>
        <v>-911090795.96959996</v>
      </c>
      <c r="X535">
        <f t="shared" si="209"/>
        <v>-1015693938.4585998</v>
      </c>
      <c r="Z535">
        <f t="shared" si="210"/>
        <v>14386089.945599999</v>
      </c>
      <c r="AA535">
        <f t="shared" si="211"/>
        <v>-425778995.35659999</v>
      </c>
      <c r="AB535">
        <f t="shared" si="212"/>
        <v>-739238760.9152</v>
      </c>
      <c r="AC535">
        <f t="shared" si="213"/>
        <v>-975146140.41879976</v>
      </c>
      <c r="AD535">
        <f t="shared" si="214"/>
        <v>-1210354196.1055999</v>
      </c>
      <c r="AE535">
        <f t="shared" si="215"/>
        <v>-1315406903.9053998</v>
      </c>
    </row>
    <row r="536" spans="1:31" x14ac:dyDescent="0.25">
      <c r="A536">
        <v>38.24438542</v>
      </c>
      <c r="B536">
        <v>120.1025009</v>
      </c>
      <c r="C536">
        <v>10.8960743</v>
      </c>
      <c r="D536">
        <v>3.6729190300000001</v>
      </c>
      <c r="E536" t="b">
        <f t="shared" si="192"/>
        <v>0</v>
      </c>
      <c r="F536">
        <f t="shared" si="193"/>
        <v>-50.807452470000001</v>
      </c>
      <c r="G536">
        <f t="shared" si="194"/>
        <v>-105.28782397000001</v>
      </c>
      <c r="H536">
        <f t="shared" si="195"/>
        <v>-159.76819546999999</v>
      </c>
      <c r="I536">
        <f t="shared" si="196"/>
        <v>-214.24856697000001</v>
      </c>
      <c r="J536">
        <f t="shared" si="197"/>
        <v>-268.72893847</v>
      </c>
      <c r="L536">
        <f t="shared" si="198"/>
        <v>7419296.4406000003</v>
      </c>
      <c r="M536">
        <f t="shared" si="199"/>
        <v>-87388818.248400003</v>
      </c>
      <c r="N536">
        <f t="shared" si="200"/>
        <v>-155825979.4756</v>
      </c>
      <c r="O536">
        <f t="shared" si="201"/>
        <v>-178940378.92640001</v>
      </c>
      <c r="P536">
        <f t="shared" si="202"/>
        <v>-197108681.6124</v>
      </c>
      <c r="Q536">
        <f t="shared" si="203"/>
        <v>-231106887.08420002</v>
      </c>
      <c r="S536">
        <f t="shared" si="204"/>
        <v>8998651.6235000007</v>
      </c>
      <c r="T536">
        <f t="shared" si="205"/>
        <v>-228474578.0149</v>
      </c>
      <c r="U536">
        <f t="shared" si="206"/>
        <v>-195835352.58419999</v>
      </c>
      <c r="V536">
        <f t="shared" si="207"/>
        <v>-226870837.56739998</v>
      </c>
      <c r="W536">
        <f t="shared" si="208"/>
        <v>-293520536.7489</v>
      </c>
      <c r="X536">
        <f t="shared" si="209"/>
        <v>-327849304.93340003</v>
      </c>
      <c r="Z536">
        <f t="shared" si="210"/>
        <v>10578006.806400001</v>
      </c>
      <c r="AA536">
        <f t="shared" si="211"/>
        <v>-133115525.47140001</v>
      </c>
      <c r="AB536">
        <f t="shared" si="212"/>
        <v>-235844725.69280002</v>
      </c>
      <c r="AC536">
        <f t="shared" si="213"/>
        <v>-313145663.12119997</v>
      </c>
      <c r="AD536">
        <f t="shared" si="214"/>
        <v>-389932391.8854</v>
      </c>
      <c r="AE536">
        <f t="shared" si="215"/>
        <v>-424591722.78260005</v>
      </c>
    </row>
    <row r="537" spans="1:31" x14ac:dyDescent="0.25">
      <c r="A537">
        <v>38.244896699999998</v>
      </c>
      <c r="B537">
        <v>119.6913278</v>
      </c>
      <c r="C537">
        <v>17.18385696</v>
      </c>
      <c r="D537">
        <v>2.8547859199999999</v>
      </c>
      <c r="E537" t="b">
        <f t="shared" si="192"/>
        <v>0</v>
      </c>
      <c r="F537">
        <f t="shared" si="193"/>
        <v>-83.064498880000002</v>
      </c>
      <c r="G537">
        <f t="shared" si="194"/>
        <v>-168.98378367999999</v>
      </c>
      <c r="H537">
        <f t="shared" si="195"/>
        <v>-254.90306847999997</v>
      </c>
      <c r="I537">
        <f t="shared" si="196"/>
        <v>-340.82235328000002</v>
      </c>
      <c r="J537">
        <f t="shared" si="197"/>
        <v>-426.74163808000003</v>
      </c>
      <c r="L537">
        <f t="shared" si="198"/>
        <v>5766667.5583999995</v>
      </c>
      <c r="M537">
        <f t="shared" si="199"/>
        <v>-142870938.07359999</v>
      </c>
      <c r="N537">
        <f t="shared" si="200"/>
        <v>-250095999.84639996</v>
      </c>
      <c r="O537">
        <f t="shared" si="201"/>
        <v>-285491436.69760001</v>
      </c>
      <c r="P537">
        <f t="shared" si="202"/>
        <v>-313556565.0176</v>
      </c>
      <c r="Q537">
        <f t="shared" si="203"/>
        <v>-366997808.74880004</v>
      </c>
      <c r="S537">
        <f t="shared" si="204"/>
        <v>6994225.5040000007</v>
      </c>
      <c r="T537">
        <f t="shared" si="205"/>
        <v>-366694810.58559996</v>
      </c>
      <c r="U537">
        <f t="shared" si="206"/>
        <v>-314309837.64479995</v>
      </c>
      <c r="V537">
        <f t="shared" si="207"/>
        <v>-361962357.24159992</v>
      </c>
      <c r="W537">
        <f t="shared" si="208"/>
        <v>-466926623.99360007</v>
      </c>
      <c r="X537">
        <f t="shared" si="209"/>
        <v>-520624798.45760006</v>
      </c>
      <c r="Z537">
        <f t="shared" si="210"/>
        <v>8221783.4495999999</v>
      </c>
      <c r="AA537">
        <f t="shared" si="211"/>
        <v>-217628987.06560001</v>
      </c>
      <c r="AB537">
        <f t="shared" si="212"/>
        <v>-378523675.44319999</v>
      </c>
      <c r="AC537">
        <f t="shared" si="213"/>
        <v>-499610014.22079992</v>
      </c>
      <c r="AD537">
        <f t="shared" si="214"/>
        <v>-620296682.96960008</v>
      </c>
      <c r="AE537">
        <f t="shared" si="215"/>
        <v>-674251788.16640007</v>
      </c>
    </row>
    <row r="538" spans="1:31" x14ac:dyDescent="0.25">
      <c r="A538">
        <v>38.250285720000001</v>
      </c>
      <c r="B538">
        <v>119.2225492</v>
      </c>
      <c r="C538">
        <v>32.803474430000001</v>
      </c>
      <c r="D538">
        <v>5.3869490600000001</v>
      </c>
      <c r="E538" t="b">
        <f t="shared" si="192"/>
        <v>0</v>
      </c>
      <c r="F538">
        <f t="shared" si="193"/>
        <v>-158.63042308999999</v>
      </c>
      <c r="G538">
        <f t="shared" si="194"/>
        <v>-322.64779523999999</v>
      </c>
      <c r="H538">
        <f t="shared" si="195"/>
        <v>-486.66516739000002</v>
      </c>
      <c r="I538">
        <f t="shared" si="196"/>
        <v>-650.68253953999999</v>
      </c>
      <c r="J538">
        <f t="shared" si="197"/>
        <v>-814.69991169000002</v>
      </c>
      <c r="L538">
        <f t="shared" si="198"/>
        <v>10881637.101200001</v>
      </c>
      <c r="M538">
        <f t="shared" si="199"/>
        <v>-272844327.71480006</v>
      </c>
      <c r="N538">
        <f t="shared" si="200"/>
        <v>-477518736.95520002</v>
      </c>
      <c r="O538">
        <f t="shared" si="201"/>
        <v>-545064987.47680008</v>
      </c>
      <c r="P538">
        <f t="shared" si="202"/>
        <v>-598627936.37679994</v>
      </c>
      <c r="Q538">
        <f t="shared" si="203"/>
        <v>-700641924.05340004</v>
      </c>
      <c r="S538">
        <f t="shared" si="204"/>
        <v>13198025.197000002</v>
      </c>
      <c r="T538">
        <f t="shared" si="205"/>
        <v>-700145715.67079997</v>
      </c>
      <c r="U538">
        <f t="shared" si="206"/>
        <v>-600124899.14639997</v>
      </c>
      <c r="V538">
        <f t="shared" si="207"/>
        <v>-691064537.69379997</v>
      </c>
      <c r="W538">
        <f t="shared" si="208"/>
        <v>-891435079.16980004</v>
      </c>
      <c r="X538">
        <f t="shared" si="209"/>
        <v>-993933892.26180005</v>
      </c>
      <c r="Z538">
        <f t="shared" si="210"/>
        <v>15514413.292800002</v>
      </c>
      <c r="AA538">
        <f t="shared" si="211"/>
        <v>-415611708.49580002</v>
      </c>
      <c r="AB538">
        <f t="shared" si="212"/>
        <v>-722731061.33760011</v>
      </c>
      <c r="AC538">
        <f t="shared" si="213"/>
        <v>-953863728.08440006</v>
      </c>
      <c r="AD538">
        <f t="shared" si="214"/>
        <v>-1184242221.9628</v>
      </c>
      <c r="AE538">
        <f t="shared" si="215"/>
        <v>-1287225860.4702001</v>
      </c>
    </row>
    <row r="539" spans="1:31" x14ac:dyDescent="0.25">
      <c r="A539">
        <v>38.251343759999997</v>
      </c>
      <c r="B539">
        <v>119.633754</v>
      </c>
      <c r="C539">
        <v>56.804500580000003</v>
      </c>
      <c r="D539">
        <v>2.9383349399999998</v>
      </c>
      <c r="E539" t="b">
        <f t="shared" si="192"/>
        <v>0</v>
      </c>
      <c r="F539">
        <f t="shared" si="193"/>
        <v>-281.08416796</v>
      </c>
      <c r="G539">
        <f t="shared" si="194"/>
        <v>-565.10667086000001</v>
      </c>
      <c r="H539">
        <f t="shared" si="195"/>
        <v>-849.12917376000007</v>
      </c>
      <c r="I539">
        <f t="shared" si="196"/>
        <v>-1133.15167666</v>
      </c>
      <c r="J539">
        <f t="shared" si="197"/>
        <v>-1417.1741795600001</v>
      </c>
      <c r="L539">
        <f t="shared" si="198"/>
        <v>5935436.5788000003</v>
      </c>
      <c r="M539">
        <f t="shared" si="199"/>
        <v>-483464768.89120001</v>
      </c>
      <c r="N539">
        <f t="shared" si="200"/>
        <v>-836357872.87279999</v>
      </c>
      <c r="O539">
        <f t="shared" si="201"/>
        <v>-951024674.61120021</v>
      </c>
      <c r="P539">
        <f t="shared" si="202"/>
        <v>-1042499542.5272</v>
      </c>
      <c r="Q539">
        <f t="shared" si="203"/>
        <v>-1218769794.4216001</v>
      </c>
      <c r="S539">
        <f t="shared" si="204"/>
        <v>7198920.6030000001</v>
      </c>
      <c r="T539">
        <f t="shared" si="205"/>
        <v>-1226281475.7662001</v>
      </c>
      <c r="U539">
        <f t="shared" si="206"/>
        <v>-1051098407.7996</v>
      </c>
      <c r="V539">
        <f t="shared" si="207"/>
        <v>-1205763426.7392001</v>
      </c>
      <c r="W539">
        <f t="shared" si="208"/>
        <v>-1552417797.0242002</v>
      </c>
      <c r="X539">
        <f t="shared" si="209"/>
        <v>-1728952499.0632002</v>
      </c>
      <c r="Z539">
        <f t="shared" si="210"/>
        <v>8462404.6272</v>
      </c>
      <c r="AA539">
        <f t="shared" si="211"/>
        <v>-736440520.05519998</v>
      </c>
      <c r="AB539">
        <f t="shared" si="212"/>
        <v>-1265838942.7264001</v>
      </c>
      <c r="AC539">
        <f t="shared" si="213"/>
        <v>-1664293180.5696001</v>
      </c>
      <c r="AD539">
        <f t="shared" si="214"/>
        <v>-2062336051.5212002</v>
      </c>
      <c r="AE539">
        <f t="shared" si="215"/>
        <v>-2239135203.7048006</v>
      </c>
    </row>
    <row r="540" spans="1:31" x14ac:dyDescent="0.25">
      <c r="A540">
        <v>38.259892600000001</v>
      </c>
      <c r="B540">
        <v>118.69605869999999</v>
      </c>
      <c r="C540">
        <v>55.417339320000004</v>
      </c>
      <c r="D540">
        <v>0.97944498000000002</v>
      </c>
      <c r="E540" t="b">
        <f t="shared" si="192"/>
        <v>0</v>
      </c>
      <c r="F540">
        <f t="shared" si="193"/>
        <v>-276.10725162000006</v>
      </c>
      <c r="G540">
        <f t="shared" si="194"/>
        <v>-553.19394822000004</v>
      </c>
      <c r="H540">
        <f t="shared" si="195"/>
        <v>-830.28064482000002</v>
      </c>
      <c r="I540">
        <f t="shared" si="196"/>
        <v>-1107.3673414200002</v>
      </c>
      <c r="J540">
        <f t="shared" si="197"/>
        <v>-1384.4540380200001</v>
      </c>
      <c r="L540">
        <f t="shared" si="198"/>
        <v>1978478.8596000001</v>
      </c>
      <c r="M540">
        <f t="shared" si="199"/>
        <v>-474904472.78640014</v>
      </c>
      <c r="N540">
        <f t="shared" si="200"/>
        <v>-818727043.36559999</v>
      </c>
      <c r="O540">
        <f t="shared" si="201"/>
        <v>-929914322.19840014</v>
      </c>
      <c r="P540">
        <f t="shared" si="202"/>
        <v>-1018777954.1064003</v>
      </c>
      <c r="Q540">
        <f t="shared" si="203"/>
        <v>-1190630472.6972001</v>
      </c>
      <c r="S540">
        <f t="shared" si="204"/>
        <v>2399640.2010000004</v>
      </c>
      <c r="T540">
        <f t="shared" si="205"/>
        <v>-1200430867.6373999</v>
      </c>
      <c r="U540">
        <f t="shared" si="206"/>
        <v>-1028940743.6892</v>
      </c>
      <c r="V540">
        <f t="shared" si="207"/>
        <v>-1178998515.6444001</v>
      </c>
      <c r="W540">
        <f t="shared" si="208"/>
        <v>-1517093257.7454007</v>
      </c>
      <c r="X540">
        <f t="shared" si="209"/>
        <v>-1689033926.3843999</v>
      </c>
      <c r="Z540">
        <f t="shared" si="210"/>
        <v>2820801.5423999997</v>
      </c>
      <c r="AA540">
        <f t="shared" si="211"/>
        <v>-723400999.24440014</v>
      </c>
      <c r="AB540">
        <f t="shared" si="212"/>
        <v>-1239154444.0128002</v>
      </c>
      <c r="AC540">
        <f t="shared" si="213"/>
        <v>-1627350063.8472002</v>
      </c>
      <c r="AD540">
        <f t="shared" si="214"/>
        <v>-2015408561.3844006</v>
      </c>
      <c r="AE540">
        <f t="shared" si="215"/>
        <v>-2187437380.0716</v>
      </c>
    </row>
    <row r="541" spans="1:31" x14ac:dyDescent="0.25">
      <c r="A541">
        <v>38.262713089999998</v>
      </c>
      <c r="B541">
        <v>119.10730650000001</v>
      </c>
      <c r="C541">
        <v>37.640228270000001</v>
      </c>
      <c r="D541">
        <v>13.75140953</v>
      </c>
      <c r="E541" t="b">
        <f t="shared" si="192"/>
        <v>0</v>
      </c>
      <c r="F541">
        <f t="shared" si="193"/>
        <v>-174.44973182000001</v>
      </c>
      <c r="G541">
        <f t="shared" si="194"/>
        <v>-362.65087317000001</v>
      </c>
      <c r="H541">
        <f t="shared" si="195"/>
        <v>-550.85201452000001</v>
      </c>
      <c r="I541">
        <f t="shared" si="196"/>
        <v>-739.05315586999996</v>
      </c>
      <c r="J541">
        <f t="shared" si="197"/>
        <v>-927.25429722000001</v>
      </c>
      <c r="L541">
        <f t="shared" si="198"/>
        <v>27777847.250599999</v>
      </c>
      <c r="M541">
        <f t="shared" si="199"/>
        <v>-300053538.73040009</v>
      </c>
      <c r="N541">
        <f t="shared" si="200"/>
        <v>-536723292.29159999</v>
      </c>
      <c r="O541">
        <f t="shared" si="201"/>
        <v>-616954256.26240003</v>
      </c>
      <c r="P541">
        <f t="shared" si="202"/>
        <v>-679928903.40039992</v>
      </c>
      <c r="Q541">
        <f t="shared" si="203"/>
        <v>-797438695.6092</v>
      </c>
      <c r="S541">
        <f t="shared" si="204"/>
        <v>33690953.348499998</v>
      </c>
      <c r="T541">
        <f t="shared" si="205"/>
        <v>-786952394.77890003</v>
      </c>
      <c r="U541">
        <f t="shared" si="206"/>
        <v>-674530624.09619999</v>
      </c>
      <c r="V541">
        <f t="shared" si="207"/>
        <v>-782209860.61839998</v>
      </c>
      <c r="W541">
        <f t="shared" si="208"/>
        <v>-1012502823.5419</v>
      </c>
      <c r="X541">
        <f t="shared" si="209"/>
        <v>-1131250242.6084001</v>
      </c>
      <c r="Z541">
        <f t="shared" si="210"/>
        <v>39604059.446399994</v>
      </c>
      <c r="AA541">
        <f t="shared" si="211"/>
        <v>-457058297.3684001</v>
      </c>
      <c r="AB541">
        <f t="shared" si="212"/>
        <v>-812337955.90080011</v>
      </c>
      <c r="AC541">
        <f t="shared" si="213"/>
        <v>-1079669948.4591999</v>
      </c>
      <c r="AD541">
        <f t="shared" si="214"/>
        <v>-1345076743.6834002</v>
      </c>
      <c r="AE541">
        <f t="shared" si="215"/>
        <v>-1465061789.6076002</v>
      </c>
    </row>
    <row r="542" spans="1:31" x14ac:dyDescent="0.25">
      <c r="A542">
        <v>38.265715499999999</v>
      </c>
      <c r="B542">
        <v>90.913355879999997</v>
      </c>
      <c r="C542">
        <v>20.624670030000001</v>
      </c>
      <c r="D542">
        <v>11.57835674</v>
      </c>
      <c r="E542" t="b">
        <f t="shared" si="192"/>
        <v>0</v>
      </c>
      <c r="F542">
        <f t="shared" si="193"/>
        <v>-91.544993410000004</v>
      </c>
      <c r="G542">
        <f t="shared" si="194"/>
        <v>-194.66834356000001</v>
      </c>
      <c r="H542">
        <f t="shared" si="195"/>
        <v>-297.79169371</v>
      </c>
      <c r="I542">
        <f t="shared" si="196"/>
        <v>-400.91504386000003</v>
      </c>
      <c r="J542">
        <f t="shared" si="197"/>
        <v>-504.03839401000005</v>
      </c>
      <c r="L542">
        <f t="shared" si="198"/>
        <v>23388280.614800002</v>
      </c>
      <c r="M542">
        <f t="shared" si="199"/>
        <v>-157457388.66520002</v>
      </c>
      <c r="N542">
        <f t="shared" si="200"/>
        <v>-288109148.46880001</v>
      </c>
      <c r="O542">
        <f t="shared" si="201"/>
        <v>-333526696.95520002</v>
      </c>
      <c r="P542">
        <f t="shared" si="202"/>
        <v>-368841840.35119998</v>
      </c>
      <c r="Q542">
        <f t="shared" si="203"/>
        <v>-433473018.84860003</v>
      </c>
      <c r="S542">
        <f t="shared" si="204"/>
        <v>28366974.013000004</v>
      </c>
      <c r="T542">
        <f t="shared" si="205"/>
        <v>-422430305.52520001</v>
      </c>
      <c r="U542">
        <f t="shared" si="206"/>
        <v>-362083119.02160001</v>
      </c>
      <c r="V542">
        <f t="shared" si="207"/>
        <v>-422864205.06819993</v>
      </c>
      <c r="W542">
        <f t="shared" si="208"/>
        <v>-549253610.08820009</v>
      </c>
      <c r="X542">
        <f t="shared" si="209"/>
        <v>-614926840.69220006</v>
      </c>
      <c r="Z542">
        <f t="shared" si="210"/>
        <v>33345667.411199998</v>
      </c>
      <c r="AA542">
        <f t="shared" si="211"/>
        <v>-239847882.7342</v>
      </c>
      <c r="AB542">
        <f t="shared" si="212"/>
        <v>-436057089.57440007</v>
      </c>
      <c r="AC542">
        <f t="shared" si="213"/>
        <v>-583671719.67159998</v>
      </c>
      <c r="AD542">
        <f t="shared" si="214"/>
        <v>-729665379.82520008</v>
      </c>
      <c r="AE542">
        <f t="shared" si="215"/>
        <v>-796380662.5358001</v>
      </c>
    </row>
    <row r="543" spans="1:31" x14ac:dyDescent="0.25">
      <c r="A543">
        <v>38.289458420000003</v>
      </c>
      <c r="B543">
        <v>119.2881088</v>
      </c>
      <c r="C543">
        <v>39.583812709999997</v>
      </c>
      <c r="D543">
        <v>6.1264290800000003</v>
      </c>
      <c r="E543" t="b">
        <f t="shared" si="192"/>
        <v>0</v>
      </c>
      <c r="F543">
        <f t="shared" si="193"/>
        <v>-191.79263446999997</v>
      </c>
      <c r="G543">
        <f t="shared" si="194"/>
        <v>-389.71169801999997</v>
      </c>
      <c r="H543">
        <f t="shared" si="195"/>
        <v>-587.63076157</v>
      </c>
      <c r="I543">
        <f t="shared" si="196"/>
        <v>-785.54982511999992</v>
      </c>
      <c r="J543">
        <f t="shared" si="197"/>
        <v>-983.46888866999996</v>
      </c>
      <c r="L543">
        <f t="shared" si="198"/>
        <v>12375386.741599999</v>
      </c>
      <c r="M543">
        <f t="shared" si="199"/>
        <v>-329883331.28839999</v>
      </c>
      <c r="N543">
        <f t="shared" si="200"/>
        <v>-576773313.06959999</v>
      </c>
      <c r="O543">
        <f t="shared" si="201"/>
        <v>-658146452.95840013</v>
      </c>
      <c r="P543">
        <f t="shared" si="202"/>
        <v>-722705839.11039984</v>
      </c>
      <c r="Q543">
        <f t="shared" si="203"/>
        <v>-845783244.25619996</v>
      </c>
      <c r="S543">
        <f t="shared" si="204"/>
        <v>15009751.246000001</v>
      </c>
      <c r="T543">
        <f t="shared" si="205"/>
        <v>-845674384.7033999</v>
      </c>
      <c r="U543">
        <f t="shared" si="206"/>
        <v>-724863758.31719995</v>
      </c>
      <c r="V543">
        <f t="shared" si="207"/>
        <v>-834435681.42940009</v>
      </c>
      <c r="W543">
        <f t="shared" si="208"/>
        <v>-1076203260.4143999</v>
      </c>
      <c r="X543">
        <f t="shared" si="209"/>
        <v>-1199832044.1773999</v>
      </c>
      <c r="Z543">
        <f t="shared" si="210"/>
        <v>17644115.750399999</v>
      </c>
      <c r="AA543">
        <f t="shared" si="211"/>
        <v>-502496702.31139994</v>
      </c>
      <c r="AB543">
        <f t="shared" si="212"/>
        <v>-872954203.56480002</v>
      </c>
      <c r="AC543">
        <f t="shared" si="213"/>
        <v>-1151756292.6772001</v>
      </c>
      <c r="AD543">
        <f t="shared" si="214"/>
        <v>-1429700681.7183998</v>
      </c>
      <c r="AE543">
        <f t="shared" si="215"/>
        <v>-1553880844.0985999</v>
      </c>
    </row>
    <row r="544" spans="1:31" x14ac:dyDescent="0.25">
      <c r="A544">
        <v>38.289542429999997</v>
      </c>
      <c r="B544">
        <v>90.731894319999995</v>
      </c>
      <c r="C544">
        <v>20.624670030000001</v>
      </c>
      <c r="D544">
        <v>3.6794528999999998</v>
      </c>
      <c r="E544" t="b">
        <f t="shared" si="192"/>
        <v>0</v>
      </c>
      <c r="F544">
        <f t="shared" si="193"/>
        <v>-99.443897250000006</v>
      </c>
      <c r="G544">
        <f t="shared" si="194"/>
        <v>-202.56724740000001</v>
      </c>
      <c r="H544">
        <f t="shared" si="195"/>
        <v>-305.69059755000001</v>
      </c>
      <c r="I544">
        <f t="shared" si="196"/>
        <v>-408.81394770000003</v>
      </c>
      <c r="J544">
        <f t="shared" si="197"/>
        <v>-511.93729785000005</v>
      </c>
      <c r="L544">
        <f t="shared" si="198"/>
        <v>7432494.858</v>
      </c>
      <c r="M544">
        <f t="shared" si="199"/>
        <v>-171043503.27000001</v>
      </c>
      <c r="N544">
        <f t="shared" si="200"/>
        <v>-299799526.15200001</v>
      </c>
      <c r="O544">
        <f t="shared" si="201"/>
        <v>-342373469.25600004</v>
      </c>
      <c r="P544">
        <f t="shared" si="202"/>
        <v>-376108831.884</v>
      </c>
      <c r="Q544">
        <f t="shared" si="203"/>
        <v>-440266076.15100002</v>
      </c>
      <c r="S544">
        <f t="shared" si="204"/>
        <v>9014659.6050000004</v>
      </c>
      <c r="T544">
        <f t="shared" si="205"/>
        <v>-439570926.85799998</v>
      </c>
      <c r="U544">
        <f t="shared" si="206"/>
        <v>-376775080.16399997</v>
      </c>
      <c r="V544">
        <f t="shared" si="207"/>
        <v>-434080648.52099997</v>
      </c>
      <c r="W544">
        <f t="shared" si="208"/>
        <v>-560075108.3490001</v>
      </c>
      <c r="X544">
        <f t="shared" si="209"/>
        <v>-624563503.37699997</v>
      </c>
      <c r="Z544">
        <f t="shared" si="210"/>
        <v>10596824.352</v>
      </c>
      <c r="AA544">
        <f t="shared" si="211"/>
        <v>-260543010.79500002</v>
      </c>
      <c r="AB544">
        <f t="shared" si="212"/>
        <v>-453750634.17600006</v>
      </c>
      <c r="AC544">
        <f t="shared" si="213"/>
        <v>-599153571.19799995</v>
      </c>
      <c r="AD544">
        <f t="shared" si="214"/>
        <v>-744041384.81400013</v>
      </c>
      <c r="AE544">
        <f t="shared" si="215"/>
        <v>-808860930.60300004</v>
      </c>
    </row>
    <row r="545" spans="1:31" x14ac:dyDescent="0.25">
      <c r="A545">
        <v>38.295955970000001</v>
      </c>
      <c r="B545">
        <v>116.8847896</v>
      </c>
      <c r="C545">
        <v>19.537851329999999</v>
      </c>
      <c r="D545">
        <v>12.39244747</v>
      </c>
      <c r="E545" t="b">
        <f t="shared" si="192"/>
        <v>0</v>
      </c>
      <c r="F545">
        <f t="shared" si="193"/>
        <v>-85.296809179999997</v>
      </c>
      <c r="G545">
        <f t="shared" si="194"/>
        <v>-182.98606582999997</v>
      </c>
      <c r="H545">
        <f t="shared" si="195"/>
        <v>-280.67532247999998</v>
      </c>
      <c r="I545">
        <f t="shared" si="196"/>
        <v>-378.36457912999998</v>
      </c>
      <c r="J545">
        <f t="shared" si="197"/>
        <v>-476.05383577999999</v>
      </c>
      <c r="L545">
        <f t="shared" si="198"/>
        <v>25032743.889400002</v>
      </c>
      <c r="M545">
        <f t="shared" si="199"/>
        <v>-146710511.78960001</v>
      </c>
      <c r="N545">
        <f t="shared" si="200"/>
        <v>-270819377.42839998</v>
      </c>
      <c r="O545">
        <f t="shared" si="201"/>
        <v>-314356361.17759997</v>
      </c>
      <c r="P545">
        <f t="shared" si="202"/>
        <v>-348095412.79959995</v>
      </c>
      <c r="Q545">
        <f t="shared" si="203"/>
        <v>-409406298.77079999</v>
      </c>
      <c r="S545">
        <f t="shared" si="204"/>
        <v>30361496.301500004</v>
      </c>
      <c r="T545">
        <f t="shared" si="205"/>
        <v>-397079762.85109997</v>
      </c>
      <c r="U545">
        <f t="shared" si="206"/>
        <v>-340354082.44379997</v>
      </c>
      <c r="V545">
        <f t="shared" si="207"/>
        <v>-398558957.92159992</v>
      </c>
      <c r="W545">
        <f t="shared" si="208"/>
        <v>-518359473.40810001</v>
      </c>
      <c r="X545">
        <f t="shared" si="209"/>
        <v>-580785679.6516</v>
      </c>
      <c r="Z545">
        <f t="shared" si="210"/>
        <v>35690248.713600002</v>
      </c>
      <c r="AA545">
        <f t="shared" si="211"/>
        <v>-223477640.05159998</v>
      </c>
      <c r="AB545">
        <f t="shared" si="212"/>
        <v>-409888787.45920002</v>
      </c>
      <c r="AC545">
        <f t="shared" si="213"/>
        <v>-550123632.06079996</v>
      </c>
      <c r="AD545">
        <f t="shared" si="214"/>
        <v>-688623534.01660001</v>
      </c>
      <c r="AE545">
        <f t="shared" si="215"/>
        <v>-752165060.53240001</v>
      </c>
    </row>
    <row r="546" spans="1:31" x14ac:dyDescent="0.25">
      <c r="A546">
        <v>38.296747269999997</v>
      </c>
      <c r="B546">
        <v>119.6419174</v>
      </c>
      <c r="C546">
        <v>28.843961719999999</v>
      </c>
      <c r="D546">
        <v>4.794384</v>
      </c>
      <c r="E546" t="b">
        <f t="shared" si="192"/>
        <v>0</v>
      </c>
      <c r="F546">
        <f t="shared" si="193"/>
        <v>-139.42542459999999</v>
      </c>
      <c r="G546">
        <f t="shared" si="194"/>
        <v>-283.64523320000001</v>
      </c>
      <c r="H546">
        <f t="shared" si="195"/>
        <v>-427.86504180000003</v>
      </c>
      <c r="I546">
        <f t="shared" si="196"/>
        <v>-572.08485039999994</v>
      </c>
      <c r="J546">
        <f t="shared" si="197"/>
        <v>-716.3046589999999</v>
      </c>
      <c r="L546">
        <f t="shared" si="198"/>
        <v>9684655.6799999997</v>
      </c>
      <c r="M546">
        <f t="shared" si="199"/>
        <v>-239811730.31200001</v>
      </c>
      <c r="N546">
        <f t="shared" si="200"/>
        <v>-419794945.13599998</v>
      </c>
      <c r="O546">
        <f t="shared" si="201"/>
        <v>-479208846.81600004</v>
      </c>
      <c r="P546">
        <f t="shared" si="202"/>
        <v>-526318062.36799991</v>
      </c>
      <c r="Q546">
        <f t="shared" si="203"/>
        <v>-616022006.73999989</v>
      </c>
      <c r="S546">
        <f t="shared" si="204"/>
        <v>11746240.800000001</v>
      </c>
      <c r="T546">
        <f t="shared" si="205"/>
        <v>-615510156.04399991</v>
      </c>
      <c r="U546">
        <f t="shared" si="206"/>
        <v>-527580133.75199991</v>
      </c>
      <c r="V546">
        <f t="shared" si="207"/>
        <v>-607568359.35599995</v>
      </c>
      <c r="W546">
        <f t="shared" si="208"/>
        <v>-783756245.04799998</v>
      </c>
      <c r="X546">
        <f t="shared" si="209"/>
        <v>-873891683.97999978</v>
      </c>
      <c r="Z546">
        <f t="shared" si="210"/>
        <v>13807825.92</v>
      </c>
      <c r="AA546">
        <f t="shared" si="211"/>
        <v>-365294612.45200002</v>
      </c>
      <c r="AB546">
        <f t="shared" si="212"/>
        <v>-635365322.36800003</v>
      </c>
      <c r="AC546">
        <f t="shared" si="213"/>
        <v>-838615481.92799997</v>
      </c>
      <c r="AD546">
        <f t="shared" si="214"/>
        <v>-1041194427.728</v>
      </c>
      <c r="AE546">
        <f t="shared" si="215"/>
        <v>-1131761361.2199998</v>
      </c>
    </row>
    <row r="547" spans="1:31" x14ac:dyDescent="0.25">
      <c r="A547">
        <v>38.298480509999997</v>
      </c>
      <c r="B547">
        <v>90.435417950000001</v>
      </c>
      <c r="C547">
        <v>4.3951144199999996</v>
      </c>
      <c r="D547">
        <v>1.593472</v>
      </c>
      <c r="E547" t="b">
        <f t="shared" si="192"/>
        <v>0</v>
      </c>
      <c r="F547">
        <f t="shared" si="193"/>
        <v>-20.382100099999999</v>
      </c>
      <c r="G547">
        <f t="shared" si="194"/>
        <v>-42.357672199999996</v>
      </c>
      <c r="H547">
        <f t="shared" si="195"/>
        <v>-64.33324429999999</v>
      </c>
      <c r="I547">
        <f t="shared" si="196"/>
        <v>-86.308816399999984</v>
      </c>
      <c r="J547">
        <f t="shared" si="197"/>
        <v>-108.28438849999999</v>
      </c>
      <c r="L547">
        <f t="shared" si="198"/>
        <v>3218813.44</v>
      </c>
      <c r="M547">
        <f t="shared" si="199"/>
        <v>-35057212.171999998</v>
      </c>
      <c r="N547">
        <f t="shared" si="200"/>
        <v>-62689354.855999991</v>
      </c>
      <c r="O547">
        <f t="shared" si="201"/>
        <v>-72053233.615999997</v>
      </c>
      <c r="P547">
        <f t="shared" si="202"/>
        <v>-79404111.08799997</v>
      </c>
      <c r="Q547">
        <f t="shared" si="203"/>
        <v>-93124574.109999985</v>
      </c>
      <c r="S547">
        <f t="shared" si="204"/>
        <v>3904006.4000000004</v>
      </c>
      <c r="T547">
        <f t="shared" si="205"/>
        <v>-91916148.67399998</v>
      </c>
      <c r="U547">
        <f t="shared" si="206"/>
        <v>-78785270.291999981</v>
      </c>
      <c r="V547">
        <f t="shared" si="207"/>
        <v>-91353206.905999973</v>
      </c>
      <c r="W547">
        <f t="shared" si="208"/>
        <v>-118243078.46799998</v>
      </c>
      <c r="X547">
        <f t="shared" si="209"/>
        <v>-132106953.96999998</v>
      </c>
      <c r="Z547">
        <f t="shared" si="210"/>
        <v>4589199.3599999994</v>
      </c>
      <c r="AA547">
        <f t="shared" si="211"/>
        <v>-53401102.261999995</v>
      </c>
      <c r="AB547">
        <f t="shared" si="212"/>
        <v>-94881185.728</v>
      </c>
      <c r="AC547">
        <f t="shared" si="213"/>
        <v>-126093158.82799998</v>
      </c>
      <c r="AD547">
        <f t="shared" si="214"/>
        <v>-157082045.84799996</v>
      </c>
      <c r="AE547">
        <f t="shared" si="215"/>
        <v>-171089333.82999998</v>
      </c>
    </row>
    <row r="548" spans="1:31" x14ac:dyDescent="0.25">
      <c r="A548">
        <v>38.303885620000003</v>
      </c>
      <c r="B548">
        <v>90.846839040000006</v>
      </c>
      <c r="C548">
        <v>20.624670030000001</v>
      </c>
      <c r="D548">
        <v>0.67244499999999996</v>
      </c>
      <c r="E548" t="b">
        <f t="shared" si="192"/>
        <v>0</v>
      </c>
      <c r="F548">
        <f t="shared" si="193"/>
        <v>-102.45090515000001</v>
      </c>
      <c r="G548">
        <f t="shared" si="194"/>
        <v>-205.5742553</v>
      </c>
      <c r="H548">
        <f t="shared" si="195"/>
        <v>-308.69760545000003</v>
      </c>
      <c r="I548">
        <f t="shared" si="196"/>
        <v>-411.82095560000005</v>
      </c>
      <c r="J548">
        <f t="shared" si="197"/>
        <v>-514.94430575000001</v>
      </c>
      <c r="L548">
        <f t="shared" si="198"/>
        <v>1358338.9</v>
      </c>
      <c r="M548">
        <f t="shared" si="199"/>
        <v>-176215556.85800004</v>
      </c>
      <c r="N548">
        <f t="shared" si="200"/>
        <v>-304249897.84400004</v>
      </c>
      <c r="O548">
        <f t="shared" si="201"/>
        <v>-345741318.10400009</v>
      </c>
      <c r="P548">
        <f t="shared" si="202"/>
        <v>-378875279.15200001</v>
      </c>
      <c r="Q548">
        <f t="shared" si="203"/>
        <v>-442852102.94499999</v>
      </c>
      <c r="S548">
        <f t="shared" si="204"/>
        <v>1647490.2500000002</v>
      </c>
      <c r="T548">
        <f t="shared" si="205"/>
        <v>-446096134.00099999</v>
      </c>
      <c r="U548">
        <f t="shared" si="206"/>
        <v>-382368114.85799998</v>
      </c>
      <c r="V548">
        <f t="shared" si="207"/>
        <v>-438350599.73900002</v>
      </c>
      <c r="W548">
        <f t="shared" si="208"/>
        <v>-564194709.17200005</v>
      </c>
      <c r="X548">
        <f t="shared" si="209"/>
        <v>-628232053.01499999</v>
      </c>
      <c r="Z548">
        <f t="shared" si="210"/>
        <v>1936641.5999999999</v>
      </c>
      <c r="AA548">
        <f t="shared" si="211"/>
        <v>-268421371.49300003</v>
      </c>
      <c r="AB548">
        <f t="shared" si="212"/>
        <v>-460486331.8720001</v>
      </c>
      <c r="AC548">
        <f t="shared" si="213"/>
        <v>-605047306.68200004</v>
      </c>
      <c r="AD548">
        <f t="shared" si="214"/>
        <v>-749514139.19200003</v>
      </c>
      <c r="AE548">
        <f t="shared" si="215"/>
        <v>-813612003.08500004</v>
      </c>
    </row>
    <row r="549" spans="1:31" x14ac:dyDescent="0.25">
      <c r="A549">
        <v>38.308150509999997</v>
      </c>
      <c r="B549">
        <v>119.11515780000001</v>
      </c>
      <c r="C549">
        <v>38.970470429999999</v>
      </c>
      <c r="D549">
        <v>6.3663930899999999</v>
      </c>
      <c r="E549" t="b">
        <f t="shared" si="192"/>
        <v>0</v>
      </c>
      <c r="F549">
        <f t="shared" si="193"/>
        <v>-188.48595906</v>
      </c>
      <c r="G549">
        <f t="shared" si="194"/>
        <v>-383.33831121000003</v>
      </c>
      <c r="H549">
        <f t="shared" si="195"/>
        <v>-578.19066336000003</v>
      </c>
      <c r="I549">
        <f t="shared" si="196"/>
        <v>-773.04301551000003</v>
      </c>
      <c r="J549">
        <f t="shared" si="197"/>
        <v>-967.89536766000003</v>
      </c>
      <c r="L549">
        <f t="shared" si="198"/>
        <v>12860114.0418</v>
      </c>
      <c r="M549">
        <f t="shared" si="199"/>
        <v>-324195849.58320004</v>
      </c>
      <c r="N549">
        <f t="shared" si="200"/>
        <v>-567340700.59080005</v>
      </c>
      <c r="O549">
        <f t="shared" si="201"/>
        <v>-647573542.96320009</v>
      </c>
      <c r="P549">
        <f t="shared" si="202"/>
        <v>-711199574.26919997</v>
      </c>
      <c r="Q549">
        <f t="shared" si="203"/>
        <v>-832390016.18760002</v>
      </c>
      <c r="S549">
        <f t="shared" si="204"/>
        <v>15597663.070500001</v>
      </c>
      <c r="T549">
        <f t="shared" si="205"/>
        <v>-831844135.32570004</v>
      </c>
      <c r="U549">
        <f t="shared" si="206"/>
        <v>-713009258.8506</v>
      </c>
      <c r="V549">
        <f t="shared" si="207"/>
        <v>-821030741.97119999</v>
      </c>
      <c r="W549">
        <f t="shared" si="208"/>
        <v>-1059068931.2487</v>
      </c>
      <c r="X549">
        <f t="shared" si="209"/>
        <v>-1180832348.5452001</v>
      </c>
      <c r="Z549">
        <f t="shared" si="210"/>
        <v>18335212.099199999</v>
      </c>
      <c r="AA549">
        <f t="shared" si="211"/>
        <v>-493833212.73720002</v>
      </c>
      <c r="AB549">
        <f t="shared" si="212"/>
        <v>-858677817.1104002</v>
      </c>
      <c r="AC549">
        <f t="shared" si="213"/>
        <v>-1133253700.1856</v>
      </c>
      <c r="AD549">
        <f t="shared" si="214"/>
        <v>-1406938288.2282</v>
      </c>
      <c r="AE549">
        <f t="shared" si="215"/>
        <v>-1529274680.9028003</v>
      </c>
    </row>
    <row r="550" spans="1:31" x14ac:dyDescent="0.25">
      <c r="A550">
        <v>38.308268609999999</v>
      </c>
      <c r="B550">
        <v>120.3497137</v>
      </c>
      <c r="C550">
        <v>8.1576242400000005</v>
      </c>
      <c r="D550">
        <v>12.132841109999999</v>
      </c>
      <c r="E550" t="b">
        <f t="shared" si="192"/>
        <v>1</v>
      </c>
      <c r="F550">
        <f t="shared" si="193"/>
        <v>-28.655280090000005</v>
      </c>
      <c r="G550">
        <f t="shared" si="194"/>
        <v>-69.443401290000011</v>
      </c>
      <c r="H550">
        <f t="shared" si="195"/>
        <v>-110.23152249</v>
      </c>
      <c r="I550">
        <f t="shared" si="196"/>
        <v>-151.01964369000004</v>
      </c>
      <c r="J550">
        <f t="shared" si="197"/>
        <v>-191.80776489000002</v>
      </c>
      <c r="L550">
        <f t="shared" si="198"/>
        <v>16478400.9648</v>
      </c>
      <c r="M550">
        <f t="shared" si="199"/>
        <v>-49287081.754800014</v>
      </c>
      <c r="N550">
        <f t="shared" si="200"/>
        <v>-102776233.90920001</v>
      </c>
      <c r="O550">
        <f t="shared" si="201"/>
        <v>-123459305.18880002</v>
      </c>
      <c r="P550">
        <f t="shared" si="202"/>
        <v>-138938072.19480002</v>
      </c>
      <c r="Q550">
        <f t="shared" si="203"/>
        <v>-164954677.80540001</v>
      </c>
      <c r="S550">
        <f t="shared" si="204"/>
        <v>19986179.388</v>
      </c>
      <c r="T550">
        <f t="shared" si="205"/>
        <v>-150692180.79930001</v>
      </c>
      <c r="U550">
        <f t="shared" si="206"/>
        <v>-129164726.39940001</v>
      </c>
      <c r="V550">
        <f t="shared" si="207"/>
        <v>-156528761.93580002</v>
      </c>
      <c r="W550">
        <f t="shared" si="208"/>
        <v>-206896911.85530004</v>
      </c>
      <c r="X550">
        <f t="shared" si="209"/>
        <v>-234005473.16580001</v>
      </c>
      <c r="Z550">
        <f t="shared" si="210"/>
        <v>23493957.8112</v>
      </c>
      <c r="AA550">
        <f t="shared" si="211"/>
        <v>-75076833.835800007</v>
      </c>
      <c r="AB550">
        <f t="shared" si="212"/>
        <v>-155553218.88960004</v>
      </c>
      <c r="AC550">
        <f t="shared" si="213"/>
        <v>-216053784.08040002</v>
      </c>
      <c r="AD550">
        <f t="shared" si="214"/>
        <v>-274855751.51580006</v>
      </c>
      <c r="AE550">
        <f t="shared" si="215"/>
        <v>-303056268.52620006</v>
      </c>
    </row>
    <row r="551" spans="1:31" x14ac:dyDescent="0.25">
      <c r="A551">
        <v>38.311339459999999</v>
      </c>
      <c r="B551">
        <v>118.6459651</v>
      </c>
      <c r="C551">
        <v>14.54132557</v>
      </c>
      <c r="D551">
        <v>3.6729190300000001</v>
      </c>
      <c r="E551" t="b">
        <f t="shared" si="192"/>
        <v>0</v>
      </c>
      <c r="F551">
        <f t="shared" si="193"/>
        <v>-69.033708820000001</v>
      </c>
      <c r="G551">
        <f t="shared" si="194"/>
        <v>-141.74033667</v>
      </c>
      <c r="H551">
        <f t="shared" si="195"/>
        <v>-214.44696451999999</v>
      </c>
      <c r="I551">
        <f t="shared" si="196"/>
        <v>-287.15359237000001</v>
      </c>
      <c r="J551">
        <f t="shared" si="197"/>
        <v>-359.86022021999997</v>
      </c>
      <c r="L551">
        <f t="shared" si="198"/>
        <v>7419296.4406000003</v>
      </c>
      <c r="M551">
        <f t="shared" si="199"/>
        <v>-118737979.17040002</v>
      </c>
      <c r="N551">
        <f t="shared" si="200"/>
        <v>-209775698.27160001</v>
      </c>
      <c r="O551">
        <f t="shared" si="201"/>
        <v>-240180600.2624</v>
      </c>
      <c r="P551">
        <f t="shared" si="202"/>
        <v>-264181304.9804</v>
      </c>
      <c r="Q551">
        <f t="shared" si="203"/>
        <v>-309479789.38919997</v>
      </c>
      <c r="S551">
        <f t="shared" si="204"/>
        <v>8998651.6235000007</v>
      </c>
      <c r="T551">
        <f t="shared" si="205"/>
        <v>-307576530.57390004</v>
      </c>
      <c r="U551">
        <f t="shared" si="206"/>
        <v>-263637026.2062</v>
      </c>
      <c r="V551">
        <f t="shared" si="207"/>
        <v>-304514689.61839998</v>
      </c>
      <c r="W551">
        <f t="shared" si="208"/>
        <v>-393400421.54690003</v>
      </c>
      <c r="X551">
        <f t="shared" si="209"/>
        <v>-439029468.66839993</v>
      </c>
      <c r="Z551">
        <f t="shared" si="210"/>
        <v>10578006.806400001</v>
      </c>
      <c r="AA551">
        <f t="shared" si="211"/>
        <v>-180868317.10840002</v>
      </c>
      <c r="AB551">
        <f t="shared" si="212"/>
        <v>-317498354.14080006</v>
      </c>
      <c r="AC551">
        <f t="shared" si="213"/>
        <v>-420316050.45919997</v>
      </c>
      <c r="AD551">
        <f t="shared" si="214"/>
        <v>-522619538.11340004</v>
      </c>
      <c r="AE551">
        <f t="shared" si="215"/>
        <v>-568579147.94760001</v>
      </c>
    </row>
    <row r="552" spans="1:31" x14ac:dyDescent="0.25">
      <c r="A552">
        <v>38.327613509999999</v>
      </c>
      <c r="B552">
        <v>90.665266090000003</v>
      </c>
      <c r="C552">
        <v>20.624670030000001</v>
      </c>
      <c r="D552">
        <v>3.4899931</v>
      </c>
      <c r="E552" t="b">
        <f t="shared" si="192"/>
        <v>0</v>
      </c>
      <c r="F552">
        <f t="shared" si="193"/>
        <v>-99.633357050000001</v>
      </c>
      <c r="G552">
        <f t="shared" si="194"/>
        <v>-202.75670720000002</v>
      </c>
      <c r="H552">
        <f t="shared" si="195"/>
        <v>-305.88005735000002</v>
      </c>
      <c r="I552">
        <f t="shared" si="196"/>
        <v>-409.00340750000004</v>
      </c>
      <c r="J552">
        <f t="shared" si="197"/>
        <v>-512.12675765000006</v>
      </c>
      <c r="L552">
        <f t="shared" si="198"/>
        <v>7049786.0619999999</v>
      </c>
      <c r="M552">
        <f t="shared" si="199"/>
        <v>-171369374.12600002</v>
      </c>
      <c r="N552">
        <f t="shared" si="200"/>
        <v>-300079926.65600002</v>
      </c>
      <c r="O552">
        <f t="shared" si="201"/>
        <v>-342585664.23200005</v>
      </c>
      <c r="P552">
        <f t="shared" si="202"/>
        <v>-376283134.90000004</v>
      </c>
      <c r="Q552">
        <f t="shared" si="203"/>
        <v>-440429011.579</v>
      </c>
      <c r="S552">
        <f t="shared" si="204"/>
        <v>8550483.0950000007</v>
      </c>
      <c r="T552">
        <f t="shared" si="205"/>
        <v>-439982054.62400001</v>
      </c>
      <c r="U552">
        <f t="shared" si="206"/>
        <v>-377127475.39200002</v>
      </c>
      <c r="V552">
        <f t="shared" si="207"/>
        <v>-434349681.43700004</v>
      </c>
      <c r="W552">
        <f t="shared" si="208"/>
        <v>-560334668.2750001</v>
      </c>
      <c r="X552">
        <f t="shared" si="209"/>
        <v>-624794644.33300006</v>
      </c>
      <c r="Z552">
        <f t="shared" si="210"/>
        <v>10051180.128</v>
      </c>
      <c r="AA552">
        <f t="shared" si="211"/>
        <v>-261039395.47100002</v>
      </c>
      <c r="AB552">
        <f t="shared" si="212"/>
        <v>-454175024.12800008</v>
      </c>
      <c r="AC552">
        <f t="shared" si="213"/>
        <v>-599524912.40600002</v>
      </c>
      <c r="AD552">
        <f t="shared" si="214"/>
        <v>-744386201.6500001</v>
      </c>
      <c r="AE552">
        <f t="shared" si="215"/>
        <v>-809160277.08700013</v>
      </c>
    </row>
    <row r="553" spans="1:31" x14ac:dyDescent="0.25">
      <c r="A553">
        <v>38.328453179999997</v>
      </c>
      <c r="B553">
        <v>120.1769888</v>
      </c>
      <c r="C553">
        <v>12.584490779999999</v>
      </c>
      <c r="D553">
        <v>36.533302310000003</v>
      </c>
      <c r="E553" t="b">
        <f t="shared" si="192"/>
        <v>1</v>
      </c>
      <c r="F553">
        <f t="shared" si="193"/>
        <v>-26.38915158999999</v>
      </c>
      <c r="G553">
        <f t="shared" si="194"/>
        <v>-89.311605489999977</v>
      </c>
      <c r="H553">
        <f t="shared" si="195"/>
        <v>-152.23405938999997</v>
      </c>
      <c r="I553">
        <f t="shared" si="196"/>
        <v>-215.15651328999996</v>
      </c>
      <c r="J553">
        <f t="shared" si="197"/>
        <v>-278.07896718999996</v>
      </c>
      <c r="L553">
        <f t="shared" si="198"/>
        <v>25420671.375599999</v>
      </c>
      <c r="M553">
        <f t="shared" si="199"/>
        <v>-45389340.734799989</v>
      </c>
      <c r="N553">
        <f t="shared" si="200"/>
        <v>-132181176.12519997</v>
      </c>
      <c r="O553">
        <f t="shared" si="201"/>
        <v>-170502146.51679996</v>
      </c>
      <c r="P553">
        <f t="shared" si="202"/>
        <v>-197943992.22679994</v>
      </c>
      <c r="Q553">
        <f t="shared" si="203"/>
        <v>-239147911.78339994</v>
      </c>
      <c r="S553">
        <f t="shared" si="204"/>
        <v>30832002.411000002</v>
      </c>
      <c r="T553">
        <f t="shared" si="205"/>
        <v>-193806183.91329995</v>
      </c>
      <c r="U553">
        <f t="shared" si="206"/>
        <v>-166119586.21139994</v>
      </c>
      <c r="V553">
        <f t="shared" si="207"/>
        <v>-216172364.33379993</v>
      </c>
      <c r="W553">
        <f t="shared" si="208"/>
        <v>-294764423.20729995</v>
      </c>
      <c r="X553">
        <f t="shared" si="209"/>
        <v>-339256339.97179991</v>
      </c>
      <c r="Z553">
        <f t="shared" si="210"/>
        <v>36243333.446399994</v>
      </c>
      <c r="AA553">
        <f t="shared" si="211"/>
        <v>-69139577.165799975</v>
      </c>
      <c r="AB553">
        <f t="shared" si="212"/>
        <v>-200057996.29759997</v>
      </c>
      <c r="AC553">
        <f t="shared" si="213"/>
        <v>-298378756.40439993</v>
      </c>
      <c r="AD553">
        <f t="shared" si="214"/>
        <v>-391584854.18779993</v>
      </c>
      <c r="AE553">
        <f t="shared" si="215"/>
        <v>-439364768.16019994</v>
      </c>
    </row>
    <row r="554" spans="1:31" x14ac:dyDescent="0.25">
      <c r="A554">
        <v>38.338485400000003</v>
      </c>
      <c r="B554">
        <v>115.83688650000001</v>
      </c>
      <c r="C554">
        <v>10.858460429999999</v>
      </c>
      <c r="D554">
        <v>6.5201897600000001</v>
      </c>
      <c r="E554" t="b">
        <f t="shared" si="192"/>
        <v>0</v>
      </c>
      <c r="F554">
        <f t="shared" si="193"/>
        <v>-47.772112389999997</v>
      </c>
      <c r="G554">
        <f t="shared" si="194"/>
        <v>-102.06441454</v>
      </c>
      <c r="H554">
        <f t="shared" si="195"/>
        <v>-156.35671668999998</v>
      </c>
      <c r="I554">
        <f t="shared" si="196"/>
        <v>-210.64901884</v>
      </c>
      <c r="J554">
        <f t="shared" si="197"/>
        <v>-264.94132099000001</v>
      </c>
      <c r="L554">
        <f t="shared" si="198"/>
        <v>13170783.315199999</v>
      </c>
      <c r="M554">
        <f t="shared" si="199"/>
        <v>-82168033.310800001</v>
      </c>
      <c r="N554">
        <f t="shared" si="200"/>
        <v>-151055333.5192</v>
      </c>
      <c r="O554">
        <f t="shared" si="201"/>
        <v>-175119522.69280002</v>
      </c>
      <c r="P554">
        <f t="shared" si="202"/>
        <v>-193797097.3328</v>
      </c>
      <c r="Q554">
        <f t="shared" si="203"/>
        <v>-227849536.05140001</v>
      </c>
      <c r="S554">
        <f t="shared" si="204"/>
        <v>15974464.912</v>
      </c>
      <c r="T554">
        <f t="shared" si="205"/>
        <v>-221479779.55180001</v>
      </c>
      <c r="U554">
        <f t="shared" si="206"/>
        <v>-189839811.04440001</v>
      </c>
      <c r="V554">
        <f t="shared" si="207"/>
        <v>-222026537.69979998</v>
      </c>
      <c r="W554">
        <f t="shared" si="208"/>
        <v>-288589155.81080002</v>
      </c>
      <c r="X554">
        <f t="shared" si="209"/>
        <v>-323228411.60780001</v>
      </c>
      <c r="Z554">
        <f t="shared" si="210"/>
        <v>18778146.5088</v>
      </c>
      <c r="AA554">
        <f t="shared" si="211"/>
        <v>-125162934.46179999</v>
      </c>
      <c r="AB554">
        <f t="shared" si="212"/>
        <v>-228624288.56960005</v>
      </c>
      <c r="AC554">
        <f t="shared" si="213"/>
        <v>-306459164.71240002</v>
      </c>
      <c r="AD554">
        <f t="shared" si="214"/>
        <v>-383381214.2888</v>
      </c>
      <c r="AE554">
        <f t="shared" si="215"/>
        <v>-418607287.16420001</v>
      </c>
    </row>
    <row r="555" spans="1:31" x14ac:dyDescent="0.25">
      <c r="A555">
        <v>38.34502999</v>
      </c>
      <c r="B555">
        <v>117.360714</v>
      </c>
      <c r="C555">
        <v>26.05046844</v>
      </c>
      <c r="D555">
        <v>0.44112699999999999</v>
      </c>
      <c r="E555" t="b">
        <f t="shared" si="192"/>
        <v>0</v>
      </c>
      <c r="F555">
        <f t="shared" si="193"/>
        <v>-129.81121519999999</v>
      </c>
      <c r="G555">
        <f t="shared" si="194"/>
        <v>-260.06355739999998</v>
      </c>
      <c r="H555">
        <f t="shared" si="195"/>
        <v>-390.31589960000002</v>
      </c>
      <c r="I555">
        <f t="shared" si="196"/>
        <v>-520.5682417999999</v>
      </c>
      <c r="J555">
        <f t="shared" si="197"/>
        <v>-650.82058399999994</v>
      </c>
      <c r="L555">
        <f t="shared" si="198"/>
        <v>891076.54</v>
      </c>
      <c r="M555">
        <f t="shared" si="199"/>
        <v>-223275290.14399999</v>
      </c>
      <c r="N555">
        <f t="shared" si="200"/>
        <v>-384894064.95199996</v>
      </c>
      <c r="O555">
        <f t="shared" si="201"/>
        <v>-437153807.55200005</v>
      </c>
      <c r="P555">
        <f t="shared" si="202"/>
        <v>-478922782.45599985</v>
      </c>
      <c r="Q555">
        <f t="shared" si="203"/>
        <v>-559705702.23999989</v>
      </c>
      <c r="S555">
        <f t="shared" si="204"/>
        <v>1080761.1500000001</v>
      </c>
      <c r="T555">
        <f t="shared" si="205"/>
        <v>-564337919.55799997</v>
      </c>
      <c r="U555">
        <f t="shared" si="206"/>
        <v>-483718216.76399994</v>
      </c>
      <c r="V555">
        <f t="shared" si="207"/>
        <v>-554248577.43200004</v>
      </c>
      <c r="W555">
        <f t="shared" si="208"/>
        <v>-713178491.26599991</v>
      </c>
      <c r="X555">
        <f t="shared" si="209"/>
        <v>-794001112.47999978</v>
      </c>
      <c r="Z555">
        <f t="shared" si="210"/>
        <v>1270445.76</v>
      </c>
      <c r="AA555">
        <f t="shared" si="211"/>
        <v>-340105383.824</v>
      </c>
      <c r="AB555">
        <f t="shared" si="212"/>
        <v>-582542368.57599998</v>
      </c>
      <c r="AC555">
        <f t="shared" si="213"/>
        <v>-765019163.21600008</v>
      </c>
      <c r="AD555">
        <f t="shared" si="214"/>
        <v>-947434200.07599986</v>
      </c>
      <c r="AE555">
        <f t="shared" si="215"/>
        <v>-1028296522.7199999</v>
      </c>
    </row>
    <row r="556" spans="1:31" x14ac:dyDescent="0.25">
      <c r="A556">
        <v>38.349180680000003</v>
      </c>
      <c r="B556">
        <v>90.837766709999997</v>
      </c>
      <c r="C556">
        <v>20.624670030000001</v>
      </c>
      <c r="D556">
        <v>0.54273497999999998</v>
      </c>
      <c r="E556" t="b">
        <f t="shared" si="192"/>
        <v>0</v>
      </c>
      <c r="F556">
        <f t="shared" si="193"/>
        <v>-102.58061517</v>
      </c>
      <c r="G556">
        <f t="shared" si="194"/>
        <v>-205.70396532000001</v>
      </c>
      <c r="H556">
        <f t="shared" si="195"/>
        <v>-308.82731547000003</v>
      </c>
      <c r="I556">
        <f t="shared" si="196"/>
        <v>-411.95066562000005</v>
      </c>
      <c r="J556">
        <f t="shared" si="197"/>
        <v>-515.07401577000007</v>
      </c>
      <c r="L556">
        <f t="shared" si="198"/>
        <v>1096324.6595999999</v>
      </c>
      <c r="M556">
        <f t="shared" si="199"/>
        <v>-176438658.09240001</v>
      </c>
      <c r="N556">
        <f t="shared" si="200"/>
        <v>-304441868.67360002</v>
      </c>
      <c r="O556">
        <f t="shared" si="201"/>
        <v>-345886593.32640004</v>
      </c>
      <c r="P556">
        <f t="shared" si="202"/>
        <v>-378994612.37040001</v>
      </c>
      <c r="Q556">
        <f t="shared" si="203"/>
        <v>-442963653.56220007</v>
      </c>
      <c r="S556">
        <f t="shared" si="204"/>
        <v>1329700.7010000001</v>
      </c>
      <c r="T556">
        <f t="shared" si="205"/>
        <v>-446377604.74440002</v>
      </c>
      <c r="U556">
        <f t="shared" si="206"/>
        <v>-382609375.49520004</v>
      </c>
      <c r="V556">
        <f t="shared" si="207"/>
        <v>-438534787.96740001</v>
      </c>
      <c r="W556">
        <f t="shared" si="208"/>
        <v>-564372411.89940012</v>
      </c>
      <c r="X556">
        <f t="shared" si="209"/>
        <v>-628390299.23940015</v>
      </c>
      <c r="Z556">
        <f t="shared" si="210"/>
        <v>1563076.7423999999</v>
      </c>
      <c r="AA556">
        <f t="shared" si="211"/>
        <v>-268761211.74540001</v>
      </c>
      <c r="AB556">
        <f t="shared" si="212"/>
        <v>-460776882.31680012</v>
      </c>
      <c r="AC556">
        <f t="shared" si="213"/>
        <v>-605301538.32120001</v>
      </c>
      <c r="AD556">
        <f t="shared" si="214"/>
        <v>-749750211.42840016</v>
      </c>
      <c r="AE556">
        <f t="shared" si="215"/>
        <v>-813816944.91660023</v>
      </c>
    </row>
    <row r="557" spans="1:31" x14ac:dyDescent="0.25">
      <c r="A557">
        <v>38.353585780000003</v>
      </c>
      <c r="B557">
        <v>119.1230185</v>
      </c>
      <c r="C557">
        <v>27.435972209999999</v>
      </c>
      <c r="D557">
        <v>11.518275259999999</v>
      </c>
      <c r="E557" t="b">
        <f t="shared" si="192"/>
        <v>0</v>
      </c>
      <c r="F557">
        <f t="shared" si="193"/>
        <v>-125.66158579</v>
      </c>
      <c r="G557">
        <f t="shared" si="194"/>
        <v>-262.84144684</v>
      </c>
      <c r="H557">
        <f t="shared" si="195"/>
        <v>-400.02130789</v>
      </c>
      <c r="I557">
        <f t="shared" si="196"/>
        <v>-537.20116894</v>
      </c>
      <c r="J557">
        <f t="shared" si="197"/>
        <v>-674.38102999</v>
      </c>
      <c r="L557">
        <f t="shared" si="198"/>
        <v>23266916.025199998</v>
      </c>
      <c r="M557">
        <f t="shared" si="199"/>
        <v>-216137927.55880004</v>
      </c>
      <c r="N557">
        <f t="shared" si="200"/>
        <v>-389005341.32319999</v>
      </c>
      <c r="O557">
        <f t="shared" si="201"/>
        <v>-448023864.83680004</v>
      </c>
      <c r="P557">
        <f t="shared" si="202"/>
        <v>-494225075.42480004</v>
      </c>
      <c r="Q557">
        <f t="shared" si="203"/>
        <v>-579967685.79139996</v>
      </c>
      <c r="S557">
        <f t="shared" si="204"/>
        <v>28219774.387000002</v>
      </c>
      <c r="T557">
        <f t="shared" si="205"/>
        <v>-570365939.64279997</v>
      </c>
      <c r="U557">
        <f t="shared" si="206"/>
        <v>-488885091.12239999</v>
      </c>
      <c r="V557">
        <f t="shared" si="207"/>
        <v>-568030257.20379996</v>
      </c>
      <c r="W557">
        <f t="shared" si="208"/>
        <v>-735965601.44780016</v>
      </c>
      <c r="X557">
        <f t="shared" si="209"/>
        <v>-822744856.58780003</v>
      </c>
      <c r="Z557">
        <f t="shared" si="210"/>
        <v>33172632.748799998</v>
      </c>
      <c r="AA557">
        <f t="shared" si="211"/>
        <v>-329233354.76980001</v>
      </c>
      <c r="AB557">
        <f t="shared" si="212"/>
        <v>-588764840.9216001</v>
      </c>
      <c r="AC557">
        <f t="shared" si="213"/>
        <v>-784041763.46439993</v>
      </c>
      <c r="AD557">
        <f t="shared" si="214"/>
        <v>-977706127.47080016</v>
      </c>
      <c r="AE557">
        <f t="shared" si="215"/>
        <v>-1065522027.3842001</v>
      </c>
    </row>
    <row r="558" spans="1:31" x14ac:dyDescent="0.25">
      <c r="A558">
        <v>38.366276089999999</v>
      </c>
      <c r="B558">
        <v>117.1293486</v>
      </c>
      <c r="C558">
        <v>26.05046844</v>
      </c>
      <c r="D558">
        <v>1.1346329500000001</v>
      </c>
      <c r="E558" t="b">
        <f t="shared" si="192"/>
        <v>0</v>
      </c>
      <c r="F558">
        <f t="shared" si="193"/>
        <v>-129.11770924999999</v>
      </c>
      <c r="G558">
        <f t="shared" si="194"/>
        <v>-259.37005144999995</v>
      </c>
      <c r="H558">
        <f t="shared" si="195"/>
        <v>-389.62239364999999</v>
      </c>
      <c r="I558">
        <f t="shared" si="196"/>
        <v>-519.87473584999998</v>
      </c>
      <c r="J558">
        <f t="shared" si="197"/>
        <v>-650.12707805000002</v>
      </c>
      <c r="L558">
        <f t="shared" si="198"/>
        <v>2291958.5590000004</v>
      </c>
      <c r="M558">
        <f t="shared" si="199"/>
        <v>-222082459.91</v>
      </c>
      <c r="N558">
        <f t="shared" si="200"/>
        <v>-383867676.14599991</v>
      </c>
      <c r="O558">
        <f t="shared" si="201"/>
        <v>-436377080.88800001</v>
      </c>
      <c r="P558">
        <f t="shared" si="202"/>
        <v>-478284756.98199993</v>
      </c>
      <c r="Q558">
        <f t="shared" si="203"/>
        <v>-559109287.12300003</v>
      </c>
      <c r="S558">
        <f t="shared" si="204"/>
        <v>2779850.7275000005</v>
      </c>
      <c r="T558">
        <f t="shared" si="205"/>
        <v>-562833011.64649987</v>
      </c>
      <c r="U558">
        <f t="shared" si="206"/>
        <v>-482428295.69699991</v>
      </c>
      <c r="V558">
        <f t="shared" si="207"/>
        <v>-553263798.98299992</v>
      </c>
      <c r="W558">
        <f t="shared" si="208"/>
        <v>-712228388.11450005</v>
      </c>
      <c r="X558">
        <f t="shared" si="209"/>
        <v>-793155035.22100008</v>
      </c>
      <c r="Z558">
        <f t="shared" si="210"/>
        <v>3267742.8960000006</v>
      </c>
      <c r="AA558">
        <f t="shared" si="211"/>
        <v>-338288398.23499995</v>
      </c>
      <c r="AB558">
        <f t="shared" si="212"/>
        <v>-580988915.24799991</v>
      </c>
      <c r="AC558">
        <f t="shared" si="213"/>
        <v>-763659891.5539999</v>
      </c>
      <c r="AD558">
        <f t="shared" si="214"/>
        <v>-946172019.24699998</v>
      </c>
      <c r="AE558">
        <f t="shared" si="215"/>
        <v>-1027200783.3190001</v>
      </c>
    </row>
    <row r="559" spans="1:31" x14ac:dyDescent="0.25">
      <c r="A559">
        <v>38.370025660000003</v>
      </c>
      <c r="B559">
        <v>116.0166241</v>
      </c>
      <c r="C559">
        <v>10.858460429999999</v>
      </c>
      <c r="D559">
        <v>0.81524496999999996</v>
      </c>
      <c r="E559" t="b">
        <f t="shared" si="192"/>
        <v>0</v>
      </c>
      <c r="F559">
        <f t="shared" si="193"/>
        <v>-53.477057179999996</v>
      </c>
      <c r="G559">
        <f t="shared" si="194"/>
        <v>-107.76935933</v>
      </c>
      <c r="H559">
        <f t="shared" si="195"/>
        <v>-162.06166147999997</v>
      </c>
      <c r="I559">
        <f t="shared" si="196"/>
        <v>-216.35396362999998</v>
      </c>
      <c r="J559">
        <f t="shared" si="197"/>
        <v>-270.64626578000002</v>
      </c>
      <c r="L559">
        <f t="shared" si="198"/>
        <v>1646794.8393999999</v>
      </c>
      <c r="M559">
        <f t="shared" si="199"/>
        <v>-91980538.349600002</v>
      </c>
      <c r="N559">
        <f t="shared" si="200"/>
        <v>-159498651.80840001</v>
      </c>
      <c r="O559">
        <f t="shared" si="201"/>
        <v>-181509060.85759997</v>
      </c>
      <c r="P559">
        <f t="shared" si="202"/>
        <v>-199045646.53959998</v>
      </c>
      <c r="Q559">
        <f t="shared" si="203"/>
        <v>-232755788.57080004</v>
      </c>
      <c r="S559">
        <f t="shared" si="204"/>
        <v>1997350.1765000001</v>
      </c>
      <c r="T559">
        <f t="shared" si="205"/>
        <v>-233859509.74609998</v>
      </c>
      <c r="U559">
        <f t="shared" si="206"/>
        <v>-200451008.35379997</v>
      </c>
      <c r="V559">
        <f t="shared" si="207"/>
        <v>-230127559.30159992</v>
      </c>
      <c r="W559">
        <f t="shared" si="208"/>
        <v>-296404930.17309999</v>
      </c>
      <c r="X559">
        <f t="shared" si="209"/>
        <v>-330188444.25160003</v>
      </c>
      <c r="Z559">
        <f t="shared" si="210"/>
        <v>2347905.5135999997</v>
      </c>
      <c r="AA559">
        <f t="shared" si="211"/>
        <v>-140109889.8116</v>
      </c>
      <c r="AB559">
        <f t="shared" si="212"/>
        <v>-241403364.89920002</v>
      </c>
      <c r="AC559">
        <f t="shared" si="213"/>
        <v>-317640856.50079989</v>
      </c>
      <c r="AD559">
        <f t="shared" si="214"/>
        <v>-393764213.80660003</v>
      </c>
      <c r="AE559">
        <f t="shared" si="215"/>
        <v>-427621099.93240005</v>
      </c>
    </row>
    <row r="560" spans="1:31" x14ac:dyDescent="0.25">
      <c r="A560">
        <v>38.373817080000002</v>
      </c>
      <c r="B560">
        <v>120.1854838</v>
      </c>
      <c r="C560">
        <v>19.948394780000001</v>
      </c>
      <c r="D560">
        <v>18.856767649999998</v>
      </c>
      <c r="E560" t="b">
        <f t="shared" si="192"/>
        <v>0</v>
      </c>
      <c r="F560">
        <f t="shared" si="193"/>
        <v>-80.88520625000001</v>
      </c>
      <c r="G560">
        <f t="shared" si="194"/>
        <v>-180.62718015000002</v>
      </c>
      <c r="H560">
        <f t="shared" si="195"/>
        <v>-280.36915405000002</v>
      </c>
      <c r="I560">
        <f t="shared" si="196"/>
        <v>-380.11112795000003</v>
      </c>
      <c r="J560">
        <f t="shared" si="197"/>
        <v>-479.85310185000003</v>
      </c>
      <c r="L560">
        <f t="shared" si="198"/>
        <v>38090670.652999997</v>
      </c>
      <c r="M560">
        <f t="shared" si="199"/>
        <v>-139122554.75000003</v>
      </c>
      <c r="N560">
        <f t="shared" si="200"/>
        <v>-267328226.62200001</v>
      </c>
      <c r="O560">
        <f t="shared" si="201"/>
        <v>-314013452.53600007</v>
      </c>
      <c r="P560">
        <f t="shared" si="202"/>
        <v>-349702237.71400005</v>
      </c>
      <c r="Q560">
        <f t="shared" si="203"/>
        <v>-412673667.59100002</v>
      </c>
      <c r="S560">
        <f t="shared" si="204"/>
        <v>46199080.7425</v>
      </c>
      <c r="T560">
        <f t="shared" si="205"/>
        <v>-391960980.92549998</v>
      </c>
      <c r="U560">
        <f t="shared" si="206"/>
        <v>-335966555.079</v>
      </c>
      <c r="V560">
        <f t="shared" si="207"/>
        <v>-398124198.75099999</v>
      </c>
      <c r="W560">
        <f t="shared" si="208"/>
        <v>-520752245.29150009</v>
      </c>
      <c r="X560">
        <f t="shared" si="209"/>
        <v>-585420784.25699997</v>
      </c>
      <c r="Z560">
        <f t="shared" si="210"/>
        <v>54307490.831999995</v>
      </c>
      <c r="AA560">
        <f t="shared" si="211"/>
        <v>-211919240.37500006</v>
      </c>
      <c r="AB560">
        <f t="shared" si="212"/>
        <v>-404604883.53600007</v>
      </c>
      <c r="AC560">
        <f t="shared" si="213"/>
        <v>-549523541.93799996</v>
      </c>
      <c r="AD560">
        <f t="shared" si="214"/>
        <v>-691802252.86900008</v>
      </c>
      <c r="AE560">
        <f t="shared" si="215"/>
        <v>-758167900.9230001</v>
      </c>
    </row>
    <row r="561" spans="1:31" x14ac:dyDescent="0.25">
      <c r="A561">
        <v>38.373985089999998</v>
      </c>
      <c r="B561">
        <v>91.422202350000006</v>
      </c>
      <c r="C561">
        <v>20.624670030000001</v>
      </c>
      <c r="D561">
        <v>3.1869440099999999</v>
      </c>
      <c r="E561" t="b">
        <f t="shared" si="192"/>
        <v>0</v>
      </c>
      <c r="F561">
        <f t="shared" si="193"/>
        <v>-99.936406140000003</v>
      </c>
      <c r="G561">
        <f t="shared" si="194"/>
        <v>-203.05975629000002</v>
      </c>
      <c r="H561">
        <f t="shared" si="195"/>
        <v>-306.18310644000002</v>
      </c>
      <c r="I561">
        <f t="shared" si="196"/>
        <v>-409.30645659000004</v>
      </c>
      <c r="J561">
        <f t="shared" si="197"/>
        <v>-512.42980674</v>
      </c>
      <c r="L561">
        <f t="shared" si="198"/>
        <v>6437626.9002</v>
      </c>
      <c r="M561">
        <f t="shared" si="199"/>
        <v>-171890618.56080002</v>
      </c>
      <c r="N561">
        <f t="shared" si="200"/>
        <v>-300528439.30920005</v>
      </c>
      <c r="O561">
        <f t="shared" si="201"/>
        <v>-342925079.21280003</v>
      </c>
      <c r="P561">
        <f t="shared" si="202"/>
        <v>-376561940.06279999</v>
      </c>
      <c r="Q561">
        <f t="shared" si="203"/>
        <v>-440689633.79640001</v>
      </c>
      <c r="S561">
        <f t="shared" si="204"/>
        <v>7808012.8245000001</v>
      </c>
      <c r="T561">
        <f t="shared" si="205"/>
        <v>-440639671.14930004</v>
      </c>
      <c r="U561">
        <f t="shared" si="206"/>
        <v>-377691146.69940001</v>
      </c>
      <c r="V561">
        <f t="shared" si="207"/>
        <v>-434780011.14479995</v>
      </c>
      <c r="W561">
        <f t="shared" si="208"/>
        <v>-560749845.52830005</v>
      </c>
      <c r="X561">
        <f t="shared" si="209"/>
        <v>-625164364.22280002</v>
      </c>
      <c r="Z561">
        <f t="shared" si="210"/>
        <v>9178398.7487999983</v>
      </c>
      <c r="AA561">
        <f t="shared" si="211"/>
        <v>-261833384.08680001</v>
      </c>
      <c r="AB561">
        <f t="shared" si="212"/>
        <v>-454853854.08960009</v>
      </c>
      <c r="AC561">
        <f t="shared" si="213"/>
        <v>-600118888.62239993</v>
      </c>
      <c r="AD561">
        <f t="shared" si="214"/>
        <v>-744937750.99380004</v>
      </c>
      <c r="AE561">
        <f t="shared" si="215"/>
        <v>-809639094.64920008</v>
      </c>
    </row>
    <row r="562" spans="1:31" x14ac:dyDescent="0.25">
      <c r="A562">
        <v>38.374339229999997</v>
      </c>
      <c r="B562">
        <v>117.5410725</v>
      </c>
      <c r="C562">
        <v>26.05046844</v>
      </c>
      <c r="D562">
        <v>0.50635498999999995</v>
      </c>
      <c r="E562" t="b">
        <f t="shared" si="192"/>
        <v>0</v>
      </c>
      <c r="F562">
        <f t="shared" si="193"/>
        <v>-129.74598720999998</v>
      </c>
      <c r="G562">
        <f t="shared" si="194"/>
        <v>-259.99832941</v>
      </c>
      <c r="H562">
        <f t="shared" si="195"/>
        <v>-390.25067161000004</v>
      </c>
      <c r="I562">
        <f t="shared" si="196"/>
        <v>-520.50301380999997</v>
      </c>
      <c r="J562">
        <f t="shared" si="197"/>
        <v>-650.75535601000001</v>
      </c>
      <c r="L562">
        <f t="shared" si="198"/>
        <v>1022837.0797999998</v>
      </c>
      <c r="M562">
        <f t="shared" si="199"/>
        <v>-223163098.00119999</v>
      </c>
      <c r="N562">
        <f t="shared" si="200"/>
        <v>-384797527.52679998</v>
      </c>
      <c r="O562">
        <f t="shared" si="201"/>
        <v>-437080752.20320004</v>
      </c>
      <c r="P562">
        <f t="shared" si="202"/>
        <v>-478862772.7051999</v>
      </c>
      <c r="Q562">
        <f t="shared" si="203"/>
        <v>-559649606.16859996</v>
      </c>
      <c r="S562">
        <f t="shared" si="204"/>
        <v>1240569.7254999999</v>
      </c>
      <c r="T562">
        <f t="shared" si="205"/>
        <v>-564196374.8197</v>
      </c>
      <c r="U562">
        <f t="shared" si="206"/>
        <v>-483596892.70259994</v>
      </c>
      <c r="V562">
        <f t="shared" si="207"/>
        <v>-554155953.68620002</v>
      </c>
      <c r="W562">
        <f t="shared" si="208"/>
        <v>-713089128.91970003</v>
      </c>
      <c r="X562">
        <f t="shared" si="209"/>
        <v>-793921534.33219993</v>
      </c>
      <c r="Z562">
        <f t="shared" si="210"/>
        <v>1458302.3711999997</v>
      </c>
      <c r="AA562">
        <f t="shared" si="211"/>
        <v>-339934486.49019998</v>
      </c>
      <c r="AB562">
        <f t="shared" si="212"/>
        <v>-582396257.87840009</v>
      </c>
      <c r="AC562">
        <f t="shared" si="213"/>
        <v>-764891316.3556</v>
      </c>
      <c r="AD562">
        <f t="shared" si="214"/>
        <v>-947315485.13419998</v>
      </c>
      <c r="AE562">
        <f t="shared" si="215"/>
        <v>-1028193462.4958</v>
      </c>
    </row>
    <row r="563" spans="1:31" x14ac:dyDescent="0.25">
      <c r="A563">
        <v>38.379437920000001</v>
      </c>
      <c r="B563">
        <v>115.9007435</v>
      </c>
      <c r="C563">
        <v>10.858460429999999</v>
      </c>
      <c r="D563">
        <v>0.50213498000000001</v>
      </c>
      <c r="E563" t="b">
        <f t="shared" si="192"/>
        <v>0</v>
      </c>
      <c r="F563">
        <f t="shared" si="193"/>
        <v>-53.790167169999997</v>
      </c>
      <c r="G563">
        <f t="shared" si="194"/>
        <v>-108.08246932</v>
      </c>
      <c r="H563">
        <f t="shared" si="195"/>
        <v>-162.37477146999998</v>
      </c>
      <c r="I563">
        <f t="shared" si="196"/>
        <v>-216.66707362</v>
      </c>
      <c r="J563">
        <f t="shared" si="197"/>
        <v>-270.95937577000001</v>
      </c>
      <c r="L563">
        <f t="shared" si="198"/>
        <v>1014312.6596</v>
      </c>
      <c r="M563">
        <f t="shared" si="199"/>
        <v>-92519087.532399997</v>
      </c>
      <c r="N563">
        <f t="shared" si="200"/>
        <v>-159962054.5936</v>
      </c>
      <c r="O563">
        <f t="shared" si="201"/>
        <v>-181859744.04640001</v>
      </c>
      <c r="P563">
        <f t="shared" si="202"/>
        <v>-199333707.7304</v>
      </c>
      <c r="Q563">
        <f t="shared" si="203"/>
        <v>-233025063.16219997</v>
      </c>
      <c r="S563">
        <f t="shared" si="204"/>
        <v>1230230.7010000001</v>
      </c>
      <c r="T563">
        <f t="shared" si="205"/>
        <v>-234538958.4244</v>
      </c>
      <c r="U563">
        <f t="shared" si="206"/>
        <v>-201033392.93520001</v>
      </c>
      <c r="V563">
        <f t="shared" si="207"/>
        <v>-230572175.4874</v>
      </c>
      <c r="W563">
        <f t="shared" si="208"/>
        <v>-296833890.85940003</v>
      </c>
      <c r="X563">
        <f t="shared" si="209"/>
        <v>-330570438.43939996</v>
      </c>
      <c r="Z563">
        <f t="shared" si="210"/>
        <v>1446148.7423999999</v>
      </c>
      <c r="AA563">
        <f t="shared" si="211"/>
        <v>-140930237.98539999</v>
      </c>
      <c r="AB563">
        <f t="shared" si="212"/>
        <v>-242104731.27680004</v>
      </c>
      <c r="AC563">
        <f t="shared" si="213"/>
        <v>-318254552.0812</v>
      </c>
      <c r="AD563">
        <f t="shared" si="214"/>
        <v>-394334073.98840004</v>
      </c>
      <c r="AE563">
        <f t="shared" si="215"/>
        <v>-428115813.7166</v>
      </c>
    </row>
    <row r="564" spans="1:31" x14ac:dyDescent="0.25">
      <c r="A564">
        <v>38.380494990000003</v>
      </c>
      <c r="B564">
        <v>120.1278551</v>
      </c>
      <c r="C564">
        <v>15.595745089999999</v>
      </c>
      <c r="D564">
        <v>188.36354069999999</v>
      </c>
      <c r="E564" t="b">
        <f t="shared" si="192"/>
        <v>1</v>
      </c>
      <c r="F564">
        <f t="shared" si="193"/>
        <v>110.38481524999999</v>
      </c>
      <c r="G564">
        <f t="shared" si="194"/>
        <v>32.40608979999999</v>
      </c>
      <c r="H564">
        <f t="shared" si="195"/>
        <v>-45.572635649999995</v>
      </c>
      <c r="I564">
        <f t="shared" si="196"/>
        <v>-123.55136110000001</v>
      </c>
      <c r="J564">
        <f t="shared" si="197"/>
        <v>-201.53008655000002</v>
      </c>
      <c r="L564">
        <f t="shared" si="198"/>
        <v>31503405.081799999</v>
      </c>
      <c r="M564">
        <f t="shared" si="199"/>
        <v>26824681.554800004</v>
      </c>
      <c r="N564">
        <f t="shared" si="200"/>
        <v>23081702.733199999</v>
      </c>
      <c r="O564">
        <f t="shared" si="201"/>
        <v>-51041351.928000003</v>
      </c>
      <c r="P564">
        <f t="shared" si="202"/>
        <v>-113667252.212</v>
      </c>
      <c r="Q564">
        <f t="shared" si="203"/>
        <v>-173315874.433</v>
      </c>
      <c r="S564">
        <f t="shared" si="204"/>
        <v>38209575.4705</v>
      </c>
      <c r="T564">
        <f t="shared" si="205"/>
        <v>33842766.845299996</v>
      </c>
      <c r="U564">
        <f t="shared" si="206"/>
        <v>29008085.867399998</v>
      </c>
      <c r="V564">
        <f t="shared" si="207"/>
        <v>-64713142.622999996</v>
      </c>
      <c r="W564">
        <f t="shared" si="208"/>
        <v>-169265364.70700002</v>
      </c>
      <c r="X564">
        <f t="shared" si="209"/>
        <v>-245866705.59100002</v>
      </c>
      <c r="Z564">
        <f t="shared" si="210"/>
        <v>44915745.859200001</v>
      </c>
      <c r="AA564">
        <f t="shared" si="211"/>
        <v>40860852.135800004</v>
      </c>
      <c r="AB564">
        <f t="shared" si="212"/>
        <v>34934469.001600005</v>
      </c>
      <c r="AC564">
        <f t="shared" si="213"/>
        <v>-89322365.873999998</v>
      </c>
      <c r="AD564">
        <f t="shared" si="214"/>
        <v>-224863477.20200002</v>
      </c>
      <c r="AE564">
        <f t="shared" si="215"/>
        <v>-318417536.74900001</v>
      </c>
    </row>
    <row r="565" spans="1:31" x14ac:dyDescent="0.25">
      <c r="A565">
        <v>38.384214669999999</v>
      </c>
      <c r="B565">
        <v>118.8344116</v>
      </c>
      <c r="C565">
        <v>19.470922470000001</v>
      </c>
      <c r="D565">
        <v>2.4486000000000001E-2</v>
      </c>
      <c r="E565" t="b">
        <f t="shared" si="192"/>
        <v>0</v>
      </c>
      <c r="F565">
        <f t="shared" si="193"/>
        <v>-97.330126350000015</v>
      </c>
      <c r="G565">
        <f t="shared" si="194"/>
        <v>-194.68473870000003</v>
      </c>
      <c r="H565">
        <f t="shared" si="195"/>
        <v>-292.03935104999999</v>
      </c>
      <c r="I565">
        <f t="shared" si="196"/>
        <v>-389.39396340000002</v>
      </c>
      <c r="J565">
        <f t="shared" si="197"/>
        <v>-486.74857574999999</v>
      </c>
      <c r="L565">
        <f t="shared" si="198"/>
        <v>49461.72</v>
      </c>
      <c r="M565">
        <f t="shared" si="199"/>
        <v>-167407817.32200003</v>
      </c>
      <c r="N565">
        <f t="shared" si="200"/>
        <v>-288133413.27600002</v>
      </c>
      <c r="O565">
        <f t="shared" si="201"/>
        <v>-327084073.17600006</v>
      </c>
      <c r="P565">
        <f t="shared" si="202"/>
        <v>-358242446.32800001</v>
      </c>
      <c r="Q565">
        <f t="shared" si="203"/>
        <v>-418603775.14499998</v>
      </c>
      <c r="S565">
        <f t="shared" si="204"/>
        <v>59990.700000000004</v>
      </c>
      <c r="T565">
        <f t="shared" si="205"/>
        <v>-422465882.97900003</v>
      </c>
      <c r="U565">
        <f t="shared" si="206"/>
        <v>-362113613.98199999</v>
      </c>
      <c r="V565">
        <f t="shared" si="207"/>
        <v>-414695878.491</v>
      </c>
      <c r="W565">
        <f t="shared" si="208"/>
        <v>-533469729.8580001</v>
      </c>
      <c r="X565">
        <f t="shared" si="209"/>
        <v>-593833262.41499996</v>
      </c>
      <c r="Z565">
        <f t="shared" si="210"/>
        <v>70519.679999999993</v>
      </c>
      <c r="AA565">
        <f t="shared" si="211"/>
        <v>-255004931.03700003</v>
      </c>
      <c r="AB565">
        <f t="shared" si="212"/>
        <v>-436093814.68800008</v>
      </c>
      <c r="AC565">
        <f t="shared" si="213"/>
        <v>-572397128.05799997</v>
      </c>
      <c r="AD565">
        <f t="shared" si="214"/>
        <v>-708697013.38800013</v>
      </c>
      <c r="AE565">
        <f t="shared" si="215"/>
        <v>-769062749.68500006</v>
      </c>
    </row>
    <row r="566" spans="1:31" x14ac:dyDescent="0.25">
      <c r="A566">
        <v>38.398971600000003</v>
      </c>
      <c r="B566">
        <v>120.3669147</v>
      </c>
      <c r="C566">
        <v>55.417339320000004</v>
      </c>
      <c r="D566">
        <v>0.97944498000000002</v>
      </c>
      <c r="E566" t="b">
        <f t="shared" si="192"/>
        <v>0</v>
      </c>
      <c r="F566">
        <f t="shared" si="193"/>
        <v>-276.10725162000006</v>
      </c>
      <c r="G566">
        <f t="shared" si="194"/>
        <v>-553.19394822000004</v>
      </c>
      <c r="H566">
        <f t="shared" si="195"/>
        <v>-830.28064482000002</v>
      </c>
      <c r="I566">
        <f t="shared" si="196"/>
        <v>-1107.3673414200002</v>
      </c>
      <c r="J566">
        <f t="shared" si="197"/>
        <v>-1384.4540380200001</v>
      </c>
      <c r="L566">
        <f t="shared" si="198"/>
        <v>1978478.8596000001</v>
      </c>
      <c r="M566">
        <f t="shared" si="199"/>
        <v>-474904472.78640014</v>
      </c>
      <c r="N566">
        <f t="shared" si="200"/>
        <v>-818727043.36559999</v>
      </c>
      <c r="O566">
        <f t="shared" si="201"/>
        <v>-929914322.19840014</v>
      </c>
      <c r="P566">
        <f t="shared" si="202"/>
        <v>-1018777954.1064003</v>
      </c>
      <c r="Q566">
        <f t="shared" si="203"/>
        <v>-1190630472.6972001</v>
      </c>
      <c r="S566">
        <f t="shared" si="204"/>
        <v>2399640.2010000004</v>
      </c>
      <c r="T566">
        <f t="shared" si="205"/>
        <v>-1200430867.6373999</v>
      </c>
      <c r="U566">
        <f t="shared" si="206"/>
        <v>-1028940743.6892</v>
      </c>
      <c r="V566">
        <f t="shared" si="207"/>
        <v>-1178998515.6444001</v>
      </c>
      <c r="W566">
        <f t="shared" si="208"/>
        <v>-1517093257.7454007</v>
      </c>
      <c r="X566">
        <f t="shared" si="209"/>
        <v>-1689033926.3843999</v>
      </c>
      <c r="Z566">
        <f t="shared" si="210"/>
        <v>2820801.5423999997</v>
      </c>
      <c r="AA566">
        <f t="shared" si="211"/>
        <v>-723400999.24440014</v>
      </c>
      <c r="AB566">
        <f t="shared" si="212"/>
        <v>-1239154444.0128002</v>
      </c>
      <c r="AC566">
        <f t="shared" si="213"/>
        <v>-1627350063.8472002</v>
      </c>
      <c r="AD566">
        <f t="shared" si="214"/>
        <v>-2015408561.3844006</v>
      </c>
      <c r="AE566">
        <f t="shared" si="215"/>
        <v>-2187437380.0716</v>
      </c>
    </row>
    <row r="567" spans="1:31" x14ac:dyDescent="0.25">
      <c r="A567">
        <v>38.415633460000002</v>
      </c>
      <c r="B567">
        <v>116.0226402</v>
      </c>
      <c r="C567">
        <v>78.320755000000005</v>
      </c>
      <c r="D567">
        <v>3.5621330699999998</v>
      </c>
      <c r="E567" t="b">
        <f t="shared" si="192"/>
        <v>0</v>
      </c>
      <c r="F567">
        <f t="shared" si="193"/>
        <v>-388.04164193000003</v>
      </c>
      <c r="G567">
        <f t="shared" si="194"/>
        <v>-779.64541693000012</v>
      </c>
      <c r="H567">
        <f t="shared" si="195"/>
        <v>-1171.2491919300001</v>
      </c>
      <c r="I567">
        <f t="shared" si="196"/>
        <v>-1562.8529669300001</v>
      </c>
      <c r="J567">
        <f t="shared" si="197"/>
        <v>-1954.4567419300001</v>
      </c>
      <c r="L567">
        <f t="shared" si="198"/>
        <v>7195508.8013999993</v>
      </c>
      <c r="M567">
        <f t="shared" si="199"/>
        <v>-667431624.11960006</v>
      </c>
      <c r="N567">
        <f t="shared" si="200"/>
        <v>-1153875217.0564001</v>
      </c>
      <c r="O567">
        <f t="shared" si="201"/>
        <v>-1311799094.9616003</v>
      </c>
      <c r="P567">
        <f t="shared" si="202"/>
        <v>-1437824729.5755999</v>
      </c>
      <c r="Q567">
        <f t="shared" si="203"/>
        <v>-1680832798.0598001</v>
      </c>
      <c r="S567">
        <f t="shared" si="204"/>
        <v>8727226.0215000007</v>
      </c>
      <c r="T567">
        <f t="shared" si="205"/>
        <v>-1691830554.7381001</v>
      </c>
      <c r="U567">
        <f t="shared" si="206"/>
        <v>-1450140475.4898</v>
      </c>
      <c r="V567">
        <f t="shared" si="207"/>
        <v>-1663173852.5406001</v>
      </c>
      <c r="W567">
        <f t="shared" si="208"/>
        <v>-2141108564.6941001</v>
      </c>
      <c r="X567">
        <f t="shared" si="209"/>
        <v>-2384437225.1546001</v>
      </c>
      <c r="Z567">
        <f t="shared" si="210"/>
        <v>10258943.241599999</v>
      </c>
      <c r="AA567">
        <f t="shared" si="211"/>
        <v>-1016669101.8566</v>
      </c>
      <c r="AB567">
        <f t="shared" si="212"/>
        <v>-1746405733.9232004</v>
      </c>
      <c r="AC567">
        <f t="shared" si="213"/>
        <v>-2295648416.1828003</v>
      </c>
      <c r="AD567">
        <f t="shared" si="214"/>
        <v>-2844392399.8126001</v>
      </c>
      <c r="AE567">
        <f t="shared" si="215"/>
        <v>-3088041652.2494001</v>
      </c>
    </row>
    <row r="568" spans="1:31" x14ac:dyDescent="0.25">
      <c r="A568">
        <v>38.420074110000002</v>
      </c>
      <c r="B568">
        <v>118.4877809</v>
      </c>
      <c r="C568">
        <v>81.806549070000003</v>
      </c>
      <c r="D568">
        <v>1.4691679499999999</v>
      </c>
      <c r="E568" t="b">
        <f t="shared" si="192"/>
        <v>0</v>
      </c>
      <c r="F568">
        <f t="shared" si="193"/>
        <v>-407.56357740000004</v>
      </c>
      <c r="G568">
        <f t="shared" si="194"/>
        <v>-816.59632275000001</v>
      </c>
      <c r="H568">
        <f t="shared" si="195"/>
        <v>-1225.6290681</v>
      </c>
      <c r="I568">
        <f t="shared" si="196"/>
        <v>-1634.6618134500002</v>
      </c>
      <c r="J568">
        <f t="shared" si="197"/>
        <v>-2043.6945588000001</v>
      </c>
      <c r="L568">
        <f t="shared" si="198"/>
        <v>2967719.2590000001</v>
      </c>
      <c r="M568">
        <f t="shared" si="199"/>
        <v>-701009353.12800014</v>
      </c>
      <c r="N568">
        <f t="shared" si="200"/>
        <v>-1208562557.6700001</v>
      </c>
      <c r="O568">
        <f t="shared" si="201"/>
        <v>-1372704556.2720003</v>
      </c>
      <c r="P568">
        <f t="shared" si="202"/>
        <v>-1503888868.3740001</v>
      </c>
      <c r="Q568">
        <f t="shared" si="203"/>
        <v>-1757577320.5680001</v>
      </c>
      <c r="S568">
        <f t="shared" si="204"/>
        <v>3599461.4775</v>
      </c>
      <c r="T568">
        <f t="shared" si="205"/>
        <v>-1772014020.3674998</v>
      </c>
      <c r="U568">
        <f t="shared" si="206"/>
        <v>-1518869160.3149998</v>
      </c>
      <c r="V568">
        <f t="shared" si="207"/>
        <v>-1740393276.7020001</v>
      </c>
      <c r="W568">
        <f t="shared" si="208"/>
        <v>-2239486684.4265008</v>
      </c>
      <c r="X568">
        <f t="shared" si="209"/>
        <v>-2493307361.7360001</v>
      </c>
      <c r="Z568">
        <f t="shared" si="210"/>
        <v>4231203.6959999995</v>
      </c>
      <c r="AA568">
        <f t="shared" si="211"/>
        <v>-1067816572.7880001</v>
      </c>
      <c r="AB568">
        <f t="shared" si="212"/>
        <v>-1829175762.9600003</v>
      </c>
      <c r="AC568">
        <f t="shared" si="213"/>
        <v>-2402232973.4760003</v>
      </c>
      <c r="AD568">
        <f t="shared" si="214"/>
        <v>-2975084500.4790006</v>
      </c>
      <c r="AE568">
        <f t="shared" si="215"/>
        <v>-3229037402.9040003</v>
      </c>
    </row>
    <row r="569" spans="1:31" x14ac:dyDescent="0.25">
      <c r="A569">
        <v>38.425306740000003</v>
      </c>
      <c r="B569">
        <v>117.4901277</v>
      </c>
      <c r="C569">
        <v>26.05046844</v>
      </c>
      <c r="D569">
        <v>5.8061470999999996</v>
      </c>
      <c r="E569" t="b">
        <f t="shared" si="192"/>
        <v>0</v>
      </c>
      <c r="F569">
        <f t="shared" si="193"/>
        <v>-124.44619509999998</v>
      </c>
      <c r="G569">
        <f t="shared" si="194"/>
        <v>-254.69853729999997</v>
      </c>
      <c r="H569">
        <f t="shared" si="195"/>
        <v>-384.95087950000004</v>
      </c>
      <c r="I569">
        <f t="shared" si="196"/>
        <v>-515.20322169999997</v>
      </c>
      <c r="J569">
        <f t="shared" si="197"/>
        <v>-645.45556390000002</v>
      </c>
      <c r="L569">
        <f t="shared" si="198"/>
        <v>11728417.141999999</v>
      </c>
      <c r="M569">
        <f t="shared" si="199"/>
        <v>-214047455.572</v>
      </c>
      <c r="N569">
        <f t="shared" si="200"/>
        <v>-376953835.204</v>
      </c>
      <c r="O569">
        <f t="shared" si="201"/>
        <v>-431144985.04000008</v>
      </c>
      <c r="P569">
        <f t="shared" si="202"/>
        <v>-473986963.96399993</v>
      </c>
      <c r="Q569">
        <f t="shared" si="203"/>
        <v>-555091784.954</v>
      </c>
      <c r="S569">
        <f t="shared" si="204"/>
        <v>14225060.395</v>
      </c>
      <c r="T569">
        <f t="shared" si="205"/>
        <v>-552695825.94099998</v>
      </c>
      <c r="U569">
        <f t="shared" si="206"/>
        <v>-473739279.37799996</v>
      </c>
      <c r="V569">
        <f t="shared" si="207"/>
        <v>-546630248.8900001</v>
      </c>
      <c r="W569">
        <f t="shared" si="208"/>
        <v>-705828413.72900009</v>
      </c>
      <c r="X569">
        <f t="shared" si="209"/>
        <v>-787455787.95799994</v>
      </c>
      <c r="Z569">
        <f t="shared" si="210"/>
        <v>16721703.647999998</v>
      </c>
      <c r="AA569">
        <f t="shared" si="211"/>
        <v>-326049031.16199994</v>
      </c>
      <c r="AB569">
        <f t="shared" si="212"/>
        <v>-570524723.55200005</v>
      </c>
      <c r="AC569">
        <f t="shared" si="213"/>
        <v>-754503723.82000005</v>
      </c>
      <c r="AD569">
        <f t="shared" si="214"/>
        <v>-937669863.49399996</v>
      </c>
      <c r="AE569">
        <f t="shared" si="215"/>
        <v>-1019819790.962</v>
      </c>
    </row>
    <row r="570" spans="1:31" x14ac:dyDescent="0.25">
      <c r="A570">
        <v>38.425860329999999</v>
      </c>
      <c r="B570">
        <v>120.1363266</v>
      </c>
      <c r="C570">
        <v>26.389209749999999</v>
      </c>
      <c r="D570">
        <v>11.018757819999999</v>
      </c>
      <c r="E570" t="b">
        <f t="shared" si="192"/>
        <v>0</v>
      </c>
      <c r="F570">
        <f t="shared" si="193"/>
        <v>-120.92729092999998</v>
      </c>
      <c r="G570">
        <f t="shared" si="194"/>
        <v>-252.87333967999999</v>
      </c>
      <c r="H570">
        <f t="shared" si="195"/>
        <v>-384.81938842999995</v>
      </c>
      <c r="I570">
        <f t="shared" si="196"/>
        <v>-516.76543717999994</v>
      </c>
      <c r="J570">
        <f t="shared" si="197"/>
        <v>-648.71148592999998</v>
      </c>
      <c r="L570">
        <f t="shared" si="198"/>
        <v>22257890.796399999</v>
      </c>
      <c r="M570">
        <f t="shared" si="199"/>
        <v>-207994940.3996</v>
      </c>
      <c r="N570">
        <f t="shared" si="200"/>
        <v>-374252542.72639996</v>
      </c>
      <c r="O570">
        <f t="shared" si="201"/>
        <v>-430997715.04159999</v>
      </c>
      <c r="P570">
        <f t="shared" si="202"/>
        <v>-475424202.2055999</v>
      </c>
      <c r="Q570">
        <f t="shared" si="203"/>
        <v>-557891877.89979994</v>
      </c>
      <c r="S570">
        <f t="shared" si="204"/>
        <v>26995956.659000002</v>
      </c>
      <c r="T570">
        <f t="shared" si="205"/>
        <v>-548735147.10559988</v>
      </c>
      <c r="U570">
        <f t="shared" si="206"/>
        <v>-470344411.80479991</v>
      </c>
      <c r="V570">
        <f t="shared" si="207"/>
        <v>-546443531.57059991</v>
      </c>
      <c r="W570">
        <f t="shared" si="208"/>
        <v>-707968648.93659997</v>
      </c>
      <c r="X570">
        <f t="shared" si="209"/>
        <v>-791428012.83459997</v>
      </c>
      <c r="Z570">
        <f t="shared" si="210"/>
        <v>31734022.521600001</v>
      </c>
      <c r="AA570">
        <f t="shared" si="211"/>
        <v>-316829502.23659998</v>
      </c>
      <c r="AB570">
        <f t="shared" si="212"/>
        <v>-566436280.88320005</v>
      </c>
      <c r="AC570">
        <f t="shared" si="213"/>
        <v>-754246001.32279992</v>
      </c>
      <c r="AD570">
        <f t="shared" si="214"/>
        <v>-940513095.66759992</v>
      </c>
      <c r="AE570">
        <f t="shared" si="215"/>
        <v>-1024964147.7694</v>
      </c>
    </row>
    <row r="571" spans="1:31" x14ac:dyDescent="0.25">
      <c r="A571">
        <v>38.425955649999999</v>
      </c>
      <c r="B571">
        <v>118.42997750000001</v>
      </c>
      <c r="C571">
        <v>13.2817173</v>
      </c>
      <c r="D571">
        <v>18.266651150000001</v>
      </c>
      <c r="E571" t="b">
        <f t="shared" si="192"/>
        <v>1</v>
      </c>
      <c r="F571">
        <f t="shared" si="193"/>
        <v>-48.141935349999997</v>
      </c>
      <c r="G571">
        <f t="shared" si="194"/>
        <v>-114.55052185</v>
      </c>
      <c r="H571">
        <f t="shared" si="195"/>
        <v>-180.95910835000001</v>
      </c>
      <c r="I571">
        <f t="shared" si="196"/>
        <v>-247.36769484999999</v>
      </c>
      <c r="J571">
        <f t="shared" si="197"/>
        <v>-313.77628134999998</v>
      </c>
      <c r="L571">
        <f t="shared" si="198"/>
        <v>26829068.946000002</v>
      </c>
      <c r="M571">
        <f t="shared" si="199"/>
        <v>-82804128.802000001</v>
      </c>
      <c r="N571">
        <f t="shared" si="200"/>
        <v>-169534772.338</v>
      </c>
      <c r="O571">
        <f t="shared" si="201"/>
        <v>-202674201.352</v>
      </c>
      <c r="P571">
        <f t="shared" si="202"/>
        <v>-227578279.26199996</v>
      </c>
      <c r="Q571">
        <f t="shared" si="203"/>
        <v>-269847601.96099997</v>
      </c>
      <c r="S571">
        <f t="shared" si="204"/>
        <v>32540207.385000005</v>
      </c>
      <c r="T571">
        <f t="shared" si="205"/>
        <v>-248574632.41449997</v>
      </c>
      <c r="U571">
        <f t="shared" si="206"/>
        <v>-213063970.64099997</v>
      </c>
      <c r="V571">
        <f t="shared" si="207"/>
        <v>-256961933.85699999</v>
      </c>
      <c r="W571">
        <f t="shared" si="208"/>
        <v>-338893741.94450003</v>
      </c>
      <c r="X571">
        <f t="shared" si="209"/>
        <v>-382807063.24699992</v>
      </c>
      <c r="Z571">
        <f t="shared" si="210"/>
        <v>38251345.824000001</v>
      </c>
      <c r="AA571">
        <f t="shared" si="211"/>
        <v>-126131870.61699998</v>
      </c>
      <c r="AB571">
        <f t="shared" si="212"/>
        <v>-256593168.94400001</v>
      </c>
      <c r="AC571">
        <f t="shared" si="213"/>
        <v>-354679852.366</v>
      </c>
      <c r="AD571">
        <f t="shared" si="214"/>
        <v>-450209204.62700003</v>
      </c>
      <c r="AE571">
        <f t="shared" si="215"/>
        <v>-495766524.53299999</v>
      </c>
    </row>
    <row r="572" spans="1:31" x14ac:dyDescent="0.25">
      <c r="A572">
        <v>38.443347279999998</v>
      </c>
      <c r="B572">
        <v>117.7864811</v>
      </c>
      <c r="C572">
        <v>52.10093689</v>
      </c>
      <c r="D572">
        <v>5.4336562199999996</v>
      </c>
      <c r="E572" t="b">
        <f t="shared" si="192"/>
        <v>0</v>
      </c>
      <c r="F572">
        <f t="shared" si="193"/>
        <v>-255.07102823000002</v>
      </c>
      <c r="G572">
        <f t="shared" si="194"/>
        <v>-515.57571268000004</v>
      </c>
      <c r="H572">
        <f t="shared" si="195"/>
        <v>-776.08039713000005</v>
      </c>
      <c r="I572">
        <f t="shared" si="196"/>
        <v>-1036.58508158</v>
      </c>
      <c r="J572">
        <f t="shared" si="197"/>
        <v>-1297.08976603</v>
      </c>
      <c r="L572">
        <f t="shared" si="198"/>
        <v>10975985.5644</v>
      </c>
      <c r="M572">
        <f t="shared" si="199"/>
        <v>-438722168.55560011</v>
      </c>
      <c r="N572">
        <f t="shared" si="200"/>
        <v>-763052054.7664001</v>
      </c>
      <c r="O572">
        <f t="shared" si="201"/>
        <v>-869210044.78560007</v>
      </c>
      <c r="P572">
        <f t="shared" si="202"/>
        <v>-953658275.05359983</v>
      </c>
      <c r="Q572">
        <f t="shared" si="203"/>
        <v>-1115497198.7858</v>
      </c>
      <c r="S572">
        <f t="shared" si="204"/>
        <v>13312457.739</v>
      </c>
      <c r="T572">
        <f t="shared" si="205"/>
        <v>-1118799296.5156002</v>
      </c>
      <c r="U572">
        <f t="shared" si="206"/>
        <v>-958970825.5848</v>
      </c>
      <c r="V572">
        <f t="shared" si="207"/>
        <v>-1102034163.9245999</v>
      </c>
      <c r="W572">
        <f t="shared" si="208"/>
        <v>-1420121561.7646</v>
      </c>
      <c r="X572">
        <f t="shared" si="209"/>
        <v>-1582449514.5565999</v>
      </c>
      <c r="Z572">
        <f t="shared" si="210"/>
        <v>15648929.913599998</v>
      </c>
      <c r="AA572">
        <f t="shared" si="211"/>
        <v>-668286093.96260011</v>
      </c>
      <c r="AB572">
        <f t="shared" si="212"/>
        <v>-1154889596.4032001</v>
      </c>
      <c r="AC572">
        <f t="shared" si="213"/>
        <v>-1521117578.3748</v>
      </c>
      <c r="AD572">
        <f t="shared" si="214"/>
        <v>-1886584848.4756</v>
      </c>
      <c r="AE572">
        <f t="shared" si="215"/>
        <v>-2049401830.3274</v>
      </c>
    </row>
    <row r="573" spans="1:31" x14ac:dyDescent="0.25">
      <c r="A573">
        <v>38.444449740000003</v>
      </c>
      <c r="B573">
        <v>119.1387679</v>
      </c>
      <c r="C573">
        <v>91.852645870000003</v>
      </c>
      <c r="D573">
        <v>1.22430599</v>
      </c>
      <c r="E573" t="b">
        <f t="shared" si="192"/>
        <v>0</v>
      </c>
      <c r="F573">
        <f t="shared" si="193"/>
        <v>-458.03892336000001</v>
      </c>
      <c r="G573">
        <f t="shared" si="194"/>
        <v>-917.30215271000009</v>
      </c>
      <c r="H573">
        <f t="shared" si="195"/>
        <v>-1376.56538206</v>
      </c>
      <c r="I573">
        <f t="shared" si="196"/>
        <v>-1835.8286114100001</v>
      </c>
      <c r="J573">
        <f t="shared" si="197"/>
        <v>-2295.0918407599997</v>
      </c>
      <c r="L573">
        <f t="shared" si="198"/>
        <v>2473098.0998</v>
      </c>
      <c r="M573">
        <f t="shared" si="199"/>
        <v>-787826948.17920017</v>
      </c>
      <c r="N573">
        <f t="shared" si="200"/>
        <v>-1357607186.0108001</v>
      </c>
      <c r="O573">
        <f t="shared" si="201"/>
        <v>-1541753227.9072001</v>
      </c>
      <c r="P573">
        <f t="shared" si="202"/>
        <v>-1688962322.4972</v>
      </c>
      <c r="Q573">
        <f t="shared" si="203"/>
        <v>-1973778983.0535998</v>
      </c>
      <c r="S573">
        <f t="shared" si="204"/>
        <v>2999549.6755000004</v>
      </c>
      <c r="T573">
        <f t="shared" si="205"/>
        <v>-1990545671.3807001</v>
      </c>
      <c r="U573">
        <f t="shared" si="206"/>
        <v>-1706182004.0406001</v>
      </c>
      <c r="V573">
        <f t="shared" si="207"/>
        <v>-1954722842.5251999</v>
      </c>
      <c r="W573">
        <f t="shared" si="208"/>
        <v>-2515085197.6317005</v>
      </c>
      <c r="X573">
        <f t="shared" si="209"/>
        <v>-2800012045.7271996</v>
      </c>
      <c r="Z573">
        <f t="shared" si="210"/>
        <v>3526001.2511999998</v>
      </c>
      <c r="AA573">
        <f t="shared" si="211"/>
        <v>-1200061979.2032001</v>
      </c>
      <c r="AB573">
        <f t="shared" si="212"/>
        <v>-2054756822.0704002</v>
      </c>
      <c r="AC573">
        <f t="shared" si="213"/>
        <v>-2698068148.8375998</v>
      </c>
      <c r="AD573">
        <f t="shared" si="214"/>
        <v>-3341208072.7662001</v>
      </c>
      <c r="AE573">
        <f t="shared" si="215"/>
        <v>-3626245108.4007998</v>
      </c>
    </row>
    <row r="574" spans="1:31" x14ac:dyDescent="0.25">
      <c r="A574">
        <v>38.446794599999997</v>
      </c>
      <c r="B574">
        <v>117.25855439999999</v>
      </c>
      <c r="C574">
        <v>26.05046844</v>
      </c>
      <c r="D574">
        <v>5.0618801099999997</v>
      </c>
      <c r="E574" t="b">
        <f t="shared" si="192"/>
        <v>0</v>
      </c>
      <c r="F574">
        <f t="shared" si="193"/>
        <v>-125.19046208999998</v>
      </c>
      <c r="G574">
        <f t="shared" si="194"/>
        <v>-255.44280428999997</v>
      </c>
      <c r="H574">
        <f t="shared" si="195"/>
        <v>-385.69514649000001</v>
      </c>
      <c r="I574">
        <f t="shared" si="196"/>
        <v>-515.94748869</v>
      </c>
      <c r="J574">
        <f t="shared" si="197"/>
        <v>-646.19983089000004</v>
      </c>
      <c r="L574">
        <f t="shared" si="198"/>
        <v>10224997.822199998</v>
      </c>
      <c r="M574">
        <f t="shared" si="199"/>
        <v>-215327594.79480001</v>
      </c>
      <c r="N574">
        <f t="shared" si="200"/>
        <v>-378055350.34919995</v>
      </c>
      <c r="O574">
        <f t="shared" si="201"/>
        <v>-431978564.06880003</v>
      </c>
      <c r="P574">
        <f t="shared" si="202"/>
        <v>-474671689.59479994</v>
      </c>
      <c r="Q574">
        <f t="shared" si="203"/>
        <v>-555731854.5654</v>
      </c>
      <c r="S574">
        <f t="shared" si="204"/>
        <v>12401606.269499999</v>
      </c>
      <c r="T574">
        <f t="shared" si="205"/>
        <v>-554310885.30929995</v>
      </c>
      <c r="U574">
        <f t="shared" si="206"/>
        <v>-475123615.97939992</v>
      </c>
      <c r="V574">
        <f t="shared" si="207"/>
        <v>-547687108.0158</v>
      </c>
      <c r="W574">
        <f t="shared" si="208"/>
        <v>-706848059.50530005</v>
      </c>
      <c r="X574">
        <f t="shared" si="209"/>
        <v>-788363793.68579996</v>
      </c>
      <c r="Z574">
        <f t="shared" si="210"/>
        <v>14578214.716799999</v>
      </c>
      <c r="AA574">
        <f t="shared" si="211"/>
        <v>-327999010.67579997</v>
      </c>
      <c r="AB574">
        <f t="shared" si="212"/>
        <v>-572191881.60959995</v>
      </c>
      <c r="AC574">
        <f t="shared" si="213"/>
        <v>-755962487.12039995</v>
      </c>
      <c r="AD574">
        <f t="shared" si="214"/>
        <v>-939024429.41579998</v>
      </c>
      <c r="AE574">
        <f t="shared" si="215"/>
        <v>-1020995732.8062</v>
      </c>
    </row>
    <row r="575" spans="1:31" x14ac:dyDescent="0.25">
      <c r="A575">
        <v>38.448899300000001</v>
      </c>
      <c r="B575">
        <v>117.7286076</v>
      </c>
      <c r="C575">
        <v>25.940095899999999</v>
      </c>
      <c r="D575">
        <v>11.34442329</v>
      </c>
      <c r="E575" t="b">
        <f t="shared" si="192"/>
        <v>0</v>
      </c>
      <c r="F575">
        <f t="shared" si="193"/>
        <v>-118.35605621000001</v>
      </c>
      <c r="G575">
        <f t="shared" si="194"/>
        <v>-248.05653570999999</v>
      </c>
      <c r="H575">
        <f t="shared" si="195"/>
        <v>-377.75701520999996</v>
      </c>
      <c r="I575">
        <f t="shared" si="196"/>
        <v>-507.45749470999999</v>
      </c>
      <c r="J575">
        <f t="shared" si="197"/>
        <v>-637.15797421000002</v>
      </c>
      <c r="L575">
        <f t="shared" si="198"/>
        <v>22915735.045799997</v>
      </c>
      <c r="M575">
        <f t="shared" si="199"/>
        <v>-203572416.68120003</v>
      </c>
      <c r="N575">
        <f t="shared" si="200"/>
        <v>-367123672.85079998</v>
      </c>
      <c r="O575">
        <f t="shared" si="201"/>
        <v>-423087857.0352</v>
      </c>
      <c r="P575">
        <f t="shared" si="202"/>
        <v>-466860895.13319993</v>
      </c>
      <c r="Q575">
        <f t="shared" si="203"/>
        <v>-547955857.82060003</v>
      </c>
      <c r="S575">
        <f t="shared" si="204"/>
        <v>27793837.0605</v>
      </c>
      <c r="T575">
        <f t="shared" si="205"/>
        <v>-538282682.49069989</v>
      </c>
      <c r="U575">
        <f t="shared" si="206"/>
        <v>-461385156.42059994</v>
      </c>
      <c r="V575">
        <f t="shared" si="207"/>
        <v>-536414961.59819996</v>
      </c>
      <c r="W575">
        <f t="shared" si="208"/>
        <v>-695216767.75269997</v>
      </c>
      <c r="X575">
        <f t="shared" si="209"/>
        <v>-777332728.53620005</v>
      </c>
      <c r="Z575">
        <f t="shared" si="210"/>
        <v>32671939.075199995</v>
      </c>
      <c r="AA575">
        <f t="shared" si="211"/>
        <v>-310092867.27020001</v>
      </c>
      <c r="AB575">
        <f t="shared" si="212"/>
        <v>-555646639.99039996</v>
      </c>
      <c r="AC575">
        <f t="shared" si="213"/>
        <v>-740403749.81159997</v>
      </c>
      <c r="AD575">
        <f t="shared" si="214"/>
        <v>-923572640.37220001</v>
      </c>
      <c r="AE575">
        <f t="shared" si="215"/>
        <v>-1006709599.2518001</v>
      </c>
    </row>
    <row r="576" spans="1:31" x14ac:dyDescent="0.25">
      <c r="A576">
        <v>38.451707110000001</v>
      </c>
      <c r="B576">
        <v>116.1446526</v>
      </c>
      <c r="C576">
        <v>78.320755000000005</v>
      </c>
      <c r="D576">
        <v>1.2574019400000001</v>
      </c>
      <c r="E576" t="b">
        <f t="shared" si="192"/>
        <v>0</v>
      </c>
      <c r="F576">
        <f t="shared" si="193"/>
        <v>-390.34637306000002</v>
      </c>
      <c r="G576">
        <f t="shared" si="194"/>
        <v>-781.95014806000006</v>
      </c>
      <c r="H576">
        <f t="shared" si="195"/>
        <v>-1173.5539230600002</v>
      </c>
      <c r="I576">
        <f t="shared" si="196"/>
        <v>-1565.1576980600003</v>
      </c>
      <c r="J576">
        <f t="shared" si="197"/>
        <v>-1956.7614730600003</v>
      </c>
      <c r="L576">
        <f t="shared" si="198"/>
        <v>2539951.9188000001</v>
      </c>
      <c r="M576">
        <f t="shared" si="199"/>
        <v>-671395761.66320014</v>
      </c>
      <c r="N576">
        <f t="shared" si="200"/>
        <v>-1157286219.1288002</v>
      </c>
      <c r="O576">
        <f t="shared" si="201"/>
        <v>-1314380393.8272004</v>
      </c>
      <c r="P576">
        <f t="shared" si="202"/>
        <v>-1439945082.2151999</v>
      </c>
      <c r="Q576">
        <f t="shared" si="203"/>
        <v>-1682814866.8316002</v>
      </c>
      <c r="S576">
        <f t="shared" si="204"/>
        <v>3080634.753</v>
      </c>
      <c r="T576">
        <f t="shared" si="205"/>
        <v>-1696831821.2902</v>
      </c>
      <c r="U576">
        <f t="shared" si="206"/>
        <v>-1454427275.3916001</v>
      </c>
      <c r="V576">
        <f t="shared" si="207"/>
        <v>-1666446570.7452002</v>
      </c>
      <c r="W576">
        <f t="shared" si="208"/>
        <v>-2144266046.3422005</v>
      </c>
      <c r="X576">
        <f t="shared" si="209"/>
        <v>-2387248997.1332002</v>
      </c>
      <c r="Z576">
        <f t="shared" si="210"/>
        <v>3621317.5871999995</v>
      </c>
      <c r="AA576">
        <f t="shared" si="211"/>
        <v>-1022707497.4172001</v>
      </c>
      <c r="AB576">
        <f t="shared" si="212"/>
        <v>-1751568331.6544003</v>
      </c>
      <c r="AC576">
        <f t="shared" si="213"/>
        <v>-2300165689.1976004</v>
      </c>
      <c r="AD576">
        <f t="shared" si="214"/>
        <v>-2848587010.4692006</v>
      </c>
      <c r="AE576">
        <f t="shared" si="215"/>
        <v>-3091683127.4348006</v>
      </c>
    </row>
    <row r="577" spans="1:31" x14ac:dyDescent="0.25">
      <c r="A577">
        <v>38.452098460000002</v>
      </c>
      <c r="B577">
        <v>117.2006408</v>
      </c>
      <c r="C577">
        <v>26.05046844</v>
      </c>
      <c r="D577">
        <v>3.1972780200000002</v>
      </c>
      <c r="E577" t="b">
        <f t="shared" si="192"/>
        <v>0</v>
      </c>
      <c r="F577">
        <f t="shared" si="193"/>
        <v>-127.05506417999999</v>
      </c>
      <c r="G577">
        <f t="shared" si="194"/>
        <v>-257.30740637999997</v>
      </c>
      <c r="H577">
        <f t="shared" si="195"/>
        <v>-387.55974858000002</v>
      </c>
      <c r="I577">
        <f t="shared" si="196"/>
        <v>-517.81209077999995</v>
      </c>
      <c r="J577">
        <f t="shared" si="197"/>
        <v>-648.06443297999999</v>
      </c>
      <c r="L577">
        <f t="shared" si="198"/>
        <v>6458501.6003999999</v>
      </c>
      <c r="M577">
        <f t="shared" si="199"/>
        <v>-218534710.38960001</v>
      </c>
      <c r="N577">
        <f t="shared" si="200"/>
        <v>-380814961.44239992</v>
      </c>
      <c r="O577">
        <f t="shared" si="201"/>
        <v>-434066918.40960008</v>
      </c>
      <c r="P577">
        <f t="shared" si="202"/>
        <v>-476387123.51759994</v>
      </c>
      <c r="Q577">
        <f t="shared" si="203"/>
        <v>-557335412.3628</v>
      </c>
      <c r="S577">
        <f t="shared" si="204"/>
        <v>7833331.1490000002</v>
      </c>
      <c r="T577">
        <f t="shared" si="205"/>
        <v>-558357071.84459996</v>
      </c>
      <c r="U577">
        <f t="shared" si="206"/>
        <v>-478591775.86679989</v>
      </c>
      <c r="V577">
        <f t="shared" si="207"/>
        <v>-550334842.98360002</v>
      </c>
      <c r="W577">
        <f t="shared" si="208"/>
        <v>-709402564.36860001</v>
      </c>
      <c r="X577">
        <f t="shared" si="209"/>
        <v>-790638608.23559999</v>
      </c>
      <c r="Z577">
        <f t="shared" si="210"/>
        <v>9208160.6975999996</v>
      </c>
      <c r="AA577">
        <f t="shared" si="211"/>
        <v>-332884268.1516</v>
      </c>
      <c r="AB577">
        <f t="shared" si="212"/>
        <v>-576368590.29119992</v>
      </c>
      <c r="AC577">
        <f t="shared" si="213"/>
        <v>-759617107.21680009</v>
      </c>
      <c r="AD577">
        <f t="shared" si="214"/>
        <v>-942418005.21959996</v>
      </c>
      <c r="AE577">
        <f t="shared" si="215"/>
        <v>-1023941804.1084001</v>
      </c>
    </row>
    <row r="578" spans="1:31" x14ac:dyDescent="0.25">
      <c r="A578">
        <v>38.454424099999997</v>
      </c>
      <c r="B578">
        <v>117.67072570000001</v>
      </c>
      <c r="C578">
        <v>39.798526760000001</v>
      </c>
      <c r="D578">
        <v>0.31832000999999999</v>
      </c>
      <c r="E578" t="b">
        <f t="shared" si="192"/>
        <v>0</v>
      </c>
      <c r="F578">
        <f t="shared" si="193"/>
        <v>-198.67431379000001</v>
      </c>
      <c r="G578">
        <f t="shared" si="194"/>
        <v>-397.66694759000006</v>
      </c>
      <c r="H578">
        <f t="shared" si="195"/>
        <v>-596.65958139000008</v>
      </c>
      <c r="I578">
        <f t="shared" si="196"/>
        <v>-795.65221519000011</v>
      </c>
      <c r="J578">
        <f t="shared" si="197"/>
        <v>-994.64484899000001</v>
      </c>
      <c r="L578">
        <f t="shared" si="198"/>
        <v>643006.42020000005</v>
      </c>
      <c r="M578">
        <f t="shared" si="199"/>
        <v>-341719819.71880007</v>
      </c>
      <c r="N578">
        <f t="shared" si="200"/>
        <v>-588547082.43320012</v>
      </c>
      <c r="O578">
        <f t="shared" si="201"/>
        <v>-668258731.15680015</v>
      </c>
      <c r="P578">
        <f t="shared" si="202"/>
        <v>-732000037.97479999</v>
      </c>
      <c r="Q578">
        <f t="shared" si="203"/>
        <v>-855394570.13139999</v>
      </c>
      <c r="S578">
        <f t="shared" si="204"/>
        <v>779884.02450000006</v>
      </c>
      <c r="T578">
        <f t="shared" si="205"/>
        <v>-862937276.27030015</v>
      </c>
      <c r="U578">
        <f t="shared" si="206"/>
        <v>-739660522.51740015</v>
      </c>
      <c r="V578">
        <f t="shared" si="207"/>
        <v>-847256605.57380009</v>
      </c>
      <c r="W578">
        <f t="shared" si="208"/>
        <v>-1090043534.8103001</v>
      </c>
      <c r="X578">
        <f t="shared" si="209"/>
        <v>-1213466715.7678001</v>
      </c>
      <c r="Z578">
        <f t="shared" si="210"/>
        <v>916761.62879999995</v>
      </c>
      <c r="AA578">
        <f t="shared" si="211"/>
        <v>-520526702.12980008</v>
      </c>
      <c r="AB578">
        <f t="shared" si="212"/>
        <v>-890773962.60160029</v>
      </c>
      <c r="AC578">
        <f t="shared" si="213"/>
        <v>-1169452779.5244002</v>
      </c>
      <c r="AD578">
        <f t="shared" si="214"/>
        <v>-1448087031.6458001</v>
      </c>
      <c r="AE578">
        <f t="shared" si="215"/>
        <v>-1571538861.4042001</v>
      </c>
    </row>
    <row r="579" spans="1:31" x14ac:dyDescent="0.25">
      <c r="A579">
        <v>38.456796410000003</v>
      </c>
      <c r="B579">
        <v>119.02321790000001</v>
      </c>
      <c r="C579">
        <v>44.10648346</v>
      </c>
      <c r="D579">
        <v>32.32168961</v>
      </c>
      <c r="E579" t="b">
        <f t="shared" ref="E579:E642" si="216">D579&gt;C579</f>
        <v>0</v>
      </c>
      <c r="F579">
        <f t="shared" ref="F579:F642" si="217">D579-(C579*(2030-2025))</f>
        <v>-188.21072769</v>
      </c>
      <c r="G579">
        <f t="shared" ref="G579:G642" si="218">D579-(C579*(2035-2025))</f>
        <v>-408.74314498999996</v>
      </c>
      <c r="H579">
        <f t="shared" ref="H579:H642" si="219">D579-(C579*(2040-2025))</f>
        <v>-629.27556228999993</v>
      </c>
      <c r="I579">
        <f t="shared" ref="I579:I642" si="220">D579-(C579*(2045-2025))</f>
        <v>-849.80797958999995</v>
      </c>
      <c r="J579">
        <f t="shared" ref="J579:J642" si="221">D579-(C579*(2050-2025))</f>
        <v>-1070.34039689</v>
      </c>
      <c r="L579">
        <f t="shared" ref="L579:L642" si="222">MIN(C579,D579)*1000000*((280/250)+0.9)</f>
        <v>65289813.012199998</v>
      </c>
      <c r="M579">
        <f t="shared" ref="M579:M642" si="223">MIN(C579,F579)*1000000*((230/250)+0.8)</f>
        <v>-323722451.62680006</v>
      </c>
      <c r="N579">
        <f t="shared" ref="N579:N642" si="224">MIN(C579,G579)*1000000*((195/250)+0.7)</f>
        <v>-604939854.58519995</v>
      </c>
      <c r="O579">
        <f t="shared" ref="O579:O642" si="225">MIN(C579,H579)*1000000*((130/250)+0.6)</f>
        <v>-704788629.76480007</v>
      </c>
      <c r="P579">
        <f t="shared" ref="P579:P642" si="226">MIN(C579,I579)*1000000*((105/250)+0.5)</f>
        <v>-781823341.2227999</v>
      </c>
      <c r="Q579">
        <f t="shared" ref="Q579:Q642" si="227">MIN(C579,J579)*1000000*((90/250)+0.5)</f>
        <v>-920492741.32539999</v>
      </c>
      <c r="S579">
        <f t="shared" ref="S579:S642" si="228">MIN(C579,D579)*1000000*((325/250)+1.15)</f>
        <v>79188139.544500008</v>
      </c>
      <c r="T579">
        <f t="shared" ref="T579:T642" si="229">MIN(C579,G579)*1000000*((280/250)+1.05)</f>
        <v>-886972624.62829983</v>
      </c>
      <c r="U579">
        <f t="shared" ref="U579:U642" si="230">MIN(C579,G579)*1000000*((227.5/250)+0.95)</f>
        <v>-760262249.68139982</v>
      </c>
      <c r="V579">
        <f t="shared" ref="V579:V642" si="231">MIN(C579,H579)*1000000*((142.5/250)+0.85)</f>
        <v>-893571298.45179987</v>
      </c>
      <c r="W579">
        <f t="shared" ref="W579:W642" si="232">MIN(C579,I579)*1000000*((142.5/250)+0.8)</f>
        <v>-1164236932.0383</v>
      </c>
      <c r="X579">
        <f t="shared" ref="X579:X642" si="233">MIN(C579,J579)*1000000*((117.5/250)+0.75)</f>
        <v>-1305815284.2058001</v>
      </c>
      <c r="Z579">
        <f t="shared" ref="Z579:Z642" si="234">MIN(C579,D579)*1000000*((370/250)+1.4)</f>
        <v>93086466.076799989</v>
      </c>
      <c r="AA579">
        <f t="shared" ref="AA579:AA642" si="235">MIN(C579,F579)*1000000*((330/250)+1.3)</f>
        <v>-493112106.5478</v>
      </c>
      <c r="AB579">
        <f t="shared" ref="AB579:AB642" si="236">MIN(C579,G579)*1000000*((260/250)+1.2)</f>
        <v>-915584644.77759993</v>
      </c>
      <c r="AC579">
        <f t="shared" ref="AC579:AC642" si="237">MIN(C579,H579)*1000000*((215/250)+1.1)</f>
        <v>-1233380102.0883999</v>
      </c>
      <c r="AD579">
        <f t="shared" ref="AD579:AD642" si="238">MIN(C579,I579)*1000000*((180/250)+1.1)</f>
        <v>-1546650522.8537998</v>
      </c>
      <c r="AE579">
        <f t="shared" ref="AE579:AE642" si="239">MIN(C579,J579)*1000000*((145/250)+1)</f>
        <v>-1691137827.0862</v>
      </c>
    </row>
    <row r="580" spans="1:31" x14ac:dyDescent="0.25">
      <c r="A580">
        <v>38.46538194</v>
      </c>
      <c r="B580">
        <v>119.7901423</v>
      </c>
      <c r="C580">
        <v>63.334102629999997</v>
      </c>
      <c r="D580">
        <v>1.22430599</v>
      </c>
      <c r="E580" t="b">
        <f t="shared" si="216"/>
        <v>0</v>
      </c>
      <c r="F580">
        <f t="shared" si="217"/>
        <v>-315.44620715999997</v>
      </c>
      <c r="G580">
        <f t="shared" si="218"/>
        <v>-632.11672031000001</v>
      </c>
      <c r="H580">
        <f t="shared" si="219"/>
        <v>-948.78723346000004</v>
      </c>
      <c r="I580">
        <f t="shared" si="220"/>
        <v>-1265.45774661</v>
      </c>
      <c r="J580">
        <f t="shared" si="221"/>
        <v>-1582.12825976</v>
      </c>
      <c r="L580">
        <f t="shared" si="222"/>
        <v>2473098.0998</v>
      </c>
      <c r="M580">
        <f t="shared" si="223"/>
        <v>-542567476.31519997</v>
      </c>
      <c r="N580">
        <f t="shared" si="224"/>
        <v>-935532746.0588001</v>
      </c>
      <c r="O580">
        <f t="shared" si="225"/>
        <v>-1062641701.4752002</v>
      </c>
      <c r="P580">
        <f t="shared" si="226"/>
        <v>-1164221126.8811998</v>
      </c>
      <c r="Q580">
        <f t="shared" si="227"/>
        <v>-1360630303.3936</v>
      </c>
      <c r="S580">
        <f t="shared" si="228"/>
        <v>2999549.6755000004</v>
      </c>
      <c r="T580">
        <f t="shared" si="229"/>
        <v>-1371693283.0727</v>
      </c>
      <c r="U580">
        <f t="shared" si="230"/>
        <v>-1175737099.7766001</v>
      </c>
      <c r="V580">
        <f t="shared" si="231"/>
        <v>-1347277871.5132</v>
      </c>
      <c r="W580">
        <f t="shared" si="232"/>
        <v>-1733677112.8557</v>
      </c>
      <c r="X580">
        <f t="shared" si="233"/>
        <v>-1930196476.9071999</v>
      </c>
      <c r="Z580">
        <f t="shared" si="234"/>
        <v>3526001.2511999998</v>
      </c>
      <c r="AA580">
        <f t="shared" si="235"/>
        <v>-826469062.75919998</v>
      </c>
      <c r="AB580">
        <f t="shared" si="236"/>
        <v>-1415941453.4944003</v>
      </c>
      <c r="AC580">
        <f t="shared" si="237"/>
        <v>-1859622977.5816</v>
      </c>
      <c r="AD580">
        <f t="shared" si="238"/>
        <v>-2303133098.8301997</v>
      </c>
      <c r="AE580">
        <f t="shared" si="239"/>
        <v>-2499762650.4208002</v>
      </c>
    </row>
    <row r="581" spans="1:31" x14ac:dyDescent="0.25">
      <c r="A581">
        <v>38.465964319999998</v>
      </c>
      <c r="B581">
        <v>115.97065809999999</v>
      </c>
      <c r="C581">
        <v>78.320755000000005</v>
      </c>
      <c r="D581">
        <v>4.81695604</v>
      </c>
      <c r="E581" t="b">
        <f t="shared" si="216"/>
        <v>0</v>
      </c>
      <c r="F581">
        <f t="shared" si="217"/>
        <v>-386.78681896000006</v>
      </c>
      <c r="G581">
        <f t="shared" si="218"/>
        <v>-778.39059396000005</v>
      </c>
      <c r="H581">
        <f t="shared" si="219"/>
        <v>-1169.9943689600002</v>
      </c>
      <c r="I581">
        <f t="shared" si="220"/>
        <v>-1561.5981439600002</v>
      </c>
      <c r="J581">
        <f t="shared" si="221"/>
        <v>-1953.2019189600003</v>
      </c>
      <c r="L581">
        <f t="shared" si="222"/>
        <v>9730251.2007999998</v>
      </c>
      <c r="M581">
        <f t="shared" si="223"/>
        <v>-665273328.61120009</v>
      </c>
      <c r="N581">
        <f t="shared" si="224"/>
        <v>-1152018079.0608001</v>
      </c>
      <c r="O581">
        <f t="shared" si="225"/>
        <v>-1310393693.2352004</v>
      </c>
      <c r="P581">
        <f t="shared" si="226"/>
        <v>-1436670292.4432001</v>
      </c>
      <c r="Q581">
        <f t="shared" si="227"/>
        <v>-1679753650.3056002</v>
      </c>
      <c r="S581">
        <f t="shared" si="228"/>
        <v>11801542.298</v>
      </c>
      <c r="T581">
        <f t="shared" si="229"/>
        <v>-1689107588.8931999</v>
      </c>
      <c r="U581">
        <f t="shared" si="230"/>
        <v>-1447806504.7656</v>
      </c>
      <c r="V581">
        <f t="shared" si="231"/>
        <v>-1661392003.9232004</v>
      </c>
      <c r="W581">
        <f t="shared" si="232"/>
        <v>-2139389457.2252007</v>
      </c>
      <c r="X581">
        <f t="shared" si="233"/>
        <v>-2382906341.1312003</v>
      </c>
      <c r="Z581">
        <f t="shared" si="234"/>
        <v>13872833.395199999</v>
      </c>
      <c r="AA581">
        <f t="shared" si="235"/>
        <v>-1013381465.6752001</v>
      </c>
      <c r="AB581">
        <f t="shared" si="236"/>
        <v>-1743594930.4704003</v>
      </c>
      <c r="AC581">
        <f t="shared" si="237"/>
        <v>-2293188963.1616006</v>
      </c>
      <c r="AD581">
        <f t="shared" si="238"/>
        <v>-2842108622.0072007</v>
      </c>
      <c r="AE581">
        <f t="shared" si="239"/>
        <v>-3086059031.9568005</v>
      </c>
    </row>
    <row r="582" spans="1:31" x14ac:dyDescent="0.25">
      <c r="A582">
        <v>38.47142917</v>
      </c>
      <c r="B582">
        <v>118.4374414</v>
      </c>
      <c r="C582">
        <v>38.009181980000001</v>
      </c>
      <c r="D582">
        <v>0.48972300000000002</v>
      </c>
      <c r="E582" t="b">
        <f t="shared" si="216"/>
        <v>0</v>
      </c>
      <c r="F582">
        <f t="shared" si="217"/>
        <v>-189.5561869</v>
      </c>
      <c r="G582">
        <f t="shared" si="218"/>
        <v>-379.60209679999997</v>
      </c>
      <c r="H582">
        <f t="shared" si="219"/>
        <v>-569.6480067</v>
      </c>
      <c r="I582">
        <f t="shared" si="220"/>
        <v>-759.69391659999997</v>
      </c>
      <c r="J582">
        <f t="shared" si="221"/>
        <v>-949.73982650000005</v>
      </c>
      <c r="L582">
        <f t="shared" si="222"/>
        <v>989240.46</v>
      </c>
      <c r="M582">
        <f t="shared" si="223"/>
        <v>-326036641.46800005</v>
      </c>
      <c r="N582">
        <f t="shared" si="224"/>
        <v>-561811103.26399994</v>
      </c>
      <c r="O582">
        <f t="shared" si="225"/>
        <v>-638005767.50400007</v>
      </c>
      <c r="P582">
        <f t="shared" si="226"/>
        <v>-698918403.27199996</v>
      </c>
      <c r="Q582">
        <f t="shared" si="227"/>
        <v>-816776250.78999996</v>
      </c>
      <c r="S582">
        <f t="shared" si="228"/>
        <v>1199821.3500000001</v>
      </c>
      <c r="T582">
        <f t="shared" si="229"/>
        <v>-823736550.05599988</v>
      </c>
      <c r="U582">
        <f t="shared" si="230"/>
        <v>-706059900.04799986</v>
      </c>
      <c r="V582">
        <f t="shared" si="231"/>
        <v>-808900169.51400006</v>
      </c>
      <c r="W582">
        <f t="shared" si="232"/>
        <v>-1040780665.7420001</v>
      </c>
      <c r="X582">
        <f t="shared" si="233"/>
        <v>-1158682588.3299999</v>
      </c>
      <c r="Z582">
        <f t="shared" si="234"/>
        <v>1410402.24</v>
      </c>
      <c r="AA582">
        <f t="shared" si="235"/>
        <v>-496637209.67800003</v>
      </c>
      <c r="AB582">
        <f t="shared" si="236"/>
        <v>-850308696.83200002</v>
      </c>
      <c r="AC582">
        <f t="shared" si="237"/>
        <v>-1116510093.132</v>
      </c>
      <c r="AD582">
        <f t="shared" si="238"/>
        <v>-1382642928.2120001</v>
      </c>
      <c r="AE582">
        <f t="shared" si="239"/>
        <v>-1500588925.8700001</v>
      </c>
    </row>
    <row r="583" spans="1:31" x14ac:dyDescent="0.25">
      <c r="A583">
        <v>38.477881670000002</v>
      </c>
      <c r="B583">
        <v>120.0871022</v>
      </c>
      <c r="C583">
        <v>26.389209749999999</v>
      </c>
      <c r="D583">
        <v>1.48875701</v>
      </c>
      <c r="E583" t="b">
        <f t="shared" si="216"/>
        <v>0</v>
      </c>
      <c r="F583">
        <f t="shared" si="217"/>
        <v>-130.45729173999999</v>
      </c>
      <c r="G583">
        <f t="shared" si="218"/>
        <v>-262.40334049000001</v>
      </c>
      <c r="H583">
        <f t="shared" si="219"/>
        <v>-394.34938923999999</v>
      </c>
      <c r="I583">
        <f t="shared" si="220"/>
        <v>-526.29543798999998</v>
      </c>
      <c r="J583">
        <f t="shared" si="221"/>
        <v>-658.24148674000003</v>
      </c>
      <c r="L583">
        <f t="shared" si="222"/>
        <v>3007289.1602000003</v>
      </c>
      <c r="M583">
        <f t="shared" si="223"/>
        <v>-224386541.79280001</v>
      </c>
      <c r="N583">
        <f t="shared" si="224"/>
        <v>-388356943.92519999</v>
      </c>
      <c r="O583">
        <f t="shared" si="225"/>
        <v>-441671315.94880003</v>
      </c>
      <c r="P583">
        <f t="shared" si="226"/>
        <v>-484191802.95079994</v>
      </c>
      <c r="Q583">
        <f t="shared" si="227"/>
        <v>-566087678.59640002</v>
      </c>
      <c r="S583">
        <f t="shared" si="228"/>
        <v>3647454.6745000002</v>
      </c>
      <c r="T583">
        <f t="shared" si="229"/>
        <v>-569415248.86329997</v>
      </c>
      <c r="U583">
        <f t="shared" si="230"/>
        <v>-488070213.3114</v>
      </c>
      <c r="V583">
        <f t="shared" si="231"/>
        <v>-559976132.72080004</v>
      </c>
      <c r="W583">
        <f t="shared" si="232"/>
        <v>-721024750.04630005</v>
      </c>
      <c r="X583">
        <f t="shared" si="233"/>
        <v>-803054613.82280004</v>
      </c>
      <c r="Z583">
        <f t="shared" si="234"/>
        <v>4287620.1887999997</v>
      </c>
      <c r="AA583">
        <f t="shared" si="235"/>
        <v>-341798104.35879999</v>
      </c>
      <c r="AB583">
        <f t="shared" si="236"/>
        <v>-587783482.69760013</v>
      </c>
      <c r="AC583">
        <f t="shared" si="237"/>
        <v>-772924802.91040003</v>
      </c>
      <c r="AD583">
        <f t="shared" si="238"/>
        <v>-957857697.14180005</v>
      </c>
      <c r="AE583">
        <f t="shared" si="239"/>
        <v>-1040021549.0492001</v>
      </c>
    </row>
    <row r="584" spans="1:31" x14ac:dyDescent="0.25">
      <c r="A584">
        <v>38.48700092</v>
      </c>
      <c r="B584">
        <v>117.3232598</v>
      </c>
      <c r="C584">
        <v>52.10093689</v>
      </c>
      <c r="D584">
        <v>9.6765000000000004E-2</v>
      </c>
      <c r="E584" t="b">
        <f t="shared" si="216"/>
        <v>0</v>
      </c>
      <c r="F584">
        <f t="shared" si="217"/>
        <v>-260.40791945000001</v>
      </c>
      <c r="G584">
        <f t="shared" si="218"/>
        <v>-520.91260390000002</v>
      </c>
      <c r="H584">
        <f t="shared" si="219"/>
        <v>-781.41728835000004</v>
      </c>
      <c r="I584">
        <f t="shared" si="220"/>
        <v>-1041.9219728</v>
      </c>
      <c r="J584">
        <f t="shared" si="221"/>
        <v>-1302.4266572500001</v>
      </c>
      <c r="L584">
        <f t="shared" si="222"/>
        <v>195465.3</v>
      </c>
      <c r="M584">
        <f t="shared" si="223"/>
        <v>-447901621.45400006</v>
      </c>
      <c r="N584">
        <f t="shared" si="224"/>
        <v>-770950653.77200007</v>
      </c>
      <c r="O584">
        <f t="shared" si="225"/>
        <v>-875187362.95200014</v>
      </c>
      <c r="P584">
        <f t="shared" si="226"/>
        <v>-958568214.97599995</v>
      </c>
      <c r="Q584">
        <f t="shared" si="227"/>
        <v>-1120086925.2349999</v>
      </c>
      <c r="S584">
        <f t="shared" si="228"/>
        <v>237074.25000000003</v>
      </c>
      <c r="T584">
        <f t="shared" si="229"/>
        <v>-1130380350.4630001</v>
      </c>
      <c r="U584">
        <f t="shared" si="230"/>
        <v>-968897443.25399995</v>
      </c>
      <c r="V584">
        <f t="shared" si="231"/>
        <v>-1109612549.457</v>
      </c>
      <c r="W584">
        <f t="shared" si="232"/>
        <v>-1427433102.7360003</v>
      </c>
      <c r="X584">
        <f t="shared" si="233"/>
        <v>-1588960521.845</v>
      </c>
      <c r="Z584">
        <f t="shared" si="234"/>
        <v>278683.2</v>
      </c>
      <c r="AA584">
        <f t="shared" si="235"/>
        <v>-682268748.95900011</v>
      </c>
      <c r="AB584">
        <f t="shared" si="236"/>
        <v>-1166844232.7360003</v>
      </c>
      <c r="AC584">
        <f t="shared" si="237"/>
        <v>-1531577885.1660001</v>
      </c>
      <c r="AD584">
        <f t="shared" si="238"/>
        <v>-1896297990.4960003</v>
      </c>
      <c r="AE584">
        <f t="shared" si="239"/>
        <v>-2057834118.4550002</v>
      </c>
    </row>
    <row r="585" spans="1:31" x14ac:dyDescent="0.25">
      <c r="A585">
        <v>38.488858139999998</v>
      </c>
      <c r="B585">
        <v>117.7935621</v>
      </c>
      <c r="C585">
        <v>47.062068940000003</v>
      </c>
      <c r="D585">
        <v>45.255260470000003</v>
      </c>
      <c r="E585" t="b">
        <f t="shared" si="216"/>
        <v>0</v>
      </c>
      <c r="F585">
        <f t="shared" si="217"/>
        <v>-190.05508423000003</v>
      </c>
      <c r="G585">
        <f t="shared" si="218"/>
        <v>-425.36542893000006</v>
      </c>
      <c r="H585">
        <f t="shared" si="219"/>
        <v>-660.67577362999998</v>
      </c>
      <c r="I585">
        <f t="shared" si="220"/>
        <v>-895.98611833000007</v>
      </c>
      <c r="J585">
        <f t="shared" si="221"/>
        <v>-1131.29646303</v>
      </c>
      <c r="L585">
        <f t="shared" si="222"/>
        <v>91415626.149400011</v>
      </c>
      <c r="M585">
        <f t="shared" si="223"/>
        <v>-326894744.8756001</v>
      </c>
      <c r="N585">
        <f t="shared" si="224"/>
        <v>-629540834.81640005</v>
      </c>
      <c r="O585">
        <f t="shared" si="225"/>
        <v>-739956866.46560001</v>
      </c>
      <c r="P585">
        <f t="shared" si="226"/>
        <v>-824307228.86360002</v>
      </c>
      <c r="Q585">
        <f t="shared" si="227"/>
        <v>-972914958.20579994</v>
      </c>
      <c r="S585">
        <f t="shared" si="228"/>
        <v>110875388.15150002</v>
      </c>
      <c r="T585">
        <f t="shared" si="229"/>
        <v>-923042980.77810013</v>
      </c>
      <c r="U585">
        <f t="shared" si="230"/>
        <v>-791179697.80980003</v>
      </c>
      <c r="V585">
        <f t="shared" si="231"/>
        <v>-938159598.5546</v>
      </c>
      <c r="W585">
        <f t="shared" si="232"/>
        <v>-1227500982.1121001</v>
      </c>
      <c r="X585">
        <f t="shared" si="233"/>
        <v>-1380181684.8966</v>
      </c>
      <c r="Z585">
        <f t="shared" si="234"/>
        <v>130335150.15360001</v>
      </c>
      <c r="AA585">
        <f t="shared" si="235"/>
        <v>-497944320.68260014</v>
      </c>
      <c r="AB585">
        <f t="shared" si="236"/>
        <v>-952818560.80320024</v>
      </c>
      <c r="AC585">
        <f t="shared" si="237"/>
        <v>-1294924516.3148</v>
      </c>
      <c r="AD585">
        <f t="shared" si="238"/>
        <v>-1630694735.3606002</v>
      </c>
      <c r="AE585">
        <f t="shared" si="239"/>
        <v>-1787448411.5874</v>
      </c>
    </row>
    <row r="586" spans="1:31" x14ac:dyDescent="0.25">
      <c r="A586">
        <v>38.497305490000002</v>
      </c>
      <c r="B586">
        <v>116.15075179999999</v>
      </c>
      <c r="C586">
        <v>78.320755000000005</v>
      </c>
      <c r="D586">
        <v>1.0177279699999999</v>
      </c>
      <c r="E586" t="b">
        <f t="shared" si="216"/>
        <v>0</v>
      </c>
      <c r="F586">
        <f t="shared" si="217"/>
        <v>-390.58604703000003</v>
      </c>
      <c r="G586">
        <f t="shared" si="218"/>
        <v>-782.18982203000007</v>
      </c>
      <c r="H586">
        <f t="shared" si="219"/>
        <v>-1173.7935970300002</v>
      </c>
      <c r="I586">
        <f t="shared" si="220"/>
        <v>-1565.3973720300003</v>
      </c>
      <c r="J586">
        <f t="shared" si="221"/>
        <v>-1957.0011470300003</v>
      </c>
      <c r="L586">
        <f t="shared" si="222"/>
        <v>2055810.4993999999</v>
      </c>
      <c r="M586">
        <f t="shared" si="223"/>
        <v>-671808000.89160013</v>
      </c>
      <c r="N586">
        <f t="shared" si="224"/>
        <v>-1157640936.6044002</v>
      </c>
      <c r="O586">
        <f t="shared" si="225"/>
        <v>-1314648828.6736004</v>
      </c>
      <c r="P586">
        <f t="shared" si="226"/>
        <v>-1440165582.2676001</v>
      </c>
      <c r="Q586">
        <f t="shared" si="227"/>
        <v>-1683020986.4458001</v>
      </c>
      <c r="S586">
        <f t="shared" si="228"/>
        <v>2493433.5265000002</v>
      </c>
      <c r="T586">
        <f t="shared" si="229"/>
        <v>-1697351913.8051002</v>
      </c>
      <c r="U586">
        <f t="shared" si="230"/>
        <v>-1454873068.9758</v>
      </c>
      <c r="V586">
        <f t="shared" si="231"/>
        <v>-1666786907.7826002</v>
      </c>
      <c r="W586">
        <f t="shared" si="232"/>
        <v>-2144594399.6811004</v>
      </c>
      <c r="X586">
        <f t="shared" si="233"/>
        <v>-2387541399.3766003</v>
      </c>
      <c r="Z586">
        <f t="shared" si="234"/>
        <v>2931056.5535999998</v>
      </c>
      <c r="AA586">
        <f t="shared" si="235"/>
        <v>-1023335443.2186002</v>
      </c>
      <c r="AB586">
        <f t="shared" si="236"/>
        <v>-1752105201.3472004</v>
      </c>
      <c r="AC586">
        <f t="shared" si="237"/>
        <v>-2300635450.1788006</v>
      </c>
      <c r="AD586">
        <f t="shared" si="238"/>
        <v>-2849023217.0946007</v>
      </c>
      <c r="AE586">
        <f t="shared" si="239"/>
        <v>-3092061812.3074007</v>
      </c>
    </row>
    <row r="587" spans="1:31" x14ac:dyDescent="0.25">
      <c r="A587">
        <v>38.502087889999999</v>
      </c>
      <c r="B587">
        <v>116.09272660000001</v>
      </c>
      <c r="C587">
        <v>78.320755000000005</v>
      </c>
      <c r="D587">
        <v>6.6664000000000001E-2</v>
      </c>
      <c r="E587" t="b">
        <f t="shared" si="216"/>
        <v>0</v>
      </c>
      <c r="F587">
        <f t="shared" si="217"/>
        <v>-391.53711100000004</v>
      </c>
      <c r="G587">
        <f t="shared" si="218"/>
        <v>-783.14088600000014</v>
      </c>
      <c r="H587">
        <f t="shared" si="219"/>
        <v>-1174.7446610000002</v>
      </c>
      <c r="I587">
        <f t="shared" si="220"/>
        <v>-1566.3484360000002</v>
      </c>
      <c r="J587">
        <f t="shared" si="221"/>
        <v>-1957.9522110000003</v>
      </c>
      <c r="L587">
        <f t="shared" si="222"/>
        <v>134661.28</v>
      </c>
      <c r="M587">
        <f t="shared" si="223"/>
        <v>-673443830.9200002</v>
      </c>
      <c r="N587">
        <f t="shared" si="224"/>
        <v>-1159048511.2800002</v>
      </c>
      <c r="O587">
        <f t="shared" si="225"/>
        <v>-1315714020.3200004</v>
      </c>
      <c r="P587">
        <f t="shared" si="226"/>
        <v>-1441040561.1200001</v>
      </c>
      <c r="Q587">
        <f t="shared" si="227"/>
        <v>-1683838901.4600003</v>
      </c>
      <c r="S587">
        <f t="shared" si="228"/>
        <v>163326.80000000002</v>
      </c>
      <c r="T587">
        <f t="shared" si="229"/>
        <v>-1699415722.6200001</v>
      </c>
      <c r="U587">
        <f t="shared" si="230"/>
        <v>-1456642047.96</v>
      </c>
      <c r="V587">
        <f t="shared" si="231"/>
        <v>-1668137418.6200004</v>
      </c>
      <c r="W587">
        <f t="shared" si="232"/>
        <v>-2145897357.3200004</v>
      </c>
      <c r="X587">
        <f t="shared" si="233"/>
        <v>-2388701697.4200001</v>
      </c>
      <c r="Z587">
        <f t="shared" si="234"/>
        <v>191992.32000000001</v>
      </c>
      <c r="AA587">
        <f t="shared" si="235"/>
        <v>-1025827230.8200002</v>
      </c>
      <c r="AB587">
        <f t="shared" si="236"/>
        <v>-1754235584.6400003</v>
      </c>
      <c r="AC587">
        <f t="shared" si="237"/>
        <v>-2302499535.5600004</v>
      </c>
      <c r="AD587">
        <f t="shared" si="238"/>
        <v>-2850754153.5200005</v>
      </c>
      <c r="AE587">
        <f t="shared" si="239"/>
        <v>-3093564493.3800006</v>
      </c>
    </row>
    <row r="588" spans="1:31" x14ac:dyDescent="0.25">
      <c r="A588">
        <v>38.502231930000001</v>
      </c>
      <c r="B588">
        <v>119.03103900000001</v>
      </c>
      <c r="C588">
        <v>15.833525659999999</v>
      </c>
      <c r="D588">
        <v>4.8972258599999998</v>
      </c>
      <c r="E588" t="b">
        <f t="shared" si="216"/>
        <v>0</v>
      </c>
      <c r="F588">
        <f t="shared" si="217"/>
        <v>-74.270402439999984</v>
      </c>
      <c r="G588">
        <f t="shared" si="218"/>
        <v>-153.43803073999999</v>
      </c>
      <c r="H588">
        <f t="shared" si="219"/>
        <v>-232.60565904000001</v>
      </c>
      <c r="I588">
        <f t="shared" si="220"/>
        <v>-311.77328733999997</v>
      </c>
      <c r="J588">
        <f t="shared" si="221"/>
        <v>-390.94091564000001</v>
      </c>
      <c r="L588">
        <f t="shared" si="222"/>
        <v>9892396.2371999994</v>
      </c>
      <c r="M588">
        <f t="shared" si="223"/>
        <v>-127745092.19679998</v>
      </c>
      <c r="N588">
        <f t="shared" si="224"/>
        <v>-227088285.49519998</v>
      </c>
      <c r="O588">
        <f t="shared" si="225"/>
        <v>-260518338.12480003</v>
      </c>
      <c r="P588">
        <f t="shared" si="226"/>
        <v>-286831424.35279995</v>
      </c>
      <c r="Q588">
        <f t="shared" si="227"/>
        <v>-336209187.45039999</v>
      </c>
      <c r="S588">
        <f t="shared" si="228"/>
        <v>11998203.356999999</v>
      </c>
      <c r="T588">
        <f t="shared" si="229"/>
        <v>-332960526.70579994</v>
      </c>
      <c r="U588">
        <f t="shared" si="230"/>
        <v>-285394737.17639995</v>
      </c>
      <c r="V588">
        <f t="shared" si="231"/>
        <v>-330300035.83679998</v>
      </c>
      <c r="W588">
        <f t="shared" si="232"/>
        <v>-427129403.65579998</v>
      </c>
      <c r="X588">
        <f t="shared" si="233"/>
        <v>-476947917.0808</v>
      </c>
      <c r="Z588">
        <f t="shared" si="234"/>
        <v>14104010.476799998</v>
      </c>
      <c r="AA588">
        <f t="shared" si="235"/>
        <v>-194588454.39279997</v>
      </c>
      <c r="AB588">
        <f t="shared" si="236"/>
        <v>-343701188.85759997</v>
      </c>
      <c r="AC588">
        <f t="shared" si="237"/>
        <v>-455907091.7184</v>
      </c>
      <c r="AD588">
        <f t="shared" si="238"/>
        <v>-567427382.95879996</v>
      </c>
      <c r="AE588">
        <f t="shared" si="239"/>
        <v>-617686646.7112</v>
      </c>
    </row>
    <row r="589" spans="1:31" x14ac:dyDescent="0.25">
      <c r="A589">
        <v>38.510915199999999</v>
      </c>
      <c r="B589">
        <v>117.5618814</v>
      </c>
      <c r="C589">
        <v>52.10093689</v>
      </c>
      <c r="D589">
        <v>18.087516780000001</v>
      </c>
      <c r="E589" t="b">
        <f t="shared" si="216"/>
        <v>0</v>
      </c>
      <c r="F589">
        <f t="shared" si="217"/>
        <v>-242.41716767000003</v>
      </c>
      <c r="G589">
        <f t="shared" si="218"/>
        <v>-502.92185212000004</v>
      </c>
      <c r="H589">
        <f t="shared" si="219"/>
        <v>-763.42653657000005</v>
      </c>
      <c r="I589">
        <f t="shared" si="220"/>
        <v>-1023.9312210200001</v>
      </c>
      <c r="J589">
        <f t="shared" si="221"/>
        <v>-1284.4359054700001</v>
      </c>
      <c r="L589">
        <f t="shared" si="222"/>
        <v>36536783.895600006</v>
      </c>
      <c r="M589">
        <f t="shared" si="223"/>
        <v>-416957528.39240009</v>
      </c>
      <c r="N589">
        <f t="shared" si="224"/>
        <v>-744324341.13760006</v>
      </c>
      <c r="O589">
        <f t="shared" si="225"/>
        <v>-855037720.95840013</v>
      </c>
      <c r="P589">
        <f t="shared" si="226"/>
        <v>-942016723.33840001</v>
      </c>
      <c r="Q589">
        <f t="shared" si="227"/>
        <v>-1104614878.7042</v>
      </c>
      <c r="S589">
        <f t="shared" si="228"/>
        <v>44314416.111000009</v>
      </c>
      <c r="T589">
        <f t="shared" si="229"/>
        <v>-1091340419.1004002</v>
      </c>
      <c r="U589">
        <f t="shared" si="230"/>
        <v>-935434644.94320011</v>
      </c>
      <c r="V589">
        <f t="shared" si="231"/>
        <v>-1084065681.9294</v>
      </c>
      <c r="W589">
        <f t="shared" si="232"/>
        <v>-1402785772.7974002</v>
      </c>
      <c r="X589">
        <f t="shared" si="233"/>
        <v>-1567011804.6733999</v>
      </c>
      <c r="Z589">
        <f t="shared" si="234"/>
        <v>52092048.326400004</v>
      </c>
      <c r="AA589">
        <f t="shared" si="235"/>
        <v>-635132979.29540002</v>
      </c>
      <c r="AB589">
        <f t="shared" si="236"/>
        <v>-1126544948.7488003</v>
      </c>
      <c r="AC589">
        <f t="shared" si="237"/>
        <v>-1496316011.6772001</v>
      </c>
      <c r="AD589">
        <f t="shared" si="238"/>
        <v>-1863554822.2564003</v>
      </c>
      <c r="AE589">
        <f t="shared" si="239"/>
        <v>-2029408730.6426001</v>
      </c>
    </row>
    <row r="590" spans="1:31" x14ac:dyDescent="0.25">
      <c r="A590">
        <v>38.520517310000002</v>
      </c>
      <c r="B590">
        <v>91.098702180000004</v>
      </c>
      <c r="C590">
        <v>20.624670030000001</v>
      </c>
      <c r="D590">
        <v>0.47804201000000002</v>
      </c>
      <c r="E590" t="b">
        <f t="shared" si="216"/>
        <v>0</v>
      </c>
      <c r="F590">
        <f t="shared" si="217"/>
        <v>-102.64530814000001</v>
      </c>
      <c r="G590">
        <f t="shared" si="218"/>
        <v>-205.76865829000002</v>
      </c>
      <c r="H590">
        <f t="shared" si="219"/>
        <v>-308.89200843999998</v>
      </c>
      <c r="I590">
        <f t="shared" si="220"/>
        <v>-412.01535859000001</v>
      </c>
      <c r="J590">
        <f t="shared" si="221"/>
        <v>-515.13870874000008</v>
      </c>
      <c r="L590">
        <f t="shared" si="222"/>
        <v>965644.8602</v>
      </c>
      <c r="M590">
        <f t="shared" si="223"/>
        <v>-176549930.00080004</v>
      </c>
      <c r="N590">
        <f t="shared" si="224"/>
        <v>-304537614.26920003</v>
      </c>
      <c r="O590">
        <f t="shared" si="225"/>
        <v>-345959049.45280004</v>
      </c>
      <c r="P590">
        <f t="shared" si="226"/>
        <v>-379054129.90280002</v>
      </c>
      <c r="Q590">
        <f t="shared" si="227"/>
        <v>-443019289.51640004</v>
      </c>
      <c r="S590">
        <f t="shared" si="228"/>
        <v>1171202.9245000002</v>
      </c>
      <c r="T590">
        <f t="shared" si="229"/>
        <v>-446517988.48930001</v>
      </c>
      <c r="U590">
        <f t="shared" si="230"/>
        <v>-382729704.41940004</v>
      </c>
      <c r="V590">
        <f t="shared" si="231"/>
        <v>-438626651.98479998</v>
      </c>
      <c r="W590">
        <f t="shared" si="232"/>
        <v>-564461041.26830006</v>
      </c>
      <c r="X590">
        <f t="shared" si="233"/>
        <v>-628469224.66280007</v>
      </c>
      <c r="Z590">
        <f t="shared" si="234"/>
        <v>1376760.9887999999</v>
      </c>
      <c r="AA590">
        <f t="shared" si="235"/>
        <v>-268930707.32680005</v>
      </c>
      <c r="AB590">
        <f t="shared" si="236"/>
        <v>-460921794.56960011</v>
      </c>
      <c r="AC590">
        <f t="shared" si="237"/>
        <v>-605428336.5424</v>
      </c>
      <c r="AD590">
        <f t="shared" si="238"/>
        <v>-749867952.63380003</v>
      </c>
      <c r="AE590">
        <f t="shared" si="239"/>
        <v>-813919159.80920017</v>
      </c>
    </row>
    <row r="591" spans="1:31" x14ac:dyDescent="0.25">
      <c r="A591">
        <v>38.527171840000001</v>
      </c>
      <c r="B591">
        <v>117.38803350000001</v>
      </c>
      <c r="C591">
        <v>52.10093689</v>
      </c>
      <c r="D591">
        <v>4.86169195</v>
      </c>
      <c r="E591" t="b">
        <f t="shared" si="216"/>
        <v>0</v>
      </c>
      <c r="F591">
        <f t="shared" si="217"/>
        <v>-255.64299250000002</v>
      </c>
      <c r="G591">
        <f t="shared" si="218"/>
        <v>-516.14767695</v>
      </c>
      <c r="H591">
        <f t="shared" si="219"/>
        <v>-776.65236140000002</v>
      </c>
      <c r="I591">
        <f t="shared" si="220"/>
        <v>-1037.15704585</v>
      </c>
      <c r="J591">
        <f t="shared" si="221"/>
        <v>-1297.6617303</v>
      </c>
      <c r="L591">
        <f t="shared" si="222"/>
        <v>9820617.7390000001</v>
      </c>
      <c r="M591">
        <f t="shared" si="223"/>
        <v>-439705947.10000008</v>
      </c>
      <c r="N591">
        <f t="shared" si="224"/>
        <v>-763898561.88599992</v>
      </c>
      <c r="O591">
        <f t="shared" si="225"/>
        <v>-869850644.76800001</v>
      </c>
      <c r="P591">
        <f t="shared" si="226"/>
        <v>-954184482.18199992</v>
      </c>
      <c r="Q591">
        <f t="shared" si="227"/>
        <v>-1115989088.0579998</v>
      </c>
      <c r="S591">
        <f t="shared" si="228"/>
        <v>11911145.277500002</v>
      </c>
      <c r="T591">
        <f t="shared" si="229"/>
        <v>-1120040458.9814999</v>
      </c>
      <c r="U591">
        <f t="shared" si="230"/>
        <v>-960034679.12699986</v>
      </c>
      <c r="V591">
        <f t="shared" si="231"/>
        <v>-1102846353.188</v>
      </c>
      <c r="W591">
        <f t="shared" si="232"/>
        <v>-1420905152.8145001</v>
      </c>
      <c r="X591">
        <f t="shared" si="233"/>
        <v>-1583147310.9659998</v>
      </c>
      <c r="Z591">
        <f t="shared" si="234"/>
        <v>14001672.816</v>
      </c>
      <c r="AA591">
        <f t="shared" si="235"/>
        <v>-669784640.35000014</v>
      </c>
      <c r="AB591">
        <f t="shared" si="236"/>
        <v>-1156170796.368</v>
      </c>
      <c r="AC591">
        <f t="shared" si="237"/>
        <v>-1522238628.3439999</v>
      </c>
      <c r="AD591">
        <f t="shared" si="238"/>
        <v>-1887625823.447</v>
      </c>
      <c r="AE591">
        <f t="shared" si="239"/>
        <v>-2050305533.8740001</v>
      </c>
    </row>
    <row r="592" spans="1:31" x14ac:dyDescent="0.25">
      <c r="A592">
        <v>38.528781330000001</v>
      </c>
      <c r="B592">
        <v>117.8585848</v>
      </c>
      <c r="C592">
        <v>36.340690610000003</v>
      </c>
      <c r="D592">
        <v>1.95888996</v>
      </c>
      <c r="E592" t="b">
        <f t="shared" si="216"/>
        <v>0</v>
      </c>
      <c r="F592">
        <f t="shared" si="217"/>
        <v>-179.74456309000001</v>
      </c>
      <c r="G592">
        <f t="shared" si="218"/>
        <v>-361.44801613999999</v>
      </c>
      <c r="H592">
        <f t="shared" si="219"/>
        <v>-543.15146919000006</v>
      </c>
      <c r="I592">
        <f t="shared" si="220"/>
        <v>-724.85492224000006</v>
      </c>
      <c r="J592">
        <f t="shared" si="221"/>
        <v>-906.55837529000007</v>
      </c>
      <c r="L592">
        <f t="shared" si="222"/>
        <v>3956957.7192000002</v>
      </c>
      <c r="M592">
        <f t="shared" si="223"/>
        <v>-309160648.51480001</v>
      </c>
      <c r="N592">
        <f t="shared" si="224"/>
        <v>-534943063.8872</v>
      </c>
      <c r="O592">
        <f t="shared" si="225"/>
        <v>-608329645.49280012</v>
      </c>
      <c r="P592">
        <f t="shared" si="226"/>
        <v>-666866528.46079993</v>
      </c>
      <c r="Q592">
        <f t="shared" si="227"/>
        <v>-779640202.74940002</v>
      </c>
      <c r="S592">
        <f t="shared" si="228"/>
        <v>4799280.4020000007</v>
      </c>
      <c r="T592">
        <f t="shared" si="229"/>
        <v>-784342195.0237999</v>
      </c>
      <c r="U592">
        <f t="shared" si="230"/>
        <v>-672293310.02039993</v>
      </c>
      <c r="V592">
        <f t="shared" si="231"/>
        <v>-771275086.24980009</v>
      </c>
      <c r="W592">
        <f t="shared" si="232"/>
        <v>-993051243.46880007</v>
      </c>
      <c r="X592">
        <f t="shared" si="233"/>
        <v>-1106001217.8538001</v>
      </c>
      <c r="Z592">
        <f t="shared" si="234"/>
        <v>5641603.0847999994</v>
      </c>
      <c r="AA592">
        <f t="shared" si="235"/>
        <v>-470930755.29580003</v>
      </c>
      <c r="AB592">
        <f t="shared" si="236"/>
        <v>-809643556.1536001</v>
      </c>
      <c r="AC592">
        <f t="shared" si="237"/>
        <v>-1064576879.6124001</v>
      </c>
      <c r="AD592">
        <f t="shared" si="238"/>
        <v>-1319235958.4768</v>
      </c>
      <c r="AE592">
        <f t="shared" si="239"/>
        <v>-1432362232.9582002</v>
      </c>
    </row>
    <row r="593" spans="1:31" x14ac:dyDescent="0.25">
      <c r="A593">
        <v>38.534366810000002</v>
      </c>
      <c r="B593">
        <v>117.80065159999999</v>
      </c>
      <c r="C593">
        <v>35.565509800000001</v>
      </c>
      <c r="D593">
        <v>3.40357208</v>
      </c>
      <c r="E593" t="b">
        <f t="shared" si="216"/>
        <v>0</v>
      </c>
      <c r="F593">
        <f t="shared" si="217"/>
        <v>-174.42397692</v>
      </c>
      <c r="G593">
        <f t="shared" si="218"/>
        <v>-352.25152592000001</v>
      </c>
      <c r="H593">
        <f t="shared" si="219"/>
        <v>-530.07907492000004</v>
      </c>
      <c r="I593">
        <f t="shared" si="220"/>
        <v>-707.90662392000002</v>
      </c>
      <c r="J593">
        <f t="shared" si="221"/>
        <v>-885.73417291999999</v>
      </c>
      <c r="L593">
        <f t="shared" si="222"/>
        <v>6875215.6016000006</v>
      </c>
      <c r="M593">
        <f t="shared" si="223"/>
        <v>-300009240.30239999</v>
      </c>
      <c r="N593">
        <f t="shared" si="224"/>
        <v>-521332258.36160004</v>
      </c>
      <c r="O593">
        <f t="shared" si="225"/>
        <v>-593688563.91040003</v>
      </c>
      <c r="P593">
        <f t="shared" si="226"/>
        <v>-651274094.00639987</v>
      </c>
      <c r="Q593">
        <f t="shared" si="227"/>
        <v>-761731388.7112</v>
      </c>
      <c r="S593">
        <f t="shared" si="228"/>
        <v>8338751.5960000008</v>
      </c>
      <c r="T593">
        <f t="shared" si="229"/>
        <v>-764385811.2464</v>
      </c>
      <c r="U593">
        <f t="shared" si="230"/>
        <v>-655187838.2112</v>
      </c>
      <c r="V593">
        <f t="shared" si="231"/>
        <v>-752712286.38639998</v>
      </c>
      <c r="W593">
        <f t="shared" si="232"/>
        <v>-969832074.77040005</v>
      </c>
      <c r="X593">
        <f t="shared" si="233"/>
        <v>-1080595690.9624</v>
      </c>
      <c r="Z593">
        <f t="shared" si="234"/>
        <v>9802287.5903999992</v>
      </c>
      <c r="AA593">
        <f t="shared" si="235"/>
        <v>-456990819.53039998</v>
      </c>
      <c r="AB593">
        <f t="shared" si="236"/>
        <v>-789043418.06080008</v>
      </c>
      <c r="AC593">
        <f t="shared" si="237"/>
        <v>-1038954986.8432</v>
      </c>
      <c r="AD593">
        <f t="shared" si="238"/>
        <v>-1288390055.5344</v>
      </c>
      <c r="AE593">
        <f t="shared" si="239"/>
        <v>-1399459993.2135999</v>
      </c>
    </row>
    <row r="594" spans="1:31" x14ac:dyDescent="0.25">
      <c r="A594">
        <v>38.541498539999999</v>
      </c>
      <c r="B594">
        <v>119.096717</v>
      </c>
      <c r="C594">
        <v>37.065147400000001</v>
      </c>
      <c r="D594">
        <v>2.7571380099999998</v>
      </c>
      <c r="E594" t="b">
        <f t="shared" si="216"/>
        <v>0</v>
      </c>
      <c r="F594">
        <f t="shared" si="217"/>
        <v>-182.56859899</v>
      </c>
      <c r="G594">
        <f t="shared" si="218"/>
        <v>-367.89433599</v>
      </c>
      <c r="H594">
        <f t="shared" si="219"/>
        <v>-553.22007299000006</v>
      </c>
      <c r="I594">
        <f t="shared" si="220"/>
        <v>-738.54580999000007</v>
      </c>
      <c r="J594">
        <f t="shared" si="221"/>
        <v>-923.87154699000007</v>
      </c>
      <c r="L594">
        <f t="shared" si="222"/>
        <v>5569418.7801999999</v>
      </c>
      <c r="M594">
        <f t="shared" si="223"/>
        <v>-314017990.26280004</v>
      </c>
      <c r="N594">
        <f t="shared" si="224"/>
        <v>-544483617.26520002</v>
      </c>
      <c r="O594">
        <f t="shared" si="225"/>
        <v>-619606481.74880004</v>
      </c>
      <c r="P594">
        <f t="shared" si="226"/>
        <v>-679462145.19079995</v>
      </c>
      <c r="Q594">
        <f t="shared" si="227"/>
        <v>-794529530.41140008</v>
      </c>
      <c r="S594">
        <f t="shared" si="228"/>
        <v>6754988.1244999999</v>
      </c>
      <c r="T594">
        <f t="shared" si="229"/>
        <v>-798330709.09829998</v>
      </c>
      <c r="U594">
        <f t="shared" si="230"/>
        <v>-684283464.94139993</v>
      </c>
      <c r="V594">
        <f t="shared" si="231"/>
        <v>-785572503.64579999</v>
      </c>
      <c r="W594">
        <f t="shared" si="232"/>
        <v>-1011807759.6863</v>
      </c>
      <c r="X594">
        <f t="shared" si="233"/>
        <v>-1127123287.3278</v>
      </c>
      <c r="Z594">
        <f t="shared" si="234"/>
        <v>7940557.468799999</v>
      </c>
      <c r="AA594">
        <f t="shared" si="235"/>
        <v>-478329729.35380006</v>
      </c>
      <c r="AB594">
        <f t="shared" si="236"/>
        <v>-824083312.61760008</v>
      </c>
      <c r="AC594">
        <f t="shared" si="237"/>
        <v>-1084311343.0604</v>
      </c>
      <c r="AD594">
        <f t="shared" si="238"/>
        <v>-1344153374.1818001</v>
      </c>
      <c r="AE594">
        <f t="shared" si="239"/>
        <v>-1459717044.2442002</v>
      </c>
    </row>
    <row r="595" spans="1:31" x14ac:dyDescent="0.25">
      <c r="A595">
        <v>38.541782759999997</v>
      </c>
      <c r="B595">
        <v>120.3350607</v>
      </c>
      <c r="C595">
        <v>76.676757809999998</v>
      </c>
      <c r="D595">
        <v>7.3458380700000001</v>
      </c>
      <c r="E595" t="b">
        <f t="shared" si="216"/>
        <v>0</v>
      </c>
      <c r="F595">
        <f t="shared" si="217"/>
        <v>-376.03795098000001</v>
      </c>
      <c r="G595">
        <f t="shared" si="218"/>
        <v>-759.42174003000002</v>
      </c>
      <c r="H595">
        <f t="shared" si="219"/>
        <v>-1142.80552908</v>
      </c>
      <c r="I595">
        <f t="shared" si="220"/>
        <v>-1526.1893181300002</v>
      </c>
      <c r="J595">
        <f t="shared" si="221"/>
        <v>-1909.5731071800001</v>
      </c>
      <c r="L595">
        <f t="shared" si="222"/>
        <v>14838592.9014</v>
      </c>
      <c r="M595">
        <f t="shared" si="223"/>
        <v>-646785275.68560016</v>
      </c>
      <c r="N595">
        <f t="shared" si="224"/>
        <v>-1123944175.2444</v>
      </c>
      <c r="O595">
        <f t="shared" si="225"/>
        <v>-1279942192.5696001</v>
      </c>
      <c r="P595">
        <f t="shared" si="226"/>
        <v>-1404094172.6796</v>
      </c>
      <c r="Q595">
        <f t="shared" si="227"/>
        <v>-1642232872.1747999</v>
      </c>
      <c r="S595">
        <f t="shared" si="228"/>
        <v>17997303.271500003</v>
      </c>
      <c r="T595">
        <f t="shared" si="229"/>
        <v>-1647945175.8650999</v>
      </c>
      <c r="U595">
        <f t="shared" si="230"/>
        <v>-1412524436.4557998</v>
      </c>
      <c r="V595">
        <f t="shared" si="231"/>
        <v>-1622783851.2935998</v>
      </c>
      <c r="W595">
        <f t="shared" si="232"/>
        <v>-2090879365.8381004</v>
      </c>
      <c r="X595">
        <f t="shared" si="233"/>
        <v>-2329679190.7596002</v>
      </c>
      <c r="Z595">
        <f t="shared" si="234"/>
        <v>21156013.641600002</v>
      </c>
      <c r="AA595">
        <f t="shared" si="235"/>
        <v>-985219431.56760013</v>
      </c>
      <c r="AB595">
        <f t="shared" si="236"/>
        <v>-1701104697.6672001</v>
      </c>
      <c r="AC595">
        <f t="shared" si="237"/>
        <v>-2239898836.9967999</v>
      </c>
      <c r="AD595">
        <f t="shared" si="238"/>
        <v>-2777664558.9966002</v>
      </c>
      <c r="AE595">
        <f t="shared" si="239"/>
        <v>-3017125509.3444004</v>
      </c>
    </row>
    <row r="596" spans="1:31" x14ac:dyDescent="0.25">
      <c r="A596">
        <v>38.548465540000002</v>
      </c>
      <c r="B596">
        <v>117.1561217</v>
      </c>
      <c r="C596">
        <v>52.10093689</v>
      </c>
      <c r="D596">
        <v>4.2896999999999998E-2</v>
      </c>
      <c r="E596" t="b">
        <f t="shared" si="216"/>
        <v>0</v>
      </c>
      <c r="F596">
        <f t="shared" si="217"/>
        <v>-260.46178745000003</v>
      </c>
      <c r="G596">
        <f t="shared" si="218"/>
        <v>-520.96647189999999</v>
      </c>
      <c r="H596">
        <f t="shared" si="219"/>
        <v>-781.47115635</v>
      </c>
      <c r="I596">
        <f t="shared" si="220"/>
        <v>-1041.9758408</v>
      </c>
      <c r="J596">
        <f t="shared" si="221"/>
        <v>-1302.48052525</v>
      </c>
      <c r="L596">
        <f t="shared" si="222"/>
        <v>86651.94</v>
      </c>
      <c r="M596">
        <f t="shared" si="223"/>
        <v>-447994274.41400009</v>
      </c>
      <c r="N596">
        <f t="shared" si="224"/>
        <v>-771030378.41199994</v>
      </c>
      <c r="O596">
        <f t="shared" si="225"/>
        <v>-875247695.11200011</v>
      </c>
      <c r="P596">
        <f t="shared" si="226"/>
        <v>-958617773.53600001</v>
      </c>
      <c r="Q596">
        <f t="shared" si="227"/>
        <v>-1120133251.7149999</v>
      </c>
      <c r="S596">
        <f t="shared" si="228"/>
        <v>105097.65000000001</v>
      </c>
      <c r="T596">
        <f t="shared" si="229"/>
        <v>-1130497244.023</v>
      </c>
      <c r="U596">
        <f t="shared" si="230"/>
        <v>-968997637.73399985</v>
      </c>
      <c r="V596">
        <f t="shared" si="231"/>
        <v>-1109689042.017</v>
      </c>
      <c r="W596">
        <f t="shared" si="232"/>
        <v>-1427506901.8960001</v>
      </c>
      <c r="X596">
        <f t="shared" si="233"/>
        <v>-1589026240.8050001</v>
      </c>
      <c r="Z596">
        <f t="shared" si="234"/>
        <v>123543.36</v>
      </c>
      <c r="AA596">
        <f t="shared" si="235"/>
        <v>-682409883.11900008</v>
      </c>
      <c r="AB596">
        <f t="shared" si="236"/>
        <v>-1166964897.056</v>
      </c>
      <c r="AC596">
        <f t="shared" si="237"/>
        <v>-1531683466.4460001</v>
      </c>
      <c r="AD596">
        <f t="shared" si="238"/>
        <v>-1896396030.2560003</v>
      </c>
      <c r="AE596">
        <f t="shared" si="239"/>
        <v>-2057919229.895</v>
      </c>
    </row>
    <row r="597" spans="1:31" x14ac:dyDescent="0.25">
      <c r="A597">
        <v>38.5564362</v>
      </c>
      <c r="B597">
        <v>117.56883430000001</v>
      </c>
      <c r="C597">
        <v>52.10093689</v>
      </c>
      <c r="D597">
        <v>0.29545099000000002</v>
      </c>
      <c r="E597" t="b">
        <f t="shared" si="216"/>
        <v>0</v>
      </c>
      <c r="F597">
        <f t="shared" si="217"/>
        <v>-260.20923346000001</v>
      </c>
      <c r="G597">
        <f t="shared" si="218"/>
        <v>-520.71391791000008</v>
      </c>
      <c r="H597">
        <f t="shared" si="219"/>
        <v>-781.21860236000009</v>
      </c>
      <c r="I597">
        <f t="shared" si="220"/>
        <v>-1041.72328681</v>
      </c>
      <c r="J597">
        <f t="shared" si="221"/>
        <v>-1302.22797126</v>
      </c>
      <c r="L597">
        <f t="shared" si="222"/>
        <v>596810.99980000011</v>
      </c>
      <c r="M597">
        <f t="shared" si="223"/>
        <v>-447559881.55120009</v>
      </c>
      <c r="N597">
        <f t="shared" si="224"/>
        <v>-770656598.50680017</v>
      </c>
      <c r="O597">
        <f t="shared" si="225"/>
        <v>-874964834.64320028</v>
      </c>
      <c r="P597">
        <f t="shared" si="226"/>
        <v>-958385423.86519992</v>
      </c>
      <c r="Q597">
        <f t="shared" si="227"/>
        <v>-1119916055.2836001</v>
      </c>
      <c r="S597">
        <f t="shared" si="228"/>
        <v>723854.92550000013</v>
      </c>
      <c r="T597">
        <f t="shared" si="229"/>
        <v>-1129949201.8647001</v>
      </c>
      <c r="U597">
        <f t="shared" si="230"/>
        <v>-968527887.31260014</v>
      </c>
      <c r="V597">
        <f t="shared" si="231"/>
        <v>-1109330415.3512001</v>
      </c>
      <c r="W597">
        <f t="shared" si="232"/>
        <v>-1427160902.9297001</v>
      </c>
      <c r="X597">
        <f t="shared" si="233"/>
        <v>-1588718124.9372001</v>
      </c>
      <c r="Z597">
        <f t="shared" si="234"/>
        <v>850898.85120000015</v>
      </c>
      <c r="AA597">
        <f t="shared" si="235"/>
        <v>-681748191.6652</v>
      </c>
      <c r="AB597">
        <f t="shared" si="236"/>
        <v>-1166399176.1184003</v>
      </c>
      <c r="AC597">
        <f t="shared" si="237"/>
        <v>-1531188460.6256003</v>
      </c>
      <c r="AD597">
        <f t="shared" si="238"/>
        <v>-1895936381.9942</v>
      </c>
      <c r="AE597">
        <f t="shared" si="239"/>
        <v>-2057520194.5908</v>
      </c>
    </row>
    <row r="598" spans="1:31" x14ac:dyDescent="0.25">
      <c r="A598">
        <v>38.568233739999997</v>
      </c>
      <c r="B598">
        <v>118.3944817</v>
      </c>
      <c r="C598">
        <v>21.786016459999999</v>
      </c>
      <c r="D598">
        <v>3.0607659800000002</v>
      </c>
      <c r="E598" t="b">
        <f t="shared" si="216"/>
        <v>0</v>
      </c>
      <c r="F598">
        <f t="shared" si="217"/>
        <v>-105.86931632</v>
      </c>
      <c r="G598">
        <f t="shared" si="218"/>
        <v>-214.79939861999998</v>
      </c>
      <c r="H598">
        <f t="shared" si="219"/>
        <v>-323.72948092000001</v>
      </c>
      <c r="I598">
        <f t="shared" si="220"/>
        <v>-432.65956322</v>
      </c>
      <c r="J598">
        <f t="shared" si="221"/>
        <v>-541.58964551999998</v>
      </c>
      <c r="L598">
        <f t="shared" si="222"/>
        <v>6182747.2796000009</v>
      </c>
      <c r="M598">
        <f t="shared" si="223"/>
        <v>-182095224.0704</v>
      </c>
      <c r="N598">
        <f t="shared" si="224"/>
        <v>-317903109.95759994</v>
      </c>
      <c r="O598">
        <f t="shared" si="225"/>
        <v>-362577018.63040006</v>
      </c>
      <c r="P598">
        <f t="shared" si="226"/>
        <v>-398046798.16239995</v>
      </c>
      <c r="Q598">
        <f t="shared" si="227"/>
        <v>-465767095.14719999</v>
      </c>
      <c r="S598">
        <f t="shared" si="228"/>
        <v>7498876.6510000015</v>
      </c>
      <c r="T598">
        <f t="shared" si="229"/>
        <v>-466114695.00539994</v>
      </c>
      <c r="U598">
        <f t="shared" si="230"/>
        <v>-399526881.43319994</v>
      </c>
      <c r="V598">
        <f t="shared" si="231"/>
        <v>-459695862.90640002</v>
      </c>
      <c r="W598">
        <f t="shared" si="232"/>
        <v>-592743601.61140001</v>
      </c>
      <c r="X598">
        <f t="shared" si="233"/>
        <v>-660739367.53439999</v>
      </c>
      <c r="Z598">
        <f t="shared" si="234"/>
        <v>8815006.0224000011</v>
      </c>
      <c r="AA598">
        <f t="shared" si="235"/>
        <v>-277377608.75839996</v>
      </c>
      <c r="AB598">
        <f t="shared" si="236"/>
        <v>-481150652.90880001</v>
      </c>
      <c r="AC598">
        <f t="shared" si="237"/>
        <v>-634509782.60320008</v>
      </c>
      <c r="AD598">
        <f t="shared" si="238"/>
        <v>-787440405.06040001</v>
      </c>
      <c r="AE598">
        <f t="shared" si="239"/>
        <v>-855711639.92159998</v>
      </c>
    </row>
    <row r="599" spans="1:31" x14ac:dyDescent="0.25">
      <c r="A599">
        <v>38.572701930000001</v>
      </c>
      <c r="B599">
        <v>117.3948838</v>
      </c>
      <c r="C599">
        <v>52.10093689</v>
      </c>
      <c r="D599">
        <v>0.33168501</v>
      </c>
      <c r="E599" t="b">
        <f t="shared" si="216"/>
        <v>0</v>
      </c>
      <c r="F599">
        <f t="shared" si="217"/>
        <v>-260.17299944000001</v>
      </c>
      <c r="G599">
        <f t="shared" si="218"/>
        <v>-520.67768389000003</v>
      </c>
      <c r="H599">
        <f t="shared" si="219"/>
        <v>-781.18236834000004</v>
      </c>
      <c r="I599">
        <f t="shared" si="220"/>
        <v>-1041.6870527900001</v>
      </c>
      <c r="J599">
        <f t="shared" si="221"/>
        <v>-1302.1917372400001</v>
      </c>
      <c r="L599">
        <f t="shared" si="222"/>
        <v>670003.72019999998</v>
      </c>
      <c r="M599">
        <f t="shared" si="223"/>
        <v>-447497559.03680003</v>
      </c>
      <c r="N599">
        <f t="shared" si="224"/>
        <v>-770602972.1572001</v>
      </c>
      <c r="O599">
        <f t="shared" si="225"/>
        <v>-874924252.54080009</v>
      </c>
      <c r="P599">
        <f t="shared" si="226"/>
        <v>-958352088.5668</v>
      </c>
      <c r="Q599">
        <f t="shared" si="227"/>
        <v>-1119884894.0264001</v>
      </c>
      <c r="S599">
        <f t="shared" si="228"/>
        <v>812628.27450000006</v>
      </c>
      <c r="T599">
        <f t="shared" si="229"/>
        <v>-1129870574.0413001</v>
      </c>
      <c r="U599">
        <f t="shared" si="230"/>
        <v>-968460492.03540003</v>
      </c>
      <c r="V599">
        <f t="shared" si="231"/>
        <v>-1109278963.0427999</v>
      </c>
      <c r="W599">
        <f t="shared" si="232"/>
        <v>-1427111262.3223002</v>
      </c>
      <c r="X599">
        <f t="shared" si="233"/>
        <v>-1588673919.4328001</v>
      </c>
      <c r="Z599">
        <f t="shared" si="234"/>
        <v>955252.82880000002</v>
      </c>
      <c r="AA599">
        <f t="shared" si="235"/>
        <v>-681653258.53280008</v>
      </c>
      <c r="AB599">
        <f t="shared" si="236"/>
        <v>-1166318011.9136002</v>
      </c>
      <c r="AC599">
        <f t="shared" si="237"/>
        <v>-1531117441.9463999</v>
      </c>
      <c r="AD599">
        <f t="shared" si="238"/>
        <v>-1895870436.0778003</v>
      </c>
      <c r="AE599">
        <f t="shared" si="239"/>
        <v>-2057462944.8392</v>
      </c>
    </row>
    <row r="600" spans="1:31" x14ac:dyDescent="0.25">
      <c r="A600">
        <v>38.574284679999998</v>
      </c>
      <c r="B600">
        <v>117.8657169</v>
      </c>
      <c r="C600">
        <v>49.602558139999999</v>
      </c>
      <c r="D600">
        <v>0.85701400000000005</v>
      </c>
      <c r="E600" t="b">
        <f t="shared" si="216"/>
        <v>0</v>
      </c>
      <c r="F600">
        <f t="shared" si="217"/>
        <v>-247.15577669999999</v>
      </c>
      <c r="G600">
        <f t="shared" si="218"/>
        <v>-495.16856739999997</v>
      </c>
      <c r="H600">
        <f t="shared" si="219"/>
        <v>-743.1813580999999</v>
      </c>
      <c r="I600">
        <f t="shared" si="220"/>
        <v>-991.19414879999988</v>
      </c>
      <c r="J600">
        <f t="shared" si="221"/>
        <v>-1239.2069395000001</v>
      </c>
      <c r="L600">
        <f t="shared" si="222"/>
        <v>1731168.28</v>
      </c>
      <c r="M600">
        <f t="shared" si="223"/>
        <v>-425107935.92400002</v>
      </c>
      <c r="N600">
        <f t="shared" si="224"/>
        <v>-732849479.75199997</v>
      </c>
      <c r="O600">
        <f t="shared" si="225"/>
        <v>-832363121.07200003</v>
      </c>
      <c r="P600">
        <f t="shared" si="226"/>
        <v>-911898616.89599979</v>
      </c>
      <c r="Q600">
        <f t="shared" si="227"/>
        <v>-1065717967.97</v>
      </c>
      <c r="S600">
        <f t="shared" si="228"/>
        <v>2099684.3000000003</v>
      </c>
      <c r="T600">
        <f t="shared" si="229"/>
        <v>-1074515791.2579999</v>
      </c>
      <c r="U600">
        <f t="shared" si="230"/>
        <v>-921013535.36399984</v>
      </c>
      <c r="V600">
        <f t="shared" si="231"/>
        <v>-1055317528.5019999</v>
      </c>
      <c r="W600">
        <f t="shared" si="232"/>
        <v>-1357935983.8559999</v>
      </c>
      <c r="X600">
        <f t="shared" si="233"/>
        <v>-1511832466.1900001</v>
      </c>
      <c r="Z600">
        <f t="shared" si="234"/>
        <v>2468200.3199999998</v>
      </c>
      <c r="AA600">
        <f t="shared" si="235"/>
        <v>-647548134.954</v>
      </c>
      <c r="AB600">
        <f t="shared" si="236"/>
        <v>-1109177590.9760001</v>
      </c>
      <c r="AC600">
        <f t="shared" si="237"/>
        <v>-1456635461.8759997</v>
      </c>
      <c r="AD600">
        <f t="shared" si="238"/>
        <v>-1803973350.8159997</v>
      </c>
      <c r="AE600">
        <f t="shared" si="239"/>
        <v>-1957946964.4100001</v>
      </c>
    </row>
    <row r="601" spans="1:31" x14ac:dyDescent="0.25">
      <c r="A601">
        <v>38.574504359999999</v>
      </c>
      <c r="B601">
        <v>119.2203252</v>
      </c>
      <c r="C601">
        <v>65.973022459999996</v>
      </c>
      <c r="D601">
        <v>2.9383349399999998</v>
      </c>
      <c r="E601" t="b">
        <f t="shared" si="216"/>
        <v>0</v>
      </c>
      <c r="F601">
        <f t="shared" si="217"/>
        <v>-326.92677735999996</v>
      </c>
      <c r="G601">
        <f t="shared" si="218"/>
        <v>-656.79188965999992</v>
      </c>
      <c r="H601">
        <f t="shared" si="219"/>
        <v>-986.65700195999989</v>
      </c>
      <c r="I601">
        <f t="shared" si="220"/>
        <v>-1316.5221142599999</v>
      </c>
      <c r="J601">
        <f t="shared" si="221"/>
        <v>-1646.3872265599998</v>
      </c>
      <c r="L601">
        <f t="shared" si="222"/>
        <v>5935436.5788000003</v>
      </c>
      <c r="M601">
        <f t="shared" si="223"/>
        <v>-562314057.05919993</v>
      </c>
      <c r="N601">
        <f t="shared" si="224"/>
        <v>-972051996.69679999</v>
      </c>
      <c r="O601">
        <f t="shared" si="225"/>
        <v>-1105055842.1952</v>
      </c>
      <c r="P601">
        <f t="shared" si="226"/>
        <v>-1211200345.1191998</v>
      </c>
      <c r="Q601">
        <f t="shared" si="227"/>
        <v>-1415893014.8415997</v>
      </c>
      <c r="S601">
        <f t="shared" si="228"/>
        <v>7198920.6030000001</v>
      </c>
      <c r="T601">
        <f t="shared" si="229"/>
        <v>-1425238400.5621998</v>
      </c>
      <c r="U601">
        <f t="shared" si="230"/>
        <v>-1221632914.7675998</v>
      </c>
      <c r="V601">
        <f t="shared" si="231"/>
        <v>-1401052942.7831998</v>
      </c>
      <c r="W601">
        <f t="shared" si="232"/>
        <v>-1803635296.5361998</v>
      </c>
      <c r="X601">
        <f t="shared" si="233"/>
        <v>-2008592416.4031997</v>
      </c>
      <c r="Z601">
        <f t="shared" si="234"/>
        <v>8462404.6272</v>
      </c>
      <c r="AA601">
        <f t="shared" si="235"/>
        <v>-856548156.68319988</v>
      </c>
      <c r="AB601">
        <f t="shared" si="236"/>
        <v>-1471213832.8384001</v>
      </c>
      <c r="AC601">
        <f t="shared" si="237"/>
        <v>-1933847723.8415997</v>
      </c>
      <c r="AD601">
        <f t="shared" si="238"/>
        <v>-2396070247.9531999</v>
      </c>
      <c r="AE601">
        <f t="shared" si="239"/>
        <v>-2601291817.9647999</v>
      </c>
    </row>
    <row r="602" spans="1:31" x14ac:dyDescent="0.25">
      <c r="A602">
        <v>38.57806927</v>
      </c>
      <c r="B602">
        <v>117.3368838</v>
      </c>
      <c r="C602">
        <v>52.10093689</v>
      </c>
      <c r="D602">
        <v>3.6748080299999999</v>
      </c>
      <c r="E602" t="b">
        <f t="shared" si="216"/>
        <v>0</v>
      </c>
      <c r="F602">
        <f t="shared" si="217"/>
        <v>-256.82987642000001</v>
      </c>
      <c r="G602">
        <f t="shared" si="218"/>
        <v>-517.33456087000002</v>
      </c>
      <c r="H602">
        <f t="shared" si="219"/>
        <v>-777.83924532000003</v>
      </c>
      <c r="I602">
        <f t="shared" si="220"/>
        <v>-1038.3439297700002</v>
      </c>
      <c r="J602">
        <f t="shared" si="221"/>
        <v>-1298.8486142200002</v>
      </c>
      <c r="L602">
        <f t="shared" si="222"/>
        <v>7423112.2205999997</v>
      </c>
      <c r="M602">
        <f t="shared" si="223"/>
        <v>-441747387.4424001</v>
      </c>
      <c r="N602">
        <f t="shared" si="224"/>
        <v>-765655150.08759999</v>
      </c>
      <c r="O602">
        <f t="shared" si="225"/>
        <v>-871179954.75840008</v>
      </c>
      <c r="P602">
        <f t="shared" si="226"/>
        <v>-955276415.38840008</v>
      </c>
      <c r="Q602">
        <f t="shared" si="227"/>
        <v>-1117009808.2292001</v>
      </c>
      <c r="S602">
        <f t="shared" si="228"/>
        <v>9003279.6734999996</v>
      </c>
      <c r="T602">
        <f t="shared" si="229"/>
        <v>-1122615997.0878999</v>
      </c>
      <c r="U602">
        <f t="shared" si="230"/>
        <v>-962242283.21819997</v>
      </c>
      <c r="V602">
        <f t="shared" si="231"/>
        <v>-1104531728.3543999</v>
      </c>
      <c r="W602">
        <f t="shared" si="232"/>
        <v>-1422531183.7849002</v>
      </c>
      <c r="X602">
        <f t="shared" si="233"/>
        <v>-1584595309.3484004</v>
      </c>
      <c r="Z602">
        <f t="shared" si="234"/>
        <v>10583447.126399999</v>
      </c>
      <c r="AA602">
        <f t="shared" si="235"/>
        <v>-672894276.22040009</v>
      </c>
      <c r="AB602">
        <f t="shared" si="236"/>
        <v>-1158829416.3488002</v>
      </c>
      <c r="AC602">
        <f t="shared" si="237"/>
        <v>-1524564920.8272002</v>
      </c>
      <c r="AD602">
        <f t="shared" si="238"/>
        <v>-1889785952.1814003</v>
      </c>
      <c r="AE602">
        <f t="shared" si="239"/>
        <v>-2052180810.4676006</v>
      </c>
    </row>
    <row r="603" spans="1:31" x14ac:dyDescent="0.25">
      <c r="A603">
        <v>38.579873280000001</v>
      </c>
      <c r="B603">
        <v>117.80774959999999</v>
      </c>
      <c r="C603">
        <v>73.788139340000001</v>
      </c>
      <c r="D603">
        <v>1.22430599</v>
      </c>
      <c r="E603" t="b">
        <f t="shared" si="216"/>
        <v>0</v>
      </c>
      <c r="F603">
        <f t="shared" si="217"/>
        <v>-367.71639070999998</v>
      </c>
      <c r="G603">
        <f t="shared" si="218"/>
        <v>-736.65708741000003</v>
      </c>
      <c r="H603">
        <f t="shared" si="219"/>
        <v>-1105.59778411</v>
      </c>
      <c r="I603">
        <f t="shared" si="220"/>
        <v>-1474.53848081</v>
      </c>
      <c r="J603">
        <f t="shared" si="221"/>
        <v>-1843.47917751</v>
      </c>
      <c r="L603">
        <f t="shared" si="222"/>
        <v>2473098.0998</v>
      </c>
      <c r="M603">
        <f t="shared" si="223"/>
        <v>-632472192.02120006</v>
      </c>
      <c r="N603">
        <f t="shared" si="224"/>
        <v>-1090252489.3668001</v>
      </c>
      <c r="O603">
        <f t="shared" si="225"/>
        <v>-1238269518.2032003</v>
      </c>
      <c r="P603">
        <f t="shared" si="226"/>
        <v>-1356575402.3451998</v>
      </c>
      <c r="Q603">
        <f t="shared" si="227"/>
        <v>-1585392092.6585999</v>
      </c>
      <c r="S603">
        <f t="shared" si="228"/>
        <v>2999549.6755000004</v>
      </c>
      <c r="T603">
        <f t="shared" si="229"/>
        <v>-1598545879.6797001</v>
      </c>
      <c r="U603">
        <f t="shared" si="230"/>
        <v>-1370182182.5826001</v>
      </c>
      <c r="V603">
        <f t="shared" si="231"/>
        <v>-1569948853.4362001</v>
      </c>
      <c r="W603">
        <f t="shared" si="232"/>
        <v>-2020117718.7097001</v>
      </c>
      <c r="X603">
        <f t="shared" si="233"/>
        <v>-2249044596.5622001</v>
      </c>
      <c r="Z603">
        <f t="shared" si="234"/>
        <v>3526001.2511999998</v>
      </c>
      <c r="AA603">
        <f t="shared" si="235"/>
        <v>-963416943.6602</v>
      </c>
      <c r="AB603">
        <f t="shared" si="236"/>
        <v>-1650111875.7984004</v>
      </c>
      <c r="AC603">
        <f t="shared" si="237"/>
        <v>-2166971656.8556004</v>
      </c>
      <c r="AD603">
        <f t="shared" si="238"/>
        <v>-2683660035.0742002</v>
      </c>
      <c r="AE603">
        <f t="shared" si="239"/>
        <v>-2912697100.4658003</v>
      </c>
    </row>
    <row r="604" spans="1:31" x14ac:dyDescent="0.25">
      <c r="A604">
        <v>38.58498239</v>
      </c>
      <c r="B604">
        <v>115.63406259999999</v>
      </c>
      <c r="C604">
        <v>8.1438445999999995</v>
      </c>
      <c r="D604">
        <v>4.6234607700000003</v>
      </c>
      <c r="E604" t="b">
        <f t="shared" si="216"/>
        <v>0</v>
      </c>
      <c r="F604">
        <f t="shared" si="217"/>
        <v>-36.095762229999998</v>
      </c>
      <c r="G604">
        <f t="shared" si="218"/>
        <v>-76.814985230000005</v>
      </c>
      <c r="H604">
        <f t="shared" si="219"/>
        <v>-117.53420823</v>
      </c>
      <c r="I604">
        <f t="shared" si="220"/>
        <v>-158.25343122999999</v>
      </c>
      <c r="J604">
        <f t="shared" si="221"/>
        <v>-198.97265422999999</v>
      </c>
      <c r="L604">
        <f t="shared" si="222"/>
        <v>9339390.7554000001</v>
      </c>
      <c r="M604">
        <f t="shared" si="223"/>
        <v>-62084711.035599999</v>
      </c>
      <c r="N604">
        <f t="shared" si="224"/>
        <v>-113686178.14040001</v>
      </c>
      <c r="O604">
        <f t="shared" si="225"/>
        <v>-131638313.21760002</v>
      </c>
      <c r="P604">
        <f t="shared" si="226"/>
        <v>-145593156.73159999</v>
      </c>
      <c r="Q604">
        <f t="shared" si="227"/>
        <v>-171116482.63779998</v>
      </c>
      <c r="S604">
        <f t="shared" si="228"/>
        <v>11327478.886500003</v>
      </c>
      <c r="T604">
        <f t="shared" si="229"/>
        <v>-166688517.94910002</v>
      </c>
      <c r="U604">
        <f t="shared" si="230"/>
        <v>-142875872.52779999</v>
      </c>
      <c r="V604">
        <f t="shared" si="231"/>
        <v>-166898575.6866</v>
      </c>
      <c r="W604">
        <f t="shared" si="232"/>
        <v>-216807200.78510001</v>
      </c>
      <c r="X604">
        <f t="shared" si="233"/>
        <v>-242746638.16059998</v>
      </c>
      <c r="Z604">
        <f t="shared" si="234"/>
        <v>13315567.017600002</v>
      </c>
      <c r="AA604">
        <f t="shared" si="235"/>
        <v>-94570897.042599991</v>
      </c>
      <c r="AB604">
        <f t="shared" si="236"/>
        <v>-172065566.91520002</v>
      </c>
      <c r="AC604">
        <f t="shared" si="237"/>
        <v>-230367048.13080001</v>
      </c>
      <c r="AD604">
        <f t="shared" si="238"/>
        <v>-288021244.83859998</v>
      </c>
      <c r="AE604">
        <f t="shared" si="239"/>
        <v>-314376793.68339998</v>
      </c>
    </row>
    <row r="605" spans="1:31" x14ac:dyDescent="0.25">
      <c r="A605">
        <v>38.596475480000002</v>
      </c>
      <c r="B605">
        <v>117.6337967</v>
      </c>
      <c r="C605">
        <v>31.14632988</v>
      </c>
      <c r="D605">
        <v>0.73458396999999998</v>
      </c>
      <c r="E605" t="b">
        <f t="shared" si="216"/>
        <v>0</v>
      </c>
      <c r="F605">
        <f t="shared" si="217"/>
        <v>-154.99706543000002</v>
      </c>
      <c r="G605">
        <f t="shared" si="218"/>
        <v>-310.72871483</v>
      </c>
      <c r="H605">
        <f t="shared" si="219"/>
        <v>-466.46036422999998</v>
      </c>
      <c r="I605">
        <f t="shared" si="220"/>
        <v>-622.19201363000002</v>
      </c>
      <c r="J605">
        <f t="shared" si="221"/>
        <v>-777.92366302999994</v>
      </c>
      <c r="L605">
        <f t="shared" si="222"/>
        <v>1483859.6194</v>
      </c>
      <c r="M605">
        <f t="shared" si="223"/>
        <v>-266594952.53960004</v>
      </c>
      <c r="N605">
        <f t="shared" si="224"/>
        <v>-459878497.94839996</v>
      </c>
      <c r="O605">
        <f t="shared" si="225"/>
        <v>-522435607.93760002</v>
      </c>
      <c r="P605">
        <f t="shared" si="226"/>
        <v>-572416652.5395999</v>
      </c>
      <c r="Q605">
        <f t="shared" si="227"/>
        <v>-669014350.20579994</v>
      </c>
      <c r="S605">
        <f t="shared" si="228"/>
        <v>1799730.7265000001</v>
      </c>
      <c r="T605">
        <f t="shared" si="229"/>
        <v>-674281311.18109989</v>
      </c>
      <c r="U605">
        <f t="shared" si="230"/>
        <v>-577955409.58379996</v>
      </c>
      <c r="V605">
        <f t="shared" si="231"/>
        <v>-662373717.20659995</v>
      </c>
      <c r="W605">
        <f t="shared" si="232"/>
        <v>-852403058.67310011</v>
      </c>
      <c r="X605">
        <f t="shared" si="233"/>
        <v>-949066868.89659989</v>
      </c>
      <c r="Z605">
        <f t="shared" si="234"/>
        <v>2115601.8336</v>
      </c>
      <c r="AA605">
        <f t="shared" si="235"/>
        <v>-406092311.42660004</v>
      </c>
      <c r="AB605">
        <f t="shared" si="236"/>
        <v>-696032321.21920002</v>
      </c>
      <c r="AC605">
        <f t="shared" si="237"/>
        <v>-914262313.89079988</v>
      </c>
      <c r="AD605">
        <f t="shared" si="238"/>
        <v>-1132389464.8066001</v>
      </c>
      <c r="AE605">
        <f t="shared" si="239"/>
        <v>-1229119387.5874</v>
      </c>
    </row>
    <row r="606" spans="1:31" x14ac:dyDescent="0.25">
      <c r="A606">
        <v>38.598044100000003</v>
      </c>
      <c r="B606">
        <v>116.0467768</v>
      </c>
      <c r="C606">
        <v>78.320755000000005</v>
      </c>
      <c r="D606">
        <v>1.75725603</v>
      </c>
      <c r="E606" t="b">
        <f t="shared" si="216"/>
        <v>0</v>
      </c>
      <c r="F606">
        <f t="shared" si="217"/>
        <v>-389.84651897000003</v>
      </c>
      <c r="G606">
        <f t="shared" si="218"/>
        <v>-781.45029397000008</v>
      </c>
      <c r="H606">
        <f t="shared" si="219"/>
        <v>-1173.0540689700001</v>
      </c>
      <c r="I606">
        <f t="shared" si="220"/>
        <v>-1564.6578439700002</v>
      </c>
      <c r="J606">
        <f t="shared" si="221"/>
        <v>-1956.2616189700002</v>
      </c>
      <c r="L606">
        <f t="shared" si="222"/>
        <v>3549657.1806000001</v>
      </c>
      <c r="M606">
        <f t="shared" si="223"/>
        <v>-670536012.62840009</v>
      </c>
      <c r="N606">
        <f t="shared" si="224"/>
        <v>-1156546435.0756001</v>
      </c>
      <c r="O606">
        <f t="shared" si="225"/>
        <v>-1313820557.2464001</v>
      </c>
      <c r="P606">
        <f t="shared" si="226"/>
        <v>-1439485216.4524002</v>
      </c>
      <c r="Q606">
        <f t="shared" si="227"/>
        <v>-1682384992.3142002</v>
      </c>
      <c r="S606">
        <f t="shared" si="228"/>
        <v>4305277.2735000001</v>
      </c>
      <c r="T606">
        <f t="shared" si="229"/>
        <v>-1695747137.9149001</v>
      </c>
      <c r="U606">
        <f t="shared" si="230"/>
        <v>-1453497546.7842</v>
      </c>
      <c r="V606">
        <f t="shared" si="231"/>
        <v>-1665736777.9373999</v>
      </c>
      <c r="W606">
        <f t="shared" si="232"/>
        <v>-2143581246.2389004</v>
      </c>
      <c r="X606">
        <f t="shared" si="233"/>
        <v>-2386639175.1434002</v>
      </c>
      <c r="Z606">
        <f t="shared" si="234"/>
        <v>5060897.3663999997</v>
      </c>
      <c r="AA606">
        <f t="shared" si="235"/>
        <v>-1021397879.7014002</v>
      </c>
      <c r="AB606">
        <f t="shared" si="236"/>
        <v>-1750448658.4928002</v>
      </c>
      <c r="AC606">
        <f t="shared" si="237"/>
        <v>-2299185975.1812</v>
      </c>
      <c r="AD606">
        <f t="shared" si="238"/>
        <v>-2847677276.0254006</v>
      </c>
      <c r="AE606">
        <f t="shared" si="239"/>
        <v>-3090893357.9726005</v>
      </c>
    </row>
    <row r="607" spans="1:31" x14ac:dyDescent="0.25">
      <c r="A607">
        <v>38.602847019999999</v>
      </c>
      <c r="B607">
        <v>118.04681069999999</v>
      </c>
      <c r="C607">
        <v>36.944892879999998</v>
      </c>
      <c r="D607">
        <v>3.5504889500000001</v>
      </c>
      <c r="E607" t="b">
        <f t="shared" si="216"/>
        <v>0</v>
      </c>
      <c r="F607">
        <f t="shared" si="217"/>
        <v>-181.17397545</v>
      </c>
      <c r="G607">
        <f t="shared" si="218"/>
        <v>-365.89843984999999</v>
      </c>
      <c r="H607">
        <f t="shared" si="219"/>
        <v>-550.62290424999992</v>
      </c>
      <c r="I607">
        <f t="shared" si="220"/>
        <v>-735.34736864999991</v>
      </c>
      <c r="J607">
        <f t="shared" si="221"/>
        <v>-920.0718330499999</v>
      </c>
      <c r="L607">
        <f t="shared" si="222"/>
        <v>7171987.6790000005</v>
      </c>
      <c r="M607">
        <f t="shared" si="223"/>
        <v>-311619237.77399999</v>
      </c>
      <c r="N607">
        <f t="shared" si="224"/>
        <v>-541529690.97799993</v>
      </c>
      <c r="O607">
        <f t="shared" si="225"/>
        <v>-616697652.75999987</v>
      </c>
      <c r="P607">
        <f t="shared" si="226"/>
        <v>-676519579.15799987</v>
      </c>
      <c r="Q607">
        <f t="shared" si="227"/>
        <v>-791261776.42299998</v>
      </c>
      <c r="S607">
        <f t="shared" si="228"/>
        <v>8698697.9275000002</v>
      </c>
      <c r="T607">
        <f t="shared" si="229"/>
        <v>-793999614.47449994</v>
      </c>
      <c r="U607">
        <f t="shared" si="230"/>
        <v>-680571098.12099993</v>
      </c>
      <c r="V607">
        <f t="shared" si="231"/>
        <v>-781884524.03499985</v>
      </c>
      <c r="W607">
        <f t="shared" si="232"/>
        <v>-1007425895.0504999</v>
      </c>
      <c r="X607">
        <f t="shared" si="233"/>
        <v>-1122487636.3209999</v>
      </c>
      <c r="Z607">
        <f t="shared" si="234"/>
        <v>10225408.176000001</v>
      </c>
      <c r="AA607">
        <f t="shared" si="235"/>
        <v>-474675815.67899996</v>
      </c>
      <c r="AB607">
        <f t="shared" si="236"/>
        <v>-819612505.26399994</v>
      </c>
      <c r="AC607">
        <f t="shared" si="237"/>
        <v>-1079220892.3299997</v>
      </c>
      <c r="AD607">
        <f t="shared" si="238"/>
        <v>-1338332210.9429998</v>
      </c>
      <c r="AE607">
        <f t="shared" si="239"/>
        <v>-1453713496.2190001</v>
      </c>
    </row>
    <row r="608" spans="1:31" x14ac:dyDescent="0.25">
      <c r="A608">
        <v>38.607298380000003</v>
      </c>
      <c r="B608">
        <v>120.1703138</v>
      </c>
      <c r="C608">
        <v>47.571170809999998</v>
      </c>
      <c r="D608">
        <v>9.1382226899999992</v>
      </c>
      <c r="E608" t="b">
        <f t="shared" si="216"/>
        <v>0</v>
      </c>
      <c r="F608">
        <f t="shared" si="217"/>
        <v>-228.71763136000001</v>
      </c>
      <c r="G608">
        <f t="shared" si="218"/>
        <v>-466.57348540999999</v>
      </c>
      <c r="H608">
        <f t="shared" si="219"/>
        <v>-704.42933945999994</v>
      </c>
      <c r="I608">
        <f t="shared" si="220"/>
        <v>-942.28519351</v>
      </c>
      <c r="J608">
        <f t="shared" si="221"/>
        <v>-1180.1410475599998</v>
      </c>
      <c r="L608">
        <f t="shared" si="222"/>
        <v>18459209.833799999</v>
      </c>
      <c r="M608">
        <f t="shared" si="223"/>
        <v>-393394325.93920004</v>
      </c>
      <c r="N608">
        <f t="shared" si="224"/>
        <v>-690528758.40679991</v>
      </c>
      <c r="O608">
        <f t="shared" si="225"/>
        <v>-788960860.19519997</v>
      </c>
      <c r="P608">
        <f t="shared" si="226"/>
        <v>-866902378.02919996</v>
      </c>
      <c r="Q608">
        <f t="shared" si="227"/>
        <v>-1014921300.9015999</v>
      </c>
      <c r="S608">
        <f t="shared" si="228"/>
        <v>22388645.590500001</v>
      </c>
      <c r="T608">
        <f t="shared" si="229"/>
        <v>-1012464463.3396999</v>
      </c>
      <c r="U608">
        <f t="shared" si="230"/>
        <v>-867826682.86259985</v>
      </c>
      <c r="V608">
        <f t="shared" si="231"/>
        <v>-1000289662.0331998</v>
      </c>
      <c r="W608">
        <f t="shared" si="232"/>
        <v>-1290930715.1087</v>
      </c>
      <c r="X608">
        <f t="shared" si="233"/>
        <v>-1439772078.0231998</v>
      </c>
      <c r="Z608">
        <f t="shared" si="234"/>
        <v>26318081.347199999</v>
      </c>
      <c r="AA608">
        <f t="shared" si="235"/>
        <v>-599240194.16320002</v>
      </c>
      <c r="AB608">
        <f t="shared" si="236"/>
        <v>-1045124607.3184</v>
      </c>
      <c r="AC608">
        <f t="shared" si="237"/>
        <v>-1380681505.3415997</v>
      </c>
      <c r="AD608">
        <f t="shared" si="238"/>
        <v>-1714959052.1882</v>
      </c>
      <c r="AE608">
        <f t="shared" si="239"/>
        <v>-1864622855.1447999</v>
      </c>
    </row>
    <row r="609" spans="1:31" x14ac:dyDescent="0.25">
      <c r="A609">
        <v>38.60852053</v>
      </c>
      <c r="B609">
        <v>117.98883499999999</v>
      </c>
      <c r="C609">
        <v>101.76920320000001</v>
      </c>
      <c r="D609">
        <v>1.4691679499999999</v>
      </c>
      <c r="E609" t="b">
        <f t="shared" si="216"/>
        <v>0</v>
      </c>
      <c r="F609">
        <f t="shared" si="217"/>
        <v>-507.37684805000004</v>
      </c>
      <c r="G609">
        <f t="shared" si="218"/>
        <v>-1016.22286405</v>
      </c>
      <c r="H609">
        <f t="shared" si="219"/>
        <v>-1525.0688800500002</v>
      </c>
      <c r="I609">
        <f t="shared" si="220"/>
        <v>-2033.9148960500002</v>
      </c>
      <c r="J609">
        <f t="shared" si="221"/>
        <v>-2542.7609120500001</v>
      </c>
      <c r="L609">
        <f t="shared" si="222"/>
        <v>2967719.2590000001</v>
      </c>
      <c r="M609">
        <f t="shared" si="223"/>
        <v>-872688178.64600015</v>
      </c>
      <c r="N609">
        <f t="shared" si="224"/>
        <v>-1504009838.7939999</v>
      </c>
      <c r="O609">
        <f t="shared" si="225"/>
        <v>-1708077145.6560004</v>
      </c>
      <c r="P609">
        <f t="shared" si="226"/>
        <v>-1871201704.3659999</v>
      </c>
      <c r="Q609">
        <f t="shared" si="227"/>
        <v>-2186774384.3629999</v>
      </c>
      <c r="S609">
        <f t="shared" si="228"/>
        <v>3599461.4775</v>
      </c>
      <c r="T609">
        <f t="shared" si="229"/>
        <v>-2205203614.9884996</v>
      </c>
      <c r="U609">
        <f t="shared" si="230"/>
        <v>-1890174527.1329999</v>
      </c>
      <c r="V609">
        <f t="shared" si="231"/>
        <v>-2165597809.671</v>
      </c>
      <c r="W609">
        <f t="shared" si="232"/>
        <v>-2786463407.5885005</v>
      </c>
      <c r="X609">
        <f t="shared" si="233"/>
        <v>-3102168312.7010002</v>
      </c>
      <c r="Z609">
        <f t="shared" si="234"/>
        <v>4231203.6959999995</v>
      </c>
      <c r="AA609">
        <f t="shared" si="235"/>
        <v>-1329327341.891</v>
      </c>
      <c r="AB609">
        <f t="shared" si="236"/>
        <v>-2276339215.4720001</v>
      </c>
      <c r="AC609">
        <f t="shared" si="237"/>
        <v>-2989135004.8980002</v>
      </c>
      <c r="AD609">
        <f t="shared" si="238"/>
        <v>-3701725110.8110003</v>
      </c>
      <c r="AE609">
        <f t="shared" si="239"/>
        <v>-4017562241.0390005</v>
      </c>
    </row>
    <row r="610" spans="1:31" x14ac:dyDescent="0.25">
      <c r="A610">
        <v>38.611443260000001</v>
      </c>
      <c r="B610">
        <v>118.8730091</v>
      </c>
      <c r="C610">
        <v>15.036358829999999</v>
      </c>
      <c r="D610">
        <v>0.80816500999999996</v>
      </c>
      <c r="E610" t="b">
        <f t="shared" si="216"/>
        <v>0</v>
      </c>
      <c r="F610">
        <f t="shared" si="217"/>
        <v>-74.373629140000006</v>
      </c>
      <c r="G610">
        <f t="shared" si="218"/>
        <v>-149.55542328999999</v>
      </c>
      <c r="H610">
        <f t="shared" si="219"/>
        <v>-224.73721743999997</v>
      </c>
      <c r="I610">
        <f t="shared" si="220"/>
        <v>-299.91901159000003</v>
      </c>
      <c r="J610">
        <f t="shared" si="221"/>
        <v>-375.10080574</v>
      </c>
      <c r="L610">
        <f t="shared" si="222"/>
        <v>1632493.3202</v>
      </c>
      <c r="M610">
        <f t="shared" si="223"/>
        <v>-127922642.12080002</v>
      </c>
      <c r="N610">
        <f t="shared" si="224"/>
        <v>-221342026.46919999</v>
      </c>
      <c r="O610">
        <f t="shared" si="225"/>
        <v>-251705683.53279999</v>
      </c>
      <c r="P610">
        <f t="shared" si="226"/>
        <v>-275925490.66280001</v>
      </c>
      <c r="Q610">
        <f t="shared" si="227"/>
        <v>-322586692.9364</v>
      </c>
      <c r="S610">
        <f t="shared" si="228"/>
        <v>1980004.2745000001</v>
      </c>
      <c r="T610">
        <f t="shared" si="229"/>
        <v>-324535268.53929996</v>
      </c>
      <c r="U610">
        <f t="shared" si="230"/>
        <v>-278173087.31939995</v>
      </c>
      <c r="V610">
        <f t="shared" si="231"/>
        <v>-319126848.76479995</v>
      </c>
      <c r="W610">
        <f t="shared" si="232"/>
        <v>-410889045.87830007</v>
      </c>
      <c r="X610">
        <f t="shared" si="233"/>
        <v>-457622983.00279999</v>
      </c>
      <c r="Z610">
        <f t="shared" si="234"/>
        <v>2327515.2288000002</v>
      </c>
      <c r="AA610">
        <f t="shared" si="235"/>
        <v>-194858908.3468</v>
      </c>
      <c r="AB610">
        <f t="shared" si="236"/>
        <v>-335004148.16960001</v>
      </c>
      <c r="AC610">
        <f t="shared" si="237"/>
        <v>-440484946.18239993</v>
      </c>
      <c r="AD610">
        <f t="shared" si="238"/>
        <v>-545852601.09380007</v>
      </c>
      <c r="AE610">
        <f t="shared" si="239"/>
        <v>-592659273.06920004</v>
      </c>
    </row>
    <row r="611" spans="1:31" x14ac:dyDescent="0.25">
      <c r="A611">
        <v>38.612161020000002</v>
      </c>
      <c r="B611">
        <v>115.8724292</v>
      </c>
      <c r="C611">
        <v>78.320755000000005</v>
      </c>
      <c r="D611">
        <v>7.3997999999999994E-2</v>
      </c>
      <c r="E611" t="b">
        <f t="shared" si="216"/>
        <v>0</v>
      </c>
      <c r="F611">
        <f t="shared" si="217"/>
        <v>-391.52977700000002</v>
      </c>
      <c r="G611">
        <f t="shared" si="218"/>
        <v>-783.13355200000012</v>
      </c>
      <c r="H611">
        <f t="shared" si="219"/>
        <v>-1174.7373270000001</v>
      </c>
      <c r="I611">
        <f t="shared" si="220"/>
        <v>-1566.3411020000001</v>
      </c>
      <c r="J611">
        <f t="shared" si="221"/>
        <v>-1957.9448770000001</v>
      </c>
      <c r="L611">
        <f t="shared" si="222"/>
        <v>149475.96</v>
      </c>
      <c r="M611">
        <f t="shared" si="223"/>
        <v>-673431216.44000006</v>
      </c>
      <c r="N611">
        <f t="shared" si="224"/>
        <v>-1159037656.9600003</v>
      </c>
      <c r="O611">
        <f t="shared" si="225"/>
        <v>-1315705806.24</v>
      </c>
      <c r="P611">
        <f t="shared" si="226"/>
        <v>-1441033813.8399999</v>
      </c>
      <c r="Q611">
        <f t="shared" si="227"/>
        <v>-1683832594.2200003</v>
      </c>
      <c r="S611">
        <f t="shared" si="228"/>
        <v>181295.1</v>
      </c>
      <c r="T611">
        <f t="shared" si="229"/>
        <v>-1699399807.8400002</v>
      </c>
      <c r="U611">
        <f t="shared" si="230"/>
        <v>-1456628406.72</v>
      </c>
      <c r="V611">
        <f t="shared" si="231"/>
        <v>-1668127004.3399999</v>
      </c>
      <c r="W611">
        <f t="shared" si="232"/>
        <v>-2145887309.7400002</v>
      </c>
      <c r="X611">
        <f t="shared" si="233"/>
        <v>-2388692749.9400001</v>
      </c>
      <c r="Z611">
        <f t="shared" si="234"/>
        <v>213114.23999999999</v>
      </c>
      <c r="AA611">
        <f t="shared" si="235"/>
        <v>-1025808015.74</v>
      </c>
      <c r="AB611">
        <f t="shared" si="236"/>
        <v>-1754219156.4800005</v>
      </c>
      <c r="AC611">
        <f t="shared" si="237"/>
        <v>-2302485160.9200001</v>
      </c>
      <c r="AD611">
        <f t="shared" si="238"/>
        <v>-2850740805.6399999</v>
      </c>
      <c r="AE611">
        <f t="shared" si="239"/>
        <v>-3093552905.6600003</v>
      </c>
    </row>
    <row r="612" spans="1:31" x14ac:dyDescent="0.25">
      <c r="A612">
        <v>38.612832160000004</v>
      </c>
      <c r="B612">
        <v>117.45976829999999</v>
      </c>
      <c r="C612">
        <v>52.10093689</v>
      </c>
      <c r="D612">
        <v>0.25642899000000002</v>
      </c>
      <c r="E612" t="b">
        <f t="shared" si="216"/>
        <v>0</v>
      </c>
      <c r="F612">
        <f t="shared" si="217"/>
        <v>-260.24825546</v>
      </c>
      <c r="G612">
        <f t="shared" si="218"/>
        <v>-520.75293991000001</v>
      </c>
      <c r="H612">
        <f t="shared" si="219"/>
        <v>-781.25762436000002</v>
      </c>
      <c r="I612">
        <f t="shared" si="220"/>
        <v>-1041.7623088100001</v>
      </c>
      <c r="J612">
        <f t="shared" si="221"/>
        <v>-1302.2669932600002</v>
      </c>
      <c r="L612">
        <f t="shared" si="222"/>
        <v>517986.55980000005</v>
      </c>
      <c r="M612">
        <f t="shared" si="223"/>
        <v>-447626999.39120007</v>
      </c>
      <c r="N612">
        <f t="shared" si="224"/>
        <v>-770714351.0668</v>
      </c>
      <c r="O612">
        <f t="shared" si="225"/>
        <v>-875008539.28320014</v>
      </c>
      <c r="P612">
        <f t="shared" si="226"/>
        <v>-958421324.10520005</v>
      </c>
      <c r="Q612">
        <f t="shared" si="227"/>
        <v>-1119949614.2036002</v>
      </c>
      <c r="S612">
        <f t="shared" si="228"/>
        <v>628251.02550000011</v>
      </c>
      <c r="T612">
        <f t="shared" si="229"/>
        <v>-1130033879.6047001</v>
      </c>
      <c r="U612">
        <f t="shared" si="230"/>
        <v>-968600468.23259997</v>
      </c>
      <c r="V612">
        <f t="shared" si="231"/>
        <v>-1109385826.5911999</v>
      </c>
      <c r="W612">
        <f t="shared" si="232"/>
        <v>-1427214363.0697002</v>
      </c>
      <c r="X612">
        <f t="shared" si="233"/>
        <v>-1588765731.7772002</v>
      </c>
      <c r="Z612">
        <f t="shared" si="234"/>
        <v>738515.49120000005</v>
      </c>
      <c r="AA612">
        <f t="shared" si="235"/>
        <v>-681850429.3052001</v>
      </c>
      <c r="AB612">
        <f t="shared" si="236"/>
        <v>-1166486585.3984001</v>
      </c>
      <c r="AC612">
        <f t="shared" si="237"/>
        <v>-1531264943.7456</v>
      </c>
      <c r="AD612">
        <f t="shared" si="238"/>
        <v>-1896007402.0342004</v>
      </c>
      <c r="AE612">
        <f t="shared" si="239"/>
        <v>-2057581849.3508005</v>
      </c>
    </row>
    <row r="613" spans="1:31" x14ac:dyDescent="0.25">
      <c r="A613">
        <v>38.614166789999999</v>
      </c>
      <c r="B613">
        <v>117.9308506</v>
      </c>
      <c r="C613">
        <v>37.958648680000003</v>
      </c>
      <c r="D613">
        <v>0.53869498000000005</v>
      </c>
      <c r="E613" t="b">
        <f t="shared" si="216"/>
        <v>0</v>
      </c>
      <c r="F613">
        <f t="shared" si="217"/>
        <v>-189.25454842000002</v>
      </c>
      <c r="G613">
        <f t="shared" si="218"/>
        <v>-379.04779182000004</v>
      </c>
      <c r="H613">
        <f t="shared" si="219"/>
        <v>-568.84103522000009</v>
      </c>
      <c r="I613">
        <f t="shared" si="220"/>
        <v>-758.63427862000015</v>
      </c>
      <c r="J613">
        <f t="shared" si="221"/>
        <v>-948.42752202000008</v>
      </c>
      <c r="L613">
        <f t="shared" si="222"/>
        <v>1088163.8596000003</v>
      </c>
      <c r="M613">
        <f t="shared" si="223"/>
        <v>-325517823.28240007</v>
      </c>
      <c r="N613">
        <f t="shared" si="224"/>
        <v>-560990731.89360011</v>
      </c>
      <c r="O613">
        <f t="shared" si="225"/>
        <v>-637101959.44640028</v>
      </c>
      <c r="P613">
        <f t="shared" si="226"/>
        <v>-697943536.33040011</v>
      </c>
      <c r="Q613">
        <f t="shared" si="227"/>
        <v>-815647668.93720007</v>
      </c>
      <c r="S613">
        <f t="shared" si="228"/>
        <v>1319802.7010000004</v>
      </c>
      <c r="T613">
        <f t="shared" si="229"/>
        <v>-822533708.24940014</v>
      </c>
      <c r="U613">
        <f t="shared" si="230"/>
        <v>-705028892.7852</v>
      </c>
      <c r="V613">
        <f t="shared" si="231"/>
        <v>-807754270.01240015</v>
      </c>
      <c r="W613">
        <f t="shared" si="232"/>
        <v>-1039328961.7094003</v>
      </c>
      <c r="X613">
        <f t="shared" si="233"/>
        <v>-1157081576.8644001</v>
      </c>
      <c r="Z613">
        <f t="shared" si="234"/>
        <v>1551441.5424000002</v>
      </c>
      <c r="AA613">
        <f t="shared" si="235"/>
        <v>-495846916.86040008</v>
      </c>
      <c r="AB613">
        <f t="shared" si="236"/>
        <v>-849067053.67680025</v>
      </c>
      <c r="AC613">
        <f t="shared" si="237"/>
        <v>-1114928429.0312002</v>
      </c>
      <c r="AD613">
        <f t="shared" si="238"/>
        <v>-1380714387.0884004</v>
      </c>
      <c r="AE613">
        <f t="shared" si="239"/>
        <v>-1498515484.7916002</v>
      </c>
    </row>
    <row r="614" spans="1:31" x14ac:dyDescent="0.25">
      <c r="A614">
        <v>38.618229810000003</v>
      </c>
      <c r="B614">
        <v>117.4017423</v>
      </c>
      <c r="C614">
        <v>52.10093689</v>
      </c>
      <c r="D614">
        <v>0.52120202999999998</v>
      </c>
      <c r="E614" t="b">
        <f t="shared" si="216"/>
        <v>0</v>
      </c>
      <c r="F614">
        <f t="shared" si="217"/>
        <v>-259.98348242000003</v>
      </c>
      <c r="G614">
        <f t="shared" si="218"/>
        <v>-520.48816686999999</v>
      </c>
      <c r="H614">
        <f t="shared" si="219"/>
        <v>-780.99285132</v>
      </c>
      <c r="I614">
        <f t="shared" si="220"/>
        <v>-1041.49753577</v>
      </c>
      <c r="J614">
        <f t="shared" si="221"/>
        <v>-1302.00222022</v>
      </c>
      <c r="L614">
        <f t="shared" si="222"/>
        <v>1052828.1006</v>
      </c>
      <c r="M614">
        <f t="shared" si="223"/>
        <v>-447171589.76240009</v>
      </c>
      <c r="N614">
        <f t="shared" si="224"/>
        <v>-770322486.96759999</v>
      </c>
      <c r="O614">
        <f t="shared" si="225"/>
        <v>-874711993.47840011</v>
      </c>
      <c r="P614">
        <f t="shared" si="226"/>
        <v>-958177732.90839994</v>
      </c>
      <c r="Q614">
        <f t="shared" si="227"/>
        <v>-1119721909.3892</v>
      </c>
      <c r="S614">
        <f t="shared" si="228"/>
        <v>1276944.9735000001</v>
      </c>
      <c r="T614">
        <f t="shared" si="229"/>
        <v>-1129459322.1078999</v>
      </c>
      <c r="U614">
        <f t="shared" si="230"/>
        <v>-968107990.37819993</v>
      </c>
      <c r="V614">
        <f t="shared" si="231"/>
        <v>-1109009848.8743999</v>
      </c>
      <c r="W614">
        <f t="shared" si="232"/>
        <v>-1426851624.0049</v>
      </c>
      <c r="X614">
        <f t="shared" si="233"/>
        <v>-1588442708.6684</v>
      </c>
      <c r="Z614">
        <f t="shared" si="234"/>
        <v>1501061.8463999999</v>
      </c>
      <c r="AA614">
        <f t="shared" si="235"/>
        <v>-681156723.94040012</v>
      </c>
      <c r="AB614">
        <f t="shared" si="236"/>
        <v>-1165893493.7888002</v>
      </c>
      <c r="AC614">
        <f t="shared" si="237"/>
        <v>-1530745988.5872002</v>
      </c>
      <c r="AD614">
        <f t="shared" si="238"/>
        <v>-1895525515.1014001</v>
      </c>
      <c r="AE614">
        <f t="shared" si="239"/>
        <v>-2057163507.9476001</v>
      </c>
    </row>
    <row r="615" spans="1:31" x14ac:dyDescent="0.25">
      <c r="A615">
        <v>38.618879550000003</v>
      </c>
      <c r="B615">
        <v>120.4678866</v>
      </c>
      <c r="C615">
        <v>26.389209749999999</v>
      </c>
      <c r="D615">
        <v>36.72919083</v>
      </c>
      <c r="E615" t="b">
        <f t="shared" si="216"/>
        <v>1</v>
      </c>
      <c r="F615">
        <f t="shared" si="217"/>
        <v>-95.216857919999995</v>
      </c>
      <c r="G615">
        <f t="shared" si="218"/>
        <v>-227.16290666999998</v>
      </c>
      <c r="H615">
        <f t="shared" si="219"/>
        <v>-359.10895541999997</v>
      </c>
      <c r="I615">
        <f t="shared" si="220"/>
        <v>-491.05500416999996</v>
      </c>
      <c r="J615">
        <f t="shared" si="221"/>
        <v>-623.00105292000001</v>
      </c>
      <c r="L615">
        <f t="shared" si="222"/>
        <v>53306203.695</v>
      </c>
      <c r="M615">
        <f t="shared" si="223"/>
        <v>-163772995.62240002</v>
      </c>
      <c r="N615">
        <f t="shared" si="224"/>
        <v>-336201101.87159997</v>
      </c>
      <c r="O615">
        <f t="shared" si="225"/>
        <v>-402202030.0704</v>
      </c>
      <c r="P615">
        <f t="shared" si="226"/>
        <v>-451770603.83639991</v>
      </c>
      <c r="Q615">
        <f t="shared" si="227"/>
        <v>-535780905.51119995</v>
      </c>
      <c r="S615">
        <f t="shared" si="228"/>
        <v>64653563.887500003</v>
      </c>
      <c r="T615">
        <f t="shared" si="229"/>
        <v>-492943507.47389996</v>
      </c>
      <c r="U615">
        <f t="shared" si="230"/>
        <v>-422523006.40619993</v>
      </c>
      <c r="V615">
        <f t="shared" si="231"/>
        <v>-509934716.69639993</v>
      </c>
      <c r="W615">
        <f t="shared" si="232"/>
        <v>-672745355.71290004</v>
      </c>
      <c r="X615">
        <f t="shared" si="233"/>
        <v>-760061284.56239998</v>
      </c>
      <c r="Z615">
        <f t="shared" si="234"/>
        <v>76000924.079999998</v>
      </c>
      <c r="AA615">
        <f t="shared" si="235"/>
        <v>-249468167.75040001</v>
      </c>
      <c r="AB615">
        <f t="shared" si="236"/>
        <v>-508844910.94080001</v>
      </c>
      <c r="AC615">
        <f t="shared" si="237"/>
        <v>-703853552.62319994</v>
      </c>
      <c r="AD615">
        <f t="shared" si="238"/>
        <v>-893720107.58939993</v>
      </c>
      <c r="AE615">
        <f t="shared" si="239"/>
        <v>-984341663.61360002</v>
      </c>
    </row>
    <row r="616" spans="1:31" x14ac:dyDescent="0.25">
      <c r="A616">
        <v>38.61954403</v>
      </c>
      <c r="B616">
        <v>118.34398109999999</v>
      </c>
      <c r="C616">
        <v>19.43106461</v>
      </c>
      <c r="D616">
        <v>0.73458396999999998</v>
      </c>
      <c r="E616" t="b">
        <f t="shared" si="216"/>
        <v>0</v>
      </c>
      <c r="F616">
        <f t="shared" si="217"/>
        <v>-96.42073907999999</v>
      </c>
      <c r="G616">
        <f t="shared" si="218"/>
        <v>-193.57606213</v>
      </c>
      <c r="H616">
        <f t="shared" si="219"/>
        <v>-290.73138517999996</v>
      </c>
      <c r="I616">
        <f t="shared" si="220"/>
        <v>-387.88670822999995</v>
      </c>
      <c r="J616">
        <f t="shared" si="221"/>
        <v>-485.04203128</v>
      </c>
      <c r="L616">
        <f t="shared" si="222"/>
        <v>1483859.6194</v>
      </c>
      <c r="M616">
        <f t="shared" si="223"/>
        <v>-165843671.21759999</v>
      </c>
      <c r="N616">
        <f t="shared" si="224"/>
        <v>-286492571.95239997</v>
      </c>
      <c r="O616">
        <f t="shared" si="225"/>
        <v>-325619151.40159994</v>
      </c>
      <c r="P616">
        <f t="shared" si="226"/>
        <v>-356855771.57159996</v>
      </c>
      <c r="Q616">
        <f t="shared" si="227"/>
        <v>-417136146.90080005</v>
      </c>
      <c r="S616">
        <f t="shared" si="228"/>
        <v>1799730.7265000001</v>
      </c>
      <c r="T616">
        <f t="shared" si="229"/>
        <v>-420060054.82209998</v>
      </c>
      <c r="U616">
        <f t="shared" si="230"/>
        <v>-360051475.56179994</v>
      </c>
      <c r="V616">
        <f t="shared" si="231"/>
        <v>-412838566.9555999</v>
      </c>
      <c r="W616">
        <f t="shared" si="232"/>
        <v>-531404790.27509999</v>
      </c>
      <c r="X616">
        <f t="shared" si="233"/>
        <v>-591751278.16159999</v>
      </c>
      <c r="Z616">
        <f t="shared" si="234"/>
        <v>2115601.8336</v>
      </c>
      <c r="AA616">
        <f t="shared" si="235"/>
        <v>-252622336.38959998</v>
      </c>
      <c r="AB616">
        <f t="shared" si="236"/>
        <v>-433610379.17120004</v>
      </c>
      <c r="AC616">
        <f t="shared" si="237"/>
        <v>-569833514.95279992</v>
      </c>
      <c r="AD616">
        <f t="shared" si="238"/>
        <v>-705953808.97859991</v>
      </c>
      <c r="AE616">
        <f t="shared" si="239"/>
        <v>-766366409.42240012</v>
      </c>
    </row>
    <row r="617" spans="1:31" x14ac:dyDescent="0.25">
      <c r="A617">
        <v>38.62537751</v>
      </c>
      <c r="B617">
        <v>117.8148561</v>
      </c>
      <c r="C617">
        <v>38.965942380000001</v>
      </c>
      <c r="D617">
        <v>9.5422439600000004</v>
      </c>
      <c r="E617" t="b">
        <f t="shared" si="216"/>
        <v>0</v>
      </c>
      <c r="F617">
        <f t="shared" si="217"/>
        <v>-185.28746794</v>
      </c>
      <c r="G617">
        <f t="shared" si="218"/>
        <v>-380.11717984000001</v>
      </c>
      <c r="H617">
        <f t="shared" si="219"/>
        <v>-574.94689174000007</v>
      </c>
      <c r="I617">
        <f t="shared" si="220"/>
        <v>-769.77660364000008</v>
      </c>
      <c r="J617">
        <f t="shared" si="221"/>
        <v>-964.60631554000008</v>
      </c>
      <c r="L617">
        <f t="shared" si="222"/>
        <v>19275332.799200002</v>
      </c>
      <c r="M617">
        <f t="shared" si="223"/>
        <v>-318694444.85680002</v>
      </c>
      <c r="N617">
        <f t="shared" si="224"/>
        <v>-562573426.16320002</v>
      </c>
      <c r="O617">
        <f t="shared" si="225"/>
        <v>-643940518.74880004</v>
      </c>
      <c r="P617">
        <f t="shared" si="226"/>
        <v>-708194475.34880006</v>
      </c>
      <c r="Q617">
        <f t="shared" si="227"/>
        <v>-829561431.36440003</v>
      </c>
      <c r="S617">
        <f t="shared" si="228"/>
        <v>23378497.702000003</v>
      </c>
      <c r="T617">
        <f t="shared" si="229"/>
        <v>-824854280.25279999</v>
      </c>
      <c r="U617">
        <f t="shared" si="230"/>
        <v>-707017954.50240004</v>
      </c>
      <c r="V617">
        <f t="shared" si="231"/>
        <v>-816424586.27079999</v>
      </c>
      <c r="W617">
        <f t="shared" si="232"/>
        <v>-1054593946.9868002</v>
      </c>
      <c r="X617">
        <f t="shared" si="233"/>
        <v>-1176819704.9588001</v>
      </c>
      <c r="Z617">
        <f t="shared" si="234"/>
        <v>27481662.604800001</v>
      </c>
      <c r="AA617">
        <f t="shared" si="235"/>
        <v>-485453166.00279999</v>
      </c>
      <c r="AB617">
        <f t="shared" si="236"/>
        <v>-851462482.84160018</v>
      </c>
      <c r="AC617">
        <f t="shared" si="237"/>
        <v>-1126895907.8104</v>
      </c>
      <c r="AD617">
        <f t="shared" si="238"/>
        <v>-1400993418.6248002</v>
      </c>
      <c r="AE617">
        <f t="shared" si="239"/>
        <v>-1524077978.5532002</v>
      </c>
    </row>
    <row r="618" spans="1:31" x14ac:dyDescent="0.25">
      <c r="A618">
        <v>38.629270159999997</v>
      </c>
      <c r="B618">
        <v>116.2272147</v>
      </c>
      <c r="C618">
        <v>8.1438445999999995</v>
      </c>
      <c r="D618">
        <v>1.9598939399999999</v>
      </c>
      <c r="E618" t="b">
        <f t="shared" si="216"/>
        <v>0</v>
      </c>
      <c r="F618">
        <f t="shared" si="217"/>
        <v>-38.759329059999999</v>
      </c>
      <c r="G618">
        <f t="shared" si="218"/>
        <v>-79.478552059999998</v>
      </c>
      <c r="H618">
        <f t="shared" si="219"/>
        <v>-120.19777506</v>
      </c>
      <c r="I618">
        <f t="shared" si="220"/>
        <v>-160.91699806</v>
      </c>
      <c r="J618">
        <f t="shared" si="221"/>
        <v>-201.63622106</v>
      </c>
      <c r="L618">
        <f t="shared" si="222"/>
        <v>3958985.7588</v>
      </c>
      <c r="M618">
        <f t="shared" si="223"/>
        <v>-66666045.983200014</v>
      </c>
      <c r="N618">
        <f t="shared" si="224"/>
        <v>-117628257.04880001</v>
      </c>
      <c r="O618">
        <f t="shared" si="225"/>
        <v>-134621508.06720001</v>
      </c>
      <c r="P618">
        <f t="shared" si="226"/>
        <v>-148043638.21519998</v>
      </c>
      <c r="Q618">
        <f t="shared" si="227"/>
        <v>-173407150.11160001</v>
      </c>
      <c r="S618">
        <f t="shared" si="228"/>
        <v>4801740.1529999999</v>
      </c>
      <c r="T618">
        <f t="shared" si="229"/>
        <v>-172468457.9702</v>
      </c>
      <c r="U618">
        <f t="shared" si="230"/>
        <v>-147830106.83159998</v>
      </c>
      <c r="V618">
        <f t="shared" si="231"/>
        <v>-170680840.58519998</v>
      </c>
      <c r="W618">
        <f t="shared" si="232"/>
        <v>-220456287.34220001</v>
      </c>
      <c r="X618">
        <f t="shared" si="233"/>
        <v>-245996189.69319999</v>
      </c>
      <c r="Z618">
        <f t="shared" si="234"/>
        <v>5644494.5471999999</v>
      </c>
      <c r="AA618">
        <f t="shared" si="235"/>
        <v>-101549442.13720001</v>
      </c>
      <c r="AB618">
        <f t="shared" si="236"/>
        <v>-178031956.61440003</v>
      </c>
      <c r="AC618">
        <f t="shared" si="237"/>
        <v>-235587639.11759999</v>
      </c>
      <c r="AD618">
        <f t="shared" si="238"/>
        <v>-292868936.46920002</v>
      </c>
      <c r="AE618">
        <f t="shared" si="239"/>
        <v>-318585229.2748</v>
      </c>
    </row>
    <row r="619" spans="1:31" x14ac:dyDescent="0.25">
      <c r="A619">
        <v>38.63094195</v>
      </c>
      <c r="B619">
        <v>117.756846</v>
      </c>
      <c r="C619">
        <v>41.260742190000002</v>
      </c>
      <c r="D619">
        <v>1.95888996</v>
      </c>
      <c r="E619" t="b">
        <f t="shared" si="216"/>
        <v>0</v>
      </c>
      <c r="F619">
        <f t="shared" si="217"/>
        <v>-204.34482099000002</v>
      </c>
      <c r="G619">
        <f t="shared" si="218"/>
        <v>-410.64853194</v>
      </c>
      <c r="H619">
        <f t="shared" si="219"/>
        <v>-616.95224289000009</v>
      </c>
      <c r="I619">
        <f t="shared" si="220"/>
        <v>-823.25595384000007</v>
      </c>
      <c r="J619">
        <f t="shared" si="221"/>
        <v>-1029.5596647899999</v>
      </c>
      <c r="L619">
        <f t="shared" si="222"/>
        <v>3956957.7192000002</v>
      </c>
      <c r="M619">
        <f t="shared" si="223"/>
        <v>-351473092.10280007</v>
      </c>
      <c r="N619">
        <f t="shared" si="224"/>
        <v>-607759827.27119994</v>
      </c>
      <c r="O619">
        <f t="shared" si="225"/>
        <v>-690986512.03680015</v>
      </c>
      <c r="P619">
        <f t="shared" si="226"/>
        <v>-757395477.53279996</v>
      </c>
      <c r="Q619">
        <f t="shared" si="227"/>
        <v>-885421311.71939993</v>
      </c>
      <c r="S619">
        <f t="shared" si="228"/>
        <v>4799280.4020000007</v>
      </c>
      <c r="T619">
        <f t="shared" si="229"/>
        <v>-891107314.30979991</v>
      </c>
      <c r="U619">
        <f t="shared" si="230"/>
        <v>-763806269.40839994</v>
      </c>
      <c r="V619">
        <f t="shared" si="231"/>
        <v>-876072184.90380013</v>
      </c>
      <c r="W619">
        <f t="shared" si="232"/>
        <v>-1127860656.7608001</v>
      </c>
      <c r="X619">
        <f t="shared" si="233"/>
        <v>-1256062791.0437999</v>
      </c>
      <c r="Z619">
        <f t="shared" si="234"/>
        <v>5641603.0847999994</v>
      </c>
      <c r="AA619">
        <f t="shared" si="235"/>
        <v>-535383430.99380004</v>
      </c>
      <c r="AB619">
        <f t="shared" si="236"/>
        <v>-919852711.54560006</v>
      </c>
      <c r="AC619">
        <f t="shared" si="237"/>
        <v>-1209226396.0644002</v>
      </c>
      <c r="AD619">
        <f t="shared" si="238"/>
        <v>-1498325835.9888</v>
      </c>
      <c r="AE619">
        <f t="shared" si="239"/>
        <v>-1626704270.3682001</v>
      </c>
    </row>
    <row r="620" spans="1:31" x14ac:dyDescent="0.25">
      <c r="A620">
        <v>38.641477680000001</v>
      </c>
      <c r="B620">
        <v>118.5833239</v>
      </c>
      <c r="C620">
        <v>44.122974399999997</v>
      </c>
      <c r="D620">
        <v>1.22430599</v>
      </c>
      <c r="E620" t="b">
        <f t="shared" si="216"/>
        <v>0</v>
      </c>
      <c r="F620">
        <f t="shared" si="217"/>
        <v>-219.39056600999999</v>
      </c>
      <c r="G620">
        <f t="shared" si="218"/>
        <v>-440.00543800999998</v>
      </c>
      <c r="H620">
        <f t="shared" si="219"/>
        <v>-660.62031001000003</v>
      </c>
      <c r="I620">
        <f t="shared" si="220"/>
        <v>-881.23518201000002</v>
      </c>
      <c r="J620">
        <f t="shared" si="221"/>
        <v>-1101.8500540099999</v>
      </c>
      <c r="L620">
        <f t="shared" si="222"/>
        <v>2473098.0998</v>
      </c>
      <c r="M620">
        <f t="shared" si="223"/>
        <v>-377351773.53720003</v>
      </c>
      <c r="N620">
        <f t="shared" si="224"/>
        <v>-651208048.25479996</v>
      </c>
      <c r="O620">
        <f t="shared" si="225"/>
        <v>-739894747.21120012</v>
      </c>
      <c r="P620">
        <f t="shared" si="226"/>
        <v>-810736367.44919991</v>
      </c>
      <c r="Q620">
        <f t="shared" si="227"/>
        <v>-947591046.44859993</v>
      </c>
      <c r="S620">
        <f t="shared" si="228"/>
        <v>2999549.6755000004</v>
      </c>
      <c r="T620">
        <f t="shared" si="229"/>
        <v>-954811800.48169994</v>
      </c>
      <c r="U620">
        <f t="shared" si="230"/>
        <v>-818410114.69859993</v>
      </c>
      <c r="V620">
        <f t="shared" si="231"/>
        <v>-938080840.2141999</v>
      </c>
      <c r="W620">
        <f t="shared" si="232"/>
        <v>-1207292199.3537002</v>
      </c>
      <c r="X620">
        <f t="shared" si="233"/>
        <v>-1344257065.8922</v>
      </c>
      <c r="Z620">
        <f t="shared" si="234"/>
        <v>3526001.2511999998</v>
      </c>
      <c r="AA620">
        <f t="shared" si="235"/>
        <v>-574803282.94620001</v>
      </c>
      <c r="AB620">
        <f t="shared" si="236"/>
        <v>-985612181.14240003</v>
      </c>
      <c r="AC620">
        <f t="shared" si="237"/>
        <v>-1294815807.6196001</v>
      </c>
      <c r="AD620">
        <f t="shared" si="238"/>
        <v>-1603848031.2581999</v>
      </c>
      <c r="AE620">
        <f t="shared" si="239"/>
        <v>-1740923085.3358002</v>
      </c>
    </row>
    <row r="621" spans="1:31" x14ac:dyDescent="0.25">
      <c r="A621">
        <v>38.652860439999998</v>
      </c>
      <c r="B621">
        <v>93.080961479999999</v>
      </c>
      <c r="C621">
        <v>20.624670030000001</v>
      </c>
      <c r="D621">
        <v>4.7803999999999999E-2</v>
      </c>
      <c r="E621" t="b">
        <f t="shared" si="216"/>
        <v>0</v>
      </c>
      <c r="F621">
        <f t="shared" si="217"/>
        <v>-103.07554615000001</v>
      </c>
      <c r="G621">
        <f t="shared" si="218"/>
        <v>-206.1988963</v>
      </c>
      <c r="H621">
        <f t="shared" si="219"/>
        <v>-309.32224645000002</v>
      </c>
      <c r="I621">
        <f t="shared" si="220"/>
        <v>-412.44559660000004</v>
      </c>
      <c r="J621">
        <f t="shared" si="221"/>
        <v>-515.56894675000001</v>
      </c>
      <c r="L621">
        <f t="shared" si="222"/>
        <v>96564.08</v>
      </c>
      <c r="M621">
        <f t="shared" si="223"/>
        <v>-177289939.37800002</v>
      </c>
      <c r="N621">
        <f t="shared" si="224"/>
        <v>-305174366.52399999</v>
      </c>
      <c r="O621">
        <f t="shared" si="225"/>
        <v>-346440916.02400011</v>
      </c>
      <c r="P621">
        <f t="shared" si="226"/>
        <v>-379449948.87199998</v>
      </c>
      <c r="Q621">
        <f t="shared" si="227"/>
        <v>-443389294.20499998</v>
      </c>
      <c r="S621">
        <f t="shared" si="228"/>
        <v>117119.8</v>
      </c>
      <c r="T621">
        <f t="shared" si="229"/>
        <v>-447451604.97100002</v>
      </c>
      <c r="U621">
        <f t="shared" si="230"/>
        <v>-383529947.11799997</v>
      </c>
      <c r="V621">
        <f t="shared" si="231"/>
        <v>-439237589.95900005</v>
      </c>
      <c r="W621">
        <f t="shared" si="232"/>
        <v>-565050467.34200013</v>
      </c>
      <c r="X621">
        <f t="shared" si="233"/>
        <v>-628994115.03499997</v>
      </c>
      <c r="Z621">
        <f t="shared" si="234"/>
        <v>137675.51999999999</v>
      </c>
      <c r="AA621">
        <f t="shared" si="235"/>
        <v>-270057930.91300005</v>
      </c>
      <c r="AB621">
        <f t="shared" si="236"/>
        <v>-461885527.71200007</v>
      </c>
      <c r="AC621">
        <f t="shared" si="237"/>
        <v>-606271603.04200006</v>
      </c>
      <c r="AD621">
        <f t="shared" si="238"/>
        <v>-750650985.81200004</v>
      </c>
      <c r="AE621">
        <f t="shared" si="239"/>
        <v>-814598935.86500001</v>
      </c>
    </row>
    <row r="622" spans="1:31" x14ac:dyDescent="0.25">
      <c r="A622">
        <v>38.654013079999999</v>
      </c>
      <c r="B622">
        <v>117.9960526</v>
      </c>
      <c r="C622">
        <v>43.382221219999998</v>
      </c>
      <c r="D622">
        <v>4.6156349199999998</v>
      </c>
      <c r="E622" t="b">
        <f t="shared" si="216"/>
        <v>0</v>
      </c>
      <c r="F622">
        <f t="shared" si="217"/>
        <v>-212.29547117999999</v>
      </c>
      <c r="G622">
        <f t="shared" si="218"/>
        <v>-429.20657727999998</v>
      </c>
      <c r="H622">
        <f t="shared" si="219"/>
        <v>-646.1176833799999</v>
      </c>
      <c r="I622">
        <f t="shared" si="220"/>
        <v>-863.02878947999989</v>
      </c>
      <c r="J622">
        <f t="shared" si="221"/>
        <v>-1079.93989558</v>
      </c>
      <c r="L622">
        <f t="shared" si="222"/>
        <v>9323582.5384</v>
      </c>
      <c r="M622">
        <f t="shared" si="223"/>
        <v>-365148210.42960006</v>
      </c>
      <c r="N622">
        <f t="shared" si="224"/>
        <v>-635225734.3743999</v>
      </c>
      <c r="O622">
        <f t="shared" si="225"/>
        <v>-723651805.38559997</v>
      </c>
      <c r="P622">
        <f t="shared" si="226"/>
        <v>-793986486.32159984</v>
      </c>
      <c r="Q622">
        <f t="shared" si="227"/>
        <v>-928748310.19879997</v>
      </c>
      <c r="S622">
        <f t="shared" si="228"/>
        <v>11308305.554000001</v>
      </c>
      <c r="T622">
        <f t="shared" si="229"/>
        <v>-931378272.69759989</v>
      </c>
      <c r="U622">
        <f t="shared" si="230"/>
        <v>-798324233.7407999</v>
      </c>
      <c r="V622">
        <f t="shared" si="231"/>
        <v>-917487110.39959979</v>
      </c>
      <c r="W622">
        <f t="shared" si="232"/>
        <v>-1182349441.5876</v>
      </c>
      <c r="X622">
        <f t="shared" si="233"/>
        <v>-1317526672.6076</v>
      </c>
      <c r="Z622">
        <f t="shared" si="234"/>
        <v>13293028.569599999</v>
      </c>
      <c r="AA622">
        <f t="shared" si="235"/>
        <v>-556214134.49160004</v>
      </c>
      <c r="AB622">
        <f t="shared" si="236"/>
        <v>-961422733.10720003</v>
      </c>
      <c r="AC622">
        <f t="shared" si="237"/>
        <v>-1266390659.4247997</v>
      </c>
      <c r="AD622">
        <f t="shared" si="238"/>
        <v>-1570712396.8535998</v>
      </c>
      <c r="AE622">
        <f t="shared" si="239"/>
        <v>-1706305035.0163999</v>
      </c>
    </row>
    <row r="623" spans="1:31" x14ac:dyDescent="0.25">
      <c r="A623">
        <v>38.657372289999998</v>
      </c>
      <c r="B623">
        <v>120.5344006</v>
      </c>
      <c r="C623">
        <v>14.355920790000001</v>
      </c>
      <c r="D623">
        <v>58.449367520000003</v>
      </c>
      <c r="E623" t="b">
        <f t="shared" si="216"/>
        <v>1</v>
      </c>
      <c r="F623">
        <f t="shared" si="217"/>
        <v>-13.330236430000006</v>
      </c>
      <c r="G623">
        <f t="shared" si="218"/>
        <v>-85.109840380000009</v>
      </c>
      <c r="H623">
        <f t="shared" si="219"/>
        <v>-156.88944433</v>
      </c>
      <c r="I623">
        <f t="shared" si="220"/>
        <v>-228.66904828000003</v>
      </c>
      <c r="J623">
        <f t="shared" si="221"/>
        <v>-300.44865222999999</v>
      </c>
      <c r="L623">
        <f t="shared" si="222"/>
        <v>28998959.995800003</v>
      </c>
      <c r="M623">
        <f t="shared" si="223"/>
        <v>-22928006.659600016</v>
      </c>
      <c r="N623">
        <f t="shared" si="224"/>
        <v>-125962563.76240002</v>
      </c>
      <c r="O623">
        <f t="shared" si="225"/>
        <v>-175716177.64960003</v>
      </c>
      <c r="P623">
        <f t="shared" si="226"/>
        <v>-210375524.41760001</v>
      </c>
      <c r="Q623">
        <f t="shared" si="227"/>
        <v>-258385840.91780001</v>
      </c>
      <c r="S623">
        <f t="shared" si="228"/>
        <v>35172005.935500003</v>
      </c>
      <c r="T623">
        <f t="shared" si="229"/>
        <v>-184688353.62460002</v>
      </c>
      <c r="U623">
        <f t="shared" si="230"/>
        <v>-158304303.10680002</v>
      </c>
      <c r="V623">
        <f t="shared" si="231"/>
        <v>-222783010.94859999</v>
      </c>
      <c r="W623">
        <f t="shared" si="232"/>
        <v>-313276596.14360005</v>
      </c>
      <c r="X623">
        <f t="shared" si="233"/>
        <v>-366547355.72060001</v>
      </c>
      <c r="Z623">
        <f t="shared" si="234"/>
        <v>41345051.875200003</v>
      </c>
      <c r="AA623">
        <f t="shared" si="235"/>
        <v>-34925219.44660002</v>
      </c>
      <c r="AB623">
        <f t="shared" si="236"/>
        <v>-190646042.45120004</v>
      </c>
      <c r="AC623">
        <f t="shared" si="237"/>
        <v>-307503310.88679999</v>
      </c>
      <c r="AD623">
        <f t="shared" si="238"/>
        <v>-416177667.86960006</v>
      </c>
      <c r="AE623">
        <f t="shared" si="239"/>
        <v>-474708870.52340007</v>
      </c>
    </row>
    <row r="624" spans="1:31" x14ac:dyDescent="0.25">
      <c r="A624">
        <v>38.665971050000003</v>
      </c>
      <c r="B624">
        <v>120.0631441</v>
      </c>
      <c r="C624">
        <v>36.944892879999998</v>
      </c>
      <c r="D624">
        <v>12.24306393</v>
      </c>
      <c r="E624" t="b">
        <f t="shared" si="216"/>
        <v>0</v>
      </c>
      <c r="F624">
        <f t="shared" si="217"/>
        <v>-172.48140046999998</v>
      </c>
      <c r="G624">
        <f t="shared" si="218"/>
        <v>-357.20586486999997</v>
      </c>
      <c r="H624">
        <f t="shared" si="219"/>
        <v>-541.93032927000002</v>
      </c>
      <c r="I624">
        <f t="shared" si="220"/>
        <v>-726.65479367</v>
      </c>
      <c r="J624">
        <f t="shared" si="221"/>
        <v>-911.37925806999999</v>
      </c>
      <c r="L624">
        <f t="shared" si="222"/>
        <v>24730989.138599999</v>
      </c>
      <c r="M624">
        <f t="shared" si="223"/>
        <v>-296668008.80839998</v>
      </c>
      <c r="N624">
        <f t="shared" si="224"/>
        <v>-528664680.00759989</v>
      </c>
      <c r="O624">
        <f t="shared" si="225"/>
        <v>-606961968.78240001</v>
      </c>
      <c r="P624">
        <f t="shared" si="226"/>
        <v>-668522410.17639995</v>
      </c>
      <c r="Q624">
        <f t="shared" si="227"/>
        <v>-783786161.94019997</v>
      </c>
      <c r="S624">
        <f t="shared" si="228"/>
        <v>29995506.6285</v>
      </c>
      <c r="T624">
        <f t="shared" si="229"/>
        <v>-775136726.76789987</v>
      </c>
      <c r="U624">
        <f t="shared" si="230"/>
        <v>-664402908.65819991</v>
      </c>
      <c r="V624">
        <f t="shared" si="231"/>
        <v>-769541067.56339991</v>
      </c>
      <c r="W624">
        <f t="shared" si="232"/>
        <v>-995517067.32790005</v>
      </c>
      <c r="X624">
        <f t="shared" si="233"/>
        <v>-1111882694.8453999</v>
      </c>
      <c r="Z624">
        <f t="shared" si="234"/>
        <v>35260024.1184</v>
      </c>
      <c r="AA624">
        <f t="shared" si="235"/>
        <v>-451901269.23139995</v>
      </c>
      <c r="AB624">
        <f t="shared" si="236"/>
        <v>-800141137.30879998</v>
      </c>
      <c r="AC624">
        <f t="shared" si="237"/>
        <v>-1062183445.3692</v>
      </c>
      <c r="AD624">
        <f t="shared" si="238"/>
        <v>-1322511724.4793999</v>
      </c>
      <c r="AE624">
        <f t="shared" si="239"/>
        <v>-1439979227.7505999</v>
      </c>
    </row>
    <row r="625" spans="1:31" x14ac:dyDescent="0.25">
      <c r="A625">
        <v>38.669128790000002</v>
      </c>
      <c r="B625">
        <v>117.35054049999999</v>
      </c>
      <c r="C625">
        <v>52.10093689</v>
      </c>
      <c r="D625">
        <v>4.1548309300000001</v>
      </c>
      <c r="E625" t="b">
        <f t="shared" si="216"/>
        <v>0</v>
      </c>
      <c r="F625">
        <f t="shared" si="217"/>
        <v>-256.34985352000001</v>
      </c>
      <c r="G625">
        <f t="shared" si="218"/>
        <v>-516.85453797000002</v>
      </c>
      <c r="H625">
        <f t="shared" si="219"/>
        <v>-777.35922242000004</v>
      </c>
      <c r="I625">
        <f t="shared" si="220"/>
        <v>-1037.8639068700002</v>
      </c>
      <c r="J625">
        <f t="shared" si="221"/>
        <v>-1298.3685913200002</v>
      </c>
      <c r="L625">
        <f t="shared" si="222"/>
        <v>8392758.478600001</v>
      </c>
      <c r="M625">
        <f t="shared" si="223"/>
        <v>-440921748.05440009</v>
      </c>
      <c r="N625">
        <f t="shared" si="224"/>
        <v>-764944716.19560003</v>
      </c>
      <c r="O625">
        <f t="shared" si="225"/>
        <v>-870642329.1104002</v>
      </c>
      <c r="P625">
        <f t="shared" si="226"/>
        <v>-954834794.3204</v>
      </c>
      <c r="Q625">
        <f t="shared" si="227"/>
        <v>-1116596988.5352001</v>
      </c>
      <c r="S625">
        <f t="shared" si="228"/>
        <v>10179335.778500002</v>
      </c>
      <c r="T625">
        <f t="shared" si="229"/>
        <v>-1121574347.3949001</v>
      </c>
      <c r="U625">
        <f t="shared" si="230"/>
        <v>-961349440.62419999</v>
      </c>
      <c r="V625">
        <f t="shared" si="231"/>
        <v>-1103850095.8364</v>
      </c>
      <c r="W625">
        <f t="shared" si="232"/>
        <v>-1421873552.4119003</v>
      </c>
      <c r="X625">
        <f t="shared" si="233"/>
        <v>-1584009681.4104002</v>
      </c>
      <c r="Z625">
        <f t="shared" si="234"/>
        <v>11965913.078400001</v>
      </c>
      <c r="AA625">
        <f t="shared" si="235"/>
        <v>-671636616.22240007</v>
      </c>
      <c r="AB625">
        <f t="shared" si="236"/>
        <v>-1157754165.0528002</v>
      </c>
      <c r="AC625">
        <f t="shared" si="237"/>
        <v>-1523624075.9432001</v>
      </c>
      <c r="AD625">
        <f t="shared" si="238"/>
        <v>-1888912310.5034003</v>
      </c>
      <c r="AE625">
        <f t="shared" si="239"/>
        <v>-2051422374.2856004</v>
      </c>
    </row>
    <row r="626" spans="1:31" x14ac:dyDescent="0.25">
      <c r="A626">
        <v>38.674994490000003</v>
      </c>
      <c r="B626">
        <v>118.70687049999999</v>
      </c>
      <c r="C626">
        <v>10.021681790000001</v>
      </c>
      <c r="D626">
        <v>6.0664200800000003</v>
      </c>
      <c r="E626" t="b">
        <f t="shared" si="216"/>
        <v>0</v>
      </c>
      <c r="F626">
        <f t="shared" si="217"/>
        <v>-44.041988870000004</v>
      </c>
      <c r="G626">
        <f t="shared" si="218"/>
        <v>-94.150397820000009</v>
      </c>
      <c r="H626">
        <f t="shared" si="219"/>
        <v>-144.25880677000001</v>
      </c>
      <c r="I626">
        <f t="shared" si="220"/>
        <v>-194.36721572000002</v>
      </c>
      <c r="J626">
        <f t="shared" si="221"/>
        <v>-244.47562467</v>
      </c>
      <c r="L626">
        <f t="shared" si="222"/>
        <v>12254168.5616</v>
      </c>
      <c r="M626">
        <f t="shared" si="223"/>
        <v>-75752220.856400013</v>
      </c>
      <c r="N626">
        <f t="shared" si="224"/>
        <v>-139342588.77360001</v>
      </c>
      <c r="O626">
        <f t="shared" si="225"/>
        <v>-161569863.58240002</v>
      </c>
      <c r="P626">
        <f t="shared" si="226"/>
        <v>-178817838.46240002</v>
      </c>
      <c r="Q626">
        <f t="shared" si="227"/>
        <v>-210249037.21620002</v>
      </c>
      <c r="S626">
        <f t="shared" si="228"/>
        <v>14862729.196</v>
      </c>
      <c r="T626">
        <f t="shared" si="229"/>
        <v>-204306363.2694</v>
      </c>
      <c r="U626">
        <f t="shared" si="230"/>
        <v>-175119739.9452</v>
      </c>
      <c r="V626">
        <f t="shared" si="231"/>
        <v>-204847505.61340001</v>
      </c>
      <c r="W626">
        <f t="shared" si="232"/>
        <v>-266283085.53640005</v>
      </c>
      <c r="X626">
        <f t="shared" si="233"/>
        <v>-298260262.09740001</v>
      </c>
      <c r="Z626">
        <f t="shared" si="234"/>
        <v>17471289.830400001</v>
      </c>
      <c r="AA626">
        <f t="shared" si="235"/>
        <v>-115390010.83940002</v>
      </c>
      <c r="AB626">
        <f t="shared" si="236"/>
        <v>-210896891.11680004</v>
      </c>
      <c r="AC626">
        <f t="shared" si="237"/>
        <v>-282747261.26920003</v>
      </c>
      <c r="AD626">
        <f t="shared" si="238"/>
        <v>-353748332.61040008</v>
      </c>
      <c r="AE626">
        <f t="shared" si="239"/>
        <v>-386271486.97860003</v>
      </c>
    </row>
    <row r="627" spans="1:31" x14ac:dyDescent="0.25">
      <c r="A627">
        <v>38.69286177</v>
      </c>
      <c r="B627">
        <v>118.5329023</v>
      </c>
      <c r="C627">
        <v>10.77451801</v>
      </c>
      <c r="D627">
        <v>6.0902099600000001</v>
      </c>
      <c r="E627" t="b">
        <f t="shared" si="216"/>
        <v>0</v>
      </c>
      <c r="F627">
        <f t="shared" si="217"/>
        <v>-47.782380089999997</v>
      </c>
      <c r="G627">
        <f t="shared" si="218"/>
        <v>-101.65497014</v>
      </c>
      <c r="H627">
        <f t="shared" si="219"/>
        <v>-155.52756018999997</v>
      </c>
      <c r="I627">
        <f t="shared" si="220"/>
        <v>-209.40015023999999</v>
      </c>
      <c r="J627">
        <f t="shared" si="221"/>
        <v>-263.27274029</v>
      </c>
      <c r="L627">
        <f t="shared" si="222"/>
        <v>12302224.119200001</v>
      </c>
      <c r="M627">
        <f t="shared" si="223"/>
        <v>-82185693.754800007</v>
      </c>
      <c r="N627">
        <f t="shared" si="224"/>
        <v>-150449355.80719998</v>
      </c>
      <c r="O627">
        <f t="shared" si="225"/>
        <v>-174190867.41279998</v>
      </c>
      <c r="P627">
        <f t="shared" si="226"/>
        <v>-192648138.22079995</v>
      </c>
      <c r="Q627">
        <f t="shared" si="227"/>
        <v>-226414556.6494</v>
      </c>
      <c r="S627">
        <f t="shared" si="228"/>
        <v>14921014.402000001</v>
      </c>
      <c r="T627">
        <f t="shared" si="229"/>
        <v>-220591285.20379999</v>
      </c>
      <c r="U627">
        <f t="shared" si="230"/>
        <v>-189078244.46039999</v>
      </c>
      <c r="V627">
        <f t="shared" si="231"/>
        <v>-220849135.46979994</v>
      </c>
      <c r="W627">
        <f t="shared" si="232"/>
        <v>-286878205.82880002</v>
      </c>
      <c r="X627">
        <f t="shared" si="233"/>
        <v>-321192743.15380001</v>
      </c>
      <c r="Z627">
        <f t="shared" si="234"/>
        <v>17539804.684799999</v>
      </c>
      <c r="AA627">
        <f t="shared" si="235"/>
        <v>-125189835.83579999</v>
      </c>
      <c r="AB627">
        <f t="shared" si="236"/>
        <v>-227707133.11360002</v>
      </c>
      <c r="AC627">
        <f t="shared" si="237"/>
        <v>-304834017.97239995</v>
      </c>
      <c r="AD627">
        <f t="shared" si="238"/>
        <v>-381108273.4368</v>
      </c>
      <c r="AE627">
        <f t="shared" si="239"/>
        <v>-415970929.65820003</v>
      </c>
    </row>
    <row r="628" spans="1:31" x14ac:dyDescent="0.25">
      <c r="A628">
        <v>38.69844415</v>
      </c>
      <c r="B628">
        <v>117.5316651</v>
      </c>
      <c r="C628">
        <v>52.10093689</v>
      </c>
      <c r="D628">
        <v>17.407512659999998</v>
      </c>
      <c r="E628" t="b">
        <f t="shared" si="216"/>
        <v>0</v>
      </c>
      <c r="F628">
        <f t="shared" si="217"/>
        <v>-243.09717179</v>
      </c>
      <c r="G628">
        <f t="shared" si="218"/>
        <v>-503.60185624000002</v>
      </c>
      <c r="H628">
        <f t="shared" si="219"/>
        <v>-764.10654069000009</v>
      </c>
      <c r="I628">
        <f t="shared" si="220"/>
        <v>-1024.61122514</v>
      </c>
      <c r="J628">
        <f t="shared" si="221"/>
        <v>-1285.11590959</v>
      </c>
      <c r="L628">
        <f t="shared" si="222"/>
        <v>35163175.573200002</v>
      </c>
      <c r="M628">
        <f t="shared" si="223"/>
        <v>-418127135.47880006</v>
      </c>
      <c r="N628">
        <f t="shared" si="224"/>
        <v>-745330747.23520005</v>
      </c>
      <c r="O628">
        <f t="shared" si="225"/>
        <v>-855799325.57280016</v>
      </c>
      <c r="P628">
        <f t="shared" si="226"/>
        <v>-942642327.12879992</v>
      </c>
      <c r="Q628">
        <f t="shared" si="227"/>
        <v>-1105199682.2473998</v>
      </c>
      <c r="S628">
        <f t="shared" si="228"/>
        <v>42648406.017000005</v>
      </c>
      <c r="T628">
        <f t="shared" si="229"/>
        <v>-1092816028.0408001</v>
      </c>
      <c r="U628">
        <f t="shared" si="230"/>
        <v>-936699452.60640001</v>
      </c>
      <c r="V628">
        <f t="shared" si="231"/>
        <v>-1085031287.7797999</v>
      </c>
      <c r="W628">
        <f t="shared" si="232"/>
        <v>-1403717378.4418001</v>
      </c>
      <c r="X628">
        <f t="shared" si="233"/>
        <v>-1567841409.6997998</v>
      </c>
      <c r="Z628">
        <f t="shared" si="234"/>
        <v>50133636.4608</v>
      </c>
      <c r="AA628">
        <f t="shared" si="235"/>
        <v>-636914590.0898</v>
      </c>
      <c r="AB628">
        <f t="shared" si="236"/>
        <v>-1128068157.9776001</v>
      </c>
      <c r="AC628">
        <f t="shared" si="237"/>
        <v>-1497648819.7524002</v>
      </c>
      <c r="AD628">
        <f t="shared" si="238"/>
        <v>-1864792429.7548001</v>
      </c>
      <c r="AE628">
        <f t="shared" si="239"/>
        <v>-2030483137.1522</v>
      </c>
    </row>
    <row r="629" spans="1:31" x14ac:dyDescent="0.25">
      <c r="A629">
        <v>38.702318579999996</v>
      </c>
      <c r="B629">
        <v>118.8885128</v>
      </c>
      <c r="C629">
        <v>11.75231934</v>
      </c>
      <c r="D629">
        <v>2.8967089700000002</v>
      </c>
      <c r="E629" t="b">
        <f t="shared" si="216"/>
        <v>0</v>
      </c>
      <c r="F629">
        <f t="shared" si="217"/>
        <v>-55.86488773</v>
      </c>
      <c r="G629">
        <f t="shared" si="218"/>
        <v>-114.62648442999999</v>
      </c>
      <c r="H629">
        <f t="shared" si="219"/>
        <v>-173.38808113000002</v>
      </c>
      <c r="I629">
        <f t="shared" si="220"/>
        <v>-232.14967783</v>
      </c>
      <c r="J629">
        <f t="shared" si="221"/>
        <v>-290.91127452999996</v>
      </c>
      <c r="L629">
        <f t="shared" si="222"/>
        <v>5851352.1194000002</v>
      </c>
      <c r="M629">
        <f t="shared" si="223"/>
        <v>-96087606.895600006</v>
      </c>
      <c r="N629">
        <f t="shared" si="224"/>
        <v>-169647196.95639998</v>
      </c>
      <c r="O629">
        <f t="shared" si="225"/>
        <v>-194194650.86560005</v>
      </c>
      <c r="P629">
        <f t="shared" si="226"/>
        <v>-213577703.6036</v>
      </c>
      <c r="Q629">
        <f t="shared" si="227"/>
        <v>-250183696.09579998</v>
      </c>
      <c r="S629">
        <f t="shared" si="228"/>
        <v>7096936.9765000008</v>
      </c>
      <c r="T629">
        <f t="shared" si="229"/>
        <v>-248739471.21309999</v>
      </c>
      <c r="U629">
        <f t="shared" si="230"/>
        <v>-213205261.03979996</v>
      </c>
      <c r="V629">
        <f t="shared" si="231"/>
        <v>-246211075.20460004</v>
      </c>
      <c r="W629">
        <f t="shared" si="232"/>
        <v>-318045058.62710005</v>
      </c>
      <c r="X629">
        <f t="shared" si="233"/>
        <v>-354911754.92659998</v>
      </c>
      <c r="Z629">
        <f t="shared" si="234"/>
        <v>8342521.8336000005</v>
      </c>
      <c r="AA629">
        <f t="shared" si="235"/>
        <v>-146366005.85260001</v>
      </c>
      <c r="AB629">
        <f t="shared" si="236"/>
        <v>-256763325.1232</v>
      </c>
      <c r="AC629">
        <f t="shared" si="237"/>
        <v>-339840639.01480007</v>
      </c>
      <c r="AD629">
        <f t="shared" si="238"/>
        <v>-422512413.65060002</v>
      </c>
      <c r="AE629">
        <f t="shared" si="239"/>
        <v>-459639813.75739998</v>
      </c>
    </row>
    <row r="630" spans="1:31" x14ac:dyDescent="0.25">
      <c r="A630">
        <v>38.725325810000001</v>
      </c>
      <c r="B630">
        <v>117.2411508</v>
      </c>
      <c r="C630">
        <v>52.10093689</v>
      </c>
      <c r="D630">
        <v>0.39798500999999997</v>
      </c>
      <c r="E630" t="b">
        <f t="shared" si="216"/>
        <v>0</v>
      </c>
      <c r="F630">
        <f t="shared" si="217"/>
        <v>-260.10669944</v>
      </c>
      <c r="G630">
        <f t="shared" si="218"/>
        <v>-520.61138389000007</v>
      </c>
      <c r="H630">
        <f t="shared" si="219"/>
        <v>-781.11606834000008</v>
      </c>
      <c r="I630">
        <f t="shared" si="220"/>
        <v>-1041.6207527900001</v>
      </c>
      <c r="J630">
        <f t="shared" si="221"/>
        <v>-1302.1254372400001</v>
      </c>
      <c r="L630">
        <f t="shared" si="222"/>
        <v>803929.72019999987</v>
      </c>
      <c r="M630">
        <f t="shared" si="223"/>
        <v>-447383523.03680003</v>
      </c>
      <c r="N630">
        <f t="shared" si="224"/>
        <v>-770504848.1572001</v>
      </c>
      <c r="O630">
        <f t="shared" si="225"/>
        <v>-874849996.54080009</v>
      </c>
      <c r="P630">
        <f t="shared" si="226"/>
        <v>-958291092.5668</v>
      </c>
      <c r="Q630">
        <f t="shared" si="227"/>
        <v>-1119827876.0264001</v>
      </c>
      <c r="S630">
        <f t="shared" si="228"/>
        <v>975063.27449999994</v>
      </c>
      <c r="T630">
        <f t="shared" si="229"/>
        <v>-1129726703.0413001</v>
      </c>
      <c r="U630">
        <f t="shared" si="230"/>
        <v>-968337174.03540003</v>
      </c>
      <c r="V630">
        <f t="shared" si="231"/>
        <v>-1109184817.0427999</v>
      </c>
      <c r="W630">
        <f t="shared" si="232"/>
        <v>-1427020431.3223002</v>
      </c>
      <c r="X630">
        <f t="shared" si="233"/>
        <v>-1588593033.4328001</v>
      </c>
      <c r="Z630">
        <f t="shared" si="234"/>
        <v>1146196.8287999998</v>
      </c>
      <c r="AA630">
        <f t="shared" si="235"/>
        <v>-681479552.53280008</v>
      </c>
      <c r="AB630">
        <f t="shared" si="236"/>
        <v>-1166169499.9136002</v>
      </c>
      <c r="AC630">
        <f t="shared" si="237"/>
        <v>-1530987493.9463999</v>
      </c>
      <c r="AD630">
        <f t="shared" si="238"/>
        <v>-1895749770.0778003</v>
      </c>
      <c r="AE630">
        <f t="shared" si="239"/>
        <v>-2057358190.8392</v>
      </c>
    </row>
    <row r="631" spans="1:31" x14ac:dyDescent="0.25">
      <c r="A631">
        <v>38.741653970000002</v>
      </c>
      <c r="B631">
        <v>118.95429009999999</v>
      </c>
      <c r="C631">
        <v>22.470727920000002</v>
      </c>
      <c r="D631">
        <v>0.63663899999999995</v>
      </c>
      <c r="E631" t="b">
        <f t="shared" si="216"/>
        <v>0</v>
      </c>
      <c r="F631">
        <f t="shared" si="217"/>
        <v>-111.71700060000001</v>
      </c>
      <c r="G631">
        <f t="shared" si="218"/>
        <v>-224.07064020000001</v>
      </c>
      <c r="H631">
        <f t="shared" si="219"/>
        <v>-336.42427980000002</v>
      </c>
      <c r="I631">
        <f t="shared" si="220"/>
        <v>-448.77791940000003</v>
      </c>
      <c r="J631">
        <f t="shared" si="221"/>
        <v>-561.13155900000004</v>
      </c>
      <c r="L631">
        <f t="shared" si="222"/>
        <v>1286010.78</v>
      </c>
      <c r="M631">
        <f t="shared" si="223"/>
        <v>-192153241.03200004</v>
      </c>
      <c r="N631">
        <f t="shared" si="224"/>
        <v>-331624547.49600005</v>
      </c>
      <c r="O631">
        <f t="shared" si="225"/>
        <v>-376795193.37600005</v>
      </c>
      <c r="P631">
        <f t="shared" si="226"/>
        <v>-412875685.84799999</v>
      </c>
      <c r="Q631">
        <f t="shared" si="227"/>
        <v>-482573140.74000001</v>
      </c>
      <c r="S631">
        <f t="shared" si="228"/>
        <v>1559765.55</v>
      </c>
      <c r="T631">
        <f t="shared" si="229"/>
        <v>-486233289.23400003</v>
      </c>
      <c r="U631">
        <f t="shared" si="230"/>
        <v>-416771390.77200001</v>
      </c>
      <c r="V631">
        <f t="shared" si="231"/>
        <v>-477722477.31599998</v>
      </c>
      <c r="W631">
        <f t="shared" si="232"/>
        <v>-614825749.57800007</v>
      </c>
      <c r="X631">
        <f t="shared" si="233"/>
        <v>-684580501.98000002</v>
      </c>
      <c r="Z631">
        <f t="shared" si="234"/>
        <v>1833520.3199999998</v>
      </c>
      <c r="AA631">
        <f t="shared" si="235"/>
        <v>-292698541.57200003</v>
      </c>
      <c r="AB631">
        <f t="shared" si="236"/>
        <v>-501918234.0480001</v>
      </c>
      <c r="AC631">
        <f t="shared" si="237"/>
        <v>-659391588.40799999</v>
      </c>
      <c r="AD631">
        <f t="shared" si="238"/>
        <v>-816775813.30800009</v>
      </c>
      <c r="AE631">
        <f t="shared" si="239"/>
        <v>-886587863.22000003</v>
      </c>
    </row>
    <row r="632" spans="1:31" x14ac:dyDescent="0.25">
      <c r="A632">
        <v>38.743959179999997</v>
      </c>
      <c r="B632">
        <v>117.5386171</v>
      </c>
      <c r="C632">
        <v>52.10093689</v>
      </c>
      <c r="D632">
        <v>9.1823101000000005</v>
      </c>
      <c r="E632" t="b">
        <f t="shared" si="216"/>
        <v>0</v>
      </c>
      <c r="F632">
        <f t="shared" si="217"/>
        <v>-251.32237435000002</v>
      </c>
      <c r="G632">
        <f t="shared" si="218"/>
        <v>-511.82705880000003</v>
      </c>
      <c r="H632">
        <f t="shared" si="219"/>
        <v>-772.33174325000005</v>
      </c>
      <c r="I632">
        <f t="shared" si="220"/>
        <v>-1032.8364277000001</v>
      </c>
      <c r="J632">
        <f t="shared" si="221"/>
        <v>-1293.3411121500001</v>
      </c>
      <c r="L632">
        <f t="shared" si="222"/>
        <v>18548266.401999999</v>
      </c>
      <c r="M632">
        <f t="shared" si="223"/>
        <v>-432274483.88200009</v>
      </c>
      <c r="N632">
        <f t="shared" si="224"/>
        <v>-757504047.02400005</v>
      </c>
      <c r="O632">
        <f t="shared" si="225"/>
        <v>-865011552.44000006</v>
      </c>
      <c r="P632">
        <f t="shared" si="226"/>
        <v>-950209513.48399997</v>
      </c>
      <c r="Q632">
        <f t="shared" si="227"/>
        <v>-1112273356.4490001</v>
      </c>
      <c r="S632">
        <f t="shared" si="228"/>
        <v>22496659.745000001</v>
      </c>
      <c r="T632">
        <f t="shared" si="229"/>
        <v>-1110664717.596</v>
      </c>
      <c r="U632">
        <f t="shared" si="230"/>
        <v>-951998329.36799991</v>
      </c>
      <c r="V632">
        <f t="shared" si="231"/>
        <v>-1096711075.415</v>
      </c>
      <c r="W632">
        <f t="shared" si="232"/>
        <v>-1414985905.9490001</v>
      </c>
      <c r="X632">
        <f t="shared" si="233"/>
        <v>-1577876156.8230002</v>
      </c>
      <c r="Z632">
        <f t="shared" si="234"/>
        <v>26445053.088</v>
      </c>
      <c r="AA632">
        <f t="shared" si="235"/>
        <v>-658464620.79700005</v>
      </c>
      <c r="AB632">
        <f t="shared" si="236"/>
        <v>-1146492611.7120001</v>
      </c>
      <c r="AC632">
        <f t="shared" si="237"/>
        <v>-1513770216.77</v>
      </c>
      <c r="AD632">
        <f t="shared" si="238"/>
        <v>-1879762298.414</v>
      </c>
      <c r="AE632">
        <f t="shared" si="239"/>
        <v>-2043478957.1970003</v>
      </c>
    </row>
    <row r="633" spans="1:31" x14ac:dyDescent="0.25">
      <c r="A633">
        <v>38.744284139999998</v>
      </c>
      <c r="B633">
        <v>115.94852349999999</v>
      </c>
      <c r="C633">
        <v>78.320755000000005</v>
      </c>
      <c r="D633">
        <v>4.9147877700000002</v>
      </c>
      <c r="E633" t="b">
        <f t="shared" si="216"/>
        <v>0</v>
      </c>
      <c r="F633">
        <f t="shared" si="217"/>
        <v>-386.68898723000007</v>
      </c>
      <c r="G633">
        <f t="shared" si="218"/>
        <v>-778.29276223000011</v>
      </c>
      <c r="H633">
        <f t="shared" si="219"/>
        <v>-1169.8965372300001</v>
      </c>
      <c r="I633">
        <f t="shared" si="220"/>
        <v>-1561.5003122300002</v>
      </c>
      <c r="J633">
        <f t="shared" si="221"/>
        <v>-1953.1040872300002</v>
      </c>
      <c r="L633">
        <f t="shared" si="222"/>
        <v>9927871.2954000011</v>
      </c>
      <c r="M633">
        <f t="shared" si="223"/>
        <v>-665105058.03560019</v>
      </c>
      <c r="N633">
        <f t="shared" si="224"/>
        <v>-1151873288.1004002</v>
      </c>
      <c r="O633">
        <f t="shared" si="225"/>
        <v>-1310284121.6976004</v>
      </c>
      <c r="P633">
        <f t="shared" si="226"/>
        <v>-1436580287.2516</v>
      </c>
      <c r="Q633">
        <f t="shared" si="227"/>
        <v>-1679669515.0178001</v>
      </c>
      <c r="S633">
        <f t="shared" si="228"/>
        <v>12041230.036500001</v>
      </c>
      <c r="T633">
        <f t="shared" si="229"/>
        <v>-1688895294.0391002</v>
      </c>
      <c r="U633">
        <f t="shared" si="230"/>
        <v>-1447624537.7478001</v>
      </c>
      <c r="V633">
        <f t="shared" si="231"/>
        <v>-1661253082.8666003</v>
      </c>
      <c r="W633">
        <f t="shared" si="232"/>
        <v>-2139255427.7551005</v>
      </c>
      <c r="X633">
        <f t="shared" si="233"/>
        <v>-2382786986.4206004</v>
      </c>
      <c r="Z633">
        <f t="shared" si="234"/>
        <v>14154588.777600002</v>
      </c>
      <c r="AA633">
        <f t="shared" si="235"/>
        <v>-1013125146.5426003</v>
      </c>
      <c r="AB633">
        <f t="shared" si="236"/>
        <v>-1743375787.3952005</v>
      </c>
      <c r="AC633">
        <f t="shared" si="237"/>
        <v>-2292997212.9708004</v>
      </c>
      <c r="AD633">
        <f t="shared" si="238"/>
        <v>-2841930568.2586007</v>
      </c>
      <c r="AE633">
        <f t="shared" si="239"/>
        <v>-3085904457.8234005</v>
      </c>
    </row>
    <row r="634" spans="1:31" x14ac:dyDescent="0.25">
      <c r="A634">
        <v>38.747752660000003</v>
      </c>
      <c r="B634">
        <v>118.89627849999999</v>
      </c>
      <c r="C634">
        <v>11.218167299999999</v>
      </c>
      <c r="D634">
        <v>36.283546450000003</v>
      </c>
      <c r="E634" t="b">
        <f t="shared" si="216"/>
        <v>1</v>
      </c>
      <c r="F634">
        <f t="shared" si="217"/>
        <v>-19.807290049999992</v>
      </c>
      <c r="G634">
        <f t="shared" si="218"/>
        <v>-75.898126549999986</v>
      </c>
      <c r="H634">
        <f t="shared" si="219"/>
        <v>-131.98896305</v>
      </c>
      <c r="I634">
        <f t="shared" si="220"/>
        <v>-188.07979954999996</v>
      </c>
      <c r="J634">
        <f t="shared" si="221"/>
        <v>-244.17063604999998</v>
      </c>
      <c r="L634">
        <f t="shared" si="222"/>
        <v>22660697.945999999</v>
      </c>
      <c r="M634">
        <f t="shared" si="223"/>
        <v>-34068538.885999992</v>
      </c>
      <c r="N634">
        <f t="shared" si="224"/>
        <v>-112329227.29399997</v>
      </c>
      <c r="O634">
        <f t="shared" si="225"/>
        <v>-147827638.616</v>
      </c>
      <c r="P634">
        <f t="shared" si="226"/>
        <v>-173033415.58599994</v>
      </c>
      <c r="Q634">
        <f t="shared" si="227"/>
        <v>-209986747.00299999</v>
      </c>
      <c r="S634">
        <f t="shared" si="228"/>
        <v>27484509.884999998</v>
      </c>
      <c r="T634">
        <f t="shared" si="229"/>
        <v>-164698934.61349997</v>
      </c>
      <c r="U634">
        <f t="shared" si="230"/>
        <v>-141170515.38299996</v>
      </c>
      <c r="V634">
        <f t="shared" si="231"/>
        <v>-187424327.53099999</v>
      </c>
      <c r="W634">
        <f t="shared" si="232"/>
        <v>-257669325.38349995</v>
      </c>
      <c r="X634">
        <f t="shared" si="233"/>
        <v>-297888175.98099995</v>
      </c>
      <c r="Z634">
        <f t="shared" si="234"/>
        <v>32308321.823999997</v>
      </c>
      <c r="AA634">
        <f t="shared" si="235"/>
        <v>-51895099.930999987</v>
      </c>
      <c r="AB634">
        <f t="shared" si="236"/>
        <v>-170011803.47199997</v>
      </c>
      <c r="AC634">
        <f t="shared" si="237"/>
        <v>-258698367.57799998</v>
      </c>
      <c r="AD634">
        <f t="shared" si="238"/>
        <v>-342305235.18099993</v>
      </c>
      <c r="AE634">
        <f t="shared" si="239"/>
        <v>-385789604.95899999</v>
      </c>
    </row>
    <row r="635" spans="1:31" x14ac:dyDescent="0.25">
      <c r="A635">
        <v>38.75616308</v>
      </c>
      <c r="B635">
        <v>119.2521867</v>
      </c>
      <c r="C635">
        <v>36.944892879999998</v>
      </c>
      <c r="D635">
        <v>12.24306393</v>
      </c>
      <c r="E635" t="b">
        <f t="shared" si="216"/>
        <v>0</v>
      </c>
      <c r="F635">
        <f t="shared" si="217"/>
        <v>-172.48140046999998</v>
      </c>
      <c r="G635">
        <f t="shared" si="218"/>
        <v>-357.20586486999997</v>
      </c>
      <c r="H635">
        <f t="shared" si="219"/>
        <v>-541.93032927000002</v>
      </c>
      <c r="I635">
        <f t="shared" si="220"/>
        <v>-726.65479367</v>
      </c>
      <c r="J635">
        <f t="shared" si="221"/>
        <v>-911.37925806999999</v>
      </c>
      <c r="L635">
        <f t="shared" si="222"/>
        <v>24730989.138599999</v>
      </c>
      <c r="M635">
        <f t="shared" si="223"/>
        <v>-296668008.80839998</v>
      </c>
      <c r="N635">
        <f t="shared" si="224"/>
        <v>-528664680.00759989</v>
      </c>
      <c r="O635">
        <f t="shared" si="225"/>
        <v>-606961968.78240001</v>
      </c>
      <c r="P635">
        <f t="shared" si="226"/>
        <v>-668522410.17639995</v>
      </c>
      <c r="Q635">
        <f t="shared" si="227"/>
        <v>-783786161.94019997</v>
      </c>
      <c r="S635">
        <f t="shared" si="228"/>
        <v>29995506.6285</v>
      </c>
      <c r="T635">
        <f t="shared" si="229"/>
        <v>-775136726.76789987</v>
      </c>
      <c r="U635">
        <f t="shared" si="230"/>
        <v>-664402908.65819991</v>
      </c>
      <c r="V635">
        <f t="shared" si="231"/>
        <v>-769541067.56339991</v>
      </c>
      <c r="W635">
        <f t="shared" si="232"/>
        <v>-995517067.32790005</v>
      </c>
      <c r="X635">
        <f t="shared" si="233"/>
        <v>-1111882694.8453999</v>
      </c>
      <c r="Z635">
        <f t="shared" si="234"/>
        <v>35260024.1184</v>
      </c>
      <c r="AA635">
        <f t="shared" si="235"/>
        <v>-451901269.23139995</v>
      </c>
      <c r="AB635">
        <f t="shared" si="236"/>
        <v>-800141137.30879998</v>
      </c>
      <c r="AC635">
        <f t="shared" si="237"/>
        <v>-1062183445.3692</v>
      </c>
      <c r="AD635">
        <f t="shared" si="238"/>
        <v>-1322511724.4793999</v>
      </c>
      <c r="AE635">
        <f t="shared" si="239"/>
        <v>-1439979227.7505999</v>
      </c>
    </row>
    <row r="636" spans="1:31" x14ac:dyDescent="0.25">
      <c r="A636">
        <v>38.75828301</v>
      </c>
      <c r="B636">
        <v>92.767493139999999</v>
      </c>
      <c r="C636">
        <v>20.624670030000001</v>
      </c>
      <c r="D636">
        <v>0.83436399999999999</v>
      </c>
      <c r="E636" t="b">
        <f t="shared" si="216"/>
        <v>0</v>
      </c>
      <c r="F636">
        <f t="shared" si="217"/>
        <v>-102.28898615000001</v>
      </c>
      <c r="G636">
        <f t="shared" si="218"/>
        <v>-205.41233630000002</v>
      </c>
      <c r="H636">
        <f t="shared" si="219"/>
        <v>-308.53568645000001</v>
      </c>
      <c r="I636">
        <f t="shared" si="220"/>
        <v>-411.65903660000004</v>
      </c>
      <c r="J636">
        <f t="shared" si="221"/>
        <v>-514.78238675</v>
      </c>
      <c r="L636">
        <f t="shared" si="222"/>
        <v>1685415.28</v>
      </c>
      <c r="M636">
        <f t="shared" si="223"/>
        <v>-175937056.17800006</v>
      </c>
      <c r="N636">
        <f t="shared" si="224"/>
        <v>-304010257.72400004</v>
      </c>
      <c r="O636">
        <f t="shared" si="225"/>
        <v>-345559968.824</v>
      </c>
      <c r="P636">
        <f t="shared" si="226"/>
        <v>-378726313.67199999</v>
      </c>
      <c r="Q636">
        <f t="shared" si="227"/>
        <v>-442712852.60500002</v>
      </c>
      <c r="S636">
        <f t="shared" si="228"/>
        <v>2044191.8</v>
      </c>
      <c r="T636">
        <f t="shared" si="229"/>
        <v>-445744769.77100003</v>
      </c>
      <c r="U636">
        <f t="shared" si="230"/>
        <v>-382066945.51800001</v>
      </c>
      <c r="V636">
        <f t="shared" si="231"/>
        <v>-438120674.75899994</v>
      </c>
      <c r="W636">
        <f t="shared" si="232"/>
        <v>-563972880.14200008</v>
      </c>
      <c r="X636">
        <f t="shared" si="233"/>
        <v>-628034511.83500004</v>
      </c>
      <c r="Z636">
        <f t="shared" si="234"/>
        <v>2402968.3199999998</v>
      </c>
      <c r="AA636">
        <f t="shared" si="235"/>
        <v>-267997143.71300006</v>
      </c>
      <c r="AB636">
        <f t="shared" si="236"/>
        <v>-460123633.3120001</v>
      </c>
      <c r="AC636">
        <f t="shared" si="237"/>
        <v>-604729945.44199991</v>
      </c>
      <c r="AD636">
        <f t="shared" si="238"/>
        <v>-749219446.61200011</v>
      </c>
      <c r="AE636">
        <f t="shared" si="239"/>
        <v>-813356171.06500006</v>
      </c>
    </row>
    <row r="637" spans="1:31" x14ac:dyDescent="0.25">
      <c r="A637">
        <v>38.759868300000001</v>
      </c>
      <c r="B637">
        <v>118.7802275</v>
      </c>
      <c r="C637">
        <v>15.833525659999999</v>
      </c>
      <c r="D637">
        <v>6.1770110100000002</v>
      </c>
      <c r="E637" t="b">
        <f t="shared" si="216"/>
        <v>0</v>
      </c>
      <c r="F637">
        <f t="shared" si="217"/>
        <v>-72.990617289999989</v>
      </c>
      <c r="G637">
        <f t="shared" si="218"/>
        <v>-152.15824558999998</v>
      </c>
      <c r="H637">
        <f t="shared" si="219"/>
        <v>-231.32587389</v>
      </c>
      <c r="I637">
        <f t="shared" si="220"/>
        <v>-310.49350218999996</v>
      </c>
      <c r="J637">
        <f t="shared" si="221"/>
        <v>-389.66113049000001</v>
      </c>
      <c r="L637">
        <f t="shared" si="222"/>
        <v>12477562.2402</v>
      </c>
      <c r="M637">
        <f t="shared" si="223"/>
        <v>-125543861.7388</v>
      </c>
      <c r="N637">
        <f t="shared" si="224"/>
        <v>-225194203.47319996</v>
      </c>
      <c r="O637">
        <f t="shared" si="225"/>
        <v>-259084978.7568</v>
      </c>
      <c r="P637">
        <f t="shared" si="226"/>
        <v>-285654022.01479989</v>
      </c>
      <c r="Q637">
        <f t="shared" si="227"/>
        <v>-335108572.22140002</v>
      </c>
      <c r="S637">
        <f t="shared" si="228"/>
        <v>15133676.9745</v>
      </c>
      <c r="T637">
        <f t="shared" si="229"/>
        <v>-330183392.93029994</v>
      </c>
      <c r="U637">
        <f t="shared" si="230"/>
        <v>-283014336.79739994</v>
      </c>
      <c r="V637">
        <f t="shared" si="231"/>
        <v>-328482740.92379999</v>
      </c>
      <c r="W637">
        <f t="shared" si="232"/>
        <v>-425376098.00029993</v>
      </c>
      <c r="X637">
        <f t="shared" si="233"/>
        <v>-475386579.19779998</v>
      </c>
      <c r="Z637">
        <f t="shared" si="234"/>
        <v>17789791.708799999</v>
      </c>
      <c r="AA637">
        <f t="shared" si="235"/>
        <v>-191235417.29979998</v>
      </c>
      <c r="AB637">
        <f t="shared" si="236"/>
        <v>-340834470.12159997</v>
      </c>
      <c r="AC637">
        <f t="shared" si="237"/>
        <v>-453398712.82439995</v>
      </c>
      <c r="AD637">
        <f t="shared" si="238"/>
        <v>-565098173.98579991</v>
      </c>
      <c r="AE637">
        <f t="shared" si="239"/>
        <v>-615664586.17420006</v>
      </c>
    </row>
    <row r="638" spans="1:31" x14ac:dyDescent="0.25">
      <c r="A638">
        <v>38.762401390000001</v>
      </c>
      <c r="B638">
        <v>119.1941882</v>
      </c>
      <c r="C638">
        <v>39.583812709999997</v>
      </c>
      <c r="D638">
        <v>2.4486129299999999</v>
      </c>
      <c r="E638" t="b">
        <f t="shared" si="216"/>
        <v>0</v>
      </c>
      <c r="F638">
        <f t="shared" si="217"/>
        <v>-195.47045061999998</v>
      </c>
      <c r="G638">
        <f t="shared" si="218"/>
        <v>-393.38951416999993</v>
      </c>
      <c r="H638">
        <f t="shared" si="219"/>
        <v>-591.30857772000002</v>
      </c>
      <c r="I638">
        <f t="shared" si="220"/>
        <v>-789.22764126999994</v>
      </c>
      <c r="J638">
        <f t="shared" si="221"/>
        <v>-987.14670481999997</v>
      </c>
      <c r="L638">
        <f t="shared" si="222"/>
        <v>4946198.1185999997</v>
      </c>
      <c r="M638">
        <f t="shared" si="223"/>
        <v>-336209175.06639999</v>
      </c>
      <c r="N638">
        <f t="shared" si="224"/>
        <v>-582216480.97159982</v>
      </c>
      <c r="O638">
        <f t="shared" si="225"/>
        <v>-662265607.04640007</v>
      </c>
      <c r="P638">
        <f t="shared" si="226"/>
        <v>-726089429.96839988</v>
      </c>
      <c r="Q638">
        <f t="shared" si="227"/>
        <v>-848946166.14519989</v>
      </c>
      <c r="S638">
        <f t="shared" si="228"/>
        <v>5999101.6784999995</v>
      </c>
      <c r="T638">
        <f t="shared" si="229"/>
        <v>-853655245.7488997</v>
      </c>
      <c r="U638">
        <f t="shared" si="230"/>
        <v>-731704496.35619974</v>
      </c>
      <c r="V638">
        <f t="shared" si="231"/>
        <v>-839658180.36240005</v>
      </c>
      <c r="W638">
        <f t="shared" si="232"/>
        <v>-1081241868.5399001</v>
      </c>
      <c r="X638">
        <f t="shared" si="233"/>
        <v>-1204318979.8803999</v>
      </c>
      <c r="Z638">
        <f t="shared" si="234"/>
        <v>7052005.2383999992</v>
      </c>
      <c r="AA638">
        <f t="shared" si="235"/>
        <v>-512132580.62439996</v>
      </c>
      <c r="AB638">
        <f t="shared" si="236"/>
        <v>-881192511.7407999</v>
      </c>
      <c r="AC638">
        <f t="shared" si="237"/>
        <v>-1158964812.3312001</v>
      </c>
      <c r="AD638">
        <f t="shared" si="238"/>
        <v>-1436394307.1114001</v>
      </c>
      <c r="AE638">
        <f t="shared" si="239"/>
        <v>-1559691793.6155999</v>
      </c>
    </row>
    <row r="639" spans="1:31" x14ac:dyDescent="0.25">
      <c r="A639">
        <v>38.765885230000002</v>
      </c>
      <c r="B639">
        <v>118.7221881</v>
      </c>
      <c r="C639">
        <v>8.2537508000000006</v>
      </c>
      <c r="D639">
        <v>40.052650450000002</v>
      </c>
      <c r="E639" t="b">
        <f t="shared" si="216"/>
        <v>1</v>
      </c>
      <c r="F639">
        <f t="shared" si="217"/>
        <v>-1.2161035499999997</v>
      </c>
      <c r="G639">
        <f t="shared" si="218"/>
        <v>-42.484857550000001</v>
      </c>
      <c r="H639">
        <f t="shared" si="219"/>
        <v>-83.753611550000002</v>
      </c>
      <c r="I639">
        <f t="shared" si="220"/>
        <v>-125.02236555</v>
      </c>
      <c r="J639">
        <f t="shared" si="221"/>
        <v>-166.29111955000002</v>
      </c>
      <c r="L639">
        <f t="shared" si="222"/>
        <v>16672576.616000002</v>
      </c>
      <c r="M639">
        <f t="shared" si="223"/>
        <v>-2091698.1059999999</v>
      </c>
      <c r="N639">
        <f t="shared" si="224"/>
        <v>-62877589.174000002</v>
      </c>
      <c r="O639">
        <f t="shared" si="225"/>
        <v>-93804044.936000004</v>
      </c>
      <c r="P639">
        <f t="shared" si="226"/>
        <v>-115020576.30599999</v>
      </c>
      <c r="Q639">
        <f t="shared" si="227"/>
        <v>-143010362.81299999</v>
      </c>
      <c r="S639">
        <f t="shared" si="228"/>
        <v>20221689.460000005</v>
      </c>
      <c r="T639">
        <f t="shared" si="229"/>
        <v>-92192140.88350001</v>
      </c>
      <c r="U639">
        <f t="shared" si="230"/>
        <v>-79021835.042999998</v>
      </c>
      <c r="V639">
        <f t="shared" si="231"/>
        <v>-118930128.40099999</v>
      </c>
      <c r="W639">
        <f t="shared" si="232"/>
        <v>-171280640.8035</v>
      </c>
      <c r="X639">
        <f t="shared" si="233"/>
        <v>-202875165.85100001</v>
      </c>
      <c r="Z639">
        <f t="shared" si="234"/>
        <v>23770802.304000001</v>
      </c>
      <c r="AA639">
        <f t="shared" si="235"/>
        <v>-3186191.3009999995</v>
      </c>
      <c r="AB639">
        <f t="shared" si="236"/>
        <v>-95166080.912000015</v>
      </c>
      <c r="AC639">
        <f t="shared" si="237"/>
        <v>-164157078.63799998</v>
      </c>
      <c r="AD639">
        <f t="shared" si="238"/>
        <v>-227540705.301</v>
      </c>
      <c r="AE639">
        <f t="shared" si="239"/>
        <v>-262739968.88900003</v>
      </c>
    </row>
    <row r="640" spans="1:31" x14ac:dyDescent="0.25">
      <c r="A640">
        <v>38.780952890000002</v>
      </c>
      <c r="B640">
        <v>119.0201357</v>
      </c>
      <c r="C640">
        <v>26.389209749999999</v>
      </c>
      <c r="D640">
        <v>14.88022041</v>
      </c>
      <c r="E640" t="b">
        <f t="shared" si="216"/>
        <v>0</v>
      </c>
      <c r="F640">
        <f t="shared" si="217"/>
        <v>-117.06582834</v>
      </c>
      <c r="G640">
        <f t="shared" si="218"/>
        <v>-249.01187708999998</v>
      </c>
      <c r="H640">
        <f t="shared" si="219"/>
        <v>-380.95792583999997</v>
      </c>
      <c r="I640">
        <f t="shared" si="220"/>
        <v>-512.90397458999996</v>
      </c>
      <c r="J640">
        <f t="shared" si="221"/>
        <v>-644.85002334000001</v>
      </c>
      <c r="L640">
        <f t="shared" si="222"/>
        <v>30058045.2282</v>
      </c>
      <c r="M640">
        <f t="shared" si="223"/>
        <v>-201353224.7448</v>
      </c>
      <c r="N640">
        <f t="shared" si="224"/>
        <v>-368537578.09319997</v>
      </c>
      <c r="O640">
        <f t="shared" si="225"/>
        <v>-426672876.94080001</v>
      </c>
      <c r="P640">
        <f t="shared" si="226"/>
        <v>-471871656.62279993</v>
      </c>
      <c r="Q640">
        <f t="shared" si="227"/>
        <v>-554571020.07239997</v>
      </c>
      <c r="S640">
        <f t="shared" si="228"/>
        <v>36456540.004500002</v>
      </c>
      <c r="T640">
        <f t="shared" si="229"/>
        <v>-540355773.2852999</v>
      </c>
      <c r="U640">
        <f t="shared" si="230"/>
        <v>-463162091.38739991</v>
      </c>
      <c r="V640">
        <f t="shared" si="231"/>
        <v>-540960254.69279993</v>
      </c>
      <c r="W640">
        <f t="shared" si="232"/>
        <v>-702678445.18830001</v>
      </c>
      <c r="X640">
        <f t="shared" si="233"/>
        <v>-786717028.47479999</v>
      </c>
      <c r="Z640">
        <f t="shared" si="234"/>
        <v>42855034.7808</v>
      </c>
      <c r="AA640">
        <f t="shared" si="235"/>
        <v>-306712470.25079995</v>
      </c>
      <c r="AB640">
        <f t="shared" si="236"/>
        <v>-557786604.68159997</v>
      </c>
      <c r="AC640">
        <f t="shared" si="237"/>
        <v>-746677534.64639997</v>
      </c>
      <c r="AD640">
        <f t="shared" si="238"/>
        <v>-933485233.75380003</v>
      </c>
      <c r="AE640">
        <f t="shared" si="239"/>
        <v>-1018863036.8772001</v>
      </c>
    </row>
    <row r="641" spans="1:31" x14ac:dyDescent="0.25">
      <c r="A641">
        <v>38.785780199999998</v>
      </c>
      <c r="B641">
        <v>93.471691230000005</v>
      </c>
      <c r="C641">
        <v>20.624670030000001</v>
      </c>
      <c r="D641">
        <v>0.796736</v>
      </c>
      <c r="E641" t="b">
        <f t="shared" si="216"/>
        <v>0</v>
      </c>
      <c r="F641">
        <f t="shared" si="217"/>
        <v>-102.32661415000001</v>
      </c>
      <c r="G641">
        <f t="shared" si="218"/>
        <v>-205.4499643</v>
      </c>
      <c r="H641">
        <f t="shared" si="219"/>
        <v>-308.57331445</v>
      </c>
      <c r="I641">
        <f t="shared" si="220"/>
        <v>-411.69666460000002</v>
      </c>
      <c r="J641">
        <f t="shared" si="221"/>
        <v>-514.82001475000004</v>
      </c>
      <c r="L641">
        <f t="shared" si="222"/>
        <v>1609406.72</v>
      </c>
      <c r="M641">
        <f t="shared" si="223"/>
        <v>-176001776.33800003</v>
      </c>
      <c r="N641">
        <f t="shared" si="224"/>
        <v>-304065947.16400003</v>
      </c>
      <c r="O641">
        <f t="shared" si="225"/>
        <v>-345602112.18400002</v>
      </c>
      <c r="P641">
        <f t="shared" si="226"/>
        <v>-378760931.43199998</v>
      </c>
      <c r="Q641">
        <f t="shared" si="227"/>
        <v>-442745212.68500006</v>
      </c>
      <c r="S641">
        <f t="shared" si="228"/>
        <v>1952003.2000000002</v>
      </c>
      <c r="T641">
        <f t="shared" si="229"/>
        <v>-445826422.53100002</v>
      </c>
      <c r="U641">
        <f t="shared" si="230"/>
        <v>-382136933.59799999</v>
      </c>
      <c r="V641">
        <f t="shared" si="231"/>
        <v>-438174106.51899993</v>
      </c>
      <c r="W641">
        <f t="shared" si="232"/>
        <v>-564024430.50200009</v>
      </c>
      <c r="X641">
        <f t="shared" si="233"/>
        <v>-628080417.995</v>
      </c>
      <c r="Z641">
        <f t="shared" si="234"/>
        <v>2294599.6799999997</v>
      </c>
      <c r="AA641">
        <f t="shared" si="235"/>
        <v>-268095729.07300001</v>
      </c>
      <c r="AB641">
        <f t="shared" si="236"/>
        <v>-460207920.03200006</v>
      </c>
      <c r="AC641">
        <f t="shared" si="237"/>
        <v>-604803696.32199991</v>
      </c>
      <c r="AD641">
        <f t="shared" si="238"/>
        <v>-749287929.57200003</v>
      </c>
      <c r="AE641">
        <f t="shared" si="239"/>
        <v>-813415623.30500019</v>
      </c>
    </row>
    <row r="642" spans="1:31" x14ac:dyDescent="0.25">
      <c r="A642">
        <v>38.789880160000003</v>
      </c>
      <c r="B642">
        <v>115.95452830000001</v>
      </c>
      <c r="C642">
        <v>9.1419096</v>
      </c>
      <c r="D642">
        <v>1.5694249899999999</v>
      </c>
      <c r="E642" t="b">
        <f t="shared" si="216"/>
        <v>0</v>
      </c>
      <c r="F642">
        <f t="shared" si="217"/>
        <v>-44.140123009999996</v>
      </c>
      <c r="G642">
        <f t="shared" si="218"/>
        <v>-89.849671009999994</v>
      </c>
      <c r="H642">
        <f t="shared" si="219"/>
        <v>-135.55921901000002</v>
      </c>
      <c r="I642">
        <f t="shared" si="220"/>
        <v>-181.26876701</v>
      </c>
      <c r="J642">
        <f t="shared" si="221"/>
        <v>-226.97831501000002</v>
      </c>
      <c r="L642">
        <f t="shared" si="222"/>
        <v>3170238.4797999999</v>
      </c>
      <c r="M642">
        <f t="shared" si="223"/>
        <v>-75921011.57720001</v>
      </c>
      <c r="N642">
        <f t="shared" si="224"/>
        <v>-132977513.09479998</v>
      </c>
      <c r="O642">
        <f t="shared" si="225"/>
        <v>-151826325.29120004</v>
      </c>
      <c r="P642">
        <f t="shared" si="226"/>
        <v>-166767265.64919999</v>
      </c>
      <c r="Q642">
        <f t="shared" si="227"/>
        <v>-195201350.9086</v>
      </c>
      <c r="S642">
        <f t="shared" si="228"/>
        <v>3845091.2255000002</v>
      </c>
      <c r="T642">
        <f t="shared" si="229"/>
        <v>-194973786.09169999</v>
      </c>
      <c r="U642">
        <f t="shared" si="230"/>
        <v>-167120388.07859996</v>
      </c>
      <c r="V642">
        <f t="shared" si="231"/>
        <v>-192494090.99420002</v>
      </c>
      <c r="W642">
        <f t="shared" si="232"/>
        <v>-248338210.8037</v>
      </c>
      <c r="X642">
        <f t="shared" si="233"/>
        <v>-276913544.31220001</v>
      </c>
      <c r="Z642">
        <f t="shared" si="234"/>
        <v>4519943.9711999996</v>
      </c>
      <c r="AA642">
        <f t="shared" si="235"/>
        <v>-115647122.2862</v>
      </c>
      <c r="AB642">
        <f t="shared" si="236"/>
        <v>-201263263.06239998</v>
      </c>
      <c r="AC642">
        <f t="shared" si="237"/>
        <v>-265696069.25960004</v>
      </c>
      <c r="AD642">
        <f t="shared" si="238"/>
        <v>-329909155.95819998</v>
      </c>
      <c r="AE642">
        <f t="shared" si="239"/>
        <v>-358625737.71580005</v>
      </c>
    </row>
    <row r="643" spans="1:31" x14ac:dyDescent="0.25">
      <c r="A643">
        <v>38.794908929999998</v>
      </c>
      <c r="B643">
        <v>117.48742230000001</v>
      </c>
      <c r="C643">
        <v>52.10093689</v>
      </c>
      <c r="D643">
        <v>4.4577431699999996</v>
      </c>
      <c r="E643" t="b">
        <f t="shared" ref="E643:E706" si="240">D643&gt;C643</f>
        <v>0</v>
      </c>
      <c r="F643">
        <f t="shared" ref="F643:F706" si="241">D643-(C643*(2030-2025))</f>
        <v>-256.04694128</v>
      </c>
      <c r="G643">
        <f t="shared" ref="G643:G706" si="242">D643-(C643*(2035-2025))</f>
        <v>-516.55162573000007</v>
      </c>
      <c r="H643">
        <f t="shared" ref="H643:H706" si="243">D643-(C643*(2040-2025))</f>
        <v>-777.05631018000008</v>
      </c>
      <c r="I643">
        <f t="shared" ref="I643:I706" si="244">D643-(C643*(2045-2025))</f>
        <v>-1037.5609946300001</v>
      </c>
      <c r="J643">
        <f t="shared" ref="J643:J706" si="245">D643-(C643*(2050-2025))</f>
        <v>-1298.0656790800001</v>
      </c>
      <c r="L643">
        <f t="shared" ref="L643:L706" si="246">MIN(C643,D643)*1000000*((280/250)+0.9)</f>
        <v>9004641.2033999991</v>
      </c>
      <c r="M643">
        <f t="shared" ref="M643:M706" si="247">MIN(C643,F643)*1000000*((230/250)+0.8)</f>
        <v>-440400739.00160003</v>
      </c>
      <c r="N643">
        <f t="shared" ref="N643:N706" si="248">MIN(C643,G643)*1000000*((195/250)+0.7)</f>
        <v>-764496406.08040011</v>
      </c>
      <c r="O643">
        <f t="shared" ref="O643:O706" si="249">MIN(C643,H643)*1000000*((130/250)+0.6)</f>
        <v>-870303067.40160012</v>
      </c>
      <c r="P643">
        <f t="shared" ref="P643:P706" si="250">MIN(C643,I643)*1000000*((105/250)+0.5)</f>
        <v>-954556115.0596</v>
      </c>
      <c r="Q643">
        <f t="shared" ref="Q643:Q706" si="251">MIN(C643,J643)*1000000*((90/250)+0.5)</f>
        <v>-1116336484.0088</v>
      </c>
      <c r="S643">
        <f t="shared" ref="S643:S706" si="252">MIN(C643,D643)*1000000*((325/250)+1.15)</f>
        <v>10921470.7665</v>
      </c>
      <c r="T643">
        <f t="shared" ref="T643:T706" si="253">MIN(C643,G643)*1000000*((280/250)+1.05)</f>
        <v>-1120917027.8341002</v>
      </c>
      <c r="U643">
        <f t="shared" ref="U643:U706" si="254">MIN(C643,G643)*1000000*((227.5/250)+0.95)</f>
        <v>-960786023.85780013</v>
      </c>
      <c r="V643">
        <f t="shared" ref="V643:V706" si="255">MIN(C643,H643)*1000000*((142.5/250)+0.85)</f>
        <v>-1103419960.4556</v>
      </c>
      <c r="W643">
        <f t="shared" ref="W643:W706" si="256">MIN(C643,I643)*1000000*((142.5/250)+0.8)</f>
        <v>-1421458562.6431003</v>
      </c>
      <c r="X643">
        <f t="shared" ref="X643:X706" si="257">MIN(C643,J643)*1000000*((117.5/250)+0.75)</f>
        <v>-1583640128.4776001</v>
      </c>
      <c r="Z643">
        <f t="shared" ref="Z643:Z706" si="258">MIN(C643,D643)*1000000*((370/250)+1.4)</f>
        <v>12838300.329599999</v>
      </c>
      <c r="AA643">
        <f t="shared" ref="AA643:AA706" si="259">MIN(C643,F643)*1000000*((330/250)+1.3)</f>
        <v>-670842986.15359998</v>
      </c>
      <c r="AB643">
        <f t="shared" ref="AB643:AB706" si="260">MIN(C643,G643)*1000000*((260/250)+1.2)</f>
        <v>-1157075641.6352003</v>
      </c>
      <c r="AC643">
        <f t="shared" ref="AC643:AC706" si="261">MIN(C643,H643)*1000000*((215/250)+1.1)</f>
        <v>-1523030367.9528</v>
      </c>
      <c r="AD643">
        <f t="shared" ref="AD643:AD706" si="262">MIN(C643,I643)*1000000*((180/250)+1.1)</f>
        <v>-1888361010.2266002</v>
      </c>
      <c r="AE643">
        <f t="shared" ref="AE643:AE706" si="263">MIN(C643,J643)*1000000*((145/250)+1)</f>
        <v>-2050943772.9464004</v>
      </c>
    </row>
    <row r="644" spans="1:31" x14ac:dyDescent="0.25">
      <c r="A644">
        <v>38.799259149999997</v>
      </c>
      <c r="B644">
        <v>118.8459986</v>
      </c>
      <c r="C644">
        <v>27.804981229999999</v>
      </c>
      <c r="D644">
        <v>2.4486129299999999</v>
      </c>
      <c r="E644" t="b">
        <f t="shared" si="240"/>
        <v>0</v>
      </c>
      <c r="F644">
        <f t="shared" si="241"/>
        <v>-136.57629322</v>
      </c>
      <c r="G644">
        <f t="shared" si="242"/>
        <v>-275.60119936999996</v>
      </c>
      <c r="H644">
        <f t="shared" si="243"/>
        <v>-414.62610551999995</v>
      </c>
      <c r="I644">
        <f t="shared" si="244"/>
        <v>-553.65101167</v>
      </c>
      <c r="J644">
        <f t="shared" si="245"/>
        <v>-692.67591782</v>
      </c>
      <c r="L644">
        <f t="shared" si="246"/>
        <v>4946198.1185999997</v>
      </c>
      <c r="M644">
        <f t="shared" si="247"/>
        <v>-234911224.33840004</v>
      </c>
      <c r="N644">
        <f t="shared" si="248"/>
        <v>-407889775.06759989</v>
      </c>
      <c r="O644">
        <f t="shared" si="249"/>
        <v>-464381238.18240005</v>
      </c>
      <c r="P644">
        <f t="shared" si="250"/>
        <v>-509358930.73639995</v>
      </c>
      <c r="Q644">
        <f t="shared" si="251"/>
        <v>-595701289.32520008</v>
      </c>
      <c r="S644">
        <f t="shared" si="252"/>
        <v>5999101.6784999995</v>
      </c>
      <c r="T644">
        <f t="shared" si="253"/>
        <v>-598054602.63289988</v>
      </c>
      <c r="U644">
        <f t="shared" si="254"/>
        <v>-512618230.82819986</v>
      </c>
      <c r="V644">
        <f t="shared" si="255"/>
        <v>-588769069.83839989</v>
      </c>
      <c r="W644">
        <f t="shared" si="256"/>
        <v>-758501885.98790002</v>
      </c>
      <c r="X644">
        <f t="shared" si="257"/>
        <v>-845064619.74040008</v>
      </c>
      <c r="Z644">
        <f t="shared" si="258"/>
        <v>7052005.2383999992</v>
      </c>
      <c r="AA644">
        <f t="shared" si="259"/>
        <v>-357829888.23640001</v>
      </c>
      <c r="AB644">
        <f t="shared" si="260"/>
        <v>-617346686.58879995</v>
      </c>
      <c r="AC644">
        <f t="shared" si="261"/>
        <v>-812667166.81919992</v>
      </c>
      <c r="AD644">
        <f t="shared" si="262"/>
        <v>-1007644841.2393999</v>
      </c>
      <c r="AE644">
        <f t="shared" si="263"/>
        <v>-1094427950.1556001</v>
      </c>
    </row>
    <row r="645" spans="1:31" x14ac:dyDescent="0.25">
      <c r="A645">
        <v>38.80031863</v>
      </c>
      <c r="B645">
        <v>117.4292588</v>
      </c>
      <c r="C645">
        <v>52.10093689</v>
      </c>
      <c r="D645">
        <v>5.4357999999999997E-2</v>
      </c>
      <c r="E645" t="b">
        <f t="shared" si="240"/>
        <v>0</v>
      </c>
      <c r="F645">
        <f t="shared" si="241"/>
        <v>-260.45032645000003</v>
      </c>
      <c r="G645">
        <f t="shared" si="242"/>
        <v>-520.95501090000005</v>
      </c>
      <c r="H645">
        <f t="shared" si="243"/>
        <v>-781.45969535000006</v>
      </c>
      <c r="I645">
        <f t="shared" si="244"/>
        <v>-1041.9643798</v>
      </c>
      <c r="J645">
        <f t="shared" si="245"/>
        <v>-1302.46906425</v>
      </c>
      <c r="L645">
        <f t="shared" si="246"/>
        <v>109803.16</v>
      </c>
      <c r="M645">
        <f t="shared" si="247"/>
        <v>-447974561.49400014</v>
      </c>
      <c r="N645">
        <f t="shared" si="248"/>
        <v>-771013416.13200009</v>
      </c>
      <c r="O645">
        <f t="shared" si="249"/>
        <v>-875234858.79200006</v>
      </c>
      <c r="P645">
        <f t="shared" si="250"/>
        <v>-958607229.41599989</v>
      </c>
      <c r="Q645">
        <f t="shared" si="251"/>
        <v>-1120123395.2549999</v>
      </c>
      <c r="S645">
        <f t="shared" si="252"/>
        <v>133177.1</v>
      </c>
      <c r="T645">
        <f t="shared" si="253"/>
        <v>-1130472373.6530001</v>
      </c>
      <c r="U645">
        <f t="shared" si="254"/>
        <v>-968976320.27400005</v>
      </c>
      <c r="V645">
        <f t="shared" si="255"/>
        <v>-1109672767.3970001</v>
      </c>
      <c r="W645">
        <f t="shared" si="256"/>
        <v>-1427491200.326</v>
      </c>
      <c r="X645">
        <f t="shared" si="257"/>
        <v>-1589012258.385</v>
      </c>
      <c r="Z645">
        <f t="shared" si="258"/>
        <v>156551.04000000001</v>
      </c>
      <c r="AA645">
        <f t="shared" si="259"/>
        <v>-682379855.29900014</v>
      </c>
      <c r="AB645">
        <f t="shared" si="260"/>
        <v>-1166939224.4160001</v>
      </c>
      <c r="AC645">
        <f t="shared" si="261"/>
        <v>-1531661002.8859999</v>
      </c>
      <c r="AD645">
        <f t="shared" si="262"/>
        <v>-1896375171.2360001</v>
      </c>
      <c r="AE645">
        <f t="shared" si="263"/>
        <v>-2057901121.5150001</v>
      </c>
    </row>
    <row r="646" spans="1:31" x14ac:dyDescent="0.25">
      <c r="A646">
        <v>38.824553950000002</v>
      </c>
      <c r="B646">
        <v>118.1412953</v>
      </c>
      <c r="C646">
        <v>26.204454420000001</v>
      </c>
      <c r="D646">
        <v>7.0784E-2</v>
      </c>
      <c r="E646" t="b">
        <f t="shared" si="240"/>
        <v>0</v>
      </c>
      <c r="F646">
        <f t="shared" si="241"/>
        <v>-130.95148810000001</v>
      </c>
      <c r="G646">
        <f t="shared" si="242"/>
        <v>-261.97376020000002</v>
      </c>
      <c r="H646">
        <f t="shared" si="243"/>
        <v>-392.99603230000002</v>
      </c>
      <c r="I646">
        <f t="shared" si="244"/>
        <v>-524.01830440000003</v>
      </c>
      <c r="J646">
        <f t="shared" si="245"/>
        <v>-655.04057650000004</v>
      </c>
      <c r="L646">
        <f t="shared" si="246"/>
        <v>142983.67999999999</v>
      </c>
      <c r="M646">
        <f t="shared" si="247"/>
        <v>-225236559.53200004</v>
      </c>
      <c r="N646">
        <f t="shared" si="248"/>
        <v>-387721165.09600002</v>
      </c>
      <c r="O646">
        <f t="shared" si="249"/>
        <v>-440155556.17600006</v>
      </c>
      <c r="P646">
        <f t="shared" si="250"/>
        <v>-482096840.04799998</v>
      </c>
      <c r="Q646">
        <f t="shared" si="251"/>
        <v>-563334895.78999996</v>
      </c>
      <c r="S646">
        <f t="shared" si="252"/>
        <v>173420.80000000002</v>
      </c>
      <c r="T646">
        <f t="shared" si="253"/>
        <v>-568483059.63400006</v>
      </c>
      <c r="U646">
        <f t="shared" si="254"/>
        <v>-487271193.972</v>
      </c>
      <c r="V646">
        <f t="shared" si="255"/>
        <v>-558054365.86599994</v>
      </c>
      <c r="W646">
        <f t="shared" si="256"/>
        <v>-717905077.02800012</v>
      </c>
      <c r="X646">
        <f t="shared" si="257"/>
        <v>-799149503.32999992</v>
      </c>
      <c r="Z646">
        <f t="shared" si="258"/>
        <v>203857.91999999998</v>
      </c>
      <c r="AA646">
        <f t="shared" si="259"/>
        <v>-343092898.82200003</v>
      </c>
      <c r="AB646">
        <f t="shared" si="260"/>
        <v>-586821222.84800005</v>
      </c>
      <c r="AC646">
        <f t="shared" si="261"/>
        <v>-770272223.30799997</v>
      </c>
      <c r="AD646">
        <f t="shared" si="262"/>
        <v>-953713314.00800014</v>
      </c>
      <c r="AE646">
        <f t="shared" si="263"/>
        <v>-1034964110.87</v>
      </c>
    </row>
    <row r="647" spans="1:31" x14ac:dyDescent="0.25">
      <c r="A647">
        <v>38.893009030000002</v>
      </c>
      <c r="B647">
        <v>116.38093979999999</v>
      </c>
      <c r="C647">
        <v>53.31973267</v>
      </c>
      <c r="D647">
        <v>1.9398230299999999</v>
      </c>
      <c r="E647" t="b">
        <f t="shared" si="240"/>
        <v>0</v>
      </c>
      <c r="F647">
        <f t="shared" si="241"/>
        <v>-264.65884031999997</v>
      </c>
      <c r="G647">
        <f t="shared" si="242"/>
        <v>-531.25750367000001</v>
      </c>
      <c r="H647">
        <f t="shared" si="243"/>
        <v>-797.85616702000004</v>
      </c>
      <c r="I647">
        <f t="shared" si="244"/>
        <v>-1064.4548303699999</v>
      </c>
      <c r="J647">
        <f t="shared" si="245"/>
        <v>-1331.05349372</v>
      </c>
      <c r="L647">
        <f t="shared" si="246"/>
        <v>3918442.5205999995</v>
      </c>
      <c r="M647">
        <f t="shared" si="247"/>
        <v>-455213205.35039997</v>
      </c>
      <c r="N647">
        <f t="shared" si="248"/>
        <v>-786261105.43159997</v>
      </c>
      <c r="O647">
        <f t="shared" si="249"/>
        <v>-893598907.06240022</v>
      </c>
      <c r="P647">
        <f t="shared" si="250"/>
        <v>-979298443.94039977</v>
      </c>
      <c r="Q647">
        <f t="shared" si="251"/>
        <v>-1144706004.5992</v>
      </c>
      <c r="S647">
        <f t="shared" si="252"/>
        <v>4752566.4234999996</v>
      </c>
      <c r="T647">
        <f t="shared" si="253"/>
        <v>-1152828782.9639001</v>
      </c>
      <c r="U647">
        <f t="shared" si="254"/>
        <v>-988138956.82620001</v>
      </c>
      <c r="V647">
        <f t="shared" si="255"/>
        <v>-1132955757.1684</v>
      </c>
      <c r="W647">
        <f t="shared" si="256"/>
        <v>-1458303117.6069</v>
      </c>
      <c r="X647">
        <f t="shared" si="257"/>
        <v>-1623885262.3383999</v>
      </c>
      <c r="Z647">
        <f t="shared" si="258"/>
        <v>5586690.3263999987</v>
      </c>
      <c r="AA647">
        <f t="shared" si="259"/>
        <v>-693406161.63839996</v>
      </c>
      <c r="AB647">
        <f t="shared" si="260"/>
        <v>-1190016808.2208002</v>
      </c>
      <c r="AC647">
        <f t="shared" si="261"/>
        <v>-1563798087.3592002</v>
      </c>
      <c r="AD647">
        <f t="shared" si="262"/>
        <v>-1937307791.2733998</v>
      </c>
      <c r="AE647">
        <f t="shared" si="263"/>
        <v>-2103064520.0776002</v>
      </c>
    </row>
    <row r="648" spans="1:31" x14ac:dyDescent="0.25">
      <c r="A648">
        <v>38.929464469999999</v>
      </c>
      <c r="B648">
        <v>118.92743489999999</v>
      </c>
      <c r="C648">
        <v>49.800571439999999</v>
      </c>
      <c r="D648">
        <v>2.4486129299999999</v>
      </c>
      <c r="E648" t="b">
        <f t="shared" si="240"/>
        <v>0</v>
      </c>
      <c r="F648">
        <f t="shared" si="241"/>
        <v>-246.55424427</v>
      </c>
      <c r="G648">
        <f t="shared" si="242"/>
        <v>-495.55710146999996</v>
      </c>
      <c r="H648">
        <f t="shared" si="243"/>
        <v>-744.55995867000001</v>
      </c>
      <c r="I648">
        <f t="shared" si="244"/>
        <v>-993.56281587000001</v>
      </c>
      <c r="J648">
        <f t="shared" si="245"/>
        <v>-1242.56567307</v>
      </c>
      <c r="L648">
        <f t="shared" si="246"/>
        <v>4946198.1185999997</v>
      </c>
      <c r="M648">
        <f t="shared" si="247"/>
        <v>-424073300.14440006</v>
      </c>
      <c r="N648">
        <f t="shared" si="248"/>
        <v>-733424510.17559993</v>
      </c>
      <c r="O648">
        <f t="shared" si="249"/>
        <v>-833907153.71039999</v>
      </c>
      <c r="P648">
        <f t="shared" si="250"/>
        <v>-914077790.60039997</v>
      </c>
      <c r="Q648">
        <f t="shared" si="251"/>
        <v>-1068606478.8401999</v>
      </c>
      <c r="S648">
        <f t="shared" si="252"/>
        <v>5999101.6784999995</v>
      </c>
      <c r="T648">
        <f t="shared" si="253"/>
        <v>-1075358910.1898999</v>
      </c>
      <c r="U648">
        <f t="shared" si="254"/>
        <v>-921736208.73419988</v>
      </c>
      <c r="V648">
        <f t="shared" si="255"/>
        <v>-1057275141.3113999</v>
      </c>
      <c r="W648">
        <f t="shared" si="256"/>
        <v>-1361181057.7419002</v>
      </c>
      <c r="X648">
        <f t="shared" si="257"/>
        <v>-1515930121.1453998</v>
      </c>
      <c r="Z648">
        <f t="shared" si="258"/>
        <v>7052005.2383999992</v>
      </c>
      <c r="AA648">
        <f t="shared" si="259"/>
        <v>-645972119.98740005</v>
      </c>
      <c r="AB648">
        <f t="shared" si="260"/>
        <v>-1110047907.2927999</v>
      </c>
      <c r="AC648">
        <f t="shared" si="261"/>
        <v>-1459337518.9931998</v>
      </c>
      <c r="AD648">
        <f t="shared" si="262"/>
        <v>-1808284324.8834</v>
      </c>
      <c r="AE648">
        <f t="shared" si="263"/>
        <v>-1963253763.4505999</v>
      </c>
    </row>
    <row r="649" spans="1:31" x14ac:dyDescent="0.25">
      <c r="A649">
        <v>38.937791199999999</v>
      </c>
      <c r="B649">
        <v>118.3961884</v>
      </c>
      <c r="C649">
        <v>36.944892879999998</v>
      </c>
      <c r="D649">
        <v>7.8355607999999997</v>
      </c>
      <c r="E649" t="b">
        <f t="shared" si="240"/>
        <v>0</v>
      </c>
      <c r="F649">
        <f t="shared" si="241"/>
        <v>-176.88890359999999</v>
      </c>
      <c r="G649">
        <f t="shared" si="242"/>
        <v>-361.61336799999998</v>
      </c>
      <c r="H649">
        <f t="shared" si="243"/>
        <v>-546.33783239999991</v>
      </c>
      <c r="I649">
        <f t="shared" si="244"/>
        <v>-731.0622967999999</v>
      </c>
      <c r="J649">
        <f t="shared" si="245"/>
        <v>-915.78676119999989</v>
      </c>
      <c r="L649">
        <f t="shared" si="246"/>
        <v>15827832.816</v>
      </c>
      <c r="M649">
        <f t="shared" si="247"/>
        <v>-304248914.19200003</v>
      </c>
      <c r="N649">
        <f t="shared" si="248"/>
        <v>-535187784.63999999</v>
      </c>
      <c r="O649">
        <f t="shared" si="249"/>
        <v>-611898372.28799987</v>
      </c>
      <c r="P649">
        <f t="shared" si="250"/>
        <v>-672577313.05599988</v>
      </c>
      <c r="Q649">
        <f t="shared" si="251"/>
        <v>-787576614.63199997</v>
      </c>
      <c r="S649">
        <f t="shared" si="252"/>
        <v>19197123.960000001</v>
      </c>
      <c r="T649">
        <f t="shared" si="253"/>
        <v>-784701008.55999994</v>
      </c>
      <c r="U649">
        <f t="shared" si="254"/>
        <v>-672600864.4799999</v>
      </c>
      <c r="V649">
        <f t="shared" si="255"/>
        <v>-775799722.00799978</v>
      </c>
      <c r="W649">
        <f t="shared" si="256"/>
        <v>-1001555346.6160001</v>
      </c>
      <c r="X649">
        <f t="shared" si="257"/>
        <v>-1117259848.6639998</v>
      </c>
      <c r="Z649">
        <f t="shared" si="258"/>
        <v>22566415.103999998</v>
      </c>
      <c r="AA649">
        <f t="shared" si="259"/>
        <v>-463448927.43199998</v>
      </c>
      <c r="AB649">
        <f t="shared" si="260"/>
        <v>-810013944.32000005</v>
      </c>
      <c r="AC649">
        <f t="shared" si="261"/>
        <v>-1070822151.5039997</v>
      </c>
      <c r="AD649">
        <f t="shared" si="262"/>
        <v>-1330533380.1759999</v>
      </c>
      <c r="AE649">
        <f t="shared" si="263"/>
        <v>-1446943082.6959999</v>
      </c>
    </row>
    <row r="650" spans="1:31" x14ac:dyDescent="0.25">
      <c r="A650">
        <v>38.947615810000002</v>
      </c>
      <c r="B650">
        <v>117.3334243</v>
      </c>
      <c r="C650">
        <v>26.05046844</v>
      </c>
      <c r="D650">
        <v>1.32910097</v>
      </c>
      <c r="E650" t="b">
        <f t="shared" si="240"/>
        <v>0</v>
      </c>
      <c r="F650">
        <f t="shared" si="241"/>
        <v>-128.92324122999997</v>
      </c>
      <c r="G650">
        <f t="shared" si="242"/>
        <v>-259.17558342999996</v>
      </c>
      <c r="H650">
        <f t="shared" si="243"/>
        <v>-389.42792563</v>
      </c>
      <c r="I650">
        <f t="shared" si="244"/>
        <v>-519.68026782999993</v>
      </c>
      <c r="J650">
        <f t="shared" si="245"/>
        <v>-649.93261002999998</v>
      </c>
      <c r="L650">
        <f t="shared" si="246"/>
        <v>2684783.9594000001</v>
      </c>
      <c r="M650">
        <f t="shared" si="247"/>
        <v>-221747974.91559997</v>
      </c>
      <c r="N650">
        <f t="shared" si="248"/>
        <v>-383579863.4763999</v>
      </c>
      <c r="O650">
        <f t="shared" si="249"/>
        <v>-436159276.70560002</v>
      </c>
      <c r="P650">
        <f t="shared" si="250"/>
        <v>-478105846.40359992</v>
      </c>
      <c r="Q650">
        <f t="shared" si="251"/>
        <v>-558942044.62580001</v>
      </c>
      <c r="S650">
        <f t="shared" si="252"/>
        <v>3256297.3765000002</v>
      </c>
      <c r="T650">
        <f t="shared" si="253"/>
        <v>-562411016.04309988</v>
      </c>
      <c r="U650">
        <f t="shared" si="254"/>
        <v>-482066585.17979985</v>
      </c>
      <c r="V650">
        <f t="shared" si="255"/>
        <v>-552987654.39459991</v>
      </c>
      <c r="W650">
        <f t="shared" si="256"/>
        <v>-711961966.92709994</v>
      </c>
      <c r="X650">
        <f t="shared" si="257"/>
        <v>-792917784.23659992</v>
      </c>
      <c r="Z650">
        <f t="shared" si="258"/>
        <v>3827810.7936</v>
      </c>
      <c r="AA650">
        <f t="shared" si="259"/>
        <v>-337778892.02259994</v>
      </c>
      <c r="AB650">
        <f t="shared" si="260"/>
        <v>-580553306.88319993</v>
      </c>
      <c r="AC650">
        <f t="shared" si="261"/>
        <v>-763278734.23479998</v>
      </c>
      <c r="AD650">
        <f t="shared" si="262"/>
        <v>-945818087.45059991</v>
      </c>
      <c r="AE650">
        <f t="shared" si="263"/>
        <v>-1026893523.8474</v>
      </c>
    </row>
    <row r="651" spans="1:31" x14ac:dyDescent="0.25">
      <c r="A651">
        <v>38.955216149999998</v>
      </c>
      <c r="B651">
        <v>118.22154380000001</v>
      </c>
      <c r="C651">
        <v>43.190040590000002</v>
      </c>
      <c r="D651">
        <v>0.77865899000000005</v>
      </c>
      <c r="E651" t="b">
        <f t="shared" si="240"/>
        <v>0</v>
      </c>
      <c r="F651">
        <f t="shared" si="241"/>
        <v>-215.17154396000001</v>
      </c>
      <c r="G651">
        <f t="shared" si="242"/>
        <v>-431.12174691000001</v>
      </c>
      <c r="H651">
        <f t="shared" si="243"/>
        <v>-647.07194986000002</v>
      </c>
      <c r="I651">
        <f t="shared" si="244"/>
        <v>-863.02215280999997</v>
      </c>
      <c r="J651">
        <f t="shared" si="245"/>
        <v>-1078.97235576</v>
      </c>
      <c r="L651">
        <f t="shared" si="246"/>
        <v>1572891.1598000003</v>
      </c>
      <c r="M651">
        <f t="shared" si="247"/>
        <v>-370095055.61120003</v>
      </c>
      <c r="N651">
        <f t="shared" si="248"/>
        <v>-638060185.42680001</v>
      </c>
      <c r="O651">
        <f t="shared" si="249"/>
        <v>-724720583.84320009</v>
      </c>
      <c r="P651">
        <f t="shared" si="250"/>
        <v>-793980380.58519983</v>
      </c>
      <c r="Q651">
        <f t="shared" si="251"/>
        <v>-927916225.95359993</v>
      </c>
      <c r="S651">
        <f t="shared" si="252"/>
        <v>1907714.5255000005</v>
      </c>
      <c r="T651">
        <f t="shared" si="253"/>
        <v>-935534190.79470003</v>
      </c>
      <c r="U651">
        <f t="shared" si="254"/>
        <v>-801886449.25259995</v>
      </c>
      <c r="V651">
        <f t="shared" si="255"/>
        <v>-918842168.80120003</v>
      </c>
      <c r="W651">
        <f t="shared" si="256"/>
        <v>-1182340349.3497</v>
      </c>
      <c r="X651">
        <f t="shared" si="257"/>
        <v>-1316346274.0272</v>
      </c>
      <c r="Z651">
        <f t="shared" si="258"/>
        <v>2242537.8912000004</v>
      </c>
      <c r="AA651">
        <f t="shared" si="259"/>
        <v>-563749445.17519999</v>
      </c>
      <c r="AB651">
        <f t="shared" si="260"/>
        <v>-965712713.07840014</v>
      </c>
      <c r="AC651">
        <f t="shared" si="261"/>
        <v>-1268261021.7256</v>
      </c>
      <c r="AD651">
        <f t="shared" si="262"/>
        <v>-1570700318.1141999</v>
      </c>
      <c r="AE651">
        <f t="shared" si="263"/>
        <v>-1704776322.1008</v>
      </c>
    </row>
    <row r="652" spans="1:31" x14ac:dyDescent="0.25">
      <c r="A652">
        <v>38.96078653</v>
      </c>
      <c r="B652">
        <v>120.71190559999999</v>
      </c>
      <c r="C652">
        <v>0</v>
      </c>
      <c r="D652">
        <v>8.9212074300000008</v>
      </c>
      <c r="E652" t="b">
        <f t="shared" si="240"/>
        <v>1</v>
      </c>
      <c r="F652">
        <f t="shared" si="241"/>
        <v>8.9212074300000008</v>
      </c>
      <c r="G652">
        <f t="shared" si="242"/>
        <v>8.9212074300000008</v>
      </c>
      <c r="H652">
        <f t="shared" si="243"/>
        <v>8.9212074300000008</v>
      </c>
      <c r="I652">
        <f t="shared" si="244"/>
        <v>8.9212074300000008</v>
      </c>
      <c r="J652">
        <f t="shared" si="245"/>
        <v>8.9212074300000008</v>
      </c>
      <c r="L652">
        <f t="shared" si="246"/>
        <v>0</v>
      </c>
      <c r="M652">
        <f t="shared" si="247"/>
        <v>0</v>
      </c>
      <c r="N652">
        <f t="shared" si="248"/>
        <v>0</v>
      </c>
      <c r="O652">
        <f t="shared" si="249"/>
        <v>0</v>
      </c>
      <c r="P652">
        <f t="shared" si="250"/>
        <v>0</v>
      </c>
      <c r="Q652">
        <f t="shared" si="251"/>
        <v>0</v>
      </c>
      <c r="S652">
        <f t="shared" si="252"/>
        <v>0</v>
      </c>
      <c r="T652">
        <f t="shared" si="253"/>
        <v>0</v>
      </c>
      <c r="U652">
        <f t="shared" si="254"/>
        <v>0</v>
      </c>
      <c r="V652">
        <f t="shared" si="255"/>
        <v>0</v>
      </c>
      <c r="W652">
        <f t="shared" si="256"/>
        <v>0</v>
      </c>
      <c r="X652">
        <f t="shared" si="257"/>
        <v>0</v>
      </c>
      <c r="Z652">
        <f t="shared" si="258"/>
        <v>0</v>
      </c>
      <c r="AA652">
        <f t="shared" si="259"/>
        <v>0</v>
      </c>
      <c r="AB652">
        <f t="shared" si="260"/>
        <v>0</v>
      </c>
      <c r="AC652">
        <f t="shared" si="261"/>
        <v>0</v>
      </c>
      <c r="AD652">
        <f t="shared" si="262"/>
        <v>0</v>
      </c>
      <c r="AE652">
        <f t="shared" si="263"/>
        <v>0</v>
      </c>
    </row>
    <row r="653" spans="1:31" x14ac:dyDescent="0.25">
      <c r="A653">
        <v>38.966022170000002</v>
      </c>
      <c r="B653">
        <v>117.6317871</v>
      </c>
      <c r="C653">
        <v>52.10093689</v>
      </c>
      <c r="D653">
        <v>3.1421949900000001</v>
      </c>
      <c r="E653" t="b">
        <f t="shared" si="240"/>
        <v>0</v>
      </c>
      <c r="F653">
        <f t="shared" si="241"/>
        <v>-257.36248946000001</v>
      </c>
      <c r="G653">
        <f t="shared" si="242"/>
        <v>-517.86717391000002</v>
      </c>
      <c r="H653">
        <f t="shared" si="243"/>
        <v>-778.37185836000003</v>
      </c>
      <c r="I653">
        <f t="shared" si="244"/>
        <v>-1038.87654281</v>
      </c>
      <c r="J653">
        <f t="shared" si="245"/>
        <v>-1299.3812272600001</v>
      </c>
      <c r="L653">
        <f t="shared" si="246"/>
        <v>6347233.8798000002</v>
      </c>
      <c r="M653">
        <f t="shared" si="247"/>
        <v>-442663481.87120008</v>
      </c>
      <c r="N653">
        <f t="shared" si="248"/>
        <v>-766443417.38680005</v>
      </c>
      <c r="O653">
        <f t="shared" si="249"/>
        <v>-871776481.36320007</v>
      </c>
      <c r="P653">
        <f t="shared" si="250"/>
        <v>-955766419.38520002</v>
      </c>
      <c r="Q653">
        <f t="shared" si="251"/>
        <v>-1117467855.4435999</v>
      </c>
      <c r="S653">
        <f t="shared" si="252"/>
        <v>7698377.7255000006</v>
      </c>
      <c r="T653">
        <f t="shared" si="253"/>
        <v>-1123771767.3847001</v>
      </c>
      <c r="U653">
        <f t="shared" si="254"/>
        <v>-963232943.47259998</v>
      </c>
      <c r="V653">
        <f t="shared" si="255"/>
        <v>-1105288038.8711998</v>
      </c>
      <c r="W653">
        <f t="shared" si="256"/>
        <v>-1423260863.6497002</v>
      </c>
      <c r="X653">
        <f t="shared" si="257"/>
        <v>-1585245097.2572</v>
      </c>
      <c r="Z653">
        <f t="shared" si="258"/>
        <v>9049521.5712000001</v>
      </c>
      <c r="AA653">
        <f t="shared" si="259"/>
        <v>-674289722.38520002</v>
      </c>
      <c r="AB653">
        <f t="shared" si="260"/>
        <v>-1160022469.5584002</v>
      </c>
      <c r="AC653">
        <f t="shared" si="261"/>
        <v>-1525608842.3856001</v>
      </c>
      <c r="AD653">
        <f t="shared" si="262"/>
        <v>-1890755307.9142001</v>
      </c>
      <c r="AE653">
        <f t="shared" si="263"/>
        <v>-2053022339.0708001</v>
      </c>
    </row>
    <row r="654" spans="1:31" x14ac:dyDescent="0.25">
      <c r="A654">
        <v>38.968770470000003</v>
      </c>
      <c r="B654">
        <v>118.9934301</v>
      </c>
      <c r="C654">
        <v>26.92297173</v>
      </c>
      <c r="D654">
        <v>24.478782649999999</v>
      </c>
      <c r="E654" t="b">
        <f t="shared" si="240"/>
        <v>0</v>
      </c>
      <c r="F654">
        <f t="shared" si="241"/>
        <v>-110.136076</v>
      </c>
      <c r="G654">
        <f t="shared" si="242"/>
        <v>-244.75093465</v>
      </c>
      <c r="H654">
        <f t="shared" si="243"/>
        <v>-379.36579330000006</v>
      </c>
      <c r="I654">
        <f t="shared" si="244"/>
        <v>-513.98065195000004</v>
      </c>
      <c r="J654">
        <f t="shared" si="245"/>
        <v>-648.59551060000001</v>
      </c>
      <c r="L654">
        <f t="shared" si="246"/>
        <v>49447140.952999994</v>
      </c>
      <c r="M654">
        <f t="shared" si="247"/>
        <v>-189434050.72000003</v>
      </c>
      <c r="N654">
        <f t="shared" si="248"/>
        <v>-362231383.28200001</v>
      </c>
      <c r="O654">
        <f t="shared" si="249"/>
        <v>-424889688.49600011</v>
      </c>
      <c r="P654">
        <f t="shared" si="250"/>
        <v>-472862199.79400003</v>
      </c>
      <c r="Q654">
        <f t="shared" si="251"/>
        <v>-557792139.11600006</v>
      </c>
      <c r="S654">
        <f t="shared" si="252"/>
        <v>59973017.4925</v>
      </c>
      <c r="T654">
        <f t="shared" si="253"/>
        <v>-531109528.19050002</v>
      </c>
      <c r="U654">
        <f t="shared" si="254"/>
        <v>-455236738.449</v>
      </c>
      <c r="V654">
        <f t="shared" si="255"/>
        <v>-538699426.48600006</v>
      </c>
      <c r="W654">
        <f t="shared" si="256"/>
        <v>-704153493.17150009</v>
      </c>
      <c r="X654">
        <f t="shared" si="257"/>
        <v>-791286522.93200004</v>
      </c>
      <c r="Z654">
        <f t="shared" si="258"/>
        <v>70498894.03199999</v>
      </c>
      <c r="AA654">
        <f t="shared" si="259"/>
        <v>-288556519.12</v>
      </c>
      <c r="AB654">
        <f t="shared" si="260"/>
        <v>-548242093.61600006</v>
      </c>
      <c r="AC654">
        <f t="shared" si="261"/>
        <v>-743556954.86800015</v>
      </c>
      <c r="AD654">
        <f t="shared" si="262"/>
        <v>-935444786.54900014</v>
      </c>
      <c r="AE654">
        <f t="shared" si="263"/>
        <v>-1024780906.748</v>
      </c>
    </row>
    <row r="655" spans="1:31" x14ac:dyDescent="0.25">
      <c r="A655">
        <v>38.97058784</v>
      </c>
      <c r="B655">
        <v>119.40853850000001</v>
      </c>
      <c r="C655">
        <v>27.937288280000001</v>
      </c>
      <c r="D655">
        <v>1.4247449599999999</v>
      </c>
      <c r="E655" t="b">
        <f t="shared" si="240"/>
        <v>0</v>
      </c>
      <c r="F655">
        <f t="shared" si="241"/>
        <v>-138.26169644000001</v>
      </c>
      <c r="G655">
        <f t="shared" si="242"/>
        <v>-277.94813784000002</v>
      </c>
      <c r="H655">
        <f t="shared" si="243"/>
        <v>-417.63457923999999</v>
      </c>
      <c r="I655">
        <f t="shared" si="244"/>
        <v>-557.32102064000003</v>
      </c>
      <c r="J655">
        <f t="shared" si="245"/>
        <v>-697.00746204000006</v>
      </c>
      <c r="L655">
        <f t="shared" si="246"/>
        <v>2877984.8191999998</v>
      </c>
      <c r="M655">
        <f t="shared" si="247"/>
        <v>-237810117.87680003</v>
      </c>
      <c r="N655">
        <f t="shared" si="248"/>
        <v>-411363244.00320005</v>
      </c>
      <c r="O655">
        <f t="shared" si="249"/>
        <v>-467750728.74880004</v>
      </c>
      <c r="P655">
        <f t="shared" si="250"/>
        <v>-512735338.98879993</v>
      </c>
      <c r="Q655">
        <f t="shared" si="251"/>
        <v>-599426417.35440004</v>
      </c>
      <c r="S655">
        <f t="shared" si="252"/>
        <v>3490625.1520000002</v>
      </c>
      <c r="T655">
        <f t="shared" si="253"/>
        <v>-603147459.1128</v>
      </c>
      <c r="U655">
        <f t="shared" si="254"/>
        <v>-516983536.38240004</v>
      </c>
      <c r="V655">
        <f t="shared" si="255"/>
        <v>-593041102.52079999</v>
      </c>
      <c r="W655">
        <f t="shared" si="256"/>
        <v>-763529798.27680004</v>
      </c>
      <c r="X655">
        <f t="shared" si="257"/>
        <v>-850349103.6888001</v>
      </c>
      <c r="Z655">
        <f t="shared" si="258"/>
        <v>4103265.4847999997</v>
      </c>
      <c r="AA655">
        <f t="shared" si="259"/>
        <v>-362245644.6728</v>
      </c>
      <c r="AB655">
        <f t="shared" si="260"/>
        <v>-622603828.76160014</v>
      </c>
      <c r="AC655">
        <f t="shared" si="261"/>
        <v>-818563775.31040001</v>
      </c>
      <c r="AD655">
        <f t="shared" si="262"/>
        <v>-1014324257.5648</v>
      </c>
      <c r="AE655">
        <f t="shared" si="263"/>
        <v>-1101271790.0232003</v>
      </c>
    </row>
    <row r="656" spans="1:31" x14ac:dyDescent="0.25">
      <c r="A656">
        <v>38.971498750000002</v>
      </c>
      <c r="B656">
        <v>117.5735025</v>
      </c>
      <c r="C656">
        <v>52.10093689</v>
      </c>
      <c r="D656">
        <v>0.35450800999999998</v>
      </c>
      <c r="E656" t="b">
        <f t="shared" si="240"/>
        <v>0</v>
      </c>
      <c r="F656">
        <f t="shared" si="241"/>
        <v>-260.15017644</v>
      </c>
      <c r="G656">
        <f t="shared" si="242"/>
        <v>-520.65486089000001</v>
      </c>
      <c r="H656">
        <f t="shared" si="243"/>
        <v>-781.15954534000002</v>
      </c>
      <c r="I656">
        <f t="shared" si="244"/>
        <v>-1041.66422979</v>
      </c>
      <c r="J656">
        <f t="shared" si="245"/>
        <v>-1302.16891424</v>
      </c>
      <c r="L656">
        <f t="shared" si="246"/>
        <v>716106.18020000006</v>
      </c>
      <c r="M656">
        <f t="shared" si="247"/>
        <v>-447458303.47680002</v>
      </c>
      <c r="N656">
        <f t="shared" si="248"/>
        <v>-770569194.11720002</v>
      </c>
      <c r="O656">
        <f t="shared" si="249"/>
        <v>-874898690.7808001</v>
      </c>
      <c r="P656">
        <f t="shared" si="250"/>
        <v>-958331091.40680003</v>
      </c>
      <c r="Q656">
        <f t="shared" si="251"/>
        <v>-1119865266.2463999</v>
      </c>
      <c r="S656">
        <f t="shared" si="252"/>
        <v>868544.62450000003</v>
      </c>
      <c r="T656">
        <f t="shared" si="253"/>
        <v>-1129821048.1313</v>
      </c>
      <c r="U656">
        <f t="shared" si="254"/>
        <v>-968418041.25539994</v>
      </c>
      <c r="V656">
        <f t="shared" si="255"/>
        <v>-1109246554.3828001</v>
      </c>
      <c r="W656">
        <f t="shared" si="256"/>
        <v>-1427079994.8123002</v>
      </c>
      <c r="X656">
        <f t="shared" si="257"/>
        <v>-1588646075.3727999</v>
      </c>
      <c r="Z656">
        <f t="shared" si="258"/>
        <v>1020983.0688</v>
      </c>
      <c r="AA656">
        <f t="shared" si="259"/>
        <v>-681593462.27279997</v>
      </c>
      <c r="AB656">
        <f t="shared" si="260"/>
        <v>-1166266888.3936</v>
      </c>
      <c r="AC656">
        <f t="shared" si="261"/>
        <v>-1531072708.8664</v>
      </c>
      <c r="AD656">
        <f t="shared" si="262"/>
        <v>-1895828898.2178001</v>
      </c>
      <c r="AE656">
        <f t="shared" si="263"/>
        <v>-2057426884.4992001</v>
      </c>
    </row>
    <row r="657" spans="1:31" x14ac:dyDescent="0.25">
      <c r="A657">
        <v>38.976898089999999</v>
      </c>
      <c r="B657">
        <v>119.35038849999999</v>
      </c>
      <c r="C657">
        <v>23.124250409999998</v>
      </c>
      <c r="D657">
        <v>3.29338408</v>
      </c>
      <c r="E657" t="b">
        <f t="shared" si="240"/>
        <v>0</v>
      </c>
      <c r="F657">
        <f t="shared" si="241"/>
        <v>-112.32786797</v>
      </c>
      <c r="G657">
        <f t="shared" si="242"/>
        <v>-227.94912001999998</v>
      </c>
      <c r="H657">
        <f t="shared" si="243"/>
        <v>-343.57037206999996</v>
      </c>
      <c r="I657">
        <f t="shared" si="244"/>
        <v>-459.19162411999997</v>
      </c>
      <c r="J657">
        <f t="shared" si="245"/>
        <v>-574.81287616999998</v>
      </c>
      <c r="L657">
        <f t="shared" si="246"/>
        <v>6652635.8415999999</v>
      </c>
      <c r="M657">
        <f t="shared" si="247"/>
        <v>-193203932.90840003</v>
      </c>
      <c r="N657">
        <f t="shared" si="248"/>
        <v>-337364697.62959999</v>
      </c>
      <c r="O657">
        <f t="shared" si="249"/>
        <v>-384798816.71839994</v>
      </c>
      <c r="P657">
        <f t="shared" si="250"/>
        <v>-422456294.19039994</v>
      </c>
      <c r="Q657">
        <f t="shared" si="251"/>
        <v>-494339073.50619996</v>
      </c>
      <c r="S657">
        <f t="shared" si="252"/>
        <v>8068790.9960000012</v>
      </c>
      <c r="T657">
        <f t="shared" si="253"/>
        <v>-494649590.44339997</v>
      </c>
      <c r="U657">
        <f t="shared" si="254"/>
        <v>-423985363.23719996</v>
      </c>
      <c r="V657">
        <f t="shared" si="255"/>
        <v>-487869928.33939987</v>
      </c>
      <c r="W657">
        <f t="shared" si="256"/>
        <v>-629092525.04439998</v>
      </c>
      <c r="X657">
        <f t="shared" si="257"/>
        <v>-701271708.92739987</v>
      </c>
      <c r="Z657">
        <f t="shared" si="258"/>
        <v>9484946.1503999997</v>
      </c>
      <c r="AA657">
        <f t="shared" si="259"/>
        <v>-294299014.08140004</v>
      </c>
      <c r="AB657">
        <f t="shared" si="260"/>
        <v>-510606028.8448</v>
      </c>
      <c r="AC657">
        <f t="shared" si="261"/>
        <v>-673397929.25719988</v>
      </c>
      <c r="AD657">
        <f t="shared" si="262"/>
        <v>-835728755.89839995</v>
      </c>
      <c r="AE657">
        <f t="shared" si="263"/>
        <v>-908204344.34860003</v>
      </c>
    </row>
    <row r="658" spans="1:31" x14ac:dyDescent="0.25">
      <c r="A658">
        <v>38.983181049999999</v>
      </c>
      <c r="B658">
        <v>119.2922288</v>
      </c>
      <c r="C658">
        <v>20.09473419</v>
      </c>
      <c r="D658">
        <v>3.028934</v>
      </c>
      <c r="E658" t="b">
        <f t="shared" si="240"/>
        <v>0</v>
      </c>
      <c r="F658">
        <f t="shared" si="241"/>
        <v>-97.444736949999992</v>
      </c>
      <c r="G658">
        <f t="shared" si="242"/>
        <v>-197.91840790000001</v>
      </c>
      <c r="H658">
        <f t="shared" si="243"/>
        <v>-298.39207885000002</v>
      </c>
      <c r="I658">
        <f t="shared" si="244"/>
        <v>-398.8657498</v>
      </c>
      <c r="J658">
        <f t="shared" si="245"/>
        <v>-499.33942075000004</v>
      </c>
      <c r="L658">
        <f t="shared" si="246"/>
        <v>6118446.6799999997</v>
      </c>
      <c r="M658">
        <f t="shared" si="247"/>
        <v>-167604947.55399999</v>
      </c>
      <c r="N658">
        <f t="shared" si="248"/>
        <v>-292919243.69200003</v>
      </c>
      <c r="O658">
        <f t="shared" si="249"/>
        <v>-334199128.31200004</v>
      </c>
      <c r="P658">
        <f t="shared" si="250"/>
        <v>-366956489.81599998</v>
      </c>
      <c r="Q658">
        <f t="shared" si="251"/>
        <v>-429431901.84500003</v>
      </c>
      <c r="S658">
        <f t="shared" si="252"/>
        <v>7420888.3000000007</v>
      </c>
      <c r="T658">
        <f t="shared" si="253"/>
        <v>-429482945.14300001</v>
      </c>
      <c r="U658">
        <f t="shared" si="254"/>
        <v>-368128238.69400001</v>
      </c>
      <c r="V658">
        <f t="shared" si="255"/>
        <v>-423716751.96700001</v>
      </c>
      <c r="W658">
        <f t="shared" si="256"/>
        <v>-546446077.22600007</v>
      </c>
      <c r="X658">
        <f t="shared" si="257"/>
        <v>-609194093.31500006</v>
      </c>
      <c r="Z658">
        <f t="shared" si="258"/>
        <v>8723329.9199999999</v>
      </c>
      <c r="AA658">
        <f t="shared" si="259"/>
        <v>-255305210.80899999</v>
      </c>
      <c r="AB658">
        <f t="shared" si="260"/>
        <v>-443337233.69600004</v>
      </c>
      <c r="AC658">
        <f t="shared" si="261"/>
        <v>-584848474.546</v>
      </c>
      <c r="AD658">
        <f t="shared" si="262"/>
        <v>-725935664.63600004</v>
      </c>
      <c r="AE658">
        <f t="shared" si="263"/>
        <v>-788956284.78500009</v>
      </c>
    </row>
    <row r="659" spans="1:31" x14ac:dyDescent="0.25">
      <c r="A659">
        <v>38.98399861</v>
      </c>
      <c r="B659">
        <v>119.7074188</v>
      </c>
      <c r="C659">
        <v>15.833525659999999</v>
      </c>
      <c r="D659">
        <v>4.8972258599999998</v>
      </c>
      <c r="E659" t="b">
        <f t="shared" si="240"/>
        <v>0</v>
      </c>
      <c r="F659">
        <f t="shared" si="241"/>
        <v>-74.270402439999984</v>
      </c>
      <c r="G659">
        <f t="shared" si="242"/>
        <v>-153.43803073999999</v>
      </c>
      <c r="H659">
        <f t="shared" si="243"/>
        <v>-232.60565904000001</v>
      </c>
      <c r="I659">
        <f t="shared" si="244"/>
        <v>-311.77328733999997</v>
      </c>
      <c r="J659">
        <f t="shared" si="245"/>
        <v>-390.94091564000001</v>
      </c>
      <c r="L659">
        <f t="shared" si="246"/>
        <v>9892396.2371999994</v>
      </c>
      <c r="M659">
        <f t="shared" si="247"/>
        <v>-127745092.19679998</v>
      </c>
      <c r="N659">
        <f t="shared" si="248"/>
        <v>-227088285.49519998</v>
      </c>
      <c r="O659">
        <f t="shared" si="249"/>
        <v>-260518338.12480003</v>
      </c>
      <c r="P659">
        <f t="shared" si="250"/>
        <v>-286831424.35279995</v>
      </c>
      <c r="Q659">
        <f t="shared" si="251"/>
        <v>-336209187.45039999</v>
      </c>
      <c r="S659">
        <f t="shared" si="252"/>
        <v>11998203.356999999</v>
      </c>
      <c r="T659">
        <f t="shared" si="253"/>
        <v>-332960526.70579994</v>
      </c>
      <c r="U659">
        <f t="shared" si="254"/>
        <v>-285394737.17639995</v>
      </c>
      <c r="V659">
        <f t="shared" si="255"/>
        <v>-330300035.83679998</v>
      </c>
      <c r="W659">
        <f t="shared" si="256"/>
        <v>-427129403.65579998</v>
      </c>
      <c r="X659">
        <f t="shared" si="257"/>
        <v>-476947917.0808</v>
      </c>
      <c r="Z659">
        <f t="shared" si="258"/>
        <v>14104010.476799998</v>
      </c>
      <c r="AA659">
        <f t="shared" si="259"/>
        <v>-194588454.39279997</v>
      </c>
      <c r="AB659">
        <f t="shared" si="260"/>
        <v>-343701188.85759997</v>
      </c>
      <c r="AC659">
        <f t="shared" si="261"/>
        <v>-455907091.7184</v>
      </c>
      <c r="AD659">
        <f t="shared" si="262"/>
        <v>-567427382.95879996</v>
      </c>
      <c r="AE659">
        <f t="shared" si="263"/>
        <v>-617686646.7112</v>
      </c>
    </row>
    <row r="660" spans="1:31" x14ac:dyDescent="0.25">
      <c r="A660">
        <v>39.000679900000002</v>
      </c>
      <c r="B660">
        <v>118.22893449999999</v>
      </c>
      <c r="C660">
        <v>81.806549070000003</v>
      </c>
      <c r="D660">
        <v>174.67424009999999</v>
      </c>
      <c r="E660" t="b">
        <f t="shared" si="240"/>
        <v>1</v>
      </c>
      <c r="F660">
        <f t="shared" si="241"/>
        <v>-234.35850525000004</v>
      </c>
      <c r="G660">
        <f t="shared" si="242"/>
        <v>-643.39125060000003</v>
      </c>
      <c r="H660">
        <f t="shared" si="243"/>
        <v>-1052.4239959500001</v>
      </c>
      <c r="I660">
        <f t="shared" si="244"/>
        <v>-1461.4567413000002</v>
      </c>
      <c r="J660">
        <f t="shared" si="245"/>
        <v>-1870.4894866500001</v>
      </c>
      <c r="L660">
        <f t="shared" si="246"/>
        <v>165249229.12140003</v>
      </c>
      <c r="M660">
        <f t="shared" si="247"/>
        <v>-403096629.03000009</v>
      </c>
      <c r="N660">
        <f t="shared" si="248"/>
        <v>-952219050.88800001</v>
      </c>
      <c r="O660">
        <f t="shared" si="249"/>
        <v>-1178714875.4640002</v>
      </c>
      <c r="P660">
        <f t="shared" si="250"/>
        <v>-1344540201.9960001</v>
      </c>
      <c r="Q660">
        <f t="shared" si="251"/>
        <v>-1608620958.5190001</v>
      </c>
      <c r="S660">
        <f t="shared" si="252"/>
        <v>200426045.22150004</v>
      </c>
      <c r="T660">
        <f t="shared" si="253"/>
        <v>-1396159013.802</v>
      </c>
      <c r="U660">
        <f t="shared" si="254"/>
        <v>-1196707726.1159999</v>
      </c>
      <c r="V660">
        <f t="shared" si="255"/>
        <v>-1494442074.2490001</v>
      </c>
      <c r="W660">
        <f t="shared" si="256"/>
        <v>-2002195735.5810003</v>
      </c>
      <c r="X660">
        <f t="shared" si="257"/>
        <v>-2281997173.7130003</v>
      </c>
      <c r="Z660">
        <f t="shared" si="258"/>
        <v>235602861.32160002</v>
      </c>
      <c r="AA660">
        <f t="shared" si="259"/>
        <v>-614019283.75500011</v>
      </c>
      <c r="AB660">
        <f t="shared" si="260"/>
        <v>-1441196401.3440001</v>
      </c>
      <c r="AC660">
        <f t="shared" si="261"/>
        <v>-2062751032.062</v>
      </c>
      <c r="AD660">
        <f t="shared" si="262"/>
        <v>-2659851269.1660004</v>
      </c>
      <c r="AE660">
        <f t="shared" si="263"/>
        <v>-2955373388.9070001</v>
      </c>
    </row>
    <row r="661" spans="1:31" x14ac:dyDescent="0.25">
      <c r="A661">
        <v>39.006436690000001</v>
      </c>
      <c r="B661">
        <v>118.1706674</v>
      </c>
      <c r="C661">
        <v>50.139499659999998</v>
      </c>
      <c r="D661">
        <v>1.95888996</v>
      </c>
      <c r="E661" t="b">
        <f t="shared" si="240"/>
        <v>0</v>
      </c>
      <c r="F661">
        <f t="shared" si="241"/>
        <v>-248.73860834000001</v>
      </c>
      <c r="G661">
        <f t="shared" si="242"/>
        <v>-499.43610663999999</v>
      </c>
      <c r="H661">
        <f t="shared" si="243"/>
        <v>-750.13360494000005</v>
      </c>
      <c r="I661">
        <f t="shared" si="244"/>
        <v>-1000.8311032400001</v>
      </c>
      <c r="J661">
        <f t="shared" si="245"/>
        <v>-1251.52860154</v>
      </c>
      <c r="L661">
        <f t="shared" si="246"/>
        <v>3956957.7192000002</v>
      </c>
      <c r="M661">
        <f t="shared" si="247"/>
        <v>-427830406.34480006</v>
      </c>
      <c r="N661">
        <f t="shared" si="248"/>
        <v>-739165437.82719994</v>
      </c>
      <c r="O661">
        <f t="shared" si="249"/>
        <v>-840149637.5328002</v>
      </c>
      <c r="P661">
        <f t="shared" si="250"/>
        <v>-920764614.98079991</v>
      </c>
      <c r="Q661">
        <f t="shared" si="251"/>
        <v>-1076314597.3243999</v>
      </c>
      <c r="S661">
        <f t="shared" si="252"/>
        <v>4799280.4020000007</v>
      </c>
      <c r="T661">
        <f t="shared" si="253"/>
        <v>-1083776351.4087999</v>
      </c>
      <c r="U661">
        <f t="shared" si="254"/>
        <v>-928951158.35039985</v>
      </c>
      <c r="V661">
        <f t="shared" si="255"/>
        <v>-1065189719.0148001</v>
      </c>
      <c r="W661">
        <f t="shared" si="256"/>
        <v>-1371138611.4388001</v>
      </c>
      <c r="X661">
        <f t="shared" si="257"/>
        <v>-1526864893.8787999</v>
      </c>
      <c r="Z661">
        <f t="shared" si="258"/>
        <v>5641603.0847999994</v>
      </c>
      <c r="AA661">
        <f t="shared" si="259"/>
        <v>-651695153.85080004</v>
      </c>
      <c r="AB661">
        <f t="shared" si="260"/>
        <v>-1118736878.8736</v>
      </c>
      <c r="AC661">
        <f t="shared" si="261"/>
        <v>-1470261865.6824</v>
      </c>
      <c r="AD661">
        <f t="shared" si="262"/>
        <v>-1821512607.8968</v>
      </c>
      <c r="AE661">
        <f t="shared" si="263"/>
        <v>-1977415190.4332001</v>
      </c>
    </row>
    <row r="662" spans="1:31" x14ac:dyDescent="0.25">
      <c r="A662">
        <v>39.008039789999998</v>
      </c>
      <c r="B662">
        <v>119.0594938</v>
      </c>
      <c r="C662">
        <v>237.5028839</v>
      </c>
      <c r="D662">
        <v>0.24486100999999999</v>
      </c>
      <c r="E662" t="b">
        <f t="shared" si="240"/>
        <v>0</v>
      </c>
      <c r="F662">
        <f t="shared" si="241"/>
        <v>-1187.26955849</v>
      </c>
      <c r="G662">
        <f t="shared" si="242"/>
        <v>-2374.78397799</v>
      </c>
      <c r="H662">
        <f t="shared" si="243"/>
        <v>-3562.2983974899998</v>
      </c>
      <c r="I662">
        <f t="shared" si="244"/>
        <v>-4749.8128169900001</v>
      </c>
      <c r="J662">
        <f t="shared" si="245"/>
        <v>-5937.3272364900004</v>
      </c>
      <c r="L662">
        <f t="shared" si="246"/>
        <v>494619.24019999994</v>
      </c>
      <c r="M662">
        <f t="shared" si="247"/>
        <v>-2042103640.6028001</v>
      </c>
      <c r="N662">
        <f t="shared" si="248"/>
        <v>-3514680287.4252005</v>
      </c>
      <c r="O662">
        <f t="shared" si="249"/>
        <v>-3989774205.1888003</v>
      </c>
      <c r="P662">
        <f t="shared" si="250"/>
        <v>-4369827791.6307993</v>
      </c>
      <c r="Q662">
        <f t="shared" si="251"/>
        <v>-5106101423.3814001</v>
      </c>
      <c r="S662">
        <f t="shared" si="252"/>
        <v>599909.47450000001</v>
      </c>
      <c r="T662">
        <f t="shared" si="253"/>
        <v>-5153281232.2383003</v>
      </c>
      <c r="U662">
        <f t="shared" si="254"/>
        <v>-4417098199.0614004</v>
      </c>
      <c r="V662">
        <f t="shared" si="255"/>
        <v>-5058463724.4357996</v>
      </c>
      <c r="W662">
        <f t="shared" si="256"/>
        <v>-6507243559.2763004</v>
      </c>
      <c r="X662">
        <f t="shared" si="257"/>
        <v>-7243539228.5178003</v>
      </c>
      <c r="Z662">
        <f t="shared" si="258"/>
        <v>705199.70879999991</v>
      </c>
      <c r="AA662">
        <f t="shared" si="259"/>
        <v>-3110646243.2438002</v>
      </c>
      <c r="AB662">
        <f t="shared" si="260"/>
        <v>-5319516110.6976013</v>
      </c>
      <c r="AC662">
        <f t="shared" si="261"/>
        <v>-6982104859.0803995</v>
      </c>
      <c r="AD662">
        <f t="shared" si="262"/>
        <v>-8644659326.9218006</v>
      </c>
      <c r="AE662">
        <f t="shared" si="263"/>
        <v>-9380977033.6542015</v>
      </c>
    </row>
    <row r="663" spans="1:31" x14ac:dyDescent="0.25">
      <c r="A663">
        <v>39.009635709999998</v>
      </c>
      <c r="B663">
        <v>119.4748189</v>
      </c>
      <c r="C663">
        <v>39.583812709999997</v>
      </c>
      <c r="D663">
        <v>0.48972300000000002</v>
      </c>
      <c r="E663" t="b">
        <f t="shared" si="240"/>
        <v>0</v>
      </c>
      <c r="F663">
        <f t="shared" si="241"/>
        <v>-197.42934054999998</v>
      </c>
      <c r="G663">
        <f t="shared" si="242"/>
        <v>-395.34840409999993</v>
      </c>
      <c r="H663">
        <f t="shared" si="243"/>
        <v>-593.26746764999996</v>
      </c>
      <c r="I663">
        <f t="shared" si="244"/>
        <v>-791.18653119999988</v>
      </c>
      <c r="J663">
        <f t="shared" si="245"/>
        <v>-989.10559474999991</v>
      </c>
      <c r="L663">
        <f t="shared" si="246"/>
        <v>989240.46</v>
      </c>
      <c r="M663">
        <f t="shared" si="247"/>
        <v>-339578465.74599999</v>
      </c>
      <c r="N663">
        <f t="shared" si="248"/>
        <v>-585115638.06799984</v>
      </c>
      <c r="O663">
        <f t="shared" si="249"/>
        <v>-664459563.76800001</v>
      </c>
      <c r="P663">
        <f t="shared" si="250"/>
        <v>-727891608.70399988</v>
      </c>
      <c r="Q663">
        <f t="shared" si="251"/>
        <v>-850630811.4849999</v>
      </c>
      <c r="S663">
        <f t="shared" si="252"/>
        <v>1199821.3500000001</v>
      </c>
      <c r="T663">
        <f t="shared" si="253"/>
        <v>-857906036.89699972</v>
      </c>
      <c r="U663">
        <f t="shared" si="254"/>
        <v>-735348031.62599981</v>
      </c>
      <c r="V663">
        <f t="shared" si="255"/>
        <v>-842439804.06299996</v>
      </c>
      <c r="W663">
        <f t="shared" si="256"/>
        <v>-1083925547.744</v>
      </c>
      <c r="X663">
        <f t="shared" si="257"/>
        <v>-1206708825.5949998</v>
      </c>
      <c r="Z663">
        <f t="shared" si="258"/>
        <v>1410402.24</v>
      </c>
      <c r="AA663">
        <f t="shared" si="259"/>
        <v>-517264872.241</v>
      </c>
      <c r="AB663">
        <f t="shared" si="260"/>
        <v>-885580425.1839999</v>
      </c>
      <c r="AC663">
        <f t="shared" si="261"/>
        <v>-1162804236.5939999</v>
      </c>
      <c r="AD663">
        <f t="shared" si="262"/>
        <v>-1439959486.7839999</v>
      </c>
      <c r="AE663">
        <f t="shared" si="263"/>
        <v>-1562786839.7049999</v>
      </c>
    </row>
    <row r="664" spans="1:31" x14ac:dyDescent="0.25">
      <c r="A664">
        <v>39.022451539999999</v>
      </c>
      <c r="B664">
        <v>117.522177</v>
      </c>
      <c r="C664">
        <v>52.10093689</v>
      </c>
      <c r="D664">
        <v>0.59090197</v>
      </c>
      <c r="E664" t="b">
        <f t="shared" si="240"/>
        <v>0</v>
      </c>
      <c r="F664">
        <f t="shared" si="241"/>
        <v>-259.91378248000001</v>
      </c>
      <c r="G664">
        <f t="shared" si="242"/>
        <v>-520.41846693000002</v>
      </c>
      <c r="H664">
        <f t="shared" si="243"/>
        <v>-780.92315138000004</v>
      </c>
      <c r="I664">
        <f t="shared" si="244"/>
        <v>-1041.42783583</v>
      </c>
      <c r="J664">
        <f t="shared" si="245"/>
        <v>-1301.9325202800001</v>
      </c>
      <c r="L664">
        <f t="shared" si="246"/>
        <v>1193621.9794000001</v>
      </c>
      <c r="M664">
        <f t="shared" si="247"/>
        <v>-447051705.86560011</v>
      </c>
      <c r="N664">
        <f t="shared" si="248"/>
        <v>-770219331.05640006</v>
      </c>
      <c r="O664">
        <f t="shared" si="249"/>
        <v>-874633929.54560006</v>
      </c>
      <c r="P664">
        <f t="shared" si="250"/>
        <v>-958113608.96359992</v>
      </c>
      <c r="Q664">
        <f t="shared" si="251"/>
        <v>-1119661967.4408</v>
      </c>
      <c r="S664">
        <f t="shared" si="252"/>
        <v>1447709.8265</v>
      </c>
      <c r="T664">
        <f t="shared" si="253"/>
        <v>-1129308073.2381001</v>
      </c>
      <c r="U664">
        <f t="shared" si="254"/>
        <v>-967978348.48979998</v>
      </c>
      <c r="V664">
        <f t="shared" si="255"/>
        <v>-1108910874.9596</v>
      </c>
      <c r="W664">
        <f t="shared" si="256"/>
        <v>-1426756135.0871003</v>
      </c>
      <c r="X664">
        <f t="shared" si="257"/>
        <v>-1588357674.7416</v>
      </c>
      <c r="Z664">
        <f t="shared" si="258"/>
        <v>1701797.6735999999</v>
      </c>
      <c r="AA664">
        <f t="shared" si="259"/>
        <v>-680974110.0976001</v>
      </c>
      <c r="AB664">
        <f t="shared" si="260"/>
        <v>-1165737365.9232001</v>
      </c>
      <c r="AC664">
        <f t="shared" si="261"/>
        <v>-1530609376.7047999</v>
      </c>
      <c r="AD664">
        <f t="shared" si="262"/>
        <v>-1895398661.2106001</v>
      </c>
      <c r="AE664">
        <f t="shared" si="263"/>
        <v>-2057053382.0424001</v>
      </c>
    </row>
    <row r="665" spans="1:31" x14ac:dyDescent="0.25">
      <c r="A665">
        <v>39.038498330000003</v>
      </c>
      <c r="B665">
        <v>118.768362</v>
      </c>
      <c r="C665">
        <v>8.4687528600000004</v>
      </c>
      <c r="D665">
        <v>6.3478097900000003</v>
      </c>
      <c r="E665" t="b">
        <f t="shared" si="240"/>
        <v>0</v>
      </c>
      <c r="F665">
        <f t="shared" si="241"/>
        <v>-35.995954510000004</v>
      </c>
      <c r="G665">
        <f t="shared" si="242"/>
        <v>-78.339718810000008</v>
      </c>
      <c r="H665">
        <f t="shared" si="243"/>
        <v>-120.68348311000001</v>
      </c>
      <c r="I665">
        <f t="shared" si="244"/>
        <v>-163.02724741</v>
      </c>
      <c r="J665">
        <f t="shared" si="245"/>
        <v>-205.37101171</v>
      </c>
      <c r="L665">
        <f t="shared" si="246"/>
        <v>12822575.775800001</v>
      </c>
      <c r="M665">
        <f t="shared" si="247"/>
        <v>-61913041.757200018</v>
      </c>
      <c r="N665">
        <f t="shared" si="248"/>
        <v>-115942783.8388</v>
      </c>
      <c r="O665">
        <f t="shared" si="249"/>
        <v>-135165501.08320004</v>
      </c>
      <c r="P665">
        <f t="shared" si="250"/>
        <v>-149985067.61719999</v>
      </c>
      <c r="Q665">
        <f t="shared" si="251"/>
        <v>-176619070.0706</v>
      </c>
      <c r="S665">
        <f t="shared" si="252"/>
        <v>15552133.9855</v>
      </c>
      <c r="T665">
        <f t="shared" si="253"/>
        <v>-169997189.8177</v>
      </c>
      <c r="U665">
        <f t="shared" si="254"/>
        <v>-145711876.98659998</v>
      </c>
      <c r="V665">
        <f t="shared" si="255"/>
        <v>-171370546.01620001</v>
      </c>
      <c r="W665">
        <f t="shared" si="256"/>
        <v>-223347328.9517</v>
      </c>
      <c r="X665">
        <f t="shared" si="257"/>
        <v>-250552634.28620002</v>
      </c>
      <c r="Z665">
        <f t="shared" si="258"/>
        <v>18281692.1952</v>
      </c>
      <c r="AA665">
        <f t="shared" si="259"/>
        <v>-94309400.816200018</v>
      </c>
      <c r="AB665">
        <f t="shared" si="260"/>
        <v>-175480970.13440001</v>
      </c>
      <c r="AC665">
        <f t="shared" si="261"/>
        <v>-236539626.89560002</v>
      </c>
      <c r="AD665">
        <f t="shared" si="262"/>
        <v>-296709590.28619999</v>
      </c>
      <c r="AE665">
        <f t="shared" si="263"/>
        <v>-324486198.5018</v>
      </c>
    </row>
    <row r="666" spans="1:31" x14ac:dyDescent="0.25">
      <c r="A666">
        <v>39.060402160000002</v>
      </c>
      <c r="B666">
        <v>116.5814072</v>
      </c>
      <c r="C666">
        <v>53.31973267</v>
      </c>
      <c r="D666">
        <v>0.73336500000000004</v>
      </c>
      <c r="E666" t="b">
        <f t="shared" si="240"/>
        <v>0</v>
      </c>
      <c r="F666">
        <f t="shared" si="241"/>
        <v>-265.86529834999999</v>
      </c>
      <c r="G666">
        <f t="shared" si="242"/>
        <v>-532.46396169999991</v>
      </c>
      <c r="H666">
        <f t="shared" si="243"/>
        <v>-799.06262504999995</v>
      </c>
      <c r="I666">
        <f t="shared" si="244"/>
        <v>-1065.6612883999999</v>
      </c>
      <c r="J666">
        <f t="shared" si="245"/>
        <v>-1332.25995175</v>
      </c>
      <c r="L666">
        <f t="shared" si="246"/>
        <v>1481397.3</v>
      </c>
      <c r="M666">
        <f t="shared" si="247"/>
        <v>-457288313.16200006</v>
      </c>
      <c r="N666">
        <f t="shared" si="248"/>
        <v>-788046663.31599987</v>
      </c>
      <c r="O666">
        <f t="shared" si="249"/>
        <v>-894950140.05599999</v>
      </c>
      <c r="P666">
        <f t="shared" si="250"/>
        <v>-980408385.32799983</v>
      </c>
      <c r="Q666">
        <f t="shared" si="251"/>
        <v>-1145743558.5049999</v>
      </c>
      <c r="S666">
        <f t="shared" si="252"/>
        <v>1796744.2500000002</v>
      </c>
      <c r="T666">
        <f t="shared" si="253"/>
        <v>-1155446796.8889997</v>
      </c>
      <c r="U666">
        <f t="shared" si="254"/>
        <v>-990382968.76199985</v>
      </c>
      <c r="V666">
        <f t="shared" si="255"/>
        <v>-1134668927.5709999</v>
      </c>
      <c r="W666">
        <f t="shared" si="256"/>
        <v>-1459955965.1079998</v>
      </c>
      <c r="X666">
        <f t="shared" si="257"/>
        <v>-1625357141.135</v>
      </c>
      <c r="Z666">
        <f t="shared" si="258"/>
        <v>2112091.1999999997</v>
      </c>
      <c r="AA666">
        <f t="shared" si="259"/>
        <v>-696567081.67700005</v>
      </c>
      <c r="AB666">
        <f t="shared" si="260"/>
        <v>-1192719274.2079999</v>
      </c>
      <c r="AC666">
        <f t="shared" si="261"/>
        <v>-1566162745.0979998</v>
      </c>
      <c r="AD666">
        <f t="shared" si="262"/>
        <v>-1939503544.8879998</v>
      </c>
      <c r="AE666">
        <f t="shared" si="263"/>
        <v>-2104970723.7650001</v>
      </c>
    </row>
    <row r="667" spans="1:31" x14ac:dyDescent="0.25">
      <c r="A667">
        <v>39.065721709999998</v>
      </c>
      <c r="B667">
        <v>118.9509006</v>
      </c>
      <c r="C667">
        <v>14.14985371</v>
      </c>
      <c r="D667">
        <v>16.324619290000001</v>
      </c>
      <c r="E667" t="b">
        <f t="shared" si="240"/>
        <v>1</v>
      </c>
      <c r="F667">
        <f t="shared" si="241"/>
        <v>-54.424649259999995</v>
      </c>
      <c r="G667">
        <f t="shared" si="242"/>
        <v>-125.17391780999999</v>
      </c>
      <c r="H667">
        <f t="shared" si="243"/>
        <v>-195.92318635999999</v>
      </c>
      <c r="I667">
        <f t="shared" si="244"/>
        <v>-266.67245491</v>
      </c>
      <c r="J667">
        <f t="shared" si="245"/>
        <v>-337.42172346000001</v>
      </c>
      <c r="L667">
        <f t="shared" si="246"/>
        <v>28582704.494200002</v>
      </c>
      <c r="M667">
        <f t="shared" si="247"/>
        <v>-93610396.727200001</v>
      </c>
      <c r="N667">
        <f t="shared" si="248"/>
        <v>-185257398.35879999</v>
      </c>
      <c r="O667">
        <f t="shared" si="249"/>
        <v>-219433968.72319999</v>
      </c>
      <c r="P667">
        <f t="shared" si="250"/>
        <v>-245338658.51719996</v>
      </c>
      <c r="Q667">
        <f t="shared" si="251"/>
        <v>-290182682.17560005</v>
      </c>
      <c r="S667">
        <f t="shared" si="252"/>
        <v>34667141.589500003</v>
      </c>
      <c r="T667">
        <f t="shared" si="253"/>
        <v>-271627401.64769995</v>
      </c>
      <c r="U667">
        <f t="shared" si="254"/>
        <v>-232823487.12659997</v>
      </c>
      <c r="V667">
        <f t="shared" si="255"/>
        <v>-278210924.63119996</v>
      </c>
      <c r="W667">
        <f t="shared" si="256"/>
        <v>-365341263.22670001</v>
      </c>
      <c r="X667">
        <f t="shared" si="257"/>
        <v>-411654502.62120003</v>
      </c>
      <c r="Z667">
        <f t="shared" si="258"/>
        <v>40751578.684799999</v>
      </c>
      <c r="AA667">
        <f t="shared" si="259"/>
        <v>-142592581.06119999</v>
      </c>
      <c r="AB667">
        <f t="shared" si="260"/>
        <v>-280389575.8944</v>
      </c>
      <c r="AC667">
        <f t="shared" si="261"/>
        <v>-384009445.26559997</v>
      </c>
      <c r="AD667">
        <f t="shared" si="262"/>
        <v>-485343867.93620002</v>
      </c>
      <c r="AE667">
        <f t="shared" si="263"/>
        <v>-533126323.06680006</v>
      </c>
    </row>
    <row r="668" spans="1:31" x14ac:dyDescent="0.25">
      <c r="A668">
        <v>39.091599739999999</v>
      </c>
      <c r="B668">
        <v>118.2437427</v>
      </c>
      <c r="C668">
        <v>8.4687528600000004</v>
      </c>
      <c r="D668">
        <v>5.9163E-2</v>
      </c>
      <c r="E668" t="b">
        <f t="shared" si="240"/>
        <v>0</v>
      </c>
      <c r="F668">
        <f t="shared" si="241"/>
        <v>-42.284601300000006</v>
      </c>
      <c r="G668">
        <f t="shared" si="242"/>
        <v>-84.628365600000009</v>
      </c>
      <c r="H668">
        <f t="shared" si="243"/>
        <v>-126.97212990000001</v>
      </c>
      <c r="I668">
        <f t="shared" si="244"/>
        <v>-169.3158942</v>
      </c>
      <c r="J668">
        <f t="shared" si="245"/>
        <v>-211.65965850000001</v>
      </c>
      <c r="L668">
        <f t="shared" si="246"/>
        <v>119509.26</v>
      </c>
      <c r="M668">
        <f t="shared" si="247"/>
        <v>-72729514.236000016</v>
      </c>
      <c r="N668">
        <f t="shared" si="248"/>
        <v>-125249981.08800001</v>
      </c>
      <c r="O668">
        <f t="shared" si="249"/>
        <v>-142208785.48800001</v>
      </c>
      <c r="P668">
        <f t="shared" si="250"/>
        <v>-155770622.66399997</v>
      </c>
      <c r="Q668">
        <f t="shared" si="251"/>
        <v>-182027306.31</v>
      </c>
      <c r="S668">
        <f t="shared" si="252"/>
        <v>144949.35</v>
      </c>
      <c r="T668">
        <f t="shared" si="253"/>
        <v>-183643553.35200003</v>
      </c>
      <c r="U668">
        <f t="shared" si="254"/>
        <v>-157408760.016</v>
      </c>
      <c r="V668">
        <f t="shared" si="255"/>
        <v>-180300424.458</v>
      </c>
      <c r="W668">
        <f t="shared" si="256"/>
        <v>-231962775.05399999</v>
      </c>
      <c r="X668">
        <f t="shared" si="257"/>
        <v>-258224783.37</v>
      </c>
      <c r="Z668">
        <f t="shared" si="258"/>
        <v>170389.44</v>
      </c>
      <c r="AA668">
        <f t="shared" si="259"/>
        <v>-110785655.40600002</v>
      </c>
      <c r="AB668">
        <f t="shared" si="260"/>
        <v>-189567538.94400004</v>
      </c>
      <c r="AC668">
        <f t="shared" si="261"/>
        <v>-248865374.604</v>
      </c>
      <c r="AD668">
        <f t="shared" si="262"/>
        <v>-308154927.44400001</v>
      </c>
      <c r="AE668">
        <f t="shared" si="263"/>
        <v>-334422260.43000001</v>
      </c>
    </row>
    <row r="669" spans="1:31" x14ac:dyDescent="0.25">
      <c r="A669">
        <v>39.094700709999998</v>
      </c>
      <c r="B669">
        <v>116.1722365</v>
      </c>
      <c r="C669">
        <v>53.31973267</v>
      </c>
      <c r="D669">
        <v>24.03002167</v>
      </c>
      <c r="E669" t="b">
        <f t="shared" si="240"/>
        <v>0</v>
      </c>
      <c r="F669">
        <f t="shared" si="241"/>
        <v>-242.56864167999998</v>
      </c>
      <c r="G669">
        <f t="shared" si="242"/>
        <v>-509.16730502999997</v>
      </c>
      <c r="H669">
        <f t="shared" si="243"/>
        <v>-775.76596838</v>
      </c>
      <c r="I669">
        <f t="shared" si="244"/>
        <v>-1042.3646317299999</v>
      </c>
      <c r="J669">
        <f t="shared" si="245"/>
        <v>-1308.9632950800001</v>
      </c>
      <c r="L669">
        <f t="shared" si="246"/>
        <v>48540643.773400001</v>
      </c>
      <c r="M669">
        <f t="shared" si="247"/>
        <v>-417218063.68959999</v>
      </c>
      <c r="N669">
        <f t="shared" si="248"/>
        <v>-753567611.44439995</v>
      </c>
      <c r="O669">
        <f t="shared" si="249"/>
        <v>-868857884.58560002</v>
      </c>
      <c r="P669">
        <f t="shared" si="250"/>
        <v>-958975461.19159985</v>
      </c>
      <c r="Q669">
        <f t="shared" si="251"/>
        <v>-1125708433.7688</v>
      </c>
      <c r="S669">
        <f t="shared" si="252"/>
        <v>58873553.091500007</v>
      </c>
      <c r="T669">
        <f t="shared" si="253"/>
        <v>-1104893051.9150999</v>
      </c>
      <c r="U669">
        <f t="shared" si="254"/>
        <v>-947051187.35579991</v>
      </c>
      <c r="V669">
        <f t="shared" si="255"/>
        <v>-1101587675.0995998</v>
      </c>
      <c r="W669">
        <f t="shared" si="256"/>
        <v>-1428039545.4700999</v>
      </c>
      <c r="X669">
        <f t="shared" si="257"/>
        <v>-1596935219.9976001</v>
      </c>
      <c r="Z669">
        <f t="shared" si="258"/>
        <v>69206462.409600005</v>
      </c>
      <c r="AA669">
        <f t="shared" si="259"/>
        <v>-635529841.20159996</v>
      </c>
      <c r="AB669">
        <f t="shared" si="260"/>
        <v>-1140534763.2672</v>
      </c>
      <c r="AC669">
        <f t="shared" si="261"/>
        <v>-1520501298.0248001</v>
      </c>
      <c r="AD669">
        <f t="shared" si="262"/>
        <v>-1897103629.7485998</v>
      </c>
      <c r="AE669">
        <f t="shared" si="263"/>
        <v>-2068162006.2264004</v>
      </c>
    </row>
    <row r="670" spans="1:31" x14ac:dyDescent="0.25">
      <c r="A670">
        <v>39.100549610000002</v>
      </c>
      <c r="B670">
        <v>119.9069626</v>
      </c>
      <c r="C670">
        <v>36.944892879999998</v>
      </c>
      <c r="D670">
        <v>4.162642</v>
      </c>
      <c r="E670" t="b">
        <f t="shared" si="240"/>
        <v>0</v>
      </c>
      <c r="F670">
        <f t="shared" si="241"/>
        <v>-180.56182239999998</v>
      </c>
      <c r="G670">
        <f t="shared" si="242"/>
        <v>-365.28628679999997</v>
      </c>
      <c r="H670">
        <f t="shared" si="243"/>
        <v>-550.01075119999996</v>
      </c>
      <c r="I670">
        <f t="shared" si="244"/>
        <v>-734.73521559999995</v>
      </c>
      <c r="J670">
        <f t="shared" si="245"/>
        <v>-919.45967999999993</v>
      </c>
      <c r="L670">
        <f t="shared" si="246"/>
        <v>8408536.8399999999</v>
      </c>
      <c r="M670">
        <f t="shared" si="247"/>
        <v>-310566334.528</v>
      </c>
      <c r="N670">
        <f t="shared" si="248"/>
        <v>-540623704.46399987</v>
      </c>
      <c r="O670">
        <f t="shared" si="249"/>
        <v>-616012041.34399998</v>
      </c>
      <c r="P670">
        <f t="shared" si="250"/>
        <v>-675956398.35199988</v>
      </c>
      <c r="Q670">
        <f t="shared" si="251"/>
        <v>-790735324.79999983</v>
      </c>
      <c r="S670">
        <f t="shared" si="252"/>
        <v>10198472.9</v>
      </c>
      <c r="T670">
        <f t="shared" si="253"/>
        <v>-792671242.35599983</v>
      </c>
      <c r="U670">
        <f t="shared" si="254"/>
        <v>-679432493.44799984</v>
      </c>
      <c r="V670">
        <f t="shared" si="255"/>
        <v>-781015266.70399988</v>
      </c>
      <c r="W670">
        <f t="shared" si="256"/>
        <v>-1006587245.372</v>
      </c>
      <c r="X670">
        <f t="shared" si="257"/>
        <v>-1121740809.5999999</v>
      </c>
      <c r="Z670">
        <f t="shared" si="258"/>
        <v>11988408.959999999</v>
      </c>
      <c r="AA670">
        <f t="shared" si="259"/>
        <v>-473071974.68799996</v>
      </c>
      <c r="AB670">
        <f t="shared" si="260"/>
        <v>-818241282.43199992</v>
      </c>
      <c r="AC670">
        <f t="shared" si="261"/>
        <v>-1078021072.3519998</v>
      </c>
      <c r="AD670">
        <f t="shared" si="262"/>
        <v>-1337218092.392</v>
      </c>
      <c r="AE670">
        <f t="shared" si="263"/>
        <v>-1452746294.3999999</v>
      </c>
    </row>
    <row r="671" spans="1:31" x14ac:dyDescent="0.25">
      <c r="A671">
        <v>39.106746649999998</v>
      </c>
      <c r="B671">
        <v>119.4328852</v>
      </c>
      <c r="C671">
        <v>39.583812709999997</v>
      </c>
      <c r="D671">
        <v>0.48972300000000002</v>
      </c>
      <c r="E671" t="b">
        <f t="shared" si="240"/>
        <v>0</v>
      </c>
      <c r="F671">
        <f t="shared" si="241"/>
        <v>-197.42934054999998</v>
      </c>
      <c r="G671">
        <f t="shared" si="242"/>
        <v>-395.34840409999993</v>
      </c>
      <c r="H671">
        <f t="shared" si="243"/>
        <v>-593.26746764999996</v>
      </c>
      <c r="I671">
        <f t="shared" si="244"/>
        <v>-791.18653119999988</v>
      </c>
      <c r="J671">
        <f t="shared" si="245"/>
        <v>-989.10559474999991</v>
      </c>
      <c r="L671">
        <f t="shared" si="246"/>
        <v>989240.46</v>
      </c>
      <c r="M671">
        <f t="shared" si="247"/>
        <v>-339578465.74599999</v>
      </c>
      <c r="N671">
        <f t="shared" si="248"/>
        <v>-585115638.06799984</v>
      </c>
      <c r="O671">
        <f t="shared" si="249"/>
        <v>-664459563.76800001</v>
      </c>
      <c r="P671">
        <f t="shared" si="250"/>
        <v>-727891608.70399988</v>
      </c>
      <c r="Q671">
        <f t="shared" si="251"/>
        <v>-850630811.4849999</v>
      </c>
      <c r="S671">
        <f t="shared" si="252"/>
        <v>1199821.3500000001</v>
      </c>
      <c r="T671">
        <f t="shared" si="253"/>
        <v>-857906036.89699972</v>
      </c>
      <c r="U671">
        <f t="shared" si="254"/>
        <v>-735348031.62599981</v>
      </c>
      <c r="V671">
        <f t="shared" si="255"/>
        <v>-842439804.06299996</v>
      </c>
      <c r="W671">
        <f t="shared" si="256"/>
        <v>-1083925547.744</v>
      </c>
      <c r="X671">
        <f t="shared" si="257"/>
        <v>-1206708825.5949998</v>
      </c>
      <c r="Z671">
        <f t="shared" si="258"/>
        <v>1410402.24</v>
      </c>
      <c r="AA671">
        <f t="shared" si="259"/>
        <v>-517264872.241</v>
      </c>
      <c r="AB671">
        <f t="shared" si="260"/>
        <v>-885580425.1839999</v>
      </c>
      <c r="AC671">
        <f t="shared" si="261"/>
        <v>-1162804236.5939999</v>
      </c>
      <c r="AD671">
        <f t="shared" si="262"/>
        <v>-1439959486.7839999</v>
      </c>
      <c r="AE671">
        <f t="shared" si="263"/>
        <v>-1562786839.7049999</v>
      </c>
    </row>
    <row r="672" spans="1:31" x14ac:dyDescent="0.25">
      <c r="A672">
        <v>39.113067399999998</v>
      </c>
      <c r="B672">
        <v>119.3746323</v>
      </c>
      <c r="C672">
        <v>39.583812709999997</v>
      </c>
      <c r="D672">
        <v>12.51241207</v>
      </c>
      <c r="E672" t="b">
        <f t="shared" si="240"/>
        <v>0</v>
      </c>
      <c r="F672">
        <f t="shared" si="241"/>
        <v>-185.40665147999997</v>
      </c>
      <c r="G672">
        <f t="shared" si="242"/>
        <v>-383.32571502999997</v>
      </c>
      <c r="H672">
        <f t="shared" si="243"/>
        <v>-581.24477858</v>
      </c>
      <c r="I672">
        <f t="shared" si="244"/>
        <v>-779.16384212999992</v>
      </c>
      <c r="J672">
        <f t="shared" si="245"/>
        <v>-977.08290567999995</v>
      </c>
      <c r="L672">
        <f t="shared" si="246"/>
        <v>25275072.3814</v>
      </c>
      <c r="M672">
        <f t="shared" si="247"/>
        <v>-318899440.54559994</v>
      </c>
      <c r="N672">
        <f t="shared" si="248"/>
        <v>-567322058.24439991</v>
      </c>
      <c r="O672">
        <f t="shared" si="249"/>
        <v>-650994152.00960016</v>
      </c>
      <c r="P672">
        <f t="shared" si="250"/>
        <v>-716830734.7595998</v>
      </c>
      <c r="Q672">
        <f t="shared" si="251"/>
        <v>-840291298.88479996</v>
      </c>
      <c r="S672">
        <f t="shared" si="252"/>
        <v>30655409.571500003</v>
      </c>
      <c r="T672">
        <f t="shared" si="253"/>
        <v>-831816801.61509991</v>
      </c>
      <c r="U672">
        <f t="shared" si="254"/>
        <v>-712985829.95579994</v>
      </c>
      <c r="V672">
        <f t="shared" si="255"/>
        <v>-825367585.58360004</v>
      </c>
      <c r="W672">
        <f t="shared" si="256"/>
        <v>-1067454463.7181</v>
      </c>
      <c r="X672">
        <f t="shared" si="257"/>
        <v>-1192041144.9296</v>
      </c>
      <c r="Z672">
        <f t="shared" si="258"/>
        <v>36035746.761600003</v>
      </c>
      <c r="AA672">
        <f t="shared" si="259"/>
        <v>-485765426.8775999</v>
      </c>
      <c r="AB672">
        <f t="shared" si="260"/>
        <v>-858649601.66719997</v>
      </c>
      <c r="AC672">
        <f t="shared" si="261"/>
        <v>-1139239766.0168002</v>
      </c>
      <c r="AD672">
        <f t="shared" si="262"/>
        <v>-1418078192.6765997</v>
      </c>
      <c r="AE672">
        <f t="shared" si="263"/>
        <v>-1543790990.9744</v>
      </c>
    </row>
    <row r="673" spans="1:31" x14ac:dyDescent="0.25">
      <c r="A673">
        <v>39.11360801</v>
      </c>
      <c r="B673">
        <v>119.79053690000001</v>
      </c>
      <c r="C673">
        <v>63.334102629999997</v>
      </c>
      <c r="D673">
        <v>1.22430599</v>
      </c>
      <c r="E673" t="b">
        <f t="shared" si="240"/>
        <v>0</v>
      </c>
      <c r="F673">
        <f t="shared" si="241"/>
        <v>-315.44620715999997</v>
      </c>
      <c r="G673">
        <f t="shared" si="242"/>
        <v>-632.11672031000001</v>
      </c>
      <c r="H673">
        <f t="shared" si="243"/>
        <v>-948.78723346000004</v>
      </c>
      <c r="I673">
        <f t="shared" si="244"/>
        <v>-1265.45774661</v>
      </c>
      <c r="J673">
        <f t="shared" si="245"/>
        <v>-1582.12825976</v>
      </c>
      <c r="L673">
        <f t="shared" si="246"/>
        <v>2473098.0998</v>
      </c>
      <c r="M673">
        <f t="shared" si="247"/>
        <v>-542567476.31519997</v>
      </c>
      <c r="N673">
        <f t="shared" si="248"/>
        <v>-935532746.0588001</v>
      </c>
      <c r="O673">
        <f t="shared" si="249"/>
        <v>-1062641701.4752002</v>
      </c>
      <c r="P673">
        <f t="shared" si="250"/>
        <v>-1164221126.8811998</v>
      </c>
      <c r="Q673">
        <f t="shared" si="251"/>
        <v>-1360630303.3936</v>
      </c>
      <c r="S673">
        <f t="shared" si="252"/>
        <v>2999549.6755000004</v>
      </c>
      <c r="T673">
        <f t="shared" si="253"/>
        <v>-1371693283.0727</v>
      </c>
      <c r="U673">
        <f t="shared" si="254"/>
        <v>-1175737099.7766001</v>
      </c>
      <c r="V673">
        <f t="shared" si="255"/>
        <v>-1347277871.5132</v>
      </c>
      <c r="W673">
        <f t="shared" si="256"/>
        <v>-1733677112.8557</v>
      </c>
      <c r="X673">
        <f t="shared" si="257"/>
        <v>-1930196476.9071999</v>
      </c>
      <c r="Z673">
        <f t="shared" si="258"/>
        <v>3526001.2511999998</v>
      </c>
      <c r="AA673">
        <f t="shared" si="259"/>
        <v>-826469062.75919998</v>
      </c>
      <c r="AB673">
        <f t="shared" si="260"/>
        <v>-1415941453.4944003</v>
      </c>
      <c r="AC673">
        <f t="shared" si="261"/>
        <v>-1859622977.5816</v>
      </c>
      <c r="AD673">
        <f t="shared" si="262"/>
        <v>-2303133098.8301997</v>
      </c>
      <c r="AE673">
        <f t="shared" si="263"/>
        <v>-2499762650.4208002</v>
      </c>
    </row>
    <row r="674" spans="1:31" x14ac:dyDescent="0.25">
      <c r="A674">
        <v>39.119360800000003</v>
      </c>
      <c r="B674">
        <v>119.3163696</v>
      </c>
      <c r="C674">
        <v>10.74713802</v>
      </c>
      <c r="D674">
        <v>84.898956299999995</v>
      </c>
      <c r="E674" t="b">
        <f t="shared" si="240"/>
        <v>1</v>
      </c>
      <c r="F674">
        <f t="shared" si="241"/>
        <v>31.163266199999995</v>
      </c>
      <c r="G674">
        <f t="shared" si="242"/>
        <v>-22.572423900000004</v>
      </c>
      <c r="H674">
        <f t="shared" si="243"/>
        <v>-76.308114000000003</v>
      </c>
      <c r="I674">
        <f t="shared" si="244"/>
        <v>-130.04380409999999</v>
      </c>
      <c r="J674">
        <f t="shared" si="245"/>
        <v>-183.77949419999999</v>
      </c>
      <c r="L674">
        <f t="shared" si="246"/>
        <v>21709218.8004</v>
      </c>
      <c r="M674">
        <f t="shared" si="247"/>
        <v>18485077.394400001</v>
      </c>
      <c r="N674">
        <f t="shared" si="248"/>
        <v>-33407187.372000001</v>
      </c>
      <c r="O674">
        <f t="shared" si="249"/>
        <v>-85465087.680000007</v>
      </c>
      <c r="P674">
        <f t="shared" si="250"/>
        <v>-119640299.77199998</v>
      </c>
      <c r="Q674">
        <f t="shared" si="251"/>
        <v>-158050365.01199999</v>
      </c>
      <c r="S674">
        <f t="shared" si="252"/>
        <v>26330488.149</v>
      </c>
      <c r="T674">
        <f t="shared" si="253"/>
        <v>-48982159.863000005</v>
      </c>
      <c r="U674">
        <f t="shared" si="254"/>
        <v>-41984708.454000004</v>
      </c>
      <c r="V674">
        <f t="shared" si="255"/>
        <v>-108357521.88</v>
      </c>
      <c r="W674">
        <f t="shared" si="256"/>
        <v>-178160011.61700001</v>
      </c>
      <c r="X674">
        <f t="shared" si="257"/>
        <v>-224210982.92399999</v>
      </c>
      <c r="Z674">
        <f t="shared" si="258"/>
        <v>30951757.497599997</v>
      </c>
      <c r="AA674">
        <f t="shared" si="259"/>
        <v>28157501.612399999</v>
      </c>
      <c r="AB674">
        <f t="shared" si="260"/>
        <v>-50562229.536000013</v>
      </c>
      <c r="AC674">
        <f t="shared" si="261"/>
        <v>-149563903.44</v>
      </c>
      <c r="AD674">
        <f t="shared" si="262"/>
        <v>-236679723.46199998</v>
      </c>
      <c r="AE674">
        <f t="shared" si="263"/>
        <v>-290371600.83599997</v>
      </c>
    </row>
    <row r="675" spans="1:31" x14ac:dyDescent="0.25">
      <c r="A675">
        <v>39.120096250000003</v>
      </c>
      <c r="B675">
        <v>119.732309</v>
      </c>
      <c r="C675">
        <v>23.811473849999999</v>
      </c>
      <c r="D675">
        <v>0.73458396999999998</v>
      </c>
      <c r="E675" t="b">
        <f t="shared" si="240"/>
        <v>0</v>
      </c>
      <c r="F675">
        <f t="shared" si="241"/>
        <v>-118.32278527999999</v>
      </c>
      <c r="G675">
        <f t="shared" si="242"/>
        <v>-237.38015453</v>
      </c>
      <c r="H675">
        <f t="shared" si="243"/>
        <v>-356.43752377999999</v>
      </c>
      <c r="I675">
        <f t="shared" si="244"/>
        <v>-475.49489302999996</v>
      </c>
      <c r="J675">
        <f t="shared" si="245"/>
        <v>-594.55226227999992</v>
      </c>
      <c r="L675">
        <f t="shared" si="246"/>
        <v>1483859.6194</v>
      </c>
      <c r="M675">
        <f t="shared" si="247"/>
        <v>-203515190.6816</v>
      </c>
      <c r="N675">
        <f t="shared" si="248"/>
        <v>-351322628.7044</v>
      </c>
      <c r="O675">
        <f t="shared" si="249"/>
        <v>-399210026.6336</v>
      </c>
      <c r="P675">
        <f t="shared" si="250"/>
        <v>-437455301.58759993</v>
      </c>
      <c r="Q675">
        <f t="shared" si="251"/>
        <v>-511314945.56079996</v>
      </c>
      <c r="S675">
        <f t="shared" si="252"/>
        <v>1799730.7265000001</v>
      </c>
      <c r="T675">
        <f t="shared" si="253"/>
        <v>-515114935.3301</v>
      </c>
      <c r="U675">
        <f t="shared" si="254"/>
        <v>-441527087.42579997</v>
      </c>
      <c r="V675">
        <f t="shared" si="255"/>
        <v>-506141283.76759994</v>
      </c>
      <c r="W675">
        <f t="shared" si="256"/>
        <v>-651428003.45109999</v>
      </c>
      <c r="X675">
        <f t="shared" si="257"/>
        <v>-725353759.98159993</v>
      </c>
      <c r="Z675">
        <f t="shared" si="258"/>
        <v>2115601.8336</v>
      </c>
      <c r="AA675">
        <f t="shared" si="259"/>
        <v>-310005697.43359995</v>
      </c>
      <c r="AB675">
        <f t="shared" si="260"/>
        <v>-531731546.14720005</v>
      </c>
      <c r="AC675">
        <f t="shared" si="261"/>
        <v>-698617546.60879993</v>
      </c>
      <c r="AD675">
        <f t="shared" si="262"/>
        <v>-865400705.31459999</v>
      </c>
      <c r="AE675">
        <f t="shared" si="263"/>
        <v>-939392574.40240002</v>
      </c>
    </row>
    <row r="676" spans="1:31" x14ac:dyDescent="0.25">
      <c r="A676">
        <v>39.132990769999999</v>
      </c>
      <c r="B676">
        <v>119.61582319999999</v>
      </c>
      <c r="C676">
        <v>13.798432350000001</v>
      </c>
      <c r="D676">
        <v>4.8972258599999998</v>
      </c>
      <c r="E676" t="b">
        <f t="shared" si="240"/>
        <v>0</v>
      </c>
      <c r="F676">
        <f t="shared" si="241"/>
        <v>-64.094935890000002</v>
      </c>
      <c r="G676">
        <f t="shared" si="242"/>
        <v>-133.08709764000002</v>
      </c>
      <c r="H676">
        <f t="shared" si="243"/>
        <v>-202.07925939</v>
      </c>
      <c r="I676">
        <f t="shared" si="244"/>
        <v>-271.07142114000004</v>
      </c>
      <c r="J676">
        <f t="shared" si="245"/>
        <v>-340.06358289000002</v>
      </c>
      <c r="L676">
        <f t="shared" si="246"/>
        <v>9892396.2371999994</v>
      </c>
      <c r="M676">
        <f t="shared" si="247"/>
        <v>-110243289.73080002</v>
      </c>
      <c r="N676">
        <f t="shared" si="248"/>
        <v>-196968904.50720003</v>
      </c>
      <c r="O676">
        <f t="shared" si="249"/>
        <v>-226328770.51680005</v>
      </c>
      <c r="P676">
        <f t="shared" si="250"/>
        <v>-249385707.44880003</v>
      </c>
      <c r="Q676">
        <f t="shared" si="251"/>
        <v>-292454681.28540003</v>
      </c>
      <c r="S676">
        <f t="shared" si="252"/>
        <v>11998203.356999999</v>
      </c>
      <c r="T676">
        <f t="shared" si="253"/>
        <v>-288799001.87880003</v>
      </c>
      <c r="U676">
        <f t="shared" si="254"/>
        <v>-247542001.61040005</v>
      </c>
      <c r="V676">
        <f t="shared" si="255"/>
        <v>-286952548.33380002</v>
      </c>
      <c r="W676">
        <f t="shared" si="256"/>
        <v>-371367846.9618001</v>
      </c>
      <c r="X676">
        <f t="shared" si="257"/>
        <v>-414877571.12580007</v>
      </c>
      <c r="Z676">
        <f t="shared" si="258"/>
        <v>14104010.476799998</v>
      </c>
      <c r="AA676">
        <f t="shared" si="259"/>
        <v>-167928732.0318</v>
      </c>
      <c r="AB676">
        <f t="shared" si="260"/>
        <v>-298115098.7136001</v>
      </c>
      <c r="AC676">
        <f t="shared" si="261"/>
        <v>-396075348.40440005</v>
      </c>
      <c r="AD676">
        <f t="shared" si="262"/>
        <v>-493349986.47480011</v>
      </c>
      <c r="AE676">
        <f t="shared" si="263"/>
        <v>-537300460.96620011</v>
      </c>
    </row>
    <row r="677" spans="1:31" x14ac:dyDescent="0.25">
      <c r="A677">
        <v>39.139397039999999</v>
      </c>
      <c r="B677">
        <v>119.5575654</v>
      </c>
      <c r="C677">
        <v>21.03282166</v>
      </c>
      <c r="D677">
        <v>0.22037499999999999</v>
      </c>
      <c r="E677" t="b">
        <f t="shared" si="240"/>
        <v>0</v>
      </c>
      <c r="F677">
        <f t="shared" si="241"/>
        <v>-104.94373329999999</v>
      </c>
      <c r="G677">
        <f t="shared" si="242"/>
        <v>-210.1078416</v>
      </c>
      <c r="H677">
        <f t="shared" si="243"/>
        <v>-315.27194989999998</v>
      </c>
      <c r="I677">
        <f t="shared" si="244"/>
        <v>-420.43605819999999</v>
      </c>
      <c r="J677">
        <f t="shared" si="245"/>
        <v>-525.6001665</v>
      </c>
      <c r="L677">
        <f t="shared" si="246"/>
        <v>445157.5</v>
      </c>
      <c r="M677">
        <f t="shared" si="247"/>
        <v>-180503221.27600002</v>
      </c>
      <c r="N677">
        <f t="shared" si="248"/>
        <v>-310959605.56799996</v>
      </c>
      <c r="O677">
        <f t="shared" si="249"/>
        <v>-353104583.88800001</v>
      </c>
      <c r="P677">
        <f t="shared" si="250"/>
        <v>-386801173.54399997</v>
      </c>
      <c r="Q677">
        <f t="shared" si="251"/>
        <v>-452016143.19</v>
      </c>
      <c r="S677">
        <f t="shared" si="252"/>
        <v>539918.75</v>
      </c>
      <c r="T677">
        <f t="shared" si="253"/>
        <v>-455934016.27199996</v>
      </c>
      <c r="U677">
        <f t="shared" si="254"/>
        <v>-390800585.37599999</v>
      </c>
      <c r="V677">
        <f t="shared" si="255"/>
        <v>-447686168.85799992</v>
      </c>
      <c r="W677">
        <f t="shared" si="256"/>
        <v>-575997399.73400009</v>
      </c>
      <c r="X677">
        <f t="shared" si="257"/>
        <v>-641232203.13</v>
      </c>
      <c r="Z677">
        <f t="shared" si="258"/>
        <v>634680</v>
      </c>
      <c r="AA677">
        <f t="shared" si="259"/>
        <v>-274952581.24599999</v>
      </c>
      <c r="AB677">
        <f t="shared" si="260"/>
        <v>-470641565.18400002</v>
      </c>
      <c r="AC677">
        <f t="shared" si="261"/>
        <v>-617933021.8039999</v>
      </c>
      <c r="AD677">
        <f t="shared" si="262"/>
        <v>-765193625.92400002</v>
      </c>
      <c r="AE677">
        <f t="shared" si="263"/>
        <v>-830448263.07000005</v>
      </c>
    </row>
    <row r="678" spans="1:31" x14ac:dyDescent="0.25">
      <c r="A678">
        <v>39.144630739999997</v>
      </c>
      <c r="B678">
        <v>120.3314603</v>
      </c>
      <c r="C678">
        <v>15.098740579999999</v>
      </c>
      <c r="D678">
        <v>2.6930151000000002</v>
      </c>
      <c r="E678" t="b">
        <f t="shared" si="240"/>
        <v>0</v>
      </c>
      <c r="F678">
        <f t="shared" si="241"/>
        <v>-72.800687800000006</v>
      </c>
      <c r="G678">
        <f t="shared" si="242"/>
        <v>-148.29439070000001</v>
      </c>
      <c r="H678">
        <f t="shared" si="243"/>
        <v>-223.7880936</v>
      </c>
      <c r="I678">
        <f t="shared" si="244"/>
        <v>-299.28179649999998</v>
      </c>
      <c r="J678">
        <f t="shared" si="245"/>
        <v>-374.77549939999994</v>
      </c>
      <c r="L678">
        <f t="shared" si="246"/>
        <v>5439890.5020000003</v>
      </c>
      <c r="M678">
        <f t="shared" si="247"/>
        <v>-125217183.01600003</v>
      </c>
      <c r="N678">
        <f t="shared" si="248"/>
        <v>-219475698.23600003</v>
      </c>
      <c r="O678">
        <f t="shared" si="249"/>
        <v>-250642664.83200002</v>
      </c>
      <c r="P678">
        <f t="shared" si="250"/>
        <v>-275339252.77999997</v>
      </c>
      <c r="Q678">
        <f t="shared" si="251"/>
        <v>-322306929.48399991</v>
      </c>
      <c r="S678">
        <f t="shared" si="252"/>
        <v>6597886.995000001</v>
      </c>
      <c r="T678">
        <f t="shared" si="253"/>
        <v>-321798827.81900001</v>
      </c>
      <c r="U678">
        <f t="shared" si="254"/>
        <v>-275827566.70200002</v>
      </c>
      <c r="V678">
        <f t="shared" si="255"/>
        <v>-317779092.912</v>
      </c>
      <c r="W678">
        <f t="shared" si="256"/>
        <v>-410016061.20500004</v>
      </c>
      <c r="X678">
        <f t="shared" si="257"/>
        <v>-457226109.26799989</v>
      </c>
      <c r="Z678">
        <f t="shared" si="258"/>
        <v>7755883.4879999999</v>
      </c>
      <c r="AA678">
        <f t="shared" si="259"/>
        <v>-190737802.03600004</v>
      </c>
      <c r="AB678">
        <f t="shared" si="260"/>
        <v>-332179435.16800004</v>
      </c>
      <c r="AC678">
        <f t="shared" si="261"/>
        <v>-438624663.45599997</v>
      </c>
      <c r="AD678">
        <f t="shared" si="262"/>
        <v>-544692869.63</v>
      </c>
      <c r="AE678">
        <f t="shared" si="263"/>
        <v>-592145289.05199993</v>
      </c>
    </row>
    <row r="679" spans="1:31" x14ac:dyDescent="0.25">
      <c r="A679">
        <v>39.14589926</v>
      </c>
      <c r="B679">
        <v>119.9153822</v>
      </c>
      <c r="C679">
        <v>26.92781067</v>
      </c>
      <c r="D679">
        <v>2.3469951199999999</v>
      </c>
      <c r="E679" t="b">
        <f t="shared" si="240"/>
        <v>0</v>
      </c>
      <c r="F679">
        <f t="shared" si="241"/>
        <v>-132.29205822999998</v>
      </c>
      <c r="G679">
        <f t="shared" si="242"/>
        <v>-266.93111157999999</v>
      </c>
      <c r="H679">
        <f t="shared" si="243"/>
        <v>-401.57016493000003</v>
      </c>
      <c r="I679">
        <f t="shared" si="244"/>
        <v>-536.20921827999996</v>
      </c>
      <c r="J679">
        <f t="shared" si="245"/>
        <v>-670.84827163</v>
      </c>
      <c r="L679">
        <f t="shared" si="246"/>
        <v>4740930.1424000002</v>
      </c>
      <c r="M679">
        <f t="shared" si="247"/>
        <v>-227542340.15559998</v>
      </c>
      <c r="N679">
        <f t="shared" si="248"/>
        <v>-395058045.13839996</v>
      </c>
      <c r="O679">
        <f t="shared" si="249"/>
        <v>-449758584.72160006</v>
      </c>
      <c r="P679">
        <f t="shared" si="250"/>
        <v>-493312480.81759995</v>
      </c>
      <c r="Q679">
        <f t="shared" si="251"/>
        <v>-576929513.60179996</v>
      </c>
      <c r="S679">
        <f t="shared" si="252"/>
        <v>5750138.0440000007</v>
      </c>
      <c r="T679">
        <f t="shared" si="253"/>
        <v>-579240512.1286</v>
      </c>
      <c r="U679">
        <f t="shared" si="254"/>
        <v>-496491867.53879994</v>
      </c>
      <c r="V679">
        <f t="shared" si="255"/>
        <v>-570229634.20060003</v>
      </c>
      <c r="W679">
        <f t="shared" si="256"/>
        <v>-734606629.04359996</v>
      </c>
      <c r="X679">
        <f t="shared" si="257"/>
        <v>-818434891.38859999</v>
      </c>
      <c r="Z679">
        <f t="shared" si="258"/>
        <v>6759345.9456000002</v>
      </c>
      <c r="AA679">
        <f t="shared" si="259"/>
        <v>-346605192.56259996</v>
      </c>
      <c r="AB679">
        <f t="shared" si="260"/>
        <v>-597925689.93920004</v>
      </c>
      <c r="AC679">
        <f t="shared" si="261"/>
        <v>-787077523.26279998</v>
      </c>
      <c r="AD679">
        <f t="shared" si="262"/>
        <v>-975900777.26960003</v>
      </c>
      <c r="AE679">
        <f t="shared" si="263"/>
        <v>-1059940269.1754</v>
      </c>
    </row>
    <row r="680" spans="1:31" x14ac:dyDescent="0.25">
      <c r="A680">
        <v>39.158451820000003</v>
      </c>
      <c r="B680">
        <v>119.382733</v>
      </c>
      <c r="C680">
        <v>11.872706409999999</v>
      </c>
      <c r="D680">
        <v>2.2355830700000001</v>
      </c>
      <c r="E680" t="b">
        <f t="shared" si="240"/>
        <v>0</v>
      </c>
      <c r="F680">
        <f t="shared" si="241"/>
        <v>-57.127948979999999</v>
      </c>
      <c r="G680">
        <f t="shared" si="242"/>
        <v>-116.49148102999999</v>
      </c>
      <c r="H680">
        <f t="shared" si="243"/>
        <v>-175.85501307999999</v>
      </c>
      <c r="I680">
        <f t="shared" si="244"/>
        <v>-235.21854513</v>
      </c>
      <c r="J680">
        <f t="shared" si="245"/>
        <v>-294.58207717999994</v>
      </c>
      <c r="L680">
        <f t="shared" si="246"/>
        <v>4515877.8014000002</v>
      </c>
      <c r="M680">
        <f t="shared" si="247"/>
        <v>-98260072.2456</v>
      </c>
      <c r="N680">
        <f t="shared" si="248"/>
        <v>-172407391.92439997</v>
      </c>
      <c r="O680">
        <f t="shared" si="249"/>
        <v>-196957614.6496</v>
      </c>
      <c r="P680">
        <f t="shared" si="250"/>
        <v>-216401061.51959997</v>
      </c>
      <c r="Q680">
        <f t="shared" si="251"/>
        <v>-253340586.37479994</v>
      </c>
      <c r="S680">
        <f t="shared" si="252"/>
        <v>5477178.5215000007</v>
      </c>
      <c r="T680">
        <f t="shared" si="253"/>
        <v>-252786513.83509997</v>
      </c>
      <c r="U680">
        <f t="shared" si="254"/>
        <v>-216674154.71579996</v>
      </c>
      <c r="V680">
        <f t="shared" si="255"/>
        <v>-249714118.57359996</v>
      </c>
      <c r="W680">
        <f t="shared" si="256"/>
        <v>-322249406.82810003</v>
      </c>
      <c r="X680">
        <f t="shared" si="257"/>
        <v>-359390134.1595999</v>
      </c>
      <c r="Z680">
        <f t="shared" si="258"/>
        <v>6438479.2416000003</v>
      </c>
      <c r="AA680">
        <f t="shared" si="259"/>
        <v>-149675226.3276</v>
      </c>
      <c r="AB680">
        <f t="shared" si="260"/>
        <v>-260940917.5072</v>
      </c>
      <c r="AC680">
        <f t="shared" si="261"/>
        <v>-344675825.63679993</v>
      </c>
      <c r="AD680">
        <f t="shared" si="262"/>
        <v>-428097752.13660002</v>
      </c>
      <c r="AE680">
        <f t="shared" si="263"/>
        <v>-465439681.94439995</v>
      </c>
    </row>
    <row r="681" spans="1:31" x14ac:dyDescent="0.25">
      <c r="A681">
        <v>39.165456710000001</v>
      </c>
      <c r="B681">
        <v>119.7406257</v>
      </c>
      <c r="C681">
        <v>28.128671650000001</v>
      </c>
      <c r="D681">
        <v>1.04066002</v>
      </c>
      <c r="E681" t="b">
        <f t="shared" si="240"/>
        <v>0</v>
      </c>
      <c r="F681">
        <f t="shared" si="241"/>
        <v>-139.60269823000002</v>
      </c>
      <c r="G681">
        <f t="shared" si="242"/>
        <v>-280.24605647999999</v>
      </c>
      <c r="H681">
        <f t="shared" si="243"/>
        <v>-420.88941473</v>
      </c>
      <c r="I681">
        <f t="shared" si="244"/>
        <v>-561.53277298</v>
      </c>
      <c r="J681">
        <f t="shared" si="245"/>
        <v>-702.17613123000001</v>
      </c>
      <c r="L681">
        <f t="shared" si="246"/>
        <v>2102133.2404</v>
      </c>
      <c r="M681">
        <f t="shared" si="247"/>
        <v>-240116640.95560005</v>
      </c>
      <c r="N681">
        <f t="shared" si="248"/>
        <v>-414764163.59040004</v>
      </c>
      <c r="O681">
        <f t="shared" si="249"/>
        <v>-471396144.49760008</v>
      </c>
      <c r="P681">
        <f t="shared" si="250"/>
        <v>-516610151.14159995</v>
      </c>
      <c r="Q681">
        <f t="shared" si="251"/>
        <v>-603871472.85780001</v>
      </c>
      <c r="S681">
        <f t="shared" si="252"/>
        <v>2549617.0490000001</v>
      </c>
      <c r="T681">
        <f t="shared" si="253"/>
        <v>-608133942.56159997</v>
      </c>
      <c r="U681">
        <f t="shared" si="254"/>
        <v>-521257665.0528</v>
      </c>
      <c r="V681">
        <f t="shared" si="255"/>
        <v>-597662968.91659999</v>
      </c>
      <c r="W681">
        <f t="shared" si="256"/>
        <v>-769299898.98260009</v>
      </c>
      <c r="X681">
        <f t="shared" si="257"/>
        <v>-856654880.1006</v>
      </c>
      <c r="Z681">
        <f t="shared" si="258"/>
        <v>2997100.8575999998</v>
      </c>
      <c r="AA681">
        <f t="shared" si="259"/>
        <v>-365759069.36260009</v>
      </c>
      <c r="AB681">
        <f t="shared" si="260"/>
        <v>-627751166.51520014</v>
      </c>
      <c r="AC681">
        <f t="shared" si="261"/>
        <v>-824943252.87080002</v>
      </c>
      <c r="AD681">
        <f t="shared" si="262"/>
        <v>-1021989646.8236001</v>
      </c>
      <c r="AE681">
        <f t="shared" si="263"/>
        <v>-1109438287.3434</v>
      </c>
    </row>
    <row r="682" spans="1:31" x14ac:dyDescent="0.25">
      <c r="A682">
        <v>39.170887700000002</v>
      </c>
      <c r="B682">
        <v>118.3753706</v>
      </c>
      <c r="C682">
        <v>8.4687528600000004</v>
      </c>
      <c r="D682">
        <v>3.6848769199999998</v>
      </c>
      <c r="E682" t="b">
        <f t="shared" si="240"/>
        <v>0</v>
      </c>
      <c r="F682">
        <f t="shared" si="241"/>
        <v>-38.658887380000003</v>
      </c>
      <c r="G682">
        <f t="shared" si="242"/>
        <v>-81.002651680000014</v>
      </c>
      <c r="H682">
        <f t="shared" si="243"/>
        <v>-123.34641598000002</v>
      </c>
      <c r="I682">
        <f t="shared" si="244"/>
        <v>-165.69018028000002</v>
      </c>
      <c r="J682">
        <f t="shared" si="245"/>
        <v>-208.03394458000002</v>
      </c>
      <c r="L682">
        <f t="shared" si="246"/>
        <v>7443451.3783999998</v>
      </c>
      <c r="M682">
        <f t="shared" si="247"/>
        <v>-66493286.293600015</v>
      </c>
      <c r="N682">
        <f t="shared" si="248"/>
        <v>-119883924.48640001</v>
      </c>
      <c r="O682">
        <f t="shared" si="249"/>
        <v>-138147985.89760002</v>
      </c>
      <c r="P682">
        <f t="shared" si="250"/>
        <v>-152434965.8576</v>
      </c>
      <c r="Q682">
        <f t="shared" si="251"/>
        <v>-178909192.33880001</v>
      </c>
      <c r="S682">
        <f t="shared" si="252"/>
        <v>9027948.4539999999</v>
      </c>
      <c r="T682">
        <f t="shared" si="253"/>
        <v>-175775754.14560002</v>
      </c>
      <c r="U682">
        <f t="shared" si="254"/>
        <v>-150664932.1248</v>
      </c>
      <c r="V682">
        <f t="shared" si="255"/>
        <v>-175151910.69160002</v>
      </c>
      <c r="W682">
        <f t="shared" si="256"/>
        <v>-226995546.98360005</v>
      </c>
      <c r="X682">
        <f t="shared" si="257"/>
        <v>-253801412.3876</v>
      </c>
      <c r="Z682">
        <f t="shared" si="258"/>
        <v>10612445.5296</v>
      </c>
      <c r="AA682">
        <f t="shared" si="259"/>
        <v>-101286284.93560001</v>
      </c>
      <c r="AB682">
        <f t="shared" si="260"/>
        <v>-181445939.76320004</v>
      </c>
      <c r="AC682">
        <f t="shared" si="261"/>
        <v>-241758975.32080004</v>
      </c>
      <c r="AD682">
        <f t="shared" si="262"/>
        <v>-301556128.10960007</v>
      </c>
      <c r="AE682">
        <f t="shared" si="263"/>
        <v>-328693632.43640006</v>
      </c>
    </row>
    <row r="683" spans="1:31" x14ac:dyDescent="0.25">
      <c r="A683">
        <v>39.176163649999999</v>
      </c>
      <c r="B683">
        <v>116.3016633</v>
      </c>
      <c r="C683">
        <v>53.31973267</v>
      </c>
      <c r="D683">
        <v>1.4250140200000001</v>
      </c>
      <c r="E683" t="b">
        <f t="shared" si="240"/>
        <v>0</v>
      </c>
      <c r="F683">
        <f t="shared" si="241"/>
        <v>-265.17364932999999</v>
      </c>
      <c r="G683">
        <f t="shared" si="242"/>
        <v>-531.77231267999991</v>
      </c>
      <c r="H683">
        <f t="shared" si="243"/>
        <v>-798.37097602999995</v>
      </c>
      <c r="I683">
        <f t="shared" si="244"/>
        <v>-1064.96963938</v>
      </c>
      <c r="J683">
        <f t="shared" si="245"/>
        <v>-1331.5683027300001</v>
      </c>
      <c r="L683">
        <f t="shared" si="246"/>
        <v>2878528.3204000001</v>
      </c>
      <c r="M683">
        <f t="shared" si="247"/>
        <v>-456098676.84760004</v>
      </c>
      <c r="N683">
        <f t="shared" si="248"/>
        <v>-787023022.76639986</v>
      </c>
      <c r="O683">
        <f t="shared" si="249"/>
        <v>-894175493.1536001</v>
      </c>
      <c r="P683">
        <f t="shared" si="250"/>
        <v>-979772068.22959995</v>
      </c>
      <c r="Q683">
        <f t="shared" si="251"/>
        <v>-1145148740.3478003</v>
      </c>
      <c r="S683">
        <f t="shared" si="252"/>
        <v>3491284.3490000004</v>
      </c>
      <c r="T683">
        <f t="shared" si="253"/>
        <v>-1153945918.5155997</v>
      </c>
      <c r="U683">
        <f t="shared" si="254"/>
        <v>-989096501.58479977</v>
      </c>
      <c r="V683">
        <f t="shared" si="255"/>
        <v>-1133686785.9626</v>
      </c>
      <c r="W683">
        <f t="shared" si="256"/>
        <v>-1459008405.9506001</v>
      </c>
      <c r="X683">
        <f t="shared" si="257"/>
        <v>-1624513329.3306003</v>
      </c>
      <c r="Z683">
        <f t="shared" si="258"/>
        <v>4104040.3775999998</v>
      </c>
      <c r="AA683">
        <f t="shared" si="259"/>
        <v>-694754961.24459994</v>
      </c>
      <c r="AB683">
        <f t="shared" si="260"/>
        <v>-1191169980.4031999</v>
      </c>
      <c r="AC683">
        <f t="shared" si="261"/>
        <v>-1564807113.0188</v>
      </c>
      <c r="AD683">
        <f t="shared" si="262"/>
        <v>-1938244743.6716001</v>
      </c>
      <c r="AE683">
        <f t="shared" si="263"/>
        <v>-2103877918.3134005</v>
      </c>
    </row>
    <row r="684" spans="1:31" x14ac:dyDescent="0.25">
      <c r="A684">
        <v>39.192746890000002</v>
      </c>
      <c r="B684">
        <v>118.6164727</v>
      </c>
      <c r="C684">
        <v>8.4687528600000004</v>
      </c>
      <c r="D684">
        <v>0.95589398999999997</v>
      </c>
      <c r="E684" t="b">
        <f t="shared" si="240"/>
        <v>0</v>
      </c>
      <c r="F684">
        <f t="shared" si="241"/>
        <v>-41.387870310000004</v>
      </c>
      <c r="G684">
        <f t="shared" si="242"/>
        <v>-83.73163461</v>
      </c>
      <c r="H684">
        <f t="shared" si="243"/>
        <v>-126.07539891</v>
      </c>
      <c r="I684">
        <f t="shared" si="244"/>
        <v>-168.41916321000002</v>
      </c>
      <c r="J684">
        <f t="shared" si="245"/>
        <v>-210.76292751000003</v>
      </c>
      <c r="L684">
        <f t="shared" si="246"/>
        <v>1930905.8598</v>
      </c>
      <c r="M684">
        <f t="shared" si="247"/>
        <v>-71187136.933200017</v>
      </c>
      <c r="N684">
        <f t="shared" si="248"/>
        <v>-123922819.2228</v>
      </c>
      <c r="O684">
        <f t="shared" si="249"/>
        <v>-141204446.77920002</v>
      </c>
      <c r="P684">
        <f t="shared" si="250"/>
        <v>-154945630.1532</v>
      </c>
      <c r="Q684">
        <f t="shared" si="251"/>
        <v>-181256117.6586</v>
      </c>
      <c r="S684">
        <f t="shared" si="252"/>
        <v>2341940.2755</v>
      </c>
      <c r="T684">
        <f t="shared" si="253"/>
        <v>-181697647.10369998</v>
      </c>
      <c r="U684">
        <f t="shared" si="254"/>
        <v>-155740840.37459999</v>
      </c>
      <c r="V684">
        <f t="shared" si="255"/>
        <v>-179027066.4522</v>
      </c>
      <c r="W684">
        <f t="shared" si="256"/>
        <v>-230734253.59770003</v>
      </c>
      <c r="X684">
        <f t="shared" si="257"/>
        <v>-257130771.56220001</v>
      </c>
      <c r="Z684">
        <f t="shared" si="258"/>
        <v>2752974.6911999998</v>
      </c>
      <c r="AA684">
        <f t="shared" si="259"/>
        <v>-108436220.21220002</v>
      </c>
      <c r="AB684">
        <f t="shared" si="260"/>
        <v>-187558861.52640003</v>
      </c>
      <c r="AC684">
        <f t="shared" si="261"/>
        <v>-247107781.86360002</v>
      </c>
      <c r="AD684">
        <f t="shared" si="262"/>
        <v>-306522877.04220003</v>
      </c>
      <c r="AE684">
        <f t="shared" si="263"/>
        <v>-333005425.46580005</v>
      </c>
    </row>
    <row r="685" spans="1:31" x14ac:dyDescent="0.25">
      <c r="A685">
        <v>39.204318999999998</v>
      </c>
      <c r="B685">
        <v>119.807249</v>
      </c>
      <c r="C685">
        <v>26.389209749999999</v>
      </c>
      <c r="D685">
        <v>12.48792458</v>
      </c>
      <c r="E685" t="b">
        <f t="shared" si="240"/>
        <v>0</v>
      </c>
      <c r="F685">
        <f t="shared" si="241"/>
        <v>-119.45812416999999</v>
      </c>
      <c r="G685">
        <f t="shared" si="242"/>
        <v>-251.40417291999998</v>
      </c>
      <c r="H685">
        <f t="shared" si="243"/>
        <v>-383.35022166999994</v>
      </c>
      <c r="I685">
        <f t="shared" si="244"/>
        <v>-515.29627041999993</v>
      </c>
      <c r="J685">
        <f t="shared" si="245"/>
        <v>-647.24231916999997</v>
      </c>
      <c r="L685">
        <f t="shared" si="246"/>
        <v>25225607.6516</v>
      </c>
      <c r="M685">
        <f t="shared" si="247"/>
        <v>-205467973.5724</v>
      </c>
      <c r="N685">
        <f t="shared" si="248"/>
        <v>-372078175.92159998</v>
      </c>
      <c r="O685">
        <f t="shared" si="249"/>
        <v>-429352248.27039999</v>
      </c>
      <c r="P685">
        <f t="shared" si="250"/>
        <v>-474072568.7863999</v>
      </c>
      <c r="Q685">
        <f t="shared" si="251"/>
        <v>-556628394.48619998</v>
      </c>
      <c r="S685">
        <f t="shared" si="252"/>
        <v>30595415.221000001</v>
      </c>
      <c r="T685">
        <f t="shared" si="253"/>
        <v>-545547055.23640001</v>
      </c>
      <c r="U685">
        <f t="shared" si="254"/>
        <v>-467611761.63119996</v>
      </c>
      <c r="V685">
        <f t="shared" si="255"/>
        <v>-544357314.77139986</v>
      </c>
      <c r="W685">
        <f t="shared" si="256"/>
        <v>-705955890.47539997</v>
      </c>
      <c r="X685">
        <f t="shared" si="257"/>
        <v>-789635629.38739991</v>
      </c>
      <c r="Z685">
        <f t="shared" si="258"/>
        <v>35965222.790399998</v>
      </c>
      <c r="AA685">
        <f t="shared" si="259"/>
        <v>-312980285.32539999</v>
      </c>
      <c r="AB685">
        <f t="shared" si="260"/>
        <v>-563145347.34080005</v>
      </c>
      <c r="AC685">
        <f t="shared" si="261"/>
        <v>-751366434.47319984</v>
      </c>
      <c r="AD685">
        <f t="shared" si="262"/>
        <v>-937839212.16439998</v>
      </c>
      <c r="AE685">
        <f t="shared" si="263"/>
        <v>-1022642864.2886</v>
      </c>
    </row>
    <row r="686" spans="1:31" x14ac:dyDescent="0.25">
      <c r="A686">
        <v>39.204594309999997</v>
      </c>
      <c r="B686">
        <v>118.4996922</v>
      </c>
      <c r="C686">
        <v>8.4687528600000004</v>
      </c>
      <c r="D686">
        <v>3.7871150999999998</v>
      </c>
      <c r="E686" t="b">
        <f t="shared" si="240"/>
        <v>0</v>
      </c>
      <c r="F686">
        <f t="shared" si="241"/>
        <v>-38.556649200000003</v>
      </c>
      <c r="G686">
        <f t="shared" si="242"/>
        <v>-80.900413500000013</v>
      </c>
      <c r="H686">
        <f t="shared" si="243"/>
        <v>-123.24417780000002</v>
      </c>
      <c r="I686">
        <f t="shared" si="244"/>
        <v>-165.58794210000002</v>
      </c>
      <c r="J686">
        <f t="shared" si="245"/>
        <v>-207.93170640000002</v>
      </c>
      <c r="L686">
        <f t="shared" si="246"/>
        <v>7649972.5019999994</v>
      </c>
      <c r="M686">
        <f t="shared" si="247"/>
        <v>-66317436.624000013</v>
      </c>
      <c r="N686">
        <f t="shared" si="248"/>
        <v>-119732611.98000002</v>
      </c>
      <c r="O686">
        <f t="shared" si="249"/>
        <v>-138033479.13600004</v>
      </c>
      <c r="P686">
        <f t="shared" si="250"/>
        <v>-152340906.73200002</v>
      </c>
      <c r="Q686">
        <f t="shared" si="251"/>
        <v>-178821267.50400004</v>
      </c>
      <c r="S686">
        <f t="shared" si="252"/>
        <v>9278431.9949999992</v>
      </c>
      <c r="T686">
        <f t="shared" si="253"/>
        <v>-175553897.29500002</v>
      </c>
      <c r="U686">
        <f t="shared" si="254"/>
        <v>-150474769.11000001</v>
      </c>
      <c r="V686">
        <f t="shared" si="255"/>
        <v>-175006732.47600001</v>
      </c>
      <c r="W686">
        <f t="shared" si="256"/>
        <v>-226855480.67700005</v>
      </c>
      <c r="X686">
        <f t="shared" si="257"/>
        <v>-253676681.80800003</v>
      </c>
      <c r="Z686">
        <f t="shared" si="258"/>
        <v>10906891.487999998</v>
      </c>
      <c r="AA686">
        <f t="shared" si="259"/>
        <v>-101018420.90400001</v>
      </c>
      <c r="AB686">
        <f t="shared" si="260"/>
        <v>-181216926.24000004</v>
      </c>
      <c r="AC686">
        <f t="shared" si="261"/>
        <v>-241558588.48800001</v>
      </c>
      <c r="AD686">
        <f t="shared" si="262"/>
        <v>-301370054.62200004</v>
      </c>
      <c r="AE686">
        <f t="shared" si="263"/>
        <v>-328532096.11200005</v>
      </c>
    </row>
    <row r="687" spans="1:31" x14ac:dyDescent="0.25">
      <c r="A687">
        <v>39.210476870000001</v>
      </c>
      <c r="B687">
        <v>118.4412883</v>
      </c>
      <c r="C687">
        <v>8.4687528600000004</v>
      </c>
      <c r="D687">
        <v>0.39322500999999999</v>
      </c>
      <c r="E687" t="b">
        <f t="shared" si="240"/>
        <v>0</v>
      </c>
      <c r="F687">
        <f t="shared" si="241"/>
        <v>-41.950539290000002</v>
      </c>
      <c r="G687">
        <f t="shared" si="242"/>
        <v>-84.294303590000013</v>
      </c>
      <c r="H687">
        <f t="shared" si="243"/>
        <v>-126.63806789000002</v>
      </c>
      <c r="I687">
        <f t="shared" si="244"/>
        <v>-168.98183219000001</v>
      </c>
      <c r="J687">
        <f t="shared" si="245"/>
        <v>-211.32559649000001</v>
      </c>
      <c r="L687">
        <f t="shared" si="246"/>
        <v>794314.52020000003</v>
      </c>
      <c r="M687">
        <f t="shared" si="247"/>
        <v>-72154927.578800008</v>
      </c>
      <c r="N687">
        <f t="shared" si="248"/>
        <v>-124755569.31320003</v>
      </c>
      <c r="O687">
        <f t="shared" si="249"/>
        <v>-141834636.03680003</v>
      </c>
      <c r="P687">
        <f t="shared" si="250"/>
        <v>-155463285.61479998</v>
      </c>
      <c r="Q687">
        <f t="shared" si="251"/>
        <v>-181740012.98140001</v>
      </c>
      <c r="S687">
        <f t="shared" si="252"/>
        <v>963401.27450000006</v>
      </c>
      <c r="T687">
        <f t="shared" si="253"/>
        <v>-182918638.79030004</v>
      </c>
      <c r="U687">
        <f t="shared" si="254"/>
        <v>-156787404.67740002</v>
      </c>
      <c r="V687">
        <f t="shared" si="255"/>
        <v>-179826056.40380001</v>
      </c>
      <c r="W687">
        <f t="shared" si="256"/>
        <v>-231505110.10030001</v>
      </c>
      <c r="X687">
        <f t="shared" si="257"/>
        <v>-257817227.71779999</v>
      </c>
      <c r="Z687">
        <f t="shared" si="258"/>
        <v>1132488.0288</v>
      </c>
      <c r="AA687">
        <f t="shared" si="259"/>
        <v>-109910412.93980001</v>
      </c>
      <c r="AB687">
        <f t="shared" si="260"/>
        <v>-188819240.04160005</v>
      </c>
      <c r="AC687">
        <f t="shared" si="261"/>
        <v>-248210613.06440002</v>
      </c>
      <c r="AD687">
        <f t="shared" si="262"/>
        <v>-307546934.58579999</v>
      </c>
      <c r="AE687">
        <f t="shared" si="263"/>
        <v>-333894442.45420003</v>
      </c>
    </row>
    <row r="688" spans="1:31" x14ac:dyDescent="0.25">
      <c r="A688">
        <v>39.210814419999998</v>
      </c>
      <c r="B688">
        <v>119.74895239999999</v>
      </c>
      <c r="C688">
        <v>34.145671839999999</v>
      </c>
      <c r="D688">
        <v>28.078243260000001</v>
      </c>
      <c r="E688" t="b">
        <f t="shared" si="240"/>
        <v>0</v>
      </c>
      <c r="F688">
        <f t="shared" si="241"/>
        <v>-142.65011594000001</v>
      </c>
      <c r="G688">
        <f t="shared" si="242"/>
        <v>-313.37847513999998</v>
      </c>
      <c r="H688">
        <f t="shared" si="243"/>
        <v>-484.10683433999998</v>
      </c>
      <c r="I688">
        <f t="shared" si="244"/>
        <v>-654.83519353999998</v>
      </c>
      <c r="J688">
        <f t="shared" si="245"/>
        <v>-825.56355273999998</v>
      </c>
      <c r="L688">
        <f t="shared" si="246"/>
        <v>56718051.385200001</v>
      </c>
      <c r="M688">
        <f t="shared" si="247"/>
        <v>-245358199.41680002</v>
      </c>
      <c r="N688">
        <f t="shared" si="248"/>
        <v>-463800143.20719999</v>
      </c>
      <c r="O688">
        <f t="shared" si="249"/>
        <v>-542199654.46080005</v>
      </c>
      <c r="P688">
        <f t="shared" si="250"/>
        <v>-602448378.05679989</v>
      </c>
      <c r="Q688">
        <f t="shared" si="251"/>
        <v>-709984655.35640001</v>
      </c>
      <c r="S688">
        <f t="shared" si="252"/>
        <v>68791695.987000003</v>
      </c>
      <c r="T688">
        <f t="shared" si="253"/>
        <v>-680031291.05379999</v>
      </c>
      <c r="U688">
        <f t="shared" si="254"/>
        <v>-582883963.76039994</v>
      </c>
      <c r="V688">
        <f t="shared" si="255"/>
        <v>-687431704.76279998</v>
      </c>
      <c r="W688">
        <f t="shared" si="256"/>
        <v>-897124215.14980006</v>
      </c>
      <c r="X688">
        <f t="shared" si="257"/>
        <v>-1007187534.3428</v>
      </c>
      <c r="Z688">
        <f t="shared" si="258"/>
        <v>80865340.588799998</v>
      </c>
      <c r="AA688">
        <f t="shared" si="259"/>
        <v>-373743303.76280004</v>
      </c>
      <c r="AB688">
        <f t="shared" si="260"/>
        <v>-701967784.31360006</v>
      </c>
      <c r="AC688">
        <f t="shared" si="261"/>
        <v>-948849395.30639994</v>
      </c>
      <c r="AD688">
        <f t="shared" si="262"/>
        <v>-1191800052.2428</v>
      </c>
      <c r="AE688">
        <f t="shared" si="263"/>
        <v>-1304390413.3292</v>
      </c>
    </row>
    <row r="689" spans="1:31" x14ac:dyDescent="0.25">
      <c r="A689">
        <v>39.211933930000001</v>
      </c>
      <c r="B689">
        <v>116.42503929999999</v>
      </c>
      <c r="C689">
        <v>53.31973267</v>
      </c>
      <c r="D689">
        <v>4.36806202</v>
      </c>
      <c r="E689" t="b">
        <f t="shared" si="240"/>
        <v>0</v>
      </c>
      <c r="F689">
        <f t="shared" si="241"/>
        <v>-262.23060132999996</v>
      </c>
      <c r="G689">
        <f t="shared" si="242"/>
        <v>-528.82926467999994</v>
      </c>
      <c r="H689">
        <f t="shared" si="243"/>
        <v>-795.42792802999998</v>
      </c>
      <c r="I689">
        <f t="shared" si="244"/>
        <v>-1062.0265913799999</v>
      </c>
      <c r="J689">
        <f t="shared" si="245"/>
        <v>-1328.6252547300001</v>
      </c>
      <c r="L689">
        <f t="shared" si="246"/>
        <v>8823485.2803999986</v>
      </c>
      <c r="M689">
        <f t="shared" si="247"/>
        <v>-451036634.28759998</v>
      </c>
      <c r="N689">
        <f t="shared" si="248"/>
        <v>-782667311.7263999</v>
      </c>
      <c r="O689">
        <f t="shared" si="249"/>
        <v>-890879279.39360011</v>
      </c>
      <c r="P689">
        <f t="shared" si="250"/>
        <v>-977064464.06959987</v>
      </c>
      <c r="Q689">
        <f t="shared" si="251"/>
        <v>-1142617719.0678</v>
      </c>
      <c r="S689">
        <f t="shared" si="252"/>
        <v>10701751.948999999</v>
      </c>
      <c r="T689">
        <f t="shared" si="253"/>
        <v>-1147559504.3555999</v>
      </c>
      <c r="U689">
        <f t="shared" si="254"/>
        <v>-983622432.3047998</v>
      </c>
      <c r="V689">
        <f t="shared" si="255"/>
        <v>-1129507657.8025999</v>
      </c>
      <c r="W689">
        <f t="shared" si="256"/>
        <v>-1454976430.1905999</v>
      </c>
      <c r="X689">
        <f t="shared" si="257"/>
        <v>-1620922810.7706001</v>
      </c>
      <c r="Z689">
        <f t="shared" si="258"/>
        <v>12580018.617599998</v>
      </c>
      <c r="AA689">
        <f t="shared" si="259"/>
        <v>-687044175.48459995</v>
      </c>
      <c r="AB689">
        <f t="shared" si="260"/>
        <v>-1184577552.8831999</v>
      </c>
      <c r="AC689">
        <f t="shared" si="261"/>
        <v>-1559038738.9387999</v>
      </c>
      <c r="AD689">
        <f t="shared" si="262"/>
        <v>-1932888396.3115997</v>
      </c>
      <c r="AE689">
        <f t="shared" si="263"/>
        <v>-2099227902.4734001</v>
      </c>
    </row>
    <row r="690" spans="1:31" x14ac:dyDescent="0.25">
      <c r="A690">
        <v>39.216765100000003</v>
      </c>
      <c r="B690">
        <v>120.1071228</v>
      </c>
      <c r="C690">
        <v>61.15704727</v>
      </c>
      <c r="D690">
        <v>5.1420869800000002</v>
      </c>
      <c r="E690" t="b">
        <f t="shared" si="240"/>
        <v>0</v>
      </c>
      <c r="F690">
        <f t="shared" si="241"/>
        <v>-300.64314937</v>
      </c>
      <c r="G690">
        <f t="shared" si="242"/>
        <v>-606.42838571999994</v>
      </c>
      <c r="H690">
        <f t="shared" si="243"/>
        <v>-912.21362206999993</v>
      </c>
      <c r="I690">
        <f t="shared" si="244"/>
        <v>-1217.99885842</v>
      </c>
      <c r="J690">
        <f t="shared" si="245"/>
        <v>-1523.7840947700001</v>
      </c>
      <c r="L690">
        <f t="shared" si="246"/>
        <v>10387015.699600002</v>
      </c>
      <c r="M690">
        <f t="shared" si="247"/>
        <v>-517106216.91640007</v>
      </c>
      <c r="N690">
        <f t="shared" si="248"/>
        <v>-897514010.86559987</v>
      </c>
      <c r="O690">
        <f t="shared" si="249"/>
        <v>-1021679256.7184</v>
      </c>
      <c r="P690">
        <f t="shared" si="250"/>
        <v>-1120558949.7463999</v>
      </c>
      <c r="Q690">
        <f t="shared" si="251"/>
        <v>-1310454321.5022001</v>
      </c>
      <c r="S690">
        <f t="shared" si="252"/>
        <v>12598113.101000002</v>
      </c>
      <c r="T690">
        <f t="shared" si="253"/>
        <v>-1315949597.0123997</v>
      </c>
      <c r="U690">
        <f t="shared" si="254"/>
        <v>-1127956797.4391997</v>
      </c>
      <c r="V690">
        <f t="shared" si="255"/>
        <v>-1295343343.3393998</v>
      </c>
      <c r="W690">
        <f t="shared" si="256"/>
        <v>-1668658436.0354002</v>
      </c>
      <c r="X690">
        <f t="shared" si="257"/>
        <v>-1859016595.6194003</v>
      </c>
      <c r="Z690">
        <f t="shared" si="258"/>
        <v>14809210.502400002</v>
      </c>
      <c r="AA690">
        <f t="shared" si="259"/>
        <v>-787685051.34940004</v>
      </c>
      <c r="AB690">
        <f t="shared" si="260"/>
        <v>-1358399584.0128</v>
      </c>
      <c r="AC690">
        <f t="shared" si="261"/>
        <v>-1787938699.2571998</v>
      </c>
      <c r="AD690">
        <f t="shared" si="262"/>
        <v>-2216757922.3244004</v>
      </c>
      <c r="AE690">
        <f t="shared" si="263"/>
        <v>-2407578869.7366004</v>
      </c>
    </row>
    <row r="691" spans="1:31" x14ac:dyDescent="0.25">
      <c r="A691">
        <v>39.221685309999998</v>
      </c>
      <c r="B691">
        <v>120.46534490000001</v>
      </c>
      <c r="C691">
        <v>23.28526115</v>
      </c>
      <c r="D691">
        <v>12.48792458</v>
      </c>
      <c r="E691" t="b">
        <f t="shared" si="240"/>
        <v>0</v>
      </c>
      <c r="F691">
        <f t="shared" si="241"/>
        <v>-103.93838117</v>
      </c>
      <c r="G691">
        <f t="shared" si="242"/>
        <v>-220.36468692</v>
      </c>
      <c r="H691">
        <f t="shared" si="243"/>
        <v>-336.79099266999998</v>
      </c>
      <c r="I691">
        <f t="shared" si="244"/>
        <v>-453.21729841999996</v>
      </c>
      <c r="J691">
        <f t="shared" si="245"/>
        <v>-569.64360417</v>
      </c>
      <c r="L691">
        <f t="shared" si="246"/>
        <v>25225607.6516</v>
      </c>
      <c r="M691">
        <f t="shared" si="247"/>
        <v>-178774015.61240003</v>
      </c>
      <c r="N691">
        <f t="shared" si="248"/>
        <v>-326139736.64159995</v>
      </c>
      <c r="O691">
        <f t="shared" si="249"/>
        <v>-377205911.79039997</v>
      </c>
      <c r="P691">
        <f t="shared" si="250"/>
        <v>-416959914.54639995</v>
      </c>
      <c r="Q691">
        <f t="shared" si="251"/>
        <v>-489893499.58619994</v>
      </c>
      <c r="S691">
        <f t="shared" si="252"/>
        <v>30595415.221000001</v>
      </c>
      <c r="T691">
        <f t="shared" si="253"/>
        <v>-478191370.61639994</v>
      </c>
      <c r="U691">
        <f t="shared" si="254"/>
        <v>-409878317.67119998</v>
      </c>
      <c r="V691">
        <f t="shared" si="255"/>
        <v>-478243209.59139991</v>
      </c>
      <c r="W691">
        <f t="shared" si="256"/>
        <v>-620907698.83539999</v>
      </c>
      <c r="X691">
        <f t="shared" si="257"/>
        <v>-694965197.08739996</v>
      </c>
      <c r="Z691">
        <f t="shared" si="258"/>
        <v>35965222.790399998</v>
      </c>
      <c r="AA691">
        <f t="shared" si="259"/>
        <v>-272318558.66540003</v>
      </c>
      <c r="AB691">
        <f t="shared" si="260"/>
        <v>-493616898.7008</v>
      </c>
      <c r="AC691">
        <f t="shared" si="261"/>
        <v>-660110345.63319993</v>
      </c>
      <c r="AD691">
        <f t="shared" si="262"/>
        <v>-824855483.1243999</v>
      </c>
      <c r="AE691">
        <f t="shared" si="263"/>
        <v>-900036894.58859992</v>
      </c>
    </row>
    <row r="692" spans="1:31" x14ac:dyDescent="0.25">
      <c r="A692">
        <v>39.230009199999998</v>
      </c>
      <c r="B692">
        <v>119.9905523</v>
      </c>
      <c r="C692">
        <v>106.57798769999999</v>
      </c>
      <c r="D692">
        <v>1.4691679499999999</v>
      </c>
      <c r="E692" t="b">
        <f t="shared" si="240"/>
        <v>0</v>
      </c>
      <c r="F692">
        <f t="shared" si="241"/>
        <v>-531.42077054999993</v>
      </c>
      <c r="G692">
        <f t="shared" si="242"/>
        <v>-1064.31070905</v>
      </c>
      <c r="H692">
        <f t="shared" si="243"/>
        <v>-1597.20064755</v>
      </c>
      <c r="I692">
        <f t="shared" si="244"/>
        <v>-2130.0905860499997</v>
      </c>
      <c r="J692">
        <f t="shared" si="245"/>
        <v>-2662.9805245499997</v>
      </c>
      <c r="L692">
        <f t="shared" si="246"/>
        <v>2967719.2590000001</v>
      </c>
      <c r="M692">
        <f t="shared" si="247"/>
        <v>-914043725.34600008</v>
      </c>
      <c r="N692">
        <f t="shared" si="248"/>
        <v>-1575179849.3940001</v>
      </c>
      <c r="O692">
        <f t="shared" si="249"/>
        <v>-1788864725.256</v>
      </c>
      <c r="P692">
        <f t="shared" si="250"/>
        <v>-1959683339.1659997</v>
      </c>
      <c r="Q692">
        <f t="shared" si="251"/>
        <v>-2290163251.1129999</v>
      </c>
      <c r="S692">
        <f t="shared" si="252"/>
        <v>3599461.4775</v>
      </c>
      <c r="T692">
        <f t="shared" si="253"/>
        <v>-2309554238.6385002</v>
      </c>
      <c r="U692">
        <f t="shared" si="254"/>
        <v>-1979617918.8329999</v>
      </c>
      <c r="V692">
        <f t="shared" si="255"/>
        <v>-2268024919.5209999</v>
      </c>
      <c r="W692">
        <f t="shared" si="256"/>
        <v>-2918224102.8884997</v>
      </c>
      <c r="X692">
        <f t="shared" si="257"/>
        <v>-3248836239.9509997</v>
      </c>
      <c r="Z692">
        <f t="shared" si="258"/>
        <v>4231203.6959999995</v>
      </c>
      <c r="AA692">
        <f t="shared" si="259"/>
        <v>-1392322418.8409998</v>
      </c>
      <c r="AB692">
        <f t="shared" si="260"/>
        <v>-2384055988.2720003</v>
      </c>
      <c r="AC692">
        <f t="shared" si="261"/>
        <v>-3130513269.198</v>
      </c>
      <c r="AD692">
        <f t="shared" si="262"/>
        <v>-3876764866.6109996</v>
      </c>
      <c r="AE692">
        <f t="shared" si="263"/>
        <v>-4207509228.7889996</v>
      </c>
    </row>
    <row r="693" spans="1:31" x14ac:dyDescent="0.25">
      <c r="A693">
        <v>39.242881189999999</v>
      </c>
      <c r="B693">
        <v>119.4573199</v>
      </c>
      <c r="C693">
        <v>18.472446439999999</v>
      </c>
      <c r="D693">
        <v>0.73458396999999998</v>
      </c>
      <c r="E693" t="b">
        <f t="shared" si="240"/>
        <v>0</v>
      </c>
      <c r="F693">
        <f t="shared" si="241"/>
        <v>-91.627648229999991</v>
      </c>
      <c r="G693">
        <f t="shared" si="242"/>
        <v>-183.98988043</v>
      </c>
      <c r="H693">
        <f t="shared" si="243"/>
        <v>-276.35211262999997</v>
      </c>
      <c r="I693">
        <f t="shared" si="244"/>
        <v>-368.71434482999996</v>
      </c>
      <c r="J693">
        <f t="shared" si="245"/>
        <v>-461.07657702999995</v>
      </c>
      <c r="L693">
        <f t="shared" si="246"/>
        <v>1483859.6194</v>
      </c>
      <c r="M693">
        <f t="shared" si="247"/>
        <v>-157599554.95559999</v>
      </c>
      <c r="N693">
        <f t="shared" si="248"/>
        <v>-272305023.03640002</v>
      </c>
      <c r="O693">
        <f t="shared" si="249"/>
        <v>-309514366.14559996</v>
      </c>
      <c r="P693">
        <f t="shared" si="250"/>
        <v>-339217197.24359995</v>
      </c>
      <c r="Q693">
        <f t="shared" si="251"/>
        <v>-396525856.24579996</v>
      </c>
      <c r="S693">
        <f t="shared" si="252"/>
        <v>1799730.7265000001</v>
      </c>
      <c r="T693">
        <f t="shared" si="253"/>
        <v>-399258040.53310001</v>
      </c>
      <c r="U693">
        <f t="shared" si="254"/>
        <v>-342221177.59979999</v>
      </c>
      <c r="V693">
        <f t="shared" si="255"/>
        <v>-392419999.93459988</v>
      </c>
      <c r="W693">
        <f t="shared" si="256"/>
        <v>-505138652.41710001</v>
      </c>
      <c r="X693">
        <f t="shared" si="257"/>
        <v>-562513423.97659993</v>
      </c>
      <c r="Z693">
        <f t="shared" si="258"/>
        <v>2115601.8336</v>
      </c>
      <c r="AA693">
        <f t="shared" si="259"/>
        <v>-240064438.36259997</v>
      </c>
      <c r="AB693">
        <f t="shared" si="260"/>
        <v>-412137332.16320008</v>
      </c>
      <c r="AC693">
        <f t="shared" si="261"/>
        <v>-541650140.75479984</v>
      </c>
      <c r="AD693">
        <f t="shared" si="262"/>
        <v>-671060107.59060001</v>
      </c>
      <c r="AE693">
        <f t="shared" si="263"/>
        <v>-728500991.70739996</v>
      </c>
    </row>
    <row r="694" spans="1:31" x14ac:dyDescent="0.25">
      <c r="A694">
        <v>39.266990479999997</v>
      </c>
      <c r="B694">
        <v>120.47411409999999</v>
      </c>
      <c r="C694">
        <v>75.354934689999993</v>
      </c>
      <c r="D694">
        <v>1.4691679499999999</v>
      </c>
      <c r="E694" t="b">
        <f t="shared" si="240"/>
        <v>0</v>
      </c>
      <c r="F694">
        <f t="shared" si="241"/>
        <v>-375.30550549999998</v>
      </c>
      <c r="G694">
        <f t="shared" si="242"/>
        <v>-752.08017894999989</v>
      </c>
      <c r="H694">
        <f t="shared" si="243"/>
        <v>-1128.8548524</v>
      </c>
      <c r="I694">
        <f t="shared" si="244"/>
        <v>-1505.6295258499999</v>
      </c>
      <c r="J694">
        <f t="shared" si="245"/>
        <v>-1882.4041992999998</v>
      </c>
      <c r="L694">
        <f t="shared" si="246"/>
        <v>2967719.2590000001</v>
      </c>
      <c r="M694">
        <f t="shared" si="247"/>
        <v>-645525469.46000004</v>
      </c>
      <c r="N694">
        <f t="shared" si="248"/>
        <v>-1113078664.846</v>
      </c>
      <c r="O694">
        <f t="shared" si="249"/>
        <v>-1264317434.6880002</v>
      </c>
      <c r="P694">
        <f t="shared" si="250"/>
        <v>-1385179163.7819998</v>
      </c>
      <c r="Q694">
        <f t="shared" si="251"/>
        <v>-1618867611.398</v>
      </c>
      <c r="S694">
        <f t="shared" si="252"/>
        <v>3599461.4775</v>
      </c>
      <c r="T694">
        <f t="shared" si="253"/>
        <v>-1632013988.3214998</v>
      </c>
      <c r="U694">
        <f t="shared" si="254"/>
        <v>-1398869132.8469999</v>
      </c>
      <c r="V694">
        <f t="shared" si="255"/>
        <v>-1602973890.408</v>
      </c>
      <c r="W694">
        <f t="shared" si="256"/>
        <v>-2062712450.4145</v>
      </c>
      <c r="X694">
        <f t="shared" si="257"/>
        <v>-2296533123.1459999</v>
      </c>
      <c r="Z694">
        <f t="shared" si="258"/>
        <v>4231203.6959999995</v>
      </c>
      <c r="AA694">
        <f t="shared" si="259"/>
        <v>-983300424.41000009</v>
      </c>
      <c r="AB694">
        <f t="shared" si="260"/>
        <v>-1684659600.848</v>
      </c>
      <c r="AC694">
        <f t="shared" si="261"/>
        <v>-2212555510.704</v>
      </c>
      <c r="AD694">
        <f t="shared" si="262"/>
        <v>-2740245737.0469999</v>
      </c>
      <c r="AE694">
        <f t="shared" si="263"/>
        <v>-2974198634.8940001</v>
      </c>
    </row>
    <row r="695" spans="1:31" x14ac:dyDescent="0.25">
      <c r="A695">
        <v>39.291696420000001</v>
      </c>
      <c r="B695">
        <v>120.65779209999999</v>
      </c>
      <c r="C695">
        <v>31.50655746</v>
      </c>
      <c r="D695">
        <v>9.7945000000000004E-2</v>
      </c>
      <c r="E695" t="b">
        <f t="shared" si="240"/>
        <v>0</v>
      </c>
      <c r="F695">
        <f t="shared" si="241"/>
        <v>-157.43484229999999</v>
      </c>
      <c r="G695">
        <f t="shared" si="242"/>
        <v>-314.96762960000001</v>
      </c>
      <c r="H695">
        <f t="shared" si="243"/>
        <v>-472.5004169</v>
      </c>
      <c r="I695">
        <f t="shared" si="244"/>
        <v>-630.0332042</v>
      </c>
      <c r="J695">
        <f t="shared" si="245"/>
        <v>-787.5659915</v>
      </c>
      <c r="L695">
        <f t="shared" si="246"/>
        <v>197848.9</v>
      </c>
      <c r="M695">
        <f t="shared" si="247"/>
        <v>-270787928.75599998</v>
      </c>
      <c r="N695">
        <f t="shared" si="248"/>
        <v>-466152091.80800003</v>
      </c>
      <c r="O695">
        <f t="shared" si="249"/>
        <v>-529200466.92800003</v>
      </c>
      <c r="P695">
        <f t="shared" si="250"/>
        <v>-579630547.86399996</v>
      </c>
      <c r="Q695">
        <f t="shared" si="251"/>
        <v>-677306752.68999994</v>
      </c>
      <c r="S695">
        <f t="shared" si="252"/>
        <v>239965.25000000003</v>
      </c>
      <c r="T695">
        <f t="shared" si="253"/>
        <v>-683479756.23199999</v>
      </c>
      <c r="U695">
        <f t="shared" si="254"/>
        <v>-585839791.05599999</v>
      </c>
      <c r="V695">
        <f t="shared" si="255"/>
        <v>-670950591.99799991</v>
      </c>
      <c r="W695">
        <f t="shared" si="256"/>
        <v>-863145489.75400019</v>
      </c>
      <c r="X695">
        <f t="shared" si="257"/>
        <v>-960830509.63</v>
      </c>
      <c r="Z695">
        <f t="shared" si="258"/>
        <v>282081.59999999998</v>
      </c>
      <c r="AA695">
        <f t="shared" si="259"/>
        <v>-412479286.82599998</v>
      </c>
      <c r="AB695">
        <f t="shared" si="260"/>
        <v>-705527490.30400014</v>
      </c>
      <c r="AC695">
        <f t="shared" si="261"/>
        <v>-926100817.12399995</v>
      </c>
      <c r="AD695">
        <f t="shared" si="262"/>
        <v>-1146660431.6440001</v>
      </c>
      <c r="AE695">
        <f t="shared" si="263"/>
        <v>-1244354266.5700002</v>
      </c>
    </row>
    <row r="696" spans="1:31" x14ac:dyDescent="0.25">
      <c r="A696">
        <v>39.31229278</v>
      </c>
      <c r="B696">
        <v>120.48289389999999</v>
      </c>
      <c r="C696">
        <v>27.2617321</v>
      </c>
      <c r="D696">
        <v>18.619251250000001</v>
      </c>
      <c r="E696" t="b">
        <f t="shared" si="240"/>
        <v>0</v>
      </c>
      <c r="F696">
        <f t="shared" si="241"/>
        <v>-117.68940925</v>
      </c>
      <c r="G696">
        <f t="shared" si="242"/>
        <v>-253.99806975000001</v>
      </c>
      <c r="H696">
        <f t="shared" si="243"/>
        <v>-390.30673024999999</v>
      </c>
      <c r="I696">
        <f t="shared" si="244"/>
        <v>-526.61539074999996</v>
      </c>
      <c r="J696">
        <f t="shared" si="245"/>
        <v>-662.92405124999993</v>
      </c>
      <c r="L696">
        <f t="shared" si="246"/>
        <v>37610887.524999999</v>
      </c>
      <c r="M696">
        <f t="shared" si="247"/>
        <v>-202425783.91000003</v>
      </c>
      <c r="N696">
        <f t="shared" si="248"/>
        <v>-375917143.23000002</v>
      </c>
      <c r="O696">
        <f t="shared" si="249"/>
        <v>-437143537.88000005</v>
      </c>
      <c r="P696">
        <f t="shared" si="250"/>
        <v>-484486159.48999989</v>
      </c>
      <c r="Q696">
        <f t="shared" si="251"/>
        <v>-570114684.07499993</v>
      </c>
      <c r="S696">
        <f t="shared" si="252"/>
        <v>45617165.5625</v>
      </c>
      <c r="T696">
        <f t="shared" si="253"/>
        <v>-551175811.35749996</v>
      </c>
      <c r="U696">
        <f t="shared" si="254"/>
        <v>-472436409.73499995</v>
      </c>
      <c r="V696">
        <f t="shared" si="255"/>
        <v>-554235556.95499992</v>
      </c>
      <c r="W696">
        <f t="shared" si="256"/>
        <v>-721463085.32749999</v>
      </c>
      <c r="X696">
        <f t="shared" si="257"/>
        <v>-808767342.52499986</v>
      </c>
      <c r="Z696">
        <f t="shared" si="258"/>
        <v>53623443.600000001</v>
      </c>
      <c r="AA696">
        <f t="shared" si="259"/>
        <v>-308346252.23500001</v>
      </c>
      <c r="AB696">
        <f t="shared" si="260"/>
        <v>-568955676.24000001</v>
      </c>
      <c r="AC696">
        <f t="shared" si="261"/>
        <v>-765001191.28999996</v>
      </c>
      <c r="AD696">
        <f t="shared" si="262"/>
        <v>-958440011.16499996</v>
      </c>
      <c r="AE696">
        <f t="shared" si="263"/>
        <v>-1047420000.9749999</v>
      </c>
    </row>
    <row r="697" spans="1:31" x14ac:dyDescent="0.25">
      <c r="A697">
        <v>39.319103589999997</v>
      </c>
      <c r="B697">
        <v>120.42457330000001</v>
      </c>
      <c r="C697">
        <v>63.334102629999997</v>
      </c>
      <c r="D697">
        <v>1.22430599</v>
      </c>
      <c r="E697" t="b">
        <f t="shared" si="240"/>
        <v>0</v>
      </c>
      <c r="F697">
        <f t="shared" si="241"/>
        <v>-315.44620715999997</v>
      </c>
      <c r="G697">
        <f t="shared" si="242"/>
        <v>-632.11672031000001</v>
      </c>
      <c r="H697">
        <f t="shared" si="243"/>
        <v>-948.78723346000004</v>
      </c>
      <c r="I697">
        <f t="shared" si="244"/>
        <v>-1265.45774661</v>
      </c>
      <c r="J697">
        <f t="shared" si="245"/>
        <v>-1582.12825976</v>
      </c>
      <c r="L697">
        <f t="shared" si="246"/>
        <v>2473098.0998</v>
      </c>
      <c r="M697">
        <f t="shared" si="247"/>
        <v>-542567476.31519997</v>
      </c>
      <c r="N697">
        <f t="shared" si="248"/>
        <v>-935532746.0588001</v>
      </c>
      <c r="O697">
        <f t="shared" si="249"/>
        <v>-1062641701.4752002</v>
      </c>
      <c r="P697">
        <f t="shared" si="250"/>
        <v>-1164221126.8811998</v>
      </c>
      <c r="Q697">
        <f t="shared" si="251"/>
        <v>-1360630303.3936</v>
      </c>
      <c r="S697">
        <f t="shared" si="252"/>
        <v>2999549.6755000004</v>
      </c>
      <c r="T697">
        <f t="shared" si="253"/>
        <v>-1371693283.0727</v>
      </c>
      <c r="U697">
        <f t="shared" si="254"/>
        <v>-1175737099.7766001</v>
      </c>
      <c r="V697">
        <f t="shared" si="255"/>
        <v>-1347277871.5132</v>
      </c>
      <c r="W697">
        <f t="shared" si="256"/>
        <v>-1733677112.8557</v>
      </c>
      <c r="X697">
        <f t="shared" si="257"/>
        <v>-1930196476.9071999</v>
      </c>
      <c r="Z697">
        <f t="shared" si="258"/>
        <v>3526001.2511999998</v>
      </c>
      <c r="AA697">
        <f t="shared" si="259"/>
        <v>-826469062.75919998</v>
      </c>
      <c r="AB697">
        <f t="shared" si="260"/>
        <v>-1415941453.4944003</v>
      </c>
      <c r="AC697">
        <f t="shared" si="261"/>
        <v>-1859622977.5816</v>
      </c>
      <c r="AD697">
        <f t="shared" si="262"/>
        <v>-2303133098.8301997</v>
      </c>
      <c r="AE697">
        <f t="shared" si="263"/>
        <v>-2499762650.4208002</v>
      </c>
    </row>
    <row r="698" spans="1:31" x14ac:dyDescent="0.25">
      <c r="A698">
        <v>39.33006056</v>
      </c>
      <c r="B698">
        <v>120.7249977</v>
      </c>
      <c r="C698">
        <v>26.389209749999999</v>
      </c>
      <c r="D698">
        <v>1.8633940200000001</v>
      </c>
      <c r="E698" t="b">
        <f t="shared" si="240"/>
        <v>0</v>
      </c>
      <c r="F698">
        <f t="shared" si="241"/>
        <v>-130.08265473</v>
      </c>
      <c r="G698">
        <f t="shared" si="242"/>
        <v>-262.02870347999999</v>
      </c>
      <c r="H698">
        <f t="shared" si="243"/>
        <v>-393.97475222999998</v>
      </c>
      <c r="I698">
        <f t="shared" si="244"/>
        <v>-525.92080097999997</v>
      </c>
      <c r="J698">
        <f t="shared" si="245"/>
        <v>-657.86684973000001</v>
      </c>
      <c r="L698">
        <f t="shared" si="246"/>
        <v>3764055.9204000002</v>
      </c>
      <c r="M698">
        <f t="shared" si="247"/>
        <v>-223742166.13560003</v>
      </c>
      <c r="N698">
        <f t="shared" si="248"/>
        <v>-387802481.15039998</v>
      </c>
      <c r="O698">
        <f t="shared" si="249"/>
        <v>-441251722.49760002</v>
      </c>
      <c r="P698">
        <f t="shared" si="250"/>
        <v>-483847136.90159994</v>
      </c>
      <c r="Q698">
        <f t="shared" si="251"/>
        <v>-565765490.76779997</v>
      </c>
      <c r="S698">
        <f t="shared" si="252"/>
        <v>4565315.3490000004</v>
      </c>
      <c r="T698">
        <f t="shared" si="253"/>
        <v>-568602286.55159998</v>
      </c>
      <c r="U698">
        <f t="shared" si="254"/>
        <v>-487373388.47279996</v>
      </c>
      <c r="V698">
        <f t="shared" si="255"/>
        <v>-559444148.16659987</v>
      </c>
      <c r="W698">
        <f t="shared" si="256"/>
        <v>-720511497.34259999</v>
      </c>
      <c r="X698">
        <f t="shared" si="257"/>
        <v>-802597556.67060006</v>
      </c>
      <c r="Z698">
        <f t="shared" si="258"/>
        <v>5366574.7775999997</v>
      </c>
      <c r="AA698">
        <f t="shared" si="259"/>
        <v>-340816555.3926</v>
      </c>
      <c r="AB698">
        <f t="shared" si="260"/>
        <v>-586944295.79519999</v>
      </c>
      <c r="AC698">
        <f t="shared" si="261"/>
        <v>-772190514.3707999</v>
      </c>
      <c r="AD698">
        <f t="shared" si="262"/>
        <v>-957175857.78359997</v>
      </c>
      <c r="AE698">
        <f t="shared" si="263"/>
        <v>-1039429622.5734</v>
      </c>
    </row>
    <row r="699" spans="1:31" x14ac:dyDescent="0.25">
      <c r="A699">
        <v>39.333663989999998</v>
      </c>
      <c r="B699">
        <v>116.6199962</v>
      </c>
      <c r="C699">
        <v>53.31973267</v>
      </c>
      <c r="D699">
        <v>7.9612717599999998</v>
      </c>
      <c r="E699" t="b">
        <f t="shared" si="240"/>
        <v>0</v>
      </c>
      <c r="F699">
        <f t="shared" si="241"/>
        <v>-258.63739158999999</v>
      </c>
      <c r="G699">
        <f t="shared" si="242"/>
        <v>-525.23605493999992</v>
      </c>
      <c r="H699">
        <f t="shared" si="243"/>
        <v>-791.83471828999996</v>
      </c>
      <c r="I699">
        <f t="shared" si="244"/>
        <v>-1058.4333816399999</v>
      </c>
      <c r="J699">
        <f t="shared" si="245"/>
        <v>-1325.03204499</v>
      </c>
      <c r="L699">
        <f t="shared" si="246"/>
        <v>16081768.9552</v>
      </c>
      <c r="M699">
        <f t="shared" si="247"/>
        <v>-444856313.53480005</v>
      </c>
      <c r="N699">
        <f t="shared" si="248"/>
        <v>-777349361.3111999</v>
      </c>
      <c r="O699">
        <f t="shared" si="249"/>
        <v>-886854884.4848001</v>
      </c>
      <c r="P699">
        <f t="shared" si="250"/>
        <v>-973758711.10879982</v>
      </c>
      <c r="Q699">
        <f t="shared" si="251"/>
        <v>-1139527558.6914001</v>
      </c>
      <c r="S699">
        <f t="shared" si="252"/>
        <v>19505115.812000003</v>
      </c>
      <c r="T699">
        <f t="shared" si="253"/>
        <v>-1139762239.2197998</v>
      </c>
      <c r="U699">
        <f t="shared" si="254"/>
        <v>-976939062.18839979</v>
      </c>
      <c r="V699">
        <f t="shared" si="255"/>
        <v>-1124405299.9717999</v>
      </c>
      <c r="W699">
        <f t="shared" si="256"/>
        <v>-1450053732.8467999</v>
      </c>
      <c r="X699">
        <f t="shared" si="257"/>
        <v>-1616539094.8878</v>
      </c>
      <c r="Z699">
        <f t="shared" si="258"/>
        <v>22928462.6688</v>
      </c>
      <c r="AA699">
        <f t="shared" si="259"/>
        <v>-677629965.96580005</v>
      </c>
      <c r="AB699">
        <f t="shared" si="260"/>
        <v>-1176528763.0655999</v>
      </c>
      <c r="AC699">
        <f t="shared" si="261"/>
        <v>-1551996047.8483999</v>
      </c>
      <c r="AD699">
        <f t="shared" si="262"/>
        <v>-1926348754.5847998</v>
      </c>
      <c r="AE699">
        <f t="shared" si="263"/>
        <v>-2093550631.0842001</v>
      </c>
    </row>
    <row r="700" spans="1:31" x14ac:dyDescent="0.25">
      <c r="A700">
        <v>39.340891390000003</v>
      </c>
      <c r="B700">
        <v>118.52246890000001</v>
      </c>
      <c r="C700">
        <v>0</v>
      </c>
      <c r="D700">
        <v>0.17120899000000001</v>
      </c>
      <c r="E700" t="b">
        <f t="shared" si="240"/>
        <v>1</v>
      </c>
      <c r="F700">
        <f t="shared" si="241"/>
        <v>0.17120899000000001</v>
      </c>
      <c r="G700">
        <f t="shared" si="242"/>
        <v>0.17120899000000001</v>
      </c>
      <c r="H700">
        <f t="shared" si="243"/>
        <v>0.17120899000000001</v>
      </c>
      <c r="I700">
        <f t="shared" si="244"/>
        <v>0.17120899000000001</v>
      </c>
      <c r="J700">
        <f t="shared" si="245"/>
        <v>0.17120899000000001</v>
      </c>
      <c r="L700">
        <f t="shared" si="246"/>
        <v>0</v>
      </c>
      <c r="M700">
        <f t="shared" si="247"/>
        <v>0</v>
      </c>
      <c r="N700">
        <f t="shared" si="248"/>
        <v>0</v>
      </c>
      <c r="O700">
        <f t="shared" si="249"/>
        <v>0</v>
      </c>
      <c r="P700">
        <f t="shared" si="250"/>
        <v>0</v>
      </c>
      <c r="Q700">
        <f t="shared" si="251"/>
        <v>0</v>
      </c>
      <c r="S700">
        <f t="shared" si="252"/>
        <v>0</v>
      </c>
      <c r="T700">
        <f t="shared" si="253"/>
        <v>0</v>
      </c>
      <c r="U700">
        <f t="shared" si="254"/>
        <v>0</v>
      </c>
      <c r="V700">
        <f t="shared" si="255"/>
        <v>0</v>
      </c>
      <c r="W700">
        <f t="shared" si="256"/>
        <v>0</v>
      </c>
      <c r="X700">
        <f t="shared" si="257"/>
        <v>0</v>
      </c>
      <c r="Z700">
        <f t="shared" si="258"/>
        <v>0</v>
      </c>
      <c r="AA700">
        <f t="shared" si="259"/>
        <v>0</v>
      </c>
      <c r="AB700">
        <f t="shared" si="260"/>
        <v>0</v>
      </c>
      <c r="AC700">
        <f t="shared" si="261"/>
        <v>0</v>
      </c>
      <c r="AD700">
        <f t="shared" si="262"/>
        <v>0</v>
      </c>
      <c r="AE700">
        <f t="shared" si="263"/>
        <v>0</v>
      </c>
    </row>
    <row r="701" spans="1:31" x14ac:dyDescent="0.25">
      <c r="A701">
        <v>39.348578070000002</v>
      </c>
      <c r="B701">
        <v>116.4440536</v>
      </c>
      <c r="C701">
        <v>53.31973267</v>
      </c>
      <c r="D701">
        <v>0.36423298999999998</v>
      </c>
      <c r="E701" t="b">
        <f t="shared" si="240"/>
        <v>0</v>
      </c>
      <c r="F701">
        <f t="shared" si="241"/>
        <v>-266.23443035999998</v>
      </c>
      <c r="G701">
        <f t="shared" si="242"/>
        <v>-532.83309370999996</v>
      </c>
      <c r="H701">
        <f t="shared" si="243"/>
        <v>-799.43175706</v>
      </c>
      <c r="I701">
        <f t="shared" si="244"/>
        <v>-1066.03042041</v>
      </c>
      <c r="J701">
        <f t="shared" si="245"/>
        <v>-1332.6290837600002</v>
      </c>
      <c r="L701">
        <f t="shared" si="246"/>
        <v>735750.6398</v>
      </c>
      <c r="M701">
        <f t="shared" si="247"/>
        <v>-457923220.21920002</v>
      </c>
      <c r="N701">
        <f t="shared" si="248"/>
        <v>-788592978.69079995</v>
      </c>
      <c r="O701">
        <f t="shared" si="249"/>
        <v>-895363567.90719998</v>
      </c>
      <c r="P701">
        <f t="shared" si="250"/>
        <v>-980747986.77719998</v>
      </c>
      <c r="Q701">
        <f t="shared" si="251"/>
        <v>-1146061012.0336001</v>
      </c>
      <c r="S701">
        <f t="shared" si="252"/>
        <v>892370.82550000004</v>
      </c>
      <c r="T701">
        <f t="shared" si="253"/>
        <v>-1156247813.3506999</v>
      </c>
      <c r="U701">
        <f t="shared" si="254"/>
        <v>-991069554.30059993</v>
      </c>
      <c r="V701">
        <f t="shared" si="255"/>
        <v>-1135193095.0251999</v>
      </c>
      <c r="W701">
        <f t="shared" si="256"/>
        <v>-1460461675.9617002</v>
      </c>
      <c r="X701">
        <f t="shared" si="257"/>
        <v>-1625807482.1872003</v>
      </c>
      <c r="Z701">
        <f t="shared" si="258"/>
        <v>1048991.0111999998</v>
      </c>
      <c r="AA701">
        <f t="shared" si="259"/>
        <v>-697534207.54320002</v>
      </c>
      <c r="AB701">
        <f t="shared" si="260"/>
        <v>-1193546129.9104002</v>
      </c>
      <c r="AC701">
        <f t="shared" si="261"/>
        <v>-1566886243.8375998</v>
      </c>
      <c r="AD701">
        <f t="shared" si="262"/>
        <v>-1940175365.1462002</v>
      </c>
      <c r="AE701">
        <f t="shared" si="263"/>
        <v>-2105553952.3408005</v>
      </c>
    </row>
    <row r="702" spans="1:31" x14ac:dyDescent="0.25">
      <c r="A702">
        <v>39.352747520000001</v>
      </c>
      <c r="B702">
        <v>120.132813</v>
      </c>
      <c r="C702">
        <v>63.334102629999997</v>
      </c>
      <c r="D702">
        <v>1.22430599</v>
      </c>
      <c r="E702" t="b">
        <f t="shared" si="240"/>
        <v>0</v>
      </c>
      <c r="F702">
        <f t="shared" si="241"/>
        <v>-315.44620715999997</v>
      </c>
      <c r="G702">
        <f t="shared" si="242"/>
        <v>-632.11672031000001</v>
      </c>
      <c r="H702">
        <f t="shared" si="243"/>
        <v>-948.78723346000004</v>
      </c>
      <c r="I702">
        <f t="shared" si="244"/>
        <v>-1265.45774661</v>
      </c>
      <c r="J702">
        <f t="shared" si="245"/>
        <v>-1582.12825976</v>
      </c>
      <c r="L702">
        <f t="shared" si="246"/>
        <v>2473098.0998</v>
      </c>
      <c r="M702">
        <f t="shared" si="247"/>
        <v>-542567476.31519997</v>
      </c>
      <c r="N702">
        <f t="shared" si="248"/>
        <v>-935532746.0588001</v>
      </c>
      <c r="O702">
        <f t="shared" si="249"/>
        <v>-1062641701.4752002</v>
      </c>
      <c r="P702">
        <f t="shared" si="250"/>
        <v>-1164221126.8811998</v>
      </c>
      <c r="Q702">
        <f t="shared" si="251"/>
        <v>-1360630303.3936</v>
      </c>
      <c r="S702">
        <f t="shared" si="252"/>
        <v>2999549.6755000004</v>
      </c>
      <c r="T702">
        <f t="shared" si="253"/>
        <v>-1371693283.0727</v>
      </c>
      <c r="U702">
        <f t="shared" si="254"/>
        <v>-1175737099.7766001</v>
      </c>
      <c r="V702">
        <f t="shared" si="255"/>
        <v>-1347277871.5132</v>
      </c>
      <c r="W702">
        <f t="shared" si="256"/>
        <v>-1733677112.8557</v>
      </c>
      <c r="X702">
        <f t="shared" si="257"/>
        <v>-1930196476.9071999</v>
      </c>
      <c r="Z702">
        <f t="shared" si="258"/>
        <v>3526001.2511999998</v>
      </c>
      <c r="AA702">
        <f t="shared" si="259"/>
        <v>-826469062.75919998</v>
      </c>
      <c r="AB702">
        <f t="shared" si="260"/>
        <v>-1415941453.4944003</v>
      </c>
      <c r="AC702">
        <f t="shared" si="261"/>
        <v>-1859622977.5816</v>
      </c>
      <c r="AD702">
        <f t="shared" si="262"/>
        <v>-2303133098.8301997</v>
      </c>
      <c r="AE702">
        <f t="shared" si="263"/>
        <v>-2499762650.4208002</v>
      </c>
    </row>
    <row r="703" spans="1:31" x14ac:dyDescent="0.25">
      <c r="A703">
        <v>39.358382759999998</v>
      </c>
      <c r="B703">
        <v>116.32671999999999</v>
      </c>
      <c r="C703">
        <v>53.31973267</v>
      </c>
      <c r="D703">
        <v>3.6432991000000001</v>
      </c>
      <c r="E703" t="b">
        <f t="shared" si="240"/>
        <v>0</v>
      </c>
      <c r="F703">
        <f t="shared" si="241"/>
        <v>-262.95536425</v>
      </c>
      <c r="G703">
        <f t="shared" si="242"/>
        <v>-529.55402759999993</v>
      </c>
      <c r="H703">
        <f t="shared" si="243"/>
        <v>-796.15269094999996</v>
      </c>
      <c r="I703">
        <f t="shared" si="244"/>
        <v>-1062.7513543</v>
      </c>
      <c r="J703">
        <f t="shared" si="245"/>
        <v>-1329.3500176500002</v>
      </c>
      <c r="L703">
        <f t="shared" si="246"/>
        <v>7359464.182</v>
      </c>
      <c r="M703">
        <f t="shared" si="247"/>
        <v>-452283226.51000005</v>
      </c>
      <c r="N703">
        <f t="shared" si="248"/>
        <v>-783739960.84799981</v>
      </c>
      <c r="O703">
        <f t="shared" si="249"/>
        <v>-891691013.86399996</v>
      </c>
      <c r="P703">
        <f t="shared" si="250"/>
        <v>-977731245.95599985</v>
      </c>
      <c r="Q703">
        <f t="shared" si="251"/>
        <v>-1143241015.1790001</v>
      </c>
      <c r="S703">
        <f t="shared" si="252"/>
        <v>8926082.7950000018</v>
      </c>
      <c r="T703">
        <f t="shared" si="253"/>
        <v>-1149132239.8919997</v>
      </c>
      <c r="U703">
        <f t="shared" si="254"/>
        <v>-984970491.33599973</v>
      </c>
      <c r="V703">
        <f t="shared" si="255"/>
        <v>-1130536821.1489999</v>
      </c>
      <c r="W703">
        <f t="shared" si="256"/>
        <v>-1455969355.391</v>
      </c>
      <c r="X703">
        <f t="shared" si="257"/>
        <v>-1621807021.533</v>
      </c>
      <c r="Z703">
        <f t="shared" si="258"/>
        <v>10492701.408</v>
      </c>
      <c r="AA703">
        <f t="shared" si="259"/>
        <v>-688943054.33500004</v>
      </c>
      <c r="AB703">
        <f t="shared" si="260"/>
        <v>-1186201021.8239999</v>
      </c>
      <c r="AC703">
        <f t="shared" si="261"/>
        <v>-1560459274.2619998</v>
      </c>
      <c r="AD703">
        <f t="shared" si="262"/>
        <v>-1934207464.826</v>
      </c>
      <c r="AE703">
        <f t="shared" si="263"/>
        <v>-2100373027.8870003</v>
      </c>
    </row>
    <row r="704" spans="1:31" x14ac:dyDescent="0.25">
      <c r="A704">
        <v>39.39604293</v>
      </c>
      <c r="B704">
        <v>120.558864</v>
      </c>
      <c r="C704">
        <v>68.169960020000005</v>
      </c>
      <c r="D704">
        <v>1.7140289500000001</v>
      </c>
      <c r="E704" t="b">
        <f t="shared" si="240"/>
        <v>0</v>
      </c>
      <c r="F704">
        <f t="shared" si="241"/>
        <v>-339.13577115000004</v>
      </c>
      <c r="G704">
        <f t="shared" si="242"/>
        <v>-679.98557125000002</v>
      </c>
      <c r="H704">
        <f t="shared" si="243"/>
        <v>-1020.8353713500001</v>
      </c>
      <c r="I704">
        <f t="shared" si="244"/>
        <v>-1361.6851714500001</v>
      </c>
      <c r="J704">
        <f t="shared" si="245"/>
        <v>-1702.5349715500001</v>
      </c>
      <c r="L704">
        <f t="shared" si="246"/>
        <v>3462338.4790000003</v>
      </c>
      <c r="M704">
        <f t="shared" si="247"/>
        <v>-583313526.37800014</v>
      </c>
      <c r="N704">
        <f t="shared" si="248"/>
        <v>-1006378645.4499999</v>
      </c>
      <c r="O704">
        <f t="shared" si="249"/>
        <v>-1143335615.9120002</v>
      </c>
      <c r="P704">
        <f t="shared" si="250"/>
        <v>-1252750357.734</v>
      </c>
      <c r="Q704">
        <f t="shared" si="251"/>
        <v>-1464180075.5330002</v>
      </c>
      <c r="S704">
        <f t="shared" si="252"/>
        <v>4199370.9275000012</v>
      </c>
      <c r="T704">
        <f t="shared" si="253"/>
        <v>-1475568689.6125</v>
      </c>
      <c r="U704">
        <f t="shared" si="254"/>
        <v>-1264773162.5249999</v>
      </c>
      <c r="V704">
        <f t="shared" si="255"/>
        <v>-1449586227.3169999</v>
      </c>
      <c r="W704">
        <f t="shared" si="256"/>
        <v>-1865508684.8865001</v>
      </c>
      <c r="X704">
        <f t="shared" si="257"/>
        <v>-2077092665.2910001</v>
      </c>
      <c r="Z704">
        <f t="shared" si="258"/>
        <v>4936403.3760000002</v>
      </c>
      <c r="AA704">
        <f t="shared" si="259"/>
        <v>-888535720.41300011</v>
      </c>
      <c r="AB704">
        <f t="shared" si="260"/>
        <v>-1523167679.6000001</v>
      </c>
      <c r="AC704">
        <f t="shared" si="261"/>
        <v>-2000837327.846</v>
      </c>
      <c r="AD704">
        <f t="shared" si="262"/>
        <v>-2478267012.039</v>
      </c>
      <c r="AE704">
        <f t="shared" si="263"/>
        <v>-2690005255.0490003</v>
      </c>
    </row>
    <row r="705" spans="1:31" x14ac:dyDescent="0.25">
      <c r="A705">
        <v>39.448182090000003</v>
      </c>
      <c r="B705">
        <v>120.5092968</v>
      </c>
      <c r="C705">
        <v>66.620788570000002</v>
      </c>
      <c r="D705">
        <v>6.1215319600000004</v>
      </c>
      <c r="E705" t="b">
        <f t="shared" si="240"/>
        <v>0</v>
      </c>
      <c r="F705">
        <f t="shared" si="241"/>
        <v>-326.98241088999998</v>
      </c>
      <c r="G705">
        <f t="shared" si="242"/>
        <v>-660.08635374000005</v>
      </c>
      <c r="H705">
        <f t="shared" si="243"/>
        <v>-993.19029659</v>
      </c>
      <c r="I705">
        <f t="shared" si="244"/>
        <v>-1326.29423944</v>
      </c>
      <c r="J705">
        <f t="shared" si="245"/>
        <v>-1659.39818229</v>
      </c>
      <c r="L705">
        <f t="shared" si="246"/>
        <v>12365494.559200002</v>
      </c>
      <c r="M705">
        <f t="shared" si="247"/>
        <v>-562409746.73080003</v>
      </c>
      <c r="N705">
        <f t="shared" si="248"/>
        <v>-976927803.5352</v>
      </c>
      <c r="O705">
        <f t="shared" si="249"/>
        <v>-1112373132.1808002</v>
      </c>
      <c r="P705">
        <f t="shared" si="250"/>
        <v>-1220190700.2848001</v>
      </c>
      <c r="Q705">
        <f t="shared" si="251"/>
        <v>-1427082436.7693999</v>
      </c>
      <c r="S705">
        <f t="shared" si="252"/>
        <v>14997753.302000003</v>
      </c>
      <c r="T705">
        <f t="shared" si="253"/>
        <v>-1432387387.6157999</v>
      </c>
      <c r="U705">
        <f t="shared" si="254"/>
        <v>-1227760617.9563999</v>
      </c>
      <c r="V705">
        <f t="shared" si="255"/>
        <v>-1410330221.1578</v>
      </c>
      <c r="W705">
        <f t="shared" si="256"/>
        <v>-1817023108.0328002</v>
      </c>
      <c r="X705">
        <f t="shared" si="257"/>
        <v>-2024465782.3938</v>
      </c>
      <c r="Z705">
        <f t="shared" si="258"/>
        <v>17630012.044800002</v>
      </c>
      <c r="AA705">
        <f t="shared" si="259"/>
        <v>-856693916.53180003</v>
      </c>
      <c r="AB705">
        <f t="shared" si="260"/>
        <v>-1478593432.3776002</v>
      </c>
      <c r="AC705">
        <f t="shared" si="261"/>
        <v>-1946652981.3164001</v>
      </c>
      <c r="AD705">
        <f t="shared" si="262"/>
        <v>-2413855515.7808003</v>
      </c>
      <c r="AE705">
        <f t="shared" si="263"/>
        <v>-2621849128.0181999</v>
      </c>
    </row>
    <row r="706" spans="1:31" x14ac:dyDescent="0.25">
      <c r="A706">
        <v>39.449476449999999</v>
      </c>
      <c r="B706">
        <v>116.3392939</v>
      </c>
      <c r="C706">
        <v>53.31973267</v>
      </c>
      <c r="D706">
        <v>9.5043000000000002E-2</v>
      </c>
      <c r="E706" t="b">
        <f t="shared" si="240"/>
        <v>0</v>
      </c>
      <c r="F706">
        <f t="shared" si="241"/>
        <v>-266.50362035000001</v>
      </c>
      <c r="G706">
        <f t="shared" si="242"/>
        <v>-533.10228369999993</v>
      </c>
      <c r="H706">
        <f t="shared" si="243"/>
        <v>-799.70094704999997</v>
      </c>
      <c r="I706">
        <f t="shared" si="244"/>
        <v>-1066.2996103999999</v>
      </c>
      <c r="J706">
        <f t="shared" si="245"/>
        <v>-1332.89827375</v>
      </c>
      <c r="L706">
        <f t="shared" si="246"/>
        <v>191986.86000000002</v>
      </c>
      <c r="M706">
        <f t="shared" si="247"/>
        <v>-458386227.00200003</v>
      </c>
      <c r="N706">
        <f t="shared" si="248"/>
        <v>-788991379.87599993</v>
      </c>
      <c r="O706">
        <f t="shared" si="249"/>
        <v>-895665060.69599998</v>
      </c>
      <c r="P706">
        <f t="shared" si="250"/>
        <v>-980995641.56799984</v>
      </c>
      <c r="Q706">
        <f t="shared" si="251"/>
        <v>-1146292515.425</v>
      </c>
      <c r="S706">
        <f t="shared" si="252"/>
        <v>232855.35</v>
      </c>
      <c r="T706">
        <f t="shared" si="253"/>
        <v>-1156831955.6289997</v>
      </c>
      <c r="U706">
        <f t="shared" si="254"/>
        <v>-991570247.6819998</v>
      </c>
      <c r="V706">
        <f t="shared" si="255"/>
        <v>-1135575344.8109999</v>
      </c>
      <c r="W706">
        <f t="shared" si="256"/>
        <v>-1460830466.2479999</v>
      </c>
      <c r="X706">
        <f t="shared" si="257"/>
        <v>-1626135893.9749999</v>
      </c>
      <c r="Z706">
        <f t="shared" si="258"/>
        <v>273723.83999999997</v>
      </c>
      <c r="AA706">
        <f t="shared" si="259"/>
        <v>-698239485.31700003</v>
      </c>
      <c r="AB706">
        <f t="shared" si="260"/>
        <v>-1194149115.4879999</v>
      </c>
      <c r="AC706">
        <f t="shared" si="261"/>
        <v>-1567413856.2179999</v>
      </c>
      <c r="AD706">
        <f t="shared" si="262"/>
        <v>-1940665290.9279997</v>
      </c>
      <c r="AE706">
        <f t="shared" si="263"/>
        <v>-2105979272.5250001</v>
      </c>
    </row>
    <row r="707" spans="1:31" x14ac:dyDescent="0.25">
      <c r="A707">
        <v>39.490122569999997</v>
      </c>
      <c r="B707">
        <v>116.4043686</v>
      </c>
      <c r="C707">
        <v>53.31973267</v>
      </c>
      <c r="D707">
        <v>0.33725699999999997</v>
      </c>
      <c r="E707" t="b">
        <f t="shared" ref="E707:E770" si="264">D707&gt;C707</f>
        <v>0</v>
      </c>
      <c r="F707">
        <f t="shared" ref="F707:F770" si="265">D707-(C707*(2030-2025))</f>
        <v>-266.26140634999996</v>
      </c>
      <c r="G707">
        <f t="shared" ref="G707:G770" si="266">D707-(C707*(2035-2025))</f>
        <v>-532.86006969999994</v>
      </c>
      <c r="H707">
        <f t="shared" ref="H707:H770" si="267">D707-(C707*(2040-2025))</f>
        <v>-799.45873304999998</v>
      </c>
      <c r="I707">
        <f t="shared" ref="I707:I770" si="268">D707-(C707*(2045-2025))</f>
        <v>-1066.0573964</v>
      </c>
      <c r="J707">
        <f t="shared" ref="J707:J770" si="269">D707-(C707*(2050-2025))</f>
        <v>-1332.6560597500002</v>
      </c>
      <c r="L707">
        <f t="shared" ref="L707:L770" si="270">MIN(C707,D707)*1000000*((280/250)+0.9)</f>
        <v>681259.14</v>
      </c>
      <c r="M707">
        <f t="shared" ref="M707:M770" si="271">MIN(C707,F707)*1000000*((230/250)+0.8)</f>
        <v>-457969618.92199999</v>
      </c>
      <c r="N707">
        <f t="shared" ref="N707:N770" si="272">MIN(C707,G707)*1000000*((195/250)+0.7)</f>
        <v>-788632903.1559999</v>
      </c>
      <c r="O707">
        <f t="shared" ref="O707:O770" si="273">MIN(C707,H707)*1000000*((130/250)+0.6)</f>
        <v>-895393781.01600003</v>
      </c>
      <c r="P707">
        <f t="shared" ref="P707:P770" si="274">MIN(C707,I707)*1000000*((105/250)+0.5)</f>
        <v>-980772804.68799984</v>
      </c>
      <c r="Q707">
        <f t="shared" ref="Q707:Q770" si="275">MIN(C707,J707)*1000000*((90/250)+0.5)</f>
        <v>-1146084211.3850002</v>
      </c>
      <c r="S707">
        <f t="shared" ref="S707:S770" si="276">MIN(C707,D707)*1000000*((325/250)+1.15)</f>
        <v>826279.65</v>
      </c>
      <c r="T707">
        <f t="shared" ref="T707:T770" si="277">MIN(C707,G707)*1000000*((280/250)+1.05)</f>
        <v>-1156306351.2489998</v>
      </c>
      <c r="U707">
        <f t="shared" ref="U707:U770" si="278">MIN(C707,G707)*1000000*((227.5/250)+0.95)</f>
        <v>-991119729.64199984</v>
      </c>
      <c r="V707">
        <f t="shared" ref="V707:V770" si="279">MIN(C707,H707)*1000000*((142.5/250)+0.85)</f>
        <v>-1135231400.931</v>
      </c>
      <c r="W707">
        <f t="shared" ref="W707:W770" si="280">MIN(C707,I707)*1000000*((142.5/250)+0.8)</f>
        <v>-1460498633.0680001</v>
      </c>
      <c r="X707">
        <f t="shared" ref="X707:X770" si="281">MIN(C707,J707)*1000000*((117.5/250)+0.75)</f>
        <v>-1625840392.8950002</v>
      </c>
      <c r="Z707">
        <f t="shared" ref="Z707:Z770" si="282">MIN(C707,D707)*1000000*((370/250)+1.4)</f>
        <v>971300.15999999992</v>
      </c>
      <c r="AA707">
        <f t="shared" ref="AA707:AA770" si="283">MIN(C707,F707)*1000000*((330/250)+1.3)</f>
        <v>-697604884.63699996</v>
      </c>
      <c r="AB707">
        <f t="shared" ref="AB707:AB770" si="284">MIN(C707,G707)*1000000*((260/250)+1.2)</f>
        <v>-1193606556.128</v>
      </c>
      <c r="AC707">
        <f t="shared" ref="AC707:AC770" si="285">MIN(C707,H707)*1000000*((215/250)+1.1)</f>
        <v>-1566939116.7779999</v>
      </c>
      <c r="AD707">
        <f t="shared" ref="AD707:AD770" si="286">MIN(C707,I707)*1000000*((180/250)+1.1)</f>
        <v>-1940224461.448</v>
      </c>
      <c r="AE707">
        <f t="shared" ref="AE707:AE770" si="287">MIN(C707,J707)*1000000*((145/250)+1)</f>
        <v>-2105596574.4050004</v>
      </c>
    </row>
    <row r="708" spans="1:31" x14ac:dyDescent="0.25">
      <c r="A708">
        <v>39.531903010000001</v>
      </c>
      <c r="B708">
        <v>120.58543400000001</v>
      </c>
      <c r="C708">
        <v>19.561555859999999</v>
      </c>
      <c r="D708">
        <v>13.37187481</v>
      </c>
      <c r="E708" t="b">
        <f t="shared" si="264"/>
        <v>0</v>
      </c>
      <c r="F708">
        <f t="shared" si="265"/>
        <v>-84.435904489999999</v>
      </c>
      <c r="G708">
        <f t="shared" si="266"/>
        <v>-182.24368378999998</v>
      </c>
      <c r="H708">
        <f t="shared" si="267"/>
        <v>-280.05146308999997</v>
      </c>
      <c r="I708">
        <f t="shared" si="268"/>
        <v>-377.85924238999996</v>
      </c>
      <c r="J708">
        <f t="shared" si="269"/>
        <v>-475.66702168999996</v>
      </c>
      <c r="L708">
        <f t="shared" si="270"/>
        <v>27011187.116199996</v>
      </c>
      <c r="M708">
        <f t="shared" si="271"/>
        <v>-145229755.72280002</v>
      </c>
      <c r="N708">
        <f t="shared" si="272"/>
        <v>-269720652.00919998</v>
      </c>
      <c r="O708">
        <f t="shared" si="273"/>
        <v>-313657638.66079998</v>
      </c>
      <c r="P708">
        <f t="shared" si="274"/>
        <v>-347630502.99879998</v>
      </c>
      <c r="Q708">
        <f t="shared" si="275"/>
        <v>-409073638.65339994</v>
      </c>
      <c r="S708">
        <f t="shared" si="276"/>
        <v>32761093.284499999</v>
      </c>
      <c r="T708">
        <f t="shared" si="277"/>
        <v>-395468793.82429999</v>
      </c>
      <c r="U708">
        <f t="shared" si="278"/>
        <v>-338973251.84939998</v>
      </c>
      <c r="V708">
        <f t="shared" si="279"/>
        <v>-397673077.58779997</v>
      </c>
      <c r="W708">
        <f t="shared" si="280"/>
        <v>-517667162.07429999</v>
      </c>
      <c r="X708">
        <f t="shared" si="281"/>
        <v>-580313766.46179986</v>
      </c>
      <c r="Z708">
        <f t="shared" si="282"/>
        <v>38510999.452799998</v>
      </c>
      <c r="AA708">
        <f t="shared" si="283"/>
        <v>-221222069.7638</v>
      </c>
      <c r="AB708">
        <f t="shared" si="284"/>
        <v>-408225851.68959999</v>
      </c>
      <c r="AC708">
        <f t="shared" si="285"/>
        <v>-548900867.65639997</v>
      </c>
      <c r="AD708">
        <f t="shared" si="286"/>
        <v>-687703821.14979994</v>
      </c>
      <c r="AE708">
        <f t="shared" si="287"/>
        <v>-751553894.27019989</v>
      </c>
    </row>
    <row r="709" spans="1:31" x14ac:dyDescent="0.25">
      <c r="A709">
        <v>39.54610478</v>
      </c>
      <c r="B709">
        <v>116.828768</v>
      </c>
      <c r="C709">
        <v>53.31973267</v>
      </c>
      <c r="D709">
        <v>1.6641390300000001</v>
      </c>
      <c r="E709" t="b">
        <f t="shared" si="264"/>
        <v>0</v>
      </c>
      <c r="F709">
        <f t="shared" si="265"/>
        <v>-264.93452431999998</v>
      </c>
      <c r="G709">
        <f t="shared" si="266"/>
        <v>-531.53318766999996</v>
      </c>
      <c r="H709">
        <f t="shared" si="267"/>
        <v>-798.13185102</v>
      </c>
      <c r="I709">
        <f t="shared" si="268"/>
        <v>-1064.73051437</v>
      </c>
      <c r="J709">
        <f t="shared" si="269"/>
        <v>-1331.3291777200002</v>
      </c>
      <c r="L709">
        <f t="shared" si="270"/>
        <v>3361560.8406000002</v>
      </c>
      <c r="M709">
        <f t="shared" si="271"/>
        <v>-455687381.83040005</v>
      </c>
      <c r="N709">
        <f t="shared" si="272"/>
        <v>-786669117.75159991</v>
      </c>
      <c r="O709">
        <f t="shared" si="273"/>
        <v>-893907673.14240003</v>
      </c>
      <c r="P709">
        <f t="shared" si="274"/>
        <v>-979552073.22039998</v>
      </c>
      <c r="Q709">
        <f t="shared" si="275"/>
        <v>-1144943092.8392003</v>
      </c>
      <c r="S709">
        <f t="shared" si="276"/>
        <v>4077140.6235000002</v>
      </c>
      <c r="T709">
        <f t="shared" si="277"/>
        <v>-1153427017.2438998</v>
      </c>
      <c r="U709">
        <f t="shared" si="278"/>
        <v>-988651729.0661999</v>
      </c>
      <c r="V709">
        <f t="shared" si="279"/>
        <v>-1133347228.4484</v>
      </c>
      <c r="W709">
        <f t="shared" si="280"/>
        <v>-1458680804.6869001</v>
      </c>
      <c r="X709">
        <f t="shared" si="281"/>
        <v>-1624221596.8184004</v>
      </c>
      <c r="Z709">
        <f t="shared" si="282"/>
        <v>4792720.4063999997</v>
      </c>
      <c r="AA709">
        <f t="shared" si="283"/>
        <v>-694128453.7184</v>
      </c>
      <c r="AB709">
        <f t="shared" si="284"/>
        <v>-1190634340.3808</v>
      </c>
      <c r="AC709">
        <f t="shared" si="285"/>
        <v>-1564338427.9991999</v>
      </c>
      <c r="AD709">
        <f t="shared" si="286"/>
        <v>-1937809536.1534002</v>
      </c>
      <c r="AE709">
        <f t="shared" si="287"/>
        <v>-2103500100.7976005</v>
      </c>
    </row>
    <row r="710" spans="1:31" x14ac:dyDescent="0.25">
      <c r="A710">
        <v>39.594728830000001</v>
      </c>
      <c r="B710">
        <v>120.8372974</v>
      </c>
      <c r="C710">
        <v>21.840236659999999</v>
      </c>
      <c r="D710">
        <v>6.1214999999999999E-2</v>
      </c>
      <c r="E710" t="b">
        <f t="shared" si="264"/>
        <v>0</v>
      </c>
      <c r="F710">
        <f t="shared" si="265"/>
        <v>-109.13996829999999</v>
      </c>
      <c r="G710">
        <f t="shared" si="266"/>
        <v>-218.34115159999999</v>
      </c>
      <c r="H710">
        <f t="shared" si="267"/>
        <v>-327.54233489999996</v>
      </c>
      <c r="I710">
        <f t="shared" si="268"/>
        <v>-436.74351819999998</v>
      </c>
      <c r="J710">
        <f t="shared" si="269"/>
        <v>-545.94470150000006</v>
      </c>
      <c r="L710">
        <f t="shared" si="270"/>
        <v>123654.3</v>
      </c>
      <c r="M710">
        <f t="shared" si="271"/>
        <v>-187720745.47600001</v>
      </c>
      <c r="N710">
        <f t="shared" si="272"/>
        <v>-323144904.36799997</v>
      </c>
      <c r="O710">
        <f t="shared" si="273"/>
        <v>-366847415.088</v>
      </c>
      <c r="P710">
        <f t="shared" si="274"/>
        <v>-401804036.74399996</v>
      </c>
      <c r="Q710">
        <f t="shared" si="275"/>
        <v>-469512443.29000008</v>
      </c>
      <c r="S710">
        <f t="shared" si="276"/>
        <v>149976.75</v>
      </c>
      <c r="T710">
        <f t="shared" si="277"/>
        <v>-473800298.97199994</v>
      </c>
      <c r="U710">
        <f t="shared" si="278"/>
        <v>-406114541.97599995</v>
      </c>
      <c r="V710">
        <f t="shared" si="279"/>
        <v>-465110115.55799997</v>
      </c>
      <c r="W710">
        <f t="shared" si="280"/>
        <v>-598338619.93400002</v>
      </c>
      <c r="X710">
        <f t="shared" si="281"/>
        <v>-666052535.83000016</v>
      </c>
      <c r="Z710">
        <f t="shared" si="282"/>
        <v>176299.19999999998</v>
      </c>
      <c r="AA710">
        <f t="shared" si="283"/>
        <v>-285946716.94599998</v>
      </c>
      <c r="AB710">
        <f t="shared" si="284"/>
        <v>-489084179.58400005</v>
      </c>
      <c r="AC710">
        <f t="shared" si="285"/>
        <v>-641982976.40399992</v>
      </c>
      <c r="AD710">
        <f t="shared" si="286"/>
        <v>-794873203.12399995</v>
      </c>
      <c r="AE710">
        <f t="shared" si="287"/>
        <v>-862592628.37000024</v>
      </c>
    </row>
    <row r="711" spans="1:31" x14ac:dyDescent="0.25">
      <c r="A711">
        <v>39.606829949999998</v>
      </c>
      <c r="B711">
        <v>116.6588666</v>
      </c>
      <c r="C711">
        <v>0</v>
      </c>
      <c r="D711">
        <v>0.48892598999999998</v>
      </c>
      <c r="E711" t="b">
        <f t="shared" si="264"/>
        <v>1</v>
      </c>
      <c r="F711">
        <f t="shared" si="265"/>
        <v>0.48892598999999998</v>
      </c>
      <c r="G711">
        <f t="shared" si="266"/>
        <v>0.48892598999999998</v>
      </c>
      <c r="H711">
        <f t="shared" si="267"/>
        <v>0.48892598999999998</v>
      </c>
      <c r="I711">
        <f t="shared" si="268"/>
        <v>0.48892598999999998</v>
      </c>
      <c r="J711">
        <f t="shared" si="269"/>
        <v>0.48892598999999998</v>
      </c>
      <c r="L711">
        <f t="shared" si="270"/>
        <v>0</v>
      </c>
      <c r="M711">
        <f t="shared" si="271"/>
        <v>0</v>
      </c>
      <c r="N711">
        <f t="shared" si="272"/>
        <v>0</v>
      </c>
      <c r="O711">
        <f t="shared" si="273"/>
        <v>0</v>
      </c>
      <c r="P711">
        <f t="shared" si="274"/>
        <v>0</v>
      </c>
      <c r="Q711">
        <f t="shared" si="275"/>
        <v>0</v>
      </c>
      <c r="S711">
        <f t="shared" si="276"/>
        <v>0</v>
      </c>
      <c r="T711">
        <f t="shared" si="277"/>
        <v>0</v>
      </c>
      <c r="U711">
        <f t="shared" si="278"/>
        <v>0</v>
      </c>
      <c r="V711">
        <f t="shared" si="279"/>
        <v>0</v>
      </c>
      <c r="W711">
        <f t="shared" si="280"/>
        <v>0</v>
      </c>
      <c r="X711">
        <f t="shared" si="281"/>
        <v>0</v>
      </c>
      <c r="Z711">
        <f t="shared" si="282"/>
        <v>0</v>
      </c>
      <c r="AA711">
        <f t="shared" si="283"/>
        <v>0</v>
      </c>
      <c r="AB711">
        <f t="shared" si="284"/>
        <v>0</v>
      </c>
      <c r="AC711">
        <f t="shared" si="285"/>
        <v>0</v>
      </c>
      <c r="AD711">
        <f t="shared" si="286"/>
        <v>0</v>
      </c>
      <c r="AE711">
        <f t="shared" si="287"/>
        <v>0</v>
      </c>
    </row>
    <row r="712" spans="1:31" x14ac:dyDescent="0.25">
      <c r="A712">
        <v>39.629325680000001</v>
      </c>
      <c r="B712">
        <v>120.54464969999999</v>
      </c>
      <c r="C712">
        <v>11.146034240000001</v>
      </c>
      <c r="D712">
        <v>1.83645999</v>
      </c>
      <c r="E712" t="b">
        <f t="shared" si="264"/>
        <v>0</v>
      </c>
      <c r="F712">
        <f t="shared" si="265"/>
        <v>-53.893711209999999</v>
      </c>
      <c r="G712">
        <f t="shared" si="266"/>
        <v>-109.62388241000001</v>
      </c>
      <c r="H712">
        <f t="shared" si="267"/>
        <v>-165.35405360999999</v>
      </c>
      <c r="I712">
        <f t="shared" si="268"/>
        <v>-221.08422480999999</v>
      </c>
      <c r="J712">
        <f t="shared" si="269"/>
        <v>-276.81439601000005</v>
      </c>
      <c r="L712">
        <f t="shared" si="270"/>
        <v>3709649.1798</v>
      </c>
      <c r="M712">
        <f t="shared" si="271"/>
        <v>-92697183.281200007</v>
      </c>
      <c r="N712">
        <f t="shared" si="272"/>
        <v>-162243345.9668</v>
      </c>
      <c r="O712">
        <f t="shared" si="273"/>
        <v>-185196540.04319999</v>
      </c>
      <c r="P712">
        <f t="shared" si="274"/>
        <v>-203397486.82519999</v>
      </c>
      <c r="Q712">
        <f t="shared" si="275"/>
        <v>-238060380.56860003</v>
      </c>
      <c r="S712">
        <f t="shared" si="276"/>
        <v>4499326.9755000006</v>
      </c>
      <c r="T712">
        <f t="shared" si="277"/>
        <v>-237883824.82970002</v>
      </c>
      <c r="U712">
        <f t="shared" si="278"/>
        <v>-203900421.28260002</v>
      </c>
      <c r="V712">
        <f t="shared" si="279"/>
        <v>-234802756.12619996</v>
      </c>
      <c r="W712">
        <f t="shared" si="280"/>
        <v>-302885387.98970002</v>
      </c>
      <c r="X712">
        <f t="shared" si="281"/>
        <v>-337713563.13220006</v>
      </c>
      <c r="Z712">
        <f t="shared" si="282"/>
        <v>5289004.7711999994</v>
      </c>
      <c r="AA712">
        <f t="shared" si="283"/>
        <v>-141201523.37020001</v>
      </c>
      <c r="AB712">
        <f t="shared" si="284"/>
        <v>-245557496.59840006</v>
      </c>
      <c r="AC712">
        <f t="shared" si="285"/>
        <v>-324093945.07559997</v>
      </c>
      <c r="AD712">
        <f t="shared" si="286"/>
        <v>-402373289.15420002</v>
      </c>
      <c r="AE712">
        <f t="shared" si="287"/>
        <v>-437366745.69580013</v>
      </c>
    </row>
    <row r="713" spans="1:31" x14ac:dyDescent="0.25">
      <c r="A713">
        <v>39.63712658</v>
      </c>
      <c r="B713">
        <v>116.84198379999999</v>
      </c>
      <c r="C713">
        <v>0</v>
      </c>
      <c r="D713">
        <v>0.11121200000000001</v>
      </c>
      <c r="E713" t="b">
        <f t="shared" si="264"/>
        <v>1</v>
      </c>
      <c r="F713">
        <f t="shared" si="265"/>
        <v>0.11121200000000001</v>
      </c>
      <c r="G713">
        <f t="shared" si="266"/>
        <v>0.11121200000000001</v>
      </c>
      <c r="H713">
        <f t="shared" si="267"/>
        <v>0.11121200000000001</v>
      </c>
      <c r="I713">
        <f t="shared" si="268"/>
        <v>0.11121200000000001</v>
      </c>
      <c r="J713">
        <f t="shared" si="269"/>
        <v>0.11121200000000001</v>
      </c>
      <c r="L713">
        <f t="shared" si="270"/>
        <v>0</v>
      </c>
      <c r="M713">
        <f t="shared" si="271"/>
        <v>0</v>
      </c>
      <c r="N713">
        <f t="shared" si="272"/>
        <v>0</v>
      </c>
      <c r="O713">
        <f t="shared" si="273"/>
        <v>0</v>
      </c>
      <c r="P713">
        <f t="shared" si="274"/>
        <v>0</v>
      </c>
      <c r="Q713">
        <f t="shared" si="275"/>
        <v>0</v>
      </c>
      <c r="S713">
        <f t="shared" si="276"/>
        <v>0</v>
      </c>
      <c r="T713">
        <f t="shared" si="277"/>
        <v>0</v>
      </c>
      <c r="U713">
        <f t="shared" si="278"/>
        <v>0</v>
      </c>
      <c r="V713">
        <f t="shared" si="279"/>
        <v>0</v>
      </c>
      <c r="W713">
        <f t="shared" si="280"/>
        <v>0</v>
      </c>
      <c r="X713">
        <f t="shared" si="281"/>
        <v>0</v>
      </c>
      <c r="Z713">
        <f t="shared" si="282"/>
        <v>0</v>
      </c>
      <c r="AA713">
        <f t="shared" si="283"/>
        <v>0</v>
      </c>
      <c r="AB713">
        <f t="shared" si="284"/>
        <v>0</v>
      </c>
      <c r="AC713">
        <f t="shared" si="285"/>
        <v>0</v>
      </c>
      <c r="AD713">
        <f t="shared" si="286"/>
        <v>0</v>
      </c>
      <c r="AE713">
        <f t="shared" si="287"/>
        <v>0</v>
      </c>
    </row>
    <row r="714" spans="1:31" x14ac:dyDescent="0.25">
      <c r="A714">
        <v>39.661827940000002</v>
      </c>
      <c r="B714">
        <v>75.249681910000007</v>
      </c>
      <c r="C714">
        <v>0</v>
      </c>
      <c r="D714">
        <v>0.20591499999999999</v>
      </c>
      <c r="E714" t="b">
        <f t="shared" si="264"/>
        <v>1</v>
      </c>
      <c r="F714">
        <f t="shared" si="265"/>
        <v>0.20591499999999999</v>
      </c>
      <c r="G714">
        <f t="shared" si="266"/>
        <v>0.20591499999999999</v>
      </c>
      <c r="H714">
        <f t="shared" si="267"/>
        <v>0.20591499999999999</v>
      </c>
      <c r="I714">
        <f t="shared" si="268"/>
        <v>0.20591499999999999</v>
      </c>
      <c r="J714">
        <f t="shared" si="269"/>
        <v>0.20591499999999999</v>
      </c>
      <c r="L714">
        <f t="shared" si="270"/>
        <v>0</v>
      </c>
      <c r="M714">
        <f t="shared" si="271"/>
        <v>0</v>
      </c>
      <c r="N714">
        <f t="shared" si="272"/>
        <v>0</v>
      </c>
      <c r="O714">
        <f t="shared" si="273"/>
        <v>0</v>
      </c>
      <c r="P714">
        <f t="shared" si="274"/>
        <v>0</v>
      </c>
      <c r="Q714">
        <f t="shared" si="275"/>
        <v>0</v>
      </c>
      <c r="S714">
        <f t="shared" si="276"/>
        <v>0</v>
      </c>
      <c r="T714">
        <f t="shared" si="277"/>
        <v>0</v>
      </c>
      <c r="U714">
        <f t="shared" si="278"/>
        <v>0</v>
      </c>
      <c r="V714">
        <f t="shared" si="279"/>
        <v>0</v>
      </c>
      <c r="W714">
        <f t="shared" si="280"/>
        <v>0</v>
      </c>
      <c r="X714">
        <f t="shared" si="281"/>
        <v>0</v>
      </c>
      <c r="Z714">
        <f t="shared" si="282"/>
        <v>0</v>
      </c>
      <c r="AA714">
        <f t="shared" si="283"/>
        <v>0</v>
      </c>
      <c r="AB714">
        <f t="shared" si="284"/>
        <v>0</v>
      </c>
      <c r="AC714">
        <f t="shared" si="285"/>
        <v>0</v>
      </c>
      <c r="AD714">
        <f t="shared" si="286"/>
        <v>0</v>
      </c>
      <c r="AE714">
        <f t="shared" si="287"/>
        <v>0</v>
      </c>
    </row>
    <row r="715" spans="1:31" x14ac:dyDescent="0.25">
      <c r="A715">
        <v>39.744440730000001</v>
      </c>
      <c r="B715">
        <v>120.7472094</v>
      </c>
      <c r="C715">
        <v>15.833525659999999</v>
      </c>
      <c r="D715">
        <v>13.46737003</v>
      </c>
      <c r="E715" t="b">
        <f t="shared" si="264"/>
        <v>0</v>
      </c>
      <c r="F715">
        <f t="shared" si="265"/>
        <v>-65.700258269999992</v>
      </c>
      <c r="G715">
        <f t="shared" si="266"/>
        <v>-144.86788656999997</v>
      </c>
      <c r="H715">
        <f t="shared" si="267"/>
        <v>-224.03551486999999</v>
      </c>
      <c r="I715">
        <f t="shared" si="268"/>
        <v>-303.20314316999998</v>
      </c>
      <c r="J715">
        <f t="shared" si="269"/>
        <v>-382.37077147000002</v>
      </c>
      <c r="L715">
        <f t="shared" si="270"/>
        <v>27204087.4606</v>
      </c>
      <c r="M715">
        <f t="shared" si="271"/>
        <v>-113004444.2244</v>
      </c>
      <c r="N715">
        <f t="shared" si="272"/>
        <v>-214404472.12359995</v>
      </c>
      <c r="O715">
        <f t="shared" si="273"/>
        <v>-250919776.65439999</v>
      </c>
      <c r="P715">
        <f t="shared" si="274"/>
        <v>-278946891.71639997</v>
      </c>
      <c r="Q715">
        <f t="shared" si="275"/>
        <v>-328838863.46420002</v>
      </c>
      <c r="S715">
        <f t="shared" si="276"/>
        <v>32995056.5735</v>
      </c>
      <c r="T715">
        <f t="shared" si="277"/>
        <v>-314363313.85689992</v>
      </c>
      <c r="U715">
        <f t="shared" si="278"/>
        <v>-269454269.02019989</v>
      </c>
      <c r="V715">
        <f t="shared" si="279"/>
        <v>-318130431.11539996</v>
      </c>
      <c r="W715">
        <f t="shared" si="280"/>
        <v>-415388306.14289999</v>
      </c>
      <c r="X715">
        <f t="shared" si="281"/>
        <v>-466492341.19340003</v>
      </c>
      <c r="Z715">
        <f t="shared" si="282"/>
        <v>38786025.686399996</v>
      </c>
      <c r="AA715">
        <f t="shared" si="283"/>
        <v>-172134676.66739997</v>
      </c>
      <c r="AB715">
        <f t="shared" si="284"/>
        <v>-324504065.91679996</v>
      </c>
      <c r="AC715">
        <f t="shared" si="285"/>
        <v>-439109609.14519995</v>
      </c>
      <c r="AD715">
        <f t="shared" si="286"/>
        <v>-551829720.56939995</v>
      </c>
      <c r="AE715">
        <f t="shared" si="287"/>
        <v>-604145818.92260003</v>
      </c>
    </row>
    <row r="716" spans="1:31" x14ac:dyDescent="0.25">
      <c r="A716">
        <v>39.80353968</v>
      </c>
      <c r="B716">
        <v>120.6388638</v>
      </c>
      <c r="C716">
        <v>8.9088087100000006</v>
      </c>
      <c r="D716">
        <v>26.137945179999999</v>
      </c>
      <c r="E716" t="b">
        <f t="shared" si="264"/>
        <v>1</v>
      </c>
      <c r="F716">
        <f t="shared" si="265"/>
        <v>-18.406098370000006</v>
      </c>
      <c r="G716">
        <f t="shared" si="266"/>
        <v>-62.950141920000007</v>
      </c>
      <c r="H716">
        <f t="shared" si="267"/>
        <v>-107.49418547000002</v>
      </c>
      <c r="I716">
        <f t="shared" si="268"/>
        <v>-152.03822902000002</v>
      </c>
      <c r="J716">
        <f t="shared" si="269"/>
        <v>-196.58227257000001</v>
      </c>
      <c r="L716">
        <f t="shared" si="270"/>
        <v>17995793.5942</v>
      </c>
      <c r="M716">
        <f t="shared" si="271"/>
        <v>-31658489.196400013</v>
      </c>
      <c r="N716">
        <f t="shared" si="272"/>
        <v>-93166210.041600019</v>
      </c>
      <c r="O716">
        <f t="shared" si="273"/>
        <v>-120393487.72640003</v>
      </c>
      <c r="P716">
        <f t="shared" si="274"/>
        <v>-139875170.69839999</v>
      </c>
      <c r="Q716">
        <f t="shared" si="275"/>
        <v>-169060754.41020003</v>
      </c>
      <c r="S716">
        <f t="shared" si="276"/>
        <v>21826581.339500003</v>
      </c>
      <c r="T716">
        <f t="shared" si="277"/>
        <v>-136601807.96640003</v>
      </c>
      <c r="U716">
        <f t="shared" si="278"/>
        <v>-117087263.9712</v>
      </c>
      <c r="V716">
        <f t="shared" si="279"/>
        <v>-152641743.36740002</v>
      </c>
      <c r="W716">
        <f t="shared" si="280"/>
        <v>-208292373.75740004</v>
      </c>
      <c r="X716">
        <f t="shared" si="281"/>
        <v>-239830372.53540003</v>
      </c>
      <c r="Z716">
        <f t="shared" si="282"/>
        <v>25657369.084800001</v>
      </c>
      <c r="AA716">
        <f t="shared" si="283"/>
        <v>-48223977.729400016</v>
      </c>
      <c r="AB716">
        <f t="shared" si="284"/>
        <v>-141008317.90080002</v>
      </c>
      <c r="AC716">
        <f t="shared" si="285"/>
        <v>-210688603.52120003</v>
      </c>
      <c r="AD716">
        <f t="shared" si="286"/>
        <v>-276709576.81640005</v>
      </c>
      <c r="AE716">
        <f t="shared" si="287"/>
        <v>-310599990.66060007</v>
      </c>
    </row>
    <row r="717" spans="1:31" x14ac:dyDescent="0.25">
      <c r="A717">
        <v>39.813971960000003</v>
      </c>
      <c r="B717">
        <v>120.94126559999999</v>
      </c>
      <c r="C717">
        <v>45.269817349999997</v>
      </c>
      <c r="D717">
        <v>0.48972300000000002</v>
      </c>
      <c r="E717" t="b">
        <f t="shared" si="264"/>
        <v>0</v>
      </c>
      <c r="F717">
        <f t="shared" si="265"/>
        <v>-225.85936374999997</v>
      </c>
      <c r="G717">
        <f t="shared" si="266"/>
        <v>-452.20845049999991</v>
      </c>
      <c r="H717">
        <f t="shared" si="267"/>
        <v>-678.55753724999988</v>
      </c>
      <c r="I717">
        <f t="shared" si="268"/>
        <v>-904.90662399999985</v>
      </c>
      <c r="J717">
        <f t="shared" si="269"/>
        <v>-1131.2557107499999</v>
      </c>
      <c r="L717">
        <f t="shared" si="270"/>
        <v>989240.46</v>
      </c>
      <c r="M717">
        <f t="shared" si="271"/>
        <v>-388478105.64999998</v>
      </c>
      <c r="N717">
        <f t="shared" si="272"/>
        <v>-669268506.73999989</v>
      </c>
      <c r="O717">
        <f t="shared" si="273"/>
        <v>-759984441.71999991</v>
      </c>
      <c r="P717">
        <f t="shared" si="274"/>
        <v>-832514094.0799998</v>
      </c>
      <c r="Q717">
        <f t="shared" si="275"/>
        <v>-972879911.245</v>
      </c>
      <c r="S717">
        <f t="shared" si="276"/>
        <v>1199821.3500000001</v>
      </c>
      <c r="T717">
        <f t="shared" si="277"/>
        <v>-981292337.5849998</v>
      </c>
      <c r="U717">
        <f t="shared" si="278"/>
        <v>-841107717.92999983</v>
      </c>
      <c r="V717">
        <f t="shared" si="279"/>
        <v>-963551702.89499974</v>
      </c>
      <c r="W717">
        <f t="shared" si="280"/>
        <v>-1239722074.8799999</v>
      </c>
      <c r="X717">
        <f t="shared" si="281"/>
        <v>-1380131967.115</v>
      </c>
      <c r="Z717">
        <f t="shared" si="282"/>
        <v>1410402.24</v>
      </c>
      <c r="AA717">
        <f t="shared" si="283"/>
        <v>-591751533.02499998</v>
      </c>
      <c r="AB717">
        <f t="shared" si="284"/>
        <v>-1012946929.12</v>
      </c>
      <c r="AC717">
        <f t="shared" si="285"/>
        <v>-1329972773.0099998</v>
      </c>
      <c r="AD717">
        <f t="shared" si="286"/>
        <v>-1646930055.6799998</v>
      </c>
      <c r="AE717">
        <f t="shared" si="287"/>
        <v>-1787384022.9850001</v>
      </c>
    </row>
    <row r="718" spans="1:31" x14ac:dyDescent="0.25">
      <c r="A718">
        <v>39.852159059999998</v>
      </c>
      <c r="B718">
        <v>121.0090864</v>
      </c>
      <c r="C718">
        <v>15.833525659999999</v>
      </c>
      <c r="D718">
        <v>4.8972258599999998</v>
      </c>
      <c r="E718" t="b">
        <f t="shared" si="264"/>
        <v>0</v>
      </c>
      <c r="F718">
        <f t="shared" si="265"/>
        <v>-74.270402439999984</v>
      </c>
      <c r="G718">
        <f t="shared" si="266"/>
        <v>-153.43803073999999</v>
      </c>
      <c r="H718">
        <f t="shared" si="267"/>
        <v>-232.60565904000001</v>
      </c>
      <c r="I718">
        <f t="shared" si="268"/>
        <v>-311.77328733999997</v>
      </c>
      <c r="J718">
        <f t="shared" si="269"/>
        <v>-390.94091564000001</v>
      </c>
      <c r="L718">
        <f t="shared" si="270"/>
        <v>9892396.2371999994</v>
      </c>
      <c r="M718">
        <f t="shared" si="271"/>
        <v>-127745092.19679998</v>
      </c>
      <c r="N718">
        <f t="shared" si="272"/>
        <v>-227088285.49519998</v>
      </c>
      <c r="O718">
        <f t="shared" si="273"/>
        <v>-260518338.12480003</v>
      </c>
      <c r="P718">
        <f t="shared" si="274"/>
        <v>-286831424.35279995</v>
      </c>
      <c r="Q718">
        <f t="shared" si="275"/>
        <v>-336209187.45039999</v>
      </c>
      <c r="S718">
        <f t="shared" si="276"/>
        <v>11998203.356999999</v>
      </c>
      <c r="T718">
        <f t="shared" si="277"/>
        <v>-332960526.70579994</v>
      </c>
      <c r="U718">
        <f t="shared" si="278"/>
        <v>-285394737.17639995</v>
      </c>
      <c r="V718">
        <f t="shared" si="279"/>
        <v>-330300035.83679998</v>
      </c>
      <c r="W718">
        <f t="shared" si="280"/>
        <v>-427129403.65579998</v>
      </c>
      <c r="X718">
        <f t="shared" si="281"/>
        <v>-476947917.0808</v>
      </c>
      <c r="Z718">
        <f t="shared" si="282"/>
        <v>14104010.476799998</v>
      </c>
      <c r="AA718">
        <f t="shared" si="283"/>
        <v>-194588454.39279997</v>
      </c>
      <c r="AB718">
        <f t="shared" si="284"/>
        <v>-343701188.85759997</v>
      </c>
      <c r="AC718">
        <f t="shared" si="285"/>
        <v>-455907091.7184</v>
      </c>
      <c r="AD718">
        <f t="shared" si="286"/>
        <v>-567427382.95879996</v>
      </c>
      <c r="AE718">
        <f t="shared" si="287"/>
        <v>-617686646.7112</v>
      </c>
    </row>
    <row r="719" spans="1:31" x14ac:dyDescent="0.25">
      <c r="A719">
        <v>39.859211199999997</v>
      </c>
      <c r="B719">
        <v>120.9503929</v>
      </c>
      <c r="C719">
        <v>12.76437569</v>
      </c>
      <c r="D719">
        <v>9.2949342700000006</v>
      </c>
      <c r="E719" t="b">
        <f t="shared" si="264"/>
        <v>0</v>
      </c>
      <c r="F719">
        <f t="shared" si="265"/>
        <v>-54.526944180000001</v>
      </c>
      <c r="G719">
        <f t="shared" si="266"/>
        <v>-118.34882263</v>
      </c>
      <c r="H719">
        <f t="shared" si="267"/>
        <v>-182.17070107999999</v>
      </c>
      <c r="I719">
        <f t="shared" si="268"/>
        <v>-245.99257953</v>
      </c>
      <c r="J719">
        <f t="shared" si="269"/>
        <v>-309.81445797999999</v>
      </c>
      <c r="L719">
        <f t="shared" si="270"/>
        <v>18775767.225400005</v>
      </c>
      <c r="M719">
        <f t="shared" si="271"/>
        <v>-93786343.989600003</v>
      </c>
      <c r="N719">
        <f t="shared" si="272"/>
        <v>-175156257.49239999</v>
      </c>
      <c r="O719">
        <f t="shared" si="273"/>
        <v>-204031185.2096</v>
      </c>
      <c r="P719">
        <f t="shared" si="274"/>
        <v>-226313173.16759998</v>
      </c>
      <c r="Q719">
        <f t="shared" si="275"/>
        <v>-266440433.86279997</v>
      </c>
      <c r="S719">
        <f t="shared" si="276"/>
        <v>22772588.961500004</v>
      </c>
      <c r="T719">
        <f t="shared" si="277"/>
        <v>-256816945.10709998</v>
      </c>
      <c r="U719">
        <f t="shared" si="278"/>
        <v>-220128810.09179997</v>
      </c>
      <c r="V719">
        <f t="shared" si="279"/>
        <v>-258682395.53359997</v>
      </c>
      <c r="W719">
        <f t="shared" si="280"/>
        <v>-337009833.95610005</v>
      </c>
      <c r="X719">
        <f t="shared" si="281"/>
        <v>-377973638.73559994</v>
      </c>
      <c r="Z719">
        <f t="shared" si="282"/>
        <v>26769410.697600003</v>
      </c>
      <c r="AA719">
        <f t="shared" si="283"/>
        <v>-142860593.7516</v>
      </c>
      <c r="AB719">
        <f t="shared" si="284"/>
        <v>-265101362.69120002</v>
      </c>
      <c r="AC719">
        <f t="shared" si="285"/>
        <v>-357054574.11679995</v>
      </c>
      <c r="AD719">
        <f t="shared" si="286"/>
        <v>-447706494.7446</v>
      </c>
      <c r="AE719">
        <f t="shared" si="287"/>
        <v>-489506843.60839999</v>
      </c>
    </row>
    <row r="720" spans="1:31" x14ac:dyDescent="0.25">
      <c r="A720">
        <v>39.880202740000001</v>
      </c>
      <c r="B720">
        <v>120.7742461</v>
      </c>
      <c r="C720">
        <v>11.00180626</v>
      </c>
      <c r="D720">
        <v>10.822423929999999</v>
      </c>
      <c r="E720" t="b">
        <f t="shared" si="264"/>
        <v>0</v>
      </c>
      <c r="F720">
        <f t="shared" si="265"/>
        <v>-44.186607370000004</v>
      </c>
      <c r="G720">
        <f t="shared" si="266"/>
        <v>-99.195638670000008</v>
      </c>
      <c r="H720">
        <f t="shared" si="267"/>
        <v>-154.20466997</v>
      </c>
      <c r="I720">
        <f t="shared" si="268"/>
        <v>-209.21370127</v>
      </c>
      <c r="J720">
        <f t="shared" si="269"/>
        <v>-264.22273257000001</v>
      </c>
      <c r="L720">
        <f t="shared" si="270"/>
        <v>21861296.338599999</v>
      </c>
      <c r="M720">
        <f t="shared" si="271"/>
        <v>-76000964.676400021</v>
      </c>
      <c r="N720">
        <f t="shared" si="272"/>
        <v>-146809545.23159999</v>
      </c>
      <c r="O720">
        <f t="shared" si="273"/>
        <v>-172709230.3664</v>
      </c>
      <c r="P720">
        <f t="shared" si="274"/>
        <v>-192476605.16839999</v>
      </c>
      <c r="Q720">
        <f t="shared" si="275"/>
        <v>-227231550.01019999</v>
      </c>
      <c r="S720">
        <f t="shared" si="276"/>
        <v>26514938.6285</v>
      </c>
      <c r="T720">
        <f t="shared" si="277"/>
        <v>-215254535.91389999</v>
      </c>
      <c r="U720">
        <f t="shared" si="278"/>
        <v>-184503887.9262</v>
      </c>
      <c r="V720">
        <f t="shared" si="279"/>
        <v>-218970631.3574</v>
      </c>
      <c r="W720">
        <f t="shared" si="280"/>
        <v>-286622770.73990005</v>
      </c>
      <c r="X720">
        <f t="shared" si="281"/>
        <v>-322351733.73539996</v>
      </c>
      <c r="Z720">
        <f t="shared" si="282"/>
        <v>31168580.918399997</v>
      </c>
      <c r="AA720">
        <f t="shared" si="283"/>
        <v>-115768911.30940002</v>
      </c>
      <c r="AB720">
        <f t="shared" si="284"/>
        <v>-222198230.62080002</v>
      </c>
      <c r="AC720">
        <f t="shared" si="285"/>
        <v>-302241153.14120001</v>
      </c>
      <c r="AD720">
        <f t="shared" si="286"/>
        <v>-380768936.31140006</v>
      </c>
      <c r="AE720">
        <f t="shared" si="287"/>
        <v>-417471917.46060002</v>
      </c>
    </row>
    <row r="721" spans="1:31" x14ac:dyDescent="0.25">
      <c r="A721">
        <v>39.925450169999998</v>
      </c>
      <c r="B721">
        <v>120.78328019999999</v>
      </c>
      <c r="C721">
        <v>11.824547770000001</v>
      </c>
      <c r="D721">
        <v>22.86759567</v>
      </c>
      <c r="E721" t="b">
        <f t="shared" si="264"/>
        <v>1</v>
      </c>
      <c r="F721">
        <f t="shared" si="265"/>
        <v>-36.255143180000005</v>
      </c>
      <c r="G721">
        <f t="shared" si="266"/>
        <v>-95.377882030000009</v>
      </c>
      <c r="H721">
        <f t="shared" si="267"/>
        <v>-154.50062087999999</v>
      </c>
      <c r="I721">
        <f t="shared" si="268"/>
        <v>-213.62335973</v>
      </c>
      <c r="J721">
        <f t="shared" si="269"/>
        <v>-272.74609858000002</v>
      </c>
      <c r="L721">
        <f t="shared" si="270"/>
        <v>23885586.495400004</v>
      </c>
      <c r="M721">
        <f t="shared" si="271"/>
        <v>-62358846.269600019</v>
      </c>
      <c r="N721">
        <f t="shared" si="272"/>
        <v>-141159265.40440002</v>
      </c>
      <c r="O721">
        <f t="shared" si="273"/>
        <v>-173040695.3856</v>
      </c>
      <c r="P721">
        <f t="shared" si="274"/>
        <v>-196533490.95160002</v>
      </c>
      <c r="Q721">
        <f t="shared" si="275"/>
        <v>-234561644.77880004</v>
      </c>
      <c r="S721">
        <f t="shared" si="276"/>
        <v>28970142.036500007</v>
      </c>
      <c r="T721">
        <f t="shared" si="277"/>
        <v>-206970004.00510004</v>
      </c>
      <c r="U721">
        <f t="shared" si="278"/>
        <v>-177402860.57580003</v>
      </c>
      <c r="V721">
        <f t="shared" si="279"/>
        <v>-219390881.64959997</v>
      </c>
      <c r="W721">
        <f t="shared" si="280"/>
        <v>-292664002.83010006</v>
      </c>
      <c r="X721">
        <f t="shared" si="281"/>
        <v>-332750240.26760006</v>
      </c>
      <c r="Z721">
        <f t="shared" si="282"/>
        <v>34054697.577600002</v>
      </c>
      <c r="AA721">
        <f t="shared" si="283"/>
        <v>-94988475.131600022</v>
      </c>
      <c r="AB721">
        <f t="shared" si="284"/>
        <v>-213646455.74720004</v>
      </c>
      <c r="AC721">
        <f t="shared" si="285"/>
        <v>-302821216.92479998</v>
      </c>
      <c r="AD721">
        <f t="shared" si="286"/>
        <v>-388794514.70860004</v>
      </c>
      <c r="AE721">
        <f t="shared" si="287"/>
        <v>-430938835.75640011</v>
      </c>
    </row>
    <row r="722" spans="1:31" x14ac:dyDescent="0.25">
      <c r="A722">
        <v>39.966488980000001</v>
      </c>
      <c r="B722">
        <v>121.21296529999999</v>
      </c>
      <c r="C722">
        <v>39.583812709999997</v>
      </c>
      <c r="D722">
        <v>0.48972300000000002</v>
      </c>
      <c r="E722" t="b">
        <f t="shared" si="264"/>
        <v>0</v>
      </c>
      <c r="F722">
        <f t="shared" si="265"/>
        <v>-197.42934054999998</v>
      </c>
      <c r="G722">
        <f t="shared" si="266"/>
        <v>-395.34840409999993</v>
      </c>
      <c r="H722">
        <f t="shared" si="267"/>
        <v>-593.26746764999996</v>
      </c>
      <c r="I722">
        <f t="shared" si="268"/>
        <v>-791.18653119999988</v>
      </c>
      <c r="J722">
        <f t="shared" si="269"/>
        <v>-989.10559474999991</v>
      </c>
      <c r="L722">
        <f t="shared" si="270"/>
        <v>989240.46</v>
      </c>
      <c r="M722">
        <f t="shared" si="271"/>
        <v>-339578465.74599999</v>
      </c>
      <c r="N722">
        <f t="shared" si="272"/>
        <v>-585115638.06799984</v>
      </c>
      <c r="O722">
        <f t="shared" si="273"/>
        <v>-664459563.76800001</v>
      </c>
      <c r="P722">
        <f t="shared" si="274"/>
        <v>-727891608.70399988</v>
      </c>
      <c r="Q722">
        <f t="shared" si="275"/>
        <v>-850630811.4849999</v>
      </c>
      <c r="S722">
        <f t="shared" si="276"/>
        <v>1199821.3500000001</v>
      </c>
      <c r="T722">
        <f t="shared" si="277"/>
        <v>-857906036.89699972</v>
      </c>
      <c r="U722">
        <f t="shared" si="278"/>
        <v>-735348031.62599981</v>
      </c>
      <c r="V722">
        <f t="shared" si="279"/>
        <v>-842439804.06299996</v>
      </c>
      <c r="W722">
        <f t="shared" si="280"/>
        <v>-1083925547.744</v>
      </c>
      <c r="X722">
        <f t="shared" si="281"/>
        <v>-1206708825.5949998</v>
      </c>
      <c r="Z722">
        <f t="shared" si="282"/>
        <v>1410402.24</v>
      </c>
      <c r="AA722">
        <f t="shared" si="283"/>
        <v>-517264872.241</v>
      </c>
      <c r="AB722">
        <f t="shared" si="284"/>
        <v>-885580425.1839999</v>
      </c>
      <c r="AC722">
        <f t="shared" si="285"/>
        <v>-1162804236.5939999</v>
      </c>
      <c r="AD722">
        <f t="shared" si="286"/>
        <v>-1439959486.7839999</v>
      </c>
      <c r="AE722">
        <f t="shared" si="287"/>
        <v>-1562786839.7049999</v>
      </c>
    </row>
    <row r="723" spans="1:31" x14ac:dyDescent="0.25">
      <c r="A723">
        <v>39.968267959999999</v>
      </c>
      <c r="B723">
        <v>105.86136329999999</v>
      </c>
      <c r="C723">
        <v>5.3181140000000002E-2</v>
      </c>
      <c r="D723">
        <v>0.17123701</v>
      </c>
      <c r="E723" t="b">
        <f t="shared" si="264"/>
        <v>1</v>
      </c>
      <c r="F723">
        <f t="shared" si="265"/>
        <v>-9.4668690000000028E-2</v>
      </c>
      <c r="G723">
        <f t="shared" si="266"/>
        <v>-0.36057439000000002</v>
      </c>
      <c r="H723">
        <f t="shared" si="267"/>
        <v>-0.62648009000000004</v>
      </c>
      <c r="I723">
        <f t="shared" si="268"/>
        <v>-0.89238579000000007</v>
      </c>
      <c r="J723">
        <f t="shared" si="269"/>
        <v>-1.1582914900000001</v>
      </c>
      <c r="L723">
        <f t="shared" si="270"/>
        <v>107425.9028</v>
      </c>
      <c r="M723">
        <f t="shared" si="271"/>
        <v>-162830.14680000008</v>
      </c>
      <c r="N723">
        <f t="shared" si="272"/>
        <v>-533650.09719999996</v>
      </c>
      <c r="O723">
        <f t="shared" si="273"/>
        <v>-701657.70080000011</v>
      </c>
      <c r="P723">
        <f t="shared" si="274"/>
        <v>-820994.92680000002</v>
      </c>
      <c r="Q723">
        <f t="shared" si="275"/>
        <v>-996130.6814</v>
      </c>
      <c r="S723">
        <f t="shared" si="276"/>
        <v>130293.79300000001</v>
      </c>
      <c r="T723">
        <f t="shared" si="277"/>
        <v>-782446.42630000005</v>
      </c>
      <c r="U723">
        <f t="shared" si="278"/>
        <v>-670668.36540000001</v>
      </c>
      <c r="V723">
        <f t="shared" si="279"/>
        <v>-889601.72780000011</v>
      </c>
      <c r="W723">
        <f t="shared" si="280"/>
        <v>-1222568.5323000001</v>
      </c>
      <c r="X723">
        <f t="shared" si="281"/>
        <v>-1413115.6177999999</v>
      </c>
      <c r="Z723">
        <f t="shared" si="282"/>
        <v>153161.6832</v>
      </c>
      <c r="AA723">
        <f t="shared" si="283"/>
        <v>-248031.9678000001</v>
      </c>
      <c r="AB723">
        <f t="shared" si="284"/>
        <v>-807686.63360000006</v>
      </c>
      <c r="AC723">
        <f t="shared" si="285"/>
        <v>-1227900.9764</v>
      </c>
      <c r="AD723">
        <f t="shared" si="286"/>
        <v>-1624142.1378000001</v>
      </c>
      <c r="AE723">
        <f t="shared" si="287"/>
        <v>-1830100.5542000001</v>
      </c>
    </row>
    <row r="724" spans="1:31" x14ac:dyDescent="0.25">
      <c r="A724">
        <v>39.980753989999997</v>
      </c>
      <c r="B724">
        <v>121.09542570000001</v>
      </c>
      <c r="C724">
        <v>18.176713939999999</v>
      </c>
      <c r="D724">
        <v>24.584072110000001</v>
      </c>
      <c r="E724" t="b">
        <f t="shared" si="264"/>
        <v>1</v>
      </c>
      <c r="F724">
        <f t="shared" si="265"/>
        <v>-66.299497589999987</v>
      </c>
      <c r="G724">
        <f t="shared" si="266"/>
        <v>-157.18306729</v>
      </c>
      <c r="H724">
        <f t="shared" si="267"/>
        <v>-248.06663698999998</v>
      </c>
      <c r="I724">
        <f t="shared" si="268"/>
        <v>-338.95020668999996</v>
      </c>
      <c r="J724">
        <f t="shared" si="269"/>
        <v>-429.83377638999997</v>
      </c>
      <c r="L724">
        <f t="shared" si="270"/>
        <v>36716962.158799998</v>
      </c>
      <c r="M724">
        <f t="shared" si="271"/>
        <v>-114035135.8548</v>
      </c>
      <c r="N724">
        <f t="shared" si="272"/>
        <v>-232630939.58919999</v>
      </c>
      <c r="O724">
        <f t="shared" si="273"/>
        <v>-277834633.42879999</v>
      </c>
      <c r="P724">
        <f t="shared" si="274"/>
        <v>-311834190.15479994</v>
      </c>
      <c r="Q724">
        <f t="shared" si="275"/>
        <v>-369657047.6954</v>
      </c>
      <c r="S724">
        <f t="shared" si="276"/>
        <v>44532949.152999997</v>
      </c>
      <c r="T724">
        <f t="shared" si="277"/>
        <v>-341087256.01929998</v>
      </c>
      <c r="U724">
        <f t="shared" si="278"/>
        <v>-292360505.15939999</v>
      </c>
      <c r="V724">
        <f t="shared" si="279"/>
        <v>-352254624.52579993</v>
      </c>
      <c r="W724">
        <f t="shared" si="280"/>
        <v>-464361783.16529995</v>
      </c>
      <c r="X724">
        <f t="shared" si="281"/>
        <v>-524397207.19579995</v>
      </c>
      <c r="Z724">
        <f t="shared" si="282"/>
        <v>52348936.147199988</v>
      </c>
      <c r="AA724">
        <f t="shared" si="283"/>
        <v>-173704683.68579999</v>
      </c>
      <c r="AB724">
        <f t="shared" si="284"/>
        <v>-352090070.72960001</v>
      </c>
      <c r="AC724">
        <f t="shared" si="285"/>
        <v>-486210608.50039995</v>
      </c>
      <c r="AD724">
        <f t="shared" si="286"/>
        <v>-616889376.17579997</v>
      </c>
      <c r="AE724">
        <f t="shared" si="287"/>
        <v>-679137366.69620001</v>
      </c>
    </row>
    <row r="725" spans="1:31" x14ac:dyDescent="0.25">
      <c r="A725">
        <v>40.008953849999997</v>
      </c>
      <c r="B725">
        <v>120.86021239999999</v>
      </c>
      <c r="C725">
        <v>35.2842865</v>
      </c>
      <c r="D725">
        <v>175.8096314</v>
      </c>
      <c r="E725" t="b">
        <f t="shared" si="264"/>
        <v>1</v>
      </c>
      <c r="F725">
        <f t="shared" si="265"/>
        <v>-0.61180110000000809</v>
      </c>
      <c r="G725">
        <f t="shared" si="266"/>
        <v>-177.03323360000002</v>
      </c>
      <c r="H725">
        <f t="shared" si="267"/>
        <v>-353.4546661</v>
      </c>
      <c r="I725">
        <f t="shared" si="268"/>
        <v>-529.87609859999998</v>
      </c>
      <c r="J725">
        <f t="shared" si="269"/>
        <v>-706.29753110000001</v>
      </c>
      <c r="L725">
        <f t="shared" si="270"/>
        <v>71274258.730000004</v>
      </c>
      <c r="M725">
        <f t="shared" si="271"/>
        <v>-1052297.8920000142</v>
      </c>
      <c r="N725">
        <f t="shared" si="272"/>
        <v>-262009185.72800004</v>
      </c>
      <c r="O725">
        <f t="shared" si="273"/>
        <v>-395869226.03200006</v>
      </c>
      <c r="P725">
        <f t="shared" si="274"/>
        <v>-487486010.71199995</v>
      </c>
      <c r="Q725">
        <f t="shared" si="275"/>
        <v>-607415876.74600005</v>
      </c>
      <c r="S725">
        <f t="shared" si="276"/>
        <v>86446501.925000012</v>
      </c>
      <c r="T725">
        <f t="shared" si="277"/>
        <v>-384162116.91200006</v>
      </c>
      <c r="U725">
        <f t="shared" si="278"/>
        <v>-329281814.49600005</v>
      </c>
      <c r="V725">
        <f t="shared" si="279"/>
        <v>-501905625.86199999</v>
      </c>
      <c r="W725">
        <f t="shared" si="280"/>
        <v>-725930255.08200002</v>
      </c>
      <c r="X725">
        <f t="shared" si="281"/>
        <v>-861682987.94200003</v>
      </c>
      <c r="Z725">
        <f t="shared" si="282"/>
        <v>101618745.11999999</v>
      </c>
      <c r="AA725">
        <f t="shared" si="283"/>
        <v>-1602918.8820000214</v>
      </c>
      <c r="AB725">
        <f t="shared" si="284"/>
        <v>-396554443.26400012</v>
      </c>
      <c r="AC725">
        <f t="shared" si="285"/>
        <v>-692771145.55599999</v>
      </c>
      <c r="AD725">
        <f t="shared" si="286"/>
        <v>-964374499.45200002</v>
      </c>
      <c r="AE725">
        <f t="shared" si="287"/>
        <v>-1115950099.138</v>
      </c>
    </row>
    <row r="726" spans="1:31" x14ac:dyDescent="0.25">
      <c r="A726">
        <v>40.025972090000003</v>
      </c>
      <c r="B726">
        <v>121.1046671</v>
      </c>
      <c r="C726">
        <v>237.9228516</v>
      </c>
      <c r="D726">
        <v>0.24486100999999999</v>
      </c>
      <c r="E726" t="b">
        <f t="shared" si="264"/>
        <v>0</v>
      </c>
      <c r="F726">
        <f t="shared" si="265"/>
        <v>-1189.36939699</v>
      </c>
      <c r="G726">
        <f t="shared" si="266"/>
        <v>-2378.9836549900001</v>
      </c>
      <c r="H726">
        <f t="shared" si="267"/>
        <v>-3568.5979129900002</v>
      </c>
      <c r="I726">
        <f t="shared" si="268"/>
        <v>-4758.2121709900002</v>
      </c>
      <c r="J726">
        <f t="shared" si="269"/>
        <v>-5947.8264289899998</v>
      </c>
      <c r="L726">
        <f t="shared" si="270"/>
        <v>494619.24019999994</v>
      </c>
      <c r="M726">
        <f t="shared" si="271"/>
        <v>-2045715362.8228002</v>
      </c>
      <c r="N726">
        <f t="shared" si="272"/>
        <v>-3520895809.3852005</v>
      </c>
      <c r="O726">
        <f t="shared" si="273"/>
        <v>-3996829662.5488005</v>
      </c>
      <c r="P726">
        <f t="shared" si="274"/>
        <v>-4377555197.3107996</v>
      </c>
      <c r="Q726">
        <f t="shared" si="275"/>
        <v>-5115130728.9313993</v>
      </c>
      <c r="S726">
        <f t="shared" si="276"/>
        <v>599909.47450000001</v>
      </c>
      <c r="T726">
        <f t="shared" si="277"/>
        <v>-5162394531.3283005</v>
      </c>
      <c r="U726">
        <f t="shared" si="278"/>
        <v>-4424909598.2813997</v>
      </c>
      <c r="V726">
        <f t="shared" si="279"/>
        <v>-5067409036.4457998</v>
      </c>
      <c r="W726">
        <f t="shared" si="280"/>
        <v>-6518750674.2563</v>
      </c>
      <c r="X726">
        <f t="shared" si="281"/>
        <v>-7256348243.3677998</v>
      </c>
      <c r="Z726">
        <f t="shared" si="282"/>
        <v>705199.70879999991</v>
      </c>
      <c r="AA726">
        <f t="shared" si="283"/>
        <v>-3116147820.1138</v>
      </c>
      <c r="AB726">
        <f t="shared" si="284"/>
        <v>-5328923387.1776009</v>
      </c>
      <c r="AC726">
        <f t="shared" si="285"/>
        <v>-6994451909.4604006</v>
      </c>
      <c r="AD726">
        <f t="shared" si="286"/>
        <v>-8659946151.2017994</v>
      </c>
      <c r="AE726">
        <f t="shared" si="287"/>
        <v>-9397565757.8041992</v>
      </c>
    </row>
    <row r="727" spans="1:31" x14ac:dyDescent="0.25">
      <c r="A727">
        <v>40.040134799999997</v>
      </c>
      <c r="B727">
        <v>120.987013</v>
      </c>
      <c r="C727">
        <v>60.695182799999998</v>
      </c>
      <c r="D727">
        <v>7.3458380700000001</v>
      </c>
      <c r="E727" t="b">
        <f t="shared" si="264"/>
        <v>0</v>
      </c>
      <c r="F727">
        <f t="shared" si="265"/>
        <v>-296.13007592999998</v>
      </c>
      <c r="G727">
        <f t="shared" si="266"/>
        <v>-599.60598992999996</v>
      </c>
      <c r="H727">
        <f t="shared" si="267"/>
        <v>-903.08190392999995</v>
      </c>
      <c r="I727">
        <f t="shared" si="268"/>
        <v>-1206.5578179300001</v>
      </c>
      <c r="J727">
        <f t="shared" si="269"/>
        <v>-1510.0337319300002</v>
      </c>
      <c r="L727">
        <f t="shared" si="270"/>
        <v>14838592.9014</v>
      </c>
      <c r="M727">
        <f t="shared" si="271"/>
        <v>-509343730.59959996</v>
      </c>
      <c r="N727">
        <f t="shared" si="272"/>
        <v>-887416865.0963999</v>
      </c>
      <c r="O727">
        <f t="shared" si="273"/>
        <v>-1011451732.4016</v>
      </c>
      <c r="P727">
        <f t="shared" si="274"/>
        <v>-1110033192.4956</v>
      </c>
      <c r="Q727">
        <f t="shared" si="275"/>
        <v>-1298629009.4598</v>
      </c>
      <c r="S727">
        <f t="shared" si="276"/>
        <v>17997303.271500003</v>
      </c>
      <c r="T727">
        <f t="shared" si="277"/>
        <v>-1301144998.1480999</v>
      </c>
      <c r="U727">
        <f t="shared" si="278"/>
        <v>-1115267141.2697997</v>
      </c>
      <c r="V727">
        <f t="shared" si="279"/>
        <v>-1282376303.5805998</v>
      </c>
      <c r="W727">
        <f t="shared" si="280"/>
        <v>-1652984210.5641003</v>
      </c>
      <c r="X727">
        <f t="shared" si="281"/>
        <v>-1842241152.9546001</v>
      </c>
      <c r="Z727">
        <f t="shared" si="282"/>
        <v>21156013.641600002</v>
      </c>
      <c r="AA727">
        <f t="shared" si="283"/>
        <v>-775860798.93659985</v>
      </c>
      <c r="AB727">
        <f t="shared" si="284"/>
        <v>-1343117417.4432001</v>
      </c>
      <c r="AC727">
        <f t="shared" si="285"/>
        <v>-1770040531.7027998</v>
      </c>
      <c r="AD727">
        <f t="shared" si="286"/>
        <v>-2195935228.6326003</v>
      </c>
      <c r="AE727">
        <f t="shared" si="287"/>
        <v>-2385853296.4494004</v>
      </c>
    </row>
    <row r="728" spans="1:31" x14ac:dyDescent="0.25">
      <c r="A728">
        <v>40.047174859999998</v>
      </c>
      <c r="B728">
        <v>120.9281692</v>
      </c>
      <c r="C728">
        <v>63.334102629999997</v>
      </c>
      <c r="D728">
        <v>1.22430599</v>
      </c>
      <c r="E728" t="b">
        <f t="shared" si="264"/>
        <v>0</v>
      </c>
      <c r="F728">
        <f t="shared" si="265"/>
        <v>-315.44620715999997</v>
      </c>
      <c r="G728">
        <f t="shared" si="266"/>
        <v>-632.11672031000001</v>
      </c>
      <c r="H728">
        <f t="shared" si="267"/>
        <v>-948.78723346000004</v>
      </c>
      <c r="I728">
        <f t="shared" si="268"/>
        <v>-1265.45774661</v>
      </c>
      <c r="J728">
        <f t="shared" si="269"/>
        <v>-1582.12825976</v>
      </c>
      <c r="L728">
        <f t="shared" si="270"/>
        <v>2473098.0998</v>
      </c>
      <c r="M728">
        <f t="shared" si="271"/>
        <v>-542567476.31519997</v>
      </c>
      <c r="N728">
        <f t="shared" si="272"/>
        <v>-935532746.0588001</v>
      </c>
      <c r="O728">
        <f t="shared" si="273"/>
        <v>-1062641701.4752002</v>
      </c>
      <c r="P728">
        <f t="shared" si="274"/>
        <v>-1164221126.8811998</v>
      </c>
      <c r="Q728">
        <f t="shared" si="275"/>
        <v>-1360630303.3936</v>
      </c>
      <c r="S728">
        <f t="shared" si="276"/>
        <v>2999549.6755000004</v>
      </c>
      <c r="T728">
        <f t="shared" si="277"/>
        <v>-1371693283.0727</v>
      </c>
      <c r="U728">
        <f t="shared" si="278"/>
        <v>-1175737099.7766001</v>
      </c>
      <c r="V728">
        <f t="shared" si="279"/>
        <v>-1347277871.5132</v>
      </c>
      <c r="W728">
        <f t="shared" si="280"/>
        <v>-1733677112.8557</v>
      </c>
      <c r="X728">
        <f t="shared" si="281"/>
        <v>-1930196476.9071999</v>
      </c>
      <c r="Z728">
        <f t="shared" si="282"/>
        <v>3526001.2511999998</v>
      </c>
      <c r="AA728">
        <f t="shared" si="283"/>
        <v>-826469062.75919998</v>
      </c>
      <c r="AB728">
        <f t="shared" si="284"/>
        <v>-1415941453.4944003</v>
      </c>
      <c r="AC728">
        <f t="shared" si="285"/>
        <v>-1859622977.5816</v>
      </c>
      <c r="AD728">
        <f t="shared" si="286"/>
        <v>-2303133098.8301997</v>
      </c>
      <c r="AE728">
        <f t="shared" si="287"/>
        <v>-2499762650.4208002</v>
      </c>
    </row>
    <row r="729" spans="1:31" x14ac:dyDescent="0.25">
      <c r="A729">
        <v>40.109267529999997</v>
      </c>
      <c r="B729">
        <v>121.1820635</v>
      </c>
      <c r="C729">
        <v>63.334102629999997</v>
      </c>
      <c r="D729">
        <v>1.22430599</v>
      </c>
      <c r="E729" t="b">
        <f t="shared" si="264"/>
        <v>0</v>
      </c>
      <c r="F729">
        <f t="shared" si="265"/>
        <v>-315.44620715999997</v>
      </c>
      <c r="G729">
        <f t="shared" si="266"/>
        <v>-632.11672031000001</v>
      </c>
      <c r="H729">
        <f t="shared" si="267"/>
        <v>-948.78723346000004</v>
      </c>
      <c r="I729">
        <f t="shared" si="268"/>
        <v>-1265.45774661</v>
      </c>
      <c r="J729">
        <f t="shared" si="269"/>
        <v>-1582.12825976</v>
      </c>
      <c r="L729">
        <f t="shared" si="270"/>
        <v>2473098.0998</v>
      </c>
      <c r="M729">
        <f t="shared" si="271"/>
        <v>-542567476.31519997</v>
      </c>
      <c r="N729">
        <f t="shared" si="272"/>
        <v>-935532746.0588001</v>
      </c>
      <c r="O729">
        <f t="shared" si="273"/>
        <v>-1062641701.4752002</v>
      </c>
      <c r="P729">
        <f t="shared" si="274"/>
        <v>-1164221126.8811998</v>
      </c>
      <c r="Q729">
        <f t="shared" si="275"/>
        <v>-1360630303.3936</v>
      </c>
      <c r="S729">
        <f t="shared" si="276"/>
        <v>2999549.6755000004</v>
      </c>
      <c r="T729">
        <f t="shared" si="277"/>
        <v>-1371693283.0727</v>
      </c>
      <c r="U729">
        <f t="shared" si="278"/>
        <v>-1175737099.7766001</v>
      </c>
      <c r="V729">
        <f t="shared" si="279"/>
        <v>-1347277871.5132</v>
      </c>
      <c r="W729">
        <f t="shared" si="280"/>
        <v>-1733677112.8557</v>
      </c>
      <c r="X729">
        <f t="shared" si="281"/>
        <v>-1930196476.9071999</v>
      </c>
      <c r="Z729">
        <f t="shared" si="282"/>
        <v>3526001.2511999998</v>
      </c>
      <c r="AA729">
        <f t="shared" si="283"/>
        <v>-826469062.75919998</v>
      </c>
      <c r="AB729">
        <f t="shared" si="284"/>
        <v>-1415941453.4944003</v>
      </c>
      <c r="AC729">
        <f t="shared" si="285"/>
        <v>-1859622977.5816</v>
      </c>
      <c r="AD729">
        <f t="shared" si="286"/>
        <v>-2303133098.8301997</v>
      </c>
      <c r="AE729">
        <f t="shared" si="287"/>
        <v>-2499762650.4208002</v>
      </c>
    </row>
    <row r="730" spans="1:31" x14ac:dyDescent="0.25">
      <c r="A730">
        <v>40.123500839999998</v>
      </c>
      <c r="B730">
        <v>121.06429230000001</v>
      </c>
      <c r="C730">
        <v>63.334102629999997</v>
      </c>
      <c r="D730">
        <v>1.22430599</v>
      </c>
      <c r="E730" t="b">
        <f t="shared" si="264"/>
        <v>0</v>
      </c>
      <c r="F730">
        <f t="shared" si="265"/>
        <v>-315.44620715999997</v>
      </c>
      <c r="G730">
        <f t="shared" si="266"/>
        <v>-632.11672031000001</v>
      </c>
      <c r="H730">
        <f t="shared" si="267"/>
        <v>-948.78723346000004</v>
      </c>
      <c r="I730">
        <f t="shared" si="268"/>
        <v>-1265.45774661</v>
      </c>
      <c r="J730">
        <f t="shared" si="269"/>
        <v>-1582.12825976</v>
      </c>
      <c r="L730">
        <f t="shared" si="270"/>
        <v>2473098.0998</v>
      </c>
      <c r="M730">
        <f t="shared" si="271"/>
        <v>-542567476.31519997</v>
      </c>
      <c r="N730">
        <f t="shared" si="272"/>
        <v>-935532746.0588001</v>
      </c>
      <c r="O730">
        <f t="shared" si="273"/>
        <v>-1062641701.4752002</v>
      </c>
      <c r="P730">
        <f t="shared" si="274"/>
        <v>-1164221126.8811998</v>
      </c>
      <c r="Q730">
        <f t="shared" si="275"/>
        <v>-1360630303.3936</v>
      </c>
      <c r="S730">
        <f t="shared" si="276"/>
        <v>2999549.6755000004</v>
      </c>
      <c r="T730">
        <f t="shared" si="277"/>
        <v>-1371693283.0727</v>
      </c>
      <c r="U730">
        <f t="shared" si="278"/>
        <v>-1175737099.7766001</v>
      </c>
      <c r="V730">
        <f t="shared" si="279"/>
        <v>-1347277871.5132</v>
      </c>
      <c r="W730">
        <f t="shared" si="280"/>
        <v>-1733677112.8557</v>
      </c>
      <c r="X730">
        <f t="shared" si="281"/>
        <v>-1930196476.9071999</v>
      </c>
      <c r="Z730">
        <f t="shared" si="282"/>
        <v>3526001.2511999998</v>
      </c>
      <c r="AA730">
        <f t="shared" si="283"/>
        <v>-826469062.75919998</v>
      </c>
      <c r="AB730">
        <f t="shared" si="284"/>
        <v>-1415941453.4944003</v>
      </c>
      <c r="AC730">
        <f t="shared" si="285"/>
        <v>-1859622977.5816</v>
      </c>
      <c r="AD730">
        <f t="shared" si="286"/>
        <v>-2303133098.8301997</v>
      </c>
      <c r="AE730">
        <f t="shared" si="287"/>
        <v>-2499762650.4208002</v>
      </c>
    </row>
    <row r="731" spans="1:31" x14ac:dyDescent="0.25">
      <c r="A731">
        <v>40.178091590000001</v>
      </c>
      <c r="B731">
        <v>121.3774761</v>
      </c>
      <c r="C731">
        <v>27.204145430000001</v>
      </c>
      <c r="D731">
        <v>0.48972300000000002</v>
      </c>
      <c r="E731" t="b">
        <f t="shared" si="264"/>
        <v>0</v>
      </c>
      <c r="F731">
        <f t="shared" si="265"/>
        <v>-135.53100415</v>
      </c>
      <c r="G731">
        <f t="shared" si="266"/>
        <v>-271.55173129999997</v>
      </c>
      <c r="H731">
        <f t="shared" si="267"/>
        <v>-407.57245845</v>
      </c>
      <c r="I731">
        <f t="shared" si="268"/>
        <v>-543.59318559999997</v>
      </c>
      <c r="J731">
        <f t="shared" si="269"/>
        <v>-679.61391274999994</v>
      </c>
      <c r="L731">
        <f t="shared" si="270"/>
        <v>989240.46</v>
      </c>
      <c r="M731">
        <f t="shared" si="271"/>
        <v>-233113327.13800004</v>
      </c>
      <c r="N731">
        <f t="shared" si="272"/>
        <v>-401896562.32399994</v>
      </c>
      <c r="O731">
        <f t="shared" si="273"/>
        <v>-456481153.46400005</v>
      </c>
      <c r="P731">
        <f t="shared" si="274"/>
        <v>-500105730.75199997</v>
      </c>
      <c r="Q731">
        <f t="shared" si="275"/>
        <v>-584467964.96500003</v>
      </c>
      <c r="S731">
        <f t="shared" si="276"/>
        <v>1199821.3500000001</v>
      </c>
      <c r="T731">
        <f t="shared" si="277"/>
        <v>-589267256.92099988</v>
      </c>
      <c r="U731">
        <f t="shared" si="278"/>
        <v>-505086220.21799988</v>
      </c>
      <c r="V731">
        <f t="shared" si="279"/>
        <v>-578752890.99899995</v>
      </c>
      <c r="W731">
        <f t="shared" si="280"/>
        <v>-744722664.27200007</v>
      </c>
      <c r="X731">
        <f t="shared" si="281"/>
        <v>-829128973.55499995</v>
      </c>
      <c r="Z731">
        <f t="shared" si="282"/>
        <v>1410402.24</v>
      </c>
      <c r="AA731">
        <f t="shared" si="283"/>
        <v>-355091230.87300003</v>
      </c>
      <c r="AB731">
        <f t="shared" si="284"/>
        <v>-608275878.11199999</v>
      </c>
      <c r="AC731">
        <f t="shared" si="285"/>
        <v>-798842018.56199992</v>
      </c>
      <c r="AD731">
        <f t="shared" si="286"/>
        <v>-989339597.79200006</v>
      </c>
      <c r="AE731">
        <f t="shared" si="287"/>
        <v>-1073789982.145</v>
      </c>
    </row>
    <row r="732" spans="1:31" x14ac:dyDescent="0.25">
      <c r="A732">
        <v>40.259125050000002</v>
      </c>
      <c r="B732">
        <v>121.0920466</v>
      </c>
      <c r="C732">
        <v>10.6702919</v>
      </c>
      <c r="D732">
        <v>33.186889649999998</v>
      </c>
      <c r="E732" t="b">
        <f t="shared" si="264"/>
        <v>1</v>
      </c>
      <c r="F732">
        <f t="shared" si="265"/>
        <v>-20.164569850000007</v>
      </c>
      <c r="G732">
        <f t="shared" si="266"/>
        <v>-73.516029350000011</v>
      </c>
      <c r="H732">
        <f t="shared" si="267"/>
        <v>-126.86748885000002</v>
      </c>
      <c r="I732">
        <f t="shared" si="268"/>
        <v>-180.21894835000001</v>
      </c>
      <c r="J732">
        <f t="shared" si="269"/>
        <v>-233.57040784999998</v>
      </c>
      <c r="L732">
        <f t="shared" si="270"/>
        <v>21553989.638</v>
      </c>
      <c r="M732">
        <f t="shared" si="271"/>
        <v>-34683060.142000012</v>
      </c>
      <c r="N732">
        <f t="shared" si="272"/>
        <v>-108803723.43800001</v>
      </c>
      <c r="O732">
        <f t="shared" si="273"/>
        <v>-142091587.51200002</v>
      </c>
      <c r="P732">
        <f t="shared" si="274"/>
        <v>-165801432.48199999</v>
      </c>
      <c r="Q732">
        <f t="shared" si="275"/>
        <v>-200870550.75099999</v>
      </c>
      <c r="S732">
        <f t="shared" si="276"/>
        <v>26142215.155000001</v>
      </c>
      <c r="T732">
        <f t="shared" si="277"/>
        <v>-159529783.6895</v>
      </c>
      <c r="U732">
        <f t="shared" si="278"/>
        <v>-136739814.59100002</v>
      </c>
      <c r="V732">
        <f t="shared" si="279"/>
        <v>-180151834.167</v>
      </c>
      <c r="W732">
        <f t="shared" si="280"/>
        <v>-246899959.23950002</v>
      </c>
      <c r="X732">
        <f t="shared" si="281"/>
        <v>-284955897.57699996</v>
      </c>
      <c r="Z732">
        <f t="shared" si="282"/>
        <v>30730440.671999998</v>
      </c>
      <c r="AA732">
        <f t="shared" si="283"/>
        <v>-52831173.007000014</v>
      </c>
      <c r="AB732">
        <f t="shared" si="284"/>
        <v>-164675905.74400005</v>
      </c>
      <c r="AC732">
        <f t="shared" si="285"/>
        <v>-248660278.14600003</v>
      </c>
      <c r="AD732">
        <f t="shared" si="286"/>
        <v>-327998485.99699998</v>
      </c>
      <c r="AE732">
        <f t="shared" si="287"/>
        <v>-369041244.403</v>
      </c>
    </row>
    <row r="733" spans="1:31" x14ac:dyDescent="0.25">
      <c r="A733">
        <v>40.332847940000001</v>
      </c>
      <c r="B733">
        <v>106.6378878</v>
      </c>
      <c r="C733">
        <v>5.3181140000000002E-2</v>
      </c>
      <c r="D733">
        <v>0.22831599</v>
      </c>
      <c r="E733" t="b">
        <f t="shared" si="264"/>
        <v>1</v>
      </c>
      <c r="F733">
        <f t="shared" si="265"/>
        <v>-3.7589710000000026E-2</v>
      </c>
      <c r="G733">
        <f t="shared" si="266"/>
        <v>-0.30349541000000002</v>
      </c>
      <c r="H733">
        <f t="shared" si="267"/>
        <v>-0.56940111000000004</v>
      </c>
      <c r="I733">
        <f t="shared" si="268"/>
        <v>-0.83530681000000007</v>
      </c>
      <c r="J733">
        <f t="shared" si="269"/>
        <v>-1.1012125100000001</v>
      </c>
      <c r="L733">
        <f t="shared" si="270"/>
        <v>107425.9028</v>
      </c>
      <c r="M733">
        <f t="shared" si="271"/>
        <v>-64654.301200000053</v>
      </c>
      <c r="N733">
        <f t="shared" si="272"/>
        <v>-449173.20680000004</v>
      </c>
      <c r="O733">
        <f t="shared" si="273"/>
        <v>-637729.24320000003</v>
      </c>
      <c r="P733">
        <f t="shared" si="274"/>
        <v>-768482.26520000002</v>
      </c>
      <c r="Q733">
        <f t="shared" si="275"/>
        <v>-947042.75859999994</v>
      </c>
      <c r="S733">
        <f t="shared" si="276"/>
        <v>130293.79300000001</v>
      </c>
      <c r="T733">
        <f t="shared" si="277"/>
        <v>-658585.03970000008</v>
      </c>
      <c r="U733">
        <f t="shared" si="278"/>
        <v>-564501.46259999997</v>
      </c>
      <c r="V733">
        <f t="shared" si="279"/>
        <v>-808549.57619999989</v>
      </c>
      <c r="W733">
        <f t="shared" si="280"/>
        <v>-1144370.3297000001</v>
      </c>
      <c r="X733">
        <f t="shared" si="281"/>
        <v>-1343479.2622</v>
      </c>
      <c r="Z733">
        <f t="shared" si="282"/>
        <v>153161.6832</v>
      </c>
      <c r="AA733">
        <f t="shared" si="283"/>
        <v>-98485.040200000076</v>
      </c>
      <c r="AB733">
        <f t="shared" si="284"/>
        <v>-679829.71840000013</v>
      </c>
      <c r="AC733">
        <f t="shared" si="285"/>
        <v>-1116026.1756</v>
      </c>
      <c r="AD733">
        <f t="shared" si="286"/>
        <v>-1520258.3942000002</v>
      </c>
      <c r="AE733">
        <f t="shared" si="287"/>
        <v>-1739915.7658000002</v>
      </c>
    </row>
    <row r="734" spans="1:31" x14ac:dyDescent="0.25">
      <c r="A734">
        <v>40.356617960000001</v>
      </c>
      <c r="B734">
        <v>121.0515283</v>
      </c>
      <c r="C734">
        <v>58.056259160000003</v>
      </c>
      <c r="D734">
        <v>2.2037520399999999</v>
      </c>
      <c r="E734" t="b">
        <f t="shared" si="264"/>
        <v>0</v>
      </c>
      <c r="F734">
        <f t="shared" si="265"/>
        <v>-288.07754376000003</v>
      </c>
      <c r="G734">
        <f t="shared" si="266"/>
        <v>-578.35883955999998</v>
      </c>
      <c r="H734">
        <f t="shared" si="267"/>
        <v>-868.64013536000004</v>
      </c>
      <c r="I734">
        <f t="shared" si="268"/>
        <v>-1158.9214311600001</v>
      </c>
      <c r="J734">
        <f t="shared" si="269"/>
        <v>-1449.2027269600001</v>
      </c>
      <c r="L734">
        <f t="shared" si="270"/>
        <v>4451579.1207999997</v>
      </c>
      <c r="M734">
        <f t="shared" si="271"/>
        <v>-495493375.26720017</v>
      </c>
      <c r="N734">
        <f t="shared" si="272"/>
        <v>-855971082.54879987</v>
      </c>
      <c r="O734">
        <f t="shared" si="273"/>
        <v>-972876951.60320008</v>
      </c>
      <c r="P734">
        <f t="shared" si="274"/>
        <v>-1066207716.6672</v>
      </c>
      <c r="Q734">
        <f t="shared" si="275"/>
        <v>-1246314345.1856</v>
      </c>
      <c r="S734">
        <f t="shared" si="276"/>
        <v>5399192.4980000006</v>
      </c>
      <c r="T734">
        <f t="shared" si="277"/>
        <v>-1255038681.8451998</v>
      </c>
      <c r="U734">
        <f t="shared" si="278"/>
        <v>-1075747441.5815997</v>
      </c>
      <c r="V734">
        <f t="shared" si="279"/>
        <v>-1233468992.2112</v>
      </c>
      <c r="W734">
        <f t="shared" si="280"/>
        <v>-1587722360.6892002</v>
      </c>
      <c r="X734">
        <f t="shared" si="281"/>
        <v>-1768027326.8912001</v>
      </c>
      <c r="Z734">
        <f t="shared" si="282"/>
        <v>6346805.8751999997</v>
      </c>
      <c r="AA734">
        <f t="shared" si="283"/>
        <v>-754763164.65120018</v>
      </c>
      <c r="AB734">
        <f t="shared" si="284"/>
        <v>-1295523800.6143999</v>
      </c>
      <c r="AC734">
        <f t="shared" si="285"/>
        <v>-1702534665.3055999</v>
      </c>
      <c r="AD734">
        <f t="shared" si="286"/>
        <v>-2109237004.7112002</v>
      </c>
      <c r="AE734">
        <f t="shared" si="287"/>
        <v>-2289740308.5968003</v>
      </c>
    </row>
    <row r="735" spans="1:31" x14ac:dyDescent="0.25">
      <c r="A735">
        <v>40.358809950000001</v>
      </c>
      <c r="B735">
        <v>121.4152955</v>
      </c>
      <c r="C735">
        <v>50.864578250000001</v>
      </c>
      <c r="D735">
        <v>1.22430599</v>
      </c>
      <c r="E735" t="b">
        <f t="shared" si="264"/>
        <v>0</v>
      </c>
      <c r="F735">
        <f t="shared" si="265"/>
        <v>-253.09858525999999</v>
      </c>
      <c r="G735">
        <f t="shared" si="266"/>
        <v>-507.42147650999999</v>
      </c>
      <c r="H735">
        <f t="shared" si="267"/>
        <v>-761.74436776000005</v>
      </c>
      <c r="I735">
        <f t="shared" si="268"/>
        <v>-1016.06725901</v>
      </c>
      <c r="J735">
        <f t="shared" si="269"/>
        <v>-1270.3901502600002</v>
      </c>
      <c r="L735">
        <f t="shared" si="270"/>
        <v>2473098.0998</v>
      </c>
      <c r="M735">
        <f t="shared" si="271"/>
        <v>-435329566.64720005</v>
      </c>
      <c r="N735">
        <f t="shared" si="272"/>
        <v>-750983785.23479998</v>
      </c>
      <c r="O735">
        <f t="shared" si="273"/>
        <v>-853153691.89120007</v>
      </c>
      <c r="P735">
        <f t="shared" si="274"/>
        <v>-934781878.28919995</v>
      </c>
      <c r="Q735">
        <f t="shared" si="275"/>
        <v>-1092535529.2236001</v>
      </c>
      <c r="S735">
        <f t="shared" si="276"/>
        <v>2999549.6755000004</v>
      </c>
      <c r="T735">
        <f t="shared" si="277"/>
        <v>-1101104604.0267</v>
      </c>
      <c r="U735">
        <f t="shared" si="278"/>
        <v>-943803946.30859995</v>
      </c>
      <c r="V735">
        <f t="shared" si="279"/>
        <v>-1081677002.2191999</v>
      </c>
      <c r="W735">
        <f t="shared" si="280"/>
        <v>-1392012144.8437002</v>
      </c>
      <c r="X735">
        <f t="shared" si="281"/>
        <v>-1549875983.3172002</v>
      </c>
      <c r="Z735">
        <f t="shared" si="282"/>
        <v>3526001.2511999998</v>
      </c>
      <c r="AA735">
        <f t="shared" si="283"/>
        <v>-663118293.38119996</v>
      </c>
      <c r="AB735">
        <f t="shared" si="284"/>
        <v>-1136624107.3824</v>
      </c>
      <c r="AC735">
        <f t="shared" si="285"/>
        <v>-1493018960.8095999</v>
      </c>
      <c r="AD735">
        <f t="shared" si="286"/>
        <v>-1849242411.3982</v>
      </c>
      <c r="AE735">
        <f t="shared" si="287"/>
        <v>-2007216437.4108005</v>
      </c>
    </row>
    <row r="736" spans="1:31" x14ac:dyDescent="0.25">
      <c r="A736">
        <v>40.37325568</v>
      </c>
      <c r="B736">
        <v>121.2971727</v>
      </c>
      <c r="C736">
        <v>63.334102629999997</v>
      </c>
      <c r="D736">
        <v>0.10473</v>
      </c>
      <c r="E736" t="b">
        <f t="shared" si="264"/>
        <v>0</v>
      </c>
      <c r="F736">
        <f t="shared" si="265"/>
        <v>-316.56578314999996</v>
      </c>
      <c r="G736">
        <f t="shared" si="266"/>
        <v>-633.23629629999994</v>
      </c>
      <c r="H736">
        <f t="shared" si="267"/>
        <v>-949.90680944999997</v>
      </c>
      <c r="I736">
        <f t="shared" si="268"/>
        <v>-1266.5773225999999</v>
      </c>
      <c r="J736">
        <f t="shared" si="269"/>
        <v>-1583.2478357499999</v>
      </c>
      <c r="L736">
        <f t="shared" si="270"/>
        <v>211554.6</v>
      </c>
      <c r="M736">
        <f t="shared" si="271"/>
        <v>-544493147.01800001</v>
      </c>
      <c r="N736">
        <f t="shared" si="272"/>
        <v>-937189718.52399993</v>
      </c>
      <c r="O736">
        <f t="shared" si="273"/>
        <v>-1063895626.584</v>
      </c>
      <c r="P736">
        <f t="shared" si="274"/>
        <v>-1165251136.7919998</v>
      </c>
      <c r="Q736">
        <f t="shared" si="275"/>
        <v>-1361593138.7449999</v>
      </c>
      <c r="S736">
        <f t="shared" si="276"/>
        <v>256588.50000000003</v>
      </c>
      <c r="T736">
        <f t="shared" si="277"/>
        <v>-1374122762.971</v>
      </c>
      <c r="U736">
        <f t="shared" si="278"/>
        <v>-1177819511.1179998</v>
      </c>
      <c r="V736">
        <f t="shared" si="279"/>
        <v>-1348867669.4189999</v>
      </c>
      <c r="W736">
        <f t="shared" si="280"/>
        <v>-1735210931.9619999</v>
      </c>
      <c r="X736">
        <f t="shared" si="281"/>
        <v>-1931562359.615</v>
      </c>
      <c r="Z736">
        <f t="shared" si="282"/>
        <v>301622.39999999997</v>
      </c>
      <c r="AA736">
        <f t="shared" si="283"/>
        <v>-829402351.85299993</v>
      </c>
      <c r="AB736">
        <f t="shared" si="284"/>
        <v>-1418449303.7120001</v>
      </c>
      <c r="AC736">
        <f t="shared" si="285"/>
        <v>-1861817346.5219998</v>
      </c>
      <c r="AD736">
        <f t="shared" si="286"/>
        <v>-2305170727.132</v>
      </c>
      <c r="AE736">
        <f t="shared" si="287"/>
        <v>-2501531580.4850001</v>
      </c>
    </row>
    <row r="737" spans="1:31" x14ac:dyDescent="0.25">
      <c r="A737">
        <v>40.387590889999998</v>
      </c>
      <c r="B737">
        <v>121.17900400000001</v>
      </c>
      <c r="C737">
        <v>15.68735695</v>
      </c>
      <c r="D737">
        <v>19.064899440000001</v>
      </c>
      <c r="E737" t="b">
        <f t="shared" si="264"/>
        <v>1</v>
      </c>
      <c r="F737">
        <f t="shared" si="265"/>
        <v>-59.371885309999996</v>
      </c>
      <c r="G737">
        <f t="shared" si="266"/>
        <v>-137.80867006</v>
      </c>
      <c r="H737">
        <f t="shared" si="267"/>
        <v>-216.24545480999998</v>
      </c>
      <c r="I737">
        <f t="shared" si="268"/>
        <v>-294.68223956000003</v>
      </c>
      <c r="J737">
        <f t="shared" si="269"/>
        <v>-373.11902431000004</v>
      </c>
      <c r="L737">
        <f t="shared" si="270"/>
        <v>31688461.038999997</v>
      </c>
      <c r="M737">
        <f t="shared" si="271"/>
        <v>-102119642.7332</v>
      </c>
      <c r="N737">
        <f t="shared" si="272"/>
        <v>-203956831.68880001</v>
      </c>
      <c r="O737">
        <f t="shared" si="273"/>
        <v>-242194909.3872</v>
      </c>
      <c r="P737">
        <f t="shared" si="274"/>
        <v>-271107660.39519995</v>
      </c>
      <c r="Q737">
        <f t="shared" si="275"/>
        <v>-320882360.90660006</v>
      </c>
      <c r="S737">
        <f t="shared" si="276"/>
        <v>38434024.527500004</v>
      </c>
      <c r="T737">
        <f t="shared" si="277"/>
        <v>-299044814.0302</v>
      </c>
      <c r="U737">
        <f t="shared" si="278"/>
        <v>-256324126.3116</v>
      </c>
      <c r="V737">
        <f t="shared" si="279"/>
        <v>-307068545.83019996</v>
      </c>
      <c r="W737">
        <f t="shared" si="280"/>
        <v>-403714668.19720006</v>
      </c>
      <c r="X737">
        <f t="shared" si="281"/>
        <v>-455205209.65820009</v>
      </c>
      <c r="Z737">
        <f t="shared" si="282"/>
        <v>45179588.015999995</v>
      </c>
      <c r="AA737">
        <f t="shared" si="283"/>
        <v>-155554339.5122</v>
      </c>
      <c r="AB737">
        <f t="shared" si="284"/>
        <v>-308691420.93440002</v>
      </c>
      <c r="AC737">
        <f t="shared" si="285"/>
        <v>-423841091.42759997</v>
      </c>
      <c r="AD737">
        <f t="shared" si="286"/>
        <v>-536321675.99920005</v>
      </c>
      <c r="AE737">
        <f t="shared" si="287"/>
        <v>-589528058.40980017</v>
      </c>
    </row>
    <row r="738" spans="1:31" x14ac:dyDescent="0.25">
      <c r="A738">
        <v>40.403980439999998</v>
      </c>
      <c r="B738">
        <v>121.4247793</v>
      </c>
      <c r="C738">
        <v>61.781970979999997</v>
      </c>
      <c r="D738">
        <v>1.0968799600000001</v>
      </c>
      <c r="E738" t="b">
        <f t="shared" si="264"/>
        <v>0</v>
      </c>
      <c r="F738">
        <f t="shared" si="265"/>
        <v>-307.81297493999995</v>
      </c>
      <c r="G738">
        <f t="shared" si="266"/>
        <v>-616.72282983999992</v>
      </c>
      <c r="H738">
        <f t="shared" si="267"/>
        <v>-925.63268473999995</v>
      </c>
      <c r="I738">
        <f t="shared" si="268"/>
        <v>-1234.5425396399999</v>
      </c>
      <c r="J738">
        <f t="shared" si="269"/>
        <v>-1543.4523945399999</v>
      </c>
      <c r="L738">
        <f t="shared" si="270"/>
        <v>2215697.5192000004</v>
      </c>
      <c r="M738">
        <f t="shared" si="271"/>
        <v>-529438316.89679998</v>
      </c>
      <c r="N738">
        <f t="shared" si="272"/>
        <v>-912749788.1631999</v>
      </c>
      <c r="O738">
        <f t="shared" si="273"/>
        <v>-1036708606.9088</v>
      </c>
      <c r="P738">
        <f t="shared" si="274"/>
        <v>-1135779136.4687998</v>
      </c>
      <c r="Q738">
        <f t="shared" si="275"/>
        <v>-1327369059.3044</v>
      </c>
      <c r="S738">
        <f t="shared" si="276"/>
        <v>2687355.9020000007</v>
      </c>
      <c r="T738">
        <f t="shared" si="277"/>
        <v>-1338288540.7527997</v>
      </c>
      <c r="U738">
        <f t="shared" si="278"/>
        <v>-1147104463.5023997</v>
      </c>
      <c r="V738">
        <f t="shared" si="279"/>
        <v>-1314398412.3307998</v>
      </c>
      <c r="W738">
        <f t="shared" si="280"/>
        <v>-1691323279.3067999</v>
      </c>
      <c r="X738">
        <f t="shared" si="281"/>
        <v>-1883011921.3388</v>
      </c>
      <c r="Z738">
        <f t="shared" si="282"/>
        <v>3159014.2848000005</v>
      </c>
      <c r="AA738">
        <f t="shared" si="283"/>
        <v>-806469994.3427999</v>
      </c>
      <c r="AB738">
        <f t="shared" si="284"/>
        <v>-1381459138.8415999</v>
      </c>
      <c r="AC738">
        <f t="shared" si="285"/>
        <v>-1814240062.0903997</v>
      </c>
      <c r="AD738">
        <f t="shared" si="286"/>
        <v>-2246867422.1447997</v>
      </c>
      <c r="AE738">
        <f t="shared" si="287"/>
        <v>-2438654783.3731999</v>
      </c>
    </row>
    <row r="739" spans="1:31" x14ac:dyDescent="0.25">
      <c r="A739">
        <v>40.41250995</v>
      </c>
      <c r="B739">
        <v>121.72972919999999</v>
      </c>
      <c r="C739">
        <v>66.620788570000002</v>
      </c>
      <c r="D739">
        <v>1.22430599</v>
      </c>
      <c r="E739" t="b">
        <f t="shared" si="264"/>
        <v>0</v>
      </c>
      <c r="F739">
        <f t="shared" si="265"/>
        <v>-331.87963686000001</v>
      </c>
      <c r="G739">
        <f t="shared" si="266"/>
        <v>-664.98357971000007</v>
      </c>
      <c r="H739">
        <f t="shared" si="267"/>
        <v>-998.08752256000002</v>
      </c>
      <c r="I739">
        <f t="shared" si="268"/>
        <v>-1331.1914654100001</v>
      </c>
      <c r="J739">
        <f t="shared" si="269"/>
        <v>-1664.2954082600002</v>
      </c>
      <c r="L739">
        <f t="shared" si="270"/>
        <v>2473098.0998</v>
      </c>
      <c r="M739">
        <f t="shared" si="271"/>
        <v>-570832975.39920008</v>
      </c>
      <c r="N739">
        <f t="shared" si="272"/>
        <v>-984175697.97080004</v>
      </c>
      <c r="O739">
        <f t="shared" si="273"/>
        <v>-1117858025.2672002</v>
      </c>
      <c r="P739">
        <f t="shared" si="274"/>
        <v>-1224696148.1772001</v>
      </c>
      <c r="Q739">
        <f t="shared" si="275"/>
        <v>-1431294051.1036003</v>
      </c>
      <c r="S739">
        <f t="shared" si="276"/>
        <v>2999549.6755000004</v>
      </c>
      <c r="T739">
        <f t="shared" si="277"/>
        <v>-1443014367.9707</v>
      </c>
      <c r="U739">
        <f t="shared" si="278"/>
        <v>-1236869458.2606001</v>
      </c>
      <c r="V739">
        <f t="shared" si="279"/>
        <v>-1417284282.0352001</v>
      </c>
      <c r="W739">
        <f t="shared" si="280"/>
        <v>-1823732307.6117003</v>
      </c>
      <c r="X739">
        <f t="shared" si="281"/>
        <v>-2030440398.0772002</v>
      </c>
      <c r="Z739">
        <f t="shared" si="282"/>
        <v>3526001.2511999998</v>
      </c>
      <c r="AA739">
        <f t="shared" si="283"/>
        <v>-869524648.57320011</v>
      </c>
      <c r="AB739">
        <f t="shared" si="284"/>
        <v>-1489563218.5504003</v>
      </c>
      <c r="AC739">
        <f t="shared" si="285"/>
        <v>-1956251544.2176001</v>
      </c>
      <c r="AD739">
        <f t="shared" si="286"/>
        <v>-2422768467.0462003</v>
      </c>
      <c r="AE739">
        <f t="shared" si="287"/>
        <v>-2629586745.0508003</v>
      </c>
    </row>
    <row r="740" spans="1:31" x14ac:dyDescent="0.25">
      <c r="A740">
        <v>40.418434019999999</v>
      </c>
      <c r="B740">
        <v>121.3065862</v>
      </c>
      <c r="C740">
        <v>12.764135359999999</v>
      </c>
      <c r="D740">
        <v>0.91333299999999995</v>
      </c>
      <c r="E740" t="b">
        <f t="shared" si="264"/>
        <v>0</v>
      </c>
      <c r="F740">
        <f t="shared" si="265"/>
        <v>-62.907343799999992</v>
      </c>
      <c r="G740">
        <f t="shared" si="266"/>
        <v>-126.72802059999999</v>
      </c>
      <c r="H740">
        <f t="shared" si="267"/>
        <v>-190.54869739999998</v>
      </c>
      <c r="I740">
        <f t="shared" si="268"/>
        <v>-254.36937419999998</v>
      </c>
      <c r="J740">
        <f t="shared" si="269"/>
        <v>-318.19005099999998</v>
      </c>
      <c r="L740">
        <f t="shared" si="270"/>
        <v>1844932.66</v>
      </c>
      <c r="M740">
        <f t="shared" si="271"/>
        <v>-108200631.336</v>
      </c>
      <c r="N740">
        <f t="shared" si="272"/>
        <v>-187557470.48799998</v>
      </c>
      <c r="O740">
        <f t="shared" si="273"/>
        <v>-213414541.088</v>
      </c>
      <c r="P740">
        <f t="shared" si="274"/>
        <v>-234019824.26399997</v>
      </c>
      <c r="Q740">
        <f t="shared" si="275"/>
        <v>-273643443.86000001</v>
      </c>
      <c r="S740">
        <f t="shared" si="276"/>
        <v>2237665.85</v>
      </c>
      <c r="T740">
        <f t="shared" si="277"/>
        <v>-274999804.70199996</v>
      </c>
      <c r="U740">
        <f t="shared" si="278"/>
        <v>-235714118.31599998</v>
      </c>
      <c r="V740">
        <f t="shared" si="279"/>
        <v>-270579150.30799997</v>
      </c>
      <c r="W740">
        <f t="shared" si="280"/>
        <v>-348486042.65399998</v>
      </c>
      <c r="X740">
        <f t="shared" si="281"/>
        <v>-388191862.21999997</v>
      </c>
      <c r="Z740">
        <f t="shared" si="282"/>
        <v>2630399.04</v>
      </c>
      <c r="AA740">
        <f t="shared" si="283"/>
        <v>-164817240.75599998</v>
      </c>
      <c r="AB740">
        <f t="shared" si="284"/>
        <v>-283870766.14399999</v>
      </c>
      <c r="AC740">
        <f t="shared" si="285"/>
        <v>-373475446.90399992</v>
      </c>
      <c r="AD740">
        <f t="shared" si="286"/>
        <v>-462952261.04399997</v>
      </c>
      <c r="AE740">
        <f t="shared" si="287"/>
        <v>-502740280.58000004</v>
      </c>
    </row>
    <row r="741" spans="1:31" x14ac:dyDescent="0.25">
      <c r="A741">
        <v>40.441875029999999</v>
      </c>
      <c r="B741">
        <v>121.49338880000001</v>
      </c>
      <c r="C741">
        <v>16.147008899999999</v>
      </c>
      <c r="D741">
        <v>1.5915980300000001</v>
      </c>
      <c r="E741" t="b">
        <f t="shared" si="264"/>
        <v>0</v>
      </c>
      <c r="F741">
        <f t="shared" si="265"/>
        <v>-79.143446470000001</v>
      </c>
      <c r="G741">
        <f t="shared" si="266"/>
        <v>-159.87849097</v>
      </c>
      <c r="H741">
        <f t="shared" si="267"/>
        <v>-240.61353546999999</v>
      </c>
      <c r="I741">
        <f t="shared" si="268"/>
        <v>-321.34857997</v>
      </c>
      <c r="J741">
        <f t="shared" si="269"/>
        <v>-402.08362446999996</v>
      </c>
      <c r="L741">
        <f t="shared" si="270"/>
        <v>3215028.0205999999</v>
      </c>
      <c r="M741">
        <f t="shared" si="271"/>
        <v>-136126727.92840001</v>
      </c>
      <c r="N741">
        <f t="shared" si="272"/>
        <v>-236620166.6356</v>
      </c>
      <c r="O741">
        <f t="shared" si="273"/>
        <v>-269487159.72640002</v>
      </c>
      <c r="P741">
        <f t="shared" si="274"/>
        <v>-295640693.57239997</v>
      </c>
      <c r="Q741">
        <f t="shared" si="275"/>
        <v>-345791917.04419994</v>
      </c>
      <c r="S741">
        <f t="shared" si="276"/>
        <v>3899415.1735000005</v>
      </c>
      <c r="T741">
        <f t="shared" si="277"/>
        <v>-346936325.40490001</v>
      </c>
      <c r="U741">
        <f t="shared" si="278"/>
        <v>-297373993.20419997</v>
      </c>
      <c r="V741">
        <f t="shared" si="279"/>
        <v>-341671220.36739999</v>
      </c>
      <c r="W741">
        <f t="shared" si="280"/>
        <v>-440247554.55890006</v>
      </c>
      <c r="X741">
        <f t="shared" si="281"/>
        <v>-490542021.85339993</v>
      </c>
      <c r="Z741">
        <f t="shared" si="282"/>
        <v>4583802.3263999997</v>
      </c>
      <c r="AA741">
        <f t="shared" si="283"/>
        <v>-207355829.75139999</v>
      </c>
      <c r="AB741">
        <f t="shared" si="284"/>
        <v>-358127819.77280003</v>
      </c>
      <c r="AC741">
        <f t="shared" si="285"/>
        <v>-471602529.5212</v>
      </c>
      <c r="AD741">
        <f t="shared" si="286"/>
        <v>-584854415.54540002</v>
      </c>
      <c r="AE741">
        <f t="shared" si="287"/>
        <v>-635292126.66259992</v>
      </c>
    </row>
    <row r="742" spans="1:31" x14ac:dyDescent="0.25">
      <c r="A742">
        <v>40.539469560000001</v>
      </c>
      <c r="B742">
        <v>121.4532999</v>
      </c>
      <c r="C742">
        <v>19.173845289999999</v>
      </c>
      <c r="D742">
        <v>4.3315958999999999</v>
      </c>
      <c r="E742" t="b">
        <f t="shared" si="264"/>
        <v>0</v>
      </c>
      <c r="F742">
        <f t="shared" si="265"/>
        <v>-91.537630550000003</v>
      </c>
      <c r="G742">
        <f t="shared" si="266"/>
        <v>-187.406857</v>
      </c>
      <c r="H742">
        <f t="shared" si="267"/>
        <v>-283.27608344999999</v>
      </c>
      <c r="I742">
        <f t="shared" si="268"/>
        <v>-379.14530989999997</v>
      </c>
      <c r="J742">
        <f t="shared" si="269"/>
        <v>-475.01453634999996</v>
      </c>
      <c r="L742">
        <f t="shared" si="270"/>
        <v>8749823.7180000003</v>
      </c>
      <c r="M742">
        <f t="shared" si="271"/>
        <v>-157444724.546</v>
      </c>
      <c r="N742">
        <f t="shared" si="272"/>
        <v>-277362148.36000001</v>
      </c>
      <c r="O742">
        <f t="shared" si="273"/>
        <v>-317269213.46400005</v>
      </c>
      <c r="P742">
        <f t="shared" si="274"/>
        <v>-348813685.10799998</v>
      </c>
      <c r="Q742">
        <f t="shared" si="275"/>
        <v>-408512501.26099998</v>
      </c>
      <c r="S742">
        <f t="shared" si="276"/>
        <v>10612409.955000002</v>
      </c>
      <c r="T742">
        <f t="shared" si="277"/>
        <v>-406672879.69</v>
      </c>
      <c r="U742">
        <f t="shared" si="278"/>
        <v>-348576754.01999998</v>
      </c>
      <c r="V742">
        <f t="shared" si="279"/>
        <v>-402252038.49899995</v>
      </c>
      <c r="W742">
        <f t="shared" si="280"/>
        <v>-519429074.56300002</v>
      </c>
      <c r="X742">
        <f t="shared" si="281"/>
        <v>-579517734.347</v>
      </c>
      <c r="Z742">
        <f t="shared" si="282"/>
        <v>12474996.192</v>
      </c>
      <c r="AA742">
        <f t="shared" si="283"/>
        <v>-239828592.04100001</v>
      </c>
      <c r="AB742">
        <f t="shared" si="284"/>
        <v>-419791359.68000007</v>
      </c>
      <c r="AC742">
        <f t="shared" si="285"/>
        <v>-555221123.56199992</v>
      </c>
      <c r="AD742">
        <f t="shared" si="286"/>
        <v>-690044464.01800001</v>
      </c>
      <c r="AE742">
        <f t="shared" si="287"/>
        <v>-750522967.43299997</v>
      </c>
    </row>
    <row r="743" spans="1:31" x14ac:dyDescent="0.25">
      <c r="A743">
        <v>40.553946719999999</v>
      </c>
      <c r="B743">
        <v>121.3348957</v>
      </c>
      <c r="C743">
        <v>18.212173459999999</v>
      </c>
      <c r="D743">
        <v>1.7140289500000001</v>
      </c>
      <c r="E743" t="b">
        <f t="shared" si="264"/>
        <v>0</v>
      </c>
      <c r="F743">
        <f t="shared" si="265"/>
        <v>-89.346838349999999</v>
      </c>
      <c r="G743">
        <f t="shared" si="266"/>
        <v>-180.40770565</v>
      </c>
      <c r="H743">
        <f t="shared" si="267"/>
        <v>-271.46857295000001</v>
      </c>
      <c r="I743">
        <f t="shared" si="268"/>
        <v>-362.52944024999999</v>
      </c>
      <c r="J743">
        <f t="shared" si="269"/>
        <v>-453.59030754999998</v>
      </c>
      <c r="L743">
        <f t="shared" si="270"/>
        <v>3462338.4790000003</v>
      </c>
      <c r="M743">
        <f t="shared" si="271"/>
        <v>-153676561.96200001</v>
      </c>
      <c r="N743">
        <f t="shared" si="272"/>
        <v>-267003404.36200002</v>
      </c>
      <c r="O743">
        <f t="shared" si="273"/>
        <v>-304044801.704</v>
      </c>
      <c r="P743">
        <f t="shared" si="274"/>
        <v>-333527085.02999997</v>
      </c>
      <c r="Q743">
        <f t="shared" si="275"/>
        <v>-390087664.49299997</v>
      </c>
      <c r="S743">
        <f t="shared" si="276"/>
        <v>4199370.9275000012</v>
      </c>
      <c r="T743">
        <f t="shared" si="277"/>
        <v>-391484721.26050001</v>
      </c>
      <c r="U743">
        <f t="shared" si="278"/>
        <v>-335558332.509</v>
      </c>
      <c r="V743">
        <f t="shared" si="279"/>
        <v>-385485373.58899999</v>
      </c>
      <c r="W743">
        <f t="shared" si="280"/>
        <v>-496665333.14250004</v>
      </c>
      <c r="X743">
        <f t="shared" si="281"/>
        <v>-553380175.21099997</v>
      </c>
      <c r="Z743">
        <f t="shared" si="282"/>
        <v>4936403.3760000002</v>
      </c>
      <c r="AA743">
        <f t="shared" si="283"/>
        <v>-234088716.477</v>
      </c>
      <c r="AB743">
        <f t="shared" si="284"/>
        <v>-404113260.65600008</v>
      </c>
      <c r="AC743">
        <f t="shared" si="285"/>
        <v>-532078402.98199999</v>
      </c>
      <c r="AD743">
        <f t="shared" si="286"/>
        <v>-659803581.255</v>
      </c>
      <c r="AE743">
        <f t="shared" si="287"/>
        <v>-716672685.9289999</v>
      </c>
    </row>
    <row r="744" spans="1:31" x14ac:dyDescent="0.25">
      <c r="A744">
        <v>40.578179310000003</v>
      </c>
      <c r="B744">
        <v>121.88691059999999</v>
      </c>
      <c r="C744">
        <v>15.833525659999999</v>
      </c>
      <c r="D744">
        <v>9.5495901100000005</v>
      </c>
      <c r="E744" t="b">
        <f t="shared" si="264"/>
        <v>0</v>
      </c>
      <c r="F744">
        <f t="shared" si="265"/>
        <v>-69.618038189999993</v>
      </c>
      <c r="G744">
        <f t="shared" si="266"/>
        <v>-148.78566648999998</v>
      </c>
      <c r="H744">
        <f t="shared" si="267"/>
        <v>-227.95329479</v>
      </c>
      <c r="I744">
        <f t="shared" si="268"/>
        <v>-307.12092308999996</v>
      </c>
      <c r="J744">
        <f t="shared" si="269"/>
        <v>-386.28855139000001</v>
      </c>
      <c r="L744">
        <f t="shared" si="270"/>
        <v>19290172.022200003</v>
      </c>
      <c r="M744">
        <f t="shared" si="271"/>
        <v>-119743025.6868</v>
      </c>
      <c r="N744">
        <f t="shared" si="272"/>
        <v>-220202786.40519997</v>
      </c>
      <c r="O744">
        <f t="shared" si="273"/>
        <v>-255307690.16480002</v>
      </c>
      <c r="P744">
        <f t="shared" si="274"/>
        <v>-282551249.24279994</v>
      </c>
      <c r="Q744">
        <f t="shared" si="275"/>
        <v>-332208154.1954</v>
      </c>
      <c r="S744">
        <f t="shared" si="276"/>
        <v>23396495.769500006</v>
      </c>
      <c r="T744">
        <f t="shared" si="277"/>
        <v>-322864896.28329992</v>
      </c>
      <c r="U744">
        <f t="shared" si="278"/>
        <v>-276741339.67139995</v>
      </c>
      <c r="V744">
        <f t="shared" si="279"/>
        <v>-323693678.60179996</v>
      </c>
      <c r="W744">
        <f t="shared" si="280"/>
        <v>-420755664.63330001</v>
      </c>
      <c r="X744">
        <f t="shared" si="281"/>
        <v>-471272032.69579995</v>
      </c>
      <c r="Z744">
        <f t="shared" si="282"/>
        <v>27502819.516800001</v>
      </c>
      <c r="AA744">
        <f t="shared" si="283"/>
        <v>-182399260.05779999</v>
      </c>
      <c r="AB744">
        <f t="shared" si="284"/>
        <v>-333279892.93759996</v>
      </c>
      <c r="AC744">
        <f t="shared" si="285"/>
        <v>-446788457.78839999</v>
      </c>
      <c r="AD744">
        <f t="shared" si="286"/>
        <v>-558960080.02380002</v>
      </c>
      <c r="AE744">
        <f t="shared" si="287"/>
        <v>-610335911.19620001</v>
      </c>
    </row>
    <row r="745" spans="1:31" x14ac:dyDescent="0.25">
      <c r="A745">
        <v>40.615173009999999</v>
      </c>
      <c r="B745">
        <v>121.59087049999999</v>
      </c>
      <c r="C745">
        <v>68.557296750000006</v>
      </c>
      <c r="D745">
        <v>1.3467370299999999</v>
      </c>
      <c r="E745" t="b">
        <f t="shared" si="264"/>
        <v>0</v>
      </c>
      <c r="F745">
        <f t="shared" si="265"/>
        <v>-341.43974672000002</v>
      </c>
      <c r="G745">
        <f t="shared" si="266"/>
        <v>-684.22623047000002</v>
      </c>
      <c r="H745">
        <f t="shared" si="267"/>
        <v>-1027.0127142200001</v>
      </c>
      <c r="I745">
        <f t="shared" si="268"/>
        <v>-1369.79919797</v>
      </c>
      <c r="J745">
        <f t="shared" si="269"/>
        <v>-1712.5856817200001</v>
      </c>
      <c r="L745">
        <f t="shared" si="270"/>
        <v>2720408.8005999997</v>
      </c>
      <c r="M745">
        <f t="shared" si="271"/>
        <v>-587276364.35840011</v>
      </c>
      <c r="N745">
        <f t="shared" si="272"/>
        <v>-1012654821.0956</v>
      </c>
      <c r="O745">
        <f t="shared" si="273"/>
        <v>-1150254239.9264002</v>
      </c>
      <c r="P745">
        <f t="shared" si="274"/>
        <v>-1260215262.1324</v>
      </c>
      <c r="Q745">
        <f t="shared" si="275"/>
        <v>-1472823686.2792001</v>
      </c>
      <c r="S745">
        <f t="shared" si="276"/>
        <v>3299505.7234999998</v>
      </c>
      <c r="T745">
        <f t="shared" si="277"/>
        <v>-1484770920.1199</v>
      </c>
      <c r="U745">
        <f t="shared" si="278"/>
        <v>-1272660788.6742001</v>
      </c>
      <c r="V745">
        <f t="shared" si="279"/>
        <v>-1458358054.1924002</v>
      </c>
      <c r="W745">
        <f t="shared" si="280"/>
        <v>-1876624901.2189002</v>
      </c>
      <c r="X745">
        <f t="shared" si="281"/>
        <v>-2089354531.6984</v>
      </c>
      <c r="Z745">
        <f t="shared" si="282"/>
        <v>3878602.646399999</v>
      </c>
      <c r="AA745">
        <f t="shared" si="283"/>
        <v>-894572136.40640008</v>
      </c>
      <c r="AB745">
        <f t="shared" si="284"/>
        <v>-1532666756.2528002</v>
      </c>
      <c r="AC745">
        <f t="shared" si="285"/>
        <v>-2012944919.8712003</v>
      </c>
      <c r="AD745">
        <f t="shared" si="286"/>
        <v>-2493034540.3054004</v>
      </c>
      <c r="AE745">
        <f t="shared" si="287"/>
        <v>-2705885377.1176</v>
      </c>
    </row>
    <row r="746" spans="1:31" x14ac:dyDescent="0.25">
      <c r="A746">
        <v>40.62329914</v>
      </c>
      <c r="B746">
        <v>121.8967109</v>
      </c>
      <c r="C746">
        <v>22.600711820000001</v>
      </c>
      <c r="D746">
        <v>6.0854158399999996</v>
      </c>
      <c r="E746" t="b">
        <f t="shared" si="264"/>
        <v>0</v>
      </c>
      <c r="F746">
        <f t="shared" si="265"/>
        <v>-106.91814326000001</v>
      </c>
      <c r="G746">
        <f t="shared" si="266"/>
        <v>-219.92170236000001</v>
      </c>
      <c r="H746">
        <f t="shared" si="267"/>
        <v>-332.92526146</v>
      </c>
      <c r="I746">
        <f t="shared" si="268"/>
        <v>-445.92882056000002</v>
      </c>
      <c r="J746">
        <f t="shared" si="269"/>
        <v>-558.93237966000004</v>
      </c>
      <c r="L746">
        <f t="shared" si="270"/>
        <v>12292539.9968</v>
      </c>
      <c r="M746">
        <f t="shared" si="271"/>
        <v>-183899206.40720004</v>
      </c>
      <c r="N746">
        <f t="shared" si="272"/>
        <v>-325484119.4928</v>
      </c>
      <c r="O746">
        <f t="shared" si="273"/>
        <v>-372876292.83520001</v>
      </c>
      <c r="P746">
        <f t="shared" si="274"/>
        <v>-410254514.9152</v>
      </c>
      <c r="Q746">
        <f t="shared" si="275"/>
        <v>-480681846.50760007</v>
      </c>
      <c r="S746">
        <f t="shared" si="276"/>
        <v>14909268.808</v>
      </c>
      <c r="T746">
        <f t="shared" si="277"/>
        <v>-477230094.12120003</v>
      </c>
      <c r="U746">
        <f t="shared" si="278"/>
        <v>-409054366.38959998</v>
      </c>
      <c r="V746">
        <f t="shared" si="279"/>
        <v>-472753871.27319998</v>
      </c>
      <c r="W746">
        <f t="shared" si="280"/>
        <v>-610922484.16720009</v>
      </c>
      <c r="X746">
        <f t="shared" si="281"/>
        <v>-681897503.1852001</v>
      </c>
      <c r="Z746">
        <f t="shared" si="282"/>
        <v>17525997.619199999</v>
      </c>
      <c r="AA746">
        <f t="shared" si="283"/>
        <v>-280125535.34120005</v>
      </c>
      <c r="AB746">
        <f t="shared" si="284"/>
        <v>-492624613.28640008</v>
      </c>
      <c r="AC746">
        <f t="shared" si="285"/>
        <v>-652533512.46159995</v>
      </c>
      <c r="AD746">
        <f t="shared" si="286"/>
        <v>-811590453.41920006</v>
      </c>
      <c r="AE746">
        <f t="shared" si="287"/>
        <v>-883113159.86280012</v>
      </c>
    </row>
    <row r="747" spans="1:31" x14ac:dyDescent="0.25">
      <c r="A747">
        <v>40.638187700000003</v>
      </c>
      <c r="B747">
        <v>121.7782601</v>
      </c>
      <c r="C747">
        <v>47.668087010000001</v>
      </c>
      <c r="D747">
        <v>0.48972300000000002</v>
      </c>
      <c r="E747" t="b">
        <f t="shared" si="264"/>
        <v>0</v>
      </c>
      <c r="F747">
        <f t="shared" si="265"/>
        <v>-237.85071205</v>
      </c>
      <c r="G747">
        <f t="shared" si="266"/>
        <v>-476.19114709999997</v>
      </c>
      <c r="H747">
        <f t="shared" si="267"/>
        <v>-714.53158214999996</v>
      </c>
      <c r="I747">
        <f t="shared" si="268"/>
        <v>-952.87201719999996</v>
      </c>
      <c r="J747">
        <f t="shared" si="269"/>
        <v>-1191.2124522500001</v>
      </c>
      <c r="L747">
        <f t="shared" si="270"/>
        <v>989240.46</v>
      </c>
      <c r="M747">
        <f t="shared" si="271"/>
        <v>-409103224.72600007</v>
      </c>
      <c r="N747">
        <f t="shared" si="272"/>
        <v>-704762897.70799994</v>
      </c>
      <c r="O747">
        <f t="shared" si="273"/>
        <v>-800275372.00800002</v>
      </c>
      <c r="P747">
        <f t="shared" si="274"/>
        <v>-876642255.82399988</v>
      </c>
      <c r="Q747">
        <f t="shared" si="275"/>
        <v>-1024442708.9349999</v>
      </c>
      <c r="S747">
        <f t="shared" si="276"/>
        <v>1199821.3500000001</v>
      </c>
      <c r="T747">
        <f t="shared" si="277"/>
        <v>-1033334789.2069999</v>
      </c>
      <c r="U747">
        <f t="shared" si="278"/>
        <v>-885715533.60599983</v>
      </c>
      <c r="V747">
        <f t="shared" si="279"/>
        <v>-1014634846.6529999</v>
      </c>
      <c r="W747">
        <f t="shared" si="280"/>
        <v>-1305434663.5639999</v>
      </c>
      <c r="X747">
        <f t="shared" si="281"/>
        <v>-1453279191.7449999</v>
      </c>
      <c r="Z747">
        <f t="shared" si="282"/>
        <v>1410402.24</v>
      </c>
      <c r="AA747">
        <f t="shared" si="283"/>
        <v>-623168865.5710001</v>
      </c>
      <c r="AB747">
        <f t="shared" si="284"/>
        <v>-1066668169.5040001</v>
      </c>
      <c r="AC747">
        <f t="shared" si="285"/>
        <v>-1400481901.0139999</v>
      </c>
      <c r="AD747">
        <f t="shared" si="286"/>
        <v>-1734227071.3039999</v>
      </c>
      <c r="AE747">
        <f t="shared" si="287"/>
        <v>-1882115674.5550001</v>
      </c>
    </row>
    <row r="748" spans="1:31" x14ac:dyDescent="0.25">
      <c r="A748">
        <v>40.660925239999997</v>
      </c>
      <c r="B748">
        <v>121.96576589999999</v>
      </c>
      <c r="C748">
        <v>7.0552001000000004</v>
      </c>
      <c r="D748">
        <v>5.2337751399999997</v>
      </c>
      <c r="E748" t="b">
        <f t="shared" si="264"/>
        <v>0</v>
      </c>
      <c r="F748">
        <f t="shared" si="265"/>
        <v>-30.042225360000003</v>
      </c>
      <c r="G748">
        <f t="shared" si="266"/>
        <v>-65.318225859999998</v>
      </c>
      <c r="H748">
        <f t="shared" si="267"/>
        <v>-100.59422635999999</v>
      </c>
      <c r="I748">
        <f t="shared" si="268"/>
        <v>-135.87022686</v>
      </c>
      <c r="J748">
        <f t="shared" si="269"/>
        <v>-171.14622736000001</v>
      </c>
      <c r="L748">
        <f t="shared" si="270"/>
        <v>10572225.7828</v>
      </c>
      <c r="M748">
        <f t="shared" si="271"/>
        <v>-51672627.619200014</v>
      </c>
      <c r="N748">
        <f t="shared" si="272"/>
        <v>-96670974.272799999</v>
      </c>
      <c r="O748">
        <f t="shared" si="273"/>
        <v>-112665533.52320001</v>
      </c>
      <c r="P748">
        <f t="shared" si="274"/>
        <v>-125000608.7112</v>
      </c>
      <c r="Q748">
        <f t="shared" si="275"/>
        <v>-147185755.52960002</v>
      </c>
      <c r="S748">
        <f t="shared" si="276"/>
        <v>12822749.093</v>
      </c>
      <c r="T748">
        <f t="shared" si="277"/>
        <v>-141740550.1162</v>
      </c>
      <c r="U748">
        <f t="shared" si="278"/>
        <v>-121491900.09959999</v>
      </c>
      <c r="V748">
        <f t="shared" si="279"/>
        <v>-142843801.4312</v>
      </c>
      <c r="W748">
        <f t="shared" si="280"/>
        <v>-186142210.79820004</v>
      </c>
      <c r="X748">
        <f t="shared" si="281"/>
        <v>-208798397.37920001</v>
      </c>
      <c r="Z748">
        <f t="shared" si="282"/>
        <v>15073272.403199999</v>
      </c>
      <c r="AA748">
        <f t="shared" si="283"/>
        <v>-78710630.443200007</v>
      </c>
      <c r="AB748">
        <f t="shared" si="284"/>
        <v>-146312825.92640001</v>
      </c>
      <c r="AC748">
        <f t="shared" si="285"/>
        <v>-197164683.6656</v>
      </c>
      <c r="AD748">
        <f t="shared" si="286"/>
        <v>-247283812.88520002</v>
      </c>
      <c r="AE748">
        <f t="shared" si="287"/>
        <v>-270411039.22880006</v>
      </c>
    </row>
    <row r="749" spans="1:31" x14ac:dyDescent="0.25">
      <c r="A749">
        <v>40.667632570000002</v>
      </c>
      <c r="B749">
        <v>121.5412159</v>
      </c>
      <c r="C749">
        <v>15.68735695</v>
      </c>
      <c r="D749">
        <v>29.341726300000001</v>
      </c>
      <c r="E749" t="b">
        <f t="shared" si="264"/>
        <v>1</v>
      </c>
      <c r="F749">
        <f t="shared" si="265"/>
        <v>-49.095058449999996</v>
      </c>
      <c r="G749">
        <f t="shared" si="266"/>
        <v>-127.5318432</v>
      </c>
      <c r="H749">
        <f t="shared" si="267"/>
        <v>-205.96862794999998</v>
      </c>
      <c r="I749">
        <f t="shared" si="268"/>
        <v>-284.4054127</v>
      </c>
      <c r="J749">
        <f t="shared" si="269"/>
        <v>-362.84219745000001</v>
      </c>
      <c r="L749">
        <f t="shared" si="270"/>
        <v>31688461.038999997</v>
      </c>
      <c r="M749">
        <f t="shared" si="271"/>
        <v>-84443500.534000009</v>
      </c>
      <c r="N749">
        <f t="shared" si="272"/>
        <v>-188747127.93599999</v>
      </c>
      <c r="O749">
        <f t="shared" si="273"/>
        <v>-230684863.30400002</v>
      </c>
      <c r="P749">
        <f t="shared" si="274"/>
        <v>-261652979.68399996</v>
      </c>
      <c r="Q749">
        <f t="shared" si="275"/>
        <v>-312044289.80699998</v>
      </c>
      <c r="S749">
        <f t="shared" si="276"/>
        <v>38434024.527500004</v>
      </c>
      <c r="T749">
        <f t="shared" si="277"/>
        <v>-276744099.74400002</v>
      </c>
      <c r="U749">
        <f t="shared" si="278"/>
        <v>-237209228.352</v>
      </c>
      <c r="V749">
        <f t="shared" si="279"/>
        <v>-292475451.68899995</v>
      </c>
      <c r="W749">
        <f t="shared" si="280"/>
        <v>-389635415.39899999</v>
      </c>
      <c r="X749">
        <f t="shared" si="281"/>
        <v>-442667480.889</v>
      </c>
      <c r="Z749">
        <f t="shared" si="282"/>
        <v>45179588.015999995</v>
      </c>
      <c r="AA749">
        <f t="shared" si="283"/>
        <v>-128629053.139</v>
      </c>
      <c r="AB749">
        <f t="shared" si="284"/>
        <v>-285671328.76800001</v>
      </c>
      <c r="AC749">
        <f t="shared" si="285"/>
        <v>-403698510.78199995</v>
      </c>
      <c r="AD749">
        <f t="shared" si="286"/>
        <v>-517617851.11400002</v>
      </c>
      <c r="AE749">
        <f t="shared" si="287"/>
        <v>-573290671.97099996</v>
      </c>
    </row>
    <row r="750" spans="1:31" x14ac:dyDescent="0.25">
      <c r="A750">
        <v>40.668415080000003</v>
      </c>
      <c r="B750">
        <v>121.9065232</v>
      </c>
      <c r="C750">
        <v>22.600711820000001</v>
      </c>
      <c r="D750">
        <v>1.26720798</v>
      </c>
      <c r="E750" t="b">
        <f t="shared" si="264"/>
        <v>0</v>
      </c>
      <c r="F750">
        <f t="shared" si="265"/>
        <v>-111.73635112000001</v>
      </c>
      <c r="G750">
        <f t="shared" si="266"/>
        <v>-224.73991022000001</v>
      </c>
      <c r="H750">
        <f t="shared" si="267"/>
        <v>-337.74346931999997</v>
      </c>
      <c r="I750">
        <f t="shared" si="268"/>
        <v>-450.74702841999999</v>
      </c>
      <c r="J750">
        <f t="shared" si="269"/>
        <v>-563.75058752000007</v>
      </c>
      <c r="L750">
        <f t="shared" si="270"/>
        <v>2559760.1195999999</v>
      </c>
      <c r="M750">
        <f t="shared" si="271"/>
        <v>-192186523.92640004</v>
      </c>
      <c r="N750">
        <f t="shared" si="272"/>
        <v>-332615067.12559998</v>
      </c>
      <c r="O750">
        <f t="shared" si="273"/>
        <v>-378272685.63840002</v>
      </c>
      <c r="P750">
        <f t="shared" si="274"/>
        <v>-414687266.14639997</v>
      </c>
      <c r="Q750">
        <f t="shared" si="275"/>
        <v>-484825505.26720005</v>
      </c>
      <c r="S750">
        <f t="shared" si="276"/>
        <v>3104659.551</v>
      </c>
      <c r="T750">
        <f t="shared" si="277"/>
        <v>-487685605.17739999</v>
      </c>
      <c r="U750">
        <f t="shared" si="278"/>
        <v>-418016233.00919998</v>
      </c>
      <c r="V750">
        <f t="shared" si="279"/>
        <v>-479595726.43439996</v>
      </c>
      <c r="W750">
        <f t="shared" si="280"/>
        <v>-617523428.93540013</v>
      </c>
      <c r="X750">
        <f t="shared" si="281"/>
        <v>-687775716.77440012</v>
      </c>
      <c r="Z750">
        <f t="shared" si="282"/>
        <v>3649558.9823999996</v>
      </c>
      <c r="AA750">
        <f t="shared" si="283"/>
        <v>-292749239.93440002</v>
      </c>
      <c r="AB750">
        <f t="shared" si="284"/>
        <v>-503417398.89280003</v>
      </c>
      <c r="AC750">
        <f t="shared" si="285"/>
        <v>-661977199.86720002</v>
      </c>
      <c r="AD750">
        <f t="shared" si="286"/>
        <v>-820359591.72440004</v>
      </c>
      <c r="AE750">
        <f t="shared" si="287"/>
        <v>-890725928.28160024</v>
      </c>
    </row>
    <row r="751" spans="1:31" x14ac:dyDescent="0.25">
      <c r="A751">
        <v>40.68942526</v>
      </c>
      <c r="B751">
        <v>121.3633093</v>
      </c>
      <c r="C751">
        <v>44.05892944</v>
      </c>
      <c r="D751">
        <v>2.4486129299999999</v>
      </c>
      <c r="E751" t="b">
        <f t="shared" si="264"/>
        <v>0</v>
      </c>
      <c r="F751">
        <f t="shared" si="265"/>
        <v>-217.84603426999999</v>
      </c>
      <c r="G751">
        <f t="shared" si="266"/>
        <v>-438.14068146999995</v>
      </c>
      <c r="H751">
        <f t="shared" si="267"/>
        <v>-658.43532866999999</v>
      </c>
      <c r="I751">
        <f t="shared" si="268"/>
        <v>-878.72997586999998</v>
      </c>
      <c r="J751">
        <f t="shared" si="269"/>
        <v>-1099.02462307</v>
      </c>
      <c r="L751">
        <f t="shared" si="270"/>
        <v>4946198.1185999997</v>
      </c>
      <c r="M751">
        <f t="shared" si="271"/>
        <v>-374695178.94440001</v>
      </c>
      <c r="N751">
        <f t="shared" si="272"/>
        <v>-648448208.57559991</v>
      </c>
      <c r="O751">
        <f t="shared" si="273"/>
        <v>-737447568.11040008</v>
      </c>
      <c r="P751">
        <f t="shared" si="274"/>
        <v>-808431577.8003999</v>
      </c>
      <c r="Q751">
        <f t="shared" si="275"/>
        <v>-945161175.84019995</v>
      </c>
      <c r="S751">
        <f t="shared" si="276"/>
        <v>5999101.6784999995</v>
      </c>
      <c r="T751">
        <f t="shared" si="277"/>
        <v>-950765278.78989995</v>
      </c>
      <c r="U751">
        <f t="shared" si="278"/>
        <v>-814941667.53419983</v>
      </c>
      <c r="V751">
        <f t="shared" si="279"/>
        <v>-934978166.71139991</v>
      </c>
      <c r="W751">
        <f t="shared" si="280"/>
        <v>-1203860066.9419</v>
      </c>
      <c r="X751">
        <f t="shared" si="281"/>
        <v>-1340810040.1453998</v>
      </c>
      <c r="Z751">
        <f t="shared" si="282"/>
        <v>7052005.2383999992</v>
      </c>
      <c r="AA751">
        <f t="shared" si="283"/>
        <v>-570756609.78740001</v>
      </c>
      <c r="AB751">
        <f t="shared" si="284"/>
        <v>-981435126.4928</v>
      </c>
      <c r="AC751">
        <f t="shared" si="285"/>
        <v>-1290533244.1931999</v>
      </c>
      <c r="AD751">
        <f t="shared" si="286"/>
        <v>-1599288556.0834</v>
      </c>
      <c r="AE751">
        <f t="shared" si="287"/>
        <v>-1736458904.4505999</v>
      </c>
    </row>
    <row r="752" spans="1:31" x14ac:dyDescent="0.25">
      <c r="A752">
        <v>40.706033210000001</v>
      </c>
      <c r="B752">
        <v>121.97562550000001</v>
      </c>
      <c r="C752">
        <v>22.600711820000001</v>
      </c>
      <c r="D752">
        <v>0.34680101000000002</v>
      </c>
      <c r="E752" t="b">
        <f t="shared" si="264"/>
        <v>0</v>
      </c>
      <c r="F752">
        <f t="shared" si="265"/>
        <v>-112.65675809000001</v>
      </c>
      <c r="G752">
        <f t="shared" si="266"/>
        <v>-225.66031719</v>
      </c>
      <c r="H752">
        <f t="shared" si="267"/>
        <v>-338.66387629000002</v>
      </c>
      <c r="I752">
        <f t="shared" si="268"/>
        <v>-451.66743539000004</v>
      </c>
      <c r="J752">
        <f t="shared" si="269"/>
        <v>-564.67099449</v>
      </c>
      <c r="L752">
        <f t="shared" si="270"/>
        <v>700538.04020000005</v>
      </c>
      <c r="M752">
        <f t="shared" si="271"/>
        <v>-193769623.91480002</v>
      </c>
      <c r="N752">
        <f t="shared" si="272"/>
        <v>-333977269.44120002</v>
      </c>
      <c r="O752">
        <f t="shared" si="273"/>
        <v>-379303541.44480008</v>
      </c>
      <c r="P752">
        <f t="shared" si="274"/>
        <v>-415534040.55879998</v>
      </c>
      <c r="Q752">
        <f t="shared" si="275"/>
        <v>-485617055.26139998</v>
      </c>
      <c r="S752">
        <f t="shared" si="276"/>
        <v>849662.47450000013</v>
      </c>
      <c r="T752">
        <f t="shared" si="277"/>
        <v>-489682888.30229998</v>
      </c>
      <c r="U752">
        <f t="shared" si="278"/>
        <v>-419728189.9734</v>
      </c>
      <c r="V752">
        <f t="shared" si="279"/>
        <v>-480902704.33179998</v>
      </c>
      <c r="W752">
        <f t="shared" si="280"/>
        <v>-618784386.48430014</v>
      </c>
      <c r="X752">
        <f t="shared" si="281"/>
        <v>-688898613.27779996</v>
      </c>
      <c r="Z752">
        <f t="shared" si="282"/>
        <v>998786.90879999998</v>
      </c>
      <c r="AA752">
        <f t="shared" si="283"/>
        <v>-295160706.19580001</v>
      </c>
      <c r="AB752">
        <f t="shared" si="284"/>
        <v>-505479110.50560004</v>
      </c>
      <c r="AC752">
        <f t="shared" si="285"/>
        <v>-663781197.52840006</v>
      </c>
      <c r="AD752">
        <f t="shared" si="286"/>
        <v>-822034732.40980005</v>
      </c>
      <c r="AE752">
        <f t="shared" si="287"/>
        <v>-892180171.29420006</v>
      </c>
    </row>
    <row r="753" spans="1:31" x14ac:dyDescent="0.25">
      <c r="A753">
        <v>40.818660119999997</v>
      </c>
      <c r="B753">
        <v>121.81729900000001</v>
      </c>
      <c r="C753">
        <v>22.600711820000001</v>
      </c>
      <c r="D753">
        <v>9.4244403800000001</v>
      </c>
      <c r="E753" t="b">
        <f t="shared" si="264"/>
        <v>0</v>
      </c>
      <c r="F753">
        <f t="shared" si="265"/>
        <v>-103.57911872</v>
      </c>
      <c r="G753">
        <f t="shared" si="266"/>
        <v>-216.58267782000001</v>
      </c>
      <c r="H753">
        <f t="shared" si="267"/>
        <v>-329.58623691999998</v>
      </c>
      <c r="I753">
        <f t="shared" si="268"/>
        <v>-442.58979601999999</v>
      </c>
      <c r="J753">
        <f t="shared" si="269"/>
        <v>-555.59335512000007</v>
      </c>
      <c r="L753">
        <f t="shared" si="270"/>
        <v>19037369.567600001</v>
      </c>
      <c r="M753">
        <f t="shared" si="271"/>
        <v>-178156084.19840002</v>
      </c>
      <c r="N753">
        <f t="shared" si="272"/>
        <v>-320542363.17360002</v>
      </c>
      <c r="O753">
        <f t="shared" si="273"/>
        <v>-369136585.35039997</v>
      </c>
      <c r="P753">
        <f t="shared" si="274"/>
        <v>-407182612.33839995</v>
      </c>
      <c r="Q753">
        <f t="shared" si="275"/>
        <v>-477810285.40320009</v>
      </c>
      <c r="S753">
        <f t="shared" si="276"/>
        <v>23089878.931000005</v>
      </c>
      <c r="T753">
        <f t="shared" si="277"/>
        <v>-469984410.86940002</v>
      </c>
      <c r="U753">
        <f t="shared" si="278"/>
        <v>-402843780.74520004</v>
      </c>
      <c r="V753">
        <f t="shared" si="279"/>
        <v>-468012456.42639989</v>
      </c>
      <c r="W753">
        <f t="shared" si="280"/>
        <v>-606348020.5474</v>
      </c>
      <c r="X753">
        <f t="shared" si="281"/>
        <v>-677823893.24640012</v>
      </c>
      <c r="Z753">
        <f t="shared" si="282"/>
        <v>27142388.294400003</v>
      </c>
      <c r="AA753">
        <f t="shared" si="283"/>
        <v>-271377291.04640001</v>
      </c>
      <c r="AB753">
        <f t="shared" si="284"/>
        <v>-485145198.31680012</v>
      </c>
      <c r="AC753">
        <f t="shared" si="285"/>
        <v>-645989024.36319995</v>
      </c>
      <c r="AD753">
        <f t="shared" si="286"/>
        <v>-805513428.75639999</v>
      </c>
      <c r="AE753">
        <f t="shared" si="287"/>
        <v>-877837501.08960021</v>
      </c>
    </row>
    <row r="754" spans="1:31" x14ac:dyDescent="0.25">
      <c r="A754">
        <v>40.833799499999998</v>
      </c>
      <c r="B754">
        <v>122.0646485</v>
      </c>
      <c r="C754">
        <v>22.600711820000001</v>
      </c>
      <c r="D754">
        <v>1.92786002</v>
      </c>
      <c r="E754" t="b">
        <f t="shared" si="264"/>
        <v>0</v>
      </c>
      <c r="F754">
        <f t="shared" si="265"/>
        <v>-111.07569908000001</v>
      </c>
      <c r="G754">
        <f t="shared" si="266"/>
        <v>-224.07925818000001</v>
      </c>
      <c r="H754">
        <f t="shared" si="267"/>
        <v>-337.08281727999997</v>
      </c>
      <c r="I754">
        <f t="shared" si="268"/>
        <v>-450.08637637999999</v>
      </c>
      <c r="J754">
        <f t="shared" si="269"/>
        <v>-563.08993548000001</v>
      </c>
      <c r="L754">
        <f t="shared" si="270"/>
        <v>3894277.2404</v>
      </c>
      <c r="M754">
        <f t="shared" si="271"/>
        <v>-191050202.41760004</v>
      </c>
      <c r="N754">
        <f t="shared" si="272"/>
        <v>-331637302.10640001</v>
      </c>
      <c r="O754">
        <f t="shared" si="273"/>
        <v>-377532755.35360003</v>
      </c>
      <c r="P754">
        <f t="shared" si="274"/>
        <v>-414079466.26959997</v>
      </c>
      <c r="Q754">
        <f t="shared" si="275"/>
        <v>-484257344.51280004</v>
      </c>
      <c r="S754">
        <f t="shared" si="276"/>
        <v>4723257.0490000006</v>
      </c>
      <c r="T754">
        <f t="shared" si="277"/>
        <v>-486251990.25059998</v>
      </c>
      <c r="U754">
        <f t="shared" si="278"/>
        <v>-416787420.2148</v>
      </c>
      <c r="V754">
        <f t="shared" si="279"/>
        <v>-478657600.53759992</v>
      </c>
      <c r="W754">
        <f t="shared" si="280"/>
        <v>-616618335.64060009</v>
      </c>
      <c r="X754">
        <f t="shared" si="281"/>
        <v>-686969721.28560007</v>
      </c>
      <c r="Z754">
        <f t="shared" si="282"/>
        <v>5552236.8575999998</v>
      </c>
      <c r="AA754">
        <f t="shared" si="283"/>
        <v>-291018331.58960003</v>
      </c>
      <c r="AB754">
        <f t="shared" si="284"/>
        <v>-501937538.32320005</v>
      </c>
      <c r="AC754">
        <f t="shared" si="285"/>
        <v>-660682321.86879992</v>
      </c>
      <c r="AD754">
        <f t="shared" si="286"/>
        <v>-819157205.01160002</v>
      </c>
      <c r="AE754">
        <f t="shared" si="287"/>
        <v>-889682098.05840003</v>
      </c>
    </row>
    <row r="755" spans="1:31" x14ac:dyDescent="0.25">
      <c r="A755">
        <v>40.848168819999998</v>
      </c>
      <c r="B755">
        <v>121.5796888</v>
      </c>
      <c r="C755">
        <v>58.052211759999999</v>
      </c>
      <c r="D755">
        <v>1.9574470500000001</v>
      </c>
      <c r="E755" t="b">
        <f t="shared" si="264"/>
        <v>0</v>
      </c>
      <c r="F755">
        <f t="shared" si="265"/>
        <v>-288.30361175000002</v>
      </c>
      <c r="G755">
        <f t="shared" si="266"/>
        <v>-578.56467054999996</v>
      </c>
      <c r="H755">
        <f t="shared" si="267"/>
        <v>-868.82572934999996</v>
      </c>
      <c r="I755">
        <f t="shared" si="268"/>
        <v>-1159.0867881500001</v>
      </c>
      <c r="J755">
        <f t="shared" si="269"/>
        <v>-1449.3478469500001</v>
      </c>
      <c r="L755">
        <f t="shared" si="270"/>
        <v>3954043.0410000002</v>
      </c>
      <c r="M755">
        <f t="shared" si="271"/>
        <v>-495882212.21000004</v>
      </c>
      <c r="N755">
        <f t="shared" si="272"/>
        <v>-856275712.41399992</v>
      </c>
      <c r="O755">
        <f t="shared" si="273"/>
        <v>-973084816.87199998</v>
      </c>
      <c r="P755">
        <f t="shared" si="274"/>
        <v>-1066359845.098</v>
      </c>
      <c r="Q755">
        <f t="shared" si="275"/>
        <v>-1246439148.3770001</v>
      </c>
      <c r="S755">
        <f t="shared" si="276"/>
        <v>4795745.2725000009</v>
      </c>
      <c r="T755">
        <f t="shared" si="277"/>
        <v>-1255485335.0934999</v>
      </c>
      <c r="U755">
        <f t="shared" si="278"/>
        <v>-1076130287.2229998</v>
      </c>
      <c r="V755">
        <f t="shared" si="279"/>
        <v>-1233732535.6769998</v>
      </c>
      <c r="W755">
        <f t="shared" si="280"/>
        <v>-1587948899.7655003</v>
      </c>
      <c r="X755">
        <f t="shared" si="281"/>
        <v>-1768204373.279</v>
      </c>
      <c r="Z755">
        <f t="shared" si="282"/>
        <v>5637447.5039999997</v>
      </c>
      <c r="AA755">
        <f t="shared" si="283"/>
        <v>-755355462.78500009</v>
      </c>
      <c r="AB755">
        <f t="shared" si="284"/>
        <v>-1295984862.0320001</v>
      </c>
      <c r="AC755">
        <f t="shared" si="285"/>
        <v>-1702898429.5259998</v>
      </c>
      <c r="AD755">
        <f t="shared" si="286"/>
        <v>-2109537954.4330003</v>
      </c>
      <c r="AE755">
        <f t="shared" si="287"/>
        <v>-2289969598.1810002</v>
      </c>
    </row>
    <row r="756" spans="1:31" x14ac:dyDescent="0.25">
      <c r="A756">
        <v>40.871321799999997</v>
      </c>
      <c r="B756">
        <v>122.1339869</v>
      </c>
      <c r="C756">
        <v>22.600711820000001</v>
      </c>
      <c r="D756">
        <v>1.0071539899999999</v>
      </c>
      <c r="E756" t="b">
        <f t="shared" si="264"/>
        <v>0</v>
      </c>
      <c r="F756">
        <f t="shared" si="265"/>
        <v>-111.99640511</v>
      </c>
      <c r="G756">
        <f t="shared" si="266"/>
        <v>-224.99996421</v>
      </c>
      <c r="H756">
        <f t="shared" si="267"/>
        <v>-338.00352330999999</v>
      </c>
      <c r="I756">
        <f t="shared" si="268"/>
        <v>-451.00708241000001</v>
      </c>
      <c r="J756">
        <f t="shared" si="269"/>
        <v>-564.01064151000003</v>
      </c>
      <c r="L756">
        <f t="shared" si="270"/>
        <v>2034451.0597999999</v>
      </c>
      <c r="M756">
        <f t="shared" si="271"/>
        <v>-192633816.78920001</v>
      </c>
      <c r="N756">
        <f t="shared" si="272"/>
        <v>-332999947.03079998</v>
      </c>
      <c r="O756">
        <f t="shared" si="273"/>
        <v>-378563946.10720003</v>
      </c>
      <c r="P756">
        <f t="shared" si="274"/>
        <v>-414926515.81720001</v>
      </c>
      <c r="Q756">
        <f t="shared" si="275"/>
        <v>-485049151.69859999</v>
      </c>
      <c r="S756">
        <f t="shared" si="276"/>
        <v>2467527.2755</v>
      </c>
      <c r="T756">
        <f t="shared" si="277"/>
        <v>-488249922.33569998</v>
      </c>
      <c r="U756">
        <f t="shared" si="278"/>
        <v>-418499933.43059999</v>
      </c>
      <c r="V756">
        <f t="shared" si="279"/>
        <v>-479965003.1002</v>
      </c>
      <c r="W756">
        <f t="shared" si="280"/>
        <v>-617879702.90170014</v>
      </c>
      <c r="X756">
        <f t="shared" si="281"/>
        <v>-688092982.64219999</v>
      </c>
      <c r="Z756">
        <f t="shared" si="282"/>
        <v>2900603.4912</v>
      </c>
      <c r="AA756">
        <f t="shared" si="283"/>
        <v>-293430581.38819999</v>
      </c>
      <c r="AB756">
        <f t="shared" si="284"/>
        <v>-503999919.83040005</v>
      </c>
      <c r="AC756">
        <f t="shared" si="285"/>
        <v>-662486905.68760002</v>
      </c>
      <c r="AD756">
        <f t="shared" si="286"/>
        <v>-820832889.98620009</v>
      </c>
      <c r="AE756">
        <f t="shared" si="287"/>
        <v>-891136813.58580005</v>
      </c>
    </row>
    <row r="757" spans="1:31" x14ac:dyDescent="0.25">
      <c r="A757">
        <v>40.922373</v>
      </c>
      <c r="B757">
        <v>121.35139479999999</v>
      </c>
      <c r="C757">
        <v>0</v>
      </c>
      <c r="D757">
        <v>8.3702859899999993</v>
      </c>
      <c r="E757" t="b">
        <f t="shared" si="264"/>
        <v>1</v>
      </c>
      <c r="F757">
        <f t="shared" si="265"/>
        <v>8.3702859899999993</v>
      </c>
      <c r="G757">
        <f t="shared" si="266"/>
        <v>8.3702859899999993</v>
      </c>
      <c r="H757">
        <f t="shared" si="267"/>
        <v>8.3702859899999993</v>
      </c>
      <c r="I757">
        <f t="shared" si="268"/>
        <v>8.3702859899999993</v>
      </c>
      <c r="J757">
        <f t="shared" si="269"/>
        <v>8.3702859899999993</v>
      </c>
      <c r="L757">
        <f t="shared" si="270"/>
        <v>0</v>
      </c>
      <c r="M757">
        <f t="shared" si="271"/>
        <v>0</v>
      </c>
      <c r="N757">
        <f t="shared" si="272"/>
        <v>0</v>
      </c>
      <c r="O757">
        <f t="shared" si="273"/>
        <v>0</v>
      </c>
      <c r="P757">
        <f t="shared" si="274"/>
        <v>0</v>
      </c>
      <c r="Q757">
        <f t="shared" si="275"/>
        <v>0</v>
      </c>
      <c r="S757">
        <f t="shared" si="276"/>
        <v>0</v>
      </c>
      <c r="T757">
        <f t="shared" si="277"/>
        <v>0</v>
      </c>
      <c r="U757">
        <f t="shared" si="278"/>
        <v>0</v>
      </c>
      <c r="V757">
        <f t="shared" si="279"/>
        <v>0</v>
      </c>
      <c r="W757">
        <f t="shared" si="280"/>
        <v>0</v>
      </c>
      <c r="X757">
        <f t="shared" si="281"/>
        <v>0</v>
      </c>
      <c r="Z757">
        <f t="shared" si="282"/>
        <v>0</v>
      </c>
      <c r="AA757">
        <f t="shared" si="283"/>
        <v>0</v>
      </c>
      <c r="AB757">
        <f t="shared" si="284"/>
        <v>0</v>
      </c>
      <c r="AC757">
        <f t="shared" si="285"/>
        <v>0</v>
      </c>
      <c r="AD757">
        <f t="shared" si="286"/>
        <v>0</v>
      </c>
      <c r="AE757">
        <f t="shared" si="287"/>
        <v>0</v>
      </c>
    </row>
    <row r="758" spans="1:31" x14ac:dyDescent="0.25">
      <c r="A758">
        <v>40.953972440000001</v>
      </c>
      <c r="B758">
        <v>121.8467041</v>
      </c>
      <c r="C758">
        <v>58.052211759999999</v>
      </c>
      <c r="D758">
        <v>0.45808198999999999</v>
      </c>
      <c r="E758" t="b">
        <f t="shared" si="264"/>
        <v>0</v>
      </c>
      <c r="F758">
        <f t="shared" si="265"/>
        <v>-289.80297681000002</v>
      </c>
      <c r="G758">
        <f t="shared" si="266"/>
        <v>-580.06403561000002</v>
      </c>
      <c r="H758">
        <f t="shared" si="267"/>
        <v>-870.32509441000002</v>
      </c>
      <c r="I758">
        <f t="shared" si="268"/>
        <v>-1160.58615321</v>
      </c>
      <c r="J758">
        <f t="shared" si="269"/>
        <v>-1450.84721201</v>
      </c>
      <c r="L758">
        <f t="shared" si="270"/>
        <v>925325.61979999999</v>
      </c>
      <c r="M758">
        <f t="shared" si="271"/>
        <v>-498461120.11320007</v>
      </c>
      <c r="N758">
        <f t="shared" si="272"/>
        <v>-858494772.70280004</v>
      </c>
      <c r="O758">
        <f t="shared" si="273"/>
        <v>-974764105.7392</v>
      </c>
      <c r="P758">
        <f t="shared" si="274"/>
        <v>-1067739260.9532</v>
      </c>
      <c r="Q758">
        <f t="shared" si="275"/>
        <v>-1247728602.3285999</v>
      </c>
      <c r="S758">
        <f t="shared" si="276"/>
        <v>1122300.8755000001</v>
      </c>
      <c r="T758">
        <f t="shared" si="277"/>
        <v>-1258738957.2737</v>
      </c>
      <c r="U758">
        <f t="shared" si="278"/>
        <v>-1078919106.2346001</v>
      </c>
      <c r="V758">
        <f t="shared" si="279"/>
        <v>-1235861634.0621998</v>
      </c>
      <c r="W758">
        <f t="shared" si="280"/>
        <v>-1590003029.8977001</v>
      </c>
      <c r="X758">
        <f t="shared" si="281"/>
        <v>-1770033598.6522</v>
      </c>
      <c r="Z758">
        <f t="shared" si="282"/>
        <v>1319276.1311999999</v>
      </c>
      <c r="AA758">
        <f t="shared" si="283"/>
        <v>-759283799.24220002</v>
      </c>
      <c r="AB758">
        <f t="shared" si="284"/>
        <v>-1299343439.7664001</v>
      </c>
      <c r="AC758">
        <f t="shared" si="285"/>
        <v>-1705837185.0435998</v>
      </c>
      <c r="AD758">
        <f t="shared" si="286"/>
        <v>-2112266798.8422</v>
      </c>
      <c r="AE758">
        <f t="shared" si="287"/>
        <v>-2292338594.9758</v>
      </c>
    </row>
    <row r="759" spans="1:31" x14ac:dyDescent="0.25">
      <c r="A759">
        <v>40.961477219999999</v>
      </c>
      <c r="B759">
        <v>122.1539812</v>
      </c>
      <c r="C759">
        <v>58.052211759999999</v>
      </c>
      <c r="D759">
        <v>7.6296000000000003E-2</v>
      </c>
      <c r="E759" t="b">
        <f t="shared" si="264"/>
        <v>0</v>
      </c>
      <c r="F759">
        <f t="shared" si="265"/>
        <v>-290.18476279999999</v>
      </c>
      <c r="G759">
        <f t="shared" si="266"/>
        <v>-580.44582160000004</v>
      </c>
      <c r="H759">
        <f t="shared" si="267"/>
        <v>-870.70688040000005</v>
      </c>
      <c r="I759">
        <f t="shared" si="268"/>
        <v>-1160.9679392</v>
      </c>
      <c r="J759">
        <f t="shared" si="269"/>
        <v>-1451.228998</v>
      </c>
      <c r="L759">
        <f t="shared" si="270"/>
        <v>154117.92000000001</v>
      </c>
      <c r="M759">
        <f t="shared" si="271"/>
        <v>-499117792.01600009</v>
      </c>
      <c r="N759">
        <f t="shared" si="272"/>
        <v>-859059815.96800005</v>
      </c>
      <c r="O759">
        <f t="shared" si="273"/>
        <v>-975191706.04800022</v>
      </c>
      <c r="P759">
        <f t="shared" si="274"/>
        <v>-1068090504.064</v>
      </c>
      <c r="Q759">
        <f t="shared" si="275"/>
        <v>-1248056938.28</v>
      </c>
      <c r="S759">
        <f t="shared" si="276"/>
        <v>186925.2</v>
      </c>
      <c r="T759">
        <f t="shared" si="277"/>
        <v>-1259567432.872</v>
      </c>
      <c r="U759">
        <f t="shared" si="278"/>
        <v>-1079629228.1759999</v>
      </c>
      <c r="V759">
        <f t="shared" si="279"/>
        <v>-1236403770.168</v>
      </c>
      <c r="W759">
        <f t="shared" si="280"/>
        <v>-1590526076.7040002</v>
      </c>
      <c r="X759">
        <f t="shared" si="281"/>
        <v>-1770499377.5599999</v>
      </c>
      <c r="Z759">
        <f t="shared" si="282"/>
        <v>219732.47999999998</v>
      </c>
      <c r="AA759">
        <f t="shared" si="283"/>
        <v>-760284078.53600001</v>
      </c>
      <c r="AB759">
        <f t="shared" si="284"/>
        <v>-1300198640.3840001</v>
      </c>
      <c r="AC759">
        <f t="shared" si="285"/>
        <v>-1706585485.5840001</v>
      </c>
      <c r="AD759">
        <f t="shared" si="286"/>
        <v>-2112961649.3440001</v>
      </c>
      <c r="AE759">
        <f t="shared" si="287"/>
        <v>-2292941816.8400002</v>
      </c>
    </row>
    <row r="760" spans="1:31" x14ac:dyDescent="0.25">
      <c r="A760">
        <v>41.013910279999997</v>
      </c>
      <c r="B760">
        <v>121.7374645</v>
      </c>
      <c r="C760">
        <v>58.052211759999999</v>
      </c>
      <c r="D760">
        <v>60.591201779999999</v>
      </c>
      <c r="E760" t="b">
        <f t="shared" si="264"/>
        <v>1</v>
      </c>
      <c r="F760">
        <f t="shared" si="265"/>
        <v>-229.66985701999999</v>
      </c>
      <c r="G760">
        <f t="shared" si="266"/>
        <v>-519.93091582</v>
      </c>
      <c r="H760">
        <f t="shared" si="267"/>
        <v>-810.19197462</v>
      </c>
      <c r="I760">
        <f t="shared" si="268"/>
        <v>-1100.4530334200001</v>
      </c>
      <c r="J760">
        <f t="shared" si="269"/>
        <v>-1390.7140922200001</v>
      </c>
      <c r="L760">
        <f t="shared" si="270"/>
        <v>117265467.7552</v>
      </c>
      <c r="M760">
        <f t="shared" si="271"/>
        <v>-395032154.07440001</v>
      </c>
      <c r="N760">
        <f t="shared" si="272"/>
        <v>-769497755.41359997</v>
      </c>
      <c r="O760">
        <f t="shared" si="273"/>
        <v>-907415011.57440007</v>
      </c>
      <c r="P760">
        <f t="shared" si="274"/>
        <v>-1012416790.7464</v>
      </c>
      <c r="Q760">
        <f t="shared" si="275"/>
        <v>-1196014119.3092</v>
      </c>
      <c r="S760">
        <f t="shared" si="276"/>
        <v>142227918.81200001</v>
      </c>
      <c r="T760">
        <f t="shared" si="277"/>
        <v>-1128250087.3294001</v>
      </c>
      <c r="U760">
        <f t="shared" si="278"/>
        <v>-967071503.42519987</v>
      </c>
      <c r="V760">
        <f t="shared" si="279"/>
        <v>-1150472603.9603999</v>
      </c>
      <c r="W760">
        <f t="shared" si="280"/>
        <v>-1507620655.7854002</v>
      </c>
      <c r="X760">
        <f t="shared" si="281"/>
        <v>-1696671192.5084</v>
      </c>
      <c r="Z760">
        <f t="shared" si="282"/>
        <v>167190369.86879998</v>
      </c>
      <c r="AA760">
        <f t="shared" si="283"/>
        <v>-601735025.39240003</v>
      </c>
      <c r="AB760">
        <f t="shared" si="284"/>
        <v>-1164645251.4368</v>
      </c>
      <c r="AC760">
        <f t="shared" si="285"/>
        <v>-1587976270.2551999</v>
      </c>
      <c r="AD760">
        <f t="shared" si="286"/>
        <v>-2002824520.8244002</v>
      </c>
      <c r="AE760">
        <f t="shared" si="287"/>
        <v>-2197328265.7076001</v>
      </c>
    </row>
    <row r="761" spans="1:31" x14ac:dyDescent="0.25">
      <c r="A761">
        <v>41.014126619999999</v>
      </c>
      <c r="B761">
        <v>122.1044954</v>
      </c>
      <c r="C761">
        <v>22.600711820000001</v>
      </c>
      <c r="D761">
        <v>9.9223280000000003</v>
      </c>
      <c r="E761" t="b">
        <f t="shared" si="264"/>
        <v>0</v>
      </c>
      <c r="F761">
        <f t="shared" si="265"/>
        <v>-103.0812311</v>
      </c>
      <c r="G761">
        <f t="shared" si="266"/>
        <v>-216.08479020000001</v>
      </c>
      <c r="H761">
        <f t="shared" si="267"/>
        <v>-329.0883493</v>
      </c>
      <c r="I761">
        <f t="shared" si="268"/>
        <v>-442.09190840000002</v>
      </c>
      <c r="J761">
        <f t="shared" si="269"/>
        <v>-555.09546750000004</v>
      </c>
      <c r="L761">
        <f t="shared" si="270"/>
        <v>20043102.559999999</v>
      </c>
      <c r="M761">
        <f t="shared" si="271"/>
        <v>-177299717.49200001</v>
      </c>
      <c r="N761">
        <f t="shared" si="272"/>
        <v>-319805489.49600005</v>
      </c>
      <c r="O761">
        <f t="shared" si="273"/>
        <v>-368578951.21600002</v>
      </c>
      <c r="P761">
        <f t="shared" si="274"/>
        <v>-406724555.72799999</v>
      </c>
      <c r="Q761">
        <f t="shared" si="275"/>
        <v>-477382102.05000001</v>
      </c>
      <c r="S761">
        <f t="shared" si="276"/>
        <v>24309703.600000001</v>
      </c>
      <c r="T761">
        <f t="shared" si="277"/>
        <v>-468903994.73400003</v>
      </c>
      <c r="U761">
        <f t="shared" si="278"/>
        <v>-401917709.77200001</v>
      </c>
      <c r="V761">
        <f t="shared" si="279"/>
        <v>-467305456.00599998</v>
      </c>
      <c r="W761">
        <f t="shared" si="280"/>
        <v>-605665914.50800014</v>
      </c>
      <c r="X761">
        <f t="shared" si="281"/>
        <v>-677216470.35000002</v>
      </c>
      <c r="Z761">
        <f t="shared" si="282"/>
        <v>28576304.640000001</v>
      </c>
      <c r="AA761">
        <f t="shared" si="283"/>
        <v>-270072825.48199999</v>
      </c>
      <c r="AB761">
        <f t="shared" si="284"/>
        <v>-484029930.0480001</v>
      </c>
      <c r="AC761">
        <f t="shared" si="285"/>
        <v>-645013164.62800002</v>
      </c>
      <c r="AD761">
        <f t="shared" si="286"/>
        <v>-804607273.28800011</v>
      </c>
      <c r="AE761">
        <f t="shared" si="287"/>
        <v>-877050838.6500001</v>
      </c>
    </row>
    <row r="762" spans="1:31" x14ac:dyDescent="0.25">
      <c r="A762">
        <v>41.021676720000002</v>
      </c>
      <c r="B762">
        <v>122.0449818</v>
      </c>
      <c r="C762">
        <v>22.600711820000001</v>
      </c>
      <c r="D762">
        <v>4.6236739199999999</v>
      </c>
      <c r="E762" t="b">
        <f t="shared" si="264"/>
        <v>0</v>
      </c>
      <c r="F762">
        <f t="shared" si="265"/>
        <v>-108.37988518</v>
      </c>
      <c r="G762">
        <f t="shared" si="266"/>
        <v>-221.38344428000002</v>
      </c>
      <c r="H762">
        <f t="shared" si="267"/>
        <v>-334.38700338000001</v>
      </c>
      <c r="I762">
        <f t="shared" si="268"/>
        <v>-447.39056248000003</v>
      </c>
      <c r="J762">
        <f t="shared" si="269"/>
        <v>-560.39412158000005</v>
      </c>
      <c r="L762">
        <f t="shared" si="270"/>
        <v>9339821.3183999993</v>
      </c>
      <c r="M762">
        <f t="shared" si="271"/>
        <v>-186413402.50960004</v>
      </c>
      <c r="N762">
        <f t="shared" si="272"/>
        <v>-327647497.53440005</v>
      </c>
      <c r="O762">
        <f t="shared" si="273"/>
        <v>-374513443.78560001</v>
      </c>
      <c r="P762">
        <f t="shared" si="274"/>
        <v>-411599317.48159999</v>
      </c>
      <c r="Q762">
        <f t="shared" si="275"/>
        <v>-481938944.55880004</v>
      </c>
      <c r="S762">
        <f t="shared" si="276"/>
        <v>11328001.104</v>
      </c>
      <c r="T762">
        <f t="shared" si="277"/>
        <v>-480402074.08760005</v>
      </c>
      <c r="U762">
        <f t="shared" si="278"/>
        <v>-411773206.36080003</v>
      </c>
      <c r="V762">
        <f t="shared" si="279"/>
        <v>-474829544.79959995</v>
      </c>
      <c r="W762">
        <f t="shared" si="280"/>
        <v>-612925070.5976001</v>
      </c>
      <c r="X762">
        <f t="shared" si="281"/>
        <v>-683680828.3276</v>
      </c>
      <c r="Z762">
        <f t="shared" si="282"/>
        <v>13316180.889599999</v>
      </c>
      <c r="AA762">
        <f t="shared" si="283"/>
        <v>-283955299.17160004</v>
      </c>
      <c r="AB762">
        <f t="shared" si="284"/>
        <v>-495898915.18720013</v>
      </c>
      <c r="AC762">
        <f t="shared" si="285"/>
        <v>-655398526.62479997</v>
      </c>
      <c r="AD762">
        <f t="shared" si="286"/>
        <v>-814250823.71360004</v>
      </c>
      <c r="AE762">
        <f t="shared" si="287"/>
        <v>-885422712.09640014</v>
      </c>
    </row>
    <row r="763" spans="1:31" x14ac:dyDescent="0.25">
      <c r="A763">
        <v>41.028703479999997</v>
      </c>
      <c r="B763">
        <v>122.3525612</v>
      </c>
      <c r="C763">
        <v>58.052211759999999</v>
      </c>
      <c r="D763">
        <v>1.1750129499999999</v>
      </c>
      <c r="E763" t="b">
        <f t="shared" si="264"/>
        <v>0</v>
      </c>
      <c r="F763">
        <f t="shared" si="265"/>
        <v>-289.08604585</v>
      </c>
      <c r="G763">
        <f t="shared" si="266"/>
        <v>-579.34710465000001</v>
      </c>
      <c r="H763">
        <f t="shared" si="267"/>
        <v>-869.60816345000001</v>
      </c>
      <c r="I763">
        <f t="shared" si="268"/>
        <v>-1159.8692222499999</v>
      </c>
      <c r="J763">
        <f t="shared" si="269"/>
        <v>-1450.1302810499999</v>
      </c>
      <c r="L763">
        <f t="shared" si="270"/>
        <v>2373526.159</v>
      </c>
      <c r="M763">
        <f t="shared" si="271"/>
        <v>-497227998.86200011</v>
      </c>
      <c r="N763">
        <f t="shared" si="272"/>
        <v>-857433714.88199997</v>
      </c>
      <c r="O763">
        <f t="shared" si="273"/>
        <v>-973961143.06400013</v>
      </c>
      <c r="P763">
        <f t="shared" si="274"/>
        <v>-1067079684.4699999</v>
      </c>
      <c r="Q763">
        <f t="shared" si="275"/>
        <v>-1247112041.7029998</v>
      </c>
      <c r="S763">
        <f t="shared" si="276"/>
        <v>2878781.7275</v>
      </c>
      <c r="T763">
        <f t="shared" si="277"/>
        <v>-1257183217.0904999</v>
      </c>
      <c r="U763">
        <f t="shared" si="278"/>
        <v>-1077585614.6489999</v>
      </c>
      <c r="V763">
        <f t="shared" si="279"/>
        <v>-1234843592.099</v>
      </c>
      <c r="W763">
        <f t="shared" si="280"/>
        <v>-1589020834.4825001</v>
      </c>
      <c r="X763">
        <f t="shared" si="281"/>
        <v>-1769158942.8809998</v>
      </c>
      <c r="Z763">
        <f t="shared" si="282"/>
        <v>3384037.2959999996</v>
      </c>
      <c r="AA763">
        <f t="shared" si="283"/>
        <v>-757405440.12700009</v>
      </c>
      <c r="AB763">
        <f t="shared" si="284"/>
        <v>-1297737514.4160001</v>
      </c>
      <c r="AC763">
        <f t="shared" si="285"/>
        <v>-1704432000.362</v>
      </c>
      <c r="AD763">
        <f t="shared" si="286"/>
        <v>-2110961984.4950001</v>
      </c>
      <c r="AE763">
        <f t="shared" si="287"/>
        <v>-2291205844.059</v>
      </c>
    </row>
    <row r="764" spans="1:31" x14ac:dyDescent="0.25">
      <c r="A764">
        <v>41.044160189999999</v>
      </c>
      <c r="B764">
        <v>121.8663677</v>
      </c>
      <c r="C764">
        <v>58.052211759999999</v>
      </c>
      <c r="D764">
        <v>2.8880128900000002</v>
      </c>
      <c r="E764" t="b">
        <f t="shared" si="264"/>
        <v>0</v>
      </c>
      <c r="F764">
        <f t="shared" si="265"/>
        <v>-287.37304590999997</v>
      </c>
      <c r="G764">
        <f t="shared" si="266"/>
        <v>-577.63410470999997</v>
      </c>
      <c r="H764">
        <f t="shared" si="267"/>
        <v>-867.89516350999997</v>
      </c>
      <c r="I764">
        <f t="shared" si="268"/>
        <v>-1158.15622231</v>
      </c>
      <c r="J764">
        <f t="shared" si="269"/>
        <v>-1448.41728111</v>
      </c>
      <c r="L764">
        <f t="shared" si="270"/>
        <v>5833786.0378</v>
      </c>
      <c r="M764">
        <f t="shared" si="271"/>
        <v>-494281638.96520001</v>
      </c>
      <c r="N764">
        <f t="shared" si="272"/>
        <v>-854898474.97079992</v>
      </c>
      <c r="O764">
        <f t="shared" si="273"/>
        <v>-972042583.13120008</v>
      </c>
      <c r="P764">
        <f t="shared" si="274"/>
        <v>-1065503724.5251999</v>
      </c>
      <c r="Q764">
        <f t="shared" si="275"/>
        <v>-1245638861.7545998</v>
      </c>
      <c r="S764">
        <f t="shared" si="276"/>
        <v>7075631.5805000011</v>
      </c>
      <c r="T764">
        <f t="shared" si="277"/>
        <v>-1253466007.2206998</v>
      </c>
      <c r="U764">
        <f t="shared" si="278"/>
        <v>-1074399434.7605999</v>
      </c>
      <c r="V764">
        <f t="shared" si="279"/>
        <v>-1232411132.1841998</v>
      </c>
      <c r="W764">
        <f t="shared" si="280"/>
        <v>-1586674024.5647001</v>
      </c>
      <c r="X764">
        <f t="shared" si="281"/>
        <v>-1767069082.9541998</v>
      </c>
      <c r="Z764">
        <f t="shared" si="282"/>
        <v>8317477.1232000003</v>
      </c>
      <c r="AA764">
        <f t="shared" si="283"/>
        <v>-752917380.28419995</v>
      </c>
      <c r="AB764">
        <f t="shared" si="284"/>
        <v>-1293900394.5504</v>
      </c>
      <c r="AC764">
        <f t="shared" si="285"/>
        <v>-1701074520.4796</v>
      </c>
      <c r="AD764">
        <f t="shared" si="286"/>
        <v>-2107844324.6041999</v>
      </c>
      <c r="AE764">
        <f t="shared" si="287"/>
        <v>-2288499304.1538</v>
      </c>
    </row>
    <row r="765" spans="1:31" x14ac:dyDescent="0.25">
      <c r="A765">
        <v>41.066057059999999</v>
      </c>
      <c r="B765">
        <v>122.42223079999999</v>
      </c>
      <c r="C765">
        <v>17.020019529999999</v>
      </c>
      <c r="D765">
        <v>1.5397969499999999</v>
      </c>
      <c r="E765" t="b">
        <f t="shared" si="264"/>
        <v>0</v>
      </c>
      <c r="F765">
        <f t="shared" si="265"/>
        <v>-83.560300699999999</v>
      </c>
      <c r="G765">
        <f t="shared" si="266"/>
        <v>-168.66039834999998</v>
      </c>
      <c r="H765">
        <f t="shared" si="267"/>
        <v>-253.76049599999996</v>
      </c>
      <c r="I765">
        <f t="shared" si="268"/>
        <v>-338.86059365</v>
      </c>
      <c r="J765">
        <f t="shared" si="269"/>
        <v>-423.96069130000001</v>
      </c>
      <c r="L765">
        <f t="shared" si="270"/>
        <v>3110389.8390000002</v>
      </c>
      <c r="M765">
        <f t="shared" si="271"/>
        <v>-143723717.20400003</v>
      </c>
      <c r="N765">
        <f t="shared" si="272"/>
        <v>-249617389.558</v>
      </c>
      <c r="O765">
        <f t="shared" si="273"/>
        <v>-284211755.51999998</v>
      </c>
      <c r="P765">
        <f t="shared" si="274"/>
        <v>-311751746.15799993</v>
      </c>
      <c r="Q765">
        <f t="shared" si="275"/>
        <v>-364606194.51800001</v>
      </c>
      <c r="S765">
        <f t="shared" si="276"/>
        <v>3772502.5275000003</v>
      </c>
      <c r="T765">
        <f t="shared" si="277"/>
        <v>-365993064.41949999</v>
      </c>
      <c r="U765">
        <f t="shared" si="278"/>
        <v>-313708340.93099999</v>
      </c>
      <c r="V765">
        <f t="shared" si="279"/>
        <v>-360339904.31999993</v>
      </c>
      <c r="W765">
        <f t="shared" si="280"/>
        <v>-464239013.30049998</v>
      </c>
      <c r="X765">
        <f t="shared" si="281"/>
        <v>-517232043.38599998</v>
      </c>
      <c r="Z765">
        <f t="shared" si="282"/>
        <v>4434615.216</v>
      </c>
      <c r="AA765">
        <f t="shared" si="283"/>
        <v>-218927987.83400002</v>
      </c>
      <c r="AB765">
        <f t="shared" si="284"/>
        <v>-377799292.30400002</v>
      </c>
      <c r="AC765">
        <f t="shared" si="285"/>
        <v>-497370572.15999991</v>
      </c>
      <c r="AD765">
        <f t="shared" si="286"/>
        <v>-616726280.44299996</v>
      </c>
      <c r="AE765">
        <f t="shared" si="287"/>
        <v>-669857892.25400007</v>
      </c>
    </row>
    <row r="766" spans="1:31" x14ac:dyDescent="0.25">
      <c r="A766">
        <v>41.118800899999997</v>
      </c>
      <c r="B766">
        <v>122.3728673</v>
      </c>
      <c r="C766">
        <v>58.052211759999999</v>
      </c>
      <c r="D766">
        <v>2.87428689</v>
      </c>
      <c r="E766" t="b">
        <f t="shared" si="264"/>
        <v>0</v>
      </c>
      <c r="F766">
        <f t="shared" si="265"/>
        <v>-287.38677190999999</v>
      </c>
      <c r="G766">
        <f t="shared" si="266"/>
        <v>-577.64783070999999</v>
      </c>
      <c r="H766">
        <f t="shared" si="267"/>
        <v>-867.90888950999999</v>
      </c>
      <c r="I766">
        <f t="shared" si="268"/>
        <v>-1158.1699483100001</v>
      </c>
      <c r="J766">
        <f t="shared" si="269"/>
        <v>-1448.4310071100001</v>
      </c>
      <c r="L766">
        <f t="shared" si="270"/>
        <v>5806059.5178000005</v>
      </c>
      <c r="M766">
        <f t="shared" si="271"/>
        <v>-494305247.68519998</v>
      </c>
      <c r="N766">
        <f t="shared" si="272"/>
        <v>-854918789.45080006</v>
      </c>
      <c r="O766">
        <f t="shared" si="273"/>
        <v>-972057956.25120008</v>
      </c>
      <c r="P766">
        <f t="shared" si="274"/>
        <v>-1065516352.4452001</v>
      </c>
      <c r="Q766">
        <f t="shared" si="275"/>
        <v>-1245650666.1146002</v>
      </c>
      <c r="S766">
        <f t="shared" si="276"/>
        <v>7042002.8805000009</v>
      </c>
      <c r="T766">
        <f t="shared" si="277"/>
        <v>-1253495792.6407001</v>
      </c>
      <c r="U766">
        <f t="shared" si="278"/>
        <v>-1074424965.1206</v>
      </c>
      <c r="V766">
        <f t="shared" si="279"/>
        <v>-1232430623.1041999</v>
      </c>
      <c r="W766">
        <f t="shared" si="280"/>
        <v>-1586692829.1847005</v>
      </c>
      <c r="X766">
        <f t="shared" si="281"/>
        <v>-1767085828.6742001</v>
      </c>
      <c r="Z766">
        <f t="shared" si="282"/>
        <v>8277946.2432000004</v>
      </c>
      <c r="AA766">
        <f t="shared" si="283"/>
        <v>-752953342.40419996</v>
      </c>
      <c r="AB766">
        <f t="shared" si="284"/>
        <v>-1293931140.7904003</v>
      </c>
      <c r="AC766">
        <f t="shared" si="285"/>
        <v>-1701101423.4396</v>
      </c>
      <c r="AD766">
        <f t="shared" si="286"/>
        <v>-2107869305.9242003</v>
      </c>
      <c r="AE766">
        <f t="shared" si="287"/>
        <v>-2288520991.2338004</v>
      </c>
    </row>
    <row r="767" spans="1:31" x14ac:dyDescent="0.25">
      <c r="A767">
        <v>41.134331299999999</v>
      </c>
      <c r="B767">
        <v>121.8860798</v>
      </c>
      <c r="C767">
        <v>58.052211759999999</v>
      </c>
      <c r="D767">
        <v>55.749309539999999</v>
      </c>
      <c r="E767" t="b">
        <f t="shared" si="264"/>
        <v>0</v>
      </c>
      <c r="F767">
        <f t="shared" si="265"/>
        <v>-234.51174925999999</v>
      </c>
      <c r="G767">
        <f t="shared" si="266"/>
        <v>-524.77280805999999</v>
      </c>
      <c r="H767">
        <f t="shared" si="267"/>
        <v>-815.03386685999999</v>
      </c>
      <c r="I767">
        <f t="shared" si="268"/>
        <v>-1105.29492566</v>
      </c>
      <c r="J767">
        <f t="shared" si="269"/>
        <v>-1395.55598446</v>
      </c>
      <c r="L767">
        <f t="shared" si="270"/>
        <v>112613605.27079999</v>
      </c>
      <c r="M767">
        <f t="shared" si="271"/>
        <v>-403360208.72720003</v>
      </c>
      <c r="N767">
        <f t="shared" si="272"/>
        <v>-776663755.92879999</v>
      </c>
      <c r="O767">
        <f t="shared" si="273"/>
        <v>-912837930.88320005</v>
      </c>
      <c r="P767">
        <f t="shared" si="274"/>
        <v>-1016871331.6072</v>
      </c>
      <c r="Q767">
        <f t="shared" si="275"/>
        <v>-1200178146.6356001</v>
      </c>
      <c r="S767">
        <f t="shared" si="276"/>
        <v>136585808.373</v>
      </c>
      <c r="T767">
        <f t="shared" si="277"/>
        <v>-1138756993.4902</v>
      </c>
      <c r="U767">
        <f t="shared" si="278"/>
        <v>-976077422.99159992</v>
      </c>
      <c r="V767">
        <f t="shared" si="279"/>
        <v>-1157348090.9412</v>
      </c>
      <c r="W767">
        <f t="shared" si="280"/>
        <v>-1514254048.1542003</v>
      </c>
      <c r="X767">
        <f t="shared" si="281"/>
        <v>-1702578301.0411999</v>
      </c>
      <c r="Z767">
        <f t="shared" si="282"/>
        <v>160558011.4752</v>
      </c>
      <c r="AA767">
        <f t="shared" si="283"/>
        <v>-614420783.06120002</v>
      </c>
      <c r="AB767">
        <f t="shared" si="284"/>
        <v>-1175491090.0544002</v>
      </c>
      <c r="AC767">
        <f t="shared" si="285"/>
        <v>-1597466379.0455999</v>
      </c>
      <c r="AD767">
        <f t="shared" si="286"/>
        <v>-2011636764.7012002</v>
      </c>
      <c r="AE767">
        <f t="shared" si="287"/>
        <v>-2204978455.4468002</v>
      </c>
    </row>
    <row r="768" spans="1:31" x14ac:dyDescent="0.25">
      <c r="A768">
        <v>41.149197229999999</v>
      </c>
      <c r="B768">
        <v>121.76680039999999</v>
      </c>
      <c r="C768">
        <v>58.052211759999999</v>
      </c>
      <c r="D768">
        <v>0.83929503000000005</v>
      </c>
      <c r="E768" t="b">
        <f t="shared" si="264"/>
        <v>0</v>
      </c>
      <c r="F768">
        <f t="shared" si="265"/>
        <v>-289.42176376999998</v>
      </c>
      <c r="G768">
        <f t="shared" si="266"/>
        <v>-579.68282256999998</v>
      </c>
      <c r="H768">
        <f t="shared" si="267"/>
        <v>-869.94388136999999</v>
      </c>
      <c r="I768">
        <f t="shared" si="268"/>
        <v>-1160.2049401700001</v>
      </c>
      <c r="J768">
        <f t="shared" si="269"/>
        <v>-1450.4659989700001</v>
      </c>
      <c r="L768">
        <f t="shared" si="270"/>
        <v>1695375.9606000001</v>
      </c>
      <c r="M768">
        <f t="shared" si="271"/>
        <v>-497805433.68440002</v>
      </c>
      <c r="N768">
        <f t="shared" si="272"/>
        <v>-857930577.40359986</v>
      </c>
      <c r="O768">
        <f t="shared" si="273"/>
        <v>-974337147.13440013</v>
      </c>
      <c r="P768">
        <f t="shared" si="274"/>
        <v>-1067388544.9564</v>
      </c>
      <c r="Q768">
        <f t="shared" si="275"/>
        <v>-1247400759.1142001</v>
      </c>
      <c r="S768">
        <f t="shared" si="276"/>
        <v>2056272.8235000002</v>
      </c>
      <c r="T768">
        <f t="shared" si="277"/>
        <v>-1257911724.9768999</v>
      </c>
      <c r="U768">
        <f t="shared" si="278"/>
        <v>-1078210049.9801998</v>
      </c>
      <c r="V768">
        <f t="shared" si="279"/>
        <v>-1235320311.5453999</v>
      </c>
      <c r="W768">
        <f t="shared" si="280"/>
        <v>-1589480768.0329003</v>
      </c>
      <c r="X768">
        <f t="shared" si="281"/>
        <v>-1769568518.7434001</v>
      </c>
      <c r="Z768">
        <f t="shared" si="282"/>
        <v>2417169.6864</v>
      </c>
      <c r="AA768">
        <f t="shared" si="283"/>
        <v>-758285021.07739997</v>
      </c>
      <c r="AB768">
        <f t="shared" si="284"/>
        <v>-1298489522.5567999</v>
      </c>
      <c r="AC768">
        <f t="shared" si="285"/>
        <v>-1705090007.4851999</v>
      </c>
      <c r="AD768">
        <f t="shared" si="286"/>
        <v>-2111572991.1094003</v>
      </c>
      <c r="AE768">
        <f t="shared" si="287"/>
        <v>-2291736278.3726001</v>
      </c>
    </row>
    <row r="769" spans="1:31" x14ac:dyDescent="0.25">
      <c r="A769">
        <v>41.156137700000002</v>
      </c>
      <c r="B769">
        <v>122.442633</v>
      </c>
      <c r="C769">
        <v>58.052211759999999</v>
      </c>
      <c r="D769">
        <v>1.20201194</v>
      </c>
      <c r="E769" t="b">
        <f t="shared" si="264"/>
        <v>0</v>
      </c>
      <c r="F769">
        <f t="shared" si="265"/>
        <v>-289.05904686000002</v>
      </c>
      <c r="G769">
        <f t="shared" si="266"/>
        <v>-579.32010565999997</v>
      </c>
      <c r="H769">
        <f t="shared" si="267"/>
        <v>-869.58116445999997</v>
      </c>
      <c r="I769">
        <f t="shared" si="268"/>
        <v>-1159.8422232600001</v>
      </c>
      <c r="J769">
        <f t="shared" si="269"/>
        <v>-1450.1032820600001</v>
      </c>
      <c r="L769">
        <f t="shared" si="270"/>
        <v>2428064.1187999998</v>
      </c>
      <c r="M769">
        <f t="shared" si="271"/>
        <v>-497181560.59920007</v>
      </c>
      <c r="N769">
        <f t="shared" si="272"/>
        <v>-857393756.37679994</v>
      </c>
      <c r="O769">
        <f t="shared" si="273"/>
        <v>-973930904.19519997</v>
      </c>
      <c r="P769">
        <f t="shared" si="274"/>
        <v>-1067054845.3992</v>
      </c>
      <c r="Q769">
        <f t="shared" si="275"/>
        <v>-1247088822.5716002</v>
      </c>
      <c r="S769">
        <f t="shared" si="276"/>
        <v>2944929.253</v>
      </c>
      <c r="T769">
        <f t="shared" si="277"/>
        <v>-1257124629.2821999</v>
      </c>
      <c r="U769">
        <f t="shared" si="278"/>
        <v>-1077535396.5275998</v>
      </c>
      <c r="V769">
        <f t="shared" si="279"/>
        <v>-1234805253.5331998</v>
      </c>
      <c r="W769">
        <f t="shared" si="280"/>
        <v>-1588983845.8662002</v>
      </c>
      <c r="X769">
        <f t="shared" si="281"/>
        <v>-1769126004.1132002</v>
      </c>
      <c r="Z769">
        <f t="shared" si="282"/>
        <v>3461794.3871999998</v>
      </c>
      <c r="AA769">
        <f t="shared" si="283"/>
        <v>-757334702.77320004</v>
      </c>
      <c r="AB769">
        <f t="shared" si="284"/>
        <v>-1297677036.6784</v>
      </c>
      <c r="AC769">
        <f t="shared" si="285"/>
        <v>-1704379082.3415997</v>
      </c>
      <c r="AD769">
        <f t="shared" si="286"/>
        <v>-2110912846.3332</v>
      </c>
      <c r="AE769">
        <f t="shared" si="287"/>
        <v>-2291163185.6548004</v>
      </c>
    </row>
    <row r="770" spans="1:31" x14ac:dyDescent="0.25">
      <c r="A770">
        <v>41.156890670000003</v>
      </c>
      <c r="B770">
        <v>122.0748889</v>
      </c>
      <c r="C770">
        <v>26.0837574</v>
      </c>
      <c r="D770">
        <v>34.592369079999997</v>
      </c>
      <c r="E770" t="b">
        <f t="shared" si="264"/>
        <v>1</v>
      </c>
      <c r="F770">
        <f t="shared" si="265"/>
        <v>-95.826417920000011</v>
      </c>
      <c r="G770">
        <f t="shared" si="266"/>
        <v>-226.24520492000002</v>
      </c>
      <c r="H770">
        <f t="shared" si="267"/>
        <v>-356.66399191999994</v>
      </c>
      <c r="I770">
        <f t="shared" si="268"/>
        <v>-487.08277892000001</v>
      </c>
      <c r="J770">
        <f t="shared" si="269"/>
        <v>-617.50156591999996</v>
      </c>
      <c r="L770">
        <f t="shared" si="270"/>
        <v>52689189.947999999</v>
      </c>
      <c r="M770">
        <f t="shared" si="271"/>
        <v>-164821438.82240003</v>
      </c>
      <c r="N770">
        <f t="shared" si="272"/>
        <v>-334842903.2816</v>
      </c>
      <c r="O770">
        <f t="shared" si="273"/>
        <v>-399463670.95039999</v>
      </c>
      <c r="P770">
        <f t="shared" si="274"/>
        <v>-448116156.60639995</v>
      </c>
      <c r="Q770">
        <f t="shared" si="275"/>
        <v>-531051346.69119996</v>
      </c>
      <c r="S770">
        <f t="shared" si="276"/>
        <v>63905205.630000003</v>
      </c>
      <c r="T770">
        <f t="shared" si="277"/>
        <v>-490952094.67640001</v>
      </c>
      <c r="U770">
        <f t="shared" si="278"/>
        <v>-420816081.1512</v>
      </c>
      <c r="V770">
        <f t="shared" si="279"/>
        <v>-506462868.52639991</v>
      </c>
      <c r="W770">
        <f t="shared" si="280"/>
        <v>-667303407.12040007</v>
      </c>
      <c r="X770">
        <f t="shared" si="281"/>
        <v>-753351910.42239988</v>
      </c>
      <c r="Z770">
        <f t="shared" si="282"/>
        <v>75121221.311999992</v>
      </c>
      <c r="AA770">
        <f t="shared" si="283"/>
        <v>-251065214.95040005</v>
      </c>
      <c r="AB770">
        <f t="shared" si="284"/>
        <v>-506789259.02080011</v>
      </c>
      <c r="AC770">
        <f t="shared" si="285"/>
        <v>-699061424.1631999</v>
      </c>
      <c r="AD770">
        <f t="shared" si="286"/>
        <v>-886490657.63440001</v>
      </c>
      <c r="AE770">
        <f t="shared" si="287"/>
        <v>-975652474.15359998</v>
      </c>
    </row>
    <row r="771" spans="1:31" x14ac:dyDescent="0.25">
      <c r="A771">
        <v>41.186792920000002</v>
      </c>
      <c r="B771">
        <v>122.20418239999999</v>
      </c>
      <c r="C771">
        <v>26.0837574</v>
      </c>
      <c r="D771">
        <v>13.193712229999999</v>
      </c>
      <c r="E771" t="b">
        <f t="shared" ref="E771:E834" si="288">D771&gt;C771</f>
        <v>0</v>
      </c>
      <c r="F771">
        <f t="shared" ref="F771:F834" si="289">D771-(C771*(2030-2025))</f>
        <v>-117.22507477000001</v>
      </c>
      <c r="G771">
        <f t="shared" ref="G771:G834" si="290">D771-(C771*(2035-2025))</f>
        <v>-247.64386177000003</v>
      </c>
      <c r="H771">
        <f t="shared" ref="H771:H834" si="291">D771-(C771*(2040-2025))</f>
        <v>-378.06264876999995</v>
      </c>
      <c r="I771">
        <f t="shared" ref="I771:I834" si="292">D771-(C771*(2045-2025))</f>
        <v>-508.48143577000002</v>
      </c>
      <c r="J771">
        <f t="shared" ref="J771:J834" si="293">D771-(C771*(2050-2025))</f>
        <v>-638.90022277000003</v>
      </c>
      <c r="L771">
        <f t="shared" ref="L771:L834" si="294">MIN(C771,D771)*1000000*((280/250)+0.9)</f>
        <v>26651298.704599999</v>
      </c>
      <c r="M771">
        <f t="shared" ref="M771:M834" si="295">MIN(C771,F771)*1000000*((230/250)+0.8)</f>
        <v>-201627128.60440004</v>
      </c>
      <c r="N771">
        <f t="shared" ref="N771:N834" si="296">MIN(C771,G771)*1000000*((195/250)+0.7)</f>
        <v>-366512915.41960007</v>
      </c>
      <c r="O771">
        <f t="shared" ref="O771:O834" si="297">MIN(C771,H771)*1000000*((130/250)+0.6)</f>
        <v>-423430166.62240005</v>
      </c>
      <c r="P771">
        <f t="shared" ref="P771:P834" si="298">MIN(C771,I771)*1000000*((105/250)+0.5)</f>
        <v>-467802920.9084</v>
      </c>
      <c r="Q771">
        <f t="shared" ref="Q771:Q834" si="299">MIN(C771,J771)*1000000*((90/250)+0.5)</f>
        <v>-549454191.58219993</v>
      </c>
      <c r="S771">
        <f t="shared" ref="S771:S834" si="300">MIN(C771,D771)*1000000*((325/250)+1.15)</f>
        <v>32324594.963500001</v>
      </c>
      <c r="T771">
        <f t="shared" ref="T771:T834" si="301">MIN(C771,G771)*1000000*((280/250)+1.05)</f>
        <v>-537387180.04090011</v>
      </c>
      <c r="U771">
        <f t="shared" ref="U771:U834" si="302">MIN(C771,G771)*1000000*((227.5/250)+0.95)</f>
        <v>-460617582.89220005</v>
      </c>
      <c r="V771">
        <f t="shared" ref="V771:V834" si="303">MIN(C771,H771)*1000000*((142.5/250)+0.85)</f>
        <v>-536848961.25339997</v>
      </c>
      <c r="W771">
        <f t="shared" ref="W771:W834" si="304">MIN(C771,I771)*1000000*((142.5/250)+0.8)</f>
        <v>-696619567.0049001</v>
      </c>
      <c r="X771">
        <f t="shared" ref="X771:X834" si="305">MIN(C771,J771)*1000000*((117.5/250)+0.75)</f>
        <v>-779458271.77939999</v>
      </c>
      <c r="Z771">
        <f t="shared" ref="Z771:Z834" si="306">MIN(C771,D771)*1000000*((370/250)+1.4)</f>
        <v>37997891.222399995</v>
      </c>
      <c r="AA771">
        <f t="shared" ref="AA771:AA834" si="307">MIN(C771,F771)*1000000*((330/250)+1.3)</f>
        <v>-307129695.89740002</v>
      </c>
      <c r="AB771">
        <f t="shared" ref="AB771:AB834" si="308">MIN(C771,G771)*1000000*((260/250)+1.2)</f>
        <v>-554722250.3648001</v>
      </c>
      <c r="AC771">
        <f t="shared" ref="AC771:AC834" si="309">MIN(C771,H771)*1000000*((215/250)+1.1)</f>
        <v>-741002791.5891999</v>
      </c>
      <c r="AD771">
        <f t="shared" ref="AD771:AD834" si="310">MIN(C771,I771)*1000000*((180/250)+1.1)</f>
        <v>-925436213.10140014</v>
      </c>
      <c r="AE771">
        <f t="shared" ref="AE771:AE834" si="311">MIN(C771,J771)*1000000*((145/250)+1)</f>
        <v>-1009462351.9766001</v>
      </c>
    </row>
    <row r="772" spans="1:31" x14ac:dyDescent="0.25">
      <c r="A772">
        <v>41.238459540000001</v>
      </c>
      <c r="B772">
        <v>122.5227381</v>
      </c>
      <c r="C772">
        <v>17.020019529999999</v>
      </c>
      <c r="D772">
        <v>4.1065058700000003</v>
      </c>
      <c r="E772" t="b">
        <f t="shared" si="288"/>
        <v>0</v>
      </c>
      <c r="F772">
        <f t="shared" si="289"/>
        <v>-80.993591779999988</v>
      </c>
      <c r="G772">
        <f t="shared" si="290"/>
        <v>-166.09368942999998</v>
      </c>
      <c r="H772">
        <f t="shared" si="291"/>
        <v>-251.19378707999996</v>
      </c>
      <c r="I772">
        <f t="shared" si="292"/>
        <v>-336.29388473</v>
      </c>
      <c r="J772">
        <f t="shared" si="293"/>
        <v>-421.39398238000001</v>
      </c>
      <c r="L772">
        <f t="shared" si="294"/>
        <v>8295141.8574000001</v>
      </c>
      <c r="M772">
        <f t="shared" si="295"/>
        <v>-139308977.86159998</v>
      </c>
      <c r="N772">
        <f t="shared" si="296"/>
        <v>-245818660.35639995</v>
      </c>
      <c r="O772">
        <f t="shared" si="297"/>
        <v>-281337041.52959996</v>
      </c>
      <c r="P772">
        <f t="shared" si="298"/>
        <v>-309390373.95160002</v>
      </c>
      <c r="Q772">
        <f t="shared" si="299"/>
        <v>-362398824.84679997</v>
      </c>
      <c r="S772">
        <f t="shared" si="300"/>
        <v>10060939.3815</v>
      </c>
      <c r="T772">
        <f t="shared" si="301"/>
        <v>-360423306.06309992</v>
      </c>
      <c r="U772">
        <f t="shared" si="302"/>
        <v>-308934262.33979994</v>
      </c>
      <c r="V772">
        <f t="shared" si="303"/>
        <v>-356695177.65359992</v>
      </c>
      <c r="W772">
        <f t="shared" si="304"/>
        <v>-460722622.08010006</v>
      </c>
      <c r="X772">
        <f t="shared" si="305"/>
        <v>-514100658.5036</v>
      </c>
      <c r="Z772">
        <f t="shared" si="306"/>
        <v>11826736.9056</v>
      </c>
      <c r="AA772">
        <f t="shared" si="307"/>
        <v>-212203210.46359998</v>
      </c>
      <c r="AB772">
        <f t="shared" si="308"/>
        <v>-372049864.32319999</v>
      </c>
      <c r="AC772">
        <f t="shared" si="309"/>
        <v>-492339822.67679989</v>
      </c>
      <c r="AD772">
        <f t="shared" si="310"/>
        <v>-612054870.20860004</v>
      </c>
      <c r="AE772">
        <f t="shared" si="311"/>
        <v>-665802492.16040003</v>
      </c>
    </row>
    <row r="773" spans="1:31" x14ac:dyDescent="0.25">
      <c r="A773">
        <v>41.283480619999999</v>
      </c>
      <c r="B773">
        <v>122.5330189</v>
      </c>
      <c r="C773">
        <v>17.020019529999999</v>
      </c>
      <c r="D773">
        <v>0.441131</v>
      </c>
      <c r="E773" t="b">
        <f t="shared" si="288"/>
        <v>0</v>
      </c>
      <c r="F773">
        <f t="shared" si="289"/>
        <v>-84.658966649999996</v>
      </c>
      <c r="G773">
        <f t="shared" si="290"/>
        <v>-169.75906429999998</v>
      </c>
      <c r="H773">
        <f t="shared" si="291"/>
        <v>-254.85916194999996</v>
      </c>
      <c r="I773">
        <f t="shared" si="292"/>
        <v>-339.9592596</v>
      </c>
      <c r="J773">
        <f t="shared" si="293"/>
        <v>-425.05935725000001</v>
      </c>
      <c r="L773">
        <f t="shared" si="294"/>
        <v>891084.62</v>
      </c>
      <c r="M773">
        <f t="shared" si="295"/>
        <v>-145613422.63800001</v>
      </c>
      <c r="N773">
        <f t="shared" si="296"/>
        <v>-251243415.16399997</v>
      </c>
      <c r="O773">
        <f t="shared" si="297"/>
        <v>-285442261.384</v>
      </c>
      <c r="P773">
        <f t="shared" si="298"/>
        <v>-312762518.83200002</v>
      </c>
      <c r="Q773">
        <f t="shared" si="299"/>
        <v>-365551047.23500001</v>
      </c>
      <c r="S773">
        <f t="shared" si="300"/>
        <v>1080770.9500000002</v>
      </c>
      <c r="T773">
        <f t="shared" si="301"/>
        <v>-368377169.53099996</v>
      </c>
      <c r="U773">
        <f t="shared" si="302"/>
        <v>-315751859.59799993</v>
      </c>
      <c r="V773">
        <f t="shared" si="303"/>
        <v>-361900009.96899992</v>
      </c>
      <c r="W773">
        <f t="shared" si="304"/>
        <v>-465744185.65200007</v>
      </c>
      <c r="X773">
        <f t="shared" si="305"/>
        <v>-518572415.84499997</v>
      </c>
      <c r="Z773">
        <f t="shared" si="306"/>
        <v>1270457.28</v>
      </c>
      <c r="AA773">
        <f t="shared" si="307"/>
        <v>-221806492.623</v>
      </c>
      <c r="AB773">
        <f t="shared" si="308"/>
        <v>-380260304.03200001</v>
      </c>
      <c r="AC773">
        <f t="shared" si="309"/>
        <v>-499523957.42199993</v>
      </c>
      <c r="AD773">
        <f t="shared" si="310"/>
        <v>-618725852.47200012</v>
      </c>
      <c r="AE773">
        <f t="shared" si="311"/>
        <v>-671593784.45500004</v>
      </c>
    </row>
    <row r="774" spans="1:31" x14ac:dyDescent="0.25">
      <c r="A774">
        <v>41.314296779999999</v>
      </c>
      <c r="B774">
        <v>122.2941903</v>
      </c>
      <c r="C774">
        <v>58.052211759999999</v>
      </c>
      <c r="D774">
        <v>12.6298008</v>
      </c>
      <c r="E774" t="b">
        <f t="shared" si="288"/>
        <v>0</v>
      </c>
      <c r="F774">
        <f t="shared" si="289"/>
        <v>-277.631258</v>
      </c>
      <c r="G774">
        <f t="shared" si="290"/>
        <v>-567.8923168</v>
      </c>
      <c r="H774">
        <f t="shared" si="291"/>
        <v>-858.1533756</v>
      </c>
      <c r="I774">
        <f t="shared" si="292"/>
        <v>-1148.4144343999999</v>
      </c>
      <c r="J774">
        <f t="shared" si="293"/>
        <v>-1438.6754931999999</v>
      </c>
      <c r="L774">
        <f t="shared" si="294"/>
        <v>25512197.616</v>
      </c>
      <c r="M774">
        <f t="shared" si="295"/>
        <v>-477525763.76000005</v>
      </c>
      <c r="N774">
        <f t="shared" si="296"/>
        <v>-840480628.86399996</v>
      </c>
      <c r="O774">
        <f t="shared" si="297"/>
        <v>-961131780.67200017</v>
      </c>
      <c r="P774">
        <f t="shared" si="298"/>
        <v>-1056541279.6479998</v>
      </c>
      <c r="Q774">
        <f t="shared" si="299"/>
        <v>-1237260924.1519997</v>
      </c>
      <c r="S774">
        <f t="shared" si="300"/>
        <v>30943011.960000005</v>
      </c>
      <c r="T774">
        <f t="shared" si="301"/>
        <v>-1232326327.4559999</v>
      </c>
      <c r="U774">
        <f t="shared" si="302"/>
        <v>-1056279709.2479998</v>
      </c>
      <c r="V774">
        <f t="shared" si="303"/>
        <v>-1218577793.352</v>
      </c>
      <c r="W774">
        <f t="shared" si="304"/>
        <v>-1573327775.128</v>
      </c>
      <c r="X774">
        <f t="shared" si="305"/>
        <v>-1755184101.7039998</v>
      </c>
      <c r="Z774">
        <f t="shared" si="306"/>
        <v>36373826.303999998</v>
      </c>
      <c r="AA774">
        <f t="shared" si="307"/>
        <v>-727393895.96000004</v>
      </c>
      <c r="AB774">
        <f t="shared" si="308"/>
        <v>-1272078789.632</v>
      </c>
      <c r="AC774">
        <f t="shared" si="309"/>
        <v>-1681980616.1760001</v>
      </c>
      <c r="AD774">
        <f t="shared" si="310"/>
        <v>-2090114270.6079998</v>
      </c>
      <c r="AE774">
        <f t="shared" si="311"/>
        <v>-2273107279.2559996</v>
      </c>
    </row>
    <row r="775" spans="1:31" x14ac:dyDescent="0.25">
      <c r="A775">
        <v>41.321931149999998</v>
      </c>
      <c r="B775">
        <v>122.2344518</v>
      </c>
      <c r="C775">
        <v>58.052211759999999</v>
      </c>
      <c r="D775">
        <v>5.0389070499999997</v>
      </c>
      <c r="E775" t="b">
        <f t="shared" si="288"/>
        <v>0</v>
      </c>
      <c r="F775">
        <f t="shared" si="289"/>
        <v>-285.22215175000002</v>
      </c>
      <c r="G775">
        <f t="shared" si="290"/>
        <v>-575.48321054999997</v>
      </c>
      <c r="H775">
        <f t="shared" si="291"/>
        <v>-865.74426934999997</v>
      </c>
      <c r="I775">
        <f t="shared" si="292"/>
        <v>-1156.00532815</v>
      </c>
      <c r="J775">
        <f t="shared" si="293"/>
        <v>-1446.26638695</v>
      </c>
      <c r="L775">
        <f t="shared" si="294"/>
        <v>10178592.241</v>
      </c>
      <c r="M775">
        <f t="shared" si="295"/>
        <v>-490582101.01000005</v>
      </c>
      <c r="N775">
        <f t="shared" si="296"/>
        <v>-851715151.61399996</v>
      </c>
      <c r="O775">
        <f t="shared" si="297"/>
        <v>-969633581.67200017</v>
      </c>
      <c r="P775">
        <f t="shared" si="298"/>
        <v>-1063524901.8979998</v>
      </c>
      <c r="Q775">
        <f t="shared" si="299"/>
        <v>-1243789092.777</v>
      </c>
      <c r="S775">
        <f t="shared" si="300"/>
        <v>12345322.272500001</v>
      </c>
      <c r="T775">
        <f t="shared" si="301"/>
        <v>-1248798566.8934999</v>
      </c>
      <c r="U775">
        <f t="shared" si="302"/>
        <v>-1070398771.6229998</v>
      </c>
      <c r="V775">
        <f t="shared" si="303"/>
        <v>-1229356862.477</v>
      </c>
      <c r="W775">
        <f t="shared" si="304"/>
        <v>-1583727299.5655</v>
      </c>
      <c r="X775">
        <f t="shared" si="305"/>
        <v>-1764444992.079</v>
      </c>
      <c r="Z775">
        <f t="shared" si="306"/>
        <v>14512052.304</v>
      </c>
      <c r="AA775">
        <f t="shared" si="307"/>
        <v>-747282037.58500004</v>
      </c>
      <c r="AB775">
        <f t="shared" si="308"/>
        <v>-1289082391.632</v>
      </c>
      <c r="AC775">
        <f t="shared" si="309"/>
        <v>-1696858767.9260001</v>
      </c>
      <c r="AD775">
        <f t="shared" si="310"/>
        <v>-2103929697.2329998</v>
      </c>
      <c r="AE775">
        <f t="shared" si="311"/>
        <v>-2285100891.381</v>
      </c>
    </row>
    <row r="776" spans="1:31" x14ac:dyDescent="0.25">
      <c r="A776">
        <v>41.329520530000003</v>
      </c>
      <c r="B776">
        <v>121.80608410000001</v>
      </c>
      <c r="C776">
        <v>58.052211759999999</v>
      </c>
      <c r="D776">
        <v>0.64296900999999995</v>
      </c>
      <c r="E776" t="b">
        <f t="shared" si="288"/>
        <v>0</v>
      </c>
      <c r="F776">
        <f t="shared" si="289"/>
        <v>-289.61808979</v>
      </c>
      <c r="G776">
        <f t="shared" si="290"/>
        <v>-579.87914859</v>
      </c>
      <c r="H776">
        <f t="shared" si="291"/>
        <v>-870.14020739</v>
      </c>
      <c r="I776">
        <f t="shared" si="292"/>
        <v>-1160.4012661900001</v>
      </c>
      <c r="J776">
        <f t="shared" si="293"/>
        <v>-1450.6623249900001</v>
      </c>
      <c r="L776">
        <f t="shared" si="294"/>
        <v>1298797.4002</v>
      </c>
      <c r="M776">
        <f t="shared" si="295"/>
        <v>-498143114.4388001</v>
      </c>
      <c r="N776">
        <f t="shared" si="296"/>
        <v>-858221139.91320002</v>
      </c>
      <c r="O776">
        <f t="shared" si="297"/>
        <v>-974557032.27680004</v>
      </c>
      <c r="P776">
        <f t="shared" si="298"/>
        <v>-1067569164.8947999</v>
      </c>
      <c r="Q776">
        <f t="shared" si="299"/>
        <v>-1247569599.4914</v>
      </c>
      <c r="S776">
        <f t="shared" si="300"/>
        <v>1575274.0745000001</v>
      </c>
      <c r="T776">
        <f t="shared" si="301"/>
        <v>-1258337752.4403</v>
      </c>
      <c r="U776">
        <f t="shared" si="302"/>
        <v>-1078575216.3773999</v>
      </c>
      <c r="V776">
        <f t="shared" si="303"/>
        <v>-1235599094.4937999</v>
      </c>
      <c r="W776">
        <f t="shared" si="304"/>
        <v>-1589749734.6803002</v>
      </c>
      <c r="X776">
        <f t="shared" si="305"/>
        <v>-1769808036.4877999</v>
      </c>
      <c r="Z776">
        <f t="shared" si="306"/>
        <v>1851750.7487999999</v>
      </c>
      <c r="AA776">
        <f t="shared" si="307"/>
        <v>-758799395.24980009</v>
      </c>
      <c r="AB776">
        <f t="shared" si="308"/>
        <v>-1298929292.8416002</v>
      </c>
      <c r="AC776">
        <f t="shared" si="309"/>
        <v>-1705474806.4844</v>
      </c>
      <c r="AD776">
        <f t="shared" si="310"/>
        <v>-2111930304.4658003</v>
      </c>
      <c r="AE776">
        <f t="shared" si="311"/>
        <v>-2292046473.4842</v>
      </c>
    </row>
    <row r="777" spans="1:31" x14ac:dyDescent="0.25">
      <c r="A777">
        <v>41.337116229999999</v>
      </c>
      <c r="B777">
        <v>122.1149374</v>
      </c>
      <c r="C777">
        <v>58.052211759999999</v>
      </c>
      <c r="D777">
        <v>5.9341120700000003</v>
      </c>
      <c r="E777" t="b">
        <f t="shared" si="288"/>
        <v>0</v>
      </c>
      <c r="F777">
        <f t="shared" si="289"/>
        <v>-284.32694672999997</v>
      </c>
      <c r="G777">
        <f t="shared" si="290"/>
        <v>-574.58800553000003</v>
      </c>
      <c r="H777">
        <f t="shared" si="291"/>
        <v>-864.84906433000003</v>
      </c>
      <c r="I777">
        <f t="shared" si="292"/>
        <v>-1155.1101231299999</v>
      </c>
      <c r="J777">
        <f t="shared" si="293"/>
        <v>-1445.3711819299999</v>
      </c>
      <c r="L777">
        <f t="shared" si="294"/>
        <v>11986906.3814</v>
      </c>
      <c r="M777">
        <f t="shared" si="295"/>
        <v>-489042348.37559998</v>
      </c>
      <c r="N777">
        <f t="shared" si="296"/>
        <v>-850390248.18440008</v>
      </c>
      <c r="O777">
        <f t="shared" si="297"/>
        <v>-968630952.04960012</v>
      </c>
      <c r="P777">
        <f t="shared" si="298"/>
        <v>-1062701313.2795998</v>
      </c>
      <c r="Q777">
        <f t="shared" si="299"/>
        <v>-1243019216.4597998</v>
      </c>
      <c r="S777">
        <f t="shared" si="300"/>
        <v>14538574.571500001</v>
      </c>
      <c r="T777">
        <f t="shared" si="301"/>
        <v>-1246855972.0001001</v>
      </c>
      <c r="U777">
        <f t="shared" si="302"/>
        <v>-1068733690.2858001</v>
      </c>
      <c r="V777">
        <f t="shared" si="303"/>
        <v>-1228085671.3485999</v>
      </c>
      <c r="W777">
        <f t="shared" si="304"/>
        <v>-1582500868.6880999</v>
      </c>
      <c r="X777">
        <f t="shared" si="305"/>
        <v>-1763352841.9545999</v>
      </c>
      <c r="Z777">
        <f t="shared" si="306"/>
        <v>17090242.761599999</v>
      </c>
      <c r="AA777">
        <f t="shared" si="307"/>
        <v>-744936600.4325999</v>
      </c>
      <c r="AB777">
        <f t="shared" si="308"/>
        <v>-1287077132.3872004</v>
      </c>
      <c r="AC777">
        <f t="shared" si="309"/>
        <v>-1695104166.0868001</v>
      </c>
      <c r="AD777">
        <f t="shared" si="310"/>
        <v>-2102300424.0965998</v>
      </c>
      <c r="AE777">
        <f t="shared" si="311"/>
        <v>-2283686467.4493999</v>
      </c>
    </row>
    <row r="778" spans="1:31" x14ac:dyDescent="0.25">
      <c r="A778">
        <v>41.342214370000001</v>
      </c>
      <c r="B778">
        <v>122.7925297</v>
      </c>
      <c r="C778">
        <v>62.738258360000003</v>
      </c>
      <c r="D778">
        <v>5.4980010999999998</v>
      </c>
      <c r="E778" t="b">
        <f t="shared" si="288"/>
        <v>0</v>
      </c>
      <c r="F778">
        <f t="shared" si="289"/>
        <v>-308.19329070000003</v>
      </c>
      <c r="G778">
        <f t="shared" si="290"/>
        <v>-621.88458250000008</v>
      </c>
      <c r="H778">
        <f t="shared" si="291"/>
        <v>-935.57587430000001</v>
      </c>
      <c r="I778">
        <f t="shared" si="292"/>
        <v>-1249.2671661000002</v>
      </c>
      <c r="J778">
        <f t="shared" si="293"/>
        <v>-1562.9584579</v>
      </c>
      <c r="L778">
        <f t="shared" si="294"/>
        <v>11105962.221999999</v>
      </c>
      <c r="M778">
        <f t="shared" si="295"/>
        <v>-530092460.00400013</v>
      </c>
      <c r="N778">
        <f t="shared" si="296"/>
        <v>-920389182.10000014</v>
      </c>
      <c r="O778">
        <f t="shared" si="297"/>
        <v>-1047844979.2160001</v>
      </c>
      <c r="P778">
        <f t="shared" si="298"/>
        <v>-1149325792.812</v>
      </c>
      <c r="Q778">
        <f t="shared" si="299"/>
        <v>-1344144273.7940001</v>
      </c>
      <c r="S778">
        <f t="shared" si="300"/>
        <v>13470102.695</v>
      </c>
      <c r="T778">
        <f t="shared" si="301"/>
        <v>-1349489544.0250001</v>
      </c>
      <c r="U778">
        <f t="shared" si="302"/>
        <v>-1156705323.45</v>
      </c>
      <c r="V778">
        <f t="shared" si="303"/>
        <v>-1328517741.5059998</v>
      </c>
      <c r="W778">
        <f t="shared" si="304"/>
        <v>-1711496017.5570004</v>
      </c>
      <c r="X778">
        <f t="shared" si="305"/>
        <v>-1906809318.638</v>
      </c>
      <c r="Z778">
        <f t="shared" si="306"/>
        <v>15834243.167999998</v>
      </c>
      <c r="AA778">
        <f t="shared" si="307"/>
        <v>-807466421.63400018</v>
      </c>
      <c r="AB778">
        <f t="shared" si="308"/>
        <v>-1393021464.8000004</v>
      </c>
      <c r="AC778">
        <f t="shared" si="309"/>
        <v>-1833728713.6279998</v>
      </c>
      <c r="AD778">
        <f t="shared" si="310"/>
        <v>-2273666242.3020005</v>
      </c>
      <c r="AE778">
        <f t="shared" si="311"/>
        <v>-2469474363.4820004</v>
      </c>
    </row>
    <row r="779" spans="1:31" x14ac:dyDescent="0.25">
      <c r="A779">
        <v>41.432192020000002</v>
      </c>
      <c r="B779">
        <v>122.8134664</v>
      </c>
      <c r="C779">
        <v>61.735031130000003</v>
      </c>
      <c r="D779">
        <v>13.87740612</v>
      </c>
      <c r="E779" t="b">
        <f t="shared" si="288"/>
        <v>0</v>
      </c>
      <c r="F779">
        <f t="shared" si="289"/>
        <v>-294.79774953000003</v>
      </c>
      <c r="G779">
        <f t="shared" si="290"/>
        <v>-603.47290518</v>
      </c>
      <c r="H779">
        <f t="shared" si="291"/>
        <v>-912.14806082999996</v>
      </c>
      <c r="I779">
        <f t="shared" si="292"/>
        <v>-1220.8232164800002</v>
      </c>
      <c r="J779">
        <f t="shared" si="293"/>
        <v>-1529.4983721300002</v>
      </c>
      <c r="L779">
        <f t="shared" si="294"/>
        <v>28032360.362399999</v>
      </c>
      <c r="M779">
        <f t="shared" si="295"/>
        <v>-507052129.19160008</v>
      </c>
      <c r="N779">
        <f t="shared" si="296"/>
        <v>-893139899.66639996</v>
      </c>
      <c r="O779">
        <f t="shared" si="297"/>
        <v>-1021605828.1296</v>
      </c>
      <c r="P779">
        <f t="shared" si="298"/>
        <v>-1123157359.1616001</v>
      </c>
      <c r="Q779">
        <f t="shared" si="299"/>
        <v>-1315368600.0318003</v>
      </c>
      <c r="S779">
        <f t="shared" si="300"/>
        <v>33999644.994000003</v>
      </c>
      <c r="T779">
        <f t="shared" si="301"/>
        <v>-1309536204.2405999</v>
      </c>
      <c r="U779">
        <f t="shared" si="302"/>
        <v>-1122459603.6347997</v>
      </c>
      <c r="V779">
        <f t="shared" si="303"/>
        <v>-1295250246.3785999</v>
      </c>
      <c r="W779">
        <f t="shared" si="304"/>
        <v>-1672527806.5776005</v>
      </c>
      <c r="X779">
        <f t="shared" si="305"/>
        <v>-1865988013.9986005</v>
      </c>
      <c r="Z779">
        <f t="shared" si="306"/>
        <v>39966929.625599995</v>
      </c>
      <c r="AA779">
        <f t="shared" si="307"/>
        <v>-772370103.76860011</v>
      </c>
      <c r="AB779">
        <f t="shared" si="308"/>
        <v>-1351779307.6032</v>
      </c>
      <c r="AC779">
        <f t="shared" si="309"/>
        <v>-1787810199.2267997</v>
      </c>
      <c r="AD779">
        <f t="shared" si="310"/>
        <v>-2221898253.9936004</v>
      </c>
      <c r="AE779">
        <f t="shared" si="311"/>
        <v>-2416607427.9654007</v>
      </c>
    </row>
    <row r="780" spans="1:31" x14ac:dyDescent="0.25">
      <c r="A780">
        <v>41.443010180000002</v>
      </c>
      <c r="B780">
        <v>84.064284990000004</v>
      </c>
      <c r="C780">
        <v>9.4094677000000004</v>
      </c>
      <c r="D780">
        <v>1.52662206</v>
      </c>
      <c r="E780" t="b">
        <f t="shared" si="288"/>
        <v>0</v>
      </c>
      <c r="F780">
        <f t="shared" si="289"/>
        <v>-45.520716440000001</v>
      </c>
      <c r="G780">
        <f t="shared" si="290"/>
        <v>-92.56805494000001</v>
      </c>
      <c r="H780">
        <f t="shared" si="291"/>
        <v>-139.61539344000002</v>
      </c>
      <c r="I780">
        <f t="shared" si="292"/>
        <v>-186.66273194000001</v>
      </c>
      <c r="J780">
        <f t="shared" si="293"/>
        <v>-233.71007044000001</v>
      </c>
      <c r="L780">
        <f t="shared" si="294"/>
        <v>3083776.5612000003</v>
      </c>
      <c r="M780">
        <f t="shared" si="295"/>
        <v>-78295632.276800007</v>
      </c>
      <c r="N780">
        <f t="shared" si="296"/>
        <v>-137000721.31120002</v>
      </c>
      <c r="O780">
        <f t="shared" si="297"/>
        <v>-156369240.65280005</v>
      </c>
      <c r="P780">
        <f t="shared" si="298"/>
        <v>-171729713.38480002</v>
      </c>
      <c r="Q780">
        <f t="shared" si="299"/>
        <v>-200990660.57839999</v>
      </c>
      <c r="S780">
        <f t="shared" si="300"/>
        <v>3740224.0470000003</v>
      </c>
      <c r="T780">
        <f t="shared" si="301"/>
        <v>-200872679.21980003</v>
      </c>
      <c r="U780">
        <f t="shared" si="302"/>
        <v>-172176582.1884</v>
      </c>
      <c r="V780">
        <f t="shared" si="303"/>
        <v>-198253858.68480003</v>
      </c>
      <c r="W780">
        <f t="shared" si="304"/>
        <v>-255727942.75780004</v>
      </c>
      <c r="X780">
        <f t="shared" si="305"/>
        <v>-285126285.9368</v>
      </c>
      <c r="Z780">
        <f t="shared" si="306"/>
        <v>4396671.5328000002</v>
      </c>
      <c r="AA780">
        <f t="shared" si="307"/>
        <v>-119264277.0728</v>
      </c>
      <c r="AB780">
        <f t="shared" si="308"/>
        <v>-207352443.06560004</v>
      </c>
      <c r="AC780">
        <f t="shared" si="309"/>
        <v>-273646171.14240003</v>
      </c>
      <c r="AD780">
        <f t="shared" si="310"/>
        <v>-339726172.13080007</v>
      </c>
      <c r="AE780">
        <f t="shared" si="311"/>
        <v>-369261911.29519999</v>
      </c>
    </row>
    <row r="781" spans="1:31" x14ac:dyDescent="0.25">
      <c r="A781">
        <v>41.479017900000002</v>
      </c>
      <c r="B781">
        <v>122.4545938</v>
      </c>
      <c r="C781">
        <v>17.020019529999999</v>
      </c>
      <c r="D781">
        <v>0.84396201000000004</v>
      </c>
      <c r="E781" t="b">
        <f t="shared" si="288"/>
        <v>0</v>
      </c>
      <c r="F781">
        <f t="shared" si="289"/>
        <v>-84.256135639999997</v>
      </c>
      <c r="G781">
        <f t="shared" si="290"/>
        <v>-169.35623328999998</v>
      </c>
      <c r="H781">
        <f t="shared" si="291"/>
        <v>-254.45633093999996</v>
      </c>
      <c r="I781">
        <f t="shared" si="292"/>
        <v>-339.55642859</v>
      </c>
      <c r="J781">
        <f t="shared" si="293"/>
        <v>-424.65652624000001</v>
      </c>
      <c r="L781">
        <f t="shared" si="294"/>
        <v>1704803.2602000001</v>
      </c>
      <c r="M781">
        <f t="shared" si="295"/>
        <v>-144920553.30080003</v>
      </c>
      <c r="N781">
        <f t="shared" si="296"/>
        <v>-250647225.2692</v>
      </c>
      <c r="O781">
        <f t="shared" si="297"/>
        <v>-284991090.65279996</v>
      </c>
      <c r="P781">
        <f t="shared" si="298"/>
        <v>-312391914.30279994</v>
      </c>
      <c r="Q781">
        <f t="shared" si="299"/>
        <v>-365204612.56639999</v>
      </c>
      <c r="S781">
        <f t="shared" si="300"/>
        <v>2067706.9245000002</v>
      </c>
      <c r="T781">
        <f t="shared" si="301"/>
        <v>-367503026.23929995</v>
      </c>
      <c r="U781">
        <f t="shared" si="302"/>
        <v>-315002593.91939998</v>
      </c>
      <c r="V781">
        <f t="shared" si="303"/>
        <v>-361327989.93479991</v>
      </c>
      <c r="W781">
        <f t="shared" si="304"/>
        <v>-465192307.16829997</v>
      </c>
      <c r="X781">
        <f t="shared" si="305"/>
        <v>-518080962.01279998</v>
      </c>
      <c r="Z781">
        <f t="shared" si="306"/>
        <v>2430610.5888</v>
      </c>
      <c r="AA781">
        <f t="shared" si="307"/>
        <v>-220751075.3768</v>
      </c>
      <c r="AB781">
        <f t="shared" si="308"/>
        <v>-379357962.56960005</v>
      </c>
      <c r="AC781">
        <f t="shared" si="309"/>
        <v>-498734408.64239991</v>
      </c>
      <c r="AD781">
        <f t="shared" si="310"/>
        <v>-617992700.03380001</v>
      </c>
      <c r="AE781">
        <f t="shared" si="311"/>
        <v>-670957311.45920002</v>
      </c>
    </row>
    <row r="782" spans="1:31" x14ac:dyDescent="0.25">
      <c r="A782">
        <v>41.506303010000003</v>
      </c>
      <c r="B782">
        <v>122.95411900000001</v>
      </c>
      <c r="C782">
        <v>61.735031130000003</v>
      </c>
      <c r="D782">
        <v>3.32928991</v>
      </c>
      <c r="E782" t="b">
        <f t="shared" si="288"/>
        <v>0</v>
      </c>
      <c r="F782">
        <f t="shared" si="289"/>
        <v>-305.34586574000002</v>
      </c>
      <c r="G782">
        <f t="shared" si="290"/>
        <v>-614.02102138999999</v>
      </c>
      <c r="H782">
        <f t="shared" si="291"/>
        <v>-922.69617704000007</v>
      </c>
      <c r="I782">
        <f t="shared" si="292"/>
        <v>-1231.3713326900001</v>
      </c>
      <c r="J782">
        <f t="shared" si="293"/>
        <v>-1540.0464883400002</v>
      </c>
      <c r="L782">
        <f t="shared" si="294"/>
        <v>6725165.6182000004</v>
      </c>
      <c r="M782">
        <f t="shared" si="295"/>
        <v>-525194889.0728001</v>
      </c>
      <c r="N782">
        <f t="shared" si="296"/>
        <v>-908751111.65719998</v>
      </c>
      <c r="O782">
        <f t="shared" si="297"/>
        <v>-1033419718.2848002</v>
      </c>
      <c r="P782">
        <f t="shared" si="298"/>
        <v>-1132861626.0748</v>
      </c>
      <c r="Q782">
        <f t="shared" si="299"/>
        <v>-1324439979.9724002</v>
      </c>
      <c r="S782">
        <f t="shared" si="300"/>
        <v>8156760.2795000011</v>
      </c>
      <c r="T782">
        <f t="shared" si="301"/>
        <v>-1332425616.4162998</v>
      </c>
      <c r="U782">
        <f t="shared" si="302"/>
        <v>-1142079099.7853999</v>
      </c>
      <c r="V782">
        <f t="shared" si="303"/>
        <v>-1310228571.3968</v>
      </c>
      <c r="W782">
        <f t="shared" si="304"/>
        <v>-1686978725.7853003</v>
      </c>
      <c r="X782">
        <f t="shared" si="305"/>
        <v>-1878856715.7748001</v>
      </c>
      <c r="Z782">
        <f t="shared" si="306"/>
        <v>9588354.9408</v>
      </c>
      <c r="AA782">
        <f t="shared" si="307"/>
        <v>-800006168.23880005</v>
      </c>
      <c r="AB782">
        <f t="shared" si="308"/>
        <v>-1375407087.9136002</v>
      </c>
      <c r="AC782">
        <f t="shared" si="309"/>
        <v>-1808484506.9984002</v>
      </c>
      <c r="AD782">
        <f t="shared" si="310"/>
        <v>-2241095825.4958</v>
      </c>
      <c r="AE782">
        <f t="shared" si="311"/>
        <v>-2433273451.5772004</v>
      </c>
    </row>
    <row r="783" spans="1:31" x14ac:dyDescent="0.25">
      <c r="A783">
        <v>41.524025090000002</v>
      </c>
      <c r="B783">
        <v>122.4648665</v>
      </c>
      <c r="C783">
        <v>17.020019529999999</v>
      </c>
      <c r="D783">
        <v>3.8876130600000001</v>
      </c>
      <c r="E783" t="b">
        <f t="shared" si="288"/>
        <v>0</v>
      </c>
      <c r="F783">
        <f t="shared" si="289"/>
        <v>-81.212484589999988</v>
      </c>
      <c r="G783">
        <f t="shared" si="290"/>
        <v>-166.31258223999998</v>
      </c>
      <c r="H783">
        <f t="shared" si="291"/>
        <v>-251.41267988999996</v>
      </c>
      <c r="I783">
        <f t="shared" si="292"/>
        <v>-336.51277754</v>
      </c>
      <c r="J783">
        <f t="shared" si="293"/>
        <v>-421.61287519000001</v>
      </c>
      <c r="L783">
        <f t="shared" si="294"/>
        <v>7852978.3812000006</v>
      </c>
      <c r="M783">
        <f t="shared" si="295"/>
        <v>-139685473.4948</v>
      </c>
      <c r="N783">
        <f t="shared" si="296"/>
        <v>-246142621.71519998</v>
      </c>
      <c r="O783">
        <f t="shared" si="297"/>
        <v>-281582201.47679996</v>
      </c>
      <c r="P783">
        <f t="shared" si="298"/>
        <v>-309591755.33679998</v>
      </c>
      <c r="Q783">
        <f t="shared" si="299"/>
        <v>-362587072.66339999</v>
      </c>
      <c r="S783">
        <f t="shared" si="300"/>
        <v>9524651.9970000014</v>
      </c>
      <c r="T783">
        <f t="shared" si="301"/>
        <v>-360898303.46079993</v>
      </c>
      <c r="U783">
        <f t="shared" si="302"/>
        <v>-309341402.96639997</v>
      </c>
      <c r="V783">
        <f t="shared" si="303"/>
        <v>-357006005.44379991</v>
      </c>
      <c r="W783">
        <f t="shared" si="304"/>
        <v>-461022505.22980005</v>
      </c>
      <c r="X783">
        <f t="shared" si="305"/>
        <v>-514367707.73179996</v>
      </c>
      <c r="Z783">
        <f t="shared" si="306"/>
        <v>11196325.6128</v>
      </c>
      <c r="AA783">
        <f t="shared" si="307"/>
        <v>-212776709.62579998</v>
      </c>
      <c r="AB783">
        <f t="shared" si="308"/>
        <v>-372540184.21759999</v>
      </c>
      <c r="AC783">
        <f t="shared" si="309"/>
        <v>-492768852.58439988</v>
      </c>
      <c r="AD783">
        <f t="shared" si="310"/>
        <v>-612453255.12280011</v>
      </c>
      <c r="AE783">
        <f t="shared" si="311"/>
        <v>-666148342.80019999</v>
      </c>
    </row>
    <row r="784" spans="1:31" x14ac:dyDescent="0.25">
      <c r="A784">
        <v>41.567483080000002</v>
      </c>
      <c r="B784">
        <v>106.5271043</v>
      </c>
      <c r="C784">
        <v>5.3181140000000002E-2</v>
      </c>
      <c r="D784">
        <v>1.3105440100000001</v>
      </c>
      <c r="E784" t="b">
        <f t="shared" si="288"/>
        <v>1</v>
      </c>
      <c r="F784">
        <f t="shared" si="289"/>
        <v>1.0446383100000001</v>
      </c>
      <c r="G784">
        <f t="shared" si="290"/>
        <v>0.77873261000000005</v>
      </c>
      <c r="H784">
        <f t="shared" si="291"/>
        <v>0.51282691000000002</v>
      </c>
      <c r="I784">
        <f t="shared" si="292"/>
        <v>0.24692121</v>
      </c>
      <c r="J784">
        <f t="shared" si="293"/>
        <v>-1.8984490000000021E-2</v>
      </c>
      <c r="L784">
        <f t="shared" si="294"/>
        <v>107425.9028</v>
      </c>
      <c r="M784">
        <f t="shared" si="295"/>
        <v>91471.560800000007</v>
      </c>
      <c r="N784">
        <f t="shared" si="296"/>
        <v>78708.087199999994</v>
      </c>
      <c r="O784">
        <f t="shared" si="297"/>
        <v>59562.876800000005</v>
      </c>
      <c r="P784">
        <f t="shared" si="298"/>
        <v>48926.648799999995</v>
      </c>
      <c r="Q784">
        <f t="shared" si="299"/>
        <v>-16326.661400000017</v>
      </c>
      <c r="S784">
        <f t="shared" si="300"/>
        <v>130293.79300000001</v>
      </c>
      <c r="T784">
        <f t="shared" si="301"/>
        <v>115403.0738</v>
      </c>
      <c r="U784">
        <f t="shared" si="302"/>
        <v>98916.920399999988</v>
      </c>
      <c r="V784">
        <f t="shared" si="303"/>
        <v>75517.218800000002</v>
      </c>
      <c r="W784">
        <f t="shared" si="304"/>
        <v>72858.161800000002</v>
      </c>
      <c r="X784">
        <f t="shared" si="305"/>
        <v>-23161.077800000025</v>
      </c>
      <c r="Z784">
        <f t="shared" si="306"/>
        <v>153161.6832</v>
      </c>
      <c r="AA784">
        <f t="shared" si="307"/>
        <v>139334.58679999999</v>
      </c>
      <c r="AB784">
        <f t="shared" si="308"/>
        <v>119125.75360000001</v>
      </c>
      <c r="AC784">
        <f t="shared" si="309"/>
        <v>104235.0344</v>
      </c>
      <c r="AD784">
        <f t="shared" si="310"/>
        <v>96789.674800000008</v>
      </c>
      <c r="AE784">
        <f t="shared" si="311"/>
        <v>-29995.494200000034</v>
      </c>
    </row>
    <row r="785" spans="1:31" x14ac:dyDescent="0.25">
      <c r="A785">
        <v>41.567717219999999</v>
      </c>
      <c r="B785">
        <v>106.4663066</v>
      </c>
      <c r="C785">
        <v>5.3181140000000002E-2</v>
      </c>
      <c r="D785">
        <v>1.6643999999999999E-2</v>
      </c>
      <c r="E785" t="b">
        <f t="shared" si="288"/>
        <v>0</v>
      </c>
      <c r="F785">
        <f t="shared" si="289"/>
        <v>-0.24926170000000003</v>
      </c>
      <c r="G785">
        <f t="shared" si="290"/>
        <v>-0.51516740000000005</v>
      </c>
      <c r="H785">
        <f t="shared" si="291"/>
        <v>-0.78107310000000008</v>
      </c>
      <c r="I785">
        <f t="shared" si="292"/>
        <v>-1.0469788</v>
      </c>
      <c r="J785">
        <f t="shared" si="293"/>
        <v>-1.3128845</v>
      </c>
      <c r="L785">
        <f t="shared" si="294"/>
        <v>33620.879999999997</v>
      </c>
      <c r="M785">
        <f t="shared" si="295"/>
        <v>-428730.12400000013</v>
      </c>
      <c r="N785">
        <f t="shared" si="296"/>
        <v>-762447.75200000009</v>
      </c>
      <c r="O785">
        <f t="shared" si="297"/>
        <v>-874801.87200000021</v>
      </c>
      <c r="P785">
        <f t="shared" si="298"/>
        <v>-963220.49599999981</v>
      </c>
      <c r="Q785">
        <f t="shared" si="299"/>
        <v>-1129080.67</v>
      </c>
      <c r="S785">
        <f t="shared" si="300"/>
        <v>40777.800000000003</v>
      </c>
      <c r="T785">
        <f t="shared" si="301"/>
        <v>-1117913.2580000001</v>
      </c>
      <c r="U785">
        <f t="shared" si="302"/>
        <v>-958211.36400000006</v>
      </c>
      <c r="V785">
        <f t="shared" si="303"/>
        <v>-1109123.8020000001</v>
      </c>
      <c r="W785">
        <f t="shared" si="304"/>
        <v>-1434360.956</v>
      </c>
      <c r="X785">
        <f t="shared" si="305"/>
        <v>-1601719.0899999999</v>
      </c>
      <c r="Z785">
        <f t="shared" si="306"/>
        <v>47934.720000000001</v>
      </c>
      <c r="AA785">
        <f t="shared" si="307"/>
        <v>-653065.6540000001</v>
      </c>
      <c r="AB785">
        <f t="shared" si="308"/>
        <v>-1153974.9760000003</v>
      </c>
      <c r="AC785">
        <f t="shared" si="309"/>
        <v>-1530903.2760000001</v>
      </c>
      <c r="AD785">
        <f t="shared" si="310"/>
        <v>-1905501.416</v>
      </c>
      <c r="AE785">
        <f t="shared" si="311"/>
        <v>-2074357.51</v>
      </c>
    </row>
    <row r="786" spans="1:31" x14ac:dyDescent="0.25">
      <c r="A786">
        <v>41.613139889999999</v>
      </c>
      <c r="B786">
        <v>106.5274354</v>
      </c>
      <c r="C786">
        <v>5.3181140000000002E-2</v>
      </c>
      <c r="D786">
        <v>4.2009999999999999E-3</v>
      </c>
      <c r="E786" t="b">
        <f t="shared" si="288"/>
        <v>0</v>
      </c>
      <c r="F786">
        <f t="shared" si="289"/>
        <v>-0.26170470000000001</v>
      </c>
      <c r="G786">
        <f t="shared" si="290"/>
        <v>-0.52761040000000003</v>
      </c>
      <c r="H786">
        <f t="shared" si="291"/>
        <v>-0.79351610000000006</v>
      </c>
      <c r="I786">
        <f t="shared" si="292"/>
        <v>-1.0594218000000002</v>
      </c>
      <c r="J786">
        <f t="shared" si="293"/>
        <v>-1.3253275000000002</v>
      </c>
      <c r="L786">
        <f t="shared" si="294"/>
        <v>8486.02</v>
      </c>
      <c r="M786">
        <f t="shared" si="295"/>
        <v>-450132.08400000009</v>
      </c>
      <c r="N786">
        <f t="shared" si="296"/>
        <v>-780863.39199999999</v>
      </c>
      <c r="O786">
        <f t="shared" si="297"/>
        <v>-888738.03200000024</v>
      </c>
      <c r="P786">
        <f t="shared" si="298"/>
        <v>-974668.05600000022</v>
      </c>
      <c r="Q786">
        <f t="shared" si="299"/>
        <v>-1139781.6500000001</v>
      </c>
      <c r="S786">
        <f t="shared" si="300"/>
        <v>10292.450000000001</v>
      </c>
      <c r="T786">
        <f t="shared" si="301"/>
        <v>-1144914.568</v>
      </c>
      <c r="U786">
        <f t="shared" si="302"/>
        <v>-981355.34399999992</v>
      </c>
      <c r="V786">
        <f t="shared" si="303"/>
        <v>-1126792.862</v>
      </c>
      <c r="W786">
        <f t="shared" si="304"/>
        <v>-1451407.8660000004</v>
      </c>
      <c r="X786">
        <f t="shared" si="305"/>
        <v>-1616899.5500000003</v>
      </c>
      <c r="Z786">
        <f t="shared" si="306"/>
        <v>12098.88</v>
      </c>
      <c r="AA786">
        <f t="shared" si="307"/>
        <v>-685666.31400000001</v>
      </c>
      <c r="AB786">
        <f t="shared" si="308"/>
        <v>-1181847.2960000001</v>
      </c>
      <c r="AC786">
        <f t="shared" si="309"/>
        <v>-1555291.5560000001</v>
      </c>
      <c r="AD786">
        <f t="shared" si="310"/>
        <v>-1928147.6760000007</v>
      </c>
      <c r="AE786">
        <f t="shared" si="311"/>
        <v>-2094017.4500000004</v>
      </c>
    </row>
    <row r="787" spans="1:31" x14ac:dyDescent="0.25">
      <c r="A787">
        <v>41.679017880000004</v>
      </c>
      <c r="B787">
        <v>112.50018059999999</v>
      </c>
      <c r="C787">
        <v>0</v>
      </c>
      <c r="D787">
        <v>1.1779379800000001</v>
      </c>
      <c r="E787" t="b">
        <f t="shared" si="288"/>
        <v>1</v>
      </c>
      <c r="F787">
        <f t="shared" si="289"/>
        <v>1.1779379800000001</v>
      </c>
      <c r="G787">
        <f t="shared" si="290"/>
        <v>1.1779379800000001</v>
      </c>
      <c r="H787">
        <f t="shared" si="291"/>
        <v>1.1779379800000001</v>
      </c>
      <c r="I787">
        <f t="shared" si="292"/>
        <v>1.1779379800000001</v>
      </c>
      <c r="J787">
        <f t="shared" si="293"/>
        <v>1.1779379800000001</v>
      </c>
      <c r="L787">
        <f t="shared" si="294"/>
        <v>0</v>
      </c>
      <c r="M787">
        <f t="shared" si="295"/>
        <v>0</v>
      </c>
      <c r="N787">
        <f t="shared" si="296"/>
        <v>0</v>
      </c>
      <c r="O787">
        <f t="shared" si="297"/>
        <v>0</v>
      </c>
      <c r="P787">
        <f t="shared" si="298"/>
        <v>0</v>
      </c>
      <c r="Q787">
        <f t="shared" si="299"/>
        <v>0</v>
      </c>
      <c r="S787">
        <f t="shared" si="300"/>
        <v>0</v>
      </c>
      <c r="T787">
        <f t="shared" si="301"/>
        <v>0</v>
      </c>
      <c r="U787">
        <f t="shared" si="302"/>
        <v>0</v>
      </c>
      <c r="V787">
        <f t="shared" si="303"/>
        <v>0</v>
      </c>
      <c r="W787">
        <f t="shared" si="304"/>
        <v>0</v>
      </c>
      <c r="X787">
        <f t="shared" si="305"/>
        <v>0</v>
      </c>
      <c r="Z787">
        <f t="shared" si="306"/>
        <v>0</v>
      </c>
      <c r="AA787">
        <f t="shared" si="307"/>
        <v>0</v>
      </c>
      <c r="AB787">
        <f t="shared" si="308"/>
        <v>0</v>
      </c>
      <c r="AC787">
        <f t="shared" si="309"/>
        <v>0</v>
      </c>
      <c r="AD787">
        <f t="shared" si="310"/>
        <v>0</v>
      </c>
      <c r="AE787">
        <f t="shared" si="311"/>
        <v>0</v>
      </c>
    </row>
    <row r="788" spans="1:31" x14ac:dyDescent="0.25">
      <c r="A788">
        <v>41.70444182</v>
      </c>
      <c r="B788">
        <v>106.5280987</v>
      </c>
      <c r="C788">
        <v>5.3181140000000002E-2</v>
      </c>
      <c r="D788">
        <v>3.2067999999999999E-2</v>
      </c>
      <c r="E788" t="b">
        <f t="shared" si="288"/>
        <v>0</v>
      </c>
      <c r="F788">
        <f t="shared" si="289"/>
        <v>-0.23383770000000004</v>
      </c>
      <c r="G788">
        <f t="shared" si="290"/>
        <v>-0.49974340000000006</v>
      </c>
      <c r="H788">
        <f t="shared" si="291"/>
        <v>-0.76564910000000008</v>
      </c>
      <c r="I788">
        <f t="shared" si="292"/>
        <v>-1.0315548000000001</v>
      </c>
      <c r="J788">
        <f t="shared" si="293"/>
        <v>-1.2974605000000001</v>
      </c>
      <c r="L788">
        <f t="shared" si="294"/>
        <v>64777.36</v>
      </c>
      <c r="M788">
        <f t="shared" si="295"/>
        <v>-402200.8440000001</v>
      </c>
      <c r="N788">
        <f t="shared" si="296"/>
        <v>-739620.23200000008</v>
      </c>
      <c r="O788">
        <f t="shared" si="297"/>
        <v>-857526.9920000002</v>
      </c>
      <c r="P788">
        <f t="shared" si="298"/>
        <v>-949030.41600000008</v>
      </c>
      <c r="Q788">
        <f t="shared" si="299"/>
        <v>-1115816.0300000003</v>
      </c>
      <c r="S788">
        <f t="shared" si="300"/>
        <v>78566.600000000006</v>
      </c>
      <c r="T788">
        <f t="shared" si="301"/>
        <v>-1084443.1780000001</v>
      </c>
      <c r="U788">
        <f t="shared" si="302"/>
        <v>-929522.72400000005</v>
      </c>
      <c r="V788">
        <f t="shared" si="303"/>
        <v>-1087221.7220000001</v>
      </c>
      <c r="W788">
        <f t="shared" si="304"/>
        <v>-1413230.0760000004</v>
      </c>
      <c r="X788">
        <f t="shared" si="305"/>
        <v>-1582901.8100000003</v>
      </c>
      <c r="Z788">
        <f t="shared" si="306"/>
        <v>92355.839999999997</v>
      </c>
      <c r="AA788">
        <f t="shared" si="307"/>
        <v>-612654.77400000009</v>
      </c>
      <c r="AB788">
        <f t="shared" si="308"/>
        <v>-1119425.2160000002</v>
      </c>
      <c r="AC788">
        <f t="shared" si="309"/>
        <v>-1500672.2360000003</v>
      </c>
      <c r="AD788">
        <f t="shared" si="310"/>
        <v>-1877429.7360000003</v>
      </c>
      <c r="AE788">
        <f t="shared" si="311"/>
        <v>-2049987.5900000005</v>
      </c>
    </row>
    <row r="789" spans="1:31" x14ac:dyDescent="0.25">
      <c r="A789">
        <v>41.768028809999997</v>
      </c>
      <c r="B789">
        <v>123.07785579999999</v>
      </c>
      <c r="C789">
        <v>10.32753563</v>
      </c>
      <c r="D789">
        <v>3.7674369799999998</v>
      </c>
      <c r="E789" t="b">
        <f t="shared" si="288"/>
        <v>0</v>
      </c>
      <c r="F789">
        <f t="shared" si="289"/>
        <v>-47.87024117</v>
      </c>
      <c r="G789">
        <f t="shared" si="290"/>
        <v>-99.507919319999999</v>
      </c>
      <c r="H789">
        <f t="shared" si="291"/>
        <v>-151.14559746999998</v>
      </c>
      <c r="I789">
        <f t="shared" si="292"/>
        <v>-202.78327561999998</v>
      </c>
      <c r="J789">
        <f t="shared" si="293"/>
        <v>-254.42095376999998</v>
      </c>
      <c r="L789">
        <f t="shared" si="294"/>
        <v>7610222.6995999999</v>
      </c>
      <c r="M789">
        <f t="shared" si="295"/>
        <v>-82336814.812400013</v>
      </c>
      <c r="N789">
        <f t="shared" si="296"/>
        <v>-147271720.59359998</v>
      </c>
      <c r="O789">
        <f t="shared" si="297"/>
        <v>-169283069.16640002</v>
      </c>
      <c r="P789">
        <f t="shared" si="298"/>
        <v>-186560613.57039997</v>
      </c>
      <c r="Q789">
        <f t="shared" si="299"/>
        <v>-218802020.24219999</v>
      </c>
      <c r="S789">
        <f t="shared" si="300"/>
        <v>9230220.6009999998</v>
      </c>
      <c r="T789">
        <f t="shared" si="301"/>
        <v>-215932184.92439997</v>
      </c>
      <c r="U789">
        <f t="shared" si="302"/>
        <v>-185084729.93519998</v>
      </c>
      <c r="V789">
        <f t="shared" si="303"/>
        <v>-214626748.40739998</v>
      </c>
      <c r="W789">
        <f t="shared" si="304"/>
        <v>-277813087.59939998</v>
      </c>
      <c r="X789">
        <f t="shared" si="305"/>
        <v>-310393563.59939998</v>
      </c>
      <c r="Z789">
        <f t="shared" si="306"/>
        <v>10850218.5024</v>
      </c>
      <c r="AA789">
        <f t="shared" si="307"/>
        <v>-125420031.86540002</v>
      </c>
      <c r="AB789">
        <f t="shared" si="308"/>
        <v>-222897739.27680001</v>
      </c>
      <c r="AC789">
        <f t="shared" si="309"/>
        <v>-296245371.04119998</v>
      </c>
      <c r="AD789">
        <f t="shared" si="310"/>
        <v>-369065561.62839997</v>
      </c>
      <c r="AE789">
        <f t="shared" si="311"/>
        <v>-401985106.95660001</v>
      </c>
    </row>
    <row r="790" spans="1:31" x14ac:dyDescent="0.25">
      <c r="A790">
        <v>41.791920140000002</v>
      </c>
      <c r="B790">
        <v>122.8977324</v>
      </c>
      <c r="C790">
        <v>10.32753563</v>
      </c>
      <c r="D790">
        <v>9.0131864499999992</v>
      </c>
      <c r="E790" t="b">
        <f t="shared" si="288"/>
        <v>0</v>
      </c>
      <c r="F790">
        <f t="shared" si="289"/>
        <v>-42.6244917</v>
      </c>
      <c r="G790">
        <f t="shared" si="290"/>
        <v>-94.262169849999992</v>
      </c>
      <c r="H790">
        <f t="shared" si="291"/>
        <v>-145.89984799999999</v>
      </c>
      <c r="I790">
        <f t="shared" si="292"/>
        <v>-197.53752614999999</v>
      </c>
      <c r="J790">
        <f t="shared" si="293"/>
        <v>-249.17520429999999</v>
      </c>
      <c r="L790">
        <f t="shared" si="294"/>
        <v>18206636.628999997</v>
      </c>
      <c r="M790">
        <f t="shared" si="295"/>
        <v>-73314125.724000007</v>
      </c>
      <c r="N790">
        <f t="shared" si="296"/>
        <v>-139508011.37799999</v>
      </c>
      <c r="O790">
        <f t="shared" si="297"/>
        <v>-163407829.76000002</v>
      </c>
      <c r="P790">
        <f t="shared" si="298"/>
        <v>-181734524.05799997</v>
      </c>
      <c r="Q790">
        <f t="shared" si="299"/>
        <v>-214290675.69799998</v>
      </c>
      <c r="S790">
        <f t="shared" si="300"/>
        <v>22082306.802499998</v>
      </c>
      <c r="T790">
        <f t="shared" si="301"/>
        <v>-204548908.57449999</v>
      </c>
      <c r="U790">
        <f t="shared" si="302"/>
        <v>-175327635.92099997</v>
      </c>
      <c r="V790">
        <f t="shared" si="303"/>
        <v>-207177784.16</v>
      </c>
      <c r="W790">
        <f t="shared" si="304"/>
        <v>-270626410.82550001</v>
      </c>
      <c r="X790">
        <f t="shared" si="305"/>
        <v>-303993749.24599999</v>
      </c>
      <c r="Z790">
        <f t="shared" si="306"/>
        <v>25957976.975999996</v>
      </c>
      <c r="AA790">
        <f t="shared" si="307"/>
        <v>-111676168.25400001</v>
      </c>
      <c r="AB790">
        <f t="shared" si="308"/>
        <v>-211147260.46400002</v>
      </c>
      <c r="AC790">
        <f t="shared" si="309"/>
        <v>-285963702.07999998</v>
      </c>
      <c r="AD790">
        <f t="shared" si="310"/>
        <v>-359518297.59299999</v>
      </c>
      <c r="AE790">
        <f t="shared" si="311"/>
        <v>-393696822.79399997</v>
      </c>
    </row>
    <row r="791" spans="1:31" x14ac:dyDescent="0.25">
      <c r="A791">
        <v>41.812961029999997</v>
      </c>
      <c r="B791">
        <v>123.08855610000001</v>
      </c>
      <c r="C791">
        <v>10.32753563</v>
      </c>
      <c r="D791">
        <v>25.73125267</v>
      </c>
      <c r="E791" t="b">
        <f t="shared" si="288"/>
        <v>1</v>
      </c>
      <c r="F791">
        <f t="shared" si="289"/>
        <v>-25.906425479999999</v>
      </c>
      <c r="G791">
        <f t="shared" si="290"/>
        <v>-77.544103629999995</v>
      </c>
      <c r="H791">
        <f t="shared" si="291"/>
        <v>-129.18178177999999</v>
      </c>
      <c r="I791">
        <f t="shared" si="292"/>
        <v>-180.81945992999999</v>
      </c>
      <c r="J791">
        <f t="shared" si="293"/>
        <v>-232.45713807999999</v>
      </c>
      <c r="L791">
        <f t="shared" si="294"/>
        <v>20861621.972599998</v>
      </c>
      <c r="M791">
        <f t="shared" si="295"/>
        <v>-44559051.825600006</v>
      </c>
      <c r="N791">
        <f t="shared" si="296"/>
        <v>-114765273.37239999</v>
      </c>
      <c r="O791">
        <f t="shared" si="297"/>
        <v>-144683595.5936</v>
      </c>
      <c r="P791">
        <f t="shared" si="298"/>
        <v>-166353903.1356</v>
      </c>
      <c r="Q791">
        <f t="shared" si="299"/>
        <v>-199913138.74879998</v>
      </c>
      <c r="S791">
        <f t="shared" si="300"/>
        <v>25302462.293499999</v>
      </c>
      <c r="T791">
        <f t="shared" si="301"/>
        <v>-168270704.87709999</v>
      </c>
      <c r="U791">
        <f t="shared" si="302"/>
        <v>-144232032.75179997</v>
      </c>
      <c r="V791">
        <f t="shared" si="303"/>
        <v>-183438130.12759998</v>
      </c>
      <c r="W791">
        <f t="shared" si="304"/>
        <v>-247722660.10410002</v>
      </c>
      <c r="X791">
        <f t="shared" si="305"/>
        <v>-283597708.4576</v>
      </c>
      <c r="Z791">
        <f t="shared" si="306"/>
        <v>29743302.614399996</v>
      </c>
      <c r="AA791">
        <f t="shared" si="307"/>
        <v>-67874834.757600009</v>
      </c>
      <c r="AB791">
        <f t="shared" si="308"/>
        <v>-173698792.13120002</v>
      </c>
      <c r="AC791">
        <f t="shared" si="309"/>
        <v>-253196292.2888</v>
      </c>
      <c r="AD791">
        <f t="shared" si="310"/>
        <v>-329091417.07260001</v>
      </c>
      <c r="AE791">
        <f t="shared" si="311"/>
        <v>-367282278.16640002</v>
      </c>
    </row>
    <row r="792" spans="1:31" x14ac:dyDescent="0.25">
      <c r="A792">
        <v>41.840864019999998</v>
      </c>
      <c r="B792">
        <v>86.813953589999997</v>
      </c>
      <c r="C792">
        <v>0</v>
      </c>
      <c r="D792">
        <v>0.77887499000000004</v>
      </c>
      <c r="E792" t="b">
        <f t="shared" si="288"/>
        <v>1</v>
      </c>
      <c r="F792">
        <f t="shared" si="289"/>
        <v>0.77887499000000004</v>
      </c>
      <c r="G792">
        <f t="shared" si="290"/>
        <v>0.77887499000000004</v>
      </c>
      <c r="H792">
        <f t="shared" si="291"/>
        <v>0.77887499000000004</v>
      </c>
      <c r="I792">
        <f t="shared" si="292"/>
        <v>0.77887499000000004</v>
      </c>
      <c r="J792">
        <f t="shared" si="293"/>
        <v>0.77887499000000004</v>
      </c>
      <c r="L792">
        <f t="shared" si="294"/>
        <v>0</v>
      </c>
      <c r="M792">
        <f t="shared" si="295"/>
        <v>0</v>
      </c>
      <c r="N792">
        <f t="shared" si="296"/>
        <v>0</v>
      </c>
      <c r="O792">
        <f t="shared" si="297"/>
        <v>0</v>
      </c>
      <c r="P792">
        <f t="shared" si="298"/>
        <v>0</v>
      </c>
      <c r="Q792">
        <f t="shared" si="299"/>
        <v>0</v>
      </c>
      <c r="S792">
        <f t="shared" si="300"/>
        <v>0</v>
      </c>
      <c r="T792">
        <f t="shared" si="301"/>
        <v>0</v>
      </c>
      <c r="U792">
        <f t="shared" si="302"/>
        <v>0</v>
      </c>
      <c r="V792">
        <f t="shared" si="303"/>
        <v>0</v>
      </c>
      <c r="W792">
        <f t="shared" si="304"/>
        <v>0</v>
      </c>
      <c r="X792">
        <f t="shared" si="305"/>
        <v>0</v>
      </c>
      <c r="Z792">
        <f t="shared" si="306"/>
        <v>0</v>
      </c>
      <c r="AA792">
        <f t="shared" si="307"/>
        <v>0</v>
      </c>
      <c r="AB792">
        <f t="shared" si="308"/>
        <v>0</v>
      </c>
      <c r="AC792">
        <f t="shared" si="309"/>
        <v>0</v>
      </c>
      <c r="AD792">
        <f t="shared" si="310"/>
        <v>0</v>
      </c>
      <c r="AE792">
        <f t="shared" si="311"/>
        <v>0</v>
      </c>
    </row>
    <row r="793" spans="1:31" x14ac:dyDescent="0.25">
      <c r="A793">
        <v>41.849860200000002</v>
      </c>
      <c r="B793">
        <v>123.15935639999999</v>
      </c>
      <c r="C793">
        <v>10.32753563</v>
      </c>
      <c r="D793">
        <v>11.707720760000001</v>
      </c>
      <c r="E793" t="b">
        <f t="shared" si="288"/>
        <v>1</v>
      </c>
      <c r="F793">
        <f t="shared" si="289"/>
        <v>-39.929957389999998</v>
      </c>
      <c r="G793">
        <f t="shared" si="290"/>
        <v>-91.567635539999998</v>
      </c>
      <c r="H793">
        <f t="shared" si="291"/>
        <v>-143.20531369</v>
      </c>
      <c r="I793">
        <f t="shared" si="292"/>
        <v>-194.84299184</v>
      </c>
      <c r="J793">
        <f t="shared" si="293"/>
        <v>-246.48066999</v>
      </c>
      <c r="L793">
        <f t="shared" si="294"/>
        <v>20861621.972599998</v>
      </c>
      <c r="M793">
        <f t="shared" si="295"/>
        <v>-68679526.710800007</v>
      </c>
      <c r="N793">
        <f t="shared" si="296"/>
        <v>-135520100.59919998</v>
      </c>
      <c r="O793">
        <f t="shared" si="297"/>
        <v>-160389951.3328</v>
      </c>
      <c r="P793">
        <f t="shared" si="298"/>
        <v>-179255552.4928</v>
      </c>
      <c r="Q793">
        <f t="shared" si="299"/>
        <v>-211973376.19139999</v>
      </c>
      <c r="S793">
        <f t="shared" si="300"/>
        <v>25302462.293499999</v>
      </c>
      <c r="T793">
        <f t="shared" si="301"/>
        <v>-198701769.12179998</v>
      </c>
      <c r="U793">
        <f t="shared" si="302"/>
        <v>-170315802.10439998</v>
      </c>
      <c r="V793">
        <f t="shared" si="303"/>
        <v>-203351545.43979999</v>
      </c>
      <c r="W793">
        <f t="shared" si="304"/>
        <v>-266934898.82080004</v>
      </c>
      <c r="X793">
        <f t="shared" si="305"/>
        <v>-300706417.38779998</v>
      </c>
      <c r="Z793">
        <f t="shared" si="306"/>
        <v>29743302.614399996</v>
      </c>
      <c r="AA793">
        <f t="shared" si="307"/>
        <v>-104616488.3618</v>
      </c>
      <c r="AB793">
        <f t="shared" si="308"/>
        <v>-205111503.60960001</v>
      </c>
      <c r="AC793">
        <f t="shared" si="309"/>
        <v>-280682414.83239996</v>
      </c>
      <c r="AD793">
        <f t="shared" si="310"/>
        <v>-354614245.14880002</v>
      </c>
      <c r="AE793">
        <f t="shared" si="311"/>
        <v>-389439458.58420002</v>
      </c>
    </row>
    <row r="794" spans="1:31" x14ac:dyDescent="0.25">
      <c r="A794">
        <v>41.916494120000003</v>
      </c>
      <c r="B794">
        <v>83.290635390000006</v>
      </c>
      <c r="C794">
        <v>9.4094677000000004</v>
      </c>
      <c r="D794">
        <v>0.42699598999999999</v>
      </c>
      <c r="E794" t="b">
        <f t="shared" si="288"/>
        <v>0</v>
      </c>
      <c r="F794">
        <f t="shared" si="289"/>
        <v>-46.62034251</v>
      </c>
      <c r="G794">
        <f t="shared" si="290"/>
        <v>-93.66768101000001</v>
      </c>
      <c r="H794">
        <f t="shared" si="291"/>
        <v>-140.71501951000002</v>
      </c>
      <c r="I794">
        <f t="shared" si="292"/>
        <v>-187.76235801000001</v>
      </c>
      <c r="J794">
        <f t="shared" si="293"/>
        <v>-234.80969651000001</v>
      </c>
      <c r="L794">
        <f t="shared" si="294"/>
        <v>862531.89980000001</v>
      </c>
      <c r="M794">
        <f t="shared" si="295"/>
        <v>-80186989.117200002</v>
      </c>
      <c r="N794">
        <f t="shared" si="296"/>
        <v>-138628167.89480001</v>
      </c>
      <c r="O794">
        <f t="shared" si="297"/>
        <v>-157600821.85120004</v>
      </c>
      <c r="P794">
        <f t="shared" si="298"/>
        <v>-172741369.36919999</v>
      </c>
      <c r="Q794">
        <f t="shared" si="299"/>
        <v>-201936338.99860001</v>
      </c>
      <c r="S794">
        <f t="shared" si="300"/>
        <v>1046140.1755</v>
      </c>
      <c r="T794">
        <f t="shared" si="301"/>
        <v>-203258867.79170001</v>
      </c>
      <c r="U794">
        <f t="shared" si="302"/>
        <v>-174221886.67859998</v>
      </c>
      <c r="V794">
        <f t="shared" si="303"/>
        <v>-199815327.70420003</v>
      </c>
      <c r="W794">
        <f t="shared" si="304"/>
        <v>-257234430.47370005</v>
      </c>
      <c r="X794">
        <f t="shared" si="305"/>
        <v>-286467829.74220002</v>
      </c>
      <c r="Z794">
        <f t="shared" si="306"/>
        <v>1229748.4512</v>
      </c>
      <c r="AA794">
        <f t="shared" si="307"/>
        <v>-122145297.37620001</v>
      </c>
      <c r="AB794">
        <f t="shared" si="308"/>
        <v>-209815605.46240002</v>
      </c>
      <c r="AC794">
        <f t="shared" si="309"/>
        <v>-275801438.23960006</v>
      </c>
      <c r="AD794">
        <f t="shared" si="310"/>
        <v>-341727491.57820004</v>
      </c>
      <c r="AE794">
        <f t="shared" si="311"/>
        <v>-370999320.48580003</v>
      </c>
    </row>
    <row r="795" spans="1:31" x14ac:dyDescent="0.25">
      <c r="A795">
        <v>41.947962050000001</v>
      </c>
      <c r="B795">
        <v>86.598102420000004</v>
      </c>
      <c r="C795">
        <v>0</v>
      </c>
      <c r="D795">
        <v>6.2896809600000001</v>
      </c>
      <c r="E795" t="b">
        <f t="shared" si="288"/>
        <v>1</v>
      </c>
      <c r="F795">
        <f t="shared" si="289"/>
        <v>6.2896809600000001</v>
      </c>
      <c r="G795">
        <f t="shared" si="290"/>
        <v>6.2896809600000001</v>
      </c>
      <c r="H795">
        <f t="shared" si="291"/>
        <v>6.2896809600000001</v>
      </c>
      <c r="I795">
        <f t="shared" si="292"/>
        <v>6.2896809600000001</v>
      </c>
      <c r="J795">
        <f t="shared" si="293"/>
        <v>6.2896809600000001</v>
      </c>
      <c r="L795">
        <f t="shared" si="294"/>
        <v>0</v>
      </c>
      <c r="M795">
        <f t="shared" si="295"/>
        <v>0</v>
      </c>
      <c r="N795">
        <f t="shared" si="296"/>
        <v>0</v>
      </c>
      <c r="O795">
        <f t="shared" si="297"/>
        <v>0</v>
      </c>
      <c r="P795">
        <f t="shared" si="298"/>
        <v>0</v>
      </c>
      <c r="Q795">
        <f t="shared" si="299"/>
        <v>0</v>
      </c>
      <c r="S795">
        <f t="shared" si="300"/>
        <v>0</v>
      </c>
      <c r="T795">
        <f t="shared" si="301"/>
        <v>0</v>
      </c>
      <c r="U795">
        <f t="shared" si="302"/>
        <v>0</v>
      </c>
      <c r="V795">
        <f t="shared" si="303"/>
        <v>0</v>
      </c>
      <c r="W795">
        <f t="shared" si="304"/>
        <v>0</v>
      </c>
      <c r="X795">
        <f t="shared" si="305"/>
        <v>0</v>
      </c>
      <c r="Z795">
        <f t="shared" si="306"/>
        <v>0</v>
      </c>
      <c r="AA795">
        <f t="shared" si="307"/>
        <v>0</v>
      </c>
      <c r="AB795">
        <f t="shared" si="308"/>
        <v>0</v>
      </c>
      <c r="AC795">
        <f t="shared" si="309"/>
        <v>0</v>
      </c>
      <c r="AD795">
        <f t="shared" si="310"/>
        <v>0</v>
      </c>
      <c r="AE795">
        <f t="shared" si="311"/>
        <v>0</v>
      </c>
    </row>
    <row r="796" spans="1:31" x14ac:dyDescent="0.25">
      <c r="A796">
        <v>41.98244725</v>
      </c>
      <c r="B796">
        <v>100.10602040000001</v>
      </c>
      <c r="C796">
        <v>3.9885860000000002E-2</v>
      </c>
      <c r="D796">
        <v>6.9430000000000004E-3</v>
      </c>
      <c r="E796" t="b">
        <f t="shared" si="288"/>
        <v>0</v>
      </c>
      <c r="F796">
        <f t="shared" si="289"/>
        <v>-0.1924863</v>
      </c>
      <c r="G796">
        <f t="shared" si="290"/>
        <v>-0.39191560000000003</v>
      </c>
      <c r="H796">
        <f t="shared" si="291"/>
        <v>-0.59134489999999995</v>
      </c>
      <c r="I796">
        <f t="shared" si="292"/>
        <v>-0.79077419999999998</v>
      </c>
      <c r="J796">
        <f t="shared" si="293"/>
        <v>-0.99020350000000001</v>
      </c>
      <c r="L796">
        <f t="shared" si="294"/>
        <v>14024.86</v>
      </c>
      <c r="M796">
        <f t="shared" si="295"/>
        <v>-331076.43600000005</v>
      </c>
      <c r="N796">
        <f t="shared" si="296"/>
        <v>-580035.08799999999</v>
      </c>
      <c r="O796">
        <f t="shared" si="297"/>
        <v>-662306.28799999994</v>
      </c>
      <c r="P796">
        <f t="shared" si="298"/>
        <v>-727512.26399999985</v>
      </c>
      <c r="Q796">
        <f t="shared" si="299"/>
        <v>-851575.01</v>
      </c>
      <c r="S796">
        <f t="shared" si="300"/>
        <v>17010.350000000002</v>
      </c>
      <c r="T796">
        <f t="shared" si="301"/>
        <v>-850456.85200000007</v>
      </c>
      <c r="U796">
        <f t="shared" si="302"/>
        <v>-728963.01600000006</v>
      </c>
      <c r="V796">
        <f t="shared" si="303"/>
        <v>-839709.7579999998</v>
      </c>
      <c r="W796">
        <f t="shared" si="304"/>
        <v>-1083360.6540000001</v>
      </c>
      <c r="X796">
        <f t="shared" si="305"/>
        <v>-1208048.27</v>
      </c>
      <c r="Z796">
        <f t="shared" si="306"/>
        <v>19995.84</v>
      </c>
      <c r="AA796">
        <f t="shared" si="307"/>
        <v>-504314.10599999997</v>
      </c>
      <c r="AB796">
        <f t="shared" si="308"/>
        <v>-877890.94400000013</v>
      </c>
      <c r="AC796">
        <f t="shared" si="309"/>
        <v>-1159036.0039999997</v>
      </c>
      <c r="AD796">
        <f t="shared" si="310"/>
        <v>-1439209.044</v>
      </c>
      <c r="AE796">
        <f t="shared" si="311"/>
        <v>-1564521.53</v>
      </c>
    </row>
    <row r="797" spans="1:31" x14ac:dyDescent="0.25">
      <c r="A797">
        <v>42.013113820000001</v>
      </c>
      <c r="B797">
        <v>107.75391380000001</v>
      </c>
      <c r="C797">
        <v>12.724843030000001</v>
      </c>
      <c r="D797">
        <v>6.9438E-2</v>
      </c>
      <c r="E797" t="b">
        <f t="shared" si="288"/>
        <v>0</v>
      </c>
      <c r="F797">
        <f t="shared" si="289"/>
        <v>-63.554777150000007</v>
      </c>
      <c r="G797">
        <f t="shared" si="290"/>
        <v>-127.1789923</v>
      </c>
      <c r="H797">
        <f t="shared" si="291"/>
        <v>-190.80320745000003</v>
      </c>
      <c r="I797">
        <f t="shared" si="292"/>
        <v>-254.42742260000003</v>
      </c>
      <c r="J797">
        <f t="shared" si="293"/>
        <v>-318.05163775</v>
      </c>
      <c r="L797">
        <f t="shared" si="294"/>
        <v>140264.76</v>
      </c>
      <c r="M797">
        <f t="shared" si="295"/>
        <v>-109314216.69800003</v>
      </c>
      <c r="N797">
        <f t="shared" si="296"/>
        <v>-188224908.604</v>
      </c>
      <c r="O797">
        <f t="shared" si="297"/>
        <v>-213699592.34400004</v>
      </c>
      <c r="P797">
        <f t="shared" si="298"/>
        <v>-234073228.792</v>
      </c>
      <c r="Q797">
        <f t="shared" si="299"/>
        <v>-273524408.46499997</v>
      </c>
      <c r="S797">
        <f t="shared" si="300"/>
        <v>170123.1</v>
      </c>
      <c r="T797">
        <f t="shared" si="301"/>
        <v>-275978413.29100001</v>
      </c>
      <c r="U797">
        <f t="shared" si="302"/>
        <v>-236552925.67799997</v>
      </c>
      <c r="V797">
        <f t="shared" si="303"/>
        <v>-270940554.579</v>
      </c>
      <c r="W797">
        <f t="shared" si="304"/>
        <v>-348565568.96200007</v>
      </c>
      <c r="X797">
        <f t="shared" si="305"/>
        <v>-388022998.05500001</v>
      </c>
      <c r="Z797">
        <f t="shared" si="306"/>
        <v>199981.44</v>
      </c>
      <c r="AA797">
        <f t="shared" si="307"/>
        <v>-166513516.13300002</v>
      </c>
      <c r="AB797">
        <f t="shared" si="308"/>
        <v>-284880942.75200003</v>
      </c>
      <c r="AC797">
        <f t="shared" si="309"/>
        <v>-373974286.60200006</v>
      </c>
      <c r="AD797">
        <f t="shared" si="310"/>
        <v>-463057909.13200009</v>
      </c>
      <c r="AE797">
        <f t="shared" si="311"/>
        <v>-502521587.64500004</v>
      </c>
    </row>
    <row r="798" spans="1:31" x14ac:dyDescent="0.25">
      <c r="A798">
        <v>42.101720659999998</v>
      </c>
      <c r="B798">
        <v>107.93984709999999</v>
      </c>
      <c r="C798">
        <v>12.724843030000001</v>
      </c>
      <c r="D798">
        <v>2.6920619000000001</v>
      </c>
      <c r="E798" t="b">
        <f t="shared" si="288"/>
        <v>0</v>
      </c>
      <c r="F798">
        <f t="shared" si="289"/>
        <v>-60.932153250000006</v>
      </c>
      <c r="G798">
        <f t="shared" si="290"/>
        <v>-124.55636840000001</v>
      </c>
      <c r="H798">
        <f t="shared" si="291"/>
        <v>-188.18058355000002</v>
      </c>
      <c r="I798">
        <f t="shared" si="292"/>
        <v>-251.80479870000002</v>
      </c>
      <c r="J798">
        <f t="shared" si="293"/>
        <v>-315.42901384999999</v>
      </c>
      <c r="L798">
        <f t="shared" si="294"/>
        <v>5437965.0379999997</v>
      </c>
      <c r="M798">
        <f t="shared" si="295"/>
        <v>-104803303.59000002</v>
      </c>
      <c r="N798">
        <f t="shared" si="296"/>
        <v>-184343425.23199999</v>
      </c>
      <c r="O798">
        <f t="shared" si="297"/>
        <v>-210762253.57600003</v>
      </c>
      <c r="P798">
        <f t="shared" si="298"/>
        <v>-231660414.80399999</v>
      </c>
      <c r="Q798">
        <f t="shared" si="299"/>
        <v>-271268951.91099995</v>
      </c>
      <c r="S798">
        <f t="shared" si="300"/>
        <v>6595551.6550000003</v>
      </c>
      <c r="T798">
        <f t="shared" si="301"/>
        <v>-270287319.42800003</v>
      </c>
      <c r="U798">
        <f t="shared" si="302"/>
        <v>-231674845.22400001</v>
      </c>
      <c r="V798">
        <f t="shared" si="303"/>
        <v>-267216428.641</v>
      </c>
      <c r="W798">
        <f t="shared" si="304"/>
        <v>-344972574.21900004</v>
      </c>
      <c r="X798">
        <f t="shared" si="305"/>
        <v>-384823396.89699996</v>
      </c>
      <c r="Z798">
        <f t="shared" si="306"/>
        <v>7753138.2719999999</v>
      </c>
      <c r="AA798">
        <f t="shared" si="307"/>
        <v>-159642241.51500002</v>
      </c>
      <c r="AB798">
        <f t="shared" si="308"/>
        <v>-279006265.21600002</v>
      </c>
      <c r="AC798">
        <f t="shared" si="309"/>
        <v>-368833943.75800002</v>
      </c>
      <c r="AD798">
        <f t="shared" si="310"/>
        <v>-458284733.63400006</v>
      </c>
      <c r="AE798">
        <f t="shared" si="311"/>
        <v>-498377841.88299996</v>
      </c>
    </row>
    <row r="799" spans="1:31" x14ac:dyDescent="0.25">
      <c r="A799">
        <v>42.149091759999997</v>
      </c>
      <c r="B799">
        <v>107.8185216</v>
      </c>
      <c r="C799">
        <v>12.724843030000001</v>
      </c>
      <c r="D799">
        <v>0.30413899</v>
      </c>
      <c r="E799" t="b">
        <f t="shared" si="288"/>
        <v>0</v>
      </c>
      <c r="F799">
        <f t="shared" si="289"/>
        <v>-63.320076160000006</v>
      </c>
      <c r="G799">
        <f t="shared" si="290"/>
        <v>-126.94429131000001</v>
      </c>
      <c r="H799">
        <f t="shared" si="291"/>
        <v>-190.56850646000001</v>
      </c>
      <c r="I799">
        <f t="shared" si="292"/>
        <v>-254.19272161000001</v>
      </c>
      <c r="J799">
        <f t="shared" si="293"/>
        <v>-317.81693675999998</v>
      </c>
      <c r="L799">
        <f t="shared" si="294"/>
        <v>614360.7598</v>
      </c>
      <c r="M799">
        <f t="shared" si="295"/>
        <v>-108910530.99520002</v>
      </c>
      <c r="N799">
        <f t="shared" si="296"/>
        <v>-187877551.13880002</v>
      </c>
      <c r="O799">
        <f t="shared" si="297"/>
        <v>-213436727.23520002</v>
      </c>
      <c r="P799">
        <f t="shared" si="298"/>
        <v>-233857303.88119999</v>
      </c>
      <c r="Q799">
        <f t="shared" si="299"/>
        <v>-273322565.61360002</v>
      </c>
      <c r="S799">
        <f t="shared" si="300"/>
        <v>745140.52549999999</v>
      </c>
      <c r="T799">
        <f t="shared" si="301"/>
        <v>-275469112.14270002</v>
      </c>
      <c r="U799">
        <f t="shared" si="302"/>
        <v>-236116381.83660001</v>
      </c>
      <c r="V799">
        <f t="shared" si="303"/>
        <v>-270607279.17320001</v>
      </c>
      <c r="W799">
        <f t="shared" si="304"/>
        <v>-348244028.60570008</v>
      </c>
      <c r="X799">
        <f t="shared" si="305"/>
        <v>-387736662.84719998</v>
      </c>
      <c r="Z799">
        <f t="shared" si="306"/>
        <v>875920.29119999998</v>
      </c>
      <c r="AA799">
        <f t="shared" si="307"/>
        <v>-165898599.53920001</v>
      </c>
      <c r="AB799">
        <f t="shared" si="308"/>
        <v>-284355212.53440005</v>
      </c>
      <c r="AC799">
        <f t="shared" si="309"/>
        <v>-373514272.66159999</v>
      </c>
      <c r="AD799">
        <f t="shared" si="310"/>
        <v>-462630753.33020002</v>
      </c>
      <c r="AE799">
        <f t="shared" si="311"/>
        <v>-502150760.0808</v>
      </c>
    </row>
    <row r="800" spans="1:31" x14ac:dyDescent="0.25">
      <c r="A800">
        <v>42.409253210000003</v>
      </c>
      <c r="B800">
        <v>122.42007719999999</v>
      </c>
      <c r="C800">
        <v>0</v>
      </c>
      <c r="D800">
        <v>4.1579999999999999E-2</v>
      </c>
      <c r="E800" t="b">
        <f t="shared" si="288"/>
        <v>1</v>
      </c>
      <c r="F800">
        <f t="shared" si="289"/>
        <v>4.1579999999999999E-2</v>
      </c>
      <c r="G800">
        <f t="shared" si="290"/>
        <v>4.1579999999999999E-2</v>
      </c>
      <c r="H800">
        <f t="shared" si="291"/>
        <v>4.1579999999999999E-2</v>
      </c>
      <c r="I800">
        <f t="shared" si="292"/>
        <v>4.1579999999999999E-2</v>
      </c>
      <c r="J800">
        <f t="shared" si="293"/>
        <v>4.1579999999999999E-2</v>
      </c>
      <c r="L800">
        <f t="shared" si="294"/>
        <v>0</v>
      </c>
      <c r="M800">
        <f t="shared" si="295"/>
        <v>0</v>
      </c>
      <c r="N800">
        <f t="shared" si="296"/>
        <v>0</v>
      </c>
      <c r="O800">
        <f t="shared" si="297"/>
        <v>0</v>
      </c>
      <c r="P800">
        <f t="shared" si="298"/>
        <v>0</v>
      </c>
      <c r="Q800">
        <f t="shared" si="299"/>
        <v>0</v>
      </c>
      <c r="S800">
        <f t="shared" si="300"/>
        <v>0</v>
      </c>
      <c r="T800">
        <f t="shared" si="301"/>
        <v>0</v>
      </c>
      <c r="U800">
        <f t="shared" si="302"/>
        <v>0</v>
      </c>
      <c r="V800">
        <f t="shared" si="303"/>
        <v>0</v>
      </c>
      <c r="W800">
        <f t="shared" si="304"/>
        <v>0</v>
      </c>
      <c r="X800">
        <f t="shared" si="305"/>
        <v>0</v>
      </c>
      <c r="Z800">
        <f t="shared" si="306"/>
        <v>0</v>
      </c>
      <c r="AA800">
        <f t="shared" si="307"/>
        <v>0</v>
      </c>
      <c r="AB800">
        <f t="shared" si="308"/>
        <v>0</v>
      </c>
      <c r="AC800">
        <f t="shared" si="309"/>
        <v>0</v>
      </c>
      <c r="AD800">
        <f t="shared" si="310"/>
        <v>0</v>
      </c>
      <c r="AE800">
        <f t="shared" si="311"/>
        <v>0</v>
      </c>
    </row>
    <row r="801" spans="1:31" x14ac:dyDescent="0.25">
      <c r="A801">
        <v>42.441830850000002</v>
      </c>
      <c r="B801">
        <v>114.3593067</v>
      </c>
      <c r="C801">
        <v>0</v>
      </c>
      <c r="D801">
        <v>0.40274099000000002</v>
      </c>
      <c r="E801" t="b">
        <f t="shared" si="288"/>
        <v>1</v>
      </c>
      <c r="F801">
        <f t="shared" si="289"/>
        <v>0.40274099000000002</v>
      </c>
      <c r="G801">
        <f t="shared" si="290"/>
        <v>0.40274099000000002</v>
      </c>
      <c r="H801">
        <f t="shared" si="291"/>
        <v>0.40274099000000002</v>
      </c>
      <c r="I801">
        <f t="shared" si="292"/>
        <v>0.40274099000000002</v>
      </c>
      <c r="J801">
        <f t="shared" si="293"/>
        <v>0.40274099000000002</v>
      </c>
      <c r="L801">
        <f t="shared" si="294"/>
        <v>0</v>
      </c>
      <c r="M801">
        <f t="shared" si="295"/>
        <v>0</v>
      </c>
      <c r="N801">
        <f t="shared" si="296"/>
        <v>0</v>
      </c>
      <c r="O801">
        <f t="shared" si="297"/>
        <v>0</v>
      </c>
      <c r="P801">
        <f t="shared" si="298"/>
        <v>0</v>
      </c>
      <c r="Q801">
        <f t="shared" si="299"/>
        <v>0</v>
      </c>
      <c r="S801">
        <f t="shared" si="300"/>
        <v>0</v>
      </c>
      <c r="T801">
        <f t="shared" si="301"/>
        <v>0</v>
      </c>
      <c r="U801">
        <f t="shared" si="302"/>
        <v>0</v>
      </c>
      <c r="V801">
        <f t="shared" si="303"/>
        <v>0</v>
      </c>
      <c r="W801">
        <f t="shared" si="304"/>
        <v>0</v>
      </c>
      <c r="X801">
        <f t="shared" si="305"/>
        <v>0</v>
      </c>
      <c r="Z801">
        <f t="shared" si="306"/>
        <v>0</v>
      </c>
      <c r="AA801">
        <f t="shared" si="307"/>
        <v>0</v>
      </c>
      <c r="AB801">
        <f t="shared" si="308"/>
        <v>0</v>
      </c>
      <c r="AC801">
        <f t="shared" si="309"/>
        <v>0</v>
      </c>
      <c r="AD801">
        <f t="shared" si="310"/>
        <v>0</v>
      </c>
      <c r="AE801">
        <f t="shared" si="311"/>
        <v>0</v>
      </c>
    </row>
    <row r="802" spans="1:31" x14ac:dyDescent="0.25">
      <c r="A802">
        <v>42.44960708</v>
      </c>
      <c r="B802">
        <v>112.6317487</v>
      </c>
      <c r="C802">
        <v>5.9636301999999999</v>
      </c>
      <c r="D802">
        <v>1.2443300500000001</v>
      </c>
      <c r="E802" t="b">
        <f t="shared" si="288"/>
        <v>0</v>
      </c>
      <c r="F802">
        <f t="shared" si="289"/>
        <v>-28.573820950000002</v>
      </c>
      <c r="G802">
        <f t="shared" si="290"/>
        <v>-58.391971949999999</v>
      </c>
      <c r="H802">
        <f t="shared" si="291"/>
        <v>-88.210122949999999</v>
      </c>
      <c r="I802">
        <f t="shared" si="292"/>
        <v>-118.02827395</v>
      </c>
      <c r="J802">
        <f t="shared" si="293"/>
        <v>-147.84642495</v>
      </c>
      <c r="L802">
        <f t="shared" si="294"/>
        <v>2513546.7009999999</v>
      </c>
      <c r="M802">
        <f t="shared" si="295"/>
        <v>-49146972.034000009</v>
      </c>
      <c r="N802">
        <f t="shared" si="296"/>
        <v>-86420118.485999987</v>
      </c>
      <c r="O802">
        <f t="shared" si="297"/>
        <v>-98795337.704000011</v>
      </c>
      <c r="P802">
        <f t="shared" si="298"/>
        <v>-108586012.03399999</v>
      </c>
      <c r="Q802">
        <f t="shared" si="299"/>
        <v>-127147925.45699999</v>
      </c>
      <c r="S802">
        <f t="shared" si="300"/>
        <v>3048608.6225000005</v>
      </c>
      <c r="T802">
        <f t="shared" si="301"/>
        <v>-126710579.13149999</v>
      </c>
      <c r="U802">
        <f t="shared" si="302"/>
        <v>-108609067.82699998</v>
      </c>
      <c r="V802">
        <f t="shared" si="303"/>
        <v>-125258374.589</v>
      </c>
      <c r="W802">
        <f t="shared" si="304"/>
        <v>-161698735.31150001</v>
      </c>
      <c r="X802">
        <f t="shared" si="305"/>
        <v>-180372638.43899998</v>
      </c>
      <c r="Z802">
        <f t="shared" si="306"/>
        <v>3583670.5440000002</v>
      </c>
      <c r="AA802">
        <f t="shared" si="307"/>
        <v>-74863410.889000013</v>
      </c>
      <c r="AB802">
        <f t="shared" si="308"/>
        <v>-130798017.168</v>
      </c>
      <c r="AC802">
        <f t="shared" si="309"/>
        <v>-172891840.98199999</v>
      </c>
      <c r="AD802">
        <f t="shared" si="310"/>
        <v>-214811458.58900002</v>
      </c>
      <c r="AE802">
        <f t="shared" si="311"/>
        <v>-233597351.421</v>
      </c>
    </row>
    <row r="803" spans="1:31" x14ac:dyDescent="0.25">
      <c r="A803">
        <v>42.540542709999997</v>
      </c>
      <c r="B803">
        <v>112.6401805</v>
      </c>
      <c r="C803">
        <v>5.9636301999999999</v>
      </c>
      <c r="D803">
        <v>1.1477960300000001</v>
      </c>
      <c r="E803" t="b">
        <f t="shared" si="288"/>
        <v>0</v>
      </c>
      <c r="F803">
        <f t="shared" si="289"/>
        <v>-28.670354970000002</v>
      </c>
      <c r="G803">
        <f t="shared" si="290"/>
        <v>-58.488505969999999</v>
      </c>
      <c r="H803">
        <f t="shared" si="291"/>
        <v>-88.306656970000006</v>
      </c>
      <c r="I803">
        <f t="shared" si="292"/>
        <v>-118.12480797000001</v>
      </c>
      <c r="J803">
        <f t="shared" si="293"/>
        <v>-147.94295897000001</v>
      </c>
      <c r="L803">
        <f t="shared" si="294"/>
        <v>2318547.9805999999</v>
      </c>
      <c r="M803">
        <f t="shared" si="295"/>
        <v>-49313010.548400007</v>
      </c>
      <c r="N803">
        <f t="shared" si="296"/>
        <v>-86562988.835600004</v>
      </c>
      <c r="O803">
        <f t="shared" si="297"/>
        <v>-98903455.806400001</v>
      </c>
      <c r="P803">
        <f t="shared" si="298"/>
        <v>-108674823.33239999</v>
      </c>
      <c r="Q803">
        <f t="shared" si="299"/>
        <v>-127230944.71419999</v>
      </c>
      <c r="S803">
        <f t="shared" si="300"/>
        <v>2812100.2735000001</v>
      </c>
      <c r="T803">
        <f t="shared" si="301"/>
        <v>-126920057.9549</v>
      </c>
      <c r="U803">
        <f t="shared" si="302"/>
        <v>-108788621.10419999</v>
      </c>
      <c r="V803">
        <f t="shared" si="303"/>
        <v>-125395452.89739999</v>
      </c>
      <c r="W803">
        <f t="shared" si="304"/>
        <v>-161830986.91890001</v>
      </c>
      <c r="X803">
        <f t="shared" si="305"/>
        <v>-180490409.9434</v>
      </c>
      <c r="Z803">
        <f t="shared" si="306"/>
        <v>3305652.5663999999</v>
      </c>
      <c r="AA803">
        <f t="shared" si="307"/>
        <v>-75116330.021400005</v>
      </c>
      <c r="AB803">
        <f t="shared" si="308"/>
        <v>-131014253.37280001</v>
      </c>
      <c r="AC803">
        <f t="shared" si="309"/>
        <v>-173081047.66119999</v>
      </c>
      <c r="AD803">
        <f t="shared" si="310"/>
        <v>-214987150.5054</v>
      </c>
      <c r="AE803">
        <f t="shared" si="311"/>
        <v>-233749875.1726</v>
      </c>
    </row>
    <row r="804" spans="1:31" x14ac:dyDescent="0.25">
      <c r="A804">
        <v>42.697868759999999</v>
      </c>
      <c r="B804">
        <v>123.0513028</v>
      </c>
      <c r="C804">
        <v>0.39520844999999999</v>
      </c>
      <c r="D804">
        <v>1.23505902</v>
      </c>
      <c r="E804" t="b">
        <f t="shared" si="288"/>
        <v>1</v>
      </c>
      <c r="F804">
        <f t="shared" si="289"/>
        <v>-0.74098322999999988</v>
      </c>
      <c r="G804">
        <f t="shared" si="290"/>
        <v>-2.7170254799999998</v>
      </c>
      <c r="H804">
        <f t="shared" si="291"/>
        <v>-4.6930677299999992</v>
      </c>
      <c r="I804">
        <f t="shared" si="292"/>
        <v>-6.66910998</v>
      </c>
      <c r="J804">
        <f t="shared" si="293"/>
        <v>-8.6451522300000008</v>
      </c>
      <c r="L804">
        <f t="shared" si="294"/>
        <v>798321.06900000002</v>
      </c>
      <c r="M804">
        <f t="shared" si="295"/>
        <v>-1274491.1555999999</v>
      </c>
      <c r="N804">
        <f t="shared" si="296"/>
        <v>-4021197.7103999997</v>
      </c>
      <c r="O804">
        <f t="shared" si="297"/>
        <v>-5256235.8575999998</v>
      </c>
      <c r="P804">
        <f t="shared" si="298"/>
        <v>-6135581.1815999998</v>
      </c>
      <c r="Q804">
        <f t="shared" si="299"/>
        <v>-7434830.9177999999</v>
      </c>
      <c r="S804">
        <f t="shared" si="300"/>
        <v>968260.70250000013</v>
      </c>
      <c r="T804">
        <f t="shared" si="301"/>
        <v>-5895945.2916000001</v>
      </c>
      <c r="U804">
        <f t="shared" si="302"/>
        <v>-5053667.3927999996</v>
      </c>
      <c r="V804">
        <f t="shared" si="303"/>
        <v>-6664156.176599999</v>
      </c>
      <c r="W804">
        <f t="shared" si="304"/>
        <v>-9136680.6726000011</v>
      </c>
      <c r="X804">
        <f t="shared" si="305"/>
        <v>-10547085.7206</v>
      </c>
      <c r="Z804">
        <f t="shared" si="306"/>
        <v>1138200.3359999999</v>
      </c>
      <c r="AA804">
        <f t="shared" si="307"/>
        <v>-1941376.0625999998</v>
      </c>
      <c r="AB804">
        <f t="shared" si="308"/>
        <v>-6086137.0752000008</v>
      </c>
      <c r="AC804">
        <f t="shared" si="309"/>
        <v>-9198412.7507999986</v>
      </c>
      <c r="AD804">
        <f t="shared" si="310"/>
        <v>-12137780.163600001</v>
      </c>
      <c r="AE804">
        <f t="shared" si="311"/>
        <v>-13659340.523400001</v>
      </c>
    </row>
    <row r="805" spans="1:31" x14ac:dyDescent="0.25">
      <c r="A805">
        <v>42.782075669999998</v>
      </c>
      <c r="B805">
        <v>88.195514829999993</v>
      </c>
      <c r="C805">
        <v>6.7394113500000001</v>
      </c>
      <c r="D805">
        <v>0.45589200000000002</v>
      </c>
      <c r="E805" t="b">
        <f t="shared" si="288"/>
        <v>0</v>
      </c>
      <c r="F805">
        <f t="shared" si="289"/>
        <v>-33.241164750000003</v>
      </c>
      <c r="G805">
        <f t="shared" si="290"/>
        <v>-66.938221499999997</v>
      </c>
      <c r="H805">
        <f t="shared" si="291"/>
        <v>-100.63527825</v>
      </c>
      <c r="I805">
        <f t="shared" si="292"/>
        <v>-134.332335</v>
      </c>
      <c r="J805">
        <f t="shared" si="293"/>
        <v>-168.02939175</v>
      </c>
      <c r="L805">
        <f t="shared" si="294"/>
        <v>920901.84</v>
      </c>
      <c r="M805">
        <f t="shared" si="295"/>
        <v>-57174803.370000012</v>
      </c>
      <c r="N805">
        <f t="shared" si="296"/>
        <v>-99068567.819999993</v>
      </c>
      <c r="O805">
        <f t="shared" si="297"/>
        <v>-112711511.64000002</v>
      </c>
      <c r="P805">
        <f t="shared" si="298"/>
        <v>-123585748.19999999</v>
      </c>
      <c r="Q805">
        <f t="shared" si="299"/>
        <v>-144505276.905</v>
      </c>
      <c r="S805">
        <f t="shared" si="300"/>
        <v>1116935.4000000001</v>
      </c>
      <c r="T805">
        <f t="shared" si="301"/>
        <v>-145255940.655</v>
      </c>
      <c r="U805">
        <f t="shared" si="302"/>
        <v>-124505091.98999999</v>
      </c>
      <c r="V805">
        <f t="shared" si="303"/>
        <v>-142902095.11499998</v>
      </c>
      <c r="W805">
        <f t="shared" si="304"/>
        <v>-184035298.95000002</v>
      </c>
      <c r="X805">
        <f t="shared" si="305"/>
        <v>-204995857.935</v>
      </c>
      <c r="Z805">
        <f t="shared" si="306"/>
        <v>1312968.96</v>
      </c>
      <c r="AA805">
        <f t="shared" si="307"/>
        <v>-87091851.645000011</v>
      </c>
      <c r="AB805">
        <f t="shared" si="308"/>
        <v>-149941616.16000003</v>
      </c>
      <c r="AC805">
        <f t="shared" si="309"/>
        <v>-197245145.37</v>
      </c>
      <c r="AD805">
        <f t="shared" si="310"/>
        <v>-244484849.70000002</v>
      </c>
      <c r="AE805">
        <f t="shared" si="311"/>
        <v>-265486438.965</v>
      </c>
    </row>
    <row r="806" spans="1:31" x14ac:dyDescent="0.25">
      <c r="A806">
        <v>42.80177011</v>
      </c>
      <c r="B806">
        <v>89.760981979999997</v>
      </c>
      <c r="C806">
        <v>27.577732090000001</v>
      </c>
      <c r="D806">
        <v>4.8719878200000002</v>
      </c>
      <c r="E806" t="b">
        <f t="shared" si="288"/>
        <v>0</v>
      </c>
      <c r="F806">
        <f t="shared" si="289"/>
        <v>-133.01667263000002</v>
      </c>
      <c r="G806">
        <f t="shared" si="290"/>
        <v>-270.90533307999999</v>
      </c>
      <c r="H806">
        <f t="shared" si="291"/>
        <v>-408.79399353000002</v>
      </c>
      <c r="I806">
        <f t="shared" si="292"/>
        <v>-546.68265398000005</v>
      </c>
      <c r="J806">
        <f t="shared" si="293"/>
        <v>-684.57131443000003</v>
      </c>
      <c r="L806">
        <f t="shared" si="294"/>
        <v>9841415.3964000009</v>
      </c>
      <c r="M806">
        <f t="shared" si="295"/>
        <v>-228788676.92360005</v>
      </c>
      <c r="N806">
        <f t="shared" si="296"/>
        <v>-400939892.95839995</v>
      </c>
      <c r="O806">
        <f t="shared" si="297"/>
        <v>-457849272.75360006</v>
      </c>
      <c r="P806">
        <f t="shared" si="298"/>
        <v>-502948041.66159999</v>
      </c>
      <c r="Q806">
        <f t="shared" si="299"/>
        <v>-588731330.40980005</v>
      </c>
      <c r="S806">
        <f t="shared" si="300"/>
        <v>11936370.159000002</v>
      </c>
      <c r="T806">
        <f t="shared" si="301"/>
        <v>-587864572.78359997</v>
      </c>
      <c r="U806">
        <f t="shared" si="302"/>
        <v>-503883919.52879995</v>
      </c>
      <c r="V806">
        <f t="shared" si="303"/>
        <v>-580487470.81260002</v>
      </c>
      <c r="W806">
        <f t="shared" si="304"/>
        <v>-748955235.95260012</v>
      </c>
      <c r="X806">
        <f t="shared" si="305"/>
        <v>-835177003.60460007</v>
      </c>
      <c r="Z806">
        <f t="shared" si="306"/>
        <v>14031324.921600001</v>
      </c>
      <c r="AA806">
        <f t="shared" si="307"/>
        <v>-348503682.29060006</v>
      </c>
      <c r="AB806">
        <f t="shared" si="308"/>
        <v>-606827946.09920001</v>
      </c>
      <c r="AC806">
        <f t="shared" si="309"/>
        <v>-801236227.31880009</v>
      </c>
      <c r="AD806">
        <f t="shared" si="310"/>
        <v>-994962430.24360001</v>
      </c>
      <c r="AE806">
        <f t="shared" si="311"/>
        <v>-1081622676.7994001</v>
      </c>
    </row>
    <row r="807" spans="1:31" x14ac:dyDescent="0.25">
      <c r="A807">
        <v>42.832395820000002</v>
      </c>
      <c r="B807">
        <v>123.0838121</v>
      </c>
      <c r="C807">
        <v>0.39520844999999999</v>
      </c>
      <c r="D807">
        <v>2.4410000000000001E-2</v>
      </c>
      <c r="E807" t="b">
        <f t="shared" si="288"/>
        <v>0</v>
      </c>
      <c r="F807">
        <f t="shared" si="289"/>
        <v>-1.9516322499999998</v>
      </c>
      <c r="G807">
        <f t="shared" si="290"/>
        <v>-3.9276744999999997</v>
      </c>
      <c r="H807">
        <f t="shared" si="291"/>
        <v>-5.9037167500000001</v>
      </c>
      <c r="I807">
        <f t="shared" si="292"/>
        <v>-7.879759</v>
      </c>
      <c r="J807">
        <f t="shared" si="293"/>
        <v>-9.8558012500000007</v>
      </c>
      <c r="L807">
        <f t="shared" si="294"/>
        <v>49308.2</v>
      </c>
      <c r="M807">
        <f t="shared" si="295"/>
        <v>-3356807.47</v>
      </c>
      <c r="N807">
        <f t="shared" si="296"/>
        <v>-5812958.2599999988</v>
      </c>
      <c r="O807">
        <f t="shared" si="297"/>
        <v>-6612162.7600000007</v>
      </c>
      <c r="P807">
        <f t="shared" si="298"/>
        <v>-7249378.2799999993</v>
      </c>
      <c r="Q807">
        <f t="shared" si="299"/>
        <v>-8475989.0749999993</v>
      </c>
      <c r="S807">
        <f t="shared" si="300"/>
        <v>59804.500000000007</v>
      </c>
      <c r="T807">
        <f t="shared" si="301"/>
        <v>-8523053.6649999991</v>
      </c>
      <c r="U807">
        <f t="shared" si="302"/>
        <v>-7305474.5699999984</v>
      </c>
      <c r="V807">
        <f t="shared" si="303"/>
        <v>-8383277.7849999992</v>
      </c>
      <c r="W807">
        <f t="shared" si="304"/>
        <v>-10795269.83</v>
      </c>
      <c r="X807">
        <f t="shared" si="305"/>
        <v>-12024077.525</v>
      </c>
      <c r="Z807">
        <f t="shared" si="306"/>
        <v>70300.800000000003</v>
      </c>
      <c r="AA807">
        <f t="shared" si="307"/>
        <v>-5113276.4949999992</v>
      </c>
      <c r="AB807">
        <f t="shared" si="308"/>
        <v>-8797990.879999999</v>
      </c>
      <c r="AC807">
        <f t="shared" si="309"/>
        <v>-11571284.83</v>
      </c>
      <c r="AD807">
        <f t="shared" si="310"/>
        <v>-14341161.380000001</v>
      </c>
      <c r="AE807">
        <f t="shared" si="311"/>
        <v>-15572165.975000001</v>
      </c>
    </row>
    <row r="808" spans="1:31" x14ac:dyDescent="0.25">
      <c r="A808">
        <v>42.859225459999998</v>
      </c>
      <c r="B808">
        <v>120.58082020000001</v>
      </c>
      <c r="C808">
        <v>0</v>
      </c>
      <c r="D808">
        <v>2.0375180199999998</v>
      </c>
      <c r="E808" t="b">
        <f t="shared" si="288"/>
        <v>1</v>
      </c>
      <c r="F808">
        <f t="shared" si="289"/>
        <v>2.0375180199999998</v>
      </c>
      <c r="G808">
        <f t="shared" si="290"/>
        <v>2.0375180199999998</v>
      </c>
      <c r="H808">
        <f t="shared" si="291"/>
        <v>2.0375180199999998</v>
      </c>
      <c r="I808">
        <f t="shared" si="292"/>
        <v>2.0375180199999998</v>
      </c>
      <c r="J808">
        <f t="shared" si="293"/>
        <v>2.0375180199999998</v>
      </c>
      <c r="L808">
        <f t="shared" si="294"/>
        <v>0</v>
      </c>
      <c r="M808">
        <f t="shared" si="295"/>
        <v>0</v>
      </c>
      <c r="N808">
        <f t="shared" si="296"/>
        <v>0</v>
      </c>
      <c r="O808">
        <f t="shared" si="297"/>
        <v>0</v>
      </c>
      <c r="P808">
        <f t="shared" si="298"/>
        <v>0</v>
      </c>
      <c r="Q808">
        <f t="shared" si="299"/>
        <v>0</v>
      </c>
      <c r="S808">
        <f t="shared" si="300"/>
        <v>0</v>
      </c>
      <c r="T808">
        <f t="shared" si="301"/>
        <v>0</v>
      </c>
      <c r="U808">
        <f t="shared" si="302"/>
        <v>0</v>
      </c>
      <c r="V808">
        <f t="shared" si="303"/>
        <v>0</v>
      </c>
      <c r="W808">
        <f t="shared" si="304"/>
        <v>0</v>
      </c>
      <c r="X808">
        <f t="shared" si="305"/>
        <v>0</v>
      </c>
      <c r="Z808">
        <f t="shared" si="306"/>
        <v>0</v>
      </c>
      <c r="AA808">
        <f t="shared" si="307"/>
        <v>0</v>
      </c>
      <c r="AB808">
        <f t="shared" si="308"/>
        <v>0</v>
      </c>
      <c r="AC808">
        <f t="shared" si="309"/>
        <v>0</v>
      </c>
      <c r="AD808">
        <f t="shared" si="310"/>
        <v>0</v>
      </c>
      <c r="AE808">
        <f t="shared" si="311"/>
        <v>0</v>
      </c>
    </row>
    <row r="809" spans="1:31" x14ac:dyDescent="0.25">
      <c r="A809">
        <v>42.871939150000003</v>
      </c>
      <c r="B809">
        <v>88.865057750000005</v>
      </c>
      <c r="C809">
        <v>6.7394113500000001</v>
      </c>
      <c r="D809">
        <v>1.8903549900000001</v>
      </c>
      <c r="E809" t="b">
        <f t="shared" si="288"/>
        <v>0</v>
      </c>
      <c r="F809">
        <f t="shared" si="289"/>
        <v>-31.806701760000003</v>
      </c>
      <c r="G809">
        <f t="shared" si="290"/>
        <v>-65.503758509999997</v>
      </c>
      <c r="H809">
        <f t="shared" si="291"/>
        <v>-99.200815259999999</v>
      </c>
      <c r="I809">
        <f t="shared" si="292"/>
        <v>-132.89787201000001</v>
      </c>
      <c r="J809">
        <f t="shared" si="293"/>
        <v>-166.59492876000002</v>
      </c>
      <c r="L809">
        <f t="shared" si="294"/>
        <v>3818517.0797999999</v>
      </c>
      <c r="M809">
        <f t="shared" si="295"/>
        <v>-54707527.027200006</v>
      </c>
      <c r="N809">
        <f t="shared" si="296"/>
        <v>-96945562.594799995</v>
      </c>
      <c r="O809">
        <f t="shared" si="297"/>
        <v>-111104913.09120002</v>
      </c>
      <c r="P809">
        <f t="shared" si="298"/>
        <v>-122266042.24920002</v>
      </c>
      <c r="Q809">
        <f t="shared" si="299"/>
        <v>-143271638.73360002</v>
      </c>
      <c r="S809">
        <f t="shared" si="300"/>
        <v>4631369.7255000006</v>
      </c>
      <c r="T809">
        <f t="shared" si="301"/>
        <v>-142143155.96669999</v>
      </c>
      <c r="U809">
        <f t="shared" si="302"/>
        <v>-121836990.82859999</v>
      </c>
      <c r="V809">
        <f t="shared" si="303"/>
        <v>-140865157.6692</v>
      </c>
      <c r="W809">
        <f t="shared" si="304"/>
        <v>-182070084.65370005</v>
      </c>
      <c r="X809">
        <f t="shared" si="305"/>
        <v>-203245813.08720002</v>
      </c>
      <c r="Z809">
        <f t="shared" si="306"/>
        <v>5444222.3711999999</v>
      </c>
      <c r="AA809">
        <f t="shared" si="307"/>
        <v>-83333558.611200005</v>
      </c>
      <c r="AB809">
        <f t="shared" si="308"/>
        <v>-146728419.06240001</v>
      </c>
      <c r="AC809">
        <f t="shared" si="309"/>
        <v>-194433597.90960002</v>
      </c>
      <c r="AD809">
        <f t="shared" si="310"/>
        <v>-241874127.05820003</v>
      </c>
      <c r="AE809">
        <f t="shared" si="311"/>
        <v>-263219987.44080004</v>
      </c>
    </row>
    <row r="810" spans="1:31" x14ac:dyDescent="0.25">
      <c r="A810">
        <v>42.88433689</v>
      </c>
      <c r="B810">
        <v>90.055912789999994</v>
      </c>
      <c r="C810">
        <v>27.577732090000001</v>
      </c>
      <c r="D810">
        <v>11.573603629999999</v>
      </c>
      <c r="E810" t="b">
        <f t="shared" si="288"/>
        <v>0</v>
      </c>
      <c r="F810">
        <f t="shared" si="289"/>
        <v>-126.31505682000001</v>
      </c>
      <c r="G810">
        <f t="shared" si="290"/>
        <v>-264.20371727000003</v>
      </c>
      <c r="H810">
        <f t="shared" si="291"/>
        <v>-402.09237772000006</v>
      </c>
      <c r="I810">
        <f t="shared" si="292"/>
        <v>-539.98103817000003</v>
      </c>
      <c r="J810">
        <f t="shared" si="293"/>
        <v>-677.86969862000001</v>
      </c>
      <c r="L810">
        <f t="shared" si="294"/>
        <v>23378679.332599998</v>
      </c>
      <c r="M810">
        <f t="shared" si="295"/>
        <v>-217261897.73040003</v>
      </c>
      <c r="N810">
        <f t="shared" si="296"/>
        <v>-391021501.55960006</v>
      </c>
      <c r="O810">
        <f t="shared" si="297"/>
        <v>-450343463.04640013</v>
      </c>
      <c r="P810">
        <f t="shared" si="298"/>
        <v>-496782555.1164</v>
      </c>
      <c r="Q810">
        <f t="shared" si="299"/>
        <v>-582967940.8132</v>
      </c>
      <c r="S810">
        <f t="shared" si="300"/>
        <v>28355328.8935</v>
      </c>
      <c r="T810">
        <f t="shared" si="301"/>
        <v>-573322066.47590005</v>
      </c>
      <c r="U810">
        <f t="shared" si="302"/>
        <v>-491418914.12220007</v>
      </c>
      <c r="V810">
        <f t="shared" si="303"/>
        <v>-570971176.36240005</v>
      </c>
      <c r="W810">
        <f t="shared" si="304"/>
        <v>-739774022.2929002</v>
      </c>
      <c r="X810">
        <f t="shared" si="305"/>
        <v>-827001032.31639993</v>
      </c>
      <c r="Z810">
        <f t="shared" si="306"/>
        <v>33331978.454399996</v>
      </c>
      <c r="AA810">
        <f t="shared" si="307"/>
        <v>-330945448.86840004</v>
      </c>
      <c r="AB810">
        <f t="shared" si="308"/>
        <v>-591816326.68480015</v>
      </c>
      <c r="AC810">
        <f t="shared" si="309"/>
        <v>-788101060.33120012</v>
      </c>
      <c r="AD810">
        <f t="shared" si="310"/>
        <v>-982765489.46940017</v>
      </c>
      <c r="AE810">
        <f t="shared" si="311"/>
        <v>-1071034123.8196001</v>
      </c>
    </row>
    <row r="811" spans="1:31" x14ac:dyDescent="0.25">
      <c r="A811">
        <v>42.90672893</v>
      </c>
      <c r="B811">
        <v>89.862453709999997</v>
      </c>
      <c r="C811">
        <v>27.577732090000001</v>
      </c>
      <c r="D811">
        <v>1.07205105</v>
      </c>
      <c r="E811" t="b">
        <f t="shared" si="288"/>
        <v>0</v>
      </c>
      <c r="F811">
        <f t="shared" si="289"/>
        <v>-136.8166094</v>
      </c>
      <c r="G811">
        <f t="shared" si="290"/>
        <v>-274.70526984999998</v>
      </c>
      <c r="H811">
        <f t="shared" si="291"/>
        <v>-412.59393030000001</v>
      </c>
      <c r="I811">
        <f t="shared" si="292"/>
        <v>-550.48259074999999</v>
      </c>
      <c r="J811">
        <f t="shared" si="293"/>
        <v>-688.37125119999996</v>
      </c>
      <c r="L811">
        <f t="shared" si="294"/>
        <v>2165543.1210000003</v>
      </c>
      <c r="M811">
        <f t="shared" si="295"/>
        <v>-235324568.16800004</v>
      </c>
      <c r="N811">
        <f t="shared" si="296"/>
        <v>-406563799.37799996</v>
      </c>
      <c r="O811">
        <f t="shared" si="297"/>
        <v>-462105201.93600005</v>
      </c>
      <c r="P811">
        <f t="shared" si="298"/>
        <v>-506443983.48999995</v>
      </c>
      <c r="Q811">
        <f t="shared" si="299"/>
        <v>-591999276.03199995</v>
      </c>
      <c r="S811">
        <f t="shared" si="300"/>
        <v>2626525.0725000002</v>
      </c>
      <c r="T811">
        <f t="shared" si="301"/>
        <v>-596110435.57449985</v>
      </c>
      <c r="U811">
        <f t="shared" si="302"/>
        <v>-510951801.92099988</v>
      </c>
      <c r="V811">
        <f t="shared" si="303"/>
        <v>-585883381.02600002</v>
      </c>
      <c r="W811">
        <f t="shared" si="304"/>
        <v>-754161149.3275001</v>
      </c>
      <c r="X811">
        <f t="shared" si="305"/>
        <v>-839812926.46399987</v>
      </c>
      <c r="Z811">
        <f t="shared" si="306"/>
        <v>3087507.0240000002</v>
      </c>
      <c r="AA811">
        <f t="shared" si="307"/>
        <v>-358459516.62800002</v>
      </c>
      <c r="AB811">
        <f t="shared" si="308"/>
        <v>-615339804.46399999</v>
      </c>
      <c r="AC811">
        <f t="shared" si="309"/>
        <v>-808684103.38800001</v>
      </c>
      <c r="AD811">
        <f t="shared" si="310"/>
        <v>-1001878315.1650001</v>
      </c>
      <c r="AE811">
        <f t="shared" si="311"/>
        <v>-1087626576.8959999</v>
      </c>
    </row>
    <row r="812" spans="1:31" x14ac:dyDescent="0.25">
      <c r="A812">
        <v>42.921181009999998</v>
      </c>
      <c r="B812">
        <v>89.60779934</v>
      </c>
      <c r="C812">
        <v>9.2198610300000006</v>
      </c>
      <c r="D812">
        <v>5.3032989500000003</v>
      </c>
      <c r="E812" t="b">
        <f t="shared" si="288"/>
        <v>0</v>
      </c>
      <c r="F812">
        <f t="shared" si="289"/>
        <v>-40.796006200000008</v>
      </c>
      <c r="G812">
        <f t="shared" si="290"/>
        <v>-86.895311350000014</v>
      </c>
      <c r="H812">
        <f t="shared" si="291"/>
        <v>-132.99461650000001</v>
      </c>
      <c r="I812">
        <f t="shared" si="292"/>
        <v>-179.09392165000003</v>
      </c>
      <c r="J812">
        <f t="shared" si="293"/>
        <v>-225.19322680000002</v>
      </c>
      <c r="L812">
        <f t="shared" si="294"/>
        <v>10712663.879000001</v>
      </c>
      <c r="M812">
        <f t="shared" si="295"/>
        <v>-70169130.664000019</v>
      </c>
      <c r="N812">
        <f t="shared" si="296"/>
        <v>-128605060.79800001</v>
      </c>
      <c r="O812">
        <f t="shared" si="297"/>
        <v>-148953970.48000002</v>
      </c>
      <c r="P812">
        <f t="shared" si="298"/>
        <v>-164766407.91800001</v>
      </c>
      <c r="Q812">
        <f t="shared" si="299"/>
        <v>-193666175.04800001</v>
      </c>
      <c r="S812">
        <f t="shared" si="300"/>
        <v>12993082.427500002</v>
      </c>
      <c r="T812">
        <f t="shared" si="301"/>
        <v>-188562825.6295</v>
      </c>
      <c r="U812">
        <f t="shared" si="302"/>
        <v>-161625279.111</v>
      </c>
      <c r="V812">
        <f t="shared" si="303"/>
        <v>-188852355.42999998</v>
      </c>
      <c r="W812">
        <f t="shared" si="304"/>
        <v>-245358672.66050008</v>
      </c>
      <c r="X812">
        <f t="shared" si="305"/>
        <v>-274735736.69599998</v>
      </c>
      <c r="Z812">
        <f t="shared" si="306"/>
        <v>15273500.976</v>
      </c>
      <c r="AA812">
        <f t="shared" si="307"/>
        <v>-106885536.24400003</v>
      </c>
      <c r="AB812">
        <f t="shared" si="308"/>
        <v>-194645497.42400002</v>
      </c>
      <c r="AC812">
        <f t="shared" si="309"/>
        <v>-260669448.34</v>
      </c>
      <c r="AD812">
        <f t="shared" si="310"/>
        <v>-325950937.40300006</v>
      </c>
      <c r="AE812">
        <f t="shared" si="311"/>
        <v>-355805298.34400004</v>
      </c>
    </row>
    <row r="813" spans="1:31" x14ac:dyDescent="0.25">
      <c r="A813">
        <v>42.927339600000003</v>
      </c>
      <c r="B813">
        <v>89.291997890000005</v>
      </c>
      <c r="C813">
        <v>9.2198610300000006</v>
      </c>
      <c r="D813">
        <v>4.2390470499999999</v>
      </c>
      <c r="E813" t="b">
        <f t="shared" si="288"/>
        <v>0</v>
      </c>
      <c r="F813">
        <f t="shared" si="289"/>
        <v>-41.86025810000001</v>
      </c>
      <c r="G813">
        <f t="shared" si="290"/>
        <v>-87.959563250000016</v>
      </c>
      <c r="H813">
        <f t="shared" si="291"/>
        <v>-134.05886839999999</v>
      </c>
      <c r="I813">
        <f t="shared" si="292"/>
        <v>-180.15817355000001</v>
      </c>
      <c r="J813">
        <f t="shared" si="293"/>
        <v>-226.25747870000001</v>
      </c>
      <c r="L813">
        <f t="shared" si="294"/>
        <v>8562875.0409999993</v>
      </c>
      <c r="M813">
        <f t="shared" si="295"/>
        <v>-71999643.932000026</v>
      </c>
      <c r="N813">
        <f t="shared" si="296"/>
        <v>-130180153.61000001</v>
      </c>
      <c r="O813">
        <f t="shared" si="297"/>
        <v>-150145932.60800001</v>
      </c>
      <c r="P813">
        <f t="shared" si="298"/>
        <v>-165745519.66600001</v>
      </c>
      <c r="Q813">
        <f t="shared" si="299"/>
        <v>-194581431.68200001</v>
      </c>
      <c r="S813">
        <f t="shared" si="300"/>
        <v>10385665.272500001</v>
      </c>
      <c r="T813">
        <f t="shared" si="301"/>
        <v>-190872252.25250003</v>
      </c>
      <c r="U813">
        <f t="shared" si="302"/>
        <v>-163604787.64500001</v>
      </c>
      <c r="V813">
        <f t="shared" si="303"/>
        <v>-190363593.12799999</v>
      </c>
      <c r="W813">
        <f t="shared" si="304"/>
        <v>-246816697.76350003</v>
      </c>
      <c r="X813">
        <f t="shared" si="305"/>
        <v>-276034124.014</v>
      </c>
      <c r="Z813">
        <f t="shared" si="306"/>
        <v>12208455.503999999</v>
      </c>
      <c r="AA813">
        <f t="shared" si="307"/>
        <v>-109673876.22200003</v>
      </c>
      <c r="AB813">
        <f t="shared" si="308"/>
        <v>-197029421.68000007</v>
      </c>
      <c r="AC813">
        <f t="shared" si="309"/>
        <v>-262755382.06399998</v>
      </c>
      <c r="AD813">
        <f t="shared" si="310"/>
        <v>-327887875.86100006</v>
      </c>
      <c r="AE813">
        <f t="shared" si="311"/>
        <v>-357486816.34600002</v>
      </c>
    </row>
    <row r="814" spans="1:31" x14ac:dyDescent="0.25">
      <c r="A814">
        <v>42.93274134</v>
      </c>
      <c r="B814">
        <v>88.976145160000002</v>
      </c>
      <c r="C814">
        <v>6.7394113500000001</v>
      </c>
      <c r="D814">
        <v>8.2791271200000001</v>
      </c>
      <c r="E814" t="b">
        <f t="shared" si="288"/>
        <v>1</v>
      </c>
      <c r="F814">
        <f t="shared" si="289"/>
        <v>-25.417929630000003</v>
      </c>
      <c r="G814">
        <f t="shared" si="290"/>
        <v>-59.114986380000005</v>
      </c>
      <c r="H814">
        <f t="shared" si="291"/>
        <v>-92.812043130000006</v>
      </c>
      <c r="I814">
        <f t="shared" si="292"/>
        <v>-126.50909988000001</v>
      </c>
      <c r="J814">
        <f t="shared" si="293"/>
        <v>-160.20615663000001</v>
      </c>
      <c r="L814">
        <f t="shared" si="294"/>
        <v>13613610.927000001</v>
      </c>
      <c r="M814">
        <f t="shared" si="295"/>
        <v>-43718838.96360001</v>
      </c>
      <c r="N814">
        <f t="shared" si="296"/>
        <v>-87490179.842399999</v>
      </c>
      <c r="O814">
        <f t="shared" si="297"/>
        <v>-103949488.30560002</v>
      </c>
      <c r="P814">
        <f t="shared" si="298"/>
        <v>-116388371.88959999</v>
      </c>
      <c r="Q814">
        <f t="shared" si="299"/>
        <v>-137777294.70179999</v>
      </c>
      <c r="S814">
        <f t="shared" si="300"/>
        <v>16511557.807500003</v>
      </c>
      <c r="T814">
        <f t="shared" si="301"/>
        <v>-128279520.4446</v>
      </c>
      <c r="U814">
        <f t="shared" si="302"/>
        <v>-109953874.66679999</v>
      </c>
      <c r="V814">
        <f t="shared" si="303"/>
        <v>-131793101.24460001</v>
      </c>
      <c r="W814">
        <f t="shared" si="304"/>
        <v>-173317466.83560002</v>
      </c>
      <c r="X814">
        <f t="shared" si="305"/>
        <v>-195451511.08859998</v>
      </c>
      <c r="Z814">
        <f t="shared" si="306"/>
        <v>19409504.688000001</v>
      </c>
      <c r="AA814">
        <f t="shared" si="307"/>
        <v>-66594975.630600013</v>
      </c>
      <c r="AB814">
        <f t="shared" si="308"/>
        <v>-132417569.49120001</v>
      </c>
      <c r="AC814">
        <f t="shared" si="309"/>
        <v>-181911604.53480002</v>
      </c>
      <c r="AD814">
        <f t="shared" si="310"/>
        <v>-230246561.78160003</v>
      </c>
      <c r="AE814">
        <f t="shared" si="311"/>
        <v>-253125727.4754</v>
      </c>
    </row>
    <row r="815" spans="1:31" x14ac:dyDescent="0.25">
      <c r="A815">
        <v>42.964358670000003</v>
      </c>
      <c r="B815">
        <v>89.220287260000006</v>
      </c>
      <c r="C815">
        <v>9.2198610300000006</v>
      </c>
      <c r="D815">
        <v>4.90819502</v>
      </c>
      <c r="E815" t="b">
        <f t="shared" si="288"/>
        <v>0</v>
      </c>
      <c r="F815">
        <f t="shared" si="289"/>
        <v>-41.191110130000006</v>
      </c>
      <c r="G815">
        <f t="shared" si="290"/>
        <v>-87.290415280000019</v>
      </c>
      <c r="H815">
        <f t="shared" si="291"/>
        <v>-133.38972043000001</v>
      </c>
      <c r="I815">
        <f t="shared" si="292"/>
        <v>-179.48902558000003</v>
      </c>
      <c r="J815">
        <f t="shared" si="293"/>
        <v>-225.58833073000002</v>
      </c>
      <c r="L815">
        <f t="shared" si="294"/>
        <v>9914553.9403999988</v>
      </c>
      <c r="M815">
        <f t="shared" si="295"/>
        <v>-70848709.423600018</v>
      </c>
      <c r="N815">
        <f t="shared" si="296"/>
        <v>-129189814.61440003</v>
      </c>
      <c r="O815">
        <f t="shared" si="297"/>
        <v>-149396486.88160002</v>
      </c>
      <c r="P815">
        <f t="shared" si="298"/>
        <v>-165129903.53360003</v>
      </c>
      <c r="Q815">
        <f t="shared" si="299"/>
        <v>-194005964.4278</v>
      </c>
      <c r="S815">
        <f t="shared" si="300"/>
        <v>12025077.799000001</v>
      </c>
      <c r="T815">
        <f t="shared" si="301"/>
        <v>-189420201.15760002</v>
      </c>
      <c r="U815">
        <f t="shared" si="302"/>
        <v>-162360172.42080003</v>
      </c>
      <c r="V815">
        <f t="shared" si="303"/>
        <v>-189413403.0106</v>
      </c>
      <c r="W815">
        <f t="shared" si="304"/>
        <v>-245899965.04460007</v>
      </c>
      <c r="X815">
        <f t="shared" si="305"/>
        <v>-275217763.49059999</v>
      </c>
      <c r="Z815">
        <f t="shared" si="306"/>
        <v>14135601.657599999</v>
      </c>
      <c r="AA815">
        <f t="shared" si="307"/>
        <v>-107920708.54060002</v>
      </c>
      <c r="AB815">
        <f t="shared" si="308"/>
        <v>-195530530.22720006</v>
      </c>
      <c r="AC815">
        <f t="shared" si="309"/>
        <v>-261443852.04280001</v>
      </c>
      <c r="AD815">
        <f t="shared" si="310"/>
        <v>-326670026.55560011</v>
      </c>
      <c r="AE815">
        <f t="shared" si="311"/>
        <v>-356429562.55340004</v>
      </c>
    </row>
    <row r="816" spans="1:31" x14ac:dyDescent="0.25">
      <c r="A816">
        <v>43.003240959999999</v>
      </c>
      <c r="B816">
        <v>89.525767689999995</v>
      </c>
      <c r="C816">
        <v>9.2198610300000006</v>
      </c>
      <c r="D816">
        <v>0.70706301999999999</v>
      </c>
      <c r="E816" t="b">
        <f t="shared" si="288"/>
        <v>0</v>
      </c>
      <c r="F816">
        <f t="shared" si="289"/>
        <v>-45.392242130000007</v>
      </c>
      <c r="G816">
        <f t="shared" si="290"/>
        <v>-91.491547280000006</v>
      </c>
      <c r="H816">
        <f t="shared" si="291"/>
        <v>-137.59085243000001</v>
      </c>
      <c r="I816">
        <f t="shared" si="292"/>
        <v>-183.69015758000003</v>
      </c>
      <c r="J816">
        <f t="shared" si="293"/>
        <v>-229.78946273000003</v>
      </c>
      <c r="L816">
        <f t="shared" si="294"/>
        <v>1428267.3004000001</v>
      </c>
      <c r="M816">
        <f t="shared" si="295"/>
        <v>-78074656.463600025</v>
      </c>
      <c r="N816">
        <f t="shared" si="296"/>
        <v>-135407489.97440001</v>
      </c>
      <c r="O816">
        <f t="shared" si="297"/>
        <v>-154101754.72160003</v>
      </c>
      <c r="P816">
        <f t="shared" si="298"/>
        <v>-168994944.97360003</v>
      </c>
      <c r="Q816">
        <f t="shared" si="299"/>
        <v>-197618937.94780001</v>
      </c>
      <c r="S816">
        <f t="shared" si="300"/>
        <v>1732304.3990000002</v>
      </c>
      <c r="T816">
        <f t="shared" si="301"/>
        <v>-198536657.59759998</v>
      </c>
      <c r="U816">
        <f t="shared" si="302"/>
        <v>-170174277.94079998</v>
      </c>
      <c r="V816">
        <f t="shared" si="303"/>
        <v>-195379010.4506</v>
      </c>
      <c r="W816">
        <f t="shared" si="304"/>
        <v>-251655515.88460007</v>
      </c>
      <c r="X816">
        <f t="shared" si="305"/>
        <v>-280343144.53060001</v>
      </c>
      <c r="Z816">
        <f t="shared" si="306"/>
        <v>2036341.4975999999</v>
      </c>
      <c r="AA816">
        <f t="shared" si="307"/>
        <v>-118927674.38060004</v>
      </c>
      <c r="AB816">
        <f t="shared" si="308"/>
        <v>-204941065.90720001</v>
      </c>
      <c r="AC816">
        <f t="shared" si="309"/>
        <v>-269678070.76280004</v>
      </c>
      <c r="AD816">
        <f t="shared" si="310"/>
        <v>-334316086.79560012</v>
      </c>
      <c r="AE816">
        <f t="shared" si="311"/>
        <v>-363067351.11340004</v>
      </c>
    </row>
    <row r="817" spans="1:31" x14ac:dyDescent="0.25">
      <c r="A817">
        <v>43.024847870000002</v>
      </c>
      <c r="B817">
        <v>89.331821950000005</v>
      </c>
      <c r="C817">
        <v>9.2198610300000006</v>
      </c>
      <c r="D817">
        <v>3.8397440899999999</v>
      </c>
      <c r="E817" t="b">
        <f t="shared" si="288"/>
        <v>0</v>
      </c>
      <c r="F817">
        <f t="shared" si="289"/>
        <v>-42.25956106000001</v>
      </c>
      <c r="G817">
        <f t="shared" si="290"/>
        <v>-88.358866210000016</v>
      </c>
      <c r="H817">
        <f t="shared" si="291"/>
        <v>-134.45817135999999</v>
      </c>
      <c r="I817">
        <f t="shared" si="292"/>
        <v>-180.55747651000001</v>
      </c>
      <c r="J817">
        <f t="shared" si="293"/>
        <v>-226.65678166000001</v>
      </c>
      <c r="L817">
        <f t="shared" si="294"/>
        <v>7756283.0617999993</v>
      </c>
      <c r="M817">
        <f t="shared" si="295"/>
        <v>-72686445.02320002</v>
      </c>
      <c r="N817">
        <f t="shared" si="296"/>
        <v>-130771121.99080004</v>
      </c>
      <c r="O817">
        <f t="shared" si="297"/>
        <v>-150593151.92320001</v>
      </c>
      <c r="P817">
        <f t="shared" si="298"/>
        <v>-166112878.3892</v>
      </c>
      <c r="Q817">
        <f t="shared" si="299"/>
        <v>-194924832.22760001</v>
      </c>
      <c r="S817">
        <f t="shared" si="300"/>
        <v>9407373.0205000006</v>
      </c>
      <c r="T817">
        <f t="shared" si="301"/>
        <v>-191738739.67570004</v>
      </c>
      <c r="U817">
        <f t="shared" si="302"/>
        <v>-164347491.15060005</v>
      </c>
      <c r="V817">
        <f t="shared" si="303"/>
        <v>-190930603.33119997</v>
      </c>
      <c r="W817">
        <f t="shared" si="304"/>
        <v>-247363742.81870005</v>
      </c>
      <c r="X817">
        <f t="shared" si="305"/>
        <v>-276521273.62519997</v>
      </c>
      <c r="Z817">
        <f t="shared" si="306"/>
        <v>11058462.9792</v>
      </c>
      <c r="AA817">
        <f t="shared" si="307"/>
        <v>-110720049.97720003</v>
      </c>
      <c r="AB817">
        <f t="shared" si="308"/>
        <v>-197923860.31040007</v>
      </c>
      <c r="AC817">
        <f t="shared" si="309"/>
        <v>-263538015.86559996</v>
      </c>
      <c r="AD817">
        <f t="shared" si="310"/>
        <v>-328614607.24820006</v>
      </c>
      <c r="AE817">
        <f t="shared" si="311"/>
        <v>-358117715.02280003</v>
      </c>
    </row>
    <row r="818" spans="1:31" x14ac:dyDescent="0.25">
      <c r="A818">
        <v>43.041411920000002</v>
      </c>
      <c r="B818">
        <v>89.831579399999995</v>
      </c>
      <c r="C818">
        <v>27.577732090000001</v>
      </c>
      <c r="D818">
        <v>1.2335959700000001</v>
      </c>
      <c r="E818" t="b">
        <f t="shared" si="288"/>
        <v>0</v>
      </c>
      <c r="F818">
        <f t="shared" si="289"/>
        <v>-136.65506447999999</v>
      </c>
      <c r="G818">
        <f t="shared" si="290"/>
        <v>-274.54372493</v>
      </c>
      <c r="H818">
        <f t="shared" si="291"/>
        <v>-412.43238538000003</v>
      </c>
      <c r="I818">
        <f t="shared" si="292"/>
        <v>-550.32104583</v>
      </c>
      <c r="J818">
        <f t="shared" si="293"/>
        <v>-688.20970627999998</v>
      </c>
      <c r="L818">
        <f t="shared" si="294"/>
        <v>2491863.8594000004</v>
      </c>
      <c r="M818">
        <f t="shared" si="295"/>
        <v>-235046710.90560001</v>
      </c>
      <c r="N818">
        <f t="shared" si="296"/>
        <v>-406324712.89640003</v>
      </c>
      <c r="O818">
        <f t="shared" si="297"/>
        <v>-461924271.6256001</v>
      </c>
      <c r="P818">
        <f t="shared" si="298"/>
        <v>-506295362.16360003</v>
      </c>
      <c r="Q818">
        <f t="shared" si="299"/>
        <v>-591860347.40079999</v>
      </c>
      <c r="S818">
        <f t="shared" si="300"/>
        <v>3022310.1265000007</v>
      </c>
      <c r="T818">
        <f t="shared" si="301"/>
        <v>-595759883.09809995</v>
      </c>
      <c r="U818">
        <f t="shared" si="302"/>
        <v>-510651328.36979997</v>
      </c>
      <c r="V818">
        <f t="shared" si="303"/>
        <v>-585653987.23960006</v>
      </c>
      <c r="W818">
        <f t="shared" si="304"/>
        <v>-753939832.78710008</v>
      </c>
      <c r="X818">
        <f t="shared" si="305"/>
        <v>-839615841.66159999</v>
      </c>
      <c r="Z818">
        <f t="shared" si="306"/>
        <v>3552756.3936000005</v>
      </c>
      <c r="AA818">
        <f t="shared" si="307"/>
        <v>-358036268.93759996</v>
      </c>
      <c r="AB818">
        <f t="shared" si="308"/>
        <v>-614977943.84320009</v>
      </c>
      <c r="AC818">
        <f t="shared" si="309"/>
        <v>-808367475.34480011</v>
      </c>
      <c r="AD818">
        <f t="shared" si="310"/>
        <v>-1001584303.4106001</v>
      </c>
      <c r="AE818">
        <f t="shared" si="311"/>
        <v>-1087371335.9224</v>
      </c>
    </row>
    <row r="819" spans="1:31" x14ac:dyDescent="0.25">
      <c r="A819">
        <v>43.047436189999999</v>
      </c>
      <c r="B819">
        <v>90.647816449999993</v>
      </c>
      <c r="C819">
        <v>27.577732090000001</v>
      </c>
      <c r="D819">
        <v>24.61328125</v>
      </c>
      <c r="E819" t="b">
        <f t="shared" si="288"/>
        <v>0</v>
      </c>
      <c r="F819">
        <f t="shared" si="289"/>
        <v>-113.2753792</v>
      </c>
      <c r="G819">
        <f t="shared" si="290"/>
        <v>-251.16403965000001</v>
      </c>
      <c r="H819">
        <f t="shared" si="291"/>
        <v>-389.05270010000004</v>
      </c>
      <c r="I819">
        <f t="shared" si="292"/>
        <v>-526.94136055000001</v>
      </c>
      <c r="J819">
        <f t="shared" si="293"/>
        <v>-664.83002099999999</v>
      </c>
      <c r="L819">
        <f t="shared" si="294"/>
        <v>49718828.125</v>
      </c>
      <c r="M819">
        <f t="shared" si="295"/>
        <v>-194833652.22400004</v>
      </c>
      <c r="N819">
        <f t="shared" si="296"/>
        <v>-371722778.68199998</v>
      </c>
      <c r="O819">
        <f t="shared" si="297"/>
        <v>-435739024.11200005</v>
      </c>
      <c r="P819">
        <f t="shared" si="298"/>
        <v>-484786051.70599997</v>
      </c>
      <c r="Q819">
        <f t="shared" si="299"/>
        <v>-571753818.05999994</v>
      </c>
      <c r="S819">
        <f t="shared" si="300"/>
        <v>60302539.062500007</v>
      </c>
      <c r="T819">
        <f t="shared" si="301"/>
        <v>-545025966.04050004</v>
      </c>
      <c r="U819">
        <f t="shared" si="302"/>
        <v>-467165113.74899995</v>
      </c>
      <c r="V819">
        <f t="shared" si="303"/>
        <v>-552454834.14199996</v>
      </c>
      <c r="W819">
        <f t="shared" si="304"/>
        <v>-721909663.95350003</v>
      </c>
      <c r="X819">
        <f t="shared" si="305"/>
        <v>-811092625.62</v>
      </c>
      <c r="Z819">
        <f t="shared" si="306"/>
        <v>70886250</v>
      </c>
      <c r="AA819">
        <f t="shared" si="307"/>
        <v>-296781493.50400001</v>
      </c>
      <c r="AB819">
        <f t="shared" si="308"/>
        <v>-562607448.8160001</v>
      </c>
      <c r="AC819">
        <f t="shared" si="309"/>
        <v>-762543292.19599998</v>
      </c>
      <c r="AD819">
        <f t="shared" si="310"/>
        <v>-959033276.20100009</v>
      </c>
      <c r="AE819">
        <f t="shared" si="311"/>
        <v>-1050431433.1800001</v>
      </c>
    </row>
    <row r="820" spans="1:31" x14ac:dyDescent="0.25">
      <c r="A820">
        <v>43.05403862</v>
      </c>
      <c r="B820">
        <v>89.198889570000006</v>
      </c>
      <c r="C820">
        <v>9.2198610300000006</v>
      </c>
      <c r="D820">
        <v>1.0483189799999999</v>
      </c>
      <c r="E820" t="b">
        <f t="shared" si="288"/>
        <v>0</v>
      </c>
      <c r="F820">
        <f t="shared" si="289"/>
        <v>-45.050986170000009</v>
      </c>
      <c r="G820">
        <f t="shared" si="290"/>
        <v>-91.150291320000008</v>
      </c>
      <c r="H820">
        <f t="shared" si="291"/>
        <v>-137.24959647</v>
      </c>
      <c r="I820">
        <f t="shared" si="292"/>
        <v>-183.34890162000002</v>
      </c>
      <c r="J820">
        <f t="shared" si="293"/>
        <v>-229.44820677000001</v>
      </c>
      <c r="L820">
        <f t="shared" si="294"/>
        <v>2117604.3395999996</v>
      </c>
      <c r="M820">
        <f t="shared" si="295"/>
        <v>-77487696.212400019</v>
      </c>
      <c r="N820">
        <f t="shared" si="296"/>
        <v>-134902431.15360001</v>
      </c>
      <c r="O820">
        <f t="shared" si="297"/>
        <v>-153719548.04640001</v>
      </c>
      <c r="P820">
        <f t="shared" si="298"/>
        <v>-168680989.49040002</v>
      </c>
      <c r="Q820">
        <f t="shared" si="299"/>
        <v>-197325457.8222</v>
      </c>
      <c r="S820">
        <f t="shared" si="300"/>
        <v>2568381.5009999997</v>
      </c>
      <c r="T820">
        <f t="shared" si="301"/>
        <v>-197796132.16440001</v>
      </c>
      <c r="U820">
        <f t="shared" si="302"/>
        <v>-169539541.85519999</v>
      </c>
      <c r="V820">
        <f t="shared" si="303"/>
        <v>-194894426.9874</v>
      </c>
      <c r="W820">
        <f t="shared" si="304"/>
        <v>-251187995.21940008</v>
      </c>
      <c r="X820">
        <f t="shared" si="305"/>
        <v>-279926812.25940001</v>
      </c>
      <c r="Z820">
        <f t="shared" si="306"/>
        <v>3019158.6623999993</v>
      </c>
      <c r="AA820">
        <f t="shared" si="307"/>
        <v>-118033583.76540002</v>
      </c>
      <c r="AB820">
        <f t="shared" si="308"/>
        <v>-204176652.55680004</v>
      </c>
      <c r="AC820">
        <f t="shared" si="309"/>
        <v>-269009209.0812</v>
      </c>
      <c r="AD820">
        <f t="shared" si="310"/>
        <v>-333695000.94840008</v>
      </c>
      <c r="AE820">
        <f t="shared" si="311"/>
        <v>-362528166.69660002</v>
      </c>
    </row>
    <row r="821" spans="1:31" x14ac:dyDescent="0.25">
      <c r="A821">
        <v>43.056083209999997</v>
      </c>
      <c r="B821">
        <v>90.331556599999999</v>
      </c>
      <c r="C821">
        <v>27.577732090000001</v>
      </c>
      <c r="D821">
        <v>28.505289080000001</v>
      </c>
      <c r="E821" t="b">
        <f t="shared" si="288"/>
        <v>1</v>
      </c>
      <c r="F821">
        <f t="shared" si="289"/>
        <v>-109.38337137000001</v>
      </c>
      <c r="G821">
        <f t="shared" si="290"/>
        <v>-247.27203182</v>
      </c>
      <c r="H821">
        <f t="shared" si="291"/>
        <v>-385.16069227000003</v>
      </c>
      <c r="I821">
        <f t="shared" si="292"/>
        <v>-523.04935272</v>
      </c>
      <c r="J821">
        <f t="shared" si="293"/>
        <v>-660.93801316999998</v>
      </c>
      <c r="L821">
        <f t="shared" si="294"/>
        <v>55707018.821800001</v>
      </c>
      <c r="M821">
        <f t="shared" si="295"/>
        <v>-188139398.75640002</v>
      </c>
      <c r="N821">
        <f t="shared" si="296"/>
        <v>-365962607.09359998</v>
      </c>
      <c r="O821">
        <f t="shared" si="297"/>
        <v>-431379975.34240007</v>
      </c>
      <c r="P821">
        <f t="shared" si="298"/>
        <v>-481205404.50239998</v>
      </c>
      <c r="Q821">
        <f t="shared" si="299"/>
        <v>-568406691.32620001</v>
      </c>
      <c r="S821">
        <f t="shared" si="300"/>
        <v>67565443.620499998</v>
      </c>
      <c r="T821">
        <f t="shared" si="301"/>
        <v>-536580309.04939997</v>
      </c>
      <c r="U821">
        <f t="shared" si="302"/>
        <v>-459925979.18519998</v>
      </c>
      <c r="V821">
        <f t="shared" si="303"/>
        <v>-546928183.02340007</v>
      </c>
      <c r="W821">
        <f t="shared" si="304"/>
        <v>-716577613.22640014</v>
      </c>
      <c r="X821">
        <f t="shared" si="305"/>
        <v>-806344376.06739998</v>
      </c>
      <c r="Z821">
        <f t="shared" si="306"/>
        <v>79423868.419200003</v>
      </c>
      <c r="AA821">
        <f t="shared" si="307"/>
        <v>-286584432.98940003</v>
      </c>
      <c r="AB821">
        <f t="shared" si="308"/>
        <v>-553889351.27680004</v>
      </c>
      <c r="AC821">
        <f t="shared" si="309"/>
        <v>-754914956.84920001</v>
      </c>
      <c r="AD821">
        <f t="shared" si="310"/>
        <v>-951949821.95040011</v>
      </c>
      <c r="AE821">
        <f t="shared" si="311"/>
        <v>-1044282060.8085999</v>
      </c>
    </row>
    <row r="822" spans="1:31" x14ac:dyDescent="0.25">
      <c r="A822">
        <v>43.063399879999999</v>
      </c>
      <c r="B822">
        <v>90.392823079999999</v>
      </c>
      <c r="C822">
        <v>27.577732090000001</v>
      </c>
      <c r="D822">
        <v>21.10395432</v>
      </c>
      <c r="E822" t="b">
        <f t="shared" si="288"/>
        <v>0</v>
      </c>
      <c r="F822">
        <f t="shared" si="289"/>
        <v>-116.78470613</v>
      </c>
      <c r="G822">
        <f t="shared" si="290"/>
        <v>-254.67336657999999</v>
      </c>
      <c r="H822">
        <f t="shared" si="291"/>
        <v>-392.56202703000002</v>
      </c>
      <c r="I822">
        <f t="shared" si="292"/>
        <v>-530.45068748000006</v>
      </c>
      <c r="J822">
        <f t="shared" si="293"/>
        <v>-668.33934793000003</v>
      </c>
      <c r="L822">
        <f t="shared" si="294"/>
        <v>42629987.726400003</v>
      </c>
      <c r="M822">
        <f t="shared" si="295"/>
        <v>-200869694.54360005</v>
      </c>
      <c r="N822">
        <f t="shared" si="296"/>
        <v>-376916582.53839999</v>
      </c>
      <c r="O822">
        <f t="shared" si="297"/>
        <v>-439669470.2736001</v>
      </c>
      <c r="P822">
        <f t="shared" si="298"/>
        <v>-488014632.48160005</v>
      </c>
      <c r="Q822">
        <f t="shared" si="299"/>
        <v>-574771839.2198</v>
      </c>
      <c r="S822">
        <f t="shared" si="300"/>
        <v>51704688.084000006</v>
      </c>
      <c r="T822">
        <f t="shared" si="301"/>
        <v>-552641205.47859991</v>
      </c>
      <c r="U822">
        <f t="shared" si="302"/>
        <v>-473692461.83879995</v>
      </c>
      <c r="V822">
        <f t="shared" si="303"/>
        <v>-557438078.38260007</v>
      </c>
      <c r="W822">
        <f t="shared" si="304"/>
        <v>-726717441.84760022</v>
      </c>
      <c r="X822">
        <f t="shared" si="305"/>
        <v>-815374004.47460008</v>
      </c>
      <c r="Z822">
        <f t="shared" si="306"/>
        <v>60779388.441599995</v>
      </c>
      <c r="AA822">
        <f t="shared" si="307"/>
        <v>-305975930.06060004</v>
      </c>
      <c r="AB822">
        <f t="shared" si="308"/>
        <v>-570468341.13919997</v>
      </c>
      <c r="AC822">
        <f t="shared" si="309"/>
        <v>-769421572.97880006</v>
      </c>
      <c r="AD822">
        <f t="shared" si="310"/>
        <v>-965420251.21360016</v>
      </c>
      <c r="AE822">
        <f t="shared" si="311"/>
        <v>-1055976169.7294002</v>
      </c>
    </row>
    <row r="823" spans="1:31" x14ac:dyDescent="0.25">
      <c r="A823">
        <v>43.069693299999997</v>
      </c>
      <c r="B823">
        <v>89.32119118</v>
      </c>
      <c r="C823">
        <v>9.2198610300000006</v>
      </c>
      <c r="D823">
        <v>4.2531800300000002</v>
      </c>
      <c r="E823" t="b">
        <f t="shared" si="288"/>
        <v>0</v>
      </c>
      <c r="F823">
        <f t="shared" si="289"/>
        <v>-41.846125120000004</v>
      </c>
      <c r="G823">
        <f t="shared" si="290"/>
        <v>-87.945430270000017</v>
      </c>
      <c r="H823">
        <f t="shared" si="291"/>
        <v>-134.04473541999999</v>
      </c>
      <c r="I823">
        <f t="shared" si="292"/>
        <v>-180.14404057000002</v>
      </c>
      <c r="J823">
        <f t="shared" si="293"/>
        <v>-226.24334572000001</v>
      </c>
      <c r="L823">
        <f t="shared" si="294"/>
        <v>8591423.660600001</v>
      </c>
      <c r="M823">
        <f t="shared" si="295"/>
        <v>-71975335.206400022</v>
      </c>
      <c r="N823">
        <f t="shared" si="296"/>
        <v>-130159236.79960002</v>
      </c>
      <c r="O823">
        <f t="shared" si="297"/>
        <v>-150130103.67040002</v>
      </c>
      <c r="P823">
        <f t="shared" si="298"/>
        <v>-165732517.32440001</v>
      </c>
      <c r="Q823">
        <f t="shared" si="299"/>
        <v>-194569277.31920001</v>
      </c>
      <c r="S823">
        <f t="shared" si="300"/>
        <v>10420291.073500002</v>
      </c>
      <c r="T823">
        <f t="shared" si="301"/>
        <v>-190841583.6859</v>
      </c>
      <c r="U823">
        <f t="shared" si="302"/>
        <v>-163578500.30220002</v>
      </c>
      <c r="V823">
        <f t="shared" si="303"/>
        <v>-190343524.29639998</v>
      </c>
      <c r="W823">
        <f t="shared" si="304"/>
        <v>-246797335.58090004</v>
      </c>
      <c r="X823">
        <f t="shared" si="305"/>
        <v>-276016881.7784</v>
      </c>
      <c r="Z823">
        <f t="shared" si="306"/>
        <v>12249158.486400001</v>
      </c>
      <c r="AA823">
        <f t="shared" si="307"/>
        <v>-109636847.81440002</v>
      </c>
      <c r="AB823">
        <f t="shared" si="308"/>
        <v>-196997763.80480003</v>
      </c>
      <c r="AC823">
        <f t="shared" si="309"/>
        <v>-262727681.42320001</v>
      </c>
      <c r="AD823">
        <f t="shared" si="310"/>
        <v>-327862153.83740008</v>
      </c>
      <c r="AE823">
        <f t="shared" si="311"/>
        <v>-357464486.23760003</v>
      </c>
    </row>
    <row r="824" spans="1:31" x14ac:dyDescent="0.25">
      <c r="A824">
        <v>43.09238105</v>
      </c>
      <c r="B824">
        <v>90.638014519999999</v>
      </c>
      <c r="C824">
        <v>27.577732090000001</v>
      </c>
      <c r="D824">
        <v>0.115249</v>
      </c>
      <c r="E824" t="b">
        <f t="shared" si="288"/>
        <v>0</v>
      </c>
      <c r="F824">
        <f t="shared" si="289"/>
        <v>-137.77341145</v>
      </c>
      <c r="G824">
        <f t="shared" si="290"/>
        <v>-275.6620719</v>
      </c>
      <c r="H824">
        <f t="shared" si="291"/>
        <v>-413.55073235000003</v>
      </c>
      <c r="I824">
        <f t="shared" si="292"/>
        <v>-551.43939280000006</v>
      </c>
      <c r="J824">
        <f t="shared" si="293"/>
        <v>-689.32805325000004</v>
      </c>
      <c r="L824">
        <f t="shared" si="294"/>
        <v>232802.98</v>
      </c>
      <c r="M824">
        <f t="shared" si="295"/>
        <v>-236970267.69400001</v>
      </c>
      <c r="N824">
        <f t="shared" si="296"/>
        <v>-407979866.41199994</v>
      </c>
      <c r="O824">
        <f t="shared" si="297"/>
        <v>-463176820.23200005</v>
      </c>
      <c r="P824">
        <f t="shared" si="298"/>
        <v>-507324241.37600005</v>
      </c>
      <c r="Q824">
        <f t="shared" si="299"/>
        <v>-592822125.79499996</v>
      </c>
      <c r="S824">
        <f t="shared" si="300"/>
        <v>282360.05000000005</v>
      </c>
      <c r="T824">
        <f t="shared" si="301"/>
        <v>-598186696.02299988</v>
      </c>
      <c r="U824">
        <f t="shared" si="302"/>
        <v>-512731453.73399991</v>
      </c>
      <c r="V824">
        <f t="shared" si="303"/>
        <v>-587242039.93700004</v>
      </c>
      <c r="W824">
        <f t="shared" si="304"/>
        <v>-755471968.13600016</v>
      </c>
      <c r="X824">
        <f t="shared" si="305"/>
        <v>-840980224.96500003</v>
      </c>
      <c r="Z824">
        <f t="shared" si="306"/>
        <v>331917.12</v>
      </c>
      <c r="AA824">
        <f t="shared" si="307"/>
        <v>-360966337.99900001</v>
      </c>
      <c r="AB824">
        <f t="shared" si="308"/>
        <v>-617483041.05599999</v>
      </c>
      <c r="AC824">
        <f t="shared" si="309"/>
        <v>-810559435.40600002</v>
      </c>
      <c r="AD824">
        <f t="shared" si="310"/>
        <v>-1003619694.8960001</v>
      </c>
      <c r="AE824">
        <f t="shared" si="311"/>
        <v>-1089138324.135</v>
      </c>
    </row>
    <row r="825" spans="1:31" x14ac:dyDescent="0.25">
      <c r="A825">
        <v>43.123773620000001</v>
      </c>
      <c r="B825">
        <v>90.127587590000005</v>
      </c>
      <c r="C825">
        <v>27.577732090000001</v>
      </c>
      <c r="D825">
        <v>2.2950410799999998</v>
      </c>
      <c r="E825" t="b">
        <f t="shared" si="288"/>
        <v>0</v>
      </c>
      <c r="F825">
        <f t="shared" si="289"/>
        <v>-135.59361937</v>
      </c>
      <c r="G825">
        <f t="shared" si="290"/>
        <v>-273.48227982000003</v>
      </c>
      <c r="H825">
        <f t="shared" si="291"/>
        <v>-411.37094027000006</v>
      </c>
      <c r="I825">
        <f t="shared" si="292"/>
        <v>-549.25960071999998</v>
      </c>
      <c r="J825">
        <f t="shared" si="293"/>
        <v>-687.14826116999996</v>
      </c>
      <c r="L825">
        <f t="shared" si="294"/>
        <v>4635982.9816000005</v>
      </c>
      <c r="M825">
        <f t="shared" si="295"/>
        <v>-233221025.31640002</v>
      </c>
      <c r="N825">
        <f t="shared" si="296"/>
        <v>-404753774.13360006</v>
      </c>
      <c r="O825">
        <f t="shared" si="297"/>
        <v>-460735453.10240006</v>
      </c>
      <c r="P825">
        <f t="shared" si="298"/>
        <v>-505318832.66240001</v>
      </c>
      <c r="Q825">
        <f t="shared" si="299"/>
        <v>-590947504.60619998</v>
      </c>
      <c r="S825">
        <f t="shared" si="300"/>
        <v>5622850.6460000006</v>
      </c>
      <c r="T825">
        <f t="shared" si="301"/>
        <v>-593456547.20940006</v>
      </c>
      <c r="U825">
        <f t="shared" si="302"/>
        <v>-508677040.46520007</v>
      </c>
      <c r="V825">
        <f t="shared" si="303"/>
        <v>-584146735.18340003</v>
      </c>
      <c r="W825">
        <f t="shared" si="304"/>
        <v>-752485652.98640013</v>
      </c>
      <c r="X825">
        <f t="shared" si="305"/>
        <v>-838320878.62739992</v>
      </c>
      <c r="Z825">
        <f t="shared" si="306"/>
        <v>6609718.3103999998</v>
      </c>
      <c r="AA825">
        <f t="shared" si="307"/>
        <v>-355255282.74940002</v>
      </c>
      <c r="AB825">
        <f t="shared" si="308"/>
        <v>-612600306.79680014</v>
      </c>
      <c r="AC825">
        <f t="shared" si="309"/>
        <v>-806287042.92920005</v>
      </c>
      <c r="AD825">
        <f t="shared" si="310"/>
        <v>-999652473.31040013</v>
      </c>
      <c r="AE825">
        <f t="shared" si="311"/>
        <v>-1085694252.6485999</v>
      </c>
    </row>
    <row r="826" spans="1:31" x14ac:dyDescent="0.25">
      <c r="A826">
        <v>43.153242550000002</v>
      </c>
      <c r="B826">
        <v>90.372879310000002</v>
      </c>
      <c r="C826">
        <v>27.577732090000001</v>
      </c>
      <c r="D826">
        <v>2.35851312</v>
      </c>
      <c r="E826" t="b">
        <f t="shared" si="288"/>
        <v>0</v>
      </c>
      <c r="F826">
        <f t="shared" si="289"/>
        <v>-135.53014733000001</v>
      </c>
      <c r="G826">
        <f t="shared" si="290"/>
        <v>-273.41880778000001</v>
      </c>
      <c r="H826">
        <f t="shared" si="291"/>
        <v>-411.30746823000004</v>
      </c>
      <c r="I826">
        <f t="shared" si="292"/>
        <v>-549.19612868000002</v>
      </c>
      <c r="J826">
        <f t="shared" si="293"/>
        <v>-687.08478912999999</v>
      </c>
      <c r="L826">
        <f t="shared" si="294"/>
        <v>4764196.5024000006</v>
      </c>
      <c r="M826">
        <f t="shared" si="295"/>
        <v>-233111853.40760005</v>
      </c>
      <c r="N826">
        <f t="shared" si="296"/>
        <v>-404659835.51440006</v>
      </c>
      <c r="O826">
        <f t="shared" si="297"/>
        <v>-460664364.41760004</v>
      </c>
      <c r="P826">
        <f t="shared" si="298"/>
        <v>-505260438.38560003</v>
      </c>
      <c r="Q826">
        <f t="shared" si="299"/>
        <v>-590892918.65180004</v>
      </c>
      <c r="S826">
        <f t="shared" si="300"/>
        <v>5778357.1440000003</v>
      </c>
      <c r="T826">
        <f t="shared" si="301"/>
        <v>-593318812.88260007</v>
      </c>
      <c r="U826">
        <f t="shared" si="302"/>
        <v>-508558982.47080004</v>
      </c>
      <c r="V826">
        <f t="shared" si="303"/>
        <v>-584056604.88660002</v>
      </c>
      <c r="W826">
        <f t="shared" si="304"/>
        <v>-752398696.29160011</v>
      </c>
      <c r="X826">
        <f t="shared" si="305"/>
        <v>-838243442.73860002</v>
      </c>
      <c r="Z826">
        <f t="shared" si="306"/>
        <v>6792517.7856000001</v>
      </c>
      <c r="AA826">
        <f t="shared" si="307"/>
        <v>-355088986.00460005</v>
      </c>
      <c r="AB826">
        <f t="shared" si="308"/>
        <v>-612458129.42720008</v>
      </c>
      <c r="AC826">
        <f t="shared" si="309"/>
        <v>-806162637.73080003</v>
      </c>
      <c r="AD826">
        <f t="shared" si="310"/>
        <v>-999536954.19760013</v>
      </c>
      <c r="AE826">
        <f t="shared" si="311"/>
        <v>-1085593966.8254001</v>
      </c>
    </row>
    <row r="827" spans="1:31" x14ac:dyDescent="0.25">
      <c r="A827">
        <v>43.160838269999999</v>
      </c>
      <c r="B827">
        <v>89.677998099999996</v>
      </c>
      <c r="C827">
        <v>9.2198610300000006</v>
      </c>
      <c r="D827">
        <v>0.38656899</v>
      </c>
      <c r="E827" t="b">
        <f t="shared" si="288"/>
        <v>0</v>
      </c>
      <c r="F827">
        <f t="shared" si="289"/>
        <v>-45.712736160000006</v>
      </c>
      <c r="G827">
        <f t="shared" si="290"/>
        <v>-91.812041310000012</v>
      </c>
      <c r="H827">
        <f t="shared" si="291"/>
        <v>-137.91134646</v>
      </c>
      <c r="I827">
        <f t="shared" si="292"/>
        <v>-184.01065161000002</v>
      </c>
      <c r="J827">
        <f t="shared" si="293"/>
        <v>-230.10995676000002</v>
      </c>
      <c r="L827">
        <f t="shared" si="294"/>
        <v>780869.35979999998</v>
      </c>
      <c r="M827">
        <f t="shared" si="295"/>
        <v>-78625906.195200011</v>
      </c>
      <c r="N827">
        <f t="shared" si="296"/>
        <v>-135881821.13880002</v>
      </c>
      <c r="O827">
        <f t="shared" si="297"/>
        <v>-154460708.03520003</v>
      </c>
      <c r="P827">
        <f t="shared" si="298"/>
        <v>-169289799.48120001</v>
      </c>
      <c r="Q827">
        <f t="shared" si="299"/>
        <v>-197894562.8136</v>
      </c>
      <c r="S827">
        <f t="shared" si="300"/>
        <v>947094.02549999999</v>
      </c>
      <c r="T827">
        <f t="shared" si="301"/>
        <v>-199232129.64270002</v>
      </c>
      <c r="U827">
        <f t="shared" si="302"/>
        <v>-170770396.83660004</v>
      </c>
      <c r="V827">
        <f t="shared" si="303"/>
        <v>-195834111.97319999</v>
      </c>
      <c r="W827">
        <f t="shared" si="304"/>
        <v>-252094592.70570004</v>
      </c>
      <c r="X827">
        <f t="shared" si="305"/>
        <v>-280734147.24720001</v>
      </c>
      <c r="Z827">
        <f t="shared" si="306"/>
        <v>1113318.6912</v>
      </c>
      <c r="AA827">
        <f t="shared" si="307"/>
        <v>-119767368.73920001</v>
      </c>
      <c r="AB827">
        <f t="shared" si="308"/>
        <v>-205658972.53440005</v>
      </c>
      <c r="AC827">
        <f t="shared" si="309"/>
        <v>-270306239.06160003</v>
      </c>
      <c r="AD827">
        <f t="shared" si="310"/>
        <v>-334899385.93020004</v>
      </c>
      <c r="AE827">
        <f t="shared" si="311"/>
        <v>-363573731.68080002</v>
      </c>
    </row>
    <row r="828" spans="1:31" x14ac:dyDescent="0.25">
      <c r="A828">
        <v>43.182254280000002</v>
      </c>
      <c r="B828">
        <v>90.618373379999994</v>
      </c>
      <c r="C828">
        <v>27.577732090000001</v>
      </c>
      <c r="D828">
        <v>2.0868179800000002</v>
      </c>
      <c r="E828" t="b">
        <f t="shared" si="288"/>
        <v>0</v>
      </c>
      <c r="F828">
        <f t="shared" si="289"/>
        <v>-135.80184247</v>
      </c>
      <c r="G828">
        <f t="shared" si="290"/>
        <v>-273.69050292000003</v>
      </c>
      <c r="H828">
        <f t="shared" si="291"/>
        <v>-411.57916337000006</v>
      </c>
      <c r="I828">
        <f t="shared" si="292"/>
        <v>-549.46782382000004</v>
      </c>
      <c r="J828">
        <f t="shared" si="293"/>
        <v>-687.35648427000001</v>
      </c>
      <c r="L828">
        <f t="shared" si="294"/>
        <v>4215372.3196</v>
      </c>
      <c r="M828">
        <f t="shared" si="295"/>
        <v>-233579169.04840001</v>
      </c>
      <c r="N828">
        <f t="shared" si="296"/>
        <v>-405061944.32160002</v>
      </c>
      <c r="O828">
        <f t="shared" si="297"/>
        <v>-460968662.9744001</v>
      </c>
      <c r="P828">
        <f t="shared" si="298"/>
        <v>-505510397.91439998</v>
      </c>
      <c r="Q828">
        <f t="shared" si="299"/>
        <v>-591126576.47219992</v>
      </c>
      <c r="S828">
        <f t="shared" si="300"/>
        <v>5112704.0510000009</v>
      </c>
      <c r="T828">
        <f t="shared" si="301"/>
        <v>-593908391.33640003</v>
      </c>
      <c r="U828">
        <f t="shared" si="302"/>
        <v>-509064335.43119997</v>
      </c>
      <c r="V828">
        <f t="shared" si="303"/>
        <v>-584442411.98540008</v>
      </c>
      <c r="W828">
        <f t="shared" si="304"/>
        <v>-752770918.63340008</v>
      </c>
      <c r="X828">
        <f t="shared" si="305"/>
        <v>-838574910.80939996</v>
      </c>
      <c r="Z828">
        <f t="shared" si="306"/>
        <v>6010035.7824000008</v>
      </c>
      <c r="AA828">
        <f t="shared" si="307"/>
        <v>-355800827.27140003</v>
      </c>
      <c r="AB828">
        <f t="shared" si="308"/>
        <v>-613066726.54080009</v>
      </c>
      <c r="AC828">
        <f t="shared" si="309"/>
        <v>-806695160.20520008</v>
      </c>
      <c r="AD828">
        <f t="shared" si="310"/>
        <v>-1000031439.3524002</v>
      </c>
      <c r="AE828">
        <f t="shared" si="311"/>
        <v>-1086023245.1466</v>
      </c>
    </row>
    <row r="829" spans="1:31" x14ac:dyDescent="0.25">
      <c r="A829">
        <v>43.188516579999998</v>
      </c>
      <c r="B829">
        <v>89.166691549999996</v>
      </c>
      <c r="C829">
        <v>9.2198610300000006</v>
      </c>
      <c r="D829">
        <v>1.2910440000000001</v>
      </c>
      <c r="E829" t="b">
        <f t="shared" si="288"/>
        <v>0</v>
      </c>
      <c r="F829">
        <f t="shared" si="289"/>
        <v>-44.808261150000007</v>
      </c>
      <c r="G829">
        <f t="shared" si="290"/>
        <v>-90.907566300000013</v>
      </c>
      <c r="H829">
        <f t="shared" si="291"/>
        <v>-137.00687145000001</v>
      </c>
      <c r="I829">
        <f t="shared" si="292"/>
        <v>-183.10617660000003</v>
      </c>
      <c r="J829">
        <f t="shared" si="293"/>
        <v>-229.20548175000002</v>
      </c>
      <c r="L829">
        <f t="shared" si="294"/>
        <v>2607908.88</v>
      </c>
      <c r="M829">
        <f t="shared" si="295"/>
        <v>-77070209.178000018</v>
      </c>
      <c r="N829">
        <f t="shared" si="296"/>
        <v>-134543198.12400001</v>
      </c>
      <c r="O829">
        <f t="shared" si="297"/>
        <v>-153447696.02400005</v>
      </c>
      <c r="P829">
        <f t="shared" si="298"/>
        <v>-168457682.472</v>
      </c>
      <c r="Q829">
        <f t="shared" si="299"/>
        <v>-197116714.30500004</v>
      </c>
      <c r="S829">
        <f t="shared" si="300"/>
        <v>3163057.8000000003</v>
      </c>
      <c r="T829">
        <f t="shared" si="301"/>
        <v>-197269418.87100002</v>
      </c>
      <c r="U829">
        <f t="shared" si="302"/>
        <v>-169088073.31800002</v>
      </c>
      <c r="V829">
        <f t="shared" si="303"/>
        <v>-194549757.45900002</v>
      </c>
      <c r="W829">
        <f t="shared" si="304"/>
        <v>-250855461.94200006</v>
      </c>
      <c r="X829">
        <f t="shared" si="305"/>
        <v>-279630687.73500001</v>
      </c>
      <c r="Z829">
        <f t="shared" si="306"/>
        <v>3718206.7199999997</v>
      </c>
      <c r="AA829">
        <f t="shared" si="307"/>
        <v>-117397644.21300001</v>
      </c>
      <c r="AB829">
        <f t="shared" si="308"/>
        <v>-203632948.51200005</v>
      </c>
      <c r="AC829">
        <f t="shared" si="309"/>
        <v>-268533468.04200006</v>
      </c>
      <c r="AD829">
        <f t="shared" si="310"/>
        <v>-333253241.41200006</v>
      </c>
      <c r="AE829">
        <f t="shared" si="311"/>
        <v>-362144661.16500008</v>
      </c>
    </row>
    <row r="830" spans="1:31" x14ac:dyDescent="0.25">
      <c r="A830">
        <v>43.228397299999997</v>
      </c>
      <c r="B830">
        <v>91.426923599999995</v>
      </c>
      <c r="C830">
        <v>10.37234402</v>
      </c>
      <c r="D830">
        <v>1.0543090100000001</v>
      </c>
      <c r="E830" t="b">
        <f t="shared" si="288"/>
        <v>0</v>
      </c>
      <c r="F830">
        <f t="shared" si="289"/>
        <v>-50.807411090000002</v>
      </c>
      <c r="G830">
        <f t="shared" si="290"/>
        <v>-102.66913119</v>
      </c>
      <c r="H830">
        <f t="shared" si="291"/>
        <v>-154.53085128999999</v>
      </c>
      <c r="I830">
        <f t="shared" si="292"/>
        <v>-206.39257139</v>
      </c>
      <c r="J830">
        <f t="shared" si="293"/>
        <v>-258.25429149000001</v>
      </c>
      <c r="L830">
        <f t="shared" si="294"/>
        <v>2129704.2001999998</v>
      </c>
      <c r="M830">
        <f t="shared" si="295"/>
        <v>-87388747.074800014</v>
      </c>
      <c r="N830">
        <f t="shared" si="296"/>
        <v>-151950314.16119999</v>
      </c>
      <c r="O830">
        <f t="shared" si="297"/>
        <v>-173074553.44480002</v>
      </c>
      <c r="P830">
        <f t="shared" si="298"/>
        <v>-189881165.67879999</v>
      </c>
      <c r="Q830">
        <f t="shared" si="299"/>
        <v>-222098690.6814</v>
      </c>
      <c r="S830">
        <f t="shared" si="300"/>
        <v>2583057.0745000001</v>
      </c>
      <c r="T830">
        <f t="shared" si="301"/>
        <v>-222792014.6823</v>
      </c>
      <c r="U830">
        <f t="shared" si="302"/>
        <v>-190964584.01339999</v>
      </c>
      <c r="V830">
        <f t="shared" si="303"/>
        <v>-219433808.83179998</v>
      </c>
      <c r="W830">
        <f t="shared" si="304"/>
        <v>-282757822.80430001</v>
      </c>
      <c r="X830">
        <f t="shared" si="305"/>
        <v>-315070235.6178</v>
      </c>
      <c r="Z830">
        <f t="shared" si="306"/>
        <v>3036409.9487999999</v>
      </c>
      <c r="AA830">
        <f t="shared" si="307"/>
        <v>-133115417.05580002</v>
      </c>
      <c r="AB830">
        <f t="shared" si="308"/>
        <v>-229978853.86560002</v>
      </c>
      <c r="AC830">
        <f t="shared" si="309"/>
        <v>-302880468.5284</v>
      </c>
      <c r="AD830">
        <f t="shared" si="310"/>
        <v>-375634479.92979997</v>
      </c>
      <c r="AE830">
        <f t="shared" si="311"/>
        <v>-408041780.55420005</v>
      </c>
    </row>
    <row r="831" spans="1:31" x14ac:dyDescent="0.25">
      <c r="A831">
        <v>43.255924399999998</v>
      </c>
      <c r="B831">
        <v>121.9237152</v>
      </c>
      <c r="C831">
        <v>0.39520844999999999</v>
      </c>
      <c r="D831">
        <v>0.181954</v>
      </c>
      <c r="E831" t="b">
        <f t="shared" si="288"/>
        <v>0</v>
      </c>
      <c r="F831">
        <f t="shared" si="289"/>
        <v>-1.7940882499999999</v>
      </c>
      <c r="G831">
        <f t="shared" si="290"/>
        <v>-3.7701304999999996</v>
      </c>
      <c r="H831">
        <f t="shared" si="291"/>
        <v>-5.7461727499999995</v>
      </c>
      <c r="I831">
        <f t="shared" si="292"/>
        <v>-7.7222149999999994</v>
      </c>
      <c r="J831">
        <f t="shared" si="293"/>
        <v>-9.6982572500000011</v>
      </c>
      <c r="L831">
        <f t="shared" si="294"/>
        <v>367547.08</v>
      </c>
      <c r="M831">
        <f t="shared" si="295"/>
        <v>-3085831.7900000005</v>
      </c>
      <c r="N831">
        <f t="shared" si="296"/>
        <v>-5579793.1399999997</v>
      </c>
      <c r="O831">
        <f t="shared" si="297"/>
        <v>-6435713.4799999995</v>
      </c>
      <c r="P831">
        <f t="shared" si="298"/>
        <v>-7104437.7999999989</v>
      </c>
      <c r="Q831">
        <f t="shared" si="299"/>
        <v>-8340501.2350000013</v>
      </c>
      <c r="S831">
        <f t="shared" si="300"/>
        <v>445787.30000000005</v>
      </c>
      <c r="T831">
        <f t="shared" si="301"/>
        <v>-8181183.1849999987</v>
      </c>
      <c r="U831">
        <f t="shared" si="302"/>
        <v>-7012442.7299999986</v>
      </c>
      <c r="V831">
        <f t="shared" si="303"/>
        <v>-8159565.3049999978</v>
      </c>
      <c r="W831">
        <f t="shared" si="304"/>
        <v>-10579434.549999999</v>
      </c>
      <c r="X831">
        <f t="shared" si="305"/>
        <v>-11831873.845000003</v>
      </c>
      <c r="Z831">
        <f t="shared" si="306"/>
        <v>524027.51999999996</v>
      </c>
      <c r="AA831">
        <f t="shared" si="307"/>
        <v>-4700511.2149999999</v>
      </c>
      <c r="AB831">
        <f t="shared" si="308"/>
        <v>-8445092.3200000003</v>
      </c>
      <c r="AC831">
        <f t="shared" si="309"/>
        <v>-11262498.589999998</v>
      </c>
      <c r="AD831">
        <f t="shared" si="310"/>
        <v>-14054431.299999999</v>
      </c>
      <c r="AE831">
        <f t="shared" si="311"/>
        <v>-15323246.455000004</v>
      </c>
    </row>
    <row r="832" spans="1:31" x14ac:dyDescent="0.25">
      <c r="A832">
        <v>43.303355600000003</v>
      </c>
      <c r="B832">
        <v>125.0371217</v>
      </c>
      <c r="C832">
        <v>3.370339E-2</v>
      </c>
      <c r="D832">
        <v>30.30833054</v>
      </c>
      <c r="E832" t="b">
        <f t="shared" si="288"/>
        <v>1</v>
      </c>
      <c r="F832">
        <f t="shared" si="289"/>
        <v>30.139813589999999</v>
      </c>
      <c r="G832">
        <f t="shared" si="290"/>
        <v>29.971296639999998</v>
      </c>
      <c r="H832">
        <f t="shared" si="291"/>
        <v>29.802779690000001</v>
      </c>
      <c r="I832">
        <f t="shared" si="292"/>
        <v>29.63426274</v>
      </c>
      <c r="J832">
        <f t="shared" si="293"/>
        <v>29.46574579</v>
      </c>
      <c r="L832">
        <f t="shared" si="294"/>
        <v>68080.847800000003</v>
      </c>
      <c r="M832">
        <f t="shared" si="295"/>
        <v>57969.830800000003</v>
      </c>
      <c r="N832">
        <f t="shared" si="296"/>
        <v>49881.017200000002</v>
      </c>
      <c r="O832">
        <f t="shared" si="297"/>
        <v>37747.796800000004</v>
      </c>
      <c r="P832">
        <f t="shared" si="298"/>
        <v>31007.118799999997</v>
      </c>
      <c r="Q832">
        <f t="shared" si="299"/>
        <v>28984.915399999998</v>
      </c>
      <c r="S832">
        <f t="shared" si="300"/>
        <v>82573.305500000002</v>
      </c>
      <c r="T832">
        <f t="shared" si="301"/>
        <v>73136.356299999999</v>
      </c>
      <c r="U832">
        <f t="shared" si="302"/>
        <v>62688.305399999997</v>
      </c>
      <c r="V832">
        <f t="shared" si="303"/>
        <v>47858.813799999996</v>
      </c>
      <c r="W832">
        <f t="shared" si="304"/>
        <v>46173.6443</v>
      </c>
      <c r="X832">
        <f t="shared" si="305"/>
        <v>41118.135799999996</v>
      </c>
      <c r="Z832">
        <f t="shared" si="306"/>
        <v>97065.763200000001</v>
      </c>
      <c r="AA832">
        <f t="shared" si="307"/>
        <v>88302.881800000003</v>
      </c>
      <c r="AB832">
        <f t="shared" si="308"/>
        <v>75495.593600000007</v>
      </c>
      <c r="AC832">
        <f t="shared" si="309"/>
        <v>66058.644400000005</v>
      </c>
      <c r="AD832">
        <f t="shared" si="310"/>
        <v>61340.169800000003</v>
      </c>
      <c r="AE832">
        <f t="shared" si="311"/>
        <v>53251.356200000002</v>
      </c>
    </row>
    <row r="833" spans="1:31" x14ac:dyDescent="0.25">
      <c r="A833">
        <v>43.402095070000001</v>
      </c>
      <c r="B833">
        <v>111.7836582</v>
      </c>
      <c r="C833">
        <v>5.9636301999999999</v>
      </c>
      <c r="D833">
        <v>2.4871919199999999</v>
      </c>
      <c r="E833" t="b">
        <f t="shared" si="288"/>
        <v>0</v>
      </c>
      <c r="F833">
        <f t="shared" si="289"/>
        <v>-27.33095908</v>
      </c>
      <c r="G833">
        <f t="shared" si="290"/>
        <v>-57.14911008</v>
      </c>
      <c r="H833">
        <f t="shared" si="291"/>
        <v>-86.96726108</v>
      </c>
      <c r="I833">
        <f t="shared" si="292"/>
        <v>-116.78541208</v>
      </c>
      <c r="J833">
        <f t="shared" si="293"/>
        <v>-146.60356308000001</v>
      </c>
      <c r="L833">
        <f t="shared" si="294"/>
        <v>5024127.6783999996</v>
      </c>
      <c r="M833">
        <f t="shared" si="295"/>
        <v>-47009249.617600001</v>
      </c>
      <c r="N833">
        <f t="shared" si="296"/>
        <v>-84580682.91839999</v>
      </c>
      <c r="O833">
        <f t="shared" si="297"/>
        <v>-97403332.409600005</v>
      </c>
      <c r="P833">
        <f t="shared" si="298"/>
        <v>-107442579.11359999</v>
      </c>
      <c r="Q833">
        <f t="shared" si="299"/>
        <v>-126079064.24880001</v>
      </c>
      <c r="S833">
        <f t="shared" si="300"/>
        <v>6093620.2039999999</v>
      </c>
      <c r="T833">
        <f t="shared" si="301"/>
        <v>-124013568.87359999</v>
      </c>
      <c r="U833">
        <f t="shared" si="302"/>
        <v>-106297344.74879999</v>
      </c>
      <c r="V833">
        <f t="shared" si="303"/>
        <v>-123493510.73359999</v>
      </c>
      <c r="W833">
        <f t="shared" si="304"/>
        <v>-159996014.54960001</v>
      </c>
      <c r="X833">
        <f t="shared" si="305"/>
        <v>-178856346.9576</v>
      </c>
      <c r="Z833">
        <f t="shared" si="306"/>
        <v>7163112.7295999993</v>
      </c>
      <c r="AA833">
        <f t="shared" si="307"/>
        <v>-71607112.7896</v>
      </c>
      <c r="AB833">
        <f t="shared" si="308"/>
        <v>-128014006.57920001</v>
      </c>
      <c r="AC833">
        <f t="shared" si="309"/>
        <v>-170455831.7168</v>
      </c>
      <c r="AD833">
        <f t="shared" si="310"/>
        <v>-212549449.98559999</v>
      </c>
      <c r="AE833">
        <f t="shared" si="311"/>
        <v>-231633629.66640005</v>
      </c>
    </row>
    <row r="834" spans="1:31" x14ac:dyDescent="0.25">
      <c r="A834">
        <v>43.442001439999999</v>
      </c>
      <c r="B834">
        <v>111.9119796</v>
      </c>
      <c r="C834">
        <v>5.9636301999999999</v>
      </c>
      <c r="D834">
        <v>0.68049300000000001</v>
      </c>
      <c r="E834" t="b">
        <f t="shared" si="288"/>
        <v>0</v>
      </c>
      <c r="F834">
        <f t="shared" si="289"/>
        <v>-29.137658000000002</v>
      </c>
      <c r="G834">
        <f t="shared" si="290"/>
        <v>-58.955809000000002</v>
      </c>
      <c r="H834">
        <f t="shared" si="291"/>
        <v>-88.773960000000002</v>
      </c>
      <c r="I834">
        <f t="shared" si="292"/>
        <v>-118.592111</v>
      </c>
      <c r="J834">
        <f t="shared" si="293"/>
        <v>-148.41026199999999</v>
      </c>
      <c r="L834">
        <f t="shared" si="294"/>
        <v>1374595.86</v>
      </c>
      <c r="M834">
        <f t="shared" si="295"/>
        <v>-50116771.760000005</v>
      </c>
      <c r="N834">
        <f t="shared" si="296"/>
        <v>-87254597.319999993</v>
      </c>
      <c r="O834">
        <f t="shared" si="297"/>
        <v>-99426835.200000003</v>
      </c>
      <c r="P834">
        <f t="shared" si="298"/>
        <v>-109104742.11999999</v>
      </c>
      <c r="Q834">
        <f t="shared" si="299"/>
        <v>-127632825.31999999</v>
      </c>
      <c r="S834">
        <f t="shared" si="300"/>
        <v>1667207.85</v>
      </c>
      <c r="T834">
        <f t="shared" si="301"/>
        <v>-127934105.53</v>
      </c>
      <c r="U834">
        <f t="shared" si="302"/>
        <v>-109657804.73999999</v>
      </c>
      <c r="V834">
        <f t="shared" si="303"/>
        <v>-126059023.19999999</v>
      </c>
      <c r="W834">
        <f t="shared" si="304"/>
        <v>-162471192.07000002</v>
      </c>
      <c r="X834">
        <f t="shared" si="305"/>
        <v>-181060519.63999999</v>
      </c>
      <c r="Z834">
        <f t="shared" si="306"/>
        <v>1959819.8399999999</v>
      </c>
      <c r="AA834">
        <f t="shared" si="307"/>
        <v>-76340663.960000008</v>
      </c>
      <c r="AB834">
        <f t="shared" si="308"/>
        <v>-132061012.16000001</v>
      </c>
      <c r="AC834">
        <f t="shared" si="309"/>
        <v>-173996961.59999999</v>
      </c>
      <c r="AD834">
        <f t="shared" si="310"/>
        <v>-215837642.02000001</v>
      </c>
      <c r="AE834">
        <f t="shared" si="311"/>
        <v>-234488213.96000001</v>
      </c>
    </row>
    <row r="835" spans="1:31" x14ac:dyDescent="0.25">
      <c r="A835">
        <v>43.523296950000002</v>
      </c>
      <c r="B835">
        <v>113.8606827</v>
      </c>
      <c r="C835">
        <v>6.3704409599999998</v>
      </c>
      <c r="D835">
        <v>0.40274099000000002</v>
      </c>
      <c r="E835" t="b">
        <f t="shared" ref="E835:E898" si="312">D835&gt;C835</f>
        <v>0</v>
      </c>
      <c r="F835">
        <f t="shared" ref="F835:F898" si="313">D835-(C835*(2030-2025))</f>
        <v>-31.449463809999997</v>
      </c>
      <c r="G835">
        <f t="shared" ref="G835:G898" si="314">D835-(C835*(2035-2025))</f>
        <v>-63.30166861</v>
      </c>
      <c r="H835">
        <f t="shared" ref="H835:H898" si="315">D835-(C835*(2040-2025))</f>
        <v>-95.153873410000003</v>
      </c>
      <c r="I835">
        <f t="shared" ref="I835:I898" si="316">D835-(C835*(2045-2025))</f>
        <v>-127.00607821</v>
      </c>
      <c r="J835">
        <f t="shared" ref="J835:J898" si="317">D835-(C835*(2050-2025))</f>
        <v>-158.85828300999998</v>
      </c>
      <c r="L835">
        <f t="shared" ref="L835:L898" si="318">MIN(C835,D835)*1000000*((280/250)+0.9)</f>
        <v>813536.79980000015</v>
      </c>
      <c r="M835">
        <f t="shared" ref="M835:M898" si="319">MIN(C835,F835)*1000000*((230/250)+0.8)</f>
        <v>-54093077.753200002</v>
      </c>
      <c r="N835">
        <f t="shared" ref="N835:N898" si="320">MIN(C835,G835)*1000000*((195/250)+0.7)</f>
        <v>-93686469.542799994</v>
      </c>
      <c r="O835">
        <f t="shared" ref="O835:O898" si="321">MIN(C835,H835)*1000000*((130/250)+0.6)</f>
        <v>-106572338.2192</v>
      </c>
      <c r="P835">
        <f t="shared" ref="P835:P898" si="322">MIN(C835,I835)*1000000*((105/250)+0.5)</f>
        <v>-116845591.95319998</v>
      </c>
      <c r="Q835">
        <f t="shared" ref="Q835:Q898" si="323">MIN(C835,J835)*1000000*((90/250)+0.5)</f>
        <v>-136618123.38859999</v>
      </c>
      <c r="S835">
        <f t="shared" ref="S835:S898" si="324">MIN(C835,D835)*1000000*((325/250)+1.15)</f>
        <v>986715.42550000024</v>
      </c>
      <c r="T835">
        <f t="shared" ref="T835:T898" si="325">MIN(C835,G835)*1000000*((280/250)+1.05)</f>
        <v>-137364620.88369998</v>
      </c>
      <c r="U835">
        <f t="shared" ref="U835:U898" si="326">MIN(C835,G835)*1000000*((227.5/250)+0.95)</f>
        <v>-117741103.61459999</v>
      </c>
      <c r="V835">
        <f t="shared" ref="V835:V898" si="327">MIN(C835,H835)*1000000*((142.5/250)+0.85)</f>
        <v>-135118500.24219999</v>
      </c>
      <c r="W835">
        <f t="shared" ref="W835:W898" si="328">MIN(C835,I835)*1000000*((142.5/250)+0.8)</f>
        <v>-173998327.14770001</v>
      </c>
      <c r="X835">
        <f t="shared" ref="X835:X898" si="329">MIN(C835,J835)*1000000*((117.5/250)+0.75)</f>
        <v>-193807105.27219999</v>
      </c>
      <c r="Z835">
        <f t="shared" ref="Z835:Z898" si="330">MIN(C835,D835)*1000000*((370/250)+1.4)</f>
        <v>1159894.0512000001</v>
      </c>
      <c r="AA835">
        <f t="shared" ref="AA835:AA898" si="331">MIN(C835,F835)*1000000*((330/250)+1.3)</f>
        <v>-82397595.1822</v>
      </c>
      <c r="AB835">
        <f t="shared" ref="AB835:AB898" si="332">MIN(C835,G835)*1000000*((260/250)+1.2)</f>
        <v>-141795737.68640003</v>
      </c>
      <c r="AC835">
        <f t="shared" ref="AC835:AC898" si="333">MIN(C835,H835)*1000000*((215/250)+1.1)</f>
        <v>-186501591.8836</v>
      </c>
      <c r="AD835">
        <f t="shared" ref="AD835:AD898" si="334">MIN(C835,I835)*1000000*((180/250)+1.1)</f>
        <v>-231151062.34219998</v>
      </c>
      <c r="AE835">
        <f t="shared" ref="AE835:AE898" si="335">MIN(C835,J835)*1000000*((145/250)+1)</f>
        <v>-250996087.15579998</v>
      </c>
    </row>
    <row r="836" spans="1:31" x14ac:dyDescent="0.25">
      <c r="A836">
        <v>43.547668350000002</v>
      </c>
      <c r="B836">
        <v>120.5978284</v>
      </c>
      <c r="C836">
        <v>1.24208367</v>
      </c>
      <c r="D836">
        <v>0.67676800000000004</v>
      </c>
      <c r="E836" t="b">
        <f t="shared" si="312"/>
        <v>0</v>
      </c>
      <c r="F836">
        <f t="shared" si="313"/>
        <v>-5.5336503499999994</v>
      </c>
      <c r="G836">
        <f t="shared" si="314"/>
        <v>-11.7440687</v>
      </c>
      <c r="H836">
        <f t="shared" si="315"/>
        <v>-17.954487050000001</v>
      </c>
      <c r="I836">
        <f t="shared" si="316"/>
        <v>-24.164905399999999</v>
      </c>
      <c r="J836">
        <f t="shared" si="317"/>
        <v>-30.37532375</v>
      </c>
      <c r="L836">
        <f t="shared" si="318"/>
        <v>1367071.36</v>
      </c>
      <c r="M836">
        <f t="shared" si="319"/>
        <v>-9517878.602</v>
      </c>
      <c r="N836">
        <f t="shared" si="320"/>
        <v>-17381221.675999999</v>
      </c>
      <c r="O836">
        <f t="shared" si="321"/>
        <v>-20109025.496000003</v>
      </c>
      <c r="P836">
        <f t="shared" si="322"/>
        <v>-22231712.967999998</v>
      </c>
      <c r="Q836">
        <f t="shared" si="323"/>
        <v>-26122778.425000001</v>
      </c>
      <c r="S836">
        <f t="shared" si="324"/>
        <v>1658081.6</v>
      </c>
      <c r="T836">
        <f t="shared" si="325"/>
        <v>-25484629.078999996</v>
      </c>
      <c r="U836">
        <f t="shared" si="326"/>
        <v>-21843967.781999998</v>
      </c>
      <c r="V836">
        <f t="shared" si="327"/>
        <v>-25495371.611000001</v>
      </c>
      <c r="W836">
        <f t="shared" si="328"/>
        <v>-33105920.398000002</v>
      </c>
      <c r="X836">
        <f t="shared" si="329"/>
        <v>-37057894.975000001</v>
      </c>
      <c r="Z836">
        <f t="shared" si="330"/>
        <v>1949091.8399999999</v>
      </c>
      <c r="AA836">
        <f t="shared" si="331"/>
        <v>-14498163.916999999</v>
      </c>
      <c r="AB836">
        <f t="shared" si="332"/>
        <v>-26306713.888</v>
      </c>
      <c r="AC836">
        <f t="shared" si="333"/>
        <v>-35190794.618000001</v>
      </c>
      <c r="AD836">
        <f t="shared" si="334"/>
        <v>-43980127.828000002</v>
      </c>
      <c r="AE836">
        <f t="shared" si="335"/>
        <v>-47993011.524999999</v>
      </c>
    </row>
    <row r="837" spans="1:31" x14ac:dyDescent="0.25">
      <c r="A837">
        <v>43.561503770000002</v>
      </c>
      <c r="B837">
        <v>125.49045150000001</v>
      </c>
      <c r="C837">
        <v>0</v>
      </c>
      <c r="D837">
        <v>3.6600000000000001E-3</v>
      </c>
      <c r="E837" t="b">
        <f t="shared" si="312"/>
        <v>1</v>
      </c>
      <c r="F837">
        <f t="shared" si="313"/>
        <v>3.6600000000000001E-3</v>
      </c>
      <c r="G837">
        <f t="shared" si="314"/>
        <v>3.6600000000000001E-3</v>
      </c>
      <c r="H837">
        <f t="shared" si="315"/>
        <v>3.6600000000000001E-3</v>
      </c>
      <c r="I837">
        <f t="shared" si="316"/>
        <v>3.6600000000000001E-3</v>
      </c>
      <c r="J837">
        <f t="shared" si="317"/>
        <v>3.6600000000000001E-3</v>
      </c>
      <c r="L837">
        <f t="shared" si="318"/>
        <v>0</v>
      </c>
      <c r="M837">
        <f t="shared" si="319"/>
        <v>0</v>
      </c>
      <c r="N837">
        <f t="shared" si="320"/>
        <v>0</v>
      </c>
      <c r="O837">
        <f t="shared" si="321"/>
        <v>0</v>
      </c>
      <c r="P837">
        <f t="shared" si="322"/>
        <v>0</v>
      </c>
      <c r="Q837">
        <f t="shared" si="323"/>
        <v>0</v>
      </c>
      <c r="S837">
        <f t="shared" si="324"/>
        <v>0</v>
      </c>
      <c r="T837">
        <f t="shared" si="325"/>
        <v>0</v>
      </c>
      <c r="U837">
        <f t="shared" si="326"/>
        <v>0</v>
      </c>
      <c r="V837">
        <f t="shared" si="327"/>
        <v>0</v>
      </c>
      <c r="W837">
        <f t="shared" si="328"/>
        <v>0</v>
      </c>
      <c r="X837">
        <f t="shared" si="329"/>
        <v>0</v>
      </c>
      <c r="Z837">
        <f t="shared" si="330"/>
        <v>0</v>
      </c>
      <c r="AA837">
        <f t="shared" si="331"/>
        <v>0</v>
      </c>
      <c r="AB837">
        <f t="shared" si="332"/>
        <v>0</v>
      </c>
      <c r="AC837">
        <f t="shared" si="333"/>
        <v>0</v>
      </c>
      <c r="AD837">
        <f t="shared" si="334"/>
        <v>0</v>
      </c>
      <c r="AE837">
        <f t="shared" si="335"/>
        <v>0</v>
      </c>
    </row>
    <row r="838" spans="1:31" x14ac:dyDescent="0.25">
      <c r="A838">
        <v>43.63233134</v>
      </c>
      <c r="B838">
        <v>125.63809809999999</v>
      </c>
      <c r="C838">
        <v>0</v>
      </c>
      <c r="D838">
        <v>3.88001204</v>
      </c>
      <c r="E838" t="b">
        <f t="shared" si="312"/>
        <v>1</v>
      </c>
      <c r="F838">
        <f t="shared" si="313"/>
        <v>3.88001204</v>
      </c>
      <c r="G838">
        <f t="shared" si="314"/>
        <v>3.88001204</v>
      </c>
      <c r="H838">
        <f t="shared" si="315"/>
        <v>3.88001204</v>
      </c>
      <c r="I838">
        <f t="shared" si="316"/>
        <v>3.88001204</v>
      </c>
      <c r="J838">
        <f t="shared" si="317"/>
        <v>3.88001204</v>
      </c>
      <c r="L838">
        <f t="shared" si="318"/>
        <v>0</v>
      </c>
      <c r="M838">
        <f t="shared" si="319"/>
        <v>0</v>
      </c>
      <c r="N838">
        <f t="shared" si="320"/>
        <v>0</v>
      </c>
      <c r="O838">
        <f t="shared" si="321"/>
        <v>0</v>
      </c>
      <c r="P838">
        <f t="shared" si="322"/>
        <v>0</v>
      </c>
      <c r="Q838">
        <f t="shared" si="323"/>
        <v>0</v>
      </c>
      <c r="S838">
        <f t="shared" si="324"/>
        <v>0</v>
      </c>
      <c r="T838">
        <f t="shared" si="325"/>
        <v>0</v>
      </c>
      <c r="U838">
        <f t="shared" si="326"/>
        <v>0</v>
      </c>
      <c r="V838">
        <f t="shared" si="327"/>
        <v>0</v>
      </c>
      <c r="W838">
        <f t="shared" si="328"/>
        <v>0</v>
      </c>
      <c r="X838">
        <f t="shared" si="329"/>
        <v>0</v>
      </c>
      <c r="Z838">
        <f t="shared" si="330"/>
        <v>0</v>
      </c>
      <c r="AA838">
        <f t="shared" si="331"/>
        <v>0</v>
      </c>
      <c r="AB838">
        <f t="shared" si="332"/>
        <v>0</v>
      </c>
      <c r="AC838">
        <f t="shared" si="333"/>
        <v>0</v>
      </c>
      <c r="AD838">
        <f t="shared" si="334"/>
        <v>0</v>
      </c>
      <c r="AE838">
        <f t="shared" si="335"/>
        <v>0</v>
      </c>
    </row>
    <row r="839" spans="1:31" x14ac:dyDescent="0.25">
      <c r="A839">
        <v>43.667678950000003</v>
      </c>
      <c r="B839">
        <v>125.7120329</v>
      </c>
      <c r="C839">
        <v>0</v>
      </c>
      <c r="D839">
        <v>5.0410000000000003E-3</v>
      </c>
      <c r="E839" t="b">
        <f t="shared" si="312"/>
        <v>1</v>
      </c>
      <c r="F839">
        <f t="shared" si="313"/>
        <v>5.0410000000000003E-3</v>
      </c>
      <c r="G839">
        <f t="shared" si="314"/>
        <v>5.0410000000000003E-3</v>
      </c>
      <c r="H839">
        <f t="shared" si="315"/>
        <v>5.0410000000000003E-3</v>
      </c>
      <c r="I839">
        <f t="shared" si="316"/>
        <v>5.0410000000000003E-3</v>
      </c>
      <c r="J839">
        <f t="shared" si="317"/>
        <v>5.0410000000000003E-3</v>
      </c>
      <c r="L839">
        <f t="shared" si="318"/>
        <v>0</v>
      </c>
      <c r="M839">
        <f t="shared" si="319"/>
        <v>0</v>
      </c>
      <c r="N839">
        <f t="shared" si="320"/>
        <v>0</v>
      </c>
      <c r="O839">
        <f t="shared" si="321"/>
        <v>0</v>
      </c>
      <c r="P839">
        <f t="shared" si="322"/>
        <v>0</v>
      </c>
      <c r="Q839">
        <f t="shared" si="323"/>
        <v>0</v>
      </c>
      <c r="S839">
        <f t="shared" si="324"/>
        <v>0</v>
      </c>
      <c r="T839">
        <f t="shared" si="325"/>
        <v>0</v>
      </c>
      <c r="U839">
        <f t="shared" si="326"/>
        <v>0</v>
      </c>
      <c r="V839">
        <f t="shared" si="327"/>
        <v>0</v>
      </c>
      <c r="W839">
        <f t="shared" si="328"/>
        <v>0</v>
      </c>
      <c r="X839">
        <f t="shared" si="329"/>
        <v>0</v>
      </c>
      <c r="Z839">
        <f t="shared" si="330"/>
        <v>0</v>
      </c>
      <c r="AA839">
        <f t="shared" si="331"/>
        <v>0</v>
      </c>
      <c r="AB839">
        <f t="shared" si="332"/>
        <v>0</v>
      </c>
      <c r="AC839">
        <f t="shared" si="333"/>
        <v>0</v>
      </c>
      <c r="AD839">
        <f t="shared" si="334"/>
        <v>0</v>
      </c>
      <c r="AE839">
        <f t="shared" si="335"/>
        <v>0</v>
      </c>
    </row>
    <row r="840" spans="1:31" x14ac:dyDescent="0.25">
      <c r="A840">
        <v>43.71367438</v>
      </c>
      <c r="B840">
        <v>120.7593359</v>
      </c>
      <c r="C840">
        <v>1.24208367</v>
      </c>
      <c r="D840">
        <v>5.5021271699999996</v>
      </c>
      <c r="E840" t="b">
        <f t="shared" si="312"/>
        <v>1</v>
      </c>
      <c r="F840">
        <f t="shared" si="313"/>
        <v>-0.7082911799999998</v>
      </c>
      <c r="G840">
        <f t="shared" si="314"/>
        <v>-6.9187095299999992</v>
      </c>
      <c r="H840">
        <f t="shared" si="315"/>
        <v>-13.12912788</v>
      </c>
      <c r="I840">
        <f t="shared" si="316"/>
        <v>-19.339546229999996</v>
      </c>
      <c r="J840">
        <f t="shared" si="317"/>
        <v>-25.549964580000001</v>
      </c>
      <c r="L840">
        <f t="shared" si="318"/>
        <v>2509009.0134000001</v>
      </c>
      <c r="M840">
        <f t="shared" si="319"/>
        <v>-1218260.8295999998</v>
      </c>
      <c r="N840">
        <f t="shared" si="320"/>
        <v>-10239690.1044</v>
      </c>
      <c r="O840">
        <f t="shared" si="321"/>
        <v>-14704623.225600002</v>
      </c>
      <c r="P840">
        <f t="shared" si="322"/>
        <v>-17792382.531599995</v>
      </c>
      <c r="Q840">
        <f t="shared" si="323"/>
        <v>-21972969.538800001</v>
      </c>
      <c r="S840">
        <f t="shared" si="324"/>
        <v>3043104.9915</v>
      </c>
      <c r="T840">
        <f t="shared" si="325"/>
        <v>-15013599.680099998</v>
      </c>
      <c r="U840">
        <f t="shared" si="326"/>
        <v>-12868799.725799998</v>
      </c>
      <c r="V840">
        <f t="shared" si="327"/>
        <v>-18643361.589600001</v>
      </c>
      <c r="W840">
        <f t="shared" si="328"/>
        <v>-26495178.335099999</v>
      </c>
      <c r="X840">
        <f t="shared" si="329"/>
        <v>-31170956.787600003</v>
      </c>
      <c r="Z840">
        <f t="shared" si="330"/>
        <v>3577200.9695999995</v>
      </c>
      <c r="AA840">
        <f t="shared" si="331"/>
        <v>-1855722.8915999995</v>
      </c>
      <c r="AB840">
        <f t="shared" si="332"/>
        <v>-15497909.347200001</v>
      </c>
      <c r="AC840">
        <f t="shared" si="333"/>
        <v>-25733090.6448</v>
      </c>
      <c r="AD840">
        <f t="shared" si="334"/>
        <v>-35197974.138599992</v>
      </c>
      <c r="AE840">
        <f t="shared" si="335"/>
        <v>-40368944.036400005</v>
      </c>
    </row>
    <row r="841" spans="1:31" x14ac:dyDescent="0.25">
      <c r="A841">
        <v>43.738241539999997</v>
      </c>
      <c r="B841">
        <v>125.8601254</v>
      </c>
      <c r="C841">
        <v>0</v>
      </c>
      <c r="D841">
        <v>2.1957890999999998</v>
      </c>
      <c r="E841" t="b">
        <f t="shared" si="312"/>
        <v>1</v>
      </c>
      <c r="F841">
        <f t="shared" si="313"/>
        <v>2.1957890999999998</v>
      </c>
      <c r="G841">
        <f t="shared" si="314"/>
        <v>2.1957890999999998</v>
      </c>
      <c r="H841">
        <f t="shared" si="315"/>
        <v>2.1957890999999998</v>
      </c>
      <c r="I841">
        <f t="shared" si="316"/>
        <v>2.1957890999999998</v>
      </c>
      <c r="J841">
        <f t="shared" si="317"/>
        <v>2.1957890999999998</v>
      </c>
      <c r="L841">
        <f t="shared" si="318"/>
        <v>0</v>
      </c>
      <c r="M841">
        <f t="shared" si="319"/>
        <v>0</v>
      </c>
      <c r="N841">
        <f t="shared" si="320"/>
        <v>0</v>
      </c>
      <c r="O841">
        <f t="shared" si="321"/>
        <v>0</v>
      </c>
      <c r="P841">
        <f t="shared" si="322"/>
        <v>0</v>
      </c>
      <c r="Q841">
        <f t="shared" si="323"/>
        <v>0</v>
      </c>
      <c r="S841">
        <f t="shared" si="324"/>
        <v>0</v>
      </c>
      <c r="T841">
        <f t="shared" si="325"/>
        <v>0</v>
      </c>
      <c r="U841">
        <f t="shared" si="326"/>
        <v>0</v>
      </c>
      <c r="V841">
        <f t="shared" si="327"/>
        <v>0</v>
      </c>
      <c r="W841">
        <f t="shared" si="328"/>
        <v>0</v>
      </c>
      <c r="X841">
        <f t="shared" si="329"/>
        <v>0</v>
      </c>
      <c r="Z841">
        <f t="shared" si="330"/>
        <v>0</v>
      </c>
      <c r="AA841">
        <f t="shared" si="331"/>
        <v>0</v>
      </c>
      <c r="AB841">
        <f t="shared" si="332"/>
        <v>0</v>
      </c>
      <c r="AC841">
        <f t="shared" si="333"/>
        <v>0</v>
      </c>
      <c r="AD841">
        <f t="shared" si="334"/>
        <v>0</v>
      </c>
      <c r="AE841">
        <f t="shared" si="335"/>
        <v>0</v>
      </c>
    </row>
    <row r="842" spans="1:31" x14ac:dyDescent="0.25">
      <c r="A842">
        <v>43.783813690000002</v>
      </c>
      <c r="B842">
        <v>124.593784</v>
      </c>
      <c r="C842">
        <v>0.30014151</v>
      </c>
      <c r="D842">
        <v>1.09819102</v>
      </c>
      <c r="E842" t="b">
        <f t="shared" si="312"/>
        <v>1</v>
      </c>
      <c r="F842">
        <f t="shared" si="313"/>
        <v>-0.40251652999999998</v>
      </c>
      <c r="G842">
        <f t="shared" si="314"/>
        <v>-1.90322408</v>
      </c>
      <c r="H842">
        <f t="shared" si="315"/>
        <v>-3.4039316300000007</v>
      </c>
      <c r="I842">
        <f t="shared" si="316"/>
        <v>-4.9046391800000002</v>
      </c>
      <c r="J842">
        <f t="shared" si="317"/>
        <v>-6.4053467299999998</v>
      </c>
      <c r="L842">
        <f t="shared" si="318"/>
        <v>606285.85019999999</v>
      </c>
      <c r="M842">
        <f t="shared" si="319"/>
        <v>-692328.43160000001</v>
      </c>
      <c r="N842">
        <f t="shared" si="320"/>
        <v>-2816771.6384000001</v>
      </c>
      <c r="O842">
        <f t="shared" si="321"/>
        <v>-3812403.4256000011</v>
      </c>
      <c r="P842">
        <f t="shared" si="322"/>
        <v>-4512268.0455999998</v>
      </c>
      <c r="Q842">
        <f t="shared" si="323"/>
        <v>-5508598.1877999995</v>
      </c>
      <c r="S842">
        <f t="shared" si="324"/>
        <v>735346.6995000001</v>
      </c>
      <c r="T842">
        <f t="shared" si="325"/>
        <v>-4129996.2535999999</v>
      </c>
      <c r="U842">
        <f t="shared" si="326"/>
        <v>-3539996.7887999997</v>
      </c>
      <c r="V842">
        <f t="shared" si="327"/>
        <v>-4833582.9146000007</v>
      </c>
      <c r="W842">
        <f t="shared" si="328"/>
        <v>-6719355.6766000018</v>
      </c>
      <c r="X842">
        <f t="shared" si="329"/>
        <v>-7814523.0105999997</v>
      </c>
      <c r="Z842">
        <f t="shared" si="330"/>
        <v>864407.54879999999</v>
      </c>
      <c r="AA842">
        <f t="shared" si="331"/>
        <v>-1054593.3085999999</v>
      </c>
      <c r="AB842">
        <f t="shared" si="332"/>
        <v>-4263221.9392000008</v>
      </c>
      <c r="AC842">
        <f t="shared" si="333"/>
        <v>-6671705.9948000014</v>
      </c>
      <c r="AD842">
        <f t="shared" si="334"/>
        <v>-8926443.3076000009</v>
      </c>
      <c r="AE842">
        <f t="shared" si="335"/>
        <v>-10120447.8334</v>
      </c>
    </row>
    <row r="843" spans="1:31" x14ac:dyDescent="0.25">
      <c r="A843">
        <v>43.792467969999997</v>
      </c>
      <c r="B843">
        <v>124.53221480000001</v>
      </c>
      <c r="C843">
        <v>0.30014151</v>
      </c>
      <c r="D843">
        <v>2.9620139600000002</v>
      </c>
      <c r="E843" t="b">
        <f t="shared" si="312"/>
        <v>1</v>
      </c>
      <c r="F843">
        <f t="shared" si="313"/>
        <v>1.4613064100000002</v>
      </c>
      <c r="G843">
        <f t="shared" si="314"/>
        <v>-3.9401139999999835E-2</v>
      </c>
      <c r="H843">
        <f t="shared" si="315"/>
        <v>-1.5401086900000003</v>
      </c>
      <c r="I843">
        <f t="shared" si="316"/>
        <v>-3.0408162399999998</v>
      </c>
      <c r="J843">
        <f t="shared" si="317"/>
        <v>-4.5415237899999994</v>
      </c>
      <c r="L843">
        <f t="shared" si="318"/>
        <v>606285.85019999999</v>
      </c>
      <c r="M843">
        <f t="shared" si="319"/>
        <v>516243.39720000006</v>
      </c>
      <c r="N843">
        <f t="shared" si="320"/>
        <v>-58313.687199999753</v>
      </c>
      <c r="O843">
        <f t="shared" si="321"/>
        <v>-1724921.7328000003</v>
      </c>
      <c r="P843">
        <f t="shared" si="322"/>
        <v>-2797550.9407999995</v>
      </c>
      <c r="Q843">
        <f t="shared" si="323"/>
        <v>-3905710.4593999991</v>
      </c>
      <c r="S843">
        <f t="shared" si="324"/>
        <v>735346.6995000001</v>
      </c>
      <c r="T843">
        <f t="shared" si="325"/>
        <v>-85500.473799999629</v>
      </c>
      <c r="U843">
        <f t="shared" si="326"/>
        <v>-73286.12039999968</v>
      </c>
      <c r="V843">
        <f t="shared" si="327"/>
        <v>-2186954.3398000002</v>
      </c>
      <c r="W843">
        <f t="shared" si="328"/>
        <v>-4165918.2488000002</v>
      </c>
      <c r="X843">
        <f t="shared" si="329"/>
        <v>-5540659.0237999987</v>
      </c>
      <c r="Z843">
        <f t="shared" si="330"/>
        <v>864407.54879999999</v>
      </c>
      <c r="AA843">
        <f t="shared" si="331"/>
        <v>786370.75620000006</v>
      </c>
      <c r="AB843">
        <f t="shared" si="332"/>
        <v>-88258.553599999635</v>
      </c>
      <c r="AC843">
        <f t="shared" si="333"/>
        <v>-3018613.0324000004</v>
      </c>
      <c r="AD843">
        <f t="shared" si="334"/>
        <v>-5534285.5567999994</v>
      </c>
      <c r="AE843">
        <f t="shared" si="335"/>
        <v>-7175607.5881999992</v>
      </c>
    </row>
    <row r="844" spans="1:31" x14ac:dyDescent="0.25">
      <c r="A844">
        <v>43.801093690000002</v>
      </c>
      <c r="B844">
        <v>124.4706304</v>
      </c>
      <c r="C844">
        <v>0.30014151</v>
      </c>
      <c r="D844">
        <v>4.74019718</v>
      </c>
      <c r="E844" t="b">
        <f t="shared" si="312"/>
        <v>1</v>
      </c>
      <c r="F844">
        <f t="shared" si="313"/>
        <v>3.23948963</v>
      </c>
      <c r="G844">
        <f t="shared" si="314"/>
        <v>1.73878208</v>
      </c>
      <c r="H844">
        <f t="shared" si="315"/>
        <v>0.23807452999999956</v>
      </c>
      <c r="I844">
        <f t="shared" si="316"/>
        <v>-1.26263302</v>
      </c>
      <c r="J844">
        <f t="shared" si="317"/>
        <v>-2.7633405699999996</v>
      </c>
      <c r="L844">
        <f t="shared" si="318"/>
        <v>606285.85019999999</v>
      </c>
      <c r="M844">
        <f t="shared" si="319"/>
        <v>516243.39720000006</v>
      </c>
      <c r="N844">
        <f t="shared" si="320"/>
        <v>444209.43479999999</v>
      </c>
      <c r="O844">
        <f t="shared" si="321"/>
        <v>266643.47359999956</v>
      </c>
      <c r="P844">
        <f t="shared" si="322"/>
        <v>-1161622.3783999998</v>
      </c>
      <c r="Q844">
        <f t="shared" si="323"/>
        <v>-2376472.8901999993</v>
      </c>
      <c r="S844">
        <f t="shared" si="324"/>
        <v>735346.6995000001</v>
      </c>
      <c r="T844">
        <f t="shared" si="325"/>
        <v>651307.07669999998</v>
      </c>
      <c r="U844">
        <f t="shared" si="326"/>
        <v>558263.20860000001</v>
      </c>
      <c r="V844">
        <f t="shared" si="327"/>
        <v>338065.83259999938</v>
      </c>
      <c r="W844">
        <f t="shared" si="328"/>
        <v>-1729807.2374000002</v>
      </c>
      <c r="X844">
        <f t="shared" si="329"/>
        <v>-3371275.495399999</v>
      </c>
      <c r="Z844">
        <f t="shared" si="330"/>
        <v>864407.54879999999</v>
      </c>
      <c r="AA844">
        <f t="shared" si="331"/>
        <v>786370.75620000006</v>
      </c>
      <c r="AB844">
        <f t="shared" si="332"/>
        <v>672316.9824000001</v>
      </c>
      <c r="AC844">
        <f t="shared" si="333"/>
        <v>466626.07879999914</v>
      </c>
      <c r="AD844">
        <f t="shared" si="334"/>
        <v>-2297992.0964000002</v>
      </c>
      <c r="AE844">
        <f t="shared" si="335"/>
        <v>-4366078.1005999995</v>
      </c>
    </row>
    <row r="845" spans="1:31" x14ac:dyDescent="0.25">
      <c r="A845">
        <v>43.843793759999997</v>
      </c>
      <c r="B845">
        <v>124.1624825</v>
      </c>
      <c r="C845">
        <v>0.30014151</v>
      </c>
      <c r="D845">
        <v>3.5052399599999999</v>
      </c>
      <c r="E845" t="b">
        <f t="shared" si="312"/>
        <v>1</v>
      </c>
      <c r="F845">
        <f t="shared" si="313"/>
        <v>2.0045324099999999</v>
      </c>
      <c r="G845">
        <f t="shared" si="314"/>
        <v>0.50382485999999993</v>
      </c>
      <c r="H845">
        <f t="shared" si="315"/>
        <v>-0.99688269000000052</v>
      </c>
      <c r="I845">
        <f t="shared" si="316"/>
        <v>-2.4975902400000001</v>
      </c>
      <c r="J845">
        <f t="shared" si="317"/>
        <v>-3.9982977899999996</v>
      </c>
      <c r="L845">
        <f t="shared" si="318"/>
        <v>606285.85019999999</v>
      </c>
      <c r="M845">
        <f t="shared" si="319"/>
        <v>516243.39720000006</v>
      </c>
      <c r="N845">
        <f t="shared" si="320"/>
        <v>444209.43479999999</v>
      </c>
      <c r="O845">
        <f t="shared" si="321"/>
        <v>-1116508.6128000007</v>
      </c>
      <c r="P845">
        <f t="shared" si="322"/>
        <v>-2297783.0208000001</v>
      </c>
      <c r="Q845">
        <f t="shared" si="323"/>
        <v>-3438536.0993999997</v>
      </c>
      <c r="S845">
        <f t="shared" si="324"/>
        <v>735346.6995000001</v>
      </c>
      <c r="T845">
        <f t="shared" si="325"/>
        <v>651307.07669999998</v>
      </c>
      <c r="U845">
        <f t="shared" si="326"/>
        <v>558263.20860000001</v>
      </c>
      <c r="V845">
        <f t="shared" si="327"/>
        <v>-1415573.4198000007</v>
      </c>
      <c r="W845">
        <f t="shared" si="328"/>
        <v>-3421698.6288000005</v>
      </c>
      <c r="X845">
        <f t="shared" si="329"/>
        <v>-4877923.3037999989</v>
      </c>
      <c r="Z845">
        <f t="shared" si="330"/>
        <v>864407.54879999999</v>
      </c>
      <c r="AA845">
        <f t="shared" si="331"/>
        <v>786370.75620000006</v>
      </c>
      <c r="AB845">
        <f t="shared" si="332"/>
        <v>672316.9824000001</v>
      </c>
      <c r="AC845">
        <f t="shared" si="333"/>
        <v>-1953890.0724000011</v>
      </c>
      <c r="AD845">
        <f t="shared" si="334"/>
        <v>-4545614.236800001</v>
      </c>
      <c r="AE845">
        <f t="shared" si="335"/>
        <v>-6317310.5082</v>
      </c>
    </row>
    <row r="846" spans="1:31" x14ac:dyDescent="0.25">
      <c r="A846">
        <v>43.844202150000001</v>
      </c>
      <c r="B846">
        <v>121.2317297</v>
      </c>
      <c r="C846">
        <v>0.26926291000000002</v>
      </c>
      <c r="D846">
        <v>0.33158200999999998</v>
      </c>
      <c r="E846" t="b">
        <f t="shared" si="312"/>
        <v>1</v>
      </c>
      <c r="F846">
        <f t="shared" si="313"/>
        <v>-1.0147325400000002</v>
      </c>
      <c r="G846">
        <f t="shared" si="314"/>
        <v>-2.3610470900000005</v>
      </c>
      <c r="H846">
        <f t="shared" si="315"/>
        <v>-3.7073616400000002</v>
      </c>
      <c r="I846">
        <f t="shared" si="316"/>
        <v>-5.0536761900000009</v>
      </c>
      <c r="J846">
        <f t="shared" si="317"/>
        <v>-6.3999907400000007</v>
      </c>
      <c r="L846">
        <f t="shared" si="318"/>
        <v>543911.07820000011</v>
      </c>
      <c r="M846">
        <f t="shared" si="319"/>
        <v>-1745339.9688000006</v>
      </c>
      <c r="N846">
        <f t="shared" si="320"/>
        <v>-3494349.6932000006</v>
      </c>
      <c r="O846">
        <f t="shared" si="321"/>
        <v>-4152245.0368000004</v>
      </c>
      <c r="P846">
        <f t="shared" si="322"/>
        <v>-4649382.094800001</v>
      </c>
      <c r="Q846">
        <f t="shared" si="323"/>
        <v>-5503992.0364000006</v>
      </c>
      <c r="S846">
        <f t="shared" si="324"/>
        <v>659694.12950000016</v>
      </c>
      <c r="T846">
        <f t="shared" si="325"/>
        <v>-5123472.1853000009</v>
      </c>
      <c r="U846">
        <f t="shared" si="326"/>
        <v>-4391547.5874000005</v>
      </c>
      <c r="V846">
        <f t="shared" si="327"/>
        <v>-5264453.5287999995</v>
      </c>
      <c r="W846">
        <f t="shared" si="328"/>
        <v>-6923536.3803000022</v>
      </c>
      <c r="X846">
        <f t="shared" si="329"/>
        <v>-7807988.7028000001</v>
      </c>
      <c r="Z846">
        <f t="shared" si="330"/>
        <v>775477.18080000009</v>
      </c>
      <c r="AA846">
        <f t="shared" si="331"/>
        <v>-2658599.2548000007</v>
      </c>
      <c r="AB846">
        <f t="shared" si="332"/>
        <v>-5288745.4816000015</v>
      </c>
      <c r="AC846">
        <f t="shared" si="333"/>
        <v>-7266428.8144000005</v>
      </c>
      <c r="AD846">
        <f t="shared" si="334"/>
        <v>-9197690.6658000033</v>
      </c>
      <c r="AE846">
        <f t="shared" si="335"/>
        <v>-10111985.369200001</v>
      </c>
    </row>
    <row r="847" spans="1:31" x14ac:dyDescent="0.25">
      <c r="A847">
        <v>43.854302089999997</v>
      </c>
      <c r="B847">
        <v>124.4208904</v>
      </c>
      <c r="C847">
        <v>0.30014151</v>
      </c>
      <c r="D847">
        <v>1.9081999999999998E-2</v>
      </c>
      <c r="E847" t="b">
        <f t="shared" si="312"/>
        <v>0</v>
      </c>
      <c r="F847">
        <f t="shared" si="313"/>
        <v>-1.48162555</v>
      </c>
      <c r="G847">
        <f t="shared" si="314"/>
        <v>-2.9823331</v>
      </c>
      <c r="H847">
        <f t="shared" si="315"/>
        <v>-4.4830406500000004</v>
      </c>
      <c r="I847">
        <f t="shared" si="316"/>
        <v>-5.9837482</v>
      </c>
      <c r="J847">
        <f t="shared" si="317"/>
        <v>-7.4844557499999995</v>
      </c>
      <c r="L847">
        <f t="shared" si="318"/>
        <v>38545.64</v>
      </c>
      <c r="M847">
        <f t="shared" si="319"/>
        <v>-2548395.9460000005</v>
      </c>
      <c r="N847">
        <f t="shared" si="320"/>
        <v>-4413852.9879999999</v>
      </c>
      <c r="O847">
        <f t="shared" si="321"/>
        <v>-5021005.5280000009</v>
      </c>
      <c r="P847">
        <f t="shared" si="322"/>
        <v>-5505048.3439999996</v>
      </c>
      <c r="Q847">
        <f t="shared" si="323"/>
        <v>-6436631.9449999994</v>
      </c>
      <c r="S847">
        <f t="shared" si="324"/>
        <v>46750.9</v>
      </c>
      <c r="T847">
        <f t="shared" si="325"/>
        <v>-6471662.8269999996</v>
      </c>
      <c r="U847">
        <f t="shared" si="326"/>
        <v>-5547139.5659999996</v>
      </c>
      <c r="V847">
        <f t="shared" si="327"/>
        <v>-6365917.7230000002</v>
      </c>
      <c r="W847">
        <f t="shared" si="328"/>
        <v>-8197735.0340000009</v>
      </c>
      <c r="X847">
        <f t="shared" si="329"/>
        <v>-9131036.0149999987</v>
      </c>
      <c r="Z847">
        <f t="shared" si="330"/>
        <v>54956.159999999996</v>
      </c>
      <c r="AA847">
        <f t="shared" si="331"/>
        <v>-3881858.9410000001</v>
      </c>
      <c r="AB847">
        <f t="shared" si="332"/>
        <v>-6680426.1440000013</v>
      </c>
      <c r="AC847">
        <f t="shared" si="333"/>
        <v>-8786759.6740000006</v>
      </c>
      <c r="AD847">
        <f t="shared" si="334"/>
        <v>-10890421.724000001</v>
      </c>
      <c r="AE847">
        <f t="shared" si="335"/>
        <v>-11825440.084999999</v>
      </c>
    </row>
    <row r="848" spans="1:31" x14ac:dyDescent="0.25">
      <c r="A848">
        <v>43.858933749999998</v>
      </c>
      <c r="B848">
        <v>86.639677750000004</v>
      </c>
      <c r="C848">
        <v>1.1536998700000001</v>
      </c>
      <c r="D848">
        <v>0.51573597999999998</v>
      </c>
      <c r="E848" t="b">
        <f t="shared" si="312"/>
        <v>0</v>
      </c>
      <c r="F848">
        <f t="shared" si="313"/>
        <v>-5.2527633700000012</v>
      </c>
      <c r="G848">
        <f t="shared" si="314"/>
        <v>-11.021262720000001</v>
      </c>
      <c r="H848">
        <f t="shared" si="315"/>
        <v>-16.789762070000002</v>
      </c>
      <c r="I848">
        <f t="shared" si="316"/>
        <v>-22.558261420000004</v>
      </c>
      <c r="J848">
        <f t="shared" si="317"/>
        <v>-28.326760770000003</v>
      </c>
      <c r="L848">
        <f t="shared" si="318"/>
        <v>1041786.6795999999</v>
      </c>
      <c r="M848">
        <f t="shared" si="319"/>
        <v>-9034752.9964000024</v>
      </c>
      <c r="N848">
        <f t="shared" si="320"/>
        <v>-16311468.8256</v>
      </c>
      <c r="O848">
        <f t="shared" si="321"/>
        <v>-18804533.518400002</v>
      </c>
      <c r="P848">
        <f t="shared" si="322"/>
        <v>-20753600.506400004</v>
      </c>
      <c r="Q848">
        <f t="shared" si="323"/>
        <v>-24361014.262200002</v>
      </c>
      <c r="S848">
        <f t="shared" si="324"/>
        <v>1263553.1510000001</v>
      </c>
      <c r="T848">
        <f t="shared" si="325"/>
        <v>-23916140.102400001</v>
      </c>
      <c r="U848">
        <f t="shared" si="326"/>
        <v>-20499548.659200002</v>
      </c>
      <c r="V848">
        <f t="shared" si="327"/>
        <v>-23841462.139399998</v>
      </c>
      <c r="W848">
        <f t="shared" si="328"/>
        <v>-30904818.14540001</v>
      </c>
      <c r="X848">
        <f t="shared" si="329"/>
        <v>-34558648.139400005</v>
      </c>
      <c r="Z848">
        <f t="shared" si="330"/>
        <v>1485319.6224</v>
      </c>
      <c r="AA848">
        <f t="shared" si="331"/>
        <v>-13762240.029400004</v>
      </c>
      <c r="AB848">
        <f t="shared" si="332"/>
        <v>-24687628.492800005</v>
      </c>
      <c r="AC848">
        <f t="shared" si="333"/>
        <v>-32907933.657200001</v>
      </c>
      <c r="AD848">
        <f t="shared" si="334"/>
        <v>-41056035.784400009</v>
      </c>
      <c r="AE848">
        <f t="shared" si="335"/>
        <v>-44756282.016600005</v>
      </c>
    </row>
    <row r="849" spans="1:31" x14ac:dyDescent="0.25">
      <c r="A849">
        <v>43.881666250000002</v>
      </c>
      <c r="B849">
        <v>124.55609990000001</v>
      </c>
      <c r="C849">
        <v>0.30014151</v>
      </c>
      <c r="D849">
        <v>0.96980703000000001</v>
      </c>
      <c r="E849" t="b">
        <f t="shared" si="312"/>
        <v>1</v>
      </c>
      <c r="F849">
        <f t="shared" si="313"/>
        <v>-0.53090051999999999</v>
      </c>
      <c r="G849">
        <f t="shared" si="314"/>
        <v>-2.0316080699999999</v>
      </c>
      <c r="H849">
        <f t="shared" si="315"/>
        <v>-3.5323156200000003</v>
      </c>
      <c r="I849">
        <f t="shared" si="316"/>
        <v>-5.0330231699999999</v>
      </c>
      <c r="J849">
        <f t="shared" si="317"/>
        <v>-6.5337307199999994</v>
      </c>
      <c r="L849">
        <f t="shared" si="318"/>
        <v>606285.85019999999</v>
      </c>
      <c r="M849">
        <f t="shared" si="319"/>
        <v>-913148.89440000011</v>
      </c>
      <c r="N849">
        <f t="shared" si="320"/>
        <v>-3006779.9435999999</v>
      </c>
      <c r="O849">
        <f t="shared" si="321"/>
        <v>-3956193.4944000007</v>
      </c>
      <c r="P849">
        <f t="shared" si="322"/>
        <v>-4630381.3163999999</v>
      </c>
      <c r="Q849">
        <f t="shared" si="323"/>
        <v>-5619008.4191999994</v>
      </c>
      <c r="S849">
        <f t="shared" si="324"/>
        <v>735346.6995000001</v>
      </c>
      <c r="T849">
        <f t="shared" si="325"/>
        <v>-4408589.5118999993</v>
      </c>
      <c r="U849">
        <f t="shared" si="326"/>
        <v>-3778791.0101999994</v>
      </c>
      <c r="V849">
        <f t="shared" si="327"/>
        <v>-5015888.1804</v>
      </c>
      <c r="W849">
        <f t="shared" si="328"/>
        <v>-6895241.7429000009</v>
      </c>
      <c r="X849">
        <f t="shared" si="329"/>
        <v>-7971151.4783999994</v>
      </c>
      <c r="Z849">
        <f t="shared" si="330"/>
        <v>864407.54879999999</v>
      </c>
      <c r="AA849">
        <f t="shared" si="331"/>
        <v>-1390959.3624000002</v>
      </c>
      <c r="AB849">
        <f t="shared" si="332"/>
        <v>-4550802.0767999999</v>
      </c>
      <c r="AC849">
        <f t="shared" si="333"/>
        <v>-6923338.6151999999</v>
      </c>
      <c r="AD849">
        <f t="shared" si="334"/>
        <v>-9160102.1694000009</v>
      </c>
      <c r="AE849">
        <f t="shared" si="335"/>
        <v>-10323294.537599999</v>
      </c>
    </row>
    <row r="850" spans="1:31" x14ac:dyDescent="0.25">
      <c r="A850">
        <v>43.919624300000002</v>
      </c>
      <c r="B850">
        <v>121.3755304</v>
      </c>
      <c r="C850">
        <v>0.26926291000000002</v>
      </c>
      <c r="D850">
        <v>0.88668000999999996</v>
      </c>
      <c r="E850" t="b">
        <f t="shared" si="312"/>
        <v>1</v>
      </c>
      <c r="F850">
        <f t="shared" si="313"/>
        <v>-0.45963454000000026</v>
      </c>
      <c r="G850">
        <f t="shared" si="314"/>
        <v>-1.8059490900000004</v>
      </c>
      <c r="H850">
        <f t="shared" si="315"/>
        <v>-3.1522636400000001</v>
      </c>
      <c r="I850">
        <f t="shared" si="316"/>
        <v>-4.4985781900000008</v>
      </c>
      <c r="J850">
        <f t="shared" si="317"/>
        <v>-5.8448927400000006</v>
      </c>
      <c r="L850">
        <f t="shared" si="318"/>
        <v>543911.07820000011</v>
      </c>
      <c r="M850">
        <f t="shared" si="319"/>
        <v>-790571.40880000056</v>
      </c>
      <c r="N850">
        <f t="shared" si="320"/>
        <v>-2672804.6532000005</v>
      </c>
      <c r="O850">
        <f t="shared" si="321"/>
        <v>-3530535.2768000006</v>
      </c>
      <c r="P850">
        <f t="shared" si="322"/>
        <v>-4138691.9347999999</v>
      </c>
      <c r="Q850">
        <f t="shared" si="323"/>
        <v>-5026607.7564000003</v>
      </c>
      <c r="S850">
        <f t="shared" si="324"/>
        <v>659694.12950000016</v>
      </c>
      <c r="T850">
        <f t="shared" si="325"/>
        <v>-3918909.5253000003</v>
      </c>
      <c r="U850">
        <f t="shared" si="326"/>
        <v>-3359065.3074000003</v>
      </c>
      <c r="V850">
        <f t="shared" si="327"/>
        <v>-4476214.3688000003</v>
      </c>
      <c r="W850">
        <f t="shared" si="328"/>
        <v>-6163052.1203000015</v>
      </c>
      <c r="X850">
        <f t="shared" si="329"/>
        <v>-7130769.1428000005</v>
      </c>
      <c r="Z850">
        <f t="shared" si="330"/>
        <v>775477.18080000009</v>
      </c>
      <c r="AA850">
        <f t="shared" si="331"/>
        <v>-1204242.4948000007</v>
      </c>
      <c r="AB850">
        <f t="shared" si="332"/>
        <v>-4045325.961600001</v>
      </c>
      <c r="AC850">
        <f t="shared" si="333"/>
        <v>-6178436.7344000004</v>
      </c>
      <c r="AD850">
        <f t="shared" si="334"/>
        <v>-8187412.3058000011</v>
      </c>
      <c r="AE850">
        <f t="shared" si="335"/>
        <v>-9234930.5292000007</v>
      </c>
    </row>
    <row r="851" spans="1:31" x14ac:dyDescent="0.25">
      <c r="A851">
        <v>44.00553996</v>
      </c>
      <c r="B851">
        <v>116.7593581</v>
      </c>
      <c r="C851">
        <v>6.8444890999999997</v>
      </c>
      <c r="D851">
        <v>8.6077000000000001E-2</v>
      </c>
      <c r="E851" t="b">
        <f t="shared" si="312"/>
        <v>0</v>
      </c>
      <c r="F851">
        <f t="shared" si="313"/>
        <v>-34.136368499999996</v>
      </c>
      <c r="G851">
        <f t="shared" si="314"/>
        <v>-68.358813999999995</v>
      </c>
      <c r="H851">
        <f t="shared" si="315"/>
        <v>-102.58125949999999</v>
      </c>
      <c r="I851">
        <f t="shared" si="316"/>
        <v>-136.80370500000001</v>
      </c>
      <c r="J851">
        <f t="shared" si="317"/>
        <v>-171.0261505</v>
      </c>
      <c r="L851">
        <f t="shared" si="318"/>
        <v>173875.54</v>
      </c>
      <c r="M851">
        <f t="shared" si="319"/>
        <v>-58714553.819999993</v>
      </c>
      <c r="N851">
        <f t="shared" si="320"/>
        <v>-101171044.72</v>
      </c>
      <c r="O851">
        <f t="shared" si="321"/>
        <v>-114891010.64</v>
      </c>
      <c r="P851">
        <f t="shared" si="322"/>
        <v>-125859408.59999999</v>
      </c>
      <c r="Q851">
        <f t="shared" si="323"/>
        <v>-147082489.43000001</v>
      </c>
      <c r="S851">
        <f t="shared" si="324"/>
        <v>210888.65000000002</v>
      </c>
      <c r="T851">
        <f t="shared" si="325"/>
        <v>-148338626.38</v>
      </c>
      <c r="U851">
        <f t="shared" si="326"/>
        <v>-127147394.03999999</v>
      </c>
      <c r="V851">
        <f t="shared" si="327"/>
        <v>-145665388.48999998</v>
      </c>
      <c r="W851">
        <f t="shared" si="328"/>
        <v>-187421075.85000002</v>
      </c>
      <c r="X851">
        <f t="shared" si="329"/>
        <v>-208651903.60999998</v>
      </c>
      <c r="Z851">
        <f t="shared" si="330"/>
        <v>247901.75999999998</v>
      </c>
      <c r="AA851">
        <f t="shared" si="331"/>
        <v>-89437285.469999984</v>
      </c>
      <c r="AB851">
        <f t="shared" si="332"/>
        <v>-153123743.36000001</v>
      </c>
      <c r="AC851">
        <f t="shared" si="333"/>
        <v>-201059268.61999997</v>
      </c>
      <c r="AD851">
        <f t="shared" si="334"/>
        <v>-248982743.09999999</v>
      </c>
      <c r="AE851">
        <f t="shared" si="335"/>
        <v>-270221317.79000002</v>
      </c>
    </row>
    <row r="852" spans="1:31" x14ac:dyDescent="0.25">
      <c r="A852">
        <v>44.078221569999997</v>
      </c>
      <c r="B852">
        <v>87.861687259999997</v>
      </c>
      <c r="C852">
        <v>0.57684994000000001</v>
      </c>
      <c r="D852">
        <v>0.24584900000000001</v>
      </c>
      <c r="E852" t="b">
        <f t="shared" si="312"/>
        <v>0</v>
      </c>
      <c r="F852">
        <f t="shared" si="313"/>
        <v>-2.6384006999999996</v>
      </c>
      <c r="G852">
        <f t="shared" si="314"/>
        <v>-5.5226503999999998</v>
      </c>
      <c r="H852">
        <f t="shared" si="315"/>
        <v>-8.4069000999999997</v>
      </c>
      <c r="I852">
        <f t="shared" si="316"/>
        <v>-11.291149799999999</v>
      </c>
      <c r="J852">
        <f t="shared" si="317"/>
        <v>-14.175399500000001</v>
      </c>
      <c r="L852">
        <f t="shared" si="318"/>
        <v>496614.98</v>
      </c>
      <c r="M852">
        <f t="shared" si="319"/>
        <v>-4538049.2039999999</v>
      </c>
      <c r="N852">
        <f t="shared" si="320"/>
        <v>-8173522.5919999992</v>
      </c>
      <c r="O852">
        <f t="shared" si="321"/>
        <v>-9415728.1119999997</v>
      </c>
      <c r="P852">
        <f t="shared" si="322"/>
        <v>-10387857.815999998</v>
      </c>
      <c r="Q852">
        <f t="shared" si="323"/>
        <v>-12190843.570000002</v>
      </c>
      <c r="S852">
        <f t="shared" si="324"/>
        <v>602330.05000000005</v>
      </c>
      <c r="T852">
        <f t="shared" si="325"/>
        <v>-11984151.367999999</v>
      </c>
      <c r="U852">
        <f t="shared" si="326"/>
        <v>-10272129.743999999</v>
      </c>
      <c r="V852">
        <f t="shared" si="327"/>
        <v>-11937798.141999999</v>
      </c>
      <c r="W852">
        <f t="shared" si="328"/>
        <v>-15468875.226</v>
      </c>
      <c r="X852">
        <f t="shared" si="329"/>
        <v>-17293987.390000001</v>
      </c>
      <c r="Z852">
        <f t="shared" si="330"/>
        <v>708045.12</v>
      </c>
      <c r="AA852">
        <f t="shared" si="331"/>
        <v>-6912609.8339999998</v>
      </c>
      <c r="AB852">
        <f t="shared" si="332"/>
        <v>-12370736.896</v>
      </c>
      <c r="AC852">
        <f t="shared" si="333"/>
        <v>-16477524.195999999</v>
      </c>
      <c r="AD852">
        <f t="shared" si="334"/>
        <v>-20549892.636</v>
      </c>
      <c r="AE852">
        <f t="shared" si="335"/>
        <v>-22397131.210000005</v>
      </c>
    </row>
    <row r="853" spans="1:31" x14ac:dyDescent="0.25">
      <c r="A853">
        <v>44.094809570000002</v>
      </c>
      <c r="B853">
        <v>116.2028961</v>
      </c>
      <c r="C853">
        <v>6.8444890999999997</v>
      </c>
      <c r="D853">
        <v>0.14443099000000001</v>
      </c>
      <c r="E853" t="b">
        <f t="shared" si="312"/>
        <v>0</v>
      </c>
      <c r="F853">
        <f t="shared" si="313"/>
        <v>-34.078014510000003</v>
      </c>
      <c r="G853">
        <f t="shared" si="314"/>
        <v>-68.300460009999995</v>
      </c>
      <c r="H853">
        <f t="shared" si="315"/>
        <v>-102.52290550999999</v>
      </c>
      <c r="I853">
        <f t="shared" si="316"/>
        <v>-136.74535101000001</v>
      </c>
      <c r="J853">
        <f t="shared" si="317"/>
        <v>-170.96779651</v>
      </c>
      <c r="L853">
        <f t="shared" si="318"/>
        <v>291750.59980000003</v>
      </c>
      <c r="M853">
        <f t="shared" si="319"/>
        <v>-58614184.957200013</v>
      </c>
      <c r="N853">
        <f t="shared" si="320"/>
        <v>-101084680.81479998</v>
      </c>
      <c r="O853">
        <f t="shared" si="321"/>
        <v>-114825654.17120001</v>
      </c>
      <c r="P853">
        <f t="shared" si="322"/>
        <v>-125805722.92920001</v>
      </c>
      <c r="Q853">
        <f t="shared" si="323"/>
        <v>-147032304.99859998</v>
      </c>
      <c r="S853">
        <f t="shared" si="324"/>
        <v>353855.92550000007</v>
      </c>
      <c r="T853">
        <f t="shared" si="325"/>
        <v>-148211998.22169998</v>
      </c>
      <c r="U853">
        <f t="shared" si="326"/>
        <v>-127038855.61859998</v>
      </c>
      <c r="V853">
        <f t="shared" si="327"/>
        <v>-145582525.82419997</v>
      </c>
      <c r="W853">
        <f t="shared" si="328"/>
        <v>-187341130.88370004</v>
      </c>
      <c r="X853">
        <f t="shared" si="329"/>
        <v>-208580711.74219999</v>
      </c>
      <c r="Z853">
        <f t="shared" si="330"/>
        <v>415961.25120000006</v>
      </c>
      <c r="AA853">
        <f t="shared" si="331"/>
        <v>-89284398.016200021</v>
      </c>
      <c r="AB853">
        <f t="shared" si="332"/>
        <v>-152993030.4224</v>
      </c>
      <c r="AC853">
        <f t="shared" si="333"/>
        <v>-200944894.79959998</v>
      </c>
      <c r="AD853">
        <f t="shared" si="334"/>
        <v>-248876538.83820003</v>
      </c>
      <c r="AE853">
        <f t="shared" si="335"/>
        <v>-270129118.48579997</v>
      </c>
    </row>
    <row r="854" spans="1:31" x14ac:dyDescent="0.25">
      <c r="A854">
        <v>44.098680109999997</v>
      </c>
      <c r="B854">
        <v>86.379403190000005</v>
      </c>
      <c r="C854">
        <v>1.1536998700000001</v>
      </c>
      <c r="D854">
        <v>5.8879990600000003</v>
      </c>
      <c r="E854" t="b">
        <f t="shared" si="312"/>
        <v>1</v>
      </c>
      <c r="F854">
        <f t="shared" si="313"/>
        <v>0.11949970999999948</v>
      </c>
      <c r="G854">
        <f t="shared" si="314"/>
        <v>-5.6489996400000013</v>
      </c>
      <c r="H854">
        <f t="shared" si="315"/>
        <v>-11.41749899</v>
      </c>
      <c r="I854">
        <f t="shared" si="316"/>
        <v>-17.185998340000005</v>
      </c>
      <c r="J854">
        <f t="shared" si="317"/>
        <v>-22.954497690000004</v>
      </c>
      <c r="L854">
        <f t="shared" si="318"/>
        <v>2330473.7374000004</v>
      </c>
      <c r="M854">
        <f t="shared" si="319"/>
        <v>205539.50119999913</v>
      </c>
      <c r="N854">
        <f t="shared" si="320"/>
        <v>-8360519.4672000017</v>
      </c>
      <c r="O854">
        <f t="shared" si="321"/>
        <v>-12787598.868800001</v>
      </c>
      <c r="P854">
        <f t="shared" si="322"/>
        <v>-15811118.472800002</v>
      </c>
      <c r="Q854">
        <f t="shared" si="323"/>
        <v>-19740868.013400003</v>
      </c>
      <c r="S854">
        <f t="shared" si="324"/>
        <v>2826564.6815000004</v>
      </c>
      <c r="T854">
        <f t="shared" si="325"/>
        <v>-12258329.218800003</v>
      </c>
      <c r="U854">
        <f t="shared" si="326"/>
        <v>-10507139.330400001</v>
      </c>
      <c r="V854">
        <f t="shared" si="327"/>
        <v>-16212848.5658</v>
      </c>
      <c r="W854">
        <f t="shared" si="328"/>
        <v>-23544817.725800008</v>
      </c>
      <c r="X854">
        <f t="shared" si="329"/>
        <v>-28004487.181800004</v>
      </c>
      <c r="Z854">
        <f t="shared" si="330"/>
        <v>3322655.6256000004</v>
      </c>
      <c r="AA854">
        <f t="shared" si="331"/>
        <v>313089.24019999866</v>
      </c>
      <c r="AB854">
        <f t="shared" si="332"/>
        <v>-12653759.193600005</v>
      </c>
      <c r="AC854">
        <f t="shared" si="333"/>
        <v>-22378298.020399999</v>
      </c>
      <c r="AD854">
        <f t="shared" si="334"/>
        <v>-31278516.978800006</v>
      </c>
      <c r="AE854">
        <f t="shared" si="335"/>
        <v>-36268106.350200012</v>
      </c>
    </row>
    <row r="855" spans="1:31" x14ac:dyDescent="0.25">
      <c r="A855">
        <v>44.108479469999999</v>
      </c>
      <c r="B855">
        <v>88.430553840000002</v>
      </c>
      <c r="C855">
        <v>0.99019259000000004</v>
      </c>
      <c r="D855">
        <v>0.60714900000000005</v>
      </c>
      <c r="E855" t="b">
        <f t="shared" si="312"/>
        <v>0</v>
      </c>
      <c r="F855">
        <f t="shared" si="313"/>
        <v>-4.3438139500000004</v>
      </c>
      <c r="G855">
        <f t="shared" si="314"/>
        <v>-9.2947769000000005</v>
      </c>
      <c r="H855">
        <f t="shared" si="315"/>
        <v>-14.245739850000001</v>
      </c>
      <c r="I855">
        <f t="shared" si="316"/>
        <v>-19.196702800000001</v>
      </c>
      <c r="J855">
        <f t="shared" si="317"/>
        <v>-24.147665750000002</v>
      </c>
      <c r="L855">
        <f t="shared" si="318"/>
        <v>1226440.98</v>
      </c>
      <c r="M855">
        <f t="shared" si="319"/>
        <v>-7471359.9940000009</v>
      </c>
      <c r="N855">
        <f t="shared" si="320"/>
        <v>-13756269.812000001</v>
      </c>
      <c r="O855">
        <f t="shared" si="321"/>
        <v>-15955228.632000003</v>
      </c>
      <c r="P855">
        <f t="shared" si="322"/>
        <v>-17660966.575999998</v>
      </c>
      <c r="Q855">
        <f t="shared" si="323"/>
        <v>-20766992.544999998</v>
      </c>
      <c r="S855">
        <f t="shared" si="324"/>
        <v>1487515.05</v>
      </c>
      <c r="T855">
        <f t="shared" si="325"/>
        <v>-20169665.873</v>
      </c>
      <c r="U855">
        <f t="shared" si="326"/>
        <v>-17288285.033999998</v>
      </c>
      <c r="V855">
        <f t="shared" si="327"/>
        <v>-20228950.587000001</v>
      </c>
      <c r="W855">
        <f t="shared" si="328"/>
        <v>-26299482.836000003</v>
      </c>
      <c r="X855">
        <f t="shared" si="329"/>
        <v>-29460152.215</v>
      </c>
      <c r="Z855">
        <f t="shared" si="330"/>
        <v>1748589.1199999999</v>
      </c>
      <c r="AA855">
        <f t="shared" si="331"/>
        <v>-11380792.549000001</v>
      </c>
      <c r="AB855">
        <f t="shared" si="332"/>
        <v>-20820300.256000001</v>
      </c>
      <c r="AC855">
        <f t="shared" si="333"/>
        <v>-27921650.106000002</v>
      </c>
      <c r="AD855">
        <f t="shared" si="334"/>
        <v>-34937999.096000001</v>
      </c>
      <c r="AE855">
        <f t="shared" si="335"/>
        <v>-38153311.885000005</v>
      </c>
    </row>
    <row r="856" spans="1:31" x14ac:dyDescent="0.25">
      <c r="A856">
        <v>44.123084720000001</v>
      </c>
      <c r="B856">
        <v>89.259099410000005</v>
      </c>
      <c r="C856">
        <v>4.0650010099999996</v>
      </c>
      <c r="D856">
        <v>4.7651238400000002</v>
      </c>
      <c r="E856" t="b">
        <f t="shared" si="312"/>
        <v>1</v>
      </c>
      <c r="F856">
        <f t="shared" si="313"/>
        <v>-15.559881209999997</v>
      </c>
      <c r="G856">
        <f t="shared" si="314"/>
        <v>-35.884886259999995</v>
      </c>
      <c r="H856">
        <f t="shared" si="315"/>
        <v>-56.209891309999989</v>
      </c>
      <c r="I856">
        <f t="shared" si="316"/>
        <v>-76.534896359999991</v>
      </c>
      <c r="J856">
        <f t="shared" si="317"/>
        <v>-96.859901409999992</v>
      </c>
      <c r="L856">
        <f t="shared" si="318"/>
        <v>8211302.0401999997</v>
      </c>
      <c r="M856">
        <f t="shared" si="319"/>
        <v>-26762995.681199998</v>
      </c>
      <c r="N856">
        <f t="shared" si="320"/>
        <v>-53109631.664799996</v>
      </c>
      <c r="O856">
        <f t="shared" si="321"/>
        <v>-62955078.267199993</v>
      </c>
      <c r="P856">
        <f t="shared" si="322"/>
        <v>-70412104.651199982</v>
      </c>
      <c r="Q856">
        <f t="shared" si="323"/>
        <v>-83299515.212599993</v>
      </c>
      <c r="S856">
        <f t="shared" si="324"/>
        <v>9959252.4745000005</v>
      </c>
      <c r="T856">
        <f t="shared" si="325"/>
        <v>-77870203.184199989</v>
      </c>
      <c r="U856">
        <f t="shared" si="326"/>
        <v>-66745888.443599992</v>
      </c>
      <c r="V856">
        <f t="shared" si="327"/>
        <v>-79818045.660199985</v>
      </c>
      <c r="W856">
        <f t="shared" si="328"/>
        <v>-104852808.01319999</v>
      </c>
      <c r="X856">
        <f t="shared" si="329"/>
        <v>-118169079.72019999</v>
      </c>
      <c r="Z856">
        <f t="shared" si="330"/>
        <v>11707202.908799998</v>
      </c>
      <c r="AA856">
        <f t="shared" si="331"/>
        <v>-40766888.770199992</v>
      </c>
      <c r="AB856">
        <f t="shared" si="332"/>
        <v>-80382145.22240001</v>
      </c>
      <c r="AC856">
        <f t="shared" si="333"/>
        <v>-110171386.96759997</v>
      </c>
      <c r="AD856">
        <f t="shared" si="334"/>
        <v>-139293511.37519997</v>
      </c>
      <c r="AE856">
        <f t="shared" si="335"/>
        <v>-153038644.22780001</v>
      </c>
    </row>
    <row r="857" spans="1:31" x14ac:dyDescent="0.25">
      <c r="A857">
        <v>44.180376420000002</v>
      </c>
      <c r="B857">
        <v>85.389232899999996</v>
      </c>
      <c r="C857">
        <v>0.72106236000000001</v>
      </c>
      <c r="D857">
        <v>1.8795649999999999</v>
      </c>
      <c r="E857" t="b">
        <f t="shared" si="312"/>
        <v>1</v>
      </c>
      <c r="F857">
        <f t="shared" si="313"/>
        <v>-1.7257468</v>
      </c>
      <c r="G857">
        <f t="shared" si="314"/>
        <v>-5.3310586000000004</v>
      </c>
      <c r="H857">
        <f t="shared" si="315"/>
        <v>-8.9363704000000013</v>
      </c>
      <c r="I857">
        <f t="shared" si="316"/>
        <v>-12.5416822</v>
      </c>
      <c r="J857">
        <f t="shared" si="317"/>
        <v>-16.146993999999999</v>
      </c>
      <c r="L857">
        <f t="shared" si="318"/>
        <v>1456545.9672000001</v>
      </c>
      <c r="M857">
        <f t="shared" si="319"/>
        <v>-2968284.4960000003</v>
      </c>
      <c r="N857">
        <f t="shared" si="320"/>
        <v>-7889966.7280000011</v>
      </c>
      <c r="O857">
        <f t="shared" si="321"/>
        <v>-10008734.848000001</v>
      </c>
      <c r="P857">
        <f t="shared" si="322"/>
        <v>-11538347.624</v>
      </c>
      <c r="Q857">
        <f t="shared" si="323"/>
        <v>-13886414.84</v>
      </c>
      <c r="S857">
        <f t="shared" si="324"/>
        <v>1766602.7820000001</v>
      </c>
      <c r="T857">
        <f t="shared" si="325"/>
        <v>-11568397.162</v>
      </c>
      <c r="U857">
        <f t="shared" si="326"/>
        <v>-9915768.9960000012</v>
      </c>
      <c r="V857">
        <f t="shared" si="327"/>
        <v>-12689645.968</v>
      </c>
      <c r="W857">
        <f t="shared" si="328"/>
        <v>-17182104.614000004</v>
      </c>
      <c r="X857">
        <f t="shared" si="329"/>
        <v>-19699332.68</v>
      </c>
      <c r="Z857">
        <f t="shared" si="330"/>
        <v>2076659.5967999999</v>
      </c>
      <c r="AA857">
        <f t="shared" si="331"/>
        <v>-4521456.6160000004</v>
      </c>
      <c r="AB857">
        <f t="shared" si="332"/>
        <v>-11941571.264000002</v>
      </c>
      <c r="AC857">
        <f t="shared" si="333"/>
        <v>-17515285.984000001</v>
      </c>
      <c r="AD857">
        <f t="shared" si="334"/>
        <v>-22825861.604000002</v>
      </c>
      <c r="AE857">
        <f t="shared" si="335"/>
        <v>-25512250.52</v>
      </c>
    </row>
    <row r="858" spans="1:31" x14ac:dyDescent="0.25">
      <c r="A858">
        <v>44.183477359999998</v>
      </c>
      <c r="B858">
        <v>114.25170679999999</v>
      </c>
      <c r="C858">
        <v>6.3704409599999998</v>
      </c>
      <c r="D858">
        <v>0.43200701000000002</v>
      </c>
      <c r="E858" t="b">
        <f t="shared" si="312"/>
        <v>0</v>
      </c>
      <c r="F858">
        <f t="shared" si="313"/>
        <v>-31.42019779</v>
      </c>
      <c r="G858">
        <f t="shared" si="314"/>
        <v>-63.272402589999999</v>
      </c>
      <c r="H858">
        <f t="shared" si="315"/>
        <v>-95.124607389999994</v>
      </c>
      <c r="I858">
        <f t="shared" si="316"/>
        <v>-126.97681218999999</v>
      </c>
      <c r="J858">
        <f t="shared" si="317"/>
        <v>-158.82901698999999</v>
      </c>
      <c r="L858">
        <f t="shared" si="318"/>
        <v>872654.16020000004</v>
      </c>
      <c r="M858">
        <f t="shared" si="319"/>
        <v>-54042740.198800005</v>
      </c>
      <c r="N858">
        <f t="shared" si="320"/>
        <v>-93643155.833199993</v>
      </c>
      <c r="O858">
        <f t="shared" si="321"/>
        <v>-106539560.27680001</v>
      </c>
      <c r="P858">
        <f t="shared" si="322"/>
        <v>-116818667.21479997</v>
      </c>
      <c r="Q858">
        <f t="shared" si="323"/>
        <v>-136592954.61139998</v>
      </c>
      <c r="S858">
        <f t="shared" si="324"/>
        <v>1058417.1745000002</v>
      </c>
      <c r="T858">
        <f t="shared" si="325"/>
        <v>-137301113.62029999</v>
      </c>
      <c r="U858">
        <f t="shared" si="326"/>
        <v>-117686668.81739998</v>
      </c>
      <c r="V858">
        <f t="shared" si="327"/>
        <v>-135076942.49379998</v>
      </c>
      <c r="W858">
        <f t="shared" si="328"/>
        <v>-173958232.70029998</v>
      </c>
      <c r="X858">
        <f t="shared" si="329"/>
        <v>-193771400.72779998</v>
      </c>
      <c r="Z858">
        <f t="shared" si="330"/>
        <v>1244180.1887999999</v>
      </c>
      <c r="AA858">
        <f t="shared" si="331"/>
        <v>-82320918.209800005</v>
      </c>
      <c r="AB858">
        <f t="shared" si="332"/>
        <v>-141730181.80160001</v>
      </c>
      <c r="AC858">
        <f t="shared" si="333"/>
        <v>-186444230.4844</v>
      </c>
      <c r="AD858">
        <f t="shared" si="334"/>
        <v>-231097798.18579999</v>
      </c>
      <c r="AE858">
        <f t="shared" si="335"/>
        <v>-250949846.84419999</v>
      </c>
    </row>
    <row r="859" spans="1:31" x14ac:dyDescent="0.25">
      <c r="A859">
        <v>44.185672109999999</v>
      </c>
      <c r="B859">
        <v>88.667336309999996</v>
      </c>
      <c r="C859">
        <v>0.99019259000000004</v>
      </c>
      <c r="D859">
        <v>2.80169201</v>
      </c>
      <c r="E859" t="b">
        <f t="shared" si="312"/>
        <v>1</v>
      </c>
      <c r="F859">
        <f t="shared" si="313"/>
        <v>-2.1492709400000001</v>
      </c>
      <c r="G859">
        <f t="shared" si="314"/>
        <v>-7.1002338900000002</v>
      </c>
      <c r="H859">
        <f t="shared" si="315"/>
        <v>-12.051196840000001</v>
      </c>
      <c r="I859">
        <f t="shared" si="316"/>
        <v>-17.00215979</v>
      </c>
      <c r="J859">
        <f t="shared" si="317"/>
        <v>-21.953122740000001</v>
      </c>
      <c r="L859">
        <f t="shared" si="318"/>
        <v>2000189.0318000002</v>
      </c>
      <c r="M859">
        <f t="shared" si="319"/>
        <v>-3696746.0168000003</v>
      </c>
      <c r="N859">
        <f t="shared" si="320"/>
        <v>-10508346.157200001</v>
      </c>
      <c r="O859">
        <f t="shared" si="321"/>
        <v>-13497340.460800003</v>
      </c>
      <c r="P859">
        <f t="shared" si="322"/>
        <v>-15641987.006799998</v>
      </c>
      <c r="Q859">
        <f t="shared" si="323"/>
        <v>-18879685.556400001</v>
      </c>
      <c r="S859">
        <f t="shared" si="324"/>
        <v>2425971.8455000003</v>
      </c>
      <c r="T859">
        <f t="shared" si="325"/>
        <v>-15407507.541300001</v>
      </c>
      <c r="U859">
        <f t="shared" si="326"/>
        <v>-13206435.035399999</v>
      </c>
      <c r="V859">
        <f t="shared" si="327"/>
        <v>-17112699.512800001</v>
      </c>
      <c r="W859">
        <f t="shared" si="328"/>
        <v>-23292958.912300002</v>
      </c>
      <c r="X859">
        <f t="shared" si="329"/>
        <v>-26782809.742800001</v>
      </c>
      <c r="Z859">
        <f t="shared" si="330"/>
        <v>2851754.6592000001</v>
      </c>
      <c r="AA859">
        <f t="shared" si="331"/>
        <v>-5631089.8628000002</v>
      </c>
      <c r="AB859">
        <f t="shared" si="332"/>
        <v>-15904523.913600003</v>
      </c>
      <c r="AC859">
        <f t="shared" si="333"/>
        <v>-23620345.806400005</v>
      </c>
      <c r="AD859">
        <f t="shared" si="334"/>
        <v>-30943930.8178</v>
      </c>
      <c r="AE859">
        <f t="shared" si="335"/>
        <v>-34685933.929200009</v>
      </c>
    </row>
    <row r="860" spans="1:31" x14ac:dyDescent="0.25">
      <c r="A860">
        <v>44.242405609999999</v>
      </c>
      <c r="B860">
        <v>88.396390510000003</v>
      </c>
      <c r="C860">
        <v>0.99019259000000004</v>
      </c>
      <c r="D860">
        <v>4.9582000000000001E-2</v>
      </c>
      <c r="E860" t="b">
        <f t="shared" si="312"/>
        <v>0</v>
      </c>
      <c r="F860">
        <f t="shared" si="313"/>
        <v>-4.9013809500000001</v>
      </c>
      <c r="G860">
        <f t="shared" si="314"/>
        <v>-9.852343900000001</v>
      </c>
      <c r="H860">
        <f t="shared" si="315"/>
        <v>-14.803306850000002</v>
      </c>
      <c r="I860">
        <f t="shared" si="316"/>
        <v>-19.754269799999999</v>
      </c>
      <c r="J860">
        <f t="shared" si="317"/>
        <v>-24.70523275</v>
      </c>
      <c r="L860">
        <f t="shared" si="318"/>
        <v>100155.64</v>
      </c>
      <c r="M860">
        <f t="shared" si="319"/>
        <v>-8430375.2340000011</v>
      </c>
      <c r="N860">
        <f t="shared" si="320"/>
        <v>-14581468.972000001</v>
      </c>
      <c r="O860">
        <f t="shared" si="321"/>
        <v>-16579703.672000004</v>
      </c>
      <c r="P860">
        <f t="shared" si="322"/>
        <v>-18173928.215999998</v>
      </c>
      <c r="Q860">
        <f t="shared" si="323"/>
        <v>-21246500.164999999</v>
      </c>
      <c r="S860">
        <f t="shared" si="324"/>
        <v>121475.90000000001</v>
      </c>
      <c r="T860">
        <f t="shared" si="325"/>
        <v>-21379586.263</v>
      </c>
      <c r="U860">
        <f t="shared" si="326"/>
        <v>-18325359.653999999</v>
      </c>
      <c r="V860">
        <f t="shared" si="327"/>
        <v>-21020695.727000002</v>
      </c>
      <c r="W860">
        <f t="shared" si="328"/>
        <v>-27063349.626000002</v>
      </c>
      <c r="X860">
        <f t="shared" si="329"/>
        <v>-30140383.954999998</v>
      </c>
      <c r="Z860">
        <f t="shared" si="330"/>
        <v>142796.16</v>
      </c>
      <c r="AA860">
        <f t="shared" si="331"/>
        <v>-12841618.089000002</v>
      </c>
      <c r="AB860">
        <f t="shared" si="332"/>
        <v>-22069250.336000003</v>
      </c>
      <c r="AC860">
        <f t="shared" si="333"/>
        <v>-29014481.426000003</v>
      </c>
      <c r="AD860">
        <f t="shared" si="334"/>
        <v>-35952771.036000006</v>
      </c>
      <c r="AE860">
        <f t="shared" si="335"/>
        <v>-39034267.745000005</v>
      </c>
    </row>
    <row r="861" spans="1:31" x14ac:dyDescent="0.25">
      <c r="A861">
        <v>44.257211079999998</v>
      </c>
      <c r="B861">
        <v>89.22652377</v>
      </c>
      <c r="C861">
        <v>4.0650010099999996</v>
      </c>
      <c r="D861">
        <v>7.7794241900000003</v>
      </c>
      <c r="E861" t="b">
        <f t="shared" si="312"/>
        <v>1</v>
      </c>
      <c r="F861">
        <f t="shared" si="313"/>
        <v>-12.545580859999998</v>
      </c>
      <c r="G861">
        <f t="shared" si="314"/>
        <v>-32.870585909999996</v>
      </c>
      <c r="H861">
        <f t="shared" si="315"/>
        <v>-53.19559095999999</v>
      </c>
      <c r="I861">
        <f t="shared" si="316"/>
        <v>-73.520596009999991</v>
      </c>
      <c r="J861">
        <f t="shared" si="317"/>
        <v>-93.845601059999993</v>
      </c>
      <c r="L861">
        <f t="shared" si="318"/>
        <v>8211302.0401999997</v>
      </c>
      <c r="M861">
        <f t="shared" si="319"/>
        <v>-21578399.0792</v>
      </c>
      <c r="N861">
        <f t="shared" si="320"/>
        <v>-48648467.146799996</v>
      </c>
      <c r="O861">
        <f t="shared" si="321"/>
        <v>-59579061.875199996</v>
      </c>
      <c r="P861">
        <f t="shared" si="322"/>
        <v>-67638948.329199985</v>
      </c>
      <c r="Q861">
        <f t="shared" si="323"/>
        <v>-80707216.911599994</v>
      </c>
      <c r="S861">
        <f t="shared" si="324"/>
        <v>9959252.4745000005</v>
      </c>
      <c r="T861">
        <f t="shared" si="325"/>
        <v>-71329171.424699992</v>
      </c>
      <c r="U861">
        <f t="shared" si="326"/>
        <v>-61139289.792599991</v>
      </c>
      <c r="V861">
        <f t="shared" si="327"/>
        <v>-75537739.163199991</v>
      </c>
      <c r="W861">
        <f t="shared" si="328"/>
        <v>-100723216.53369999</v>
      </c>
      <c r="X861">
        <f t="shared" si="329"/>
        <v>-114491633.29319999</v>
      </c>
      <c r="Z861">
        <f t="shared" si="330"/>
        <v>11707202.908799998</v>
      </c>
      <c r="AA861">
        <f t="shared" si="331"/>
        <v>-32869421.853199996</v>
      </c>
      <c r="AB861">
        <f t="shared" si="332"/>
        <v>-73630112.4384</v>
      </c>
      <c r="AC861">
        <f t="shared" si="333"/>
        <v>-104263358.28159998</v>
      </c>
      <c r="AD861">
        <f t="shared" si="334"/>
        <v>-133807484.73819999</v>
      </c>
      <c r="AE861">
        <f t="shared" si="335"/>
        <v>-148276049.67479998</v>
      </c>
    </row>
    <row r="862" spans="1:31" x14ac:dyDescent="0.25">
      <c r="A862">
        <v>44.280025479999999</v>
      </c>
      <c r="B862">
        <v>84.841987630000006</v>
      </c>
      <c r="C862">
        <v>9.2245469999999996E-2</v>
      </c>
      <c r="D862">
        <v>0.44358301</v>
      </c>
      <c r="E862" t="b">
        <f t="shared" si="312"/>
        <v>1</v>
      </c>
      <c r="F862">
        <f t="shared" si="313"/>
        <v>-1.7644339999999981E-2</v>
      </c>
      <c r="G862">
        <f t="shared" si="314"/>
        <v>-0.47887168999999996</v>
      </c>
      <c r="H862">
        <f t="shared" si="315"/>
        <v>-0.94009904</v>
      </c>
      <c r="I862">
        <f t="shared" si="316"/>
        <v>-1.4013263899999999</v>
      </c>
      <c r="J862">
        <f t="shared" si="317"/>
        <v>-1.8625537399999998</v>
      </c>
      <c r="L862">
        <f t="shared" si="318"/>
        <v>186335.84940000001</v>
      </c>
      <c r="M862">
        <f t="shared" si="319"/>
        <v>-30348.264799999972</v>
      </c>
      <c r="N862">
        <f t="shared" si="320"/>
        <v>-708730.10119999992</v>
      </c>
      <c r="O862">
        <f t="shared" si="321"/>
        <v>-1052910.9248000002</v>
      </c>
      <c r="P862">
        <f t="shared" si="322"/>
        <v>-1289220.2787999997</v>
      </c>
      <c r="Q862">
        <f t="shared" si="323"/>
        <v>-1601796.2163999998</v>
      </c>
      <c r="S862">
        <f t="shared" si="324"/>
        <v>226001.40150000001</v>
      </c>
      <c r="T862">
        <f t="shared" si="325"/>
        <v>-1039151.5672999999</v>
      </c>
      <c r="U862">
        <f t="shared" si="326"/>
        <v>-890701.34339999978</v>
      </c>
      <c r="V862">
        <f t="shared" si="327"/>
        <v>-1334940.6368</v>
      </c>
      <c r="W862">
        <f t="shared" si="328"/>
        <v>-1919817.1543000001</v>
      </c>
      <c r="X862">
        <f t="shared" si="329"/>
        <v>-2272315.5627999995</v>
      </c>
      <c r="Z862">
        <f t="shared" si="330"/>
        <v>265666.95360000001</v>
      </c>
      <c r="AA862">
        <f t="shared" si="331"/>
        <v>-46228.170799999956</v>
      </c>
      <c r="AB862">
        <f t="shared" si="332"/>
        <v>-1072672.5855999999</v>
      </c>
      <c r="AC862">
        <f t="shared" si="333"/>
        <v>-1842594.1184</v>
      </c>
      <c r="AD862">
        <f t="shared" si="334"/>
        <v>-2550414.0297999997</v>
      </c>
      <c r="AE862">
        <f t="shared" si="335"/>
        <v>-2942834.9091999996</v>
      </c>
    </row>
    <row r="863" spans="1:31" x14ac:dyDescent="0.25">
      <c r="A863">
        <v>44.28906096</v>
      </c>
      <c r="B863">
        <v>112.30044650000001</v>
      </c>
      <c r="C863">
        <v>6.3704409599999998</v>
      </c>
      <c r="D863">
        <v>1.4415719499999999</v>
      </c>
      <c r="E863" t="b">
        <f t="shared" si="312"/>
        <v>0</v>
      </c>
      <c r="F863">
        <f t="shared" si="313"/>
        <v>-30.410632849999999</v>
      </c>
      <c r="G863">
        <f t="shared" si="314"/>
        <v>-62.262837650000002</v>
      </c>
      <c r="H863">
        <f t="shared" si="315"/>
        <v>-94.115042450000004</v>
      </c>
      <c r="I863">
        <f t="shared" si="316"/>
        <v>-125.96724725</v>
      </c>
      <c r="J863">
        <f t="shared" si="317"/>
        <v>-157.81945205</v>
      </c>
      <c r="L863">
        <f t="shared" si="318"/>
        <v>2911975.3390000002</v>
      </c>
      <c r="M863">
        <f t="shared" si="319"/>
        <v>-52306288.502000004</v>
      </c>
      <c r="N863">
        <f t="shared" si="320"/>
        <v>-92148999.722000003</v>
      </c>
      <c r="O863">
        <f t="shared" si="321"/>
        <v>-105408847.54400001</v>
      </c>
      <c r="P863">
        <f t="shared" si="322"/>
        <v>-115889867.46999998</v>
      </c>
      <c r="Q863">
        <f t="shared" si="323"/>
        <v>-135724728.76299998</v>
      </c>
      <c r="S863">
        <f t="shared" si="324"/>
        <v>3531851.2775000003</v>
      </c>
      <c r="T863">
        <f t="shared" si="325"/>
        <v>-135110357.70049998</v>
      </c>
      <c r="U863">
        <f t="shared" si="326"/>
        <v>-115808878.02899998</v>
      </c>
      <c r="V863">
        <f t="shared" si="327"/>
        <v>-133643360.279</v>
      </c>
      <c r="W863">
        <f t="shared" si="328"/>
        <v>-172575128.73250002</v>
      </c>
      <c r="X863">
        <f t="shared" si="329"/>
        <v>-192539731.50099999</v>
      </c>
      <c r="Z863">
        <f t="shared" si="330"/>
        <v>4151727.2159999995</v>
      </c>
      <c r="AA863">
        <f t="shared" si="331"/>
        <v>-79675858.067000002</v>
      </c>
      <c r="AB863">
        <f t="shared" si="332"/>
        <v>-139468756.336</v>
      </c>
      <c r="AC863">
        <f t="shared" si="333"/>
        <v>-184465483.20199999</v>
      </c>
      <c r="AD863">
        <f t="shared" si="334"/>
        <v>-229260389.995</v>
      </c>
      <c r="AE863">
        <f t="shared" si="335"/>
        <v>-249354734.23899999</v>
      </c>
    </row>
    <row r="864" spans="1:31" x14ac:dyDescent="0.25">
      <c r="A864">
        <v>44.319629630000001</v>
      </c>
      <c r="B864">
        <v>88.633591010000004</v>
      </c>
      <c r="C864">
        <v>0.99019259000000004</v>
      </c>
      <c r="D864">
        <v>2.0048689799999999</v>
      </c>
      <c r="E864" t="b">
        <f t="shared" si="312"/>
        <v>1</v>
      </c>
      <c r="F864">
        <f t="shared" si="313"/>
        <v>-2.9460939700000002</v>
      </c>
      <c r="G864">
        <f t="shared" si="314"/>
        <v>-7.8970569200000007</v>
      </c>
      <c r="H864">
        <f t="shared" si="315"/>
        <v>-12.848019870000002</v>
      </c>
      <c r="I864">
        <f t="shared" si="316"/>
        <v>-17.798982819999999</v>
      </c>
      <c r="J864">
        <f t="shared" si="317"/>
        <v>-22.74994577</v>
      </c>
      <c r="L864">
        <f t="shared" si="318"/>
        <v>2000189.0318000002</v>
      </c>
      <c r="M864">
        <f t="shared" si="319"/>
        <v>-5067281.6284000007</v>
      </c>
      <c r="N864">
        <f t="shared" si="320"/>
        <v>-11687644.241600001</v>
      </c>
      <c r="O864">
        <f t="shared" si="321"/>
        <v>-14389782.254400002</v>
      </c>
      <c r="P864">
        <f t="shared" si="322"/>
        <v>-16375064.194399999</v>
      </c>
      <c r="Q864">
        <f t="shared" si="323"/>
        <v>-19564953.362199999</v>
      </c>
      <c r="S864">
        <f t="shared" si="324"/>
        <v>2425971.8455000003</v>
      </c>
      <c r="T864">
        <f t="shared" si="325"/>
        <v>-17136613.516400002</v>
      </c>
      <c r="U864">
        <f t="shared" si="326"/>
        <v>-14688525.871200001</v>
      </c>
      <c r="V864">
        <f t="shared" si="327"/>
        <v>-18244188.215399999</v>
      </c>
      <c r="W864">
        <f t="shared" si="328"/>
        <v>-24384606.463400003</v>
      </c>
      <c r="X864">
        <f t="shared" si="329"/>
        <v>-27754933.839399997</v>
      </c>
      <c r="Z864">
        <f t="shared" si="330"/>
        <v>2851754.6592000001</v>
      </c>
      <c r="AA864">
        <f t="shared" si="331"/>
        <v>-7718766.2014000006</v>
      </c>
      <c r="AB864">
        <f t="shared" si="332"/>
        <v>-17689407.500800002</v>
      </c>
      <c r="AC864">
        <f t="shared" si="333"/>
        <v>-25182118.9452</v>
      </c>
      <c r="AD864">
        <f t="shared" si="334"/>
        <v>-32394148.7324</v>
      </c>
      <c r="AE864">
        <f t="shared" si="335"/>
        <v>-35944914.316600002</v>
      </c>
    </row>
    <row r="865" spans="1:31" x14ac:dyDescent="0.25">
      <c r="A865">
        <v>44.335754029999997</v>
      </c>
      <c r="B865">
        <v>88.757986759999994</v>
      </c>
      <c r="C865">
        <v>4.0650010099999996</v>
      </c>
      <c r="D865">
        <v>3.2373490299999998</v>
      </c>
      <c r="E865" t="b">
        <f t="shared" si="312"/>
        <v>0</v>
      </c>
      <c r="F865">
        <f t="shared" si="313"/>
        <v>-17.087656019999997</v>
      </c>
      <c r="G865">
        <f t="shared" si="314"/>
        <v>-37.412661069999999</v>
      </c>
      <c r="H865">
        <f t="shared" si="315"/>
        <v>-57.737666119999993</v>
      </c>
      <c r="I865">
        <f t="shared" si="316"/>
        <v>-78.062671169999987</v>
      </c>
      <c r="J865">
        <f t="shared" si="317"/>
        <v>-98.387676219999989</v>
      </c>
      <c r="L865">
        <f t="shared" si="318"/>
        <v>6539445.0405999999</v>
      </c>
      <c r="M865">
        <f t="shared" si="319"/>
        <v>-29390768.354399998</v>
      </c>
      <c r="N865">
        <f t="shared" si="320"/>
        <v>-55370738.383599997</v>
      </c>
      <c r="O865">
        <f t="shared" si="321"/>
        <v>-64666186.054399997</v>
      </c>
      <c r="P865">
        <f t="shared" si="322"/>
        <v>-71817657.476399988</v>
      </c>
      <c r="Q865">
        <f t="shared" si="323"/>
        <v>-84613401.549199983</v>
      </c>
      <c r="S865">
        <f t="shared" si="324"/>
        <v>7931505.1234999998</v>
      </c>
      <c r="T865">
        <f t="shared" si="325"/>
        <v>-81185474.521899998</v>
      </c>
      <c r="U865">
        <f t="shared" si="326"/>
        <v>-69587549.590199992</v>
      </c>
      <c r="V865">
        <f t="shared" si="327"/>
        <v>-81987485.890399978</v>
      </c>
      <c r="W865">
        <f t="shared" si="328"/>
        <v>-106945859.50289999</v>
      </c>
      <c r="X865">
        <f t="shared" si="329"/>
        <v>-120032964.98839998</v>
      </c>
      <c r="Z865">
        <f t="shared" si="330"/>
        <v>9323565.2063999996</v>
      </c>
      <c r="AA865">
        <f t="shared" si="331"/>
        <v>-44769658.772399992</v>
      </c>
      <c r="AB865">
        <f t="shared" si="332"/>
        <v>-83804360.796800002</v>
      </c>
      <c r="AC865">
        <f t="shared" si="333"/>
        <v>-113165825.59519997</v>
      </c>
      <c r="AD865">
        <f t="shared" si="334"/>
        <v>-142074061.52939999</v>
      </c>
      <c r="AE865">
        <f t="shared" si="335"/>
        <v>-155452528.4276</v>
      </c>
    </row>
    <row r="866" spans="1:31" x14ac:dyDescent="0.25">
      <c r="A866">
        <v>44.416933999999998</v>
      </c>
      <c r="B866">
        <v>125.0233862</v>
      </c>
      <c r="C866">
        <v>14.23618984</v>
      </c>
      <c r="D866">
        <v>4.8970000000000003E-3</v>
      </c>
      <c r="E866" t="b">
        <f t="shared" si="312"/>
        <v>0</v>
      </c>
      <c r="F866">
        <f t="shared" si="313"/>
        <v>-71.176052200000001</v>
      </c>
      <c r="G866">
        <f t="shared" si="314"/>
        <v>-142.3570014</v>
      </c>
      <c r="H866">
        <f t="shared" si="315"/>
        <v>-213.53795059999999</v>
      </c>
      <c r="I866">
        <f t="shared" si="316"/>
        <v>-284.71889979999997</v>
      </c>
      <c r="J866">
        <f t="shared" si="317"/>
        <v>-355.89984899999996</v>
      </c>
      <c r="L866">
        <f t="shared" si="318"/>
        <v>9891.94</v>
      </c>
      <c r="M866">
        <f t="shared" si="319"/>
        <v>-122422809.78400002</v>
      </c>
      <c r="N866">
        <f t="shared" si="320"/>
        <v>-210688362.072</v>
      </c>
      <c r="O866">
        <f t="shared" si="321"/>
        <v>-239162504.67200002</v>
      </c>
      <c r="P866">
        <f t="shared" si="322"/>
        <v>-261941387.81599993</v>
      </c>
      <c r="Q866">
        <f t="shared" si="323"/>
        <v>-306073870.13999993</v>
      </c>
      <c r="S866">
        <f t="shared" si="324"/>
        <v>11997.650000000001</v>
      </c>
      <c r="T866">
        <f t="shared" si="325"/>
        <v>-308914693.03799999</v>
      </c>
      <c r="U866">
        <f t="shared" si="326"/>
        <v>-264784022.604</v>
      </c>
      <c r="V866">
        <f t="shared" si="327"/>
        <v>-303223889.852</v>
      </c>
      <c r="W866">
        <f t="shared" si="328"/>
        <v>-390064892.72599995</v>
      </c>
      <c r="X866">
        <f t="shared" si="329"/>
        <v>-434197815.77999991</v>
      </c>
      <c r="Z866">
        <f t="shared" si="330"/>
        <v>14103.359999999999</v>
      </c>
      <c r="AA866">
        <f t="shared" si="331"/>
        <v>-186481256.76400003</v>
      </c>
      <c r="AB866">
        <f t="shared" si="332"/>
        <v>-318879683.13600004</v>
      </c>
      <c r="AC866">
        <f t="shared" si="333"/>
        <v>-418534383.176</v>
      </c>
      <c r="AD866">
        <f t="shared" si="334"/>
        <v>-518188397.63599992</v>
      </c>
      <c r="AE866">
        <f t="shared" si="335"/>
        <v>-562321761.41999996</v>
      </c>
    </row>
    <row r="867" spans="1:31" x14ac:dyDescent="0.25">
      <c r="A867">
        <v>44.514306560000001</v>
      </c>
      <c r="B867">
        <v>88.713100159999996</v>
      </c>
      <c r="C867">
        <v>0.99019259000000004</v>
      </c>
      <c r="D867">
        <v>4.4148359299999997</v>
      </c>
      <c r="E867" t="b">
        <f t="shared" si="312"/>
        <v>1</v>
      </c>
      <c r="F867">
        <f t="shared" si="313"/>
        <v>-0.53612702000000034</v>
      </c>
      <c r="G867">
        <f t="shared" si="314"/>
        <v>-5.4870899700000004</v>
      </c>
      <c r="H867">
        <f t="shared" si="315"/>
        <v>-10.438052920000001</v>
      </c>
      <c r="I867">
        <f t="shared" si="316"/>
        <v>-15.389015870000001</v>
      </c>
      <c r="J867">
        <f t="shared" si="317"/>
        <v>-20.339978820000002</v>
      </c>
      <c r="L867">
        <f t="shared" si="318"/>
        <v>2000189.0318000002</v>
      </c>
      <c r="M867">
        <f t="shared" si="319"/>
        <v>-922138.47440000076</v>
      </c>
      <c r="N867">
        <f t="shared" si="320"/>
        <v>-8120893.1556000011</v>
      </c>
      <c r="O867">
        <f t="shared" si="321"/>
        <v>-11690619.270400001</v>
      </c>
      <c r="P867">
        <f t="shared" si="322"/>
        <v>-14157894.600399999</v>
      </c>
      <c r="Q867">
        <f t="shared" si="323"/>
        <v>-17492381.785200004</v>
      </c>
      <c r="S867">
        <f t="shared" si="324"/>
        <v>2425971.8455000003</v>
      </c>
      <c r="T867">
        <f t="shared" si="325"/>
        <v>-11906985.234900001</v>
      </c>
      <c r="U867">
        <f t="shared" si="326"/>
        <v>-10205987.3442</v>
      </c>
      <c r="V867">
        <f t="shared" si="327"/>
        <v>-14822035.146399999</v>
      </c>
      <c r="W867">
        <f t="shared" si="328"/>
        <v>-21082951.741900004</v>
      </c>
      <c r="X867">
        <f t="shared" si="329"/>
        <v>-24814774.160400003</v>
      </c>
      <c r="Z867">
        <f t="shared" si="330"/>
        <v>2851754.6592000001</v>
      </c>
      <c r="AA867">
        <f t="shared" si="331"/>
        <v>-1404652.7924000011</v>
      </c>
      <c r="AB867">
        <f t="shared" si="332"/>
        <v>-12291081.532800002</v>
      </c>
      <c r="AC867">
        <f t="shared" si="333"/>
        <v>-20458583.723200001</v>
      </c>
      <c r="AD867">
        <f t="shared" si="334"/>
        <v>-28008008.883400004</v>
      </c>
      <c r="AE867">
        <f t="shared" si="335"/>
        <v>-32137166.535600007</v>
      </c>
    </row>
    <row r="868" spans="1:31" x14ac:dyDescent="0.25">
      <c r="A868">
        <v>44.557088030000003</v>
      </c>
      <c r="B868">
        <v>124.3516212</v>
      </c>
      <c r="C868">
        <v>14.23618984</v>
      </c>
      <c r="D868">
        <v>1.58841503</v>
      </c>
      <c r="E868" t="b">
        <f t="shared" si="312"/>
        <v>0</v>
      </c>
      <c r="F868">
        <f t="shared" si="313"/>
        <v>-69.592534170000008</v>
      </c>
      <c r="G868">
        <f t="shared" si="314"/>
        <v>-140.77348337000001</v>
      </c>
      <c r="H868">
        <f t="shared" si="315"/>
        <v>-211.95443256999999</v>
      </c>
      <c r="I868">
        <f t="shared" si="316"/>
        <v>-283.13538176999998</v>
      </c>
      <c r="J868">
        <f t="shared" si="317"/>
        <v>-354.31633096999997</v>
      </c>
      <c r="L868">
        <f t="shared" si="318"/>
        <v>3208598.3606000002</v>
      </c>
      <c r="M868">
        <f t="shared" si="319"/>
        <v>-119699158.77240002</v>
      </c>
      <c r="N868">
        <f t="shared" si="320"/>
        <v>-208344755.3876</v>
      </c>
      <c r="O868">
        <f t="shared" si="321"/>
        <v>-237388964.47840002</v>
      </c>
      <c r="P868">
        <f t="shared" si="322"/>
        <v>-260484551.22839996</v>
      </c>
      <c r="Q868">
        <f t="shared" si="323"/>
        <v>-304712044.63419998</v>
      </c>
      <c r="S868">
        <f t="shared" si="324"/>
        <v>3891616.8235000004</v>
      </c>
      <c r="T868">
        <f t="shared" si="325"/>
        <v>-305478458.91289997</v>
      </c>
      <c r="U868">
        <f t="shared" si="326"/>
        <v>-261838679.06819999</v>
      </c>
      <c r="V868">
        <f t="shared" si="327"/>
        <v>-300975294.24939996</v>
      </c>
      <c r="W868">
        <f t="shared" si="328"/>
        <v>-387895473.02490002</v>
      </c>
      <c r="X868">
        <f t="shared" si="329"/>
        <v>-432265923.78339994</v>
      </c>
      <c r="Z868">
        <f t="shared" si="330"/>
        <v>4574635.2863999996</v>
      </c>
      <c r="AA868">
        <f t="shared" si="331"/>
        <v>-182332439.52540001</v>
      </c>
      <c r="AB868">
        <f t="shared" si="332"/>
        <v>-315332602.74880004</v>
      </c>
      <c r="AC868">
        <f t="shared" si="333"/>
        <v>-415430687.83719999</v>
      </c>
      <c r="AD868">
        <f t="shared" si="334"/>
        <v>-515306394.82139999</v>
      </c>
      <c r="AE868">
        <f t="shared" si="335"/>
        <v>-559819802.93260002</v>
      </c>
    </row>
    <row r="869" spans="1:31" x14ac:dyDescent="0.25">
      <c r="A869">
        <v>44.624476280000003</v>
      </c>
      <c r="B869">
        <v>123.8529071</v>
      </c>
      <c r="C869">
        <v>14.23618984</v>
      </c>
      <c r="D869">
        <v>2.1936790899999998</v>
      </c>
      <c r="E869" t="b">
        <f t="shared" si="312"/>
        <v>0</v>
      </c>
      <c r="F869">
        <f t="shared" si="313"/>
        <v>-68.987270109999997</v>
      </c>
      <c r="G869">
        <f t="shared" si="314"/>
        <v>-140.16821931000001</v>
      </c>
      <c r="H869">
        <f t="shared" si="315"/>
        <v>-211.34916851</v>
      </c>
      <c r="I869">
        <f t="shared" si="316"/>
        <v>-282.53011771000001</v>
      </c>
      <c r="J869">
        <f t="shared" si="317"/>
        <v>-353.71106691</v>
      </c>
      <c r="L869">
        <f t="shared" si="318"/>
        <v>4431231.7617999995</v>
      </c>
      <c r="M869">
        <f t="shared" si="319"/>
        <v>-118658104.58920002</v>
      </c>
      <c r="N869">
        <f t="shared" si="320"/>
        <v>-207448964.57879999</v>
      </c>
      <c r="O869">
        <f t="shared" si="321"/>
        <v>-236711068.73120001</v>
      </c>
      <c r="P869">
        <f t="shared" si="322"/>
        <v>-259927708.29320002</v>
      </c>
      <c r="Q869">
        <f t="shared" si="323"/>
        <v>-304191517.54260004</v>
      </c>
      <c r="S869">
        <f t="shared" si="324"/>
        <v>5374513.7704999996</v>
      </c>
      <c r="T869">
        <f t="shared" si="325"/>
        <v>-304165035.90270001</v>
      </c>
      <c r="U869">
        <f t="shared" si="326"/>
        <v>-260712887.91659999</v>
      </c>
      <c r="V869">
        <f t="shared" si="327"/>
        <v>-300115819.28419995</v>
      </c>
      <c r="W869">
        <f t="shared" si="328"/>
        <v>-387066261.26270008</v>
      </c>
      <c r="X869">
        <f t="shared" si="329"/>
        <v>-431527501.63020003</v>
      </c>
      <c r="Z869">
        <f t="shared" si="330"/>
        <v>6317795.7791999998</v>
      </c>
      <c r="AA869">
        <f t="shared" si="331"/>
        <v>-180746647.6882</v>
      </c>
      <c r="AB869">
        <f t="shared" si="332"/>
        <v>-313976811.25440001</v>
      </c>
      <c r="AC869">
        <f t="shared" si="333"/>
        <v>-414244370.27959996</v>
      </c>
      <c r="AD869">
        <f t="shared" si="334"/>
        <v>-514204814.23220009</v>
      </c>
      <c r="AE869">
        <f t="shared" si="335"/>
        <v>-558863485.71780002</v>
      </c>
    </row>
    <row r="870" spans="1:31" x14ac:dyDescent="0.25">
      <c r="A870">
        <v>44.643969089999999</v>
      </c>
      <c r="B870">
        <v>124.0517957</v>
      </c>
      <c r="C870">
        <v>14.23618984</v>
      </c>
      <c r="D870">
        <v>1.3392569999999999</v>
      </c>
      <c r="E870" t="b">
        <f t="shared" si="312"/>
        <v>0</v>
      </c>
      <c r="F870">
        <f t="shared" si="313"/>
        <v>-69.841692199999997</v>
      </c>
      <c r="G870">
        <f t="shared" si="314"/>
        <v>-141.0226414</v>
      </c>
      <c r="H870">
        <f t="shared" si="315"/>
        <v>-212.20359059999998</v>
      </c>
      <c r="I870">
        <f t="shared" si="316"/>
        <v>-283.38453980000003</v>
      </c>
      <c r="J870">
        <f t="shared" si="317"/>
        <v>-354.56548900000001</v>
      </c>
      <c r="L870">
        <f t="shared" si="318"/>
        <v>2705299.14</v>
      </c>
      <c r="M870">
        <f t="shared" si="319"/>
        <v>-120127710.58400002</v>
      </c>
      <c r="N870">
        <f t="shared" si="320"/>
        <v>-208713509.27200001</v>
      </c>
      <c r="O870">
        <f t="shared" si="321"/>
        <v>-237668021.472</v>
      </c>
      <c r="P870">
        <f t="shared" si="322"/>
        <v>-260713776.616</v>
      </c>
      <c r="Q870">
        <f t="shared" si="323"/>
        <v>-304926320.54000002</v>
      </c>
      <c r="S870">
        <f t="shared" si="324"/>
        <v>3281179.6500000004</v>
      </c>
      <c r="T870">
        <f t="shared" si="325"/>
        <v>-306019131.838</v>
      </c>
      <c r="U870">
        <f t="shared" si="326"/>
        <v>-262302113.00400001</v>
      </c>
      <c r="V870">
        <f t="shared" si="327"/>
        <v>-301329098.65199995</v>
      </c>
      <c r="W870">
        <f t="shared" si="328"/>
        <v>-388236819.52600002</v>
      </c>
      <c r="X870">
        <f t="shared" si="329"/>
        <v>-432569896.57999998</v>
      </c>
      <c r="Z870">
        <f t="shared" si="330"/>
        <v>3857060.1599999997</v>
      </c>
      <c r="AA870">
        <f t="shared" si="331"/>
        <v>-182985233.56400001</v>
      </c>
      <c r="AB870">
        <f t="shared" si="332"/>
        <v>-315890716.73600006</v>
      </c>
      <c r="AC870">
        <f t="shared" si="333"/>
        <v>-415919037.57599998</v>
      </c>
      <c r="AD870">
        <f t="shared" si="334"/>
        <v>-515759862.43600005</v>
      </c>
      <c r="AE870">
        <f t="shared" si="335"/>
        <v>-560213472.62</v>
      </c>
    </row>
    <row r="871" spans="1:31" x14ac:dyDescent="0.25">
      <c r="A871">
        <v>44.673621660000002</v>
      </c>
      <c r="B871">
        <v>115.7776944</v>
      </c>
      <c r="C871">
        <v>6.8444890999999997</v>
      </c>
      <c r="D871">
        <v>4.4870867700000003</v>
      </c>
      <c r="E871" t="b">
        <f t="shared" si="312"/>
        <v>0</v>
      </c>
      <c r="F871">
        <f t="shared" si="313"/>
        <v>-29.735358729999998</v>
      </c>
      <c r="G871">
        <f t="shared" si="314"/>
        <v>-63.957804230000001</v>
      </c>
      <c r="H871">
        <f t="shared" si="315"/>
        <v>-98.180249729999986</v>
      </c>
      <c r="I871">
        <f t="shared" si="316"/>
        <v>-132.40269523000001</v>
      </c>
      <c r="J871">
        <f t="shared" si="317"/>
        <v>-166.62514073</v>
      </c>
      <c r="L871">
        <f t="shared" si="318"/>
        <v>9063915.2754000016</v>
      </c>
      <c r="M871">
        <f t="shared" si="319"/>
        <v>-51144817.015600003</v>
      </c>
      <c r="N871">
        <f t="shared" si="320"/>
        <v>-94657550.260400012</v>
      </c>
      <c r="O871">
        <f t="shared" si="321"/>
        <v>-109961879.69759999</v>
      </c>
      <c r="P871">
        <f t="shared" si="322"/>
        <v>-121810479.6116</v>
      </c>
      <c r="Q871">
        <f t="shared" si="323"/>
        <v>-143297621.02779999</v>
      </c>
      <c r="S871">
        <f t="shared" si="324"/>
        <v>10993362.586500002</v>
      </c>
      <c r="T871">
        <f t="shared" si="325"/>
        <v>-138788435.17910001</v>
      </c>
      <c r="U871">
        <f t="shared" si="326"/>
        <v>-118961515.8678</v>
      </c>
      <c r="V871">
        <f t="shared" si="327"/>
        <v>-139415954.61659998</v>
      </c>
      <c r="W871">
        <f t="shared" si="328"/>
        <v>-181391692.46510002</v>
      </c>
      <c r="X871">
        <f t="shared" si="329"/>
        <v>-203282671.69059998</v>
      </c>
      <c r="Z871">
        <f t="shared" si="330"/>
        <v>12922809.897600001</v>
      </c>
      <c r="AA871">
        <f t="shared" si="331"/>
        <v>-77906639.872599989</v>
      </c>
      <c r="AB871">
        <f t="shared" si="332"/>
        <v>-143265481.47520003</v>
      </c>
      <c r="AC871">
        <f t="shared" si="333"/>
        <v>-192433289.47079998</v>
      </c>
      <c r="AD871">
        <f t="shared" si="334"/>
        <v>-240972905.31860003</v>
      </c>
      <c r="AE871">
        <f t="shared" si="335"/>
        <v>-263267722.35339999</v>
      </c>
    </row>
    <row r="872" spans="1:31" x14ac:dyDescent="0.25">
      <c r="A872">
        <v>44.704869719999998</v>
      </c>
      <c r="B872">
        <v>115.9737743</v>
      </c>
      <c r="C872">
        <v>6.8444890999999997</v>
      </c>
      <c r="D872">
        <v>0.65827298000000001</v>
      </c>
      <c r="E872" t="b">
        <f t="shared" si="312"/>
        <v>0</v>
      </c>
      <c r="F872">
        <f t="shared" si="313"/>
        <v>-33.56417252</v>
      </c>
      <c r="G872">
        <f t="shared" si="314"/>
        <v>-67.786618019999992</v>
      </c>
      <c r="H872">
        <f t="shared" si="315"/>
        <v>-102.00906351999998</v>
      </c>
      <c r="I872">
        <f t="shared" si="316"/>
        <v>-136.23150902</v>
      </c>
      <c r="J872">
        <f t="shared" si="317"/>
        <v>-170.45395452</v>
      </c>
      <c r="L872">
        <f t="shared" si="318"/>
        <v>1329711.4195999999</v>
      </c>
      <c r="M872">
        <f t="shared" si="319"/>
        <v>-57730376.734400012</v>
      </c>
      <c r="N872">
        <f t="shared" si="320"/>
        <v>-100324194.6696</v>
      </c>
      <c r="O872">
        <f t="shared" si="321"/>
        <v>-114250151.1424</v>
      </c>
      <c r="P872">
        <f t="shared" si="322"/>
        <v>-125332988.2984</v>
      </c>
      <c r="Q872">
        <f t="shared" si="323"/>
        <v>-146590400.8872</v>
      </c>
      <c r="S872">
        <f t="shared" si="324"/>
        <v>1612768.801</v>
      </c>
      <c r="T872">
        <f t="shared" si="325"/>
        <v>-147096961.10339999</v>
      </c>
      <c r="U872">
        <f t="shared" si="326"/>
        <v>-126083109.51719998</v>
      </c>
      <c r="V872">
        <f t="shared" si="327"/>
        <v>-144852870.19839996</v>
      </c>
      <c r="W872">
        <f t="shared" si="328"/>
        <v>-186637167.35740003</v>
      </c>
      <c r="X872">
        <f t="shared" si="329"/>
        <v>-207953824.51440001</v>
      </c>
      <c r="Z872">
        <f t="shared" si="330"/>
        <v>1895826.1823999998</v>
      </c>
      <c r="AA872">
        <f t="shared" si="331"/>
        <v>-87938132.002400011</v>
      </c>
      <c r="AB872">
        <f t="shared" si="332"/>
        <v>-151842024.36480001</v>
      </c>
      <c r="AC872">
        <f t="shared" si="333"/>
        <v>-199937764.49919996</v>
      </c>
      <c r="AD872">
        <f t="shared" si="334"/>
        <v>-247941346.41640002</v>
      </c>
      <c r="AE872">
        <f t="shared" si="335"/>
        <v>-269317248.14160001</v>
      </c>
    </row>
    <row r="873" spans="1:31" x14ac:dyDescent="0.25">
      <c r="A873">
        <v>44.730164240000001</v>
      </c>
      <c r="B873">
        <v>123.7512189</v>
      </c>
      <c r="C873">
        <v>1.70243645</v>
      </c>
      <c r="D873">
        <v>0.16887700999999999</v>
      </c>
      <c r="E873" t="b">
        <f t="shared" si="312"/>
        <v>0</v>
      </c>
      <c r="F873">
        <f t="shared" si="313"/>
        <v>-8.3433052400000012</v>
      </c>
      <c r="G873">
        <f t="shared" si="314"/>
        <v>-16.855487490000002</v>
      </c>
      <c r="H873">
        <f t="shared" si="315"/>
        <v>-25.36766974</v>
      </c>
      <c r="I873">
        <f t="shared" si="316"/>
        <v>-33.879851989999999</v>
      </c>
      <c r="J873">
        <f t="shared" si="317"/>
        <v>-42.392034239999994</v>
      </c>
      <c r="L873">
        <f t="shared" si="318"/>
        <v>341131.56019999995</v>
      </c>
      <c r="M873">
        <f t="shared" si="319"/>
        <v>-14350485.012800004</v>
      </c>
      <c r="N873">
        <f t="shared" si="320"/>
        <v>-24946121.485200003</v>
      </c>
      <c r="O873">
        <f t="shared" si="321"/>
        <v>-28411790.108800001</v>
      </c>
      <c r="P873">
        <f t="shared" si="322"/>
        <v>-31169463.830800001</v>
      </c>
      <c r="Q873">
        <f t="shared" si="323"/>
        <v>-36457149.446399994</v>
      </c>
      <c r="S873">
        <f t="shared" si="324"/>
        <v>413748.67449999996</v>
      </c>
      <c r="T873">
        <f t="shared" si="325"/>
        <v>-36576407.853300005</v>
      </c>
      <c r="U873">
        <f t="shared" si="326"/>
        <v>-31351206.731400002</v>
      </c>
      <c r="V873">
        <f t="shared" si="327"/>
        <v>-36022091.030799992</v>
      </c>
      <c r="W873">
        <f t="shared" si="328"/>
        <v>-46415397.226300009</v>
      </c>
      <c r="X873">
        <f t="shared" si="329"/>
        <v>-51718281.772799991</v>
      </c>
      <c r="Z873">
        <f t="shared" si="330"/>
        <v>486365.78879999992</v>
      </c>
      <c r="AA873">
        <f t="shared" si="331"/>
        <v>-21859459.728800002</v>
      </c>
      <c r="AB873">
        <f t="shared" si="332"/>
        <v>-37756291.977600008</v>
      </c>
      <c r="AC873">
        <f t="shared" si="333"/>
        <v>-49720632.690399997</v>
      </c>
      <c r="AD873">
        <f t="shared" si="334"/>
        <v>-61661330.621800005</v>
      </c>
      <c r="AE873">
        <f t="shared" si="335"/>
        <v>-66979414.099199995</v>
      </c>
    </row>
    <row r="874" spans="1:31" x14ac:dyDescent="0.25">
      <c r="A874">
        <v>44.754593020000002</v>
      </c>
      <c r="B874">
        <v>115.9170534</v>
      </c>
      <c r="C874">
        <v>6.8444890999999997</v>
      </c>
      <c r="D874">
        <v>4.1065659500000002</v>
      </c>
      <c r="E874" t="b">
        <f t="shared" si="312"/>
        <v>0</v>
      </c>
      <c r="F874">
        <f t="shared" si="313"/>
        <v>-30.115879549999999</v>
      </c>
      <c r="G874">
        <f t="shared" si="314"/>
        <v>-64.338325049999995</v>
      </c>
      <c r="H874">
        <f t="shared" si="315"/>
        <v>-98.560770549999987</v>
      </c>
      <c r="I874">
        <f t="shared" si="316"/>
        <v>-132.78321604999999</v>
      </c>
      <c r="J874">
        <f t="shared" si="317"/>
        <v>-167.00566154999999</v>
      </c>
      <c r="L874">
        <f t="shared" si="318"/>
        <v>8295263.2190000005</v>
      </c>
      <c r="M874">
        <f t="shared" si="319"/>
        <v>-51799312.826000005</v>
      </c>
      <c r="N874">
        <f t="shared" si="320"/>
        <v>-95220721.074000001</v>
      </c>
      <c r="O874">
        <f t="shared" si="321"/>
        <v>-110388063.01599999</v>
      </c>
      <c r="P874">
        <f t="shared" si="322"/>
        <v>-122160558.76599999</v>
      </c>
      <c r="Q874">
        <f t="shared" si="323"/>
        <v>-143624868.93299997</v>
      </c>
      <c r="S874">
        <f t="shared" si="324"/>
        <v>10061086.577500001</v>
      </c>
      <c r="T874">
        <f t="shared" si="325"/>
        <v>-139614165.3585</v>
      </c>
      <c r="U874">
        <f t="shared" si="326"/>
        <v>-119669284.59299998</v>
      </c>
      <c r="V874">
        <f t="shared" si="327"/>
        <v>-139956294.18099996</v>
      </c>
      <c r="W874">
        <f t="shared" si="328"/>
        <v>-181913005.9885</v>
      </c>
      <c r="X874">
        <f t="shared" si="329"/>
        <v>-203746907.09099996</v>
      </c>
      <c r="Z874">
        <f t="shared" si="330"/>
        <v>11826909.936000001</v>
      </c>
      <c r="AA874">
        <f t="shared" si="331"/>
        <v>-78903604.421000004</v>
      </c>
      <c r="AB874">
        <f t="shared" si="332"/>
        <v>-144117848.11200002</v>
      </c>
      <c r="AC874">
        <f t="shared" si="333"/>
        <v>-193179110.27799997</v>
      </c>
      <c r="AD874">
        <f t="shared" si="334"/>
        <v>-241665453.211</v>
      </c>
      <c r="AE874">
        <f t="shared" si="335"/>
        <v>-263868945.24899998</v>
      </c>
    </row>
    <row r="875" spans="1:31" x14ac:dyDescent="0.25">
      <c r="A875">
        <v>44.758135209999999</v>
      </c>
      <c r="B875">
        <v>123.8878746</v>
      </c>
      <c r="C875">
        <v>14.23618984</v>
      </c>
      <c r="D875">
        <v>47.46687317</v>
      </c>
      <c r="E875" t="b">
        <f t="shared" si="312"/>
        <v>1</v>
      </c>
      <c r="F875">
        <f t="shared" si="313"/>
        <v>-23.714076030000001</v>
      </c>
      <c r="G875">
        <f t="shared" si="314"/>
        <v>-94.895025230000002</v>
      </c>
      <c r="H875">
        <f t="shared" si="315"/>
        <v>-166.07597442999997</v>
      </c>
      <c r="I875">
        <f t="shared" si="316"/>
        <v>-237.25692363000002</v>
      </c>
      <c r="J875">
        <f t="shared" si="317"/>
        <v>-308.43787283</v>
      </c>
      <c r="L875">
        <f t="shared" si="318"/>
        <v>28757103.476799998</v>
      </c>
      <c r="M875">
        <f t="shared" si="319"/>
        <v>-40788210.771600008</v>
      </c>
      <c r="N875">
        <f t="shared" si="320"/>
        <v>-140444637.34040001</v>
      </c>
      <c r="O875">
        <f t="shared" si="321"/>
        <v>-186005091.36159998</v>
      </c>
      <c r="P875">
        <f t="shared" si="322"/>
        <v>-218276369.7396</v>
      </c>
      <c r="Q875">
        <f t="shared" si="323"/>
        <v>-265256570.63379997</v>
      </c>
      <c r="S875">
        <f t="shared" si="324"/>
        <v>34878665.108000003</v>
      </c>
      <c r="T875">
        <f t="shared" si="325"/>
        <v>-205922204.7491</v>
      </c>
      <c r="U875">
        <f t="shared" si="326"/>
        <v>-176504746.9278</v>
      </c>
      <c r="V875">
        <f t="shared" si="327"/>
        <v>-235827883.69059995</v>
      </c>
      <c r="W875">
        <f t="shared" si="328"/>
        <v>-325041985.37310004</v>
      </c>
      <c r="X875">
        <f t="shared" si="329"/>
        <v>-376294204.85259998</v>
      </c>
      <c r="Z875">
        <f t="shared" si="330"/>
        <v>41000226.739199996</v>
      </c>
      <c r="AA875">
        <f t="shared" si="331"/>
        <v>-62130879.198600009</v>
      </c>
      <c r="AB875">
        <f t="shared" si="332"/>
        <v>-212564856.51520002</v>
      </c>
      <c r="AC875">
        <f t="shared" si="333"/>
        <v>-325508909.88279992</v>
      </c>
      <c r="AD875">
        <f t="shared" si="334"/>
        <v>-431807601.00660008</v>
      </c>
      <c r="AE875">
        <f t="shared" si="335"/>
        <v>-487331839.07139999</v>
      </c>
    </row>
    <row r="876" spans="1:31" x14ac:dyDescent="0.25">
      <c r="A876">
        <v>44.799666369999997</v>
      </c>
      <c r="B876">
        <v>115.9235575</v>
      </c>
      <c r="C876">
        <v>6.8444890999999997</v>
      </c>
      <c r="D876">
        <v>14.67003345</v>
      </c>
      <c r="E876" t="b">
        <f t="shared" si="312"/>
        <v>1</v>
      </c>
      <c r="F876">
        <f t="shared" si="313"/>
        <v>-19.552412050000001</v>
      </c>
      <c r="G876">
        <f t="shared" si="314"/>
        <v>-53.77485755</v>
      </c>
      <c r="H876">
        <f t="shared" si="315"/>
        <v>-87.997303049999985</v>
      </c>
      <c r="I876">
        <f t="shared" si="316"/>
        <v>-122.21974854999999</v>
      </c>
      <c r="J876">
        <f t="shared" si="317"/>
        <v>-156.44219404999998</v>
      </c>
      <c r="L876">
        <f t="shared" si="318"/>
        <v>13825867.981999999</v>
      </c>
      <c r="M876">
        <f t="shared" si="319"/>
        <v>-33630148.726000004</v>
      </c>
      <c r="N876">
        <f t="shared" si="320"/>
        <v>-79586789.173999995</v>
      </c>
      <c r="O876">
        <f t="shared" si="321"/>
        <v>-98556979.415999994</v>
      </c>
      <c r="P876">
        <f t="shared" si="322"/>
        <v>-112442168.66599999</v>
      </c>
      <c r="Q876">
        <f t="shared" si="323"/>
        <v>-134540286.88299999</v>
      </c>
      <c r="S876">
        <f t="shared" si="324"/>
        <v>16768998.295</v>
      </c>
      <c r="T876">
        <f t="shared" si="325"/>
        <v>-116691440.88349999</v>
      </c>
      <c r="U876">
        <f t="shared" si="326"/>
        <v>-100021235.04299998</v>
      </c>
      <c r="V876">
        <f t="shared" si="327"/>
        <v>-124956170.33099997</v>
      </c>
      <c r="W876">
        <f t="shared" si="328"/>
        <v>-167441055.51350001</v>
      </c>
      <c r="X876">
        <f t="shared" si="329"/>
        <v>-190859476.74099997</v>
      </c>
      <c r="Z876">
        <f t="shared" si="330"/>
        <v>19712128.607999999</v>
      </c>
      <c r="AA876">
        <f t="shared" si="331"/>
        <v>-51227319.571000002</v>
      </c>
      <c r="AB876">
        <f t="shared" si="332"/>
        <v>-120455680.912</v>
      </c>
      <c r="AC876">
        <f t="shared" si="333"/>
        <v>-172474713.97799996</v>
      </c>
      <c r="AD876">
        <f t="shared" si="334"/>
        <v>-222439942.361</v>
      </c>
      <c r="AE876">
        <f t="shared" si="335"/>
        <v>-247178666.59899998</v>
      </c>
    </row>
    <row r="877" spans="1:31" x14ac:dyDescent="0.25">
      <c r="A877">
        <v>44.818424319999998</v>
      </c>
      <c r="B877">
        <v>88.571356649999998</v>
      </c>
      <c r="C877">
        <v>0.99019259000000004</v>
      </c>
      <c r="D877">
        <v>1.6505880399999999</v>
      </c>
      <c r="E877" t="b">
        <f t="shared" si="312"/>
        <v>1</v>
      </c>
      <c r="F877">
        <f t="shared" si="313"/>
        <v>-3.3003749100000004</v>
      </c>
      <c r="G877">
        <f t="shared" si="314"/>
        <v>-8.2513378599999996</v>
      </c>
      <c r="H877">
        <f t="shared" si="315"/>
        <v>-13.202300810000001</v>
      </c>
      <c r="I877">
        <f t="shared" si="316"/>
        <v>-18.153263760000002</v>
      </c>
      <c r="J877">
        <f t="shared" si="317"/>
        <v>-23.104226710000002</v>
      </c>
      <c r="L877">
        <f t="shared" si="318"/>
        <v>2000189.0318000002</v>
      </c>
      <c r="M877">
        <f t="shared" si="319"/>
        <v>-5676644.8452000013</v>
      </c>
      <c r="N877">
        <f t="shared" si="320"/>
        <v>-12211980.032799998</v>
      </c>
      <c r="O877">
        <f t="shared" si="321"/>
        <v>-14786576.907200001</v>
      </c>
      <c r="P877">
        <f t="shared" si="322"/>
        <v>-16701002.6592</v>
      </c>
      <c r="Q877">
        <f t="shared" si="323"/>
        <v>-19869634.970600002</v>
      </c>
      <c r="S877">
        <f t="shared" si="324"/>
        <v>2425971.8455000003</v>
      </c>
      <c r="T877">
        <f t="shared" si="325"/>
        <v>-17905403.156199999</v>
      </c>
      <c r="U877">
        <f t="shared" si="326"/>
        <v>-15347488.419599999</v>
      </c>
      <c r="V877">
        <f t="shared" si="327"/>
        <v>-18747267.150199998</v>
      </c>
      <c r="W877">
        <f t="shared" si="328"/>
        <v>-24869971.351200003</v>
      </c>
      <c r="X877">
        <f t="shared" si="329"/>
        <v>-28187156.586199999</v>
      </c>
      <c r="Z877">
        <f t="shared" si="330"/>
        <v>2851754.6592000001</v>
      </c>
      <c r="AA877">
        <f t="shared" si="331"/>
        <v>-8646982.264200002</v>
      </c>
      <c r="AB877">
        <f t="shared" si="332"/>
        <v>-18482996.806400001</v>
      </c>
      <c r="AC877">
        <f t="shared" si="333"/>
        <v>-25876509.5876</v>
      </c>
      <c r="AD877">
        <f t="shared" si="334"/>
        <v>-33038940.043200005</v>
      </c>
      <c r="AE877">
        <f t="shared" si="335"/>
        <v>-36504678.201800004</v>
      </c>
    </row>
    <row r="878" spans="1:31" x14ac:dyDescent="0.25">
      <c r="A878">
        <v>44.851422579999998</v>
      </c>
      <c r="B878">
        <v>124.5606665</v>
      </c>
      <c r="C878">
        <v>14.23618984</v>
      </c>
      <c r="D878">
        <v>0.97934401000000004</v>
      </c>
      <c r="E878" t="b">
        <f t="shared" si="312"/>
        <v>0</v>
      </c>
      <c r="F878">
        <f t="shared" si="313"/>
        <v>-70.201605189999995</v>
      </c>
      <c r="G878">
        <f t="shared" si="314"/>
        <v>-141.38255439</v>
      </c>
      <c r="H878">
        <f t="shared" si="315"/>
        <v>-212.56350358999998</v>
      </c>
      <c r="I878">
        <f t="shared" si="316"/>
        <v>-283.74445279000003</v>
      </c>
      <c r="J878">
        <f t="shared" si="317"/>
        <v>-354.92540199000001</v>
      </c>
      <c r="L878">
        <f t="shared" si="318"/>
        <v>1978274.9002</v>
      </c>
      <c r="M878">
        <f t="shared" si="319"/>
        <v>-120746760.92680001</v>
      </c>
      <c r="N878">
        <f t="shared" si="320"/>
        <v>-209246180.49719998</v>
      </c>
      <c r="O878">
        <f t="shared" si="321"/>
        <v>-238071124.02079999</v>
      </c>
      <c r="P878">
        <f t="shared" si="322"/>
        <v>-261044896.5668</v>
      </c>
      <c r="Q878">
        <f t="shared" si="323"/>
        <v>-305235845.71140003</v>
      </c>
      <c r="S878">
        <f t="shared" si="324"/>
        <v>2399392.8245000001</v>
      </c>
      <c r="T878">
        <f t="shared" si="325"/>
        <v>-306800143.02629995</v>
      </c>
      <c r="U878">
        <f t="shared" si="326"/>
        <v>-262971551.16539997</v>
      </c>
      <c r="V878">
        <f t="shared" si="327"/>
        <v>-301840175.09779996</v>
      </c>
      <c r="W878">
        <f t="shared" si="328"/>
        <v>-388729900.32230008</v>
      </c>
      <c r="X878">
        <f t="shared" si="329"/>
        <v>-433008990.4278</v>
      </c>
      <c r="Z878">
        <f t="shared" si="330"/>
        <v>2820510.7487999997</v>
      </c>
      <c r="AA878">
        <f t="shared" si="331"/>
        <v>-183928205.59779999</v>
      </c>
      <c r="AB878">
        <f t="shared" si="332"/>
        <v>-316696921.83359998</v>
      </c>
      <c r="AC878">
        <f t="shared" si="333"/>
        <v>-416624467.03639996</v>
      </c>
      <c r="AD878">
        <f t="shared" si="334"/>
        <v>-516414904.07780004</v>
      </c>
      <c r="AE878">
        <f t="shared" si="335"/>
        <v>-560782135.14420009</v>
      </c>
    </row>
    <row r="879" spans="1:31" x14ac:dyDescent="0.25">
      <c r="A879">
        <v>44.899499050000003</v>
      </c>
      <c r="B879">
        <v>84.648643669999998</v>
      </c>
      <c r="C879">
        <v>10.58811188</v>
      </c>
      <c r="D879">
        <v>5.7098188399999996</v>
      </c>
      <c r="E879" t="b">
        <f t="shared" si="312"/>
        <v>0</v>
      </c>
      <c r="F879">
        <f t="shared" si="313"/>
        <v>-47.230740560000001</v>
      </c>
      <c r="G879">
        <f t="shared" si="314"/>
        <v>-100.17129996</v>
      </c>
      <c r="H879">
        <f t="shared" si="315"/>
        <v>-153.11185936000001</v>
      </c>
      <c r="I879">
        <f t="shared" si="316"/>
        <v>-206.05241875999999</v>
      </c>
      <c r="J879">
        <f t="shared" si="317"/>
        <v>-258.99297815999995</v>
      </c>
      <c r="L879">
        <f t="shared" si="318"/>
        <v>11533834.0568</v>
      </c>
      <c r="M879">
        <f t="shared" si="319"/>
        <v>-81236873.763200015</v>
      </c>
      <c r="N879">
        <f t="shared" si="320"/>
        <v>-148253523.94079998</v>
      </c>
      <c r="O879">
        <f t="shared" si="321"/>
        <v>-171485282.48320004</v>
      </c>
      <c r="P879">
        <f t="shared" si="322"/>
        <v>-189568225.25919998</v>
      </c>
      <c r="Q879">
        <f t="shared" si="323"/>
        <v>-222733961.21759993</v>
      </c>
      <c r="S879">
        <f t="shared" si="324"/>
        <v>13989056.158</v>
      </c>
      <c r="T879">
        <f t="shared" si="325"/>
        <v>-217371720.91319999</v>
      </c>
      <c r="U879">
        <f t="shared" si="326"/>
        <v>-186318617.92559996</v>
      </c>
      <c r="V879">
        <f t="shared" si="327"/>
        <v>-217418840.29120001</v>
      </c>
      <c r="W879">
        <f t="shared" si="328"/>
        <v>-282291813.70120001</v>
      </c>
      <c r="X879">
        <f t="shared" si="329"/>
        <v>-315971433.35519993</v>
      </c>
      <c r="Z879">
        <f t="shared" si="330"/>
        <v>16444278.259199999</v>
      </c>
      <c r="AA879">
        <f t="shared" si="331"/>
        <v>-123744540.26720001</v>
      </c>
      <c r="AB879">
        <f t="shared" si="332"/>
        <v>-224383711.9104</v>
      </c>
      <c r="AC879">
        <f t="shared" si="333"/>
        <v>-300099244.34560001</v>
      </c>
      <c r="AD879">
        <f t="shared" si="334"/>
        <v>-375015402.14319998</v>
      </c>
      <c r="AE879">
        <f t="shared" si="335"/>
        <v>-409208905.49279994</v>
      </c>
    </row>
    <row r="880" spans="1:31" x14ac:dyDescent="0.25">
      <c r="A880">
        <v>44.93143809</v>
      </c>
      <c r="B880">
        <v>83.984664339999995</v>
      </c>
      <c r="C880">
        <v>0.81119478</v>
      </c>
      <c r="D880">
        <v>3.6082000000000003E-2</v>
      </c>
      <c r="E880" t="b">
        <f t="shared" si="312"/>
        <v>0</v>
      </c>
      <c r="F880">
        <f t="shared" si="313"/>
        <v>-4.0198918999999993</v>
      </c>
      <c r="G880">
        <f t="shared" si="314"/>
        <v>-8.075865799999999</v>
      </c>
      <c r="H880">
        <f t="shared" si="315"/>
        <v>-12.1318397</v>
      </c>
      <c r="I880">
        <f t="shared" si="316"/>
        <v>-16.187813599999998</v>
      </c>
      <c r="J880">
        <f t="shared" si="317"/>
        <v>-20.2437875</v>
      </c>
      <c r="L880">
        <f t="shared" si="318"/>
        <v>72885.64</v>
      </c>
      <c r="M880">
        <f t="shared" si="319"/>
        <v>-6914214.068</v>
      </c>
      <c r="N880">
        <f t="shared" si="320"/>
        <v>-11952281.383999998</v>
      </c>
      <c r="O880">
        <f t="shared" si="321"/>
        <v>-13587660.464000003</v>
      </c>
      <c r="P880">
        <f t="shared" si="322"/>
        <v>-14892788.511999996</v>
      </c>
      <c r="Q880">
        <f t="shared" si="323"/>
        <v>-17409657.25</v>
      </c>
      <c r="S880">
        <f t="shared" si="324"/>
        <v>88400.900000000009</v>
      </c>
      <c r="T880">
        <f t="shared" si="325"/>
        <v>-17524628.785999998</v>
      </c>
      <c r="U880">
        <f t="shared" si="326"/>
        <v>-15021110.387999997</v>
      </c>
      <c r="V880">
        <f t="shared" si="327"/>
        <v>-17227212.374000002</v>
      </c>
      <c r="W880">
        <f t="shared" si="328"/>
        <v>-22177304.631999999</v>
      </c>
      <c r="X880">
        <f t="shared" si="329"/>
        <v>-24697420.75</v>
      </c>
      <c r="Z880">
        <f t="shared" si="330"/>
        <v>103916.15999999999</v>
      </c>
      <c r="AA880">
        <f t="shared" si="331"/>
        <v>-10532116.777999999</v>
      </c>
      <c r="AB880">
        <f t="shared" si="332"/>
        <v>-18089939.392000001</v>
      </c>
      <c r="AC880">
        <f t="shared" si="333"/>
        <v>-23778405.812000003</v>
      </c>
      <c r="AD880">
        <f t="shared" si="334"/>
        <v>-29461820.751999997</v>
      </c>
      <c r="AE880">
        <f t="shared" si="335"/>
        <v>-31985184.25</v>
      </c>
    </row>
    <row r="881" spans="1:31" x14ac:dyDescent="0.25">
      <c r="A881">
        <v>44.961134770000001</v>
      </c>
      <c r="B881">
        <v>123.7466235</v>
      </c>
      <c r="C881">
        <v>1.70243645</v>
      </c>
      <c r="D881">
        <v>3.3127219700000001</v>
      </c>
      <c r="E881" t="b">
        <f t="shared" si="312"/>
        <v>1</v>
      </c>
      <c r="F881">
        <f t="shared" si="313"/>
        <v>-5.1994602800000003</v>
      </c>
      <c r="G881">
        <f t="shared" si="314"/>
        <v>-13.711642530000001</v>
      </c>
      <c r="H881">
        <f t="shared" si="315"/>
        <v>-22.223824780000001</v>
      </c>
      <c r="I881">
        <f t="shared" si="316"/>
        <v>-30.736007030000003</v>
      </c>
      <c r="J881">
        <f t="shared" si="317"/>
        <v>-39.248189279999998</v>
      </c>
      <c r="L881">
        <f t="shared" si="318"/>
        <v>3438921.6289999997</v>
      </c>
      <c r="M881">
        <f t="shared" si="319"/>
        <v>-8943071.6816000007</v>
      </c>
      <c r="N881">
        <f t="shared" si="320"/>
        <v>-20293230.944400001</v>
      </c>
      <c r="O881">
        <f t="shared" si="321"/>
        <v>-24890683.753600005</v>
      </c>
      <c r="P881">
        <f t="shared" si="322"/>
        <v>-28277126.467600003</v>
      </c>
      <c r="Q881">
        <f t="shared" si="323"/>
        <v>-33753442.7808</v>
      </c>
      <c r="S881">
        <f t="shared" si="324"/>
        <v>4170969.3025000002</v>
      </c>
      <c r="T881">
        <f t="shared" si="325"/>
        <v>-29754264.290100001</v>
      </c>
      <c r="U881">
        <f t="shared" si="326"/>
        <v>-25503655.105799999</v>
      </c>
      <c r="V881">
        <f t="shared" si="327"/>
        <v>-31557831.187600002</v>
      </c>
      <c r="W881">
        <f t="shared" si="328"/>
        <v>-42108329.631100006</v>
      </c>
      <c r="X881">
        <f t="shared" si="329"/>
        <v>-47882790.921599999</v>
      </c>
      <c r="Z881">
        <f t="shared" si="330"/>
        <v>4903016.9759999998</v>
      </c>
      <c r="AA881">
        <f t="shared" si="331"/>
        <v>-13622585.933600001</v>
      </c>
      <c r="AB881">
        <f t="shared" si="332"/>
        <v>-30714079.267200004</v>
      </c>
      <c r="AC881">
        <f t="shared" si="333"/>
        <v>-43558696.568800002</v>
      </c>
      <c r="AD881">
        <f t="shared" si="334"/>
        <v>-55939532.79460001</v>
      </c>
      <c r="AE881">
        <f t="shared" si="335"/>
        <v>-62012139.062400006</v>
      </c>
    </row>
    <row r="882" spans="1:31" x14ac:dyDescent="0.25">
      <c r="A882">
        <v>44.97155996</v>
      </c>
      <c r="B882">
        <v>89.050645549999999</v>
      </c>
      <c r="C882">
        <v>4.0650010099999996</v>
      </c>
      <c r="D882">
        <v>6.6617870300000002</v>
      </c>
      <c r="E882" t="b">
        <f t="shared" si="312"/>
        <v>1</v>
      </c>
      <c r="F882">
        <f t="shared" si="313"/>
        <v>-13.663218019999999</v>
      </c>
      <c r="G882">
        <f t="shared" si="314"/>
        <v>-33.988223069999997</v>
      </c>
      <c r="H882">
        <f t="shared" si="315"/>
        <v>-54.313228119999991</v>
      </c>
      <c r="I882">
        <f t="shared" si="316"/>
        <v>-74.638233169999992</v>
      </c>
      <c r="J882">
        <f t="shared" si="317"/>
        <v>-94.963238219999994</v>
      </c>
      <c r="L882">
        <f t="shared" si="318"/>
        <v>8211302.0401999997</v>
      </c>
      <c r="M882">
        <f t="shared" si="319"/>
        <v>-23500734.994400002</v>
      </c>
      <c r="N882">
        <f t="shared" si="320"/>
        <v>-50302570.143599987</v>
      </c>
      <c r="O882">
        <f t="shared" si="321"/>
        <v>-60830815.494399995</v>
      </c>
      <c r="P882">
        <f t="shared" si="322"/>
        <v>-68667174.51639998</v>
      </c>
      <c r="Q882">
        <f t="shared" si="323"/>
        <v>-81668384.869199991</v>
      </c>
      <c r="S882">
        <f t="shared" si="324"/>
        <v>9959252.4745000005</v>
      </c>
      <c r="T882">
        <f t="shared" si="325"/>
        <v>-73754444.061899975</v>
      </c>
      <c r="U882">
        <f t="shared" si="326"/>
        <v>-63218094.910199985</v>
      </c>
      <c r="V882">
        <f t="shared" si="327"/>
        <v>-77124783.930399984</v>
      </c>
      <c r="W882">
        <f t="shared" si="328"/>
        <v>-102254379.44289999</v>
      </c>
      <c r="X882">
        <f t="shared" si="329"/>
        <v>-115855150.6284</v>
      </c>
      <c r="Z882">
        <f t="shared" si="330"/>
        <v>11707202.908799998</v>
      </c>
      <c r="AA882">
        <f t="shared" si="331"/>
        <v>-35797631.212399997</v>
      </c>
      <c r="AB882">
        <f t="shared" si="332"/>
        <v>-76133619.676799998</v>
      </c>
      <c r="AC882">
        <f t="shared" si="333"/>
        <v>-106453927.11519998</v>
      </c>
      <c r="AD882">
        <f t="shared" si="334"/>
        <v>-135841584.36939999</v>
      </c>
      <c r="AE882">
        <f t="shared" si="335"/>
        <v>-150041916.3876</v>
      </c>
    </row>
    <row r="883" spans="1:31" x14ac:dyDescent="0.25">
      <c r="A883">
        <v>44.980356919999998</v>
      </c>
      <c r="B883">
        <v>88.400135579999997</v>
      </c>
      <c r="C883">
        <v>0.99019259000000004</v>
      </c>
      <c r="D883">
        <v>33.434310910000001</v>
      </c>
      <c r="E883" t="b">
        <f t="shared" si="312"/>
        <v>1</v>
      </c>
      <c r="F883">
        <f t="shared" si="313"/>
        <v>28.48334796</v>
      </c>
      <c r="G883">
        <f t="shared" si="314"/>
        <v>23.532385009999999</v>
      </c>
      <c r="H883">
        <f t="shared" si="315"/>
        <v>18.581422060000001</v>
      </c>
      <c r="I883">
        <f t="shared" si="316"/>
        <v>13.63045911</v>
      </c>
      <c r="J883">
        <f t="shared" si="317"/>
        <v>8.6794961599999993</v>
      </c>
      <c r="L883">
        <f t="shared" si="318"/>
        <v>2000189.0318000002</v>
      </c>
      <c r="M883">
        <f t="shared" si="319"/>
        <v>1703131.2548000002</v>
      </c>
      <c r="N883">
        <f t="shared" si="320"/>
        <v>1465485.0332000002</v>
      </c>
      <c r="O883">
        <f t="shared" si="321"/>
        <v>1109015.7008000002</v>
      </c>
      <c r="P883">
        <f t="shared" si="322"/>
        <v>910977.18279999995</v>
      </c>
      <c r="Q883">
        <f t="shared" si="323"/>
        <v>851565.62740000011</v>
      </c>
      <c r="S883">
        <f t="shared" si="324"/>
        <v>2425971.8455000003</v>
      </c>
      <c r="T883">
        <f t="shared" si="325"/>
        <v>2148717.9202999999</v>
      </c>
      <c r="U883">
        <f t="shared" si="326"/>
        <v>1841758.2174</v>
      </c>
      <c r="V883">
        <f t="shared" si="327"/>
        <v>1406073.4778</v>
      </c>
      <c r="W883">
        <f t="shared" si="328"/>
        <v>1356563.8483000002</v>
      </c>
      <c r="X883">
        <f t="shared" si="329"/>
        <v>1208034.9598000001</v>
      </c>
      <c r="Z883">
        <f t="shared" si="330"/>
        <v>2851754.6592000001</v>
      </c>
      <c r="AA883">
        <f t="shared" si="331"/>
        <v>2594304.5858000005</v>
      </c>
      <c r="AB883">
        <f t="shared" si="332"/>
        <v>2218031.4016000004</v>
      </c>
      <c r="AC883">
        <f t="shared" si="333"/>
        <v>1940777.4764</v>
      </c>
      <c r="AD883">
        <f t="shared" si="334"/>
        <v>1802150.5138000003</v>
      </c>
      <c r="AE883">
        <f t="shared" si="335"/>
        <v>1564504.2922000003</v>
      </c>
    </row>
    <row r="884" spans="1:31" x14ac:dyDescent="0.25">
      <c r="A884">
        <v>44.991649610000003</v>
      </c>
      <c r="B884">
        <v>124.2090982</v>
      </c>
      <c r="C884">
        <v>1.70243645</v>
      </c>
      <c r="D884">
        <v>11.0540266</v>
      </c>
      <c r="E884" t="b">
        <f t="shared" si="312"/>
        <v>1</v>
      </c>
      <c r="F884">
        <f t="shared" si="313"/>
        <v>2.5418443499999999</v>
      </c>
      <c r="G884">
        <f t="shared" si="314"/>
        <v>-5.9703379000000005</v>
      </c>
      <c r="H884">
        <f t="shared" si="315"/>
        <v>-14.482520149999999</v>
      </c>
      <c r="I884">
        <f t="shared" si="316"/>
        <v>-22.994702400000001</v>
      </c>
      <c r="J884">
        <f t="shared" si="317"/>
        <v>-31.506884649999996</v>
      </c>
      <c r="L884">
        <f t="shared" si="318"/>
        <v>3438921.6289999997</v>
      </c>
      <c r="M884">
        <f t="shared" si="319"/>
        <v>2928190.6940000001</v>
      </c>
      <c r="N884">
        <f t="shared" si="320"/>
        <v>-8836100.0920000002</v>
      </c>
      <c r="O884">
        <f t="shared" si="321"/>
        <v>-16220422.568</v>
      </c>
      <c r="P884">
        <f t="shared" si="322"/>
        <v>-21155126.208000001</v>
      </c>
      <c r="Q884">
        <f t="shared" si="323"/>
        <v>-27095920.798999995</v>
      </c>
      <c r="S884">
        <f t="shared" si="324"/>
        <v>4170969.3025000002</v>
      </c>
      <c r="T884">
        <f t="shared" si="325"/>
        <v>-12955633.243000001</v>
      </c>
      <c r="U884">
        <f t="shared" si="326"/>
        <v>-11104828.494000001</v>
      </c>
      <c r="V884">
        <f t="shared" si="327"/>
        <v>-20565178.612999998</v>
      </c>
      <c r="W884">
        <f t="shared" si="328"/>
        <v>-31502742.288000006</v>
      </c>
      <c r="X884">
        <f t="shared" si="329"/>
        <v>-38438399.272999994</v>
      </c>
      <c r="Z884">
        <f t="shared" si="330"/>
        <v>4903016.9759999998</v>
      </c>
      <c r="AA884">
        <f t="shared" si="331"/>
        <v>4460383.4989999998</v>
      </c>
      <c r="AB884">
        <f t="shared" si="332"/>
        <v>-13373556.896000002</v>
      </c>
      <c r="AC884">
        <f t="shared" si="333"/>
        <v>-28385739.493999995</v>
      </c>
      <c r="AD884">
        <f t="shared" si="334"/>
        <v>-41850358.368000008</v>
      </c>
      <c r="AE884">
        <f t="shared" si="335"/>
        <v>-49780877.746999994</v>
      </c>
    </row>
    <row r="885" spans="1:31" x14ac:dyDescent="0.25">
      <c r="A885">
        <v>44.994440089999998</v>
      </c>
      <c r="B885">
        <v>124.85987609999999</v>
      </c>
      <c r="C885">
        <v>14.23618984</v>
      </c>
      <c r="D885">
        <v>1.4729590400000001</v>
      </c>
      <c r="E885" t="b">
        <f t="shared" si="312"/>
        <v>0</v>
      </c>
      <c r="F885">
        <f t="shared" si="313"/>
        <v>-69.707990159999994</v>
      </c>
      <c r="G885">
        <f t="shared" si="314"/>
        <v>-140.88893935999999</v>
      </c>
      <c r="H885">
        <f t="shared" si="315"/>
        <v>-212.06988855999998</v>
      </c>
      <c r="I885">
        <f t="shared" si="316"/>
        <v>-283.25083776000002</v>
      </c>
      <c r="J885">
        <f t="shared" si="317"/>
        <v>-354.43178696000001</v>
      </c>
      <c r="L885">
        <f t="shared" si="318"/>
        <v>2975377.2608000003</v>
      </c>
      <c r="M885">
        <f t="shared" si="319"/>
        <v>-119897743.07520001</v>
      </c>
      <c r="N885">
        <f t="shared" si="320"/>
        <v>-208515630.25279999</v>
      </c>
      <c r="O885">
        <f t="shared" si="321"/>
        <v>-237518275.18719998</v>
      </c>
      <c r="P885">
        <f t="shared" si="322"/>
        <v>-260590770.73920003</v>
      </c>
      <c r="Q885">
        <f t="shared" si="323"/>
        <v>-304811336.78560001</v>
      </c>
      <c r="S885">
        <f t="shared" si="324"/>
        <v>3608749.6480000005</v>
      </c>
      <c r="T885">
        <f t="shared" si="325"/>
        <v>-305728998.41119993</v>
      </c>
      <c r="U885">
        <f t="shared" si="326"/>
        <v>-262053427.20959994</v>
      </c>
      <c r="V885">
        <f t="shared" si="327"/>
        <v>-301139241.75519997</v>
      </c>
      <c r="W885">
        <f t="shared" si="328"/>
        <v>-388053647.7312001</v>
      </c>
      <c r="X885">
        <f t="shared" si="329"/>
        <v>-432406780.09120005</v>
      </c>
      <c r="Z885">
        <f t="shared" si="330"/>
        <v>4242122.0351999998</v>
      </c>
      <c r="AA885">
        <f t="shared" si="331"/>
        <v>-182634934.21919999</v>
      </c>
      <c r="AB885">
        <f t="shared" si="332"/>
        <v>-315591224.16640002</v>
      </c>
      <c r="AC885">
        <f t="shared" si="333"/>
        <v>-415656981.57759994</v>
      </c>
      <c r="AD885">
        <f t="shared" si="334"/>
        <v>-515516524.72320008</v>
      </c>
      <c r="AE885">
        <f t="shared" si="335"/>
        <v>-560002223.39680004</v>
      </c>
    </row>
    <row r="886" spans="1:31" x14ac:dyDescent="0.25">
      <c r="A886">
        <v>45.002743680000002</v>
      </c>
      <c r="B886">
        <v>115.6322199</v>
      </c>
      <c r="C886">
        <v>6.3704409599999998</v>
      </c>
      <c r="D886">
        <v>1.5682519699999999</v>
      </c>
      <c r="E886" t="b">
        <f t="shared" si="312"/>
        <v>0</v>
      </c>
      <c r="F886">
        <f t="shared" si="313"/>
        <v>-30.28395283</v>
      </c>
      <c r="G886">
        <f t="shared" si="314"/>
        <v>-62.13615763</v>
      </c>
      <c r="H886">
        <f t="shared" si="315"/>
        <v>-93.988362429999995</v>
      </c>
      <c r="I886">
        <f t="shared" si="316"/>
        <v>-125.84056722999999</v>
      </c>
      <c r="J886">
        <f t="shared" si="317"/>
        <v>-157.69277202999999</v>
      </c>
      <c r="L886">
        <f t="shared" si="318"/>
        <v>3167868.9794000001</v>
      </c>
      <c r="M886">
        <f t="shared" si="319"/>
        <v>-52088398.867600009</v>
      </c>
      <c r="N886">
        <f t="shared" si="320"/>
        <v>-91961513.292400002</v>
      </c>
      <c r="O886">
        <f t="shared" si="321"/>
        <v>-105266965.9216</v>
      </c>
      <c r="P886">
        <f t="shared" si="322"/>
        <v>-115773321.85159998</v>
      </c>
      <c r="Q886">
        <f t="shared" si="323"/>
        <v>-135615783.94579998</v>
      </c>
      <c r="S886">
        <f t="shared" si="324"/>
        <v>3842217.3265000004</v>
      </c>
      <c r="T886">
        <f t="shared" si="325"/>
        <v>-134835462.0571</v>
      </c>
      <c r="U886">
        <f t="shared" si="326"/>
        <v>-115573253.1918</v>
      </c>
      <c r="V886">
        <f t="shared" si="327"/>
        <v>-133463474.65059999</v>
      </c>
      <c r="W886">
        <f t="shared" si="328"/>
        <v>-172401577.10510001</v>
      </c>
      <c r="X886">
        <f t="shared" si="329"/>
        <v>-192385181.87659997</v>
      </c>
      <c r="Z886">
        <f t="shared" si="330"/>
        <v>4516565.6735999994</v>
      </c>
      <c r="AA886">
        <f t="shared" si="331"/>
        <v>-79343956.414600015</v>
      </c>
      <c r="AB886">
        <f t="shared" si="332"/>
        <v>-139184993.09120002</v>
      </c>
      <c r="AC886">
        <f t="shared" si="333"/>
        <v>-184217190.36279997</v>
      </c>
      <c r="AD886">
        <f t="shared" si="334"/>
        <v>-229029832.35859999</v>
      </c>
      <c r="AE886">
        <f t="shared" si="335"/>
        <v>-249154579.80739996</v>
      </c>
    </row>
    <row r="887" spans="1:31" x14ac:dyDescent="0.25">
      <c r="A887">
        <v>45.041965920000003</v>
      </c>
      <c r="B887">
        <v>84.669068929999995</v>
      </c>
      <c r="C887">
        <v>10.58811188</v>
      </c>
      <c r="D887">
        <v>0.49581598999999998</v>
      </c>
      <c r="E887" t="b">
        <f t="shared" si="312"/>
        <v>0</v>
      </c>
      <c r="F887">
        <f t="shared" si="313"/>
        <v>-52.444743410000001</v>
      </c>
      <c r="G887">
        <f t="shared" si="314"/>
        <v>-105.38530281</v>
      </c>
      <c r="H887">
        <f t="shared" si="315"/>
        <v>-158.32586221</v>
      </c>
      <c r="I887">
        <f t="shared" si="316"/>
        <v>-211.26642160999998</v>
      </c>
      <c r="J887">
        <f t="shared" si="317"/>
        <v>-264.20698100999999</v>
      </c>
      <c r="L887">
        <f t="shared" si="318"/>
        <v>1001548.2998</v>
      </c>
      <c r="M887">
        <f t="shared" si="319"/>
        <v>-90204958.66520001</v>
      </c>
      <c r="N887">
        <f t="shared" si="320"/>
        <v>-155970248.15880001</v>
      </c>
      <c r="O887">
        <f t="shared" si="321"/>
        <v>-177324965.67520002</v>
      </c>
      <c r="P887">
        <f t="shared" si="322"/>
        <v>-194365107.88119996</v>
      </c>
      <c r="Q887">
        <f t="shared" si="323"/>
        <v>-227218003.66859999</v>
      </c>
      <c r="S887">
        <f t="shared" si="324"/>
        <v>1214749.1755000001</v>
      </c>
      <c r="T887">
        <f t="shared" si="325"/>
        <v>-228686107.0977</v>
      </c>
      <c r="U887">
        <f t="shared" si="326"/>
        <v>-196016663.22659999</v>
      </c>
      <c r="V887">
        <f t="shared" si="327"/>
        <v>-224822724.3382</v>
      </c>
      <c r="W887">
        <f t="shared" si="328"/>
        <v>-289434997.60570002</v>
      </c>
      <c r="X887">
        <f t="shared" si="329"/>
        <v>-322332516.83219999</v>
      </c>
      <c r="Z887">
        <f t="shared" si="330"/>
        <v>1427950.0511999999</v>
      </c>
      <c r="AA887">
        <f t="shared" si="331"/>
        <v>-137405227.73420003</v>
      </c>
      <c r="AB887">
        <f t="shared" si="332"/>
        <v>-236063078.29440004</v>
      </c>
      <c r="AC887">
        <f t="shared" si="333"/>
        <v>-310318689.93160003</v>
      </c>
      <c r="AD887">
        <f t="shared" si="334"/>
        <v>-384504887.33019996</v>
      </c>
      <c r="AE887">
        <f t="shared" si="335"/>
        <v>-417447029.99580002</v>
      </c>
    </row>
    <row r="888" spans="1:31" x14ac:dyDescent="0.25">
      <c r="A888">
        <v>45.063602920000001</v>
      </c>
      <c r="B888">
        <v>124.35848559999999</v>
      </c>
      <c r="C888">
        <v>1.70243645</v>
      </c>
      <c r="D888">
        <v>7.0518097900000001</v>
      </c>
      <c r="E888" t="b">
        <f t="shared" si="312"/>
        <v>1</v>
      </c>
      <c r="F888">
        <f t="shared" si="313"/>
        <v>-1.4603724600000003</v>
      </c>
      <c r="G888">
        <f t="shared" si="314"/>
        <v>-9.9725547100000007</v>
      </c>
      <c r="H888">
        <f t="shared" si="315"/>
        <v>-18.484736959999999</v>
      </c>
      <c r="I888">
        <f t="shared" si="316"/>
        <v>-26.996919210000001</v>
      </c>
      <c r="J888">
        <f t="shared" si="317"/>
        <v>-35.509101459999997</v>
      </c>
      <c r="L888">
        <f t="shared" si="318"/>
        <v>3438921.6289999997</v>
      </c>
      <c r="M888">
        <f t="shared" si="319"/>
        <v>-2511840.6312000011</v>
      </c>
      <c r="N888">
        <f t="shared" si="320"/>
        <v>-14759380.970800001</v>
      </c>
      <c r="O888">
        <f t="shared" si="321"/>
        <v>-20702905.395200003</v>
      </c>
      <c r="P888">
        <f t="shared" si="322"/>
        <v>-24837165.6732</v>
      </c>
      <c r="Q888">
        <f t="shared" si="323"/>
        <v>-30537827.255599994</v>
      </c>
      <c r="S888">
        <f t="shared" si="324"/>
        <v>4170969.3025000002</v>
      </c>
      <c r="T888">
        <f t="shared" si="325"/>
        <v>-21640443.720699999</v>
      </c>
      <c r="U888">
        <f t="shared" si="326"/>
        <v>-18548951.760600001</v>
      </c>
      <c r="V888">
        <f t="shared" si="327"/>
        <v>-26248326.483199999</v>
      </c>
      <c r="W888">
        <f t="shared" si="328"/>
        <v>-36985779.317700006</v>
      </c>
      <c r="X888">
        <f t="shared" si="329"/>
        <v>-43321103.781199992</v>
      </c>
      <c r="Z888">
        <f t="shared" si="330"/>
        <v>4903016.9759999998</v>
      </c>
      <c r="AA888">
        <f t="shared" si="331"/>
        <v>-3826175.8452000013</v>
      </c>
      <c r="AB888">
        <f t="shared" si="332"/>
        <v>-22338522.550400004</v>
      </c>
      <c r="AC888">
        <f t="shared" si="333"/>
        <v>-36230084.441600002</v>
      </c>
      <c r="AD888">
        <f t="shared" si="334"/>
        <v>-49134392.962200001</v>
      </c>
      <c r="AE888">
        <f t="shared" si="335"/>
        <v>-56104380.306799993</v>
      </c>
    </row>
    <row r="889" spans="1:31" x14ac:dyDescent="0.25">
      <c r="A889">
        <v>45.12794444</v>
      </c>
      <c r="B889">
        <v>87.776367629999996</v>
      </c>
      <c r="C889">
        <v>2.0064427899999999</v>
      </c>
      <c r="D889">
        <v>0.71719801000000005</v>
      </c>
      <c r="E889" t="b">
        <f t="shared" si="312"/>
        <v>0</v>
      </c>
      <c r="F889">
        <f t="shared" si="313"/>
        <v>-9.3150159399999986</v>
      </c>
      <c r="G889">
        <f t="shared" si="314"/>
        <v>-19.347229889999998</v>
      </c>
      <c r="H889">
        <f t="shared" si="315"/>
        <v>-29.379443839999997</v>
      </c>
      <c r="I889">
        <f t="shared" si="316"/>
        <v>-39.41165779</v>
      </c>
      <c r="J889">
        <f t="shared" si="317"/>
        <v>-49.443871739999999</v>
      </c>
      <c r="L889">
        <f t="shared" si="318"/>
        <v>1448739.9802000001</v>
      </c>
      <c r="M889">
        <f t="shared" si="319"/>
        <v>-16021827.416800002</v>
      </c>
      <c r="N889">
        <f t="shared" si="320"/>
        <v>-28633900.237199996</v>
      </c>
      <c r="O889">
        <f t="shared" si="321"/>
        <v>-32904977.1008</v>
      </c>
      <c r="P889">
        <f t="shared" si="322"/>
        <v>-36258725.1668</v>
      </c>
      <c r="Q889">
        <f t="shared" si="323"/>
        <v>-42521729.696400002</v>
      </c>
      <c r="S889">
        <f t="shared" si="324"/>
        <v>1757135.1245000002</v>
      </c>
      <c r="T889">
        <f t="shared" si="325"/>
        <v>-41983488.861299992</v>
      </c>
      <c r="U889">
        <f t="shared" si="326"/>
        <v>-35985847.595399991</v>
      </c>
      <c r="V889">
        <f t="shared" si="327"/>
        <v>-41718810.252799995</v>
      </c>
      <c r="W889">
        <f t="shared" si="328"/>
        <v>-53993971.172300003</v>
      </c>
      <c r="X889">
        <f t="shared" si="329"/>
        <v>-60321523.522799999</v>
      </c>
      <c r="Z889">
        <f t="shared" si="330"/>
        <v>2065530.2688</v>
      </c>
      <c r="AA889">
        <f t="shared" si="331"/>
        <v>-24405341.762800001</v>
      </c>
      <c r="AB889">
        <f t="shared" si="332"/>
        <v>-43337794.953599997</v>
      </c>
      <c r="AC889">
        <f t="shared" si="333"/>
        <v>-57583709.926399991</v>
      </c>
      <c r="AD889">
        <f t="shared" si="334"/>
        <v>-71729217.1778</v>
      </c>
      <c r="AE889">
        <f t="shared" si="335"/>
        <v>-78121317.34920001</v>
      </c>
    </row>
    <row r="890" spans="1:31" x14ac:dyDescent="0.25">
      <c r="A890">
        <v>45.176844449999997</v>
      </c>
      <c r="B890">
        <v>116.9437776</v>
      </c>
      <c r="C890">
        <v>6.3704409599999998</v>
      </c>
      <c r="D890">
        <v>1.74567294</v>
      </c>
      <c r="E890" t="b">
        <f t="shared" si="312"/>
        <v>0</v>
      </c>
      <c r="F890">
        <f t="shared" si="313"/>
        <v>-30.10653186</v>
      </c>
      <c r="G890">
        <f t="shared" si="314"/>
        <v>-61.95873666</v>
      </c>
      <c r="H890">
        <f t="shared" si="315"/>
        <v>-93.810941459999995</v>
      </c>
      <c r="I890">
        <f t="shared" si="316"/>
        <v>-125.66314625999999</v>
      </c>
      <c r="J890">
        <f t="shared" si="317"/>
        <v>-157.51535106</v>
      </c>
      <c r="L890">
        <f t="shared" si="318"/>
        <v>3526259.3388</v>
      </c>
      <c r="M890">
        <f t="shared" si="319"/>
        <v>-51783234.799200006</v>
      </c>
      <c r="N890">
        <f t="shared" si="320"/>
        <v>-91698930.256799996</v>
      </c>
      <c r="O890">
        <f t="shared" si="321"/>
        <v>-105068254.43520001</v>
      </c>
      <c r="P890">
        <f t="shared" si="322"/>
        <v>-115610094.55919999</v>
      </c>
      <c r="Q890">
        <f t="shared" si="323"/>
        <v>-135463201.91159999</v>
      </c>
      <c r="S890">
        <f t="shared" si="324"/>
        <v>4276898.7029999997</v>
      </c>
      <c r="T890">
        <f t="shared" si="325"/>
        <v>-134450458.55219999</v>
      </c>
      <c r="U890">
        <f t="shared" si="326"/>
        <v>-115243250.18759999</v>
      </c>
      <c r="V890">
        <f t="shared" si="327"/>
        <v>-133211536.87319998</v>
      </c>
      <c r="W890">
        <f t="shared" si="328"/>
        <v>-172158510.37619999</v>
      </c>
      <c r="X890">
        <f t="shared" si="329"/>
        <v>-192168728.29319999</v>
      </c>
      <c r="Z890">
        <f t="shared" si="330"/>
        <v>5027538.0671999995</v>
      </c>
      <c r="AA890">
        <f t="shared" si="331"/>
        <v>-78879113.473200008</v>
      </c>
      <c r="AB890">
        <f t="shared" si="332"/>
        <v>-138787570.11840001</v>
      </c>
      <c r="AC890">
        <f t="shared" si="333"/>
        <v>-183869445.26159999</v>
      </c>
      <c r="AD890">
        <f t="shared" si="334"/>
        <v>-228706926.19319999</v>
      </c>
      <c r="AE890">
        <f t="shared" si="335"/>
        <v>-248874254.67480001</v>
      </c>
    </row>
    <row r="891" spans="1:31" x14ac:dyDescent="0.25">
      <c r="A891">
        <v>45.198293409999998</v>
      </c>
      <c r="B891">
        <v>124.7210225</v>
      </c>
      <c r="C891">
        <v>14.23618984</v>
      </c>
      <c r="D891">
        <v>5.1105141600000001</v>
      </c>
      <c r="E891" t="b">
        <f t="shared" si="312"/>
        <v>0</v>
      </c>
      <c r="F891">
        <f t="shared" si="313"/>
        <v>-66.070435040000007</v>
      </c>
      <c r="G891">
        <f t="shared" si="314"/>
        <v>-137.25138423999999</v>
      </c>
      <c r="H891">
        <f t="shared" si="315"/>
        <v>-208.43233343999998</v>
      </c>
      <c r="I891">
        <f t="shared" si="316"/>
        <v>-279.61328264000002</v>
      </c>
      <c r="J891">
        <f t="shared" si="317"/>
        <v>-350.79423184000001</v>
      </c>
      <c r="L891">
        <f t="shared" si="318"/>
        <v>10323238.6032</v>
      </c>
      <c r="M891">
        <f t="shared" si="319"/>
        <v>-113641148.26880002</v>
      </c>
      <c r="N891">
        <f t="shared" si="320"/>
        <v>-203132048.67519996</v>
      </c>
      <c r="O891">
        <f t="shared" si="321"/>
        <v>-233444213.45279998</v>
      </c>
      <c r="P891">
        <f t="shared" si="322"/>
        <v>-257244220.02880001</v>
      </c>
      <c r="Q891">
        <f t="shared" si="323"/>
        <v>-301683039.38240004</v>
      </c>
      <c r="S891">
        <f t="shared" si="324"/>
        <v>12520759.692000002</v>
      </c>
      <c r="T891">
        <f t="shared" si="325"/>
        <v>-297835503.80079997</v>
      </c>
      <c r="U891">
        <f t="shared" si="326"/>
        <v>-255287574.68639994</v>
      </c>
      <c r="V891">
        <f t="shared" si="327"/>
        <v>-295973913.48479992</v>
      </c>
      <c r="W891">
        <f t="shared" si="328"/>
        <v>-383070197.21680009</v>
      </c>
      <c r="X891">
        <f t="shared" si="329"/>
        <v>-427968962.84480006</v>
      </c>
      <c r="Z891">
        <f t="shared" si="330"/>
        <v>14718280.7808</v>
      </c>
      <c r="AA891">
        <f t="shared" si="331"/>
        <v>-173104539.80480003</v>
      </c>
      <c r="AB891">
        <f t="shared" si="332"/>
        <v>-307443100.69760001</v>
      </c>
      <c r="AC891">
        <f t="shared" si="333"/>
        <v>-408527373.54239994</v>
      </c>
      <c r="AD891">
        <f t="shared" si="334"/>
        <v>-508896174.40480012</v>
      </c>
      <c r="AE891">
        <f t="shared" si="335"/>
        <v>-554254886.30720007</v>
      </c>
    </row>
    <row r="892" spans="1:31" x14ac:dyDescent="0.25">
      <c r="A892">
        <v>45.223644090000001</v>
      </c>
      <c r="B892">
        <v>84.939525459999999</v>
      </c>
      <c r="C892">
        <v>10.58811188</v>
      </c>
      <c r="D892">
        <v>26.16229057</v>
      </c>
      <c r="E892" t="b">
        <f t="shared" si="312"/>
        <v>1</v>
      </c>
      <c r="F892">
        <f t="shared" si="313"/>
        <v>-26.778268829999998</v>
      </c>
      <c r="G892">
        <f t="shared" si="314"/>
        <v>-79.71882823</v>
      </c>
      <c r="H892">
        <f t="shared" si="315"/>
        <v>-132.65938763</v>
      </c>
      <c r="I892">
        <f t="shared" si="316"/>
        <v>-185.59994702999998</v>
      </c>
      <c r="J892">
        <f t="shared" si="317"/>
        <v>-238.54050642999997</v>
      </c>
      <c r="L892">
        <f t="shared" si="318"/>
        <v>21387985.997599997</v>
      </c>
      <c r="M892">
        <f t="shared" si="319"/>
        <v>-46058622.387600005</v>
      </c>
      <c r="N892">
        <f t="shared" si="320"/>
        <v>-117983865.78040001</v>
      </c>
      <c r="O892">
        <f t="shared" si="321"/>
        <v>-148578514.14560002</v>
      </c>
      <c r="P892">
        <f t="shared" si="322"/>
        <v>-170751951.26759997</v>
      </c>
      <c r="Q892">
        <f t="shared" si="323"/>
        <v>-205144835.52979997</v>
      </c>
      <c r="S892">
        <f t="shared" si="324"/>
        <v>25940874.105999999</v>
      </c>
      <c r="T892">
        <f t="shared" si="325"/>
        <v>-172989857.25909999</v>
      </c>
      <c r="U892">
        <f t="shared" si="326"/>
        <v>-148277020.50779998</v>
      </c>
      <c r="V892">
        <f t="shared" si="327"/>
        <v>-188376330.4346</v>
      </c>
      <c r="W892">
        <f t="shared" si="328"/>
        <v>-254271927.43109998</v>
      </c>
      <c r="X892">
        <f t="shared" si="329"/>
        <v>-291019417.84459996</v>
      </c>
      <c r="Z892">
        <f t="shared" si="330"/>
        <v>30493762.214399997</v>
      </c>
      <c r="AA892">
        <f t="shared" si="331"/>
        <v>-70159064.334600002</v>
      </c>
      <c r="AB892">
        <f t="shared" si="332"/>
        <v>-178570175.23520002</v>
      </c>
      <c r="AC892">
        <f t="shared" si="333"/>
        <v>-260012399.75479999</v>
      </c>
      <c r="AD892">
        <f t="shared" si="334"/>
        <v>-337791903.59459996</v>
      </c>
      <c r="AE892">
        <f t="shared" si="335"/>
        <v>-376894000.15939999</v>
      </c>
    </row>
    <row r="893" spans="1:31" x14ac:dyDescent="0.25">
      <c r="A893">
        <v>45.225318799999997</v>
      </c>
      <c r="B893">
        <v>87.815316890000005</v>
      </c>
      <c r="C893">
        <v>2.0064427899999999</v>
      </c>
      <c r="D893">
        <v>0.25060901000000002</v>
      </c>
      <c r="E893" t="b">
        <f t="shared" si="312"/>
        <v>0</v>
      </c>
      <c r="F893">
        <f t="shared" si="313"/>
        <v>-9.7816049399999994</v>
      </c>
      <c r="G893">
        <f t="shared" si="314"/>
        <v>-19.813818889999997</v>
      </c>
      <c r="H893">
        <f t="shared" si="315"/>
        <v>-29.846032839999996</v>
      </c>
      <c r="I893">
        <f t="shared" si="316"/>
        <v>-39.878246789999999</v>
      </c>
      <c r="J893">
        <f t="shared" si="317"/>
        <v>-49.910460739999998</v>
      </c>
      <c r="L893">
        <f t="shared" si="318"/>
        <v>506230.20020000002</v>
      </c>
      <c r="M893">
        <f t="shared" si="319"/>
        <v>-16824360.496800002</v>
      </c>
      <c r="N893">
        <f t="shared" si="320"/>
        <v>-29324451.957199994</v>
      </c>
      <c r="O893">
        <f t="shared" si="321"/>
        <v>-33427556.7808</v>
      </c>
      <c r="P893">
        <f t="shared" si="322"/>
        <v>-36687987.046799995</v>
      </c>
      <c r="Q893">
        <f t="shared" si="323"/>
        <v>-42922996.236399993</v>
      </c>
      <c r="S893">
        <f t="shared" si="324"/>
        <v>613992.0745000001</v>
      </c>
      <c r="T893">
        <f t="shared" si="325"/>
        <v>-42995986.991299994</v>
      </c>
      <c r="U893">
        <f t="shared" si="326"/>
        <v>-36853703.13539999</v>
      </c>
      <c r="V893">
        <f t="shared" si="327"/>
        <v>-42381366.63279999</v>
      </c>
      <c r="W893">
        <f t="shared" si="328"/>
        <v>-54633198.102300003</v>
      </c>
      <c r="X893">
        <f t="shared" si="329"/>
        <v>-60890762.102799989</v>
      </c>
      <c r="Z893">
        <f t="shared" si="330"/>
        <v>721753.94880000001</v>
      </c>
      <c r="AA893">
        <f t="shared" si="331"/>
        <v>-25627804.9428</v>
      </c>
      <c r="AB893">
        <f t="shared" si="332"/>
        <v>-44382954.313599996</v>
      </c>
      <c r="AC893">
        <f t="shared" si="333"/>
        <v>-58498224.366399989</v>
      </c>
      <c r="AD893">
        <f t="shared" si="334"/>
        <v>-72578409.157800004</v>
      </c>
      <c r="AE893">
        <f t="shared" si="335"/>
        <v>-78858527.9692</v>
      </c>
    </row>
    <row r="894" spans="1:31" x14ac:dyDescent="0.25">
      <c r="A894">
        <v>45.232829580000001</v>
      </c>
      <c r="B894">
        <v>124.4696376</v>
      </c>
      <c r="C894">
        <v>1.70243645</v>
      </c>
      <c r="D894">
        <v>21.820411679999999</v>
      </c>
      <c r="E894" t="b">
        <f t="shared" si="312"/>
        <v>1</v>
      </c>
      <c r="F894">
        <f t="shared" si="313"/>
        <v>13.308229429999999</v>
      </c>
      <c r="G894">
        <f t="shared" si="314"/>
        <v>4.7960471799999986</v>
      </c>
      <c r="H894">
        <f t="shared" si="315"/>
        <v>-3.71613507</v>
      </c>
      <c r="I894">
        <f t="shared" si="316"/>
        <v>-12.228317320000002</v>
      </c>
      <c r="J894">
        <f t="shared" si="317"/>
        <v>-20.740499569999997</v>
      </c>
      <c r="L894">
        <f t="shared" si="318"/>
        <v>3438921.6289999997</v>
      </c>
      <c r="M894">
        <f t="shared" si="319"/>
        <v>2928190.6940000001</v>
      </c>
      <c r="N894">
        <f t="shared" si="320"/>
        <v>2519605.946</v>
      </c>
      <c r="O894">
        <f t="shared" si="321"/>
        <v>-4162071.2784000002</v>
      </c>
      <c r="P894">
        <f t="shared" si="322"/>
        <v>-11250051.934400002</v>
      </c>
      <c r="Q894">
        <f t="shared" si="323"/>
        <v>-17836829.630199999</v>
      </c>
      <c r="S894">
        <f t="shared" si="324"/>
        <v>4170969.3025000002</v>
      </c>
      <c r="T894">
        <f t="shared" si="325"/>
        <v>3694287.0965</v>
      </c>
      <c r="U894">
        <f t="shared" si="326"/>
        <v>3166531.7969999998</v>
      </c>
      <c r="V894">
        <f t="shared" si="327"/>
        <v>-5276911.7993999999</v>
      </c>
      <c r="W894">
        <f t="shared" si="328"/>
        <v>-16752794.728400005</v>
      </c>
      <c r="X894">
        <f t="shared" si="329"/>
        <v>-25303409.475399997</v>
      </c>
      <c r="Z894">
        <f t="shared" si="330"/>
        <v>4903016.9759999998</v>
      </c>
      <c r="AA894">
        <f t="shared" si="331"/>
        <v>4460383.4989999998</v>
      </c>
      <c r="AB894">
        <f t="shared" si="332"/>
        <v>3813457.648</v>
      </c>
      <c r="AC894">
        <f t="shared" si="333"/>
        <v>-7283624.7371999994</v>
      </c>
      <c r="AD894">
        <f t="shared" si="334"/>
        <v>-22255537.522400003</v>
      </c>
      <c r="AE894">
        <f t="shared" si="335"/>
        <v>-32769989.320599996</v>
      </c>
    </row>
    <row r="895" spans="1:31" x14ac:dyDescent="0.25">
      <c r="A895">
        <v>45.237475719999999</v>
      </c>
      <c r="B895">
        <v>85.328552040000005</v>
      </c>
      <c r="C895">
        <v>0.72106236000000001</v>
      </c>
      <c r="D895">
        <v>1.06621802</v>
      </c>
      <c r="E895" t="b">
        <f t="shared" si="312"/>
        <v>1</v>
      </c>
      <c r="F895">
        <f t="shared" si="313"/>
        <v>-2.53909378</v>
      </c>
      <c r="G895">
        <f t="shared" si="314"/>
        <v>-6.1444055799999999</v>
      </c>
      <c r="H895">
        <f t="shared" si="315"/>
        <v>-9.7497173799999999</v>
      </c>
      <c r="I895">
        <f t="shared" si="316"/>
        <v>-13.355029179999999</v>
      </c>
      <c r="J895">
        <f t="shared" si="317"/>
        <v>-16.960340979999998</v>
      </c>
      <c r="L895">
        <f t="shared" si="318"/>
        <v>1456545.9672000001</v>
      </c>
      <c r="M895">
        <f t="shared" si="319"/>
        <v>-4367241.3015999999</v>
      </c>
      <c r="N895">
        <f t="shared" si="320"/>
        <v>-9093720.2584000006</v>
      </c>
      <c r="O895">
        <f t="shared" si="321"/>
        <v>-10919683.465600001</v>
      </c>
      <c r="P895">
        <f t="shared" si="322"/>
        <v>-12286626.8456</v>
      </c>
      <c r="Q895">
        <f t="shared" si="323"/>
        <v>-14585893.242799997</v>
      </c>
      <c r="S895">
        <f t="shared" si="324"/>
        <v>1766602.7820000001</v>
      </c>
      <c r="T895">
        <f t="shared" si="325"/>
        <v>-13333360.1086</v>
      </c>
      <c r="U895">
        <f t="shared" si="326"/>
        <v>-11428594.378799999</v>
      </c>
      <c r="V895">
        <f t="shared" si="327"/>
        <v>-13844598.679599999</v>
      </c>
      <c r="W895">
        <f t="shared" si="328"/>
        <v>-18296389.976600002</v>
      </c>
      <c r="X895">
        <f t="shared" si="329"/>
        <v>-20691615.995599996</v>
      </c>
      <c r="Z895">
        <f t="shared" si="330"/>
        <v>2076659.5967999999</v>
      </c>
      <c r="AA895">
        <f t="shared" si="331"/>
        <v>-6652425.7035999997</v>
      </c>
      <c r="AB895">
        <f t="shared" si="332"/>
        <v>-13763468.499200001</v>
      </c>
      <c r="AC895">
        <f t="shared" si="333"/>
        <v>-19109446.064799998</v>
      </c>
      <c r="AD895">
        <f t="shared" si="334"/>
        <v>-24306153.1076</v>
      </c>
      <c r="AE895">
        <f t="shared" si="335"/>
        <v>-26797338.748399995</v>
      </c>
    </row>
    <row r="896" spans="1:31" x14ac:dyDescent="0.25">
      <c r="A896">
        <v>45.256039530000002</v>
      </c>
      <c r="B896">
        <v>123.95430020000001</v>
      </c>
      <c r="C896">
        <v>0.44901341</v>
      </c>
      <c r="D896">
        <v>12.56952763</v>
      </c>
      <c r="E896" t="b">
        <f t="shared" si="312"/>
        <v>1</v>
      </c>
      <c r="F896">
        <f t="shared" si="313"/>
        <v>10.32446058</v>
      </c>
      <c r="G896">
        <f t="shared" si="314"/>
        <v>8.0793935300000008</v>
      </c>
      <c r="H896">
        <f t="shared" si="315"/>
        <v>5.8343264799999996</v>
      </c>
      <c r="I896">
        <f t="shared" si="316"/>
        <v>3.5892594300000003</v>
      </c>
      <c r="J896">
        <f t="shared" si="317"/>
        <v>1.3441923799999991</v>
      </c>
      <c r="L896">
        <f t="shared" si="318"/>
        <v>907007.0882</v>
      </c>
      <c r="M896">
        <f t="shared" si="319"/>
        <v>772303.06520000007</v>
      </c>
      <c r="N896">
        <f t="shared" si="320"/>
        <v>664539.84679999994</v>
      </c>
      <c r="O896">
        <f t="shared" si="321"/>
        <v>502895.01920000004</v>
      </c>
      <c r="P896">
        <f t="shared" si="322"/>
        <v>413092.33719999995</v>
      </c>
      <c r="Q896">
        <f t="shared" si="323"/>
        <v>386151.53259999998</v>
      </c>
      <c r="S896">
        <f t="shared" si="324"/>
        <v>1100082.8545000001</v>
      </c>
      <c r="T896">
        <f t="shared" si="325"/>
        <v>974359.0996999999</v>
      </c>
      <c r="U896">
        <f t="shared" si="326"/>
        <v>835164.94259999995</v>
      </c>
      <c r="V896">
        <f t="shared" si="327"/>
        <v>637599.04219999991</v>
      </c>
      <c r="W896">
        <f t="shared" si="328"/>
        <v>615148.37170000002</v>
      </c>
      <c r="X896">
        <f t="shared" si="329"/>
        <v>547796.3602</v>
      </c>
      <c r="Z896">
        <f t="shared" si="330"/>
        <v>1293158.6207999999</v>
      </c>
      <c r="AA896">
        <f t="shared" si="331"/>
        <v>1176415.1342</v>
      </c>
      <c r="AB896">
        <f t="shared" si="332"/>
        <v>1005790.0384000001</v>
      </c>
      <c r="AC896">
        <f t="shared" si="333"/>
        <v>880066.28359999997</v>
      </c>
      <c r="AD896">
        <f t="shared" si="334"/>
        <v>817204.40619999997</v>
      </c>
      <c r="AE896">
        <f t="shared" si="335"/>
        <v>709441.18779999996</v>
      </c>
    </row>
    <row r="897" spans="1:31" x14ac:dyDescent="0.25">
      <c r="A897">
        <v>45.277576609999997</v>
      </c>
      <c r="B897">
        <v>84.988273559999996</v>
      </c>
      <c r="C897">
        <v>10.58811188</v>
      </c>
      <c r="D897">
        <v>3.4324939300000001</v>
      </c>
      <c r="E897" t="b">
        <f t="shared" si="312"/>
        <v>0</v>
      </c>
      <c r="F897">
        <f t="shared" si="313"/>
        <v>-49.508065469999998</v>
      </c>
      <c r="G897">
        <f t="shared" si="314"/>
        <v>-102.44862486999999</v>
      </c>
      <c r="H897">
        <f t="shared" si="315"/>
        <v>-155.38918427000002</v>
      </c>
      <c r="I897">
        <f t="shared" si="316"/>
        <v>-208.32974367</v>
      </c>
      <c r="J897">
        <f t="shared" si="317"/>
        <v>-261.27030306999995</v>
      </c>
      <c r="L897">
        <f t="shared" si="318"/>
        <v>6933637.7386000007</v>
      </c>
      <c r="M897">
        <f t="shared" si="319"/>
        <v>-85153872.608400002</v>
      </c>
      <c r="N897">
        <f t="shared" si="320"/>
        <v>-151623964.80759999</v>
      </c>
      <c r="O897">
        <f t="shared" si="321"/>
        <v>-174035886.38240004</v>
      </c>
      <c r="P897">
        <f t="shared" si="322"/>
        <v>-191663364.17639998</v>
      </c>
      <c r="Q897">
        <f t="shared" si="323"/>
        <v>-224692460.64019996</v>
      </c>
      <c r="S897">
        <f t="shared" si="324"/>
        <v>8409610.1285000015</v>
      </c>
      <c r="T897">
        <f t="shared" si="325"/>
        <v>-222313515.96789998</v>
      </c>
      <c r="U897">
        <f t="shared" si="326"/>
        <v>-190554442.25819996</v>
      </c>
      <c r="V897">
        <f t="shared" si="327"/>
        <v>-220652641.66339999</v>
      </c>
      <c r="W897">
        <f t="shared" si="328"/>
        <v>-285411748.82789999</v>
      </c>
      <c r="X897">
        <f t="shared" si="329"/>
        <v>-318749769.74539995</v>
      </c>
      <c r="Z897">
        <f t="shared" si="330"/>
        <v>9885582.5184000004</v>
      </c>
      <c r="AA897">
        <f t="shared" si="331"/>
        <v>-129711131.5314</v>
      </c>
      <c r="AB897">
        <f t="shared" si="332"/>
        <v>-229484919.70879999</v>
      </c>
      <c r="AC897">
        <f t="shared" si="333"/>
        <v>-304562801.1692</v>
      </c>
      <c r="AD897">
        <f t="shared" si="334"/>
        <v>-379160133.47939998</v>
      </c>
      <c r="AE897">
        <f t="shared" si="335"/>
        <v>-412807078.85059994</v>
      </c>
    </row>
    <row r="898" spans="1:31" x14ac:dyDescent="0.25">
      <c r="A898">
        <v>45.295050510000003</v>
      </c>
      <c r="B898">
        <v>115.9956667</v>
      </c>
      <c r="C898">
        <v>6.3704409599999998</v>
      </c>
      <c r="D898">
        <v>6.3535819099999999</v>
      </c>
      <c r="E898" t="b">
        <f t="shared" si="312"/>
        <v>0</v>
      </c>
      <c r="F898">
        <f t="shared" si="313"/>
        <v>-25.49862289</v>
      </c>
      <c r="G898">
        <f t="shared" si="314"/>
        <v>-57.350827689999996</v>
      </c>
      <c r="H898">
        <f t="shared" si="315"/>
        <v>-89.203032489999998</v>
      </c>
      <c r="I898">
        <f t="shared" si="316"/>
        <v>-121.05523728999999</v>
      </c>
      <c r="J898">
        <f t="shared" si="317"/>
        <v>-152.90744208999999</v>
      </c>
      <c r="L898">
        <f t="shared" si="318"/>
        <v>12834235.4582</v>
      </c>
      <c r="M898">
        <f t="shared" si="319"/>
        <v>-43857631.370800003</v>
      </c>
      <c r="N898">
        <f t="shared" si="320"/>
        <v>-84879224.981199995</v>
      </c>
      <c r="O898">
        <f t="shared" si="321"/>
        <v>-99907396.38880001</v>
      </c>
      <c r="P898">
        <f t="shared" si="322"/>
        <v>-111370818.30679998</v>
      </c>
      <c r="Q898">
        <f t="shared" si="323"/>
        <v>-131500400.1974</v>
      </c>
      <c r="S898">
        <f t="shared" si="324"/>
        <v>15566275.679500002</v>
      </c>
      <c r="T898">
        <f t="shared" si="325"/>
        <v>-124451296.08729999</v>
      </c>
      <c r="U898">
        <f t="shared" si="326"/>
        <v>-106672539.50339998</v>
      </c>
      <c r="V898">
        <f t="shared" si="327"/>
        <v>-126668306.13579999</v>
      </c>
      <c r="W898">
        <f t="shared" si="328"/>
        <v>-165845675.0873</v>
      </c>
      <c r="X898">
        <f t="shared" si="329"/>
        <v>-186547079.34979999</v>
      </c>
      <c r="Z898">
        <f t="shared" si="330"/>
        <v>18298315.900800001</v>
      </c>
      <c r="AA898">
        <f t="shared" si="331"/>
        <v>-66806391.971800007</v>
      </c>
      <c r="AB898">
        <f t="shared" si="332"/>
        <v>-128465854.0256</v>
      </c>
      <c r="AC898">
        <f t="shared" si="333"/>
        <v>-174837943.68039998</v>
      </c>
      <c r="AD898">
        <f t="shared" si="334"/>
        <v>-220320531.8678</v>
      </c>
      <c r="AE898">
        <f t="shared" si="335"/>
        <v>-241593758.50220001</v>
      </c>
    </row>
    <row r="899" spans="1:31" x14ac:dyDescent="0.25">
      <c r="A899">
        <v>45.310043559999997</v>
      </c>
      <c r="B899">
        <v>126.191456</v>
      </c>
      <c r="C899">
        <v>0.75035375000000004</v>
      </c>
      <c r="D899">
        <v>0.34505299</v>
      </c>
      <c r="E899" t="b">
        <f t="shared" ref="E899:E962" si="336">D899&gt;C899</f>
        <v>0</v>
      </c>
      <c r="F899">
        <f t="shared" ref="F899:F962" si="337">D899-(C899*(2030-2025))</f>
        <v>-3.40671576</v>
      </c>
      <c r="G899">
        <f t="shared" ref="G899:G962" si="338">D899-(C899*(2035-2025))</f>
        <v>-7.1584845100000001</v>
      </c>
      <c r="H899">
        <f t="shared" ref="H899:H962" si="339">D899-(C899*(2040-2025))</f>
        <v>-10.910253260000001</v>
      </c>
      <c r="I899">
        <f t="shared" ref="I899:I962" si="340">D899-(C899*(2045-2025))</f>
        <v>-14.662022010000001</v>
      </c>
      <c r="J899">
        <f t="shared" ref="J899:J962" si="341">D899-(C899*(2050-2025))</f>
        <v>-18.413790760000001</v>
      </c>
      <c r="L899">
        <f t="shared" ref="L899:L962" si="342">MIN(C899,D899)*1000000*((280/250)+0.9)</f>
        <v>697007.03980000003</v>
      </c>
      <c r="M899">
        <f t="shared" ref="M899:M962" si="343">MIN(C899,F899)*1000000*((230/250)+0.8)</f>
        <v>-5859551.1072000004</v>
      </c>
      <c r="N899">
        <f t="shared" ref="N899:N962" si="344">MIN(C899,G899)*1000000*((195/250)+0.7)</f>
        <v>-10594557.0748</v>
      </c>
      <c r="O899">
        <f t="shared" ref="O899:O962" si="345">MIN(C899,H899)*1000000*((130/250)+0.6)</f>
        <v>-12219483.651200004</v>
      </c>
      <c r="P899">
        <f t="shared" ref="P899:P962" si="346">MIN(C899,I899)*1000000*((105/250)+0.5)</f>
        <v>-13489060.249200001</v>
      </c>
      <c r="Q899">
        <f t="shared" ref="Q899:Q962" si="347">MIN(C899,J899)*1000000*((90/250)+0.5)</f>
        <v>-15835860.053600002</v>
      </c>
      <c r="S899">
        <f t="shared" ref="S899:S962" si="348">MIN(C899,D899)*1000000*((325/250)+1.15)</f>
        <v>845379.82550000004</v>
      </c>
      <c r="T899">
        <f t="shared" ref="T899:T962" si="349">MIN(C899,G899)*1000000*((280/250)+1.05)</f>
        <v>-15533911.386699999</v>
      </c>
      <c r="U899">
        <f t="shared" ref="U899:U962" si="350">MIN(C899,G899)*1000000*((227.5/250)+0.95)</f>
        <v>-13314781.188599998</v>
      </c>
      <c r="V899">
        <f t="shared" ref="V899:V962" si="351">MIN(C899,H899)*1000000*((142.5/250)+0.85)</f>
        <v>-15492559.629200002</v>
      </c>
      <c r="W899">
        <f t="shared" ref="W899:W962" si="352">MIN(C899,I899)*1000000*((142.5/250)+0.8)</f>
        <v>-20086970.153700005</v>
      </c>
      <c r="X899">
        <f t="shared" ref="X899:X962" si="353">MIN(C899,J899)*1000000*((117.5/250)+0.75)</f>
        <v>-22464824.727200001</v>
      </c>
      <c r="Z899">
        <f t="shared" ref="Z899:Z962" si="354">MIN(C899,D899)*1000000*((370/250)+1.4)</f>
        <v>993752.61119999993</v>
      </c>
      <c r="AA899">
        <f t="shared" ref="AA899:AA962" si="355">MIN(C899,F899)*1000000*((330/250)+1.3)</f>
        <v>-8925595.2911999989</v>
      </c>
      <c r="AB899">
        <f t="shared" ref="AB899:AB962" si="356">MIN(C899,G899)*1000000*((260/250)+1.2)</f>
        <v>-16035005.3024</v>
      </c>
      <c r="AC899">
        <f t="shared" ref="AC899:AC962" si="357">MIN(C899,H899)*1000000*((215/250)+1.1)</f>
        <v>-21384096.389600001</v>
      </c>
      <c r="AD899">
        <f t="shared" ref="AD899:AD962" si="358">MIN(C899,I899)*1000000*((180/250)+1.1)</f>
        <v>-26684880.058200005</v>
      </c>
      <c r="AE899">
        <f t="shared" ref="AE899:AE962" si="359">MIN(C899,J899)*1000000*((145/250)+1)</f>
        <v>-29093789.400800005</v>
      </c>
    </row>
    <row r="900" spans="1:31" x14ac:dyDescent="0.25">
      <c r="A900">
        <v>45.316456049999999</v>
      </c>
      <c r="B900">
        <v>88.508215860000007</v>
      </c>
      <c r="C900">
        <v>2.0064427899999999</v>
      </c>
      <c r="D900">
        <v>0.97312200000000004</v>
      </c>
      <c r="E900" t="b">
        <f t="shared" si="336"/>
        <v>0</v>
      </c>
      <c r="F900">
        <f t="shared" si="337"/>
        <v>-9.0590919499999991</v>
      </c>
      <c r="G900">
        <f t="shared" si="338"/>
        <v>-19.091305899999998</v>
      </c>
      <c r="H900">
        <f t="shared" si="339"/>
        <v>-29.123519849999997</v>
      </c>
      <c r="I900">
        <f t="shared" si="340"/>
        <v>-39.155733799999993</v>
      </c>
      <c r="J900">
        <f t="shared" si="341"/>
        <v>-49.187947749999992</v>
      </c>
      <c r="L900">
        <f t="shared" si="342"/>
        <v>1965706.44</v>
      </c>
      <c r="M900">
        <f t="shared" si="343"/>
        <v>-15581638.154000001</v>
      </c>
      <c r="N900">
        <f t="shared" si="344"/>
        <v>-28255132.731999997</v>
      </c>
      <c r="O900">
        <f t="shared" si="345"/>
        <v>-32618342.232000001</v>
      </c>
      <c r="P900">
        <f t="shared" si="346"/>
        <v>-36023275.095999986</v>
      </c>
      <c r="Q900">
        <f t="shared" si="347"/>
        <v>-42301635.06499999</v>
      </c>
      <c r="S900">
        <f t="shared" si="348"/>
        <v>2384148.9000000004</v>
      </c>
      <c r="T900">
        <f t="shared" si="349"/>
        <v>-41428133.802999996</v>
      </c>
      <c r="U900">
        <f t="shared" si="350"/>
        <v>-35509828.973999992</v>
      </c>
      <c r="V900">
        <f t="shared" si="351"/>
        <v>-41355398.186999992</v>
      </c>
      <c r="W900">
        <f t="shared" si="352"/>
        <v>-53643355.305999987</v>
      </c>
      <c r="X900">
        <f t="shared" si="353"/>
        <v>-60009296.254999988</v>
      </c>
      <c r="Z900">
        <f t="shared" si="354"/>
        <v>2802591.36</v>
      </c>
      <c r="AA900">
        <f t="shared" si="355"/>
        <v>-23734820.908999998</v>
      </c>
      <c r="AB900">
        <f t="shared" si="356"/>
        <v>-42764525.215999998</v>
      </c>
      <c r="AC900">
        <f t="shared" si="357"/>
        <v>-57082098.905999996</v>
      </c>
      <c r="AD900">
        <f t="shared" si="358"/>
        <v>-71263435.515999988</v>
      </c>
      <c r="AE900">
        <f t="shared" si="359"/>
        <v>-77716957.444999993</v>
      </c>
    </row>
    <row r="901" spans="1:31" x14ac:dyDescent="0.25">
      <c r="A901">
        <v>45.321671799999997</v>
      </c>
      <c r="B901">
        <v>124.49394359999999</v>
      </c>
      <c r="C901">
        <v>14.23618984</v>
      </c>
      <c r="D901">
        <v>7.6229448299999998</v>
      </c>
      <c r="E901" t="b">
        <f t="shared" si="336"/>
        <v>0</v>
      </c>
      <c r="F901">
        <f t="shared" si="337"/>
        <v>-63.558004369999999</v>
      </c>
      <c r="G901">
        <f t="shared" si="338"/>
        <v>-134.73895357000001</v>
      </c>
      <c r="H901">
        <f t="shared" si="339"/>
        <v>-205.91990276999999</v>
      </c>
      <c r="I901">
        <f t="shared" si="340"/>
        <v>-277.10085197000001</v>
      </c>
      <c r="J901">
        <f t="shared" si="341"/>
        <v>-348.28180116999999</v>
      </c>
      <c r="L901">
        <f t="shared" si="342"/>
        <v>15398348.556600001</v>
      </c>
      <c r="M901">
        <f t="shared" si="343"/>
        <v>-109319767.51640001</v>
      </c>
      <c r="N901">
        <f t="shared" si="344"/>
        <v>-199413651.28359997</v>
      </c>
      <c r="O901">
        <f t="shared" si="345"/>
        <v>-230630291.1024</v>
      </c>
      <c r="P901">
        <f t="shared" si="346"/>
        <v>-254932783.81240001</v>
      </c>
      <c r="Q901">
        <f t="shared" si="347"/>
        <v>-299522349.00620002</v>
      </c>
      <c r="S901">
        <f t="shared" si="348"/>
        <v>18676214.833500002</v>
      </c>
      <c r="T901">
        <f t="shared" si="349"/>
        <v>-292383529.24689996</v>
      </c>
      <c r="U901">
        <f t="shared" si="350"/>
        <v>-250614453.64019996</v>
      </c>
      <c r="V901">
        <f t="shared" si="351"/>
        <v>-292406261.93339998</v>
      </c>
      <c r="W901">
        <f t="shared" si="352"/>
        <v>-379628167.19890004</v>
      </c>
      <c r="X901">
        <f t="shared" si="353"/>
        <v>-424903797.42739999</v>
      </c>
      <c r="Z901">
        <f t="shared" si="354"/>
        <v>21954081.110399999</v>
      </c>
      <c r="AA901">
        <f t="shared" si="355"/>
        <v>-166521971.44940001</v>
      </c>
      <c r="AB901">
        <f t="shared" si="356"/>
        <v>-301815255.99680001</v>
      </c>
      <c r="AC901">
        <f t="shared" si="357"/>
        <v>-403603009.42919993</v>
      </c>
      <c r="AD901">
        <f t="shared" si="358"/>
        <v>-504323550.58540004</v>
      </c>
      <c r="AE901">
        <f t="shared" si="359"/>
        <v>-550285245.84860003</v>
      </c>
    </row>
    <row r="902" spans="1:31" x14ac:dyDescent="0.25">
      <c r="A902">
        <v>45.322772880000002</v>
      </c>
      <c r="B902">
        <v>124.82090100000001</v>
      </c>
      <c r="C902">
        <v>0.35140180999999998</v>
      </c>
      <c r="D902">
        <v>19.3736496</v>
      </c>
      <c r="E902" t="b">
        <f t="shared" si="336"/>
        <v>1</v>
      </c>
      <c r="F902">
        <f t="shared" si="337"/>
        <v>17.61664055</v>
      </c>
      <c r="G902">
        <f t="shared" si="338"/>
        <v>15.859631500000001</v>
      </c>
      <c r="H902">
        <f t="shared" si="339"/>
        <v>14.10262245</v>
      </c>
      <c r="I902">
        <f t="shared" si="340"/>
        <v>12.345613400000001</v>
      </c>
      <c r="J902">
        <f t="shared" si="341"/>
        <v>10.588604350000001</v>
      </c>
      <c r="L902">
        <f t="shared" si="342"/>
        <v>709831.65619999997</v>
      </c>
      <c r="M902">
        <f t="shared" si="343"/>
        <v>604411.11320000002</v>
      </c>
      <c r="N902">
        <f t="shared" si="344"/>
        <v>520074.67879999999</v>
      </c>
      <c r="O902">
        <f t="shared" si="345"/>
        <v>393570.02720000001</v>
      </c>
      <c r="P902">
        <f t="shared" si="346"/>
        <v>323289.66519999999</v>
      </c>
      <c r="Q902">
        <f t="shared" si="347"/>
        <v>302205.55660000001</v>
      </c>
      <c r="S902">
        <f t="shared" si="348"/>
        <v>860934.43450000009</v>
      </c>
      <c r="T902">
        <f t="shared" si="349"/>
        <v>762541.9277</v>
      </c>
      <c r="U902">
        <f t="shared" si="350"/>
        <v>653607.36659999995</v>
      </c>
      <c r="V902">
        <f t="shared" si="351"/>
        <v>498990.57019999996</v>
      </c>
      <c r="W902">
        <f t="shared" si="352"/>
        <v>481420.47970000003</v>
      </c>
      <c r="X902">
        <f t="shared" si="353"/>
        <v>428710.20819999999</v>
      </c>
      <c r="Z902">
        <f t="shared" si="354"/>
        <v>1012037.2128</v>
      </c>
      <c r="AA902">
        <f t="shared" si="355"/>
        <v>920672.74219999998</v>
      </c>
      <c r="AB902">
        <f t="shared" si="356"/>
        <v>787140.05440000002</v>
      </c>
      <c r="AC902">
        <f t="shared" si="357"/>
        <v>688747.54759999993</v>
      </c>
      <c r="AD902">
        <f t="shared" si="358"/>
        <v>639551.2942</v>
      </c>
      <c r="AE902">
        <f t="shared" si="359"/>
        <v>555214.85979999998</v>
      </c>
    </row>
    <row r="903" spans="1:31" x14ac:dyDescent="0.25">
      <c r="A903">
        <v>45.325903420000003</v>
      </c>
      <c r="B903">
        <v>85.301388529999997</v>
      </c>
      <c r="C903">
        <v>0.72106236000000001</v>
      </c>
      <c r="D903">
        <v>9.02046013</v>
      </c>
      <c r="E903" t="b">
        <f t="shared" si="336"/>
        <v>1</v>
      </c>
      <c r="F903">
        <f t="shared" si="337"/>
        <v>5.4151483300000001</v>
      </c>
      <c r="G903">
        <f t="shared" si="338"/>
        <v>1.8098365300000001</v>
      </c>
      <c r="H903">
        <f t="shared" si="339"/>
        <v>-1.7954752700000007</v>
      </c>
      <c r="I903">
        <f t="shared" si="340"/>
        <v>-5.4007870699999998</v>
      </c>
      <c r="J903">
        <f t="shared" si="341"/>
        <v>-9.0060988699999989</v>
      </c>
      <c r="L903">
        <f t="shared" si="342"/>
        <v>1456545.9672000001</v>
      </c>
      <c r="M903">
        <f t="shared" si="343"/>
        <v>1240227.2592000002</v>
      </c>
      <c r="N903">
        <f t="shared" si="344"/>
        <v>1067172.2927999999</v>
      </c>
      <c r="O903">
        <f t="shared" si="345"/>
        <v>-2010932.3024000011</v>
      </c>
      <c r="P903">
        <f t="shared" si="346"/>
        <v>-4968724.1043999987</v>
      </c>
      <c r="Q903">
        <f t="shared" si="347"/>
        <v>-7745245.0281999996</v>
      </c>
      <c r="S903">
        <f t="shared" si="348"/>
        <v>1766602.7820000001</v>
      </c>
      <c r="T903">
        <f t="shared" si="349"/>
        <v>1564705.3211999999</v>
      </c>
      <c r="U903">
        <f t="shared" si="350"/>
        <v>1341175.9896</v>
      </c>
      <c r="V903">
        <f t="shared" si="351"/>
        <v>-2549574.8834000011</v>
      </c>
      <c r="W903">
        <f t="shared" si="352"/>
        <v>-7399078.2858999996</v>
      </c>
      <c r="X903">
        <f t="shared" si="353"/>
        <v>-10987440.621399999</v>
      </c>
      <c r="Z903">
        <f t="shared" si="354"/>
        <v>2076659.5967999999</v>
      </c>
      <c r="AA903">
        <f t="shared" si="355"/>
        <v>1889183.3832</v>
      </c>
      <c r="AB903">
        <f t="shared" si="356"/>
        <v>1615179.6864</v>
      </c>
      <c r="AC903">
        <f t="shared" si="357"/>
        <v>-3519131.5292000012</v>
      </c>
      <c r="AD903">
        <f t="shared" si="358"/>
        <v>-9829432.4673999995</v>
      </c>
      <c r="AE903">
        <f t="shared" si="359"/>
        <v>-14229636.214599999</v>
      </c>
    </row>
    <row r="904" spans="1:31" x14ac:dyDescent="0.25">
      <c r="A904">
        <v>45.365925279999999</v>
      </c>
      <c r="B904">
        <v>84.960653699999995</v>
      </c>
      <c r="C904">
        <v>10.58811188</v>
      </c>
      <c r="D904">
        <v>16.370607379999999</v>
      </c>
      <c r="E904" t="b">
        <f t="shared" si="336"/>
        <v>1</v>
      </c>
      <c r="F904">
        <f t="shared" si="337"/>
        <v>-36.569952020000002</v>
      </c>
      <c r="G904">
        <f t="shared" si="338"/>
        <v>-89.51051142</v>
      </c>
      <c r="H904">
        <f t="shared" si="339"/>
        <v>-142.45107082000001</v>
      </c>
      <c r="I904">
        <f t="shared" si="340"/>
        <v>-195.39163022</v>
      </c>
      <c r="J904">
        <f t="shared" si="341"/>
        <v>-248.33218961999998</v>
      </c>
      <c r="L904">
        <f t="shared" si="342"/>
        <v>21387985.997599997</v>
      </c>
      <c r="M904">
        <f t="shared" si="343"/>
        <v>-62900317.474400014</v>
      </c>
      <c r="N904">
        <f t="shared" si="344"/>
        <v>-132475556.9016</v>
      </c>
      <c r="O904">
        <f t="shared" si="345"/>
        <v>-159545199.31840006</v>
      </c>
      <c r="P904">
        <f t="shared" si="346"/>
        <v>-179760299.80239999</v>
      </c>
      <c r="Q904">
        <f t="shared" si="347"/>
        <v>-213565683.07319999</v>
      </c>
      <c r="S904">
        <f t="shared" si="348"/>
        <v>25940874.105999999</v>
      </c>
      <c r="T904">
        <f t="shared" si="349"/>
        <v>-194237809.7814</v>
      </c>
      <c r="U904">
        <f t="shared" si="350"/>
        <v>-166489551.2412</v>
      </c>
      <c r="V904">
        <f t="shared" si="351"/>
        <v>-202280520.56440002</v>
      </c>
      <c r="W904">
        <f t="shared" si="352"/>
        <v>-267686533.40140003</v>
      </c>
      <c r="X904">
        <f t="shared" si="353"/>
        <v>-302965271.33639997</v>
      </c>
      <c r="Z904">
        <f t="shared" si="354"/>
        <v>30493762.214399997</v>
      </c>
      <c r="AA904">
        <f t="shared" si="355"/>
        <v>-95813274.292400017</v>
      </c>
      <c r="AB904">
        <f t="shared" si="356"/>
        <v>-200503545.58080003</v>
      </c>
      <c r="AC904">
        <f t="shared" si="357"/>
        <v>-279204098.80720001</v>
      </c>
      <c r="AD904">
        <f t="shared" si="358"/>
        <v>-355612767.00040001</v>
      </c>
      <c r="AE904">
        <f t="shared" si="359"/>
        <v>-392364859.59959996</v>
      </c>
    </row>
    <row r="905" spans="1:31" x14ac:dyDescent="0.25">
      <c r="A905">
        <v>45.380355219999998</v>
      </c>
      <c r="B905">
        <v>116.0727244</v>
      </c>
      <c r="C905">
        <v>6.3704409599999998</v>
      </c>
      <c r="D905">
        <v>5.5550441700000004</v>
      </c>
      <c r="E905" t="b">
        <f t="shared" si="336"/>
        <v>0</v>
      </c>
      <c r="F905">
        <f t="shared" si="337"/>
        <v>-26.29716063</v>
      </c>
      <c r="G905">
        <f t="shared" si="338"/>
        <v>-58.149365429999996</v>
      </c>
      <c r="H905">
        <f t="shared" si="339"/>
        <v>-90.001570229999999</v>
      </c>
      <c r="I905">
        <f t="shared" si="340"/>
        <v>-121.85377502999999</v>
      </c>
      <c r="J905">
        <f t="shared" si="341"/>
        <v>-153.70597982999999</v>
      </c>
      <c r="L905">
        <f t="shared" si="342"/>
        <v>11221189.223400002</v>
      </c>
      <c r="M905">
        <f t="shared" si="343"/>
        <v>-45231116.283600003</v>
      </c>
      <c r="N905">
        <f t="shared" si="344"/>
        <v>-86061060.836400002</v>
      </c>
      <c r="O905">
        <f t="shared" si="345"/>
        <v>-100801758.65760002</v>
      </c>
      <c r="P905">
        <f t="shared" si="346"/>
        <v>-112105473.02759999</v>
      </c>
      <c r="Q905">
        <f t="shared" si="347"/>
        <v>-132187142.65379998</v>
      </c>
      <c r="S905">
        <f t="shared" si="348"/>
        <v>13609858.216500003</v>
      </c>
      <c r="T905">
        <f t="shared" si="349"/>
        <v>-126184122.9831</v>
      </c>
      <c r="U905">
        <f t="shared" si="350"/>
        <v>-108157819.6998</v>
      </c>
      <c r="V905">
        <f t="shared" si="351"/>
        <v>-127802229.72660001</v>
      </c>
      <c r="W905">
        <f t="shared" si="352"/>
        <v>-166939671.79110003</v>
      </c>
      <c r="X905">
        <f t="shared" si="353"/>
        <v>-187521295.39259997</v>
      </c>
      <c r="Z905">
        <f t="shared" si="354"/>
        <v>15998527.209600002</v>
      </c>
      <c r="AA905">
        <f t="shared" si="355"/>
        <v>-68898560.850600004</v>
      </c>
      <c r="AB905">
        <f t="shared" si="356"/>
        <v>-130254578.56320001</v>
      </c>
      <c r="AC905">
        <f t="shared" si="357"/>
        <v>-176403077.65080002</v>
      </c>
      <c r="AD905">
        <f t="shared" si="358"/>
        <v>-221773870.5546</v>
      </c>
      <c r="AE905">
        <f t="shared" si="359"/>
        <v>-242855448.13139999</v>
      </c>
    </row>
    <row r="906" spans="1:31" x14ac:dyDescent="0.25">
      <c r="A906">
        <v>45.480542980000003</v>
      </c>
      <c r="B906">
        <v>124.34122499999999</v>
      </c>
      <c r="C906">
        <v>0.44901341</v>
      </c>
      <c r="D906">
        <v>0.65264398000000001</v>
      </c>
      <c r="E906" t="b">
        <f t="shared" si="336"/>
        <v>1</v>
      </c>
      <c r="F906">
        <f t="shared" si="337"/>
        <v>-1.5924230699999997</v>
      </c>
      <c r="G906">
        <f t="shared" si="338"/>
        <v>-3.8374901199999996</v>
      </c>
      <c r="H906">
        <f t="shared" si="339"/>
        <v>-6.0825571700000003</v>
      </c>
      <c r="I906">
        <f t="shared" si="340"/>
        <v>-8.3276242199999988</v>
      </c>
      <c r="J906">
        <f t="shared" si="341"/>
        <v>-10.57269127</v>
      </c>
      <c r="L906">
        <f t="shared" si="342"/>
        <v>907007.0882</v>
      </c>
      <c r="M906">
        <f t="shared" si="343"/>
        <v>-2738967.6804</v>
      </c>
      <c r="N906">
        <f t="shared" si="344"/>
        <v>-5679485.3775999993</v>
      </c>
      <c r="O906">
        <f t="shared" si="345"/>
        <v>-6812464.0304000005</v>
      </c>
      <c r="P906">
        <f t="shared" si="346"/>
        <v>-7661414.282399998</v>
      </c>
      <c r="Q906">
        <f t="shared" si="347"/>
        <v>-9092514.4922000002</v>
      </c>
      <c r="S906">
        <f t="shared" si="348"/>
        <v>1100082.8545000001</v>
      </c>
      <c r="T906">
        <f t="shared" si="349"/>
        <v>-8327353.5603999989</v>
      </c>
      <c r="U906">
        <f t="shared" si="350"/>
        <v>-7137731.6231999984</v>
      </c>
      <c r="V906">
        <f t="shared" si="351"/>
        <v>-8637231.1813999992</v>
      </c>
      <c r="W906">
        <f t="shared" si="352"/>
        <v>-11408845.181399999</v>
      </c>
      <c r="X906">
        <f t="shared" si="353"/>
        <v>-12898683.349399999</v>
      </c>
      <c r="Z906">
        <f t="shared" si="354"/>
        <v>1293158.6207999999</v>
      </c>
      <c r="AA906">
        <f t="shared" si="355"/>
        <v>-4172148.4433999998</v>
      </c>
      <c r="AB906">
        <f t="shared" si="356"/>
        <v>-8595977.8687999994</v>
      </c>
      <c r="AC906">
        <f t="shared" si="357"/>
        <v>-11921812.053199999</v>
      </c>
      <c r="AD906">
        <f t="shared" si="358"/>
        <v>-15156276.080399998</v>
      </c>
      <c r="AE906">
        <f t="shared" si="359"/>
        <v>-16704852.206599999</v>
      </c>
    </row>
    <row r="907" spans="1:31" x14ac:dyDescent="0.25">
      <c r="A907">
        <v>45.48268917</v>
      </c>
      <c r="B907">
        <v>124.9966706</v>
      </c>
      <c r="C907">
        <v>0.35140180999999998</v>
      </c>
      <c r="D907">
        <v>1.0390789499999999</v>
      </c>
      <c r="E907" t="b">
        <f t="shared" si="336"/>
        <v>1</v>
      </c>
      <c r="F907">
        <f t="shared" si="337"/>
        <v>-0.71793010000000002</v>
      </c>
      <c r="G907">
        <f t="shared" si="338"/>
        <v>-2.47493915</v>
      </c>
      <c r="H907">
        <f t="shared" si="339"/>
        <v>-4.2319481999999997</v>
      </c>
      <c r="I907">
        <f t="shared" si="340"/>
        <v>-5.9889572500000003</v>
      </c>
      <c r="J907">
        <f t="shared" si="341"/>
        <v>-7.7459662999999992</v>
      </c>
      <c r="L907">
        <f t="shared" si="342"/>
        <v>709831.65619999997</v>
      </c>
      <c r="M907">
        <f t="shared" si="343"/>
        <v>-1234839.7720000001</v>
      </c>
      <c r="N907">
        <f t="shared" si="344"/>
        <v>-3662909.9419999998</v>
      </c>
      <c r="O907">
        <f t="shared" si="345"/>
        <v>-4739781.9839999992</v>
      </c>
      <c r="P907">
        <f t="shared" si="346"/>
        <v>-5509840.6699999999</v>
      </c>
      <c r="Q907">
        <f t="shared" si="347"/>
        <v>-6661531.0179999992</v>
      </c>
      <c r="S907">
        <f t="shared" si="348"/>
        <v>860934.43450000009</v>
      </c>
      <c r="T907">
        <f t="shared" si="349"/>
        <v>-5370617.9554999992</v>
      </c>
      <c r="U907">
        <f t="shared" si="350"/>
        <v>-4603386.8189999992</v>
      </c>
      <c r="V907">
        <f t="shared" si="351"/>
        <v>-6009366.4439999983</v>
      </c>
      <c r="W907">
        <f t="shared" si="352"/>
        <v>-8204871.432500001</v>
      </c>
      <c r="X907">
        <f t="shared" si="353"/>
        <v>-9450078.8859999981</v>
      </c>
      <c r="Z907">
        <f t="shared" si="354"/>
        <v>1012037.2128</v>
      </c>
      <c r="AA907">
        <f t="shared" si="355"/>
        <v>-1880976.862</v>
      </c>
      <c r="AB907">
        <f t="shared" si="356"/>
        <v>-5543863.6960000005</v>
      </c>
      <c r="AC907">
        <f t="shared" si="357"/>
        <v>-8294618.4719999982</v>
      </c>
      <c r="AD907">
        <f t="shared" si="358"/>
        <v>-10899902.195</v>
      </c>
      <c r="AE907">
        <f t="shared" si="359"/>
        <v>-12238626.753999999</v>
      </c>
    </row>
    <row r="908" spans="1:31" x14ac:dyDescent="0.25">
      <c r="A908">
        <v>45.49496181</v>
      </c>
      <c r="B908">
        <v>123.8871724</v>
      </c>
      <c r="C908">
        <v>0.44901341</v>
      </c>
      <c r="D908">
        <v>11.41964531</v>
      </c>
      <c r="E908" t="b">
        <f t="shared" si="336"/>
        <v>1</v>
      </c>
      <c r="F908">
        <f t="shared" si="337"/>
        <v>9.1745782600000005</v>
      </c>
      <c r="G908">
        <f t="shared" si="338"/>
        <v>6.9295112100000003</v>
      </c>
      <c r="H908">
        <f t="shared" si="339"/>
        <v>4.68444416</v>
      </c>
      <c r="I908">
        <f t="shared" si="340"/>
        <v>2.4393771100000006</v>
      </c>
      <c r="J908">
        <f t="shared" si="341"/>
        <v>0.1943100599999994</v>
      </c>
      <c r="L908">
        <f t="shared" si="342"/>
        <v>907007.0882</v>
      </c>
      <c r="M908">
        <f t="shared" si="343"/>
        <v>772303.06520000007</v>
      </c>
      <c r="N908">
        <f t="shared" si="344"/>
        <v>664539.84679999994</v>
      </c>
      <c r="O908">
        <f t="shared" si="345"/>
        <v>502895.01920000004</v>
      </c>
      <c r="P908">
        <f t="shared" si="346"/>
        <v>413092.33719999995</v>
      </c>
      <c r="Q908">
        <f t="shared" si="347"/>
        <v>167106.65159999946</v>
      </c>
      <c r="S908">
        <f t="shared" si="348"/>
        <v>1100082.8545000001</v>
      </c>
      <c r="T908">
        <f t="shared" si="349"/>
        <v>974359.0996999999</v>
      </c>
      <c r="U908">
        <f t="shared" si="350"/>
        <v>835164.94259999995</v>
      </c>
      <c r="V908">
        <f t="shared" si="351"/>
        <v>637599.04219999991</v>
      </c>
      <c r="W908">
        <f t="shared" si="352"/>
        <v>615148.37170000002</v>
      </c>
      <c r="X908">
        <f t="shared" si="353"/>
        <v>237058.27319999924</v>
      </c>
      <c r="Z908">
        <f t="shared" si="354"/>
        <v>1293158.6207999999</v>
      </c>
      <c r="AA908">
        <f t="shared" si="355"/>
        <v>1176415.1342</v>
      </c>
      <c r="AB908">
        <f t="shared" si="356"/>
        <v>1005790.0384000001</v>
      </c>
      <c r="AC908">
        <f t="shared" si="357"/>
        <v>880066.28359999997</v>
      </c>
      <c r="AD908">
        <f t="shared" si="358"/>
        <v>817204.40619999997</v>
      </c>
      <c r="AE908">
        <f t="shared" si="359"/>
        <v>307009.89479999902</v>
      </c>
    </row>
    <row r="909" spans="1:31" x14ac:dyDescent="0.25">
      <c r="A909">
        <v>45.518201929999996</v>
      </c>
      <c r="B909">
        <v>125.072276</v>
      </c>
      <c r="C909">
        <v>5.49817467</v>
      </c>
      <c r="D909">
        <v>2.6035790400000001</v>
      </c>
      <c r="E909" t="b">
        <f t="shared" si="336"/>
        <v>0</v>
      </c>
      <c r="F909">
        <f t="shared" si="337"/>
        <v>-24.887294310000001</v>
      </c>
      <c r="G909">
        <f t="shared" si="338"/>
        <v>-52.378167660000003</v>
      </c>
      <c r="H909">
        <f t="shared" si="339"/>
        <v>-79.869041010000004</v>
      </c>
      <c r="I909">
        <f t="shared" si="340"/>
        <v>-107.35991436</v>
      </c>
      <c r="J909">
        <f t="shared" si="341"/>
        <v>-134.85078770999999</v>
      </c>
      <c r="L909">
        <f t="shared" si="342"/>
        <v>5259229.6607999997</v>
      </c>
      <c r="M909">
        <f t="shared" si="343"/>
        <v>-42806146.21320001</v>
      </c>
      <c r="N909">
        <f t="shared" si="344"/>
        <v>-77519688.136800006</v>
      </c>
      <c r="O909">
        <f t="shared" si="345"/>
        <v>-89453325.931200013</v>
      </c>
      <c r="P909">
        <f t="shared" si="346"/>
        <v>-98771121.211199999</v>
      </c>
      <c r="Q909">
        <f t="shared" si="347"/>
        <v>-115971677.43059997</v>
      </c>
      <c r="S909">
        <f t="shared" si="348"/>
        <v>6378768.648000001</v>
      </c>
      <c r="T909">
        <f t="shared" si="349"/>
        <v>-113660623.8222</v>
      </c>
      <c r="U909">
        <f t="shared" si="350"/>
        <v>-97423391.847599998</v>
      </c>
      <c r="V909">
        <f t="shared" si="351"/>
        <v>-113414038.2342</v>
      </c>
      <c r="W909">
        <f t="shared" si="352"/>
        <v>-147083082.67320001</v>
      </c>
      <c r="X909">
        <f t="shared" si="353"/>
        <v>-164517961.00619996</v>
      </c>
      <c r="Z909">
        <f t="shared" si="354"/>
        <v>7498307.6351999994</v>
      </c>
      <c r="AA909">
        <f t="shared" si="355"/>
        <v>-65204711.092200011</v>
      </c>
      <c r="AB909">
        <f t="shared" si="356"/>
        <v>-117327095.55840002</v>
      </c>
      <c r="AC909">
        <f t="shared" si="357"/>
        <v>-156543320.37960002</v>
      </c>
      <c r="AD909">
        <f t="shared" si="358"/>
        <v>-195395044.13519999</v>
      </c>
      <c r="AE909">
        <f t="shared" si="359"/>
        <v>-213064244.58179998</v>
      </c>
    </row>
    <row r="910" spans="1:31" x14ac:dyDescent="0.25">
      <c r="A910">
        <v>45.520647179999997</v>
      </c>
      <c r="B910">
        <v>87.277038869999998</v>
      </c>
      <c r="C910">
        <v>18.492280959999999</v>
      </c>
      <c r="D910">
        <v>30.983476639999999</v>
      </c>
      <c r="E910" t="b">
        <f t="shared" si="336"/>
        <v>1</v>
      </c>
      <c r="F910">
        <f t="shared" si="337"/>
        <v>-61.477928159999998</v>
      </c>
      <c r="G910">
        <f t="shared" si="338"/>
        <v>-153.93933296</v>
      </c>
      <c r="H910">
        <f t="shared" si="339"/>
        <v>-246.40073775999997</v>
      </c>
      <c r="I910">
        <f t="shared" si="340"/>
        <v>-338.86214256</v>
      </c>
      <c r="J910">
        <f t="shared" si="341"/>
        <v>-431.32354735999996</v>
      </c>
      <c r="L910">
        <f t="shared" si="342"/>
        <v>37354407.539199993</v>
      </c>
      <c r="M910">
        <f t="shared" si="343"/>
        <v>-105742036.43520001</v>
      </c>
      <c r="N910">
        <f t="shared" si="344"/>
        <v>-227830212.78080001</v>
      </c>
      <c r="O910">
        <f t="shared" si="345"/>
        <v>-275968826.29119998</v>
      </c>
      <c r="P910">
        <f t="shared" si="346"/>
        <v>-311753171.1552</v>
      </c>
      <c r="Q910">
        <f t="shared" si="347"/>
        <v>-370938250.72959995</v>
      </c>
      <c r="S910">
        <f t="shared" si="348"/>
        <v>45306088.351999998</v>
      </c>
      <c r="T910">
        <f t="shared" si="349"/>
        <v>-334048352.52320004</v>
      </c>
      <c r="U910">
        <f t="shared" si="350"/>
        <v>-286327159.30559999</v>
      </c>
      <c r="V910">
        <f t="shared" si="351"/>
        <v>-349889047.61919993</v>
      </c>
      <c r="W910">
        <f t="shared" si="352"/>
        <v>-464241135.30720001</v>
      </c>
      <c r="X910">
        <f t="shared" si="353"/>
        <v>-526214727.77919996</v>
      </c>
      <c r="Z910">
        <f t="shared" si="354"/>
        <v>53257769.164799988</v>
      </c>
      <c r="AA910">
        <f t="shared" si="355"/>
        <v>-161072171.77919999</v>
      </c>
      <c r="AB910">
        <f t="shared" si="356"/>
        <v>-344824105.83040005</v>
      </c>
      <c r="AC910">
        <f t="shared" si="357"/>
        <v>-482945446.00959992</v>
      </c>
      <c r="AD910">
        <f t="shared" si="358"/>
        <v>-616729099.45920002</v>
      </c>
      <c r="AE910">
        <f t="shared" si="359"/>
        <v>-681491204.82879996</v>
      </c>
    </row>
    <row r="911" spans="1:31" x14ac:dyDescent="0.25">
      <c r="A911">
        <v>45.53502855</v>
      </c>
      <c r="B911">
        <v>124.618132</v>
      </c>
      <c r="C911">
        <v>5.49817467</v>
      </c>
      <c r="D911">
        <v>4.4334039699999996</v>
      </c>
      <c r="E911" t="b">
        <f t="shared" si="336"/>
        <v>0</v>
      </c>
      <c r="F911">
        <f t="shared" si="337"/>
        <v>-23.057469380000001</v>
      </c>
      <c r="G911">
        <f t="shared" si="338"/>
        <v>-50.548342730000002</v>
      </c>
      <c r="H911">
        <f t="shared" si="339"/>
        <v>-78.039216080000003</v>
      </c>
      <c r="I911">
        <f t="shared" si="340"/>
        <v>-105.53008943</v>
      </c>
      <c r="J911">
        <f t="shared" si="341"/>
        <v>-133.02096277999999</v>
      </c>
      <c r="L911">
        <f t="shared" si="342"/>
        <v>8955476.0193999987</v>
      </c>
      <c r="M911">
        <f t="shared" si="343"/>
        <v>-39658847.3336</v>
      </c>
      <c r="N911">
        <f t="shared" si="344"/>
        <v>-74811547.240400001</v>
      </c>
      <c r="O911">
        <f t="shared" si="345"/>
        <v>-87403922.009600013</v>
      </c>
      <c r="P911">
        <f t="shared" si="346"/>
        <v>-97087682.275600001</v>
      </c>
      <c r="Q911">
        <f t="shared" si="347"/>
        <v>-114398027.99079999</v>
      </c>
      <c r="S911">
        <f t="shared" si="348"/>
        <v>10861839.726500001</v>
      </c>
      <c r="T911">
        <f t="shared" si="349"/>
        <v>-109689903.72410001</v>
      </c>
      <c r="U911">
        <f t="shared" si="350"/>
        <v>-94019917.477799997</v>
      </c>
      <c r="V911">
        <f t="shared" si="351"/>
        <v>-110815686.83359998</v>
      </c>
      <c r="W911">
        <f t="shared" si="352"/>
        <v>-144576222.51910001</v>
      </c>
      <c r="X911">
        <f t="shared" si="353"/>
        <v>-162285574.59159997</v>
      </c>
      <c r="Z911">
        <f t="shared" si="354"/>
        <v>12768203.433599999</v>
      </c>
      <c r="AA911">
        <f t="shared" si="355"/>
        <v>-60410569.775600001</v>
      </c>
      <c r="AB911">
        <f t="shared" si="356"/>
        <v>-113228287.71520002</v>
      </c>
      <c r="AC911">
        <f t="shared" si="357"/>
        <v>-152956863.51679999</v>
      </c>
      <c r="AD911">
        <f t="shared" si="358"/>
        <v>-192064762.7626</v>
      </c>
      <c r="AE911">
        <f t="shared" si="359"/>
        <v>-210173121.19239998</v>
      </c>
    </row>
    <row r="912" spans="1:31" x14ac:dyDescent="0.25">
      <c r="A912">
        <v>45.542531969999999</v>
      </c>
      <c r="B912">
        <v>84.905199030000006</v>
      </c>
      <c r="C912">
        <v>10.58811188</v>
      </c>
      <c r="D912">
        <v>267.20285030000002</v>
      </c>
      <c r="E912" t="b">
        <f t="shared" si="336"/>
        <v>1</v>
      </c>
      <c r="F912">
        <f t="shared" si="337"/>
        <v>214.26229090000004</v>
      </c>
      <c r="G912">
        <f t="shared" si="338"/>
        <v>161.32173150000003</v>
      </c>
      <c r="H912">
        <f t="shared" si="339"/>
        <v>108.38117210000001</v>
      </c>
      <c r="I912">
        <f t="shared" si="340"/>
        <v>55.440612700000031</v>
      </c>
      <c r="J912">
        <f t="shared" si="341"/>
        <v>2.5000533000000473</v>
      </c>
      <c r="L912">
        <f t="shared" si="342"/>
        <v>21387985.997599997</v>
      </c>
      <c r="M912">
        <f t="shared" si="343"/>
        <v>18211552.433600001</v>
      </c>
      <c r="N912">
        <f t="shared" si="344"/>
        <v>15670405.582399998</v>
      </c>
      <c r="O912">
        <f t="shared" si="345"/>
        <v>11858685.305600001</v>
      </c>
      <c r="P912">
        <f t="shared" si="346"/>
        <v>9741062.9295999985</v>
      </c>
      <c r="Q912">
        <f t="shared" si="347"/>
        <v>2150045.8380000405</v>
      </c>
      <c r="S912">
        <f t="shared" si="348"/>
        <v>25940874.105999999</v>
      </c>
      <c r="T912">
        <f t="shared" si="349"/>
        <v>22976202.779599998</v>
      </c>
      <c r="U912">
        <f t="shared" si="350"/>
        <v>19693888.096799996</v>
      </c>
      <c r="V912">
        <f t="shared" si="351"/>
        <v>15035118.869599998</v>
      </c>
      <c r="W912">
        <f t="shared" si="352"/>
        <v>14505713.275599999</v>
      </c>
      <c r="X912">
        <f t="shared" si="353"/>
        <v>3050065.0260000578</v>
      </c>
      <c r="Z912">
        <f t="shared" si="354"/>
        <v>30493762.214399997</v>
      </c>
      <c r="AA912">
        <f t="shared" si="355"/>
        <v>27740853.125599999</v>
      </c>
      <c r="AB912">
        <f t="shared" si="356"/>
        <v>23717370.611200001</v>
      </c>
      <c r="AC912">
        <f t="shared" si="357"/>
        <v>20752699.284799997</v>
      </c>
      <c r="AD912">
        <f t="shared" si="358"/>
        <v>19270363.621599998</v>
      </c>
      <c r="AE912">
        <f t="shared" si="359"/>
        <v>3950084.2140000751</v>
      </c>
    </row>
    <row r="913" spans="1:31" x14ac:dyDescent="0.25">
      <c r="A913">
        <v>45.547002030000002</v>
      </c>
      <c r="B913">
        <v>88.513729260000005</v>
      </c>
      <c r="C913">
        <v>2.0064427899999999</v>
      </c>
      <c r="D913">
        <v>1.4844E-2</v>
      </c>
      <c r="E913" t="b">
        <f t="shared" si="336"/>
        <v>0</v>
      </c>
      <c r="F913">
        <f t="shared" si="337"/>
        <v>-10.017369949999999</v>
      </c>
      <c r="G913">
        <f t="shared" si="338"/>
        <v>-20.049583899999998</v>
      </c>
      <c r="H913">
        <f t="shared" si="339"/>
        <v>-30.081797849999997</v>
      </c>
      <c r="I913">
        <f t="shared" si="340"/>
        <v>-40.1140118</v>
      </c>
      <c r="J913">
        <f t="shared" si="341"/>
        <v>-50.146225749999999</v>
      </c>
      <c r="L913">
        <f t="shared" si="342"/>
        <v>29984.880000000001</v>
      </c>
      <c r="M913">
        <f t="shared" si="343"/>
        <v>-17229876.313999999</v>
      </c>
      <c r="N913">
        <f t="shared" si="344"/>
        <v>-29673384.171999998</v>
      </c>
      <c r="O913">
        <f t="shared" si="345"/>
        <v>-33691613.592</v>
      </c>
      <c r="P913">
        <f t="shared" si="346"/>
        <v>-36904890.855999991</v>
      </c>
      <c r="Q913">
        <f t="shared" si="347"/>
        <v>-43125754.144999996</v>
      </c>
      <c r="S913">
        <f t="shared" si="348"/>
        <v>36367.800000000003</v>
      </c>
      <c r="T913">
        <f t="shared" si="349"/>
        <v>-43507597.062999994</v>
      </c>
      <c r="U913">
        <f t="shared" si="350"/>
        <v>-37292226.053999998</v>
      </c>
      <c r="V913">
        <f t="shared" si="351"/>
        <v>-42716152.946999997</v>
      </c>
      <c r="W913">
        <f t="shared" si="352"/>
        <v>-54956196.166000001</v>
      </c>
      <c r="X913">
        <f t="shared" si="353"/>
        <v>-61178395.414999999</v>
      </c>
      <c r="Z913">
        <f t="shared" si="354"/>
        <v>42750.720000000001</v>
      </c>
      <c r="AA913">
        <f t="shared" si="355"/>
        <v>-26245509.268999998</v>
      </c>
      <c r="AB913">
        <f t="shared" si="356"/>
        <v>-44911067.936000004</v>
      </c>
      <c r="AC913">
        <f t="shared" si="357"/>
        <v>-58960323.785999991</v>
      </c>
      <c r="AD913">
        <f t="shared" si="358"/>
        <v>-73007501.475999996</v>
      </c>
      <c r="AE913">
        <f t="shared" si="359"/>
        <v>-79231036.685000002</v>
      </c>
    </row>
    <row r="914" spans="1:31" x14ac:dyDescent="0.25">
      <c r="A914">
        <v>45.550357150000004</v>
      </c>
      <c r="B914">
        <v>124.1637734</v>
      </c>
      <c r="C914">
        <v>0.44901341</v>
      </c>
      <c r="D914">
        <v>55.28937912</v>
      </c>
      <c r="E914" t="b">
        <f t="shared" si="336"/>
        <v>1</v>
      </c>
      <c r="F914">
        <f t="shared" si="337"/>
        <v>53.044312069999997</v>
      </c>
      <c r="G914">
        <f t="shared" si="338"/>
        <v>50.799245020000001</v>
      </c>
      <c r="H914">
        <f t="shared" si="339"/>
        <v>48.554177969999998</v>
      </c>
      <c r="I914">
        <f t="shared" si="340"/>
        <v>46.309110920000002</v>
      </c>
      <c r="J914">
        <f t="shared" si="341"/>
        <v>44.064043869999999</v>
      </c>
      <c r="L914">
        <f t="shared" si="342"/>
        <v>907007.0882</v>
      </c>
      <c r="M914">
        <f t="shared" si="343"/>
        <v>772303.06520000007</v>
      </c>
      <c r="N914">
        <f t="shared" si="344"/>
        <v>664539.84679999994</v>
      </c>
      <c r="O914">
        <f t="shared" si="345"/>
        <v>502895.01920000004</v>
      </c>
      <c r="P914">
        <f t="shared" si="346"/>
        <v>413092.33719999995</v>
      </c>
      <c r="Q914">
        <f t="shared" si="347"/>
        <v>386151.53259999998</v>
      </c>
      <c r="S914">
        <f t="shared" si="348"/>
        <v>1100082.8545000001</v>
      </c>
      <c r="T914">
        <f t="shared" si="349"/>
        <v>974359.0996999999</v>
      </c>
      <c r="U914">
        <f t="shared" si="350"/>
        <v>835164.94259999995</v>
      </c>
      <c r="V914">
        <f t="shared" si="351"/>
        <v>637599.04219999991</v>
      </c>
      <c r="W914">
        <f t="shared" si="352"/>
        <v>615148.37170000002</v>
      </c>
      <c r="X914">
        <f t="shared" si="353"/>
        <v>547796.3602</v>
      </c>
      <c r="Z914">
        <f t="shared" si="354"/>
        <v>1293158.6207999999</v>
      </c>
      <c r="AA914">
        <f t="shared" si="355"/>
        <v>1176415.1342</v>
      </c>
      <c r="AB914">
        <f t="shared" si="356"/>
        <v>1005790.0384000001</v>
      </c>
      <c r="AC914">
        <f t="shared" si="357"/>
        <v>880066.28359999997</v>
      </c>
      <c r="AD914">
        <f t="shared" si="358"/>
        <v>817204.40619999997</v>
      </c>
      <c r="AE914">
        <f t="shared" si="359"/>
        <v>709441.18779999996</v>
      </c>
    </row>
    <row r="915" spans="1:31" x14ac:dyDescent="0.25">
      <c r="A915">
        <v>45.594181570000003</v>
      </c>
      <c r="B915">
        <v>126.1454263</v>
      </c>
      <c r="C915">
        <v>0.82538909000000005</v>
      </c>
      <c r="D915">
        <v>0.11821</v>
      </c>
      <c r="E915" t="b">
        <f t="shared" si="336"/>
        <v>0</v>
      </c>
      <c r="F915">
        <f t="shared" si="337"/>
        <v>-4.0087354499999996</v>
      </c>
      <c r="G915">
        <f t="shared" si="338"/>
        <v>-8.1356809000000005</v>
      </c>
      <c r="H915">
        <f t="shared" si="339"/>
        <v>-12.262626350000001</v>
      </c>
      <c r="I915">
        <f t="shared" si="340"/>
        <v>-16.389571799999999</v>
      </c>
      <c r="J915">
        <f t="shared" si="341"/>
        <v>-20.51651725</v>
      </c>
      <c r="L915">
        <f t="shared" si="342"/>
        <v>238784.2</v>
      </c>
      <c r="M915">
        <f t="shared" si="343"/>
        <v>-6895024.9740000004</v>
      </c>
      <c r="N915">
        <f t="shared" si="344"/>
        <v>-12040807.732000001</v>
      </c>
      <c r="O915">
        <f t="shared" si="345"/>
        <v>-13734141.512000004</v>
      </c>
      <c r="P915">
        <f t="shared" si="346"/>
        <v>-15078406.055999998</v>
      </c>
      <c r="Q915">
        <f t="shared" si="347"/>
        <v>-17644204.835000001</v>
      </c>
      <c r="S915">
        <f t="shared" si="348"/>
        <v>289614.5</v>
      </c>
      <c r="T915">
        <f t="shared" si="349"/>
        <v>-17654427.552999999</v>
      </c>
      <c r="U915">
        <f t="shared" si="350"/>
        <v>-15132366.473999999</v>
      </c>
      <c r="V915">
        <f t="shared" si="351"/>
        <v>-17412929.416999999</v>
      </c>
      <c r="W915">
        <f t="shared" si="352"/>
        <v>-22453713.366</v>
      </c>
      <c r="X915">
        <f t="shared" si="353"/>
        <v>-25030151.044999998</v>
      </c>
      <c r="Z915">
        <f t="shared" si="354"/>
        <v>340444.8</v>
      </c>
      <c r="AA915">
        <f t="shared" si="355"/>
        <v>-10502886.878999999</v>
      </c>
      <c r="AB915">
        <f t="shared" si="356"/>
        <v>-18223925.216000002</v>
      </c>
      <c r="AC915">
        <f t="shared" si="357"/>
        <v>-24034747.646000002</v>
      </c>
      <c r="AD915">
        <f t="shared" si="358"/>
        <v>-29829020.675999999</v>
      </c>
      <c r="AE915">
        <f t="shared" si="359"/>
        <v>-32416097.255000003</v>
      </c>
    </row>
    <row r="916" spans="1:31" x14ac:dyDescent="0.25">
      <c r="A916">
        <v>45.597694160000003</v>
      </c>
      <c r="B916">
        <v>124.8323194</v>
      </c>
      <c r="C916">
        <v>5.49817467</v>
      </c>
      <c r="D916">
        <v>7.5514178300000001</v>
      </c>
      <c r="E916" t="b">
        <f t="shared" si="336"/>
        <v>1</v>
      </c>
      <c r="F916">
        <f t="shared" si="337"/>
        <v>-19.939455520000003</v>
      </c>
      <c r="G916">
        <f t="shared" si="338"/>
        <v>-47.430328870000004</v>
      </c>
      <c r="H916">
        <f t="shared" si="339"/>
        <v>-74.921202219999998</v>
      </c>
      <c r="I916">
        <f t="shared" si="340"/>
        <v>-102.41207557</v>
      </c>
      <c r="J916">
        <f t="shared" si="341"/>
        <v>-129.90294892</v>
      </c>
      <c r="L916">
        <f t="shared" si="342"/>
        <v>11106312.8334</v>
      </c>
      <c r="M916">
        <f t="shared" si="343"/>
        <v>-34295863.49440001</v>
      </c>
      <c r="N916">
        <f t="shared" si="344"/>
        <v>-70196886.727600008</v>
      </c>
      <c r="O916">
        <f t="shared" si="345"/>
        <v>-83911746.486400008</v>
      </c>
      <c r="P916">
        <f t="shared" si="346"/>
        <v>-94219109.524399981</v>
      </c>
      <c r="Q916">
        <f t="shared" si="347"/>
        <v>-111716536.0712</v>
      </c>
      <c r="S916">
        <f t="shared" si="348"/>
        <v>13470527.941500001</v>
      </c>
      <c r="T916">
        <f t="shared" si="349"/>
        <v>-102923813.6479</v>
      </c>
      <c r="U916">
        <f t="shared" si="350"/>
        <v>-88220411.698200002</v>
      </c>
      <c r="V916">
        <f t="shared" si="351"/>
        <v>-106388107.15239999</v>
      </c>
      <c r="W916">
        <f t="shared" si="352"/>
        <v>-140304543.5309</v>
      </c>
      <c r="X916">
        <f t="shared" si="353"/>
        <v>-158481597.68239999</v>
      </c>
      <c r="Z916">
        <f t="shared" si="354"/>
        <v>15834743.0496</v>
      </c>
      <c r="AA916">
        <f t="shared" si="355"/>
        <v>-52241373.462400012</v>
      </c>
      <c r="AB916">
        <f t="shared" si="356"/>
        <v>-106243936.66880003</v>
      </c>
      <c r="AC916">
        <f t="shared" si="357"/>
        <v>-146845556.35119998</v>
      </c>
      <c r="AD916">
        <f t="shared" si="358"/>
        <v>-186389977.53740001</v>
      </c>
      <c r="AE916">
        <f t="shared" si="359"/>
        <v>-205246659.29360002</v>
      </c>
    </row>
    <row r="917" spans="1:31" x14ac:dyDescent="0.25">
      <c r="A917">
        <v>45.603180899999998</v>
      </c>
      <c r="B917">
        <v>124.1125186</v>
      </c>
      <c r="C917">
        <v>0.44901341</v>
      </c>
      <c r="D917">
        <v>8.2838401800000003</v>
      </c>
      <c r="E917" t="b">
        <f t="shared" si="336"/>
        <v>1</v>
      </c>
      <c r="F917">
        <f t="shared" si="337"/>
        <v>6.0387731300000009</v>
      </c>
      <c r="G917">
        <f t="shared" si="338"/>
        <v>3.7937060800000006</v>
      </c>
      <c r="H917">
        <f t="shared" si="339"/>
        <v>1.5486390300000004</v>
      </c>
      <c r="I917">
        <f t="shared" si="340"/>
        <v>-0.69642801999999904</v>
      </c>
      <c r="J917">
        <f t="shared" si="341"/>
        <v>-2.9414950700000002</v>
      </c>
      <c r="L917">
        <f t="shared" si="342"/>
        <v>907007.0882</v>
      </c>
      <c r="M917">
        <f t="shared" si="343"/>
        <v>772303.06520000007</v>
      </c>
      <c r="N917">
        <f t="shared" si="344"/>
        <v>664539.84679999994</v>
      </c>
      <c r="O917">
        <f t="shared" si="345"/>
        <v>502895.01920000004</v>
      </c>
      <c r="P917">
        <f t="shared" si="346"/>
        <v>-640713.77839999914</v>
      </c>
      <c r="Q917">
        <f t="shared" si="347"/>
        <v>-2529685.7602000004</v>
      </c>
      <c r="S917">
        <f t="shared" si="348"/>
        <v>1100082.8545000001</v>
      </c>
      <c r="T917">
        <f t="shared" si="349"/>
        <v>974359.0996999999</v>
      </c>
      <c r="U917">
        <f t="shared" si="350"/>
        <v>835164.94259999995</v>
      </c>
      <c r="V917">
        <f t="shared" si="351"/>
        <v>637599.04219999991</v>
      </c>
      <c r="W917">
        <f t="shared" si="352"/>
        <v>-954106.38739999884</v>
      </c>
      <c r="X917">
        <f t="shared" si="353"/>
        <v>-3588623.9854000001</v>
      </c>
      <c r="Z917">
        <f t="shared" si="354"/>
        <v>1293158.6207999999</v>
      </c>
      <c r="AA917">
        <f t="shared" si="355"/>
        <v>1176415.1342</v>
      </c>
      <c r="AB917">
        <f t="shared" si="356"/>
        <v>1005790.0384000001</v>
      </c>
      <c r="AC917">
        <f t="shared" si="357"/>
        <v>880066.28359999997</v>
      </c>
      <c r="AD917">
        <f t="shared" si="358"/>
        <v>-1267498.9963999984</v>
      </c>
      <c r="AE917">
        <f t="shared" si="359"/>
        <v>-4647562.2106000008</v>
      </c>
    </row>
    <row r="918" spans="1:31" x14ac:dyDescent="0.25">
      <c r="A918">
        <v>45.624503560000001</v>
      </c>
      <c r="B918">
        <v>124.97115100000001</v>
      </c>
      <c r="C918">
        <v>5.49817467</v>
      </c>
      <c r="D918">
        <v>30.03130913</v>
      </c>
      <c r="E918" t="b">
        <f t="shared" si="336"/>
        <v>1</v>
      </c>
      <c r="F918">
        <f t="shared" si="337"/>
        <v>2.5404357799999993</v>
      </c>
      <c r="G918">
        <f t="shared" si="338"/>
        <v>-24.950437570000002</v>
      </c>
      <c r="H918">
        <f t="shared" si="339"/>
        <v>-52.441310920000006</v>
      </c>
      <c r="I918">
        <f t="shared" si="340"/>
        <v>-79.932184270000008</v>
      </c>
      <c r="J918">
        <f t="shared" si="341"/>
        <v>-107.42305761999999</v>
      </c>
      <c r="L918">
        <f t="shared" si="342"/>
        <v>11106312.8334</v>
      </c>
      <c r="M918">
        <f t="shared" si="343"/>
        <v>4369549.5415999992</v>
      </c>
      <c r="N918">
        <f t="shared" si="344"/>
        <v>-36926647.603600003</v>
      </c>
      <c r="O918">
        <f t="shared" si="345"/>
        <v>-58734268.230400018</v>
      </c>
      <c r="P918">
        <f t="shared" si="346"/>
        <v>-73537609.528400004</v>
      </c>
      <c r="Q918">
        <f t="shared" si="347"/>
        <v>-92383829.553199992</v>
      </c>
      <c r="S918">
        <f t="shared" si="348"/>
        <v>13470527.941500001</v>
      </c>
      <c r="T918">
        <f t="shared" si="349"/>
        <v>-54142449.526900001</v>
      </c>
      <c r="U918">
        <f t="shared" si="350"/>
        <v>-46407813.880199999</v>
      </c>
      <c r="V918">
        <f t="shared" si="351"/>
        <v>-74466661.506400004</v>
      </c>
      <c r="W918">
        <f t="shared" si="352"/>
        <v>-109507092.44990002</v>
      </c>
      <c r="X918">
        <f t="shared" si="353"/>
        <v>-131056130.29639998</v>
      </c>
      <c r="Z918">
        <f t="shared" si="354"/>
        <v>15834743.0496</v>
      </c>
      <c r="AA918">
        <f t="shared" si="355"/>
        <v>6655941.7435999988</v>
      </c>
      <c r="AB918">
        <f t="shared" si="356"/>
        <v>-55888980.156800009</v>
      </c>
      <c r="AC918">
        <f t="shared" si="357"/>
        <v>-102784969.40320002</v>
      </c>
      <c r="AD918">
        <f t="shared" si="358"/>
        <v>-145476575.37140003</v>
      </c>
      <c r="AE918">
        <f t="shared" si="359"/>
        <v>-169728431.03959998</v>
      </c>
    </row>
    <row r="919" spans="1:31" x14ac:dyDescent="0.25">
      <c r="A919">
        <v>45.627500269999999</v>
      </c>
      <c r="B919">
        <v>86.721858560000001</v>
      </c>
      <c r="C919">
        <v>18.492280959999999</v>
      </c>
      <c r="D919">
        <v>22.56075478</v>
      </c>
      <c r="E919" t="b">
        <f t="shared" si="336"/>
        <v>1</v>
      </c>
      <c r="F919">
        <f t="shared" si="337"/>
        <v>-69.90065002</v>
      </c>
      <c r="G919">
        <f t="shared" si="338"/>
        <v>-162.36205482</v>
      </c>
      <c r="H919">
        <f t="shared" si="339"/>
        <v>-254.82345961999997</v>
      </c>
      <c r="I919">
        <f t="shared" si="340"/>
        <v>-347.28486441999996</v>
      </c>
      <c r="J919">
        <f t="shared" si="341"/>
        <v>-439.74626921999993</v>
      </c>
      <c r="L919">
        <f t="shared" si="342"/>
        <v>37354407.539199993</v>
      </c>
      <c r="M919">
        <f t="shared" si="343"/>
        <v>-120229118.0344</v>
      </c>
      <c r="N919">
        <f t="shared" si="344"/>
        <v>-240295841.1336</v>
      </c>
      <c r="O919">
        <f t="shared" si="345"/>
        <v>-285402274.7744</v>
      </c>
      <c r="P919">
        <f t="shared" si="346"/>
        <v>-319502075.26639992</v>
      </c>
      <c r="Q919">
        <f t="shared" si="347"/>
        <v>-378181791.5291999</v>
      </c>
      <c r="S919">
        <f t="shared" si="348"/>
        <v>45306088.351999998</v>
      </c>
      <c r="T919">
        <f t="shared" si="349"/>
        <v>-352325658.9594</v>
      </c>
      <c r="U919">
        <f t="shared" si="350"/>
        <v>-301993421.96519995</v>
      </c>
      <c r="V919">
        <f t="shared" si="351"/>
        <v>-361849312.66039997</v>
      </c>
      <c r="W919">
        <f t="shared" si="352"/>
        <v>-475780264.2554</v>
      </c>
      <c r="X919">
        <f t="shared" si="353"/>
        <v>-536490448.4483999</v>
      </c>
      <c r="Z919">
        <f t="shared" si="354"/>
        <v>53257769.164799988</v>
      </c>
      <c r="AA919">
        <f t="shared" si="355"/>
        <v>-183139703.05239999</v>
      </c>
      <c r="AB919">
        <f t="shared" si="356"/>
        <v>-363691002.79680002</v>
      </c>
      <c r="AC919">
        <f t="shared" si="357"/>
        <v>-499453980.85519993</v>
      </c>
      <c r="AD919">
        <f t="shared" si="358"/>
        <v>-632058453.24439991</v>
      </c>
      <c r="AE919">
        <f t="shared" si="359"/>
        <v>-694799105.36759984</v>
      </c>
    </row>
    <row r="920" spans="1:31" x14ac:dyDescent="0.25">
      <c r="A920">
        <v>45.63339714</v>
      </c>
      <c r="B920">
        <v>125.2364243</v>
      </c>
      <c r="C920">
        <v>5.49817467</v>
      </c>
      <c r="D920">
        <v>24.151086809999999</v>
      </c>
      <c r="E920" t="b">
        <f t="shared" si="336"/>
        <v>1</v>
      </c>
      <c r="F920">
        <f t="shared" si="337"/>
        <v>-3.3397865400000022</v>
      </c>
      <c r="G920">
        <f t="shared" si="338"/>
        <v>-30.830659890000003</v>
      </c>
      <c r="H920">
        <f t="shared" si="339"/>
        <v>-58.321533240000008</v>
      </c>
      <c r="I920">
        <f t="shared" si="340"/>
        <v>-85.812406590000009</v>
      </c>
      <c r="J920">
        <f t="shared" si="341"/>
        <v>-113.30327994</v>
      </c>
      <c r="L920">
        <f t="shared" si="342"/>
        <v>11106312.8334</v>
      </c>
      <c r="M920">
        <f t="shared" si="343"/>
        <v>-5744432.8488000045</v>
      </c>
      <c r="N920">
        <f t="shared" si="344"/>
        <v>-45629376.637200005</v>
      </c>
      <c r="O920">
        <f t="shared" si="345"/>
        <v>-65320117.228800014</v>
      </c>
      <c r="P920">
        <f t="shared" si="346"/>
        <v>-78947414.06279999</v>
      </c>
      <c r="Q920">
        <f t="shared" si="347"/>
        <v>-97440820.748400003</v>
      </c>
      <c r="S920">
        <f t="shared" si="348"/>
        <v>13470527.941500001</v>
      </c>
      <c r="T920">
        <f t="shared" si="349"/>
        <v>-66902531.961300008</v>
      </c>
      <c r="U920">
        <f t="shared" si="350"/>
        <v>-57345027.395400003</v>
      </c>
      <c r="V920">
        <f t="shared" si="351"/>
        <v>-82816577.200800017</v>
      </c>
      <c r="W920">
        <f t="shared" si="352"/>
        <v>-117562997.02830002</v>
      </c>
      <c r="X920">
        <f t="shared" si="353"/>
        <v>-138230001.52680001</v>
      </c>
      <c r="Z920">
        <f t="shared" si="354"/>
        <v>15834743.0496</v>
      </c>
      <c r="AA920">
        <f t="shared" si="355"/>
        <v>-8750240.7348000072</v>
      </c>
      <c r="AB920">
        <f t="shared" si="356"/>
        <v>-69060678.153600022</v>
      </c>
      <c r="AC920">
        <f t="shared" si="357"/>
        <v>-114310205.15040001</v>
      </c>
      <c r="AD920">
        <f t="shared" si="358"/>
        <v>-156178579.99380001</v>
      </c>
      <c r="AE920">
        <f t="shared" si="359"/>
        <v>-179019182.30520001</v>
      </c>
    </row>
    <row r="921" spans="1:31" x14ac:dyDescent="0.25">
      <c r="A921">
        <v>45.636384159999999</v>
      </c>
      <c r="B921">
        <v>116.88839059999999</v>
      </c>
      <c r="C921">
        <v>6.3704409599999998</v>
      </c>
      <c r="D921">
        <v>3.6107790500000001</v>
      </c>
      <c r="E921" t="b">
        <f t="shared" si="336"/>
        <v>0</v>
      </c>
      <c r="F921">
        <f t="shared" si="337"/>
        <v>-28.241425749999998</v>
      </c>
      <c r="G921">
        <f t="shared" si="338"/>
        <v>-60.09363055</v>
      </c>
      <c r="H921">
        <f t="shared" si="339"/>
        <v>-91.945835349999996</v>
      </c>
      <c r="I921">
        <f t="shared" si="340"/>
        <v>-123.79804014999999</v>
      </c>
      <c r="J921">
        <f t="shared" si="341"/>
        <v>-155.65024495</v>
      </c>
      <c r="L921">
        <f t="shared" si="342"/>
        <v>7293773.6810000008</v>
      </c>
      <c r="M921">
        <f t="shared" si="343"/>
        <v>-48575252.289999999</v>
      </c>
      <c r="N921">
        <f t="shared" si="344"/>
        <v>-88938573.214000002</v>
      </c>
      <c r="O921">
        <f t="shared" si="345"/>
        <v>-102979335.59200001</v>
      </c>
      <c r="P921">
        <f t="shared" si="346"/>
        <v>-113894196.93799998</v>
      </c>
      <c r="Q921">
        <f t="shared" si="347"/>
        <v>-133859210.65699999</v>
      </c>
      <c r="S921">
        <f t="shared" si="348"/>
        <v>8846408.6725000013</v>
      </c>
      <c r="T921">
        <f t="shared" si="349"/>
        <v>-130403178.29349999</v>
      </c>
      <c r="U921">
        <f t="shared" si="350"/>
        <v>-111774152.82299998</v>
      </c>
      <c r="V921">
        <f t="shared" si="351"/>
        <v>-130563086.19699998</v>
      </c>
      <c r="W921">
        <f t="shared" si="352"/>
        <v>-169603315.00549999</v>
      </c>
      <c r="X921">
        <f t="shared" si="353"/>
        <v>-189893298.83899999</v>
      </c>
      <c r="Z921">
        <f t="shared" si="354"/>
        <v>10399043.664000001</v>
      </c>
      <c r="AA921">
        <f t="shared" si="355"/>
        <v>-73992535.464999989</v>
      </c>
      <c r="AB921">
        <f t="shared" si="356"/>
        <v>-134609732.43200001</v>
      </c>
      <c r="AC921">
        <f t="shared" si="357"/>
        <v>-180213837.28599998</v>
      </c>
      <c r="AD921">
        <f t="shared" si="358"/>
        <v>-225312433.07299998</v>
      </c>
      <c r="AE921">
        <f t="shared" si="359"/>
        <v>-245927387.021</v>
      </c>
    </row>
    <row r="922" spans="1:31" x14ac:dyDescent="0.25">
      <c r="A922">
        <v>45.663914779999999</v>
      </c>
      <c r="B922">
        <v>85.394656389999994</v>
      </c>
      <c r="C922">
        <v>13.102680210000001</v>
      </c>
      <c r="D922">
        <v>0.12565599</v>
      </c>
      <c r="E922" t="b">
        <f t="shared" si="336"/>
        <v>0</v>
      </c>
      <c r="F922">
        <f t="shared" si="337"/>
        <v>-65.38774506</v>
      </c>
      <c r="G922">
        <f t="shared" si="338"/>
        <v>-130.90114610999998</v>
      </c>
      <c r="H922">
        <f t="shared" si="339"/>
        <v>-196.41454716000001</v>
      </c>
      <c r="I922">
        <f t="shared" si="340"/>
        <v>-261.92794821000001</v>
      </c>
      <c r="J922">
        <f t="shared" si="341"/>
        <v>-327.44134926000004</v>
      </c>
      <c r="L922">
        <f t="shared" si="342"/>
        <v>253825.0998</v>
      </c>
      <c r="M922">
        <f t="shared" si="343"/>
        <v>-112466921.50320001</v>
      </c>
      <c r="N922">
        <f t="shared" si="344"/>
        <v>-193733696.24279997</v>
      </c>
      <c r="O922">
        <f t="shared" si="345"/>
        <v>-219984292.81920004</v>
      </c>
      <c r="P922">
        <f t="shared" si="346"/>
        <v>-240973712.35319999</v>
      </c>
      <c r="Q922">
        <f t="shared" si="347"/>
        <v>-281599560.36360002</v>
      </c>
      <c r="S922">
        <f t="shared" si="348"/>
        <v>307857.17550000001</v>
      </c>
      <c r="T922">
        <f t="shared" si="349"/>
        <v>-284055487.05869997</v>
      </c>
      <c r="U922">
        <f t="shared" si="350"/>
        <v>-243476131.76459995</v>
      </c>
      <c r="V922">
        <f t="shared" si="351"/>
        <v>-278908656.96720004</v>
      </c>
      <c r="W922">
        <f t="shared" si="352"/>
        <v>-358841289.04770005</v>
      </c>
      <c r="X922">
        <f t="shared" si="353"/>
        <v>-399478446.09720004</v>
      </c>
      <c r="Z922">
        <f t="shared" si="354"/>
        <v>361889.25119999994</v>
      </c>
      <c r="AA922">
        <f t="shared" si="355"/>
        <v>-171315892.05720001</v>
      </c>
      <c r="AB922">
        <f t="shared" si="356"/>
        <v>-293218567.28640002</v>
      </c>
      <c r="AC922">
        <f t="shared" si="357"/>
        <v>-384972512.43360007</v>
      </c>
      <c r="AD922">
        <f t="shared" si="358"/>
        <v>-476708865.74220002</v>
      </c>
      <c r="AE922">
        <f t="shared" si="359"/>
        <v>-517357331.83080012</v>
      </c>
    </row>
    <row r="923" spans="1:31" x14ac:dyDescent="0.25">
      <c r="A923">
        <v>45.666617119999998</v>
      </c>
      <c r="B923">
        <v>124.3264528</v>
      </c>
      <c r="C923">
        <v>5.49817467</v>
      </c>
      <c r="D923">
        <v>14.995493890000001</v>
      </c>
      <c r="E923" t="b">
        <f t="shared" si="336"/>
        <v>1</v>
      </c>
      <c r="F923">
        <f t="shared" si="337"/>
        <v>-12.495379460000001</v>
      </c>
      <c r="G923">
        <f t="shared" si="338"/>
        <v>-39.986252810000003</v>
      </c>
      <c r="H923">
        <f t="shared" si="339"/>
        <v>-67.477126159999997</v>
      </c>
      <c r="I923">
        <f t="shared" si="340"/>
        <v>-94.967999509999999</v>
      </c>
      <c r="J923">
        <f t="shared" si="341"/>
        <v>-122.45887285999999</v>
      </c>
      <c r="L923">
        <f t="shared" si="342"/>
        <v>11106312.8334</v>
      </c>
      <c r="M923">
        <f t="shared" si="343"/>
        <v>-21492052.671200003</v>
      </c>
      <c r="N923">
        <f t="shared" si="344"/>
        <v>-59179654.158800006</v>
      </c>
      <c r="O923">
        <f t="shared" si="345"/>
        <v>-75574381.299199998</v>
      </c>
      <c r="P923">
        <f t="shared" si="346"/>
        <v>-87370559.549199998</v>
      </c>
      <c r="Q923">
        <f t="shared" si="347"/>
        <v>-105314630.65959999</v>
      </c>
      <c r="S923">
        <f t="shared" si="348"/>
        <v>13470527.941500001</v>
      </c>
      <c r="T923">
        <f t="shared" si="349"/>
        <v>-86770168.5977</v>
      </c>
      <c r="U923">
        <f t="shared" si="350"/>
        <v>-74374430.226600006</v>
      </c>
      <c r="V923">
        <f t="shared" si="351"/>
        <v>-95817519.147199988</v>
      </c>
      <c r="W923">
        <f t="shared" si="352"/>
        <v>-130106159.32870002</v>
      </c>
      <c r="X923">
        <f t="shared" si="353"/>
        <v>-149399824.88919997</v>
      </c>
      <c r="Z923">
        <f t="shared" si="354"/>
        <v>15834743.0496</v>
      </c>
      <c r="AA923">
        <f t="shared" si="355"/>
        <v>-32737894.185200002</v>
      </c>
      <c r="AB923">
        <f t="shared" si="356"/>
        <v>-89569206.294400007</v>
      </c>
      <c r="AC923">
        <f t="shared" si="357"/>
        <v>-132255167.2736</v>
      </c>
      <c r="AD923">
        <f t="shared" si="358"/>
        <v>-172841759.10820001</v>
      </c>
      <c r="AE923">
        <f t="shared" si="359"/>
        <v>-193485019.11879998</v>
      </c>
    </row>
    <row r="924" spans="1:31" x14ac:dyDescent="0.25">
      <c r="A924">
        <v>45.799722469999999</v>
      </c>
      <c r="B924">
        <v>124.36288759999999</v>
      </c>
      <c r="C924">
        <v>5.49817467</v>
      </c>
      <c r="D924">
        <v>15.894377710000001</v>
      </c>
      <c r="E924" t="b">
        <f t="shared" si="336"/>
        <v>1</v>
      </c>
      <c r="F924">
        <f t="shared" si="337"/>
        <v>-11.596495640000001</v>
      </c>
      <c r="G924">
        <f t="shared" si="338"/>
        <v>-39.087368990000002</v>
      </c>
      <c r="H924">
        <f t="shared" si="339"/>
        <v>-66.578242340000003</v>
      </c>
      <c r="I924">
        <f t="shared" si="340"/>
        <v>-94.069115690000004</v>
      </c>
      <c r="J924">
        <f t="shared" si="341"/>
        <v>-121.55998903999999</v>
      </c>
      <c r="L924">
        <f t="shared" si="342"/>
        <v>11106312.8334</v>
      </c>
      <c r="M924">
        <f t="shared" si="343"/>
        <v>-19945972.500800002</v>
      </c>
      <c r="N924">
        <f t="shared" si="344"/>
        <v>-57849306.1052</v>
      </c>
      <c r="O924">
        <f t="shared" si="345"/>
        <v>-74567631.420800015</v>
      </c>
      <c r="P924">
        <f t="shared" si="346"/>
        <v>-86543586.434799984</v>
      </c>
      <c r="Q924">
        <f t="shared" si="347"/>
        <v>-104541590.57439999</v>
      </c>
      <c r="S924">
        <f t="shared" si="348"/>
        <v>13470527.941500001</v>
      </c>
      <c r="T924">
        <f t="shared" si="349"/>
        <v>-84819590.708299994</v>
      </c>
      <c r="U924">
        <f t="shared" si="350"/>
        <v>-72702506.321400002</v>
      </c>
      <c r="V924">
        <f t="shared" si="351"/>
        <v>-94541104.122800007</v>
      </c>
      <c r="W924">
        <f t="shared" si="352"/>
        <v>-128874688.49530001</v>
      </c>
      <c r="X924">
        <f t="shared" si="353"/>
        <v>-148303186.62879997</v>
      </c>
      <c r="Z924">
        <f t="shared" si="354"/>
        <v>15834743.0496</v>
      </c>
      <c r="AA924">
        <f t="shared" si="355"/>
        <v>-30382818.576800004</v>
      </c>
      <c r="AB924">
        <f t="shared" si="356"/>
        <v>-87555706.537600011</v>
      </c>
      <c r="AC924">
        <f t="shared" si="357"/>
        <v>-130493354.98640001</v>
      </c>
      <c r="AD924">
        <f t="shared" si="358"/>
        <v>-171205790.55579999</v>
      </c>
      <c r="AE924">
        <f t="shared" si="359"/>
        <v>-192064782.6832</v>
      </c>
    </row>
    <row r="925" spans="1:31" x14ac:dyDescent="0.25">
      <c r="A925">
        <v>45.800658110000001</v>
      </c>
      <c r="B925">
        <v>125.6799609</v>
      </c>
      <c r="C925">
        <v>1.9456416400000001</v>
      </c>
      <c r="D925">
        <v>42.116260529999998</v>
      </c>
      <c r="E925" t="b">
        <f t="shared" si="336"/>
        <v>1</v>
      </c>
      <c r="F925">
        <f t="shared" si="337"/>
        <v>32.388052329999994</v>
      </c>
      <c r="G925">
        <f t="shared" si="338"/>
        <v>22.659844129999996</v>
      </c>
      <c r="H925">
        <f t="shared" si="339"/>
        <v>12.931635929999999</v>
      </c>
      <c r="I925">
        <f t="shared" si="340"/>
        <v>3.2034277299999943</v>
      </c>
      <c r="J925">
        <f t="shared" si="341"/>
        <v>-6.5247804700000032</v>
      </c>
      <c r="L925">
        <f t="shared" si="342"/>
        <v>3930196.1128000002</v>
      </c>
      <c r="M925">
        <f t="shared" si="343"/>
        <v>3346503.6208000006</v>
      </c>
      <c r="N925">
        <f t="shared" si="344"/>
        <v>2879549.6272</v>
      </c>
      <c r="O925">
        <f t="shared" si="345"/>
        <v>2179118.6368000004</v>
      </c>
      <c r="P925">
        <f t="shared" si="346"/>
        <v>1789990.3088</v>
      </c>
      <c r="Q925">
        <f t="shared" si="347"/>
        <v>-5611311.2042000033</v>
      </c>
      <c r="S925">
        <f t="shared" si="348"/>
        <v>4766822.0180000011</v>
      </c>
      <c r="T925">
        <f t="shared" si="349"/>
        <v>4222042.3588000005</v>
      </c>
      <c r="U925">
        <f t="shared" si="350"/>
        <v>3618893.4504</v>
      </c>
      <c r="V925">
        <f t="shared" si="351"/>
        <v>2762811.1288000001</v>
      </c>
      <c r="W925">
        <f t="shared" si="352"/>
        <v>2665529.0468000006</v>
      </c>
      <c r="X925">
        <f t="shared" si="353"/>
        <v>-7960232.1734000044</v>
      </c>
      <c r="Z925">
        <f t="shared" si="354"/>
        <v>5603447.9232000001</v>
      </c>
      <c r="AA925">
        <f t="shared" si="355"/>
        <v>5097581.0968000004</v>
      </c>
      <c r="AB925">
        <f t="shared" si="356"/>
        <v>4358237.2736000009</v>
      </c>
      <c r="AC925">
        <f t="shared" si="357"/>
        <v>3813457.6144000003</v>
      </c>
      <c r="AD925">
        <f t="shared" si="358"/>
        <v>3541067.7848000005</v>
      </c>
      <c r="AE925">
        <f t="shared" si="359"/>
        <v>-10309153.142600005</v>
      </c>
    </row>
    <row r="926" spans="1:31" x14ac:dyDescent="0.25">
      <c r="A926">
        <v>45.801130729999997</v>
      </c>
      <c r="B926">
        <v>124.6921487</v>
      </c>
      <c r="C926">
        <v>1.10745227</v>
      </c>
      <c r="D926">
        <v>20.73853111</v>
      </c>
      <c r="E926" t="b">
        <f t="shared" si="336"/>
        <v>1</v>
      </c>
      <c r="F926">
        <f t="shared" si="337"/>
        <v>15.201269760000001</v>
      </c>
      <c r="G926">
        <f t="shared" si="338"/>
        <v>9.664008410000001</v>
      </c>
      <c r="H926">
        <f t="shared" si="339"/>
        <v>4.1267470599999996</v>
      </c>
      <c r="I926">
        <f t="shared" si="340"/>
        <v>-1.4105142899999983</v>
      </c>
      <c r="J926">
        <f t="shared" si="341"/>
        <v>-6.9477756399999997</v>
      </c>
      <c r="L926">
        <f t="shared" si="342"/>
        <v>2237053.5854000002</v>
      </c>
      <c r="M926">
        <f t="shared" si="343"/>
        <v>1904817.9044000003</v>
      </c>
      <c r="N926">
        <f t="shared" si="344"/>
        <v>1639029.3596000001</v>
      </c>
      <c r="O926">
        <f t="shared" si="345"/>
        <v>1240346.5424000002</v>
      </c>
      <c r="P926">
        <f t="shared" si="346"/>
        <v>-1297673.1467999981</v>
      </c>
      <c r="Q926">
        <f t="shared" si="347"/>
        <v>-5975087.0504000001</v>
      </c>
      <c r="S926">
        <f t="shared" si="348"/>
        <v>2713258.0615000003</v>
      </c>
      <c r="T926">
        <f t="shared" si="349"/>
        <v>2403171.4259000001</v>
      </c>
      <c r="U926">
        <f t="shared" si="350"/>
        <v>2059861.2222</v>
      </c>
      <c r="V926">
        <f t="shared" si="351"/>
        <v>1572582.2234</v>
      </c>
      <c r="W926">
        <f t="shared" si="352"/>
        <v>-1932404.5772999977</v>
      </c>
      <c r="X926">
        <f t="shared" si="353"/>
        <v>-8476286.2807999998</v>
      </c>
      <c r="Z926">
        <f t="shared" si="354"/>
        <v>3189462.5375999999</v>
      </c>
      <c r="AA926">
        <f t="shared" si="355"/>
        <v>2901524.9473999999</v>
      </c>
      <c r="AB926">
        <f t="shared" si="356"/>
        <v>2480693.0848000003</v>
      </c>
      <c r="AC926">
        <f t="shared" si="357"/>
        <v>2170606.4492000001</v>
      </c>
      <c r="AD926">
        <f t="shared" si="358"/>
        <v>-2567136.007799997</v>
      </c>
      <c r="AE926">
        <f t="shared" si="359"/>
        <v>-10977485.5112</v>
      </c>
    </row>
    <row r="927" spans="1:31" x14ac:dyDescent="0.25">
      <c r="A927">
        <v>45.818372619999998</v>
      </c>
      <c r="B927">
        <v>85.809332510000004</v>
      </c>
      <c r="C927">
        <v>18.492280959999999</v>
      </c>
      <c r="D927">
        <v>7.4918289199999997</v>
      </c>
      <c r="E927" t="b">
        <f t="shared" si="336"/>
        <v>0</v>
      </c>
      <c r="F927">
        <f t="shared" si="337"/>
        <v>-84.969575879999994</v>
      </c>
      <c r="G927">
        <f t="shared" si="338"/>
        <v>-177.43098068</v>
      </c>
      <c r="H927">
        <f t="shared" si="339"/>
        <v>-269.89238547999997</v>
      </c>
      <c r="I927">
        <f t="shared" si="340"/>
        <v>-362.35379028</v>
      </c>
      <c r="J927">
        <f t="shared" si="341"/>
        <v>-454.81519507999997</v>
      </c>
      <c r="L927">
        <f t="shared" si="342"/>
        <v>15133494.418400001</v>
      </c>
      <c r="M927">
        <f t="shared" si="343"/>
        <v>-146147670.51360002</v>
      </c>
      <c r="N927">
        <f t="shared" si="344"/>
        <v>-262597851.4064</v>
      </c>
      <c r="O927">
        <f t="shared" si="345"/>
        <v>-302279471.73759997</v>
      </c>
      <c r="P927">
        <f t="shared" si="346"/>
        <v>-333365487.05759996</v>
      </c>
      <c r="Q927">
        <f t="shared" si="347"/>
        <v>-391141067.76879996</v>
      </c>
      <c r="S927">
        <f t="shared" si="348"/>
        <v>18354980.854000002</v>
      </c>
      <c r="T927">
        <f t="shared" si="349"/>
        <v>-385025228.07560003</v>
      </c>
      <c r="U927">
        <f t="shared" si="350"/>
        <v>-330021624.06479996</v>
      </c>
      <c r="V927">
        <f t="shared" si="351"/>
        <v>-383247187.3815999</v>
      </c>
      <c r="W927">
        <f t="shared" si="352"/>
        <v>-496424692.68360001</v>
      </c>
      <c r="X927">
        <f t="shared" si="353"/>
        <v>-554874537.99759996</v>
      </c>
      <c r="Z927">
        <f t="shared" si="354"/>
        <v>21576467.2896</v>
      </c>
      <c r="AA927">
        <f t="shared" si="355"/>
        <v>-222620288.80559999</v>
      </c>
      <c r="AB927">
        <f t="shared" si="356"/>
        <v>-397445396.72320008</v>
      </c>
      <c r="AC927">
        <f t="shared" si="357"/>
        <v>-528989075.54079992</v>
      </c>
      <c r="AD927">
        <f t="shared" si="358"/>
        <v>-659483898.3096</v>
      </c>
      <c r="AE927">
        <f t="shared" si="359"/>
        <v>-718608008.22640002</v>
      </c>
    </row>
    <row r="928" spans="1:31" x14ac:dyDescent="0.25">
      <c r="A928">
        <v>45.836879979999999</v>
      </c>
      <c r="B928">
        <v>125.4268392</v>
      </c>
      <c r="C928">
        <v>1.9456416400000001</v>
      </c>
      <c r="D928">
        <v>0.23003501000000001</v>
      </c>
      <c r="E928" t="b">
        <f t="shared" si="336"/>
        <v>0</v>
      </c>
      <c r="F928">
        <f t="shared" si="337"/>
        <v>-9.498173190000001</v>
      </c>
      <c r="G928">
        <f t="shared" si="338"/>
        <v>-19.22638139</v>
      </c>
      <c r="H928">
        <f t="shared" si="339"/>
        <v>-28.954589589999998</v>
      </c>
      <c r="I928">
        <f t="shared" si="340"/>
        <v>-38.682797790000002</v>
      </c>
      <c r="J928">
        <f t="shared" si="341"/>
        <v>-48.41100599</v>
      </c>
      <c r="L928">
        <f t="shared" si="342"/>
        <v>464670.72020000004</v>
      </c>
      <c r="M928">
        <f t="shared" si="343"/>
        <v>-16336857.886800004</v>
      </c>
      <c r="N928">
        <f t="shared" si="344"/>
        <v>-28455044.457200002</v>
      </c>
      <c r="O928">
        <f t="shared" si="345"/>
        <v>-32429140.340799998</v>
      </c>
      <c r="P928">
        <f t="shared" si="346"/>
        <v>-35588173.966799997</v>
      </c>
      <c r="Q928">
        <f t="shared" si="347"/>
        <v>-41633465.1514</v>
      </c>
      <c r="S928">
        <f t="shared" si="348"/>
        <v>563585.77450000006</v>
      </c>
      <c r="T928">
        <f t="shared" si="349"/>
        <v>-41721247.616300002</v>
      </c>
      <c r="U928">
        <f t="shared" si="350"/>
        <v>-35761069.385399997</v>
      </c>
      <c r="V928">
        <f t="shared" si="351"/>
        <v>-41115517.217799991</v>
      </c>
      <c r="W928">
        <f t="shared" si="352"/>
        <v>-52995432.9723</v>
      </c>
      <c r="X928">
        <f t="shared" si="353"/>
        <v>-59061427.307800002</v>
      </c>
      <c r="Z928">
        <f t="shared" si="354"/>
        <v>662500.82880000002</v>
      </c>
      <c r="AA928">
        <f t="shared" si="355"/>
        <v>-24885213.757800005</v>
      </c>
      <c r="AB928">
        <f t="shared" si="356"/>
        <v>-43067094.313600004</v>
      </c>
      <c r="AC928">
        <f t="shared" si="357"/>
        <v>-56750995.596399993</v>
      </c>
      <c r="AD928">
        <f t="shared" si="358"/>
        <v>-70402691.977799997</v>
      </c>
      <c r="AE928">
        <f t="shared" si="359"/>
        <v>-76489389.464200005</v>
      </c>
    </row>
    <row r="929" spans="1:31" x14ac:dyDescent="0.25">
      <c r="A929">
        <v>45.870812559999997</v>
      </c>
      <c r="B929">
        <v>125.8326725</v>
      </c>
      <c r="C929">
        <v>2.93583441</v>
      </c>
      <c r="D929">
        <v>7.633E-3</v>
      </c>
      <c r="E929" t="b">
        <f t="shared" si="336"/>
        <v>0</v>
      </c>
      <c r="F929">
        <f t="shared" si="337"/>
        <v>-14.67153905</v>
      </c>
      <c r="G929">
        <f t="shared" si="338"/>
        <v>-29.350711100000002</v>
      </c>
      <c r="H929">
        <f t="shared" si="339"/>
        <v>-44.029883150000003</v>
      </c>
      <c r="I929">
        <f t="shared" si="340"/>
        <v>-58.709055200000002</v>
      </c>
      <c r="J929">
        <f t="shared" si="341"/>
        <v>-73.38822725</v>
      </c>
      <c r="L929">
        <f t="shared" si="342"/>
        <v>15418.66</v>
      </c>
      <c r="M929">
        <f t="shared" si="343"/>
        <v>-25235047.166000001</v>
      </c>
      <c r="N929">
        <f t="shared" si="344"/>
        <v>-43439052.428000003</v>
      </c>
      <c r="O929">
        <f t="shared" si="345"/>
        <v>-49313469.128000014</v>
      </c>
      <c r="P929">
        <f t="shared" si="346"/>
        <v>-54012330.784000002</v>
      </c>
      <c r="Q929">
        <f t="shared" si="347"/>
        <v>-63113875.435000002</v>
      </c>
      <c r="S929">
        <f t="shared" si="348"/>
        <v>18700.850000000002</v>
      </c>
      <c r="T929">
        <f t="shared" si="349"/>
        <v>-63691043.086999997</v>
      </c>
      <c r="U929">
        <f t="shared" si="350"/>
        <v>-54592322.645999998</v>
      </c>
      <c r="V929">
        <f t="shared" si="351"/>
        <v>-62522434.073000006</v>
      </c>
      <c r="W929">
        <f t="shared" si="352"/>
        <v>-80431405.624000013</v>
      </c>
      <c r="X929">
        <f t="shared" si="353"/>
        <v>-89533637.245000005</v>
      </c>
      <c r="Z929">
        <f t="shared" si="354"/>
        <v>21983.040000000001</v>
      </c>
      <c r="AA929">
        <f t="shared" si="355"/>
        <v>-38439432.310999997</v>
      </c>
      <c r="AB929">
        <f t="shared" si="356"/>
        <v>-65745592.864000008</v>
      </c>
      <c r="AC929">
        <f t="shared" si="357"/>
        <v>-86298570.974000007</v>
      </c>
      <c r="AD929">
        <f t="shared" si="358"/>
        <v>-106850480.46400002</v>
      </c>
      <c r="AE929">
        <f t="shared" si="359"/>
        <v>-115953399.05500001</v>
      </c>
    </row>
    <row r="930" spans="1:31" x14ac:dyDescent="0.25">
      <c r="A930">
        <v>45.884502079999997</v>
      </c>
      <c r="B930">
        <v>86.911455160000003</v>
      </c>
      <c r="C930">
        <v>18.492280959999999</v>
      </c>
      <c r="D930">
        <v>11.509568209999999</v>
      </c>
      <c r="E930" t="b">
        <f t="shared" si="336"/>
        <v>0</v>
      </c>
      <c r="F930">
        <f t="shared" si="337"/>
        <v>-80.951836589999999</v>
      </c>
      <c r="G930">
        <f t="shared" si="338"/>
        <v>-173.41324139</v>
      </c>
      <c r="H930">
        <f t="shared" si="339"/>
        <v>-265.87464618999996</v>
      </c>
      <c r="I930">
        <f t="shared" si="340"/>
        <v>-358.33605098999999</v>
      </c>
      <c r="J930">
        <f t="shared" si="341"/>
        <v>-450.79745578999996</v>
      </c>
      <c r="L930">
        <f t="shared" si="342"/>
        <v>23249327.784199998</v>
      </c>
      <c r="M930">
        <f t="shared" si="343"/>
        <v>-139237158.93480003</v>
      </c>
      <c r="N930">
        <f t="shared" si="344"/>
        <v>-256651597.25719997</v>
      </c>
      <c r="O930">
        <f t="shared" si="345"/>
        <v>-297779603.73280001</v>
      </c>
      <c r="P930">
        <f t="shared" si="346"/>
        <v>-329669166.91079998</v>
      </c>
      <c r="Q930">
        <f t="shared" si="347"/>
        <v>-387685811.97939998</v>
      </c>
      <c r="S930">
        <f t="shared" si="348"/>
        <v>28198442.114500001</v>
      </c>
      <c r="T930">
        <f t="shared" si="349"/>
        <v>-376306733.81629997</v>
      </c>
      <c r="U930">
        <f t="shared" si="350"/>
        <v>-322548628.98539996</v>
      </c>
      <c r="V930">
        <f t="shared" si="351"/>
        <v>-377541997.58979994</v>
      </c>
      <c r="W930">
        <f t="shared" si="352"/>
        <v>-490920389.85630006</v>
      </c>
      <c r="X930">
        <f t="shared" si="353"/>
        <v>-549972896.06379998</v>
      </c>
      <c r="Z930">
        <f t="shared" si="354"/>
        <v>33147556.444799997</v>
      </c>
      <c r="AA930">
        <f t="shared" si="355"/>
        <v>-212093811.86580002</v>
      </c>
      <c r="AB930">
        <f t="shared" si="356"/>
        <v>-388445660.71359998</v>
      </c>
      <c r="AC930">
        <f t="shared" si="357"/>
        <v>-521114306.53239995</v>
      </c>
      <c r="AD930">
        <f t="shared" si="358"/>
        <v>-652171612.80180001</v>
      </c>
      <c r="AE930">
        <f t="shared" si="359"/>
        <v>-712259980.14819992</v>
      </c>
    </row>
    <row r="931" spans="1:31" x14ac:dyDescent="0.25">
      <c r="A931">
        <v>45.890336689999998</v>
      </c>
      <c r="B931">
        <v>125.0466528</v>
      </c>
      <c r="C931">
        <v>1.9456416400000001</v>
      </c>
      <c r="D931">
        <v>0.53997302000000003</v>
      </c>
      <c r="E931" t="b">
        <f t="shared" si="336"/>
        <v>0</v>
      </c>
      <c r="F931">
        <f t="shared" si="337"/>
        <v>-9.1882351800000013</v>
      </c>
      <c r="G931">
        <f t="shared" si="338"/>
        <v>-18.91644338</v>
      </c>
      <c r="H931">
        <f t="shared" si="339"/>
        <v>-28.644651579999998</v>
      </c>
      <c r="I931">
        <f t="shared" si="340"/>
        <v>-38.372859780000006</v>
      </c>
      <c r="J931">
        <f t="shared" si="341"/>
        <v>-48.101067980000003</v>
      </c>
      <c r="L931">
        <f t="shared" si="342"/>
        <v>1090745.5004</v>
      </c>
      <c r="M931">
        <f t="shared" si="343"/>
        <v>-15803764.509600004</v>
      </c>
      <c r="N931">
        <f t="shared" si="344"/>
        <v>-27996336.202399999</v>
      </c>
      <c r="O931">
        <f t="shared" si="345"/>
        <v>-32082009.7696</v>
      </c>
      <c r="P931">
        <f t="shared" si="346"/>
        <v>-35303030.997600004</v>
      </c>
      <c r="Q931">
        <f t="shared" si="347"/>
        <v>-41366918.462800004</v>
      </c>
      <c r="S931">
        <f t="shared" si="348"/>
        <v>1322933.8990000002</v>
      </c>
      <c r="T931">
        <f t="shared" si="349"/>
        <v>-41048682.134599999</v>
      </c>
      <c r="U931">
        <f t="shared" si="350"/>
        <v>-35184584.686799996</v>
      </c>
      <c r="V931">
        <f t="shared" si="351"/>
        <v>-40675405.243599996</v>
      </c>
      <c r="W931">
        <f t="shared" si="352"/>
        <v>-52570817.89860002</v>
      </c>
      <c r="X931">
        <f t="shared" si="353"/>
        <v>-58683302.935600005</v>
      </c>
      <c r="Z931">
        <f t="shared" si="354"/>
        <v>1555122.2975999999</v>
      </c>
      <c r="AA931">
        <f t="shared" si="355"/>
        <v>-24073176.171600007</v>
      </c>
      <c r="AB931">
        <f t="shared" si="356"/>
        <v>-42372833.1712</v>
      </c>
      <c r="AC931">
        <f t="shared" si="357"/>
        <v>-56143517.096799992</v>
      </c>
      <c r="AD931">
        <f t="shared" si="358"/>
        <v>-69838604.79960002</v>
      </c>
      <c r="AE931">
        <f t="shared" si="359"/>
        <v>-75999687.408400014</v>
      </c>
    </row>
    <row r="932" spans="1:31" x14ac:dyDescent="0.25">
      <c r="A932">
        <v>45.89051766</v>
      </c>
      <c r="B932">
        <v>128.95339670000001</v>
      </c>
      <c r="C932">
        <v>0</v>
      </c>
      <c r="D932">
        <v>7.6337000000000002E-2</v>
      </c>
      <c r="E932" t="b">
        <f t="shared" si="336"/>
        <v>1</v>
      </c>
      <c r="F932">
        <f t="shared" si="337"/>
        <v>7.6337000000000002E-2</v>
      </c>
      <c r="G932">
        <f t="shared" si="338"/>
        <v>7.6337000000000002E-2</v>
      </c>
      <c r="H932">
        <f t="shared" si="339"/>
        <v>7.6337000000000002E-2</v>
      </c>
      <c r="I932">
        <f t="shared" si="340"/>
        <v>7.6337000000000002E-2</v>
      </c>
      <c r="J932">
        <f t="shared" si="341"/>
        <v>7.6337000000000002E-2</v>
      </c>
      <c r="L932">
        <f t="shared" si="342"/>
        <v>0</v>
      </c>
      <c r="M932">
        <f t="shared" si="343"/>
        <v>0</v>
      </c>
      <c r="N932">
        <f t="shared" si="344"/>
        <v>0</v>
      </c>
      <c r="O932">
        <f t="shared" si="345"/>
        <v>0</v>
      </c>
      <c r="P932">
        <f t="shared" si="346"/>
        <v>0</v>
      </c>
      <c r="Q932">
        <f t="shared" si="347"/>
        <v>0</v>
      </c>
      <c r="S932">
        <f t="shared" si="348"/>
        <v>0</v>
      </c>
      <c r="T932">
        <f t="shared" si="349"/>
        <v>0</v>
      </c>
      <c r="U932">
        <f t="shared" si="350"/>
        <v>0</v>
      </c>
      <c r="V932">
        <f t="shared" si="351"/>
        <v>0</v>
      </c>
      <c r="W932">
        <f t="shared" si="352"/>
        <v>0</v>
      </c>
      <c r="X932">
        <f t="shared" si="353"/>
        <v>0</v>
      </c>
      <c r="Z932">
        <f t="shared" si="354"/>
        <v>0</v>
      </c>
      <c r="AA932">
        <f t="shared" si="355"/>
        <v>0</v>
      </c>
      <c r="AB932">
        <f t="shared" si="356"/>
        <v>0</v>
      </c>
      <c r="AC932">
        <f t="shared" si="357"/>
        <v>0</v>
      </c>
      <c r="AD932">
        <f t="shared" si="358"/>
        <v>0</v>
      </c>
      <c r="AE932">
        <f t="shared" si="359"/>
        <v>0</v>
      </c>
    </row>
    <row r="933" spans="1:31" x14ac:dyDescent="0.25">
      <c r="A933">
        <v>45.902968299999998</v>
      </c>
      <c r="B933">
        <v>123.9304772</v>
      </c>
      <c r="C933">
        <v>55.767822270000003</v>
      </c>
      <c r="D933">
        <v>23.341514589999999</v>
      </c>
      <c r="E933" t="b">
        <f t="shared" si="336"/>
        <v>0</v>
      </c>
      <c r="F933">
        <f t="shared" si="337"/>
        <v>-255.49759675999999</v>
      </c>
      <c r="G933">
        <f t="shared" si="338"/>
        <v>-534.33670811000002</v>
      </c>
      <c r="H933">
        <f t="shared" si="339"/>
        <v>-813.17581946000007</v>
      </c>
      <c r="I933">
        <f t="shared" si="340"/>
        <v>-1092.0149308099999</v>
      </c>
      <c r="J933">
        <f t="shared" si="341"/>
        <v>-1370.8540421600001</v>
      </c>
      <c r="L933">
        <f t="shared" si="342"/>
        <v>47149859.471799999</v>
      </c>
      <c r="M933">
        <f t="shared" si="343"/>
        <v>-439455866.42720002</v>
      </c>
      <c r="N933">
        <f t="shared" si="344"/>
        <v>-790818328.00279999</v>
      </c>
      <c r="O933">
        <f t="shared" si="345"/>
        <v>-910756917.79520011</v>
      </c>
      <c r="P933">
        <f t="shared" si="346"/>
        <v>-1004653736.3451998</v>
      </c>
      <c r="Q933">
        <f t="shared" si="347"/>
        <v>-1178934476.2576001</v>
      </c>
      <c r="S933">
        <f t="shared" si="348"/>
        <v>57186710.745500006</v>
      </c>
      <c r="T933">
        <f t="shared" si="349"/>
        <v>-1159510656.5987</v>
      </c>
      <c r="U933">
        <f t="shared" si="350"/>
        <v>-993866277.08459997</v>
      </c>
      <c r="V933">
        <f t="shared" si="351"/>
        <v>-1154709663.6331999</v>
      </c>
      <c r="W933">
        <f t="shared" si="352"/>
        <v>-1496060455.2097001</v>
      </c>
      <c r="X933">
        <f t="shared" si="353"/>
        <v>-1672441931.4352</v>
      </c>
      <c r="Z933">
        <f t="shared" si="354"/>
        <v>67223562.019199997</v>
      </c>
      <c r="AA933">
        <f t="shared" si="355"/>
        <v>-669403703.51119995</v>
      </c>
      <c r="AB933">
        <f t="shared" si="356"/>
        <v>-1196914226.1664002</v>
      </c>
      <c r="AC933">
        <f t="shared" si="357"/>
        <v>-1593824606.1416001</v>
      </c>
      <c r="AD933">
        <f t="shared" si="358"/>
        <v>-1987467174.0741999</v>
      </c>
      <c r="AE933">
        <f t="shared" si="359"/>
        <v>-2165949386.6128001</v>
      </c>
    </row>
    <row r="934" spans="1:31" x14ac:dyDescent="0.25">
      <c r="A934">
        <v>45.90372816</v>
      </c>
      <c r="B934">
        <v>85.452814250000003</v>
      </c>
      <c r="C934">
        <v>0.57684994000000001</v>
      </c>
      <c r="D934">
        <v>33.699977869999998</v>
      </c>
      <c r="E934" t="b">
        <f t="shared" si="336"/>
        <v>1</v>
      </c>
      <c r="F934">
        <f t="shared" si="337"/>
        <v>30.81572817</v>
      </c>
      <c r="G934">
        <f t="shared" si="338"/>
        <v>27.931478469999998</v>
      </c>
      <c r="H934">
        <f t="shared" si="339"/>
        <v>25.047228769999997</v>
      </c>
      <c r="I934">
        <f t="shared" si="340"/>
        <v>22.162979069999999</v>
      </c>
      <c r="J934">
        <f t="shared" si="341"/>
        <v>19.278729369999997</v>
      </c>
      <c r="L934">
        <f t="shared" si="342"/>
        <v>1165236.8788000001</v>
      </c>
      <c r="M934">
        <f t="shared" si="343"/>
        <v>992181.89680000022</v>
      </c>
      <c r="N934">
        <f t="shared" si="344"/>
        <v>853737.91120000009</v>
      </c>
      <c r="O934">
        <f t="shared" si="345"/>
        <v>646071.93280000018</v>
      </c>
      <c r="P934">
        <f t="shared" si="346"/>
        <v>530701.94480000006</v>
      </c>
      <c r="Q934">
        <f t="shared" si="347"/>
        <v>496090.94840000005</v>
      </c>
      <c r="S934">
        <f t="shared" si="348"/>
        <v>1413282.3530000004</v>
      </c>
      <c r="T934">
        <f t="shared" si="349"/>
        <v>1251764.3698</v>
      </c>
      <c r="U934">
        <f t="shared" si="350"/>
        <v>1072940.8884000001</v>
      </c>
      <c r="V934">
        <f t="shared" si="351"/>
        <v>819126.91480000003</v>
      </c>
      <c r="W934">
        <f t="shared" si="352"/>
        <v>790284.41780000017</v>
      </c>
      <c r="X934">
        <f t="shared" si="353"/>
        <v>703756.92680000002</v>
      </c>
      <c r="Z934">
        <f t="shared" si="354"/>
        <v>1661327.8272000002</v>
      </c>
      <c r="AA934">
        <f t="shared" si="355"/>
        <v>1511346.8428000002</v>
      </c>
      <c r="AB934">
        <f t="shared" si="356"/>
        <v>1292143.8656000004</v>
      </c>
      <c r="AC934">
        <f t="shared" si="357"/>
        <v>1130625.8824</v>
      </c>
      <c r="AD934">
        <f t="shared" si="358"/>
        <v>1049866.8908000002</v>
      </c>
      <c r="AE934">
        <f t="shared" si="359"/>
        <v>911422.90520000015</v>
      </c>
    </row>
    <row r="935" spans="1:31" x14ac:dyDescent="0.25">
      <c r="A935">
        <v>45.942740350000001</v>
      </c>
      <c r="B935">
        <v>124.6658709</v>
      </c>
      <c r="C935">
        <v>1.10745227</v>
      </c>
      <c r="D935">
        <v>104.183548</v>
      </c>
      <c r="E935" t="b">
        <f t="shared" si="336"/>
        <v>1</v>
      </c>
      <c r="F935">
        <f t="shared" si="337"/>
        <v>98.646286650000008</v>
      </c>
      <c r="G935">
        <f t="shared" si="338"/>
        <v>93.109025299999999</v>
      </c>
      <c r="H935">
        <f t="shared" si="339"/>
        <v>87.571763950000005</v>
      </c>
      <c r="I935">
        <f t="shared" si="340"/>
        <v>82.034502599999996</v>
      </c>
      <c r="J935">
        <f t="shared" si="341"/>
        <v>76.497241250000002</v>
      </c>
      <c r="L935">
        <f t="shared" si="342"/>
        <v>2237053.5854000002</v>
      </c>
      <c r="M935">
        <f t="shared" si="343"/>
        <v>1904817.9044000003</v>
      </c>
      <c r="N935">
        <f t="shared" si="344"/>
        <v>1639029.3596000001</v>
      </c>
      <c r="O935">
        <f t="shared" si="345"/>
        <v>1240346.5424000002</v>
      </c>
      <c r="P935">
        <f t="shared" si="346"/>
        <v>1018856.0883999999</v>
      </c>
      <c r="Q935">
        <f t="shared" si="347"/>
        <v>952408.95220000006</v>
      </c>
      <c r="S935">
        <f t="shared" si="348"/>
        <v>2713258.0615000003</v>
      </c>
      <c r="T935">
        <f t="shared" si="349"/>
        <v>2403171.4259000001</v>
      </c>
      <c r="U935">
        <f t="shared" si="350"/>
        <v>2059861.2222</v>
      </c>
      <c r="V935">
        <f t="shared" si="351"/>
        <v>1572582.2234</v>
      </c>
      <c r="W935">
        <f t="shared" si="352"/>
        <v>1517209.6099</v>
      </c>
      <c r="X935">
        <f t="shared" si="353"/>
        <v>1351091.7694000001</v>
      </c>
      <c r="Z935">
        <f t="shared" si="354"/>
        <v>3189462.5375999999</v>
      </c>
      <c r="AA935">
        <f t="shared" si="355"/>
        <v>2901524.9473999999</v>
      </c>
      <c r="AB935">
        <f t="shared" si="356"/>
        <v>2480693.0848000003</v>
      </c>
      <c r="AC935">
        <f t="shared" si="357"/>
        <v>2170606.4492000001</v>
      </c>
      <c r="AD935">
        <f t="shared" si="358"/>
        <v>2015563.1314000001</v>
      </c>
      <c r="AE935">
        <f t="shared" si="359"/>
        <v>1749774.5866</v>
      </c>
    </row>
    <row r="936" spans="1:31" x14ac:dyDescent="0.25">
      <c r="A936">
        <v>45.969611800000003</v>
      </c>
      <c r="B936">
        <v>125.4655302</v>
      </c>
      <c r="C936">
        <v>2.93583441</v>
      </c>
      <c r="D936">
        <v>17.71791267</v>
      </c>
      <c r="E936" t="b">
        <f t="shared" si="336"/>
        <v>1</v>
      </c>
      <c r="F936">
        <f t="shared" si="337"/>
        <v>3.0387406200000004</v>
      </c>
      <c r="G936">
        <f t="shared" si="338"/>
        <v>-11.64043143</v>
      </c>
      <c r="H936">
        <f t="shared" si="339"/>
        <v>-26.319603480000001</v>
      </c>
      <c r="I936">
        <f t="shared" si="340"/>
        <v>-40.998775530000003</v>
      </c>
      <c r="J936">
        <f t="shared" si="341"/>
        <v>-55.677947579999994</v>
      </c>
      <c r="L936">
        <f t="shared" si="342"/>
        <v>5930385.5082</v>
      </c>
      <c r="M936">
        <f t="shared" si="343"/>
        <v>5049635.1852000011</v>
      </c>
      <c r="N936">
        <f t="shared" si="344"/>
        <v>-17227838.516399998</v>
      </c>
      <c r="O936">
        <f t="shared" si="345"/>
        <v>-29477955.897600003</v>
      </c>
      <c r="P936">
        <f t="shared" si="346"/>
        <v>-37718873.487599999</v>
      </c>
      <c r="Q936">
        <f t="shared" si="347"/>
        <v>-47883034.918799989</v>
      </c>
      <c r="S936">
        <f t="shared" si="348"/>
        <v>7192794.3045000006</v>
      </c>
      <c r="T936">
        <f t="shared" si="349"/>
        <v>-25259736.2031</v>
      </c>
      <c r="U936">
        <f t="shared" si="350"/>
        <v>-21651202.459799998</v>
      </c>
      <c r="V936">
        <f t="shared" si="351"/>
        <v>-37373836.941600002</v>
      </c>
      <c r="W936">
        <f t="shared" si="352"/>
        <v>-56168322.476100005</v>
      </c>
      <c r="X936">
        <f t="shared" si="353"/>
        <v>-67927096.047599986</v>
      </c>
      <c r="Z936">
        <f t="shared" si="354"/>
        <v>8455203.1008000001</v>
      </c>
      <c r="AA936">
        <f t="shared" si="355"/>
        <v>7691886.1542000007</v>
      </c>
      <c r="AB936">
        <f t="shared" si="356"/>
        <v>-26074566.403200001</v>
      </c>
      <c r="AC936">
        <f t="shared" si="357"/>
        <v>-51586422.820799999</v>
      </c>
      <c r="AD936">
        <f t="shared" si="358"/>
        <v>-74617771.464600012</v>
      </c>
      <c r="AE936">
        <f t="shared" si="359"/>
        <v>-87971157.176399991</v>
      </c>
    </row>
    <row r="937" spans="1:31" x14ac:dyDescent="0.25">
      <c r="A937">
        <v>45.978886510000002</v>
      </c>
      <c r="B937">
        <v>125.0719521</v>
      </c>
      <c r="C937">
        <v>1.9456416400000001</v>
      </c>
      <c r="D937">
        <v>32.767604830000003</v>
      </c>
      <c r="E937" t="b">
        <f t="shared" si="336"/>
        <v>1</v>
      </c>
      <c r="F937">
        <f t="shared" si="337"/>
        <v>23.039396630000002</v>
      </c>
      <c r="G937">
        <f t="shared" si="338"/>
        <v>13.311188430000001</v>
      </c>
      <c r="H937">
        <f t="shared" si="339"/>
        <v>3.582980230000004</v>
      </c>
      <c r="I937">
        <f t="shared" si="340"/>
        <v>-6.1452279700000005</v>
      </c>
      <c r="J937">
        <f t="shared" si="341"/>
        <v>-15.873436169999998</v>
      </c>
      <c r="L937">
        <f t="shared" si="342"/>
        <v>3930196.1128000002</v>
      </c>
      <c r="M937">
        <f t="shared" si="343"/>
        <v>3346503.6208000006</v>
      </c>
      <c r="N937">
        <f t="shared" si="344"/>
        <v>2879549.6272</v>
      </c>
      <c r="O937">
        <f t="shared" si="345"/>
        <v>2179118.6368000004</v>
      </c>
      <c r="P937">
        <f t="shared" si="346"/>
        <v>-5653609.7324000001</v>
      </c>
      <c r="Q937">
        <f t="shared" si="347"/>
        <v>-13651155.106199998</v>
      </c>
      <c r="S937">
        <f t="shared" si="348"/>
        <v>4766822.0180000011</v>
      </c>
      <c r="T937">
        <f t="shared" si="349"/>
        <v>4222042.3588000005</v>
      </c>
      <c r="U937">
        <f t="shared" si="350"/>
        <v>3618893.4504</v>
      </c>
      <c r="V937">
        <f t="shared" si="351"/>
        <v>2762811.1288000001</v>
      </c>
      <c r="W937">
        <f t="shared" si="352"/>
        <v>-8418962.3189000022</v>
      </c>
      <c r="X937">
        <f t="shared" si="353"/>
        <v>-19365592.127399996</v>
      </c>
      <c r="Z937">
        <f t="shared" si="354"/>
        <v>5603447.9232000001</v>
      </c>
      <c r="AA937">
        <f t="shared" si="355"/>
        <v>5097581.0968000004</v>
      </c>
      <c r="AB937">
        <f t="shared" si="356"/>
        <v>4358237.2736000009</v>
      </c>
      <c r="AC937">
        <f t="shared" si="357"/>
        <v>3813457.6144000003</v>
      </c>
      <c r="AD937">
        <f t="shared" si="358"/>
        <v>-11184314.905400002</v>
      </c>
      <c r="AE937">
        <f t="shared" si="359"/>
        <v>-25080029.148599997</v>
      </c>
    </row>
    <row r="938" spans="1:31" x14ac:dyDescent="0.25">
      <c r="A938">
        <v>45.985604260000002</v>
      </c>
      <c r="B938">
        <v>124.3481053</v>
      </c>
      <c r="C938">
        <v>4.5470686000000002</v>
      </c>
      <c r="D938">
        <v>20.09030533</v>
      </c>
      <c r="E938" t="b">
        <f t="shared" si="336"/>
        <v>1</v>
      </c>
      <c r="F938">
        <f t="shared" si="337"/>
        <v>-2.6450376700000007</v>
      </c>
      <c r="G938">
        <f t="shared" si="338"/>
        <v>-25.380380670000001</v>
      </c>
      <c r="H938">
        <f t="shared" si="339"/>
        <v>-48.115723670000001</v>
      </c>
      <c r="I938">
        <f t="shared" si="340"/>
        <v>-70.851066669999994</v>
      </c>
      <c r="J938">
        <f t="shared" si="341"/>
        <v>-93.586409669999995</v>
      </c>
      <c r="L938">
        <f t="shared" si="342"/>
        <v>9185078.5720000006</v>
      </c>
      <c r="M938">
        <f t="shared" si="343"/>
        <v>-4549464.7924000015</v>
      </c>
      <c r="N938">
        <f t="shared" si="344"/>
        <v>-37562963.391600005</v>
      </c>
      <c r="O938">
        <f t="shared" si="345"/>
        <v>-53889610.510400005</v>
      </c>
      <c r="P938">
        <f t="shared" si="346"/>
        <v>-65182981.336399995</v>
      </c>
      <c r="Q938">
        <f t="shared" si="347"/>
        <v>-80484312.316200003</v>
      </c>
      <c r="S938">
        <f t="shared" si="348"/>
        <v>11140318.070000002</v>
      </c>
      <c r="T938">
        <f t="shared" si="349"/>
        <v>-55075426.053900003</v>
      </c>
      <c r="U938">
        <f t="shared" si="350"/>
        <v>-47207508.0462</v>
      </c>
      <c r="V938">
        <f t="shared" si="351"/>
        <v>-68324327.611399993</v>
      </c>
      <c r="W938">
        <f t="shared" si="352"/>
        <v>-97065961.337900013</v>
      </c>
      <c r="X938">
        <f t="shared" si="353"/>
        <v>-114175419.7974</v>
      </c>
      <c r="Z938">
        <f t="shared" si="354"/>
        <v>13095557.568000002</v>
      </c>
      <c r="AA938">
        <f t="shared" si="355"/>
        <v>-6929998.6954000024</v>
      </c>
      <c r="AB938">
        <f t="shared" si="356"/>
        <v>-56852052.700800009</v>
      </c>
      <c r="AC938">
        <f t="shared" si="357"/>
        <v>-94306818.393199995</v>
      </c>
      <c r="AD938">
        <f t="shared" si="358"/>
        <v>-128948941.33940001</v>
      </c>
      <c r="AE938">
        <f t="shared" si="359"/>
        <v>-147866527.27860001</v>
      </c>
    </row>
    <row r="939" spans="1:31" x14ac:dyDescent="0.25">
      <c r="A939">
        <v>45.996512510000002</v>
      </c>
      <c r="B939">
        <v>125.27515390000001</v>
      </c>
      <c r="C939">
        <v>2.93583441</v>
      </c>
      <c r="D939">
        <v>10.17576504</v>
      </c>
      <c r="E939" t="b">
        <f t="shared" si="336"/>
        <v>1</v>
      </c>
      <c r="F939">
        <f t="shared" si="337"/>
        <v>-4.5034070100000001</v>
      </c>
      <c r="G939">
        <f t="shared" si="338"/>
        <v>-19.182579060000002</v>
      </c>
      <c r="H939">
        <f t="shared" si="339"/>
        <v>-33.86175111</v>
      </c>
      <c r="I939">
        <f t="shared" si="340"/>
        <v>-48.540923159999998</v>
      </c>
      <c r="J939">
        <f t="shared" si="341"/>
        <v>-63.220095209999997</v>
      </c>
      <c r="L939">
        <f t="shared" si="342"/>
        <v>5930385.5082</v>
      </c>
      <c r="M939">
        <f t="shared" si="343"/>
        <v>-7745860.0572000006</v>
      </c>
      <c r="N939">
        <f t="shared" si="344"/>
        <v>-28390217.008800004</v>
      </c>
      <c r="O939">
        <f t="shared" si="345"/>
        <v>-37925161.243200004</v>
      </c>
      <c r="P939">
        <f t="shared" si="346"/>
        <v>-44657649.307199992</v>
      </c>
      <c r="Q939">
        <f t="shared" si="347"/>
        <v>-54369281.88059999</v>
      </c>
      <c r="S939">
        <f t="shared" si="348"/>
        <v>7192794.3045000006</v>
      </c>
      <c r="T939">
        <f t="shared" si="349"/>
        <v>-41626196.560200006</v>
      </c>
      <c r="U939">
        <f t="shared" si="350"/>
        <v>-35679597.051600002</v>
      </c>
      <c r="V939">
        <f t="shared" si="351"/>
        <v>-48083686.576199993</v>
      </c>
      <c r="W939">
        <f t="shared" si="352"/>
        <v>-66501064.729199998</v>
      </c>
      <c r="X939">
        <f t="shared" si="353"/>
        <v>-77128516.156199992</v>
      </c>
      <c r="Z939">
        <f t="shared" si="354"/>
        <v>8455203.1008000001</v>
      </c>
      <c r="AA939">
        <f t="shared" si="355"/>
        <v>-11798926.3662</v>
      </c>
      <c r="AB939">
        <f t="shared" si="356"/>
        <v>-42968977.094400011</v>
      </c>
      <c r="AC939">
        <f t="shared" si="357"/>
        <v>-66369032.1756</v>
      </c>
      <c r="AD939">
        <f t="shared" si="358"/>
        <v>-88344480.151199996</v>
      </c>
      <c r="AE939">
        <f t="shared" si="359"/>
        <v>-99887750.431799993</v>
      </c>
    </row>
    <row r="940" spans="1:31" x14ac:dyDescent="0.25">
      <c r="A940">
        <v>46.073958040000001</v>
      </c>
      <c r="B940">
        <v>85.665393989999998</v>
      </c>
      <c r="C940">
        <v>0.57684994000000001</v>
      </c>
      <c r="D940">
        <v>14.413458820000001</v>
      </c>
      <c r="E940" t="b">
        <f t="shared" si="336"/>
        <v>1</v>
      </c>
      <c r="F940">
        <f t="shared" si="337"/>
        <v>11.529209120000001</v>
      </c>
      <c r="G940">
        <f t="shared" si="338"/>
        <v>8.6449594200000011</v>
      </c>
      <c r="H940">
        <f t="shared" si="339"/>
        <v>5.7607097200000013</v>
      </c>
      <c r="I940">
        <f t="shared" si="340"/>
        <v>2.8764600200000014</v>
      </c>
      <c r="J940">
        <f t="shared" si="341"/>
        <v>-7.7896800000001321E-3</v>
      </c>
      <c r="L940">
        <f t="shared" si="342"/>
        <v>1165236.8788000001</v>
      </c>
      <c r="M940">
        <f t="shared" si="343"/>
        <v>992181.89680000022</v>
      </c>
      <c r="N940">
        <f t="shared" si="344"/>
        <v>853737.91120000009</v>
      </c>
      <c r="O940">
        <f t="shared" si="345"/>
        <v>646071.93280000018</v>
      </c>
      <c r="P940">
        <f t="shared" si="346"/>
        <v>530701.94480000006</v>
      </c>
      <c r="Q940">
        <f t="shared" si="347"/>
        <v>-6699.1248000001133</v>
      </c>
      <c r="S940">
        <f t="shared" si="348"/>
        <v>1413282.3530000004</v>
      </c>
      <c r="T940">
        <f t="shared" si="349"/>
        <v>1251764.3698</v>
      </c>
      <c r="U940">
        <f t="shared" si="350"/>
        <v>1072940.8884000001</v>
      </c>
      <c r="V940">
        <f t="shared" si="351"/>
        <v>819126.91480000003</v>
      </c>
      <c r="W940">
        <f t="shared" si="352"/>
        <v>790284.41780000017</v>
      </c>
      <c r="X940">
        <f t="shared" si="353"/>
        <v>-9503.4096000001609</v>
      </c>
      <c r="Z940">
        <f t="shared" si="354"/>
        <v>1661327.8272000002</v>
      </c>
      <c r="AA940">
        <f t="shared" si="355"/>
        <v>1511346.8428000002</v>
      </c>
      <c r="AB940">
        <f t="shared" si="356"/>
        <v>1292143.8656000004</v>
      </c>
      <c r="AC940">
        <f t="shared" si="357"/>
        <v>1130625.8824</v>
      </c>
      <c r="AD940">
        <f t="shared" si="358"/>
        <v>1049866.8908000002</v>
      </c>
      <c r="AE940">
        <f t="shared" si="359"/>
        <v>-12307.694400000209</v>
      </c>
    </row>
    <row r="941" spans="1:31" x14ac:dyDescent="0.25">
      <c r="A941">
        <v>46.088737729999998</v>
      </c>
      <c r="B941">
        <v>123.9144805</v>
      </c>
      <c r="C941">
        <v>55.767822270000003</v>
      </c>
      <c r="D941">
        <v>6.3751602199999997</v>
      </c>
      <c r="E941" t="b">
        <f t="shared" si="336"/>
        <v>0</v>
      </c>
      <c r="F941">
        <f t="shared" si="337"/>
        <v>-272.46395113</v>
      </c>
      <c r="G941">
        <f t="shared" si="338"/>
        <v>-551.30306247999999</v>
      </c>
      <c r="H941">
        <f t="shared" si="339"/>
        <v>-830.14217383000005</v>
      </c>
      <c r="I941">
        <f t="shared" si="340"/>
        <v>-1108.98128518</v>
      </c>
      <c r="J941">
        <f t="shared" si="341"/>
        <v>-1387.8203965300002</v>
      </c>
      <c r="L941">
        <f t="shared" si="342"/>
        <v>12877823.644399999</v>
      </c>
      <c r="M941">
        <f t="shared" si="343"/>
        <v>-468637995.94360006</v>
      </c>
      <c r="N941">
        <f t="shared" si="344"/>
        <v>-815928532.47039998</v>
      </c>
      <c r="O941">
        <f t="shared" si="345"/>
        <v>-929759234.68960011</v>
      </c>
      <c r="P941">
        <f t="shared" si="346"/>
        <v>-1020262782.3656</v>
      </c>
      <c r="Q941">
        <f t="shared" si="347"/>
        <v>-1193525541.0158002</v>
      </c>
      <c r="S941">
        <f t="shared" si="348"/>
        <v>15619142.539000001</v>
      </c>
      <c r="T941">
        <f t="shared" si="349"/>
        <v>-1196327645.5816</v>
      </c>
      <c r="U941">
        <f t="shared" si="350"/>
        <v>-1025423696.2128</v>
      </c>
      <c r="V941">
        <f t="shared" si="351"/>
        <v>-1178801886.8385999</v>
      </c>
      <c r="W941">
        <f t="shared" si="352"/>
        <v>-1519304360.6966002</v>
      </c>
      <c r="X941">
        <f t="shared" si="353"/>
        <v>-1693140883.7666001</v>
      </c>
      <c r="Z941">
        <f t="shared" si="354"/>
        <v>18360461.433599997</v>
      </c>
      <c r="AA941">
        <f t="shared" si="355"/>
        <v>-713855551.96060002</v>
      </c>
      <c r="AB941">
        <f t="shared" si="356"/>
        <v>-1234918859.9552002</v>
      </c>
      <c r="AC941">
        <f t="shared" si="357"/>
        <v>-1627078660.7068</v>
      </c>
      <c r="AD941">
        <f t="shared" si="358"/>
        <v>-2018345939.0276003</v>
      </c>
      <c r="AE941">
        <f t="shared" si="359"/>
        <v>-2192756226.5174003</v>
      </c>
    </row>
    <row r="942" spans="1:31" x14ac:dyDescent="0.25">
      <c r="A942">
        <v>46.093234449999997</v>
      </c>
      <c r="B942">
        <v>125.5679181</v>
      </c>
      <c r="C942">
        <v>2.93583441</v>
      </c>
      <c r="D942">
        <v>0.44828200000000001</v>
      </c>
      <c r="E942" t="b">
        <f t="shared" si="336"/>
        <v>0</v>
      </c>
      <c r="F942">
        <f t="shared" si="337"/>
        <v>-14.230890049999999</v>
      </c>
      <c r="G942">
        <f t="shared" si="338"/>
        <v>-28.910062100000001</v>
      </c>
      <c r="H942">
        <f t="shared" si="339"/>
        <v>-43.589234150000003</v>
      </c>
      <c r="I942">
        <f t="shared" si="340"/>
        <v>-58.268406200000001</v>
      </c>
      <c r="J942">
        <f t="shared" si="341"/>
        <v>-72.947578249999992</v>
      </c>
      <c r="L942">
        <f t="shared" si="342"/>
        <v>905529.64</v>
      </c>
      <c r="M942">
        <f t="shared" si="343"/>
        <v>-24477130.886</v>
      </c>
      <c r="N942">
        <f t="shared" si="344"/>
        <v>-42786891.908</v>
      </c>
      <c r="O942">
        <f t="shared" si="345"/>
        <v>-48819942.248000011</v>
      </c>
      <c r="P942">
        <f t="shared" si="346"/>
        <v>-53606933.703999996</v>
      </c>
      <c r="Q942">
        <f t="shared" si="347"/>
        <v>-62734917.294999987</v>
      </c>
      <c r="S942">
        <f t="shared" si="348"/>
        <v>1098290.9000000001</v>
      </c>
      <c r="T942">
        <f t="shared" si="349"/>
        <v>-62734834.756999999</v>
      </c>
      <c r="U942">
        <f t="shared" si="350"/>
        <v>-53772715.505999997</v>
      </c>
      <c r="V942">
        <f t="shared" si="351"/>
        <v>-61896712.493000008</v>
      </c>
      <c r="W942">
        <f t="shared" si="352"/>
        <v>-79827716.494000018</v>
      </c>
      <c r="X942">
        <f t="shared" si="353"/>
        <v>-88996045.464999974</v>
      </c>
      <c r="Z942">
        <f t="shared" si="354"/>
        <v>1291052.1599999999</v>
      </c>
      <c r="AA942">
        <f t="shared" si="355"/>
        <v>-37284931.931000002</v>
      </c>
      <c r="AB942">
        <f t="shared" si="356"/>
        <v>-64758539.10400001</v>
      </c>
      <c r="AC942">
        <f t="shared" si="357"/>
        <v>-85434898.934000015</v>
      </c>
      <c r="AD942">
        <f t="shared" si="358"/>
        <v>-106048499.28400001</v>
      </c>
      <c r="AE942">
        <f t="shared" si="359"/>
        <v>-115257173.63499998</v>
      </c>
    </row>
    <row r="943" spans="1:31" x14ac:dyDescent="0.25">
      <c r="A943">
        <v>46.09702102</v>
      </c>
      <c r="B943">
        <v>123.850728</v>
      </c>
      <c r="C943">
        <v>55.767822270000003</v>
      </c>
      <c r="D943">
        <v>1.5969489800000001</v>
      </c>
      <c r="E943" t="b">
        <f t="shared" si="336"/>
        <v>0</v>
      </c>
      <c r="F943">
        <f t="shared" si="337"/>
        <v>-277.24216237000002</v>
      </c>
      <c r="G943">
        <f t="shared" si="338"/>
        <v>-556.08127372000001</v>
      </c>
      <c r="H943">
        <f t="shared" si="339"/>
        <v>-834.92038507000007</v>
      </c>
      <c r="I943">
        <f t="shared" si="340"/>
        <v>-1113.75949642</v>
      </c>
      <c r="J943">
        <f t="shared" si="341"/>
        <v>-1392.5986077700002</v>
      </c>
      <c r="L943">
        <f t="shared" si="342"/>
        <v>3225836.9396000002</v>
      </c>
      <c r="M943">
        <f t="shared" si="343"/>
        <v>-476856519.27640009</v>
      </c>
      <c r="N943">
        <f t="shared" si="344"/>
        <v>-823000285.1056</v>
      </c>
      <c r="O943">
        <f t="shared" si="345"/>
        <v>-935110831.27840018</v>
      </c>
      <c r="P943">
        <f t="shared" si="346"/>
        <v>-1024658736.7064</v>
      </c>
      <c r="Q943">
        <f t="shared" si="347"/>
        <v>-1197634802.6822002</v>
      </c>
      <c r="S943">
        <f t="shared" si="348"/>
        <v>3912525.0010000002</v>
      </c>
      <c r="T943">
        <f t="shared" si="349"/>
        <v>-1206696363.9724</v>
      </c>
      <c r="U943">
        <f t="shared" si="350"/>
        <v>-1034311169.1192</v>
      </c>
      <c r="V943">
        <f t="shared" si="351"/>
        <v>-1185586946.7994001</v>
      </c>
      <c r="W943">
        <f t="shared" si="352"/>
        <v>-1525850510.0954003</v>
      </c>
      <c r="X943">
        <f t="shared" si="353"/>
        <v>-1698970301.4794002</v>
      </c>
      <c r="Z943">
        <f t="shared" si="354"/>
        <v>4599213.0624000002</v>
      </c>
      <c r="AA943">
        <f t="shared" si="355"/>
        <v>-726374465.40939999</v>
      </c>
      <c r="AB943">
        <f t="shared" si="356"/>
        <v>-1245622053.1328001</v>
      </c>
      <c r="AC943">
        <f t="shared" si="357"/>
        <v>-1636443954.7372</v>
      </c>
      <c r="AD943">
        <f t="shared" si="358"/>
        <v>-2027042283.4844003</v>
      </c>
      <c r="AE943">
        <f t="shared" si="359"/>
        <v>-2200305800.2766004</v>
      </c>
    </row>
    <row r="944" spans="1:31" x14ac:dyDescent="0.25">
      <c r="A944">
        <v>46.101478749999998</v>
      </c>
      <c r="B944">
        <v>124.51215139999999</v>
      </c>
      <c r="C944">
        <v>1.10745227</v>
      </c>
      <c r="D944">
        <v>0.93863600000000003</v>
      </c>
      <c r="E944" t="b">
        <f t="shared" si="336"/>
        <v>0</v>
      </c>
      <c r="F944">
        <f t="shared" si="337"/>
        <v>-4.5986253499999998</v>
      </c>
      <c r="G944">
        <f t="shared" si="338"/>
        <v>-10.135886699999999</v>
      </c>
      <c r="H944">
        <f t="shared" si="339"/>
        <v>-15.67314805</v>
      </c>
      <c r="I944">
        <f t="shared" si="340"/>
        <v>-21.2104094</v>
      </c>
      <c r="J944">
        <f t="shared" si="341"/>
        <v>-26.747670750000001</v>
      </c>
      <c r="L944">
        <f t="shared" si="342"/>
        <v>1896044.72</v>
      </c>
      <c r="M944">
        <f t="shared" si="343"/>
        <v>-7909635.602</v>
      </c>
      <c r="N944">
        <f t="shared" si="344"/>
        <v>-15001112.316</v>
      </c>
      <c r="O944">
        <f t="shared" si="345"/>
        <v>-17553925.816000003</v>
      </c>
      <c r="P944">
        <f t="shared" si="346"/>
        <v>-19513576.647999998</v>
      </c>
      <c r="Q944">
        <f t="shared" si="347"/>
        <v>-23002996.844999999</v>
      </c>
      <c r="S944">
        <f t="shared" si="348"/>
        <v>2299658.2000000002</v>
      </c>
      <c r="T944">
        <f t="shared" si="349"/>
        <v>-21994874.138999999</v>
      </c>
      <c r="U944">
        <f t="shared" si="350"/>
        <v>-18852749.261999998</v>
      </c>
      <c r="V944">
        <f t="shared" si="351"/>
        <v>-22255870.230999999</v>
      </c>
      <c r="W944">
        <f t="shared" si="352"/>
        <v>-29058260.877999999</v>
      </c>
      <c r="X944">
        <f t="shared" si="353"/>
        <v>-32632158.314999998</v>
      </c>
      <c r="Z944">
        <f t="shared" si="354"/>
        <v>2703271.6799999997</v>
      </c>
      <c r="AA944">
        <f t="shared" si="355"/>
        <v>-12048398.416999999</v>
      </c>
      <c r="AB944">
        <f t="shared" si="356"/>
        <v>-22704386.208000001</v>
      </c>
      <c r="AC944">
        <f t="shared" si="357"/>
        <v>-30719370.177999999</v>
      </c>
      <c r="AD944">
        <f t="shared" si="358"/>
        <v>-38602945.107999995</v>
      </c>
      <c r="AE944">
        <f t="shared" si="359"/>
        <v>-42261319.785000004</v>
      </c>
    </row>
    <row r="945" spans="1:31" x14ac:dyDescent="0.25">
      <c r="A945">
        <v>46.111236929999997</v>
      </c>
      <c r="B945">
        <v>124.7792395</v>
      </c>
      <c r="C945">
        <v>1.10745227</v>
      </c>
      <c r="D945">
        <v>29.126134870000001</v>
      </c>
      <c r="E945" t="b">
        <f t="shared" si="336"/>
        <v>1</v>
      </c>
      <c r="F945">
        <f t="shared" si="337"/>
        <v>23.58887352</v>
      </c>
      <c r="G945">
        <f t="shared" si="338"/>
        <v>18.051612170000002</v>
      </c>
      <c r="H945">
        <f t="shared" si="339"/>
        <v>12.514350820000001</v>
      </c>
      <c r="I945">
        <f t="shared" si="340"/>
        <v>6.9770894700000028</v>
      </c>
      <c r="J945">
        <f t="shared" si="341"/>
        <v>1.4398281200000014</v>
      </c>
      <c r="L945">
        <f t="shared" si="342"/>
        <v>2237053.5854000002</v>
      </c>
      <c r="M945">
        <f t="shared" si="343"/>
        <v>1904817.9044000003</v>
      </c>
      <c r="N945">
        <f t="shared" si="344"/>
        <v>1639029.3596000001</v>
      </c>
      <c r="O945">
        <f t="shared" si="345"/>
        <v>1240346.5424000002</v>
      </c>
      <c r="P945">
        <f t="shared" si="346"/>
        <v>1018856.0883999999</v>
      </c>
      <c r="Q945">
        <f t="shared" si="347"/>
        <v>952408.95220000006</v>
      </c>
      <c r="S945">
        <f t="shared" si="348"/>
        <v>2713258.0615000003</v>
      </c>
      <c r="T945">
        <f t="shared" si="349"/>
        <v>2403171.4259000001</v>
      </c>
      <c r="U945">
        <f t="shared" si="350"/>
        <v>2059861.2222</v>
      </c>
      <c r="V945">
        <f t="shared" si="351"/>
        <v>1572582.2234</v>
      </c>
      <c r="W945">
        <f t="shared" si="352"/>
        <v>1517209.6099</v>
      </c>
      <c r="X945">
        <f t="shared" si="353"/>
        <v>1351091.7694000001</v>
      </c>
      <c r="Z945">
        <f t="shared" si="354"/>
        <v>3189462.5375999999</v>
      </c>
      <c r="AA945">
        <f t="shared" si="355"/>
        <v>2901524.9473999999</v>
      </c>
      <c r="AB945">
        <f t="shared" si="356"/>
        <v>2480693.0848000003</v>
      </c>
      <c r="AC945">
        <f t="shared" si="357"/>
        <v>2170606.4492000001</v>
      </c>
      <c r="AD945">
        <f t="shared" si="358"/>
        <v>2015563.1314000001</v>
      </c>
      <c r="AE945">
        <f t="shared" si="359"/>
        <v>1749774.5866</v>
      </c>
    </row>
    <row r="946" spans="1:31" x14ac:dyDescent="0.25">
      <c r="A946">
        <v>46.119915229999997</v>
      </c>
      <c r="B946">
        <v>124.71557439999999</v>
      </c>
      <c r="C946">
        <v>1.10745227</v>
      </c>
      <c r="D946">
        <v>15.110604289999999</v>
      </c>
      <c r="E946" t="b">
        <f t="shared" si="336"/>
        <v>1</v>
      </c>
      <c r="F946">
        <f t="shared" si="337"/>
        <v>9.5733429399999999</v>
      </c>
      <c r="G946">
        <f t="shared" si="338"/>
        <v>4.0360815900000002</v>
      </c>
      <c r="H946">
        <f t="shared" si="339"/>
        <v>-1.5011797600000012</v>
      </c>
      <c r="I946">
        <f t="shared" si="340"/>
        <v>-7.0384411099999991</v>
      </c>
      <c r="J946">
        <f t="shared" si="341"/>
        <v>-12.57570246</v>
      </c>
      <c r="L946">
        <f t="shared" si="342"/>
        <v>2237053.5854000002</v>
      </c>
      <c r="M946">
        <f t="shared" si="343"/>
        <v>1904817.9044000003</v>
      </c>
      <c r="N946">
        <f t="shared" si="344"/>
        <v>1639029.3596000001</v>
      </c>
      <c r="O946">
        <f t="shared" si="345"/>
        <v>-1681321.3312000015</v>
      </c>
      <c r="P946">
        <f t="shared" si="346"/>
        <v>-6475365.8211999992</v>
      </c>
      <c r="Q946">
        <f t="shared" si="347"/>
        <v>-10815104.115600001</v>
      </c>
      <c r="S946">
        <f t="shared" si="348"/>
        <v>2713258.0615000003</v>
      </c>
      <c r="T946">
        <f t="shared" si="349"/>
        <v>2403171.4259000001</v>
      </c>
      <c r="U946">
        <f t="shared" si="350"/>
        <v>2059861.2222</v>
      </c>
      <c r="V946">
        <f t="shared" si="351"/>
        <v>-2131675.2592000016</v>
      </c>
      <c r="W946">
        <f t="shared" si="352"/>
        <v>-9642664.3206999991</v>
      </c>
      <c r="X946">
        <f t="shared" si="353"/>
        <v>-15342357.001200002</v>
      </c>
      <c r="Z946">
        <f t="shared" si="354"/>
        <v>3189462.5375999999</v>
      </c>
      <c r="AA946">
        <f t="shared" si="355"/>
        <v>2901524.9473999999</v>
      </c>
      <c r="AB946">
        <f t="shared" si="356"/>
        <v>2480693.0848000003</v>
      </c>
      <c r="AC946">
        <f t="shared" si="357"/>
        <v>-2942312.3296000022</v>
      </c>
      <c r="AD946">
        <f t="shared" si="358"/>
        <v>-12809962.8202</v>
      </c>
      <c r="AE946">
        <f t="shared" si="359"/>
        <v>-19869609.886800002</v>
      </c>
    </row>
    <row r="947" spans="1:31" x14ac:dyDescent="0.25">
      <c r="A947">
        <v>46.14825467</v>
      </c>
      <c r="B947">
        <v>86.173259569999999</v>
      </c>
      <c r="C947">
        <v>18.492280959999999</v>
      </c>
      <c r="D947">
        <v>5.0437970200000004</v>
      </c>
      <c r="E947" t="b">
        <f t="shared" si="336"/>
        <v>0</v>
      </c>
      <c r="F947">
        <f t="shared" si="337"/>
        <v>-87.417607779999997</v>
      </c>
      <c r="G947">
        <f t="shared" si="338"/>
        <v>-179.87901257999999</v>
      </c>
      <c r="H947">
        <f t="shared" si="339"/>
        <v>-272.34041737999996</v>
      </c>
      <c r="I947">
        <f t="shared" si="340"/>
        <v>-364.80182217999999</v>
      </c>
      <c r="J947">
        <f t="shared" si="341"/>
        <v>-457.26322697999996</v>
      </c>
      <c r="L947">
        <f t="shared" si="342"/>
        <v>10188469.980400002</v>
      </c>
      <c r="M947">
        <f t="shared" si="343"/>
        <v>-150358285.38160002</v>
      </c>
      <c r="N947">
        <f t="shared" si="344"/>
        <v>-266220938.61839998</v>
      </c>
      <c r="O947">
        <f t="shared" si="345"/>
        <v>-305021267.46559995</v>
      </c>
      <c r="P947">
        <f t="shared" si="346"/>
        <v>-335617676.40559995</v>
      </c>
      <c r="Q947">
        <f t="shared" si="347"/>
        <v>-393246375.20279998</v>
      </c>
      <c r="S947">
        <f t="shared" si="348"/>
        <v>12357302.699000003</v>
      </c>
      <c r="T947">
        <f t="shared" si="349"/>
        <v>-390337457.29859996</v>
      </c>
      <c r="U947">
        <f t="shared" si="350"/>
        <v>-334574963.39879996</v>
      </c>
      <c r="V947">
        <f t="shared" si="351"/>
        <v>-386723392.67959988</v>
      </c>
      <c r="W947">
        <f t="shared" si="352"/>
        <v>-499778496.38660008</v>
      </c>
      <c r="X947">
        <f t="shared" si="353"/>
        <v>-557861136.91559994</v>
      </c>
      <c r="Z947">
        <f t="shared" si="354"/>
        <v>14526135.4176</v>
      </c>
      <c r="AA947">
        <f t="shared" si="355"/>
        <v>-229034132.38360003</v>
      </c>
      <c r="AB947">
        <f t="shared" si="356"/>
        <v>-402928988.17919999</v>
      </c>
      <c r="AC947">
        <f t="shared" si="357"/>
        <v>-533787218.06479985</v>
      </c>
      <c r="AD947">
        <f t="shared" si="358"/>
        <v>-663939316.36760008</v>
      </c>
      <c r="AE947">
        <f t="shared" si="359"/>
        <v>-722475898.62839997</v>
      </c>
    </row>
    <row r="948" spans="1:31" x14ac:dyDescent="0.25">
      <c r="A948">
        <v>46.164726729999998</v>
      </c>
      <c r="B948">
        <v>125.0590874</v>
      </c>
      <c r="C948">
        <v>4.2213473300000004</v>
      </c>
      <c r="D948">
        <v>12.268920899999999</v>
      </c>
      <c r="E948" t="b">
        <f t="shared" si="336"/>
        <v>1</v>
      </c>
      <c r="F948">
        <f t="shared" si="337"/>
        <v>-8.8378157500000025</v>
      </c>
      <c r="G948">
        <f t="shared" si="338"/>
        <v>-29.944552400000006</v>
      </c>
      <c r="H948">
        <f t="shared" si="339"/>
        <v>-51.051289050000008</v>
      </c>
      <c r="I948">
        <f t="shared" si="340"/>
        <v>-72.15802570000001</v>
      </c>
      <c r="J948">
        <f t="shared" si="341"/>
        <v>-93.264762350000012</v>
      </c>
      <c r="L948">
        <f t="shared" si="342"/>
        <v>8527121.6065999996</v>
      </c>
      <c r="M948">
        <f t="shared" si="343"/>
        <v>-15201043.090000005</v>
      </c>
      <c r="N948">
        <f t="shared" si="344"/>
        <v>-44317937.552000009</v>
      </c>
      <c r="O948">
        <f t="shared" si="345"/>
        <v>-57177443.736000016</v>
      </c>
      <c r="P948">
        <f t="shared" si="346"/>
        <v>-66385383.644000001</v>
      </c>
      <c r="Q948">
        <f t="shared" si="347"/>
        <v>-80207695.621000007</v>
      </c>
      <c r="S948">
        <f t="shared" si="348"/>
        <v>10342300.958500002</v>
      </c>
      <c r="T948">
        <f t="shared" si="349"/>
        <v>-64979678.708000012</v>
      </c>
      <c r="U948">
        <f t="shared" si="350"/>
        <v>-55696867.464000009</v>
      </c>
      <c r="V948">
        <f t="shared" si="351"/>
        <v>-72492830.45100002</v>
      </c>
      <c r="W948">
        <f t="shared" si="352"/>
        <v>-98856495.209000006</v>
      </c>
      <c r="X948">
        <f t="shared" si="353"/>
        <v>-113783010.067</v>
      </c>
      <c r="Z948">
        <f t="shared" si="354"/>
        <v>12157480.3104</v>
      </c>
      <c r="AA948">
        <f t="shared" si="355"/>
        <v>-23155077.265000004</v>
      </c>
      <c r="AB948">
        <f t="shared" si="356"/>
        <v>-67075797.376000017</v>
      </c>
      <c r="AC948">
        <f t="shared" si="357"/>
        <v>-100060526.53800002</v>
      </c>
      <c r="AD948">
        <f t="shared" si="358"/>
        <v>-131327606.774</v>
      </c>
      <c r="AE948">
        <f t="shared" si="359"/>
        <v>-147358324.51300001</v>
      </c>
    </row>
    <row r="949" spans="1:31" x14ac:dyDescent="0.25">
      <c r="A949">
        <v>46.17984062</v>
      </c>
      <c r="B949">
        <v>124.2694626</v>
      </c>
      <c r="C949">
        <v>4.5470686000000002</v>
      </c>
      <c r="D949">
        <v>23.28520966</v>
      </c>
      <c r="E949" t="b">
        <f t="shared" si="336"/>
        <v>1</v>
      </c>
      <c r="F949">
        <f t="shared" si="337"/>
        <v>0.54986665999999929</v>
      </c>
      <c r="G949">
        <f t="shared" si="338"/>
        <v>-22.185476340000001</v>
      </c>
      <c r="H949">
        <f t="shared" si="339"/>
        <v>-44.920819340000001</v>
      </c>
      <c r="I949">
        <f t="shared" si="340"/>
        <v>-67.656162340000009</v>
      </c>
      <c r="J949">
        <f t="shared" si="341"/>
        <v>-90.391505340000009</v>
      </c>
      <c r="L949">
        <f t="shared" si="342"/>
        <v>9185078.5720000006</v>
      </c>
      <c r="M949">
        <f t="shared" si="343"/>
        <v>945770.65519999899</v>
      </c>
      <c r="N949">
        <f t="shared" si="344"/>
        <v>-32834504.983199999</v>
      </c>
      <c r="O949">
        <f t="shared" si="345"/>
        <v>-50311317.66080001</v>
      </c>
      <c r="P949">
        <f t="shared" si="346"/>
        <v>-62243669.352799997</v>
      </c>
      <c r="Q949">
        <f t="shared" si="347"/>
        <v>-77736694.592399999</v>
      </c>
      <c r="S949">
        <f t="shared" si="348"/>
        <v>11140318.070000002</v>
      </c>
      <c r="T949">
        <f t="shared" si="349"/>
        <v>-48142483.657799996</v>
      </c>
      <c r="U949">
        <f t="shared" si="350"/>
        <v>-41264985.992399998</v>
      </c>
      <c r="V949">
        <f t="shared" si="351"/>
        <v>-63787563.462800004</v>
      </c>
      <c r="W949">
        <f t="shared" si="352"/>
        <v>-92688942.405800015</v>
      </c>
      <c r="X949">
        <f t="shared" si="353"/>
        <v>-110277636.5148</v>
      </c>
      <c r="Z949">
        <f t="shared" si="354"/>
        <v>13095557.568000002</v>
      </c>
      <c r="AA949">
        <f t="shared" si="355"/>
        <v>1440650.6491999982</v>
      </c>
      <c r="AB949">
        <f t="shared" si="356"/>
        <v>-49695467.001600005</v>
      </c>
      <c r="AC949">
        <f t="shared" si="357"/>
        <v>-88044805.90640001</v>
      </c>
      <c r="AD949">
        <f t="shared" si="358"/>
        <v>-123134215.45880002</v>
      </c>
      <c r="AE949">
        <f t="shared" si="359"/>
        <v>-142818578.43720001</v>
      </c>
    </row>
    <row r="950" spans="1:31" x14ac:dyDescent="0.25">
      <c r="A950">
        <v>46.18571996</v>
      </c>
      <c r="B950">
        <v>123.8745303</v>
      </c>
      <c r="C950">
        <v>55.767822270000003</v>
      </c>
      <c r="D950">
        <v>0.23644799999999999</v>
      </c>
      <c r="E950" t="b">
        <f t="shared" si="336"/>
        <v>0</v>
      </c>
      <c r="F950">
        <f t="shared" si="337"/>
        <v>-278.60266335</v>
      </c>
      <c r="G950">
        <f t="shared" si="338"/>
        <v>-557.4417747</v>
      </c>
      <c r="H950">
        <f t="shared" si="339"/>
        <v>-836.28088605000005</v>
      </c>
      <c r="I950">
        <f t="shared" si="340"/>
        <v>-1115.1199973999999</v>
      </c>
      <c r="J950">
        <f t="shared" si="341"/>
        <v>-1393.95910875</v>
      </c>
      <c r="L950">
        <f t="shared" si="342"/>
        <v>477624.96</v>
      </c>
      <c r="M950">
        <f t="shared" si="343"/>
        <v>-479196580.96200007</v>
      </c>
      <c r="N950">
        <f t="shared" si="344"/>
        <v>-825013826.55600011</v>
      </c>
      <c r="O950">
        <f t="shared" si="345"/>
        <v>-936634592.37600017</v>
      </c>
      <c r="P950">
        <f t="shared" si="346"/>
        <v>-1025910397.6079998</v>
      </c>
      <c r="Q950">
        <f t="shared" si="347"/>
        <v>-1198804833.5250001</v>
      </c>
      <c r="S950">
        <f t="shared" si="348"/>
        <v>579297.60000000009</v>
      </c>
      <c r="T950">
        <f t="shared" si="349"/>
        <v>-1209648651.099</v>
      </c>
      <c r="U950">
        <f t="shared" si="350"/>
        <v>-1036841700.942</v>
      </c>
      <c r="V950">
        <f t="shared" si="351"/>
        <v>-1187518858.191</v>
      </c>
      <c r="W950">
        <f t="shared" si="352"/>
        <v>-1527714396.438</v>
      </c>
      <c r="X950">
        <f t="shared" si="353"/>
        <v>-1700630112.675</v>
      </c>
      <c r="Z950">
        <f t="shared" si="354"/>
        <v>680970.23999999999</v>
      </c>
      <c r="AA950">
        <f t="shared" si="355"/>
        <v>-729938977.97700012</v>
      </c>
      <c r="AB950">
        <f t="shared" si="356"/>
        <v>-1248669575.3280003</v>
      </c>
      <c r="AC950">
        <f t="shared" si="357"/>
        <v>-1639110536.658</v>
      </c>
      <c r="AD950">
        <f t="shared" si="358"/>
        <v>-2029518395.2679999</v>
      </c>
      <c r="AE950">
        <f t="shared" si="359"/>
        <v>-2202455391.8250003</v>
      </c>
    </row>
    <row r="951" spans="1:31" x14ac:dyDescent="0.25">
      <c r="A951">
        <v>46.191257049999997</v>
      </c>
      <c r="B951">
        <v>125.1991776</v>
      </c>
      <c r="C951">
        <v>4.2213473300000004</v>
      </c>
      <c r="D951">
        <v>9.2068357499999998</v>
      </c>
      <c r="E951" t="b">
        <f t="shared" si="336"/>
        <v>1</v>
      </c>
      <c r="F951">
        <f t="shared" si="337"/>
        <v>-11.899900900000002</v>
      </c>
      <c r="G951">
        <f t="shared" si="338"/>
        <v>-33.006637550000008</v>
      </c>
      <c r="H951">
        <f t="shared" si="339"/>
        <v>-54.11337420000001</v>
      </c>
      <c r="I951">
        <f t="shared" si="340"/>
        <v>-75.220110850000012</v>
      </c>
      <c r="J951">
        <f t="shared" si="341"/>
        <v>-96.326847500000014</v>
      </c>
      <c r="L951">
        <f t="shared" si="342"/>
        <v>8527121.6065999996</v>
      </c>
      <c r="M951">
        <f t="shared" si="343"/>
        <v>-20467829.548000008</v>
      </c>
      <c r="N951">
        <f t="shared" si="344"/>
        <v>-48849823.574000008</v>
      </c>
      <c r="O951">
        <f t="shared" si="345"/>
        <v>-60606979.104000017</v>
      </c>
      <c r="P951">
        <f t="shared" si="346"/>
        <v>-69202501.982000008</v>
      </c>
      <c r="Q951">
        <f t="shared" si="347"/>
        <v>-82841088.850000009</v>
      </c>
      <c r="S951">
        <f t="shared" si="348"/>
        <v>10342300.958500002</v>
      </c>
      <c r="T951">
        <f t="shared" si="349"/>
        <v>-71624403.483500019</v>
      </c>
      <c r="U951">
        <f t="shared" si="350"/>
        <v>-61392345.84300001</v>
      </c>
      <c r="V951">
        <f t="shared" si="351"/>
        <v>-76840991.364000008</v>
      </c>
      <c r="W951">
        <f t="shared" si="352"/>
        <v>-103051551.86450002</v>
      </c>
      <c r="X951">
        <f t="shared" si="353"/>
        <v>-117518753.95000002</v>
      </c>
      <c r="Z951">
        <f t="shared" si="354"/>
        <v>12157480.3104</v>
      </c>
      <c r="AA951">
        <f t="shared" si="355"/>
        <v>-31177740.358000007</v>
      </c>
      <c r="AB951">
        <f t="shared" si="356"/>
        <v>-73934868.112000018</v>
      </c>
      <c r="AC951">
        <f t="shared" si="357"/>
        <v>-106062213.43200001</v>
      </c>
      <c r="AD951">
        <f t="shared" si="358"/>
        <v>-136900601.74700001</v>
      </c>
      <c r="AE951">
        <f t="shared" si="359"/>
        <v>-152196419.05000004</v>
      </c>
    </row>
    <row r="952" spans="1:31" x14ac:dyDescent="0.25">
      <c r="A952">
        <v>46.196697460000003</v>
      </c>
      <c r="B952">
        <v>124.141857</v>
      </c>
      <c r="C952">
        <v>55.767822270000003</v>
      </c>
      <c r="D952">
        <v>2.4134340299999999</v>
      </c>
      <c r="E952" t="b">
        <f t="shared" si="336"/>
        <v>0</v>
      </c>
      <c r="F952">
        <f t="shared" si="337"/>
        <v>-276.42567731999998</v>
      </c>
      <c r="G952">
        <f t="shared" si="338"/>
        <v>-555.26478867000003</v>
      </c>
      <c r="H952">
        <f t="shared" si="339"/>
        <v>-834.10390002000008</v>
      </c>
      <c r="I952">
        <f t="shared" si="340"/>
        <v>-1112.94301137</v>
      </c>
      <c r="J952">
        <f t="shared" si="341"/>
        <v>-1391.7821227200002</v>
      </c>
      <c r="L952">
        <f t="shared" si="342"/>
        <v>4875136.7405999992</v>
      </c>
      <c r="M952">
        <f t="shared" si="343"/>
        <v>-475452164.99040002</v>
      </c>
      <c r="N952">
        <f t="shared" si="344"/>
        <v>-821791887.23160005</v>
      </c>
      <c r="O952">
        <f t="shared" si="345"/>
        <v>-934196368.02240026</v>
      </c>
      <c r="P952">
        <f t="shared" si="346"/>
        <v>-1023907570.4604</v>
      </c>
      <c r="Q952">
        <f t="shared" si="347"/>
        <v>-1196932625.5392003</v>
      </c>
      <c r="S952">
        <f t="shared" si="348"/>
        <v>5912913.3734999998</v>
      </c>
      <c r="T952">
        <f t="shared" si="349"/>
        <v>-1204924591.4139001</v>
      </c>
      <c r="U952">
        <f t="shared" si="350"/>
        <v>-1032792506.9262</v>
      </c>
      <c r="V952">
        <f t="shared" si="351"/>
        <v>-1184427538.0284002</v>
      </c>
      <c r="W952">
        <f t="shared" si="352"/>
        <v>-1524731925.5769002</v>
      </c>
      <c r="X952">
        <f t="shared" si="353"/>
        <v>-1697974189.7184002</v>
      </c>
      <c r="Z952">
        <f t="shared" si="354"/>
        <v>6950690.0063999994</v>
      </c>
      <c r="AA952">
        <f t="shared" si="355"/>
        <v>-724235274.57840002</v>
      </c>
      <c r="AB952">
        <f t="shared" si="356"/>
        <v>-1243793126.6208003</v>
      </c>
      <c r="AC952">
        <f t="shared" si="357"/>
        <v>-1634843644.0392001</v>
      </c>
      <c r="AD952">
        <f t="shared" si="358"/>
        <v>-2025556280.6934004</v>
      </c>
      <c r="AE952">
        <f t="shared" si="359"/>
        <v>-2199015753.8976007</v>
      </c>
    </row>
    <row r="953" spans="1:31" x14ac:dyDescent="0.25">
      <c r="A953">
        <v>46.204805280000002</v>
      </c>
      <c r="B953">
        <v>116.58852210000001</v>
      </c>
      <c r="C953">
        <v>6.3704409599999998</v>
      </c>
      <c r="D953">
        <v>8.8339090299999992</v>
      </c>
      <c r="E953" t="b">
        <f t="shared" si="336"/>
        <v>1</v>
      </c>
      <c r="F953">
        <f t="shared" si="337"/>
        <v>-23.018295770000002</v>
      </c>
      <c r="G953">
        <f t="shared" si="338"/>
        <v>-54.870500569999997</v>
      </c>
      <c r="H953">
        <f t="shared" si="339"/>
        <v>-86.72270537</v>
      </c>
      <c r="I953">
        <f t="shared" si="340"/>
        <v>-118.57491017</v>
      </c>
      <c r="J953">
        <f t="shared" si="341"/>
        <v>-150.42711496999999</v>
      </c>
      <c r="L953">
        <f t="shared" si="342"/>
        <v>12868290.7392</v>
      </c>
      <c r="M953">
        <f t="shared" si="343"/>
        <v>-39591468.724400014</v>
      </c>
      <c r="N953">
        <f t="shared" si="344"/>
        <v>-81208340.843600005</v>
      </c>
      <c r="O953">
        <f t="shared" si="345"/>
        <v>-97129430.01440002</v>
      </c>
      <c r="P953">
        <f t="shared" si="346"/>
        <v>-109088917.3564</v>
      </c>
      <c r="Q953">
        <f t="shared" si="347"/>
        <v>-129367318.8742</v>
      </c>
      <c r="S953">
        <f t="shared" si="348"/>
        <v>15607580.352000002</v>
      </c>
      <c r="T953">
        <f t="shared" si="349"/>
        <v>-119068986.2369</v>
      </c>
      <c r="U953">
        <f t="shared" si="350"/>
        <v>-102059131.06019999</v>
      </c>
      <c r="V953">
        <f t="shared" si="351"/>
        <v>-123146241.62540001</v>
      </c>
      <c r="W953">
        <f t="shared" si="352"/>
        <v>-162447626.93290001</v>
      </c>
      <c r="X953">
        <f t="shared" si="353"/>
        <v>-183521080.26339999</v>
      </c>
      <c r="Z953">
        <f t="shared" si="354"/>
        <v>18346869.9648</v>
      </c>
      <c r="AA953">
        <f t="shared" si="355"/>
        <v>-60307934.91740001</v>
      </c>
      <c r="AB953">
        <f t="shared" si="356"/>
        <v>-122909921.27680001</v>
      </c>
      <c r="AC953">
        <f t="shared" si="357"/>
        <v>-169976502.52520001</v>
      </c>
      <c r="AD953">
        <f t="shared" si="358"/>
        <v>-215806336.50940001</v>
      </c>
      <c r="AE953">
        <f t="shared" si="359"/>
        <v>-237674841.65260002</v>
      </c>
    </row>
    <row r="954" spans="1:31" x14ac:dyDescent="0.25">
      <c r="A954">
        <v>46.221761890000003</v>
      </c>
      <c r="B954">
        <v>123.9503292</v>
      </c>
      <c r="C954">
        <v>55.767822270000003</v>
      </c>
      <c r="D954">
        <v>9.5080999999999999E-2</v>
      </c>
      <c r="E954" t="b">
        <f t="shared" si="336"/>
        <v>0</v>
      </c>
      <c r="F954">
        <f t="shared" si="337"/>
        <v>-278.74403035</v>
      </c>
      <c r="G954">
        <f t="shared" si="338"/>
        <v>-557.58314169999994</v>
      </c>
      <c r="H954">
        <f t="shared" si="339"/>
        <v>-836.42225304999999</v>
      </c>
      <c r="I954">
        <f t="shared" si="340"/>
        <v>-1115.2613644</v>
      </c>
      <c r="J954">
        <f t="shared" si="341"/>
        <v>-1394.1004757500002</v>
      </c>
      <c r="L954">
        <f t="shared" si="342"/>
        <v>192063.62</v>
      </c>
      <c r="M954">
        <f t="shared" si="343"/>
        <v>-479439732.20200008</v>
      </c>
      <c r="N954">
        <f t="shared" si="344"/>
        <v>-825223049.71599984</v>
      </c>
      <c r="O954">
        <f t="shared" si="345"/>
        <v>-936792923.41600001</v>
      </c>
      <c r="P954">
        <f t="shared" si="346"/>
        <v>-1026040455.248</v>
      </c>
      <c r="Q954">
        <f t="shared" si="347"/>
        <v>-1198926409.1450002</v>
      </c>
      <c r="S954">
        <f t="shared" si="348"/>
        <v>232948.45</v>
      </c>
      <c r="T954">
        <f t="shared" si="349"/>
        <v>-1209955417.4889998</v>
      </c>
      <c r="U954">
        <f t="shared" si="350"/>
        <v>-1037104643.5619998</v>
      </c>
      <c r="V954">
        <f t="shared" si="351"/>
        <v>-1187719599.3309999</v>
      </c>
      <c r="W954">
        <f t="shared" si="352"/>
        <v>-1527908069.2280002</v>
      </c>
      <c r="X954">
        <f t="shared" si="353"/>
        <v>-1700802580.4150002</v>
      </c>
      <c r="Z954">
        <f t="shared" si="354"/>
        <v>273833.27999999997</v>
      </c>
      <c r="AA954">
        <f t="shared" si="355"/>
        <v>-730309359.51700008</v>
      </c>
      <c r="AB954">
        <f t="shared" si="356"/>
        <v>-1248986237.408</v>
      </c>
      <c r="AC954">
        <f t="shared" si="357"/>
        <v>-1639387615.9779999</v>
      </c>
      <c r="AD954">
        <f t="shared" si="358"/>
        <v>-2029775683.2080002</v>
      </c>
      <c r="AE954">
        <f t="shared" si="359"/>
        <v>-2202678751.6850004</v>
      </c>
    </row>
    <row r="955" spans="1:31" x14ac:dyDescent="0.25">
      <c r="A955">
        <v>46.25145019</v>
      </c>
      <c r="B955">
        <v>124.4215501</v>
      </c>
      <c r="C955">
        <v>4.5470686000000002</v>
      </c>
      <c r="D955">
        <v>4.3015918700000002</v>
      </c>
      <c r="E955" t="b">
        <f t="shared" si="336"/>
        <v>0</v>
      </c>
      <c r="F955">
        <f t="shared" si="337"/>
        <v>-18.433751130000001</v>
      </c>
      <c r="G955">
        <f t="shared" si="338"/>
        <v>-41.169094129999998</v>
      </c>
      <c r="H955">
        <f t="shared" si="339"/>
        <v>-63.904437129999998</v>
      </c>
      <c r="I955">
        <f t="shared" si="340"/>
        <v>-86.639780130000005</v>
      </c>
      <c r="J955">
        <f t="shared" si="341"/>
        <v>-109.37512313000001</v>
      </c>
      <c r="L955">
        <f t="shared" si="342"/>
        <v>8689215.5774000008</v>
      </c>
      <c r="M955">
        <f t="shared" si="343"/>
        <v>-31706051.943600006</v>
      </c>
      <c r="N955">
        <f t="shared" si="344"/>
        <v>-60930259.312399991</v>
      </c>
      <c r="O955">
        <f t="shared" si="345"/>
        <v>-71572969.585600004</v>
      </c>
      <c r="P955">
        <f t="shared" si="346"/>
        <v>-79708597.719600007</v>
      </c>
      <c r="Q955">
        <f t="shared" si="347"/>
        <v>-94062605.891800001</v>
      </c>
      <c r="S955">
        <f t="shared" si="348"/>
        <v>10538900.081500001</v>
      </c>
      <c r="T955">
        <f t="shared" si="349"/>
        <v>-89336934.262099981</v>
      </c>
      <c r="U955">
        <f t="shared" si="350"/>
        <v>-76574515.081799984</v>
      </c>
      <c r="V955">
        <f t="shared" si="351"/>
        <v>-90744300.724599987</v>
      </c>
      <c r="W955">
        <f t="shared" si="352"/>
        <v>-118696498.77810003</v>
      </c>
      <c r="X955">
        <f t="shared" si="353"/>
        <v>-133437650.2186</v>
      </c>
      <c r="Z955">
        <f t="shared" si="354"/>
        <v>12388584.5856</v>
      </c>
      <c r="AA955">
        <f t="shared" si="355"/>
        <v>-48296427.960600011</v>
      </c>
      <c r="AB955">
        <f t="shared" si="356"/>
        <v>-92218770.851199999</v>
      </c>
      <c r="AC955">
        <f t="shared" si="357"/>
        <v>-125252696.77479999</v>
      </c>
      <c r="AD955">
        <f t="shared" si="358"/>
        <v>-157684399.83660004</v>
      </c>
      <c r="AE955">
        <f t="shared" si="359"/>
        <v>-172812694.54540002</v>
      </c>
    </row>
    <row r="956" spans="1:31" x14ac:dyDescent="0.25">
      <c r="A956">
        <v>46.312730739999999</v>
      </c>
      <c r="B956">
        <v>124.30606280000001</v>
      </c>
      <c r="C956">
        <v>4.5470686000000002</v>
      </c>
      <c r="D956">
        <v>40.58763123</v>
      </c>
      <c r="E956" t="b">
        <f t="shared" si="336"/>
        <v>1</v>
      </c>
      <c r="F956">
        <f t="shared" si="337"/>
        <v>17.852288229999999</v>
      </c>
      <c r="G956">
        <f t="shared" si="338"/>
        <v>-4.8830547700000011</v>
      </c>
      <c r="H956">
        <f t="shared" si="339"/>
        <v>-27.618397770000001</v>
      </c>
      <c r="I956">
        <f t="shared" si="340"/>
        <v>-50.353740770000002</v>
      </c>
      <c r="J956">
        <f t="shared" si="341"/>
        <v>-73.089083770000002</v>
      </c>
      <c r="L956">
        <f t="shared" si="342"/>
        <v>9185078.5720000006</v>
      </c>
      <c r="M956">
        <f t="shared" si="343"/>
        <v>7820957.9920000015</v>
      </c>
      <c r="N956">
        <f t="shared" si="344"/>
        <v>-7226921.0596000021</v>
      </c>
      <c r="O956">
        <f t="shared" si="345"/>
        <v>-30932605.502400003</v>
      </c>
      <c r="P956">
        <f t="shared" si="346"/>
        <v>-46325441.508400001</v>
      </c>
      <c r="Q956">
        <f t="shared" si="347"/>
        <v>-62856612.042199999</v>
      </c>
      <c r="S956">
        <f t="shared" si="348"/>
        <v>11140318.070000002</v>
      </c>
      <c r="T956">
        <f t="shared" si="349"/>
        <v>-10596228.850900002</v>
      </c>
      <c r="U956">
        <f t="shared" si="350"/>
        <v>-9082481.8722000029</v>
      </c>
      <c r="V956">
        <f t="shared" si="351"/>
        <v>-39218124.833399996</v>
      </c>
      <c r="W956">
        <f t="shared" si="352"/>
        <v>-68984624.854900002</v>
      </c>
      <c r="X956">
        <f t="shared" si="353"/>
        <v>-89168682.199399993</v>
      </c>
      <c r="Z956">
        <f t="shared" si="354"/>
        <v>13095557.568000002</v>
      </c>
      <c r="AA956">
        <f t="shared" si="355"/>
        <v>11913319.732000003</v>
      </c>
      <c r="AB956">
        <f t="shared" si="356"/>
        <v>-10938042.684800005</v>
      </c>
      <c r="AC956">
        <f t="shared" si="357"/>
        <v>-54132059.629199997</v>
      </c>
      <c r="AD956">
        <f t="shared" si="358"/>
        <v>-91643808.201400012</v>
      </c>
      <c r="AE956">
        <f t="shared" si="359"/>
        <v>-115480752.3566</v>
      </c>
    </row>
    <row r="957" spans="1:31" x14ac:dyDescent="0.25">
      <c r="A957">
        <v>46.332507409999998</v>
      </c>
      <c r="B957">
        <v>124.8419394</v>
      </c>
      <c r="C957">
        <v>5.3287997200000001</v>
      </c>
      <c r="D957">
        <v>211.63348389999999</v>
      </c>
      <c r="E957" t="b">
        <f t="shared" si="336"/>
        <v>1</v>
      </c>
      <c r="F957">
        <f t="shared" si="337"/>
        <v>184.98948529999998</v>
      </c>
      <c r="G957">
        <f t="shared" si="338"/>
        <v>158.34548669999998</v>
      </c>
      <c r="H957">
        <f t="shared" si="339"/>
        <v>131.70148810000001</v>
      </c>
      <c r="I957">
        <f t="shared" si="340"/>
        <v>105.05748949999999</v>
      </c>
      <c r="J957">
        <f t="shared" si="341"/>
        <v>78.413490899999971</v>
      </c>
      <c r="L957">
        <f t="shared" si="342"/>
        <v>10764175.4344</v>
      </c>
      <c r="M957">
        <f t="shared" si="343"/>
        <v>9165535.5184000004</v>
      </c>
      <c r="N957">
        <f t="shared" si="344"/>
        <v>7886623.5855999999</v>
      </c>
      <c r="O957">
        <f t="shared" si="345"/>
        <v>5968255.6864</v>
      </c>
      <c r="P957">
        <f t="shared" si="346"/>
        <v>4902495.7423999989</v>
      </c>
      <c r="Q957">
        <f t="shared" si="347"/>
        <v>4582767.7591999993</v>
      </c>
      <c r="S957">
        <f t="shared" si="348"/>
        <v>13055559.314000001</v>
      </c>
      <c r="T957">
        <f t="shared" si="349"/>
        <v>11563495.392399998</v>
      </c>
      <c r="U957">
        <f t="shared" si="350"/>
        <v>9911567.4791999981</v>
      </c>
      <c r="V957">
        <f t="shared" si="351"/>
        <v>7566895.6023999993</v>
      </c>
      <c r="W957">
        <f t="shared" si="352"/>
        <v>7300455.6164000006</v>
      </c>
      <c r="X957">
        <f t="shared" si="353"/>
        <v>6501135.6583999991</v>
      </c>
      <c r="Z957">
        <f t="shared" si="354"/>
        <v>15346943.193599999</v>
      </c>
      <c r="AA957">
        <f t="shared" si="355"/>
        <v>13961455.2664</v>
      </c>
      <c r="AB957">
        <f t="shared" si="356"/>
        <v>11936511.3728</v>
      </c>
      <c r="AC957">
        <f t="shared" si="357"/>
        <v>10444447.451199999</v>
      </c>
      <c r="AD957">
        <f t="shared" si="358"/>
        <v>9698415.4903999995</v>
      </c>
      <c r="AE957">
        <f t="shared" si="359"/>
        <v>8419503.5576000009</v>
      </c>
    </row>
    <row r="958" spans="1:31" x14ac:dyDescent="0.25">
      <c r="A958">
        <v>46.396265270000001</v>
      </c>
      <c r="B958">
        <v>117.60257540000001</v>
      </c>
      <c r="C958">
        <v>6.3704409599999998</v>
      </c>
      <c r="D958">
        <v>2.6204099699999999</v>
      </c>
      <c r="E958" t="b">
        <f t="shared" si="336"/>
        <v>0</v>
      </c>
      <c r="F958">
        <f t="shared" si="337"/>
        <v>-29.231794829999998</v>
      </c>
      <c r="G958">
        <f t="shared" si="338"/>
        <v>-61.083999630000001</v>
      </c>
      <c r="H958">
        <f t="shared" si="339"/>
        <v>-92.936204430000004</v>
      </c>
      <c r="I958">
        <f t="shared" si="340"/>
        <v>-124.78840923</v>
      </c>
      <c r="J958">
        <f t="shared" si="341"/>
        <v>-156.64061402999999</v>
      </c>
      <c r="L958">
        <f t="shared" si="342"/>
        <v>5293228.1393999998</v>
      </c>
      <c r="M958">
        <f t="shared" si="343"/>
        <v>-50278687.107600003</v>
      </c>
      <c r="N958">
        <f t="shared" si="344"/>
        <v>-90404319.452399999</v>
      </c>
      <c r="O958">
        <f t="shared" si="345"/>
        <v>-104088548.96160002</v>
      </c>
      <c r="P958">
        <f t="shared" si="346"/>
        <v>-114805336.49159999</v>
      </c>
      <c r="Q958">
        <f t="shared" si="347"/>
        <v>-134710928.06580001</v>
      </c>
      <c r="S958">
        <f t="shared" si="348"/>
        <v>6420004.4265000001</v>
      </c>
      <c r="T958">
        <f t="shared" si="349"/>
        <v>-132552279.1971</v>
      </c>
      <c r="U958">
        <f t="shared" si="350"/>
        <v>-113616239.3118</v>
      </c>
      <c r="V958">
        <f t="shared" si="351"/>
        <v>-131969410.2906</v>
      </c>
      <c r="W958">
        <f t="shared" si="352"/>
        <v>-170960120.64510003</v>
      </c>
      <c r="X958">
        <f t="shared" si="353"/>
        <v>-191101549.11660001</v>
      </c>
      <c r="Z958">
        <f t="shared" si="354"/>
        <v>7546780.7135999985</v>
      </c>
      <c r="AA958">
        <f t="shared" si="355"/>
        <v>-76587302.454599991</v>
      </c>
      <c r="AB958">
        <f t="shared" si="356"/>
        <v>-136828159.17120001</v>
      </c>
      <c r="AC958">
        <f t="shared" si="357"/>
        <v>-182154960.68280002</v>
      </c>
      <c r="AD958">
        <f t="shared" si="358"/>
        <v>-227114904.79860002</v>
      </c>
      <c r="AE958">
        <f t="shared" si="359"/>
        <v>-247492170.1674</v>
      </c>
    </row>
    <row r="959" spans="1:31" x14ac:dyDescent="0.25">
      <c r="A959">
        <v>46.455619259999999</v>
      </c>
      <c r="B959">
        <v>124.61124390000001</v>
      </c>
      <c r="C959">
        <v>4.5470686000000002</v>
      </c>
      <c r="D959">
        <v>1.38860798</v>
      </c>
      <c r="E959" t="b">
        <f t="shared" si="336"/>
        <v>0</v>
      </c>
      <c r="F959">
        <f t="shared" si="337"/>
        <v>-21.346735020000001</v>
      </c>
      <c r="G959">
        <f t="shared" si="338"/>
        <v>-44.082078019999997</v>
      </c>
      <c r="H959">
        <f t="shared" si="339"/>
        <v>-66.817421019999998</v>
      </c>
      <c r="I959">
        <f t="shared" si="340"/>
        <v>-89.552764019999998</v>
      </c>
      <c r="J959">
        <f t="shared" si="341"/>
        <v>-112.28810702</v>
      </c>
      <c r="L959">
        <f t="shared" si="342"/>
        <v>2804988.1195999999</v>
      </c>
      <c r="M959">
        <f t="shared" si="343"/>
        <v>-36716384.234400004</v>
      </c>
      <c r="N959">
        <f t="shared" si="344"/>
        <v>-65241475.469599992</v>
      </c>
      <c r="O959">
        <f t="shared" si="345"/>
        <v>-74835511.542400002</v>
      </c>
      <c r="P959">
        <f t="shared" si="346"/>
        <v>-82388542.898399994</v>
      </c>
      <c r="Q959">
        <f t="shared" si="347"/>
        <v>-96567772.037199989</v>
      </c>
      <c r="S959">
        <f t="shared" si="348"/>
        <v>3402089.551</v>
      </c>
      <c r="T959">
        <f t="shared" si="349"/>
        <v>-95658109.303399995</v>
      </c>
      <c r="U959">
        <f t="shared" si="350"/>
        <v>-81992665.117199987</v>
      </c>
      <c r="V959">
        <f t="shared" si="351"/>
        <v>-94880737.848399997</v>
      </c>
      <c r="W959">
        <f t="shared" si="352"/>
        <v>-122687286.70740001</v>
      </c>
      <c r="X959">
        <f t="shared" si="353"/>
        <v>-136991490.56439999</v>
      </c>
      <c r="Z959">
        <f t="shared" si="354"/>
        <v>3999190.9823999996</v>
      </c>
      <c r="AA959">
        <f t="shared" si="355"/>
        <v>-55928445.752400003</v>
      </c>
      <c r="AB959">
        <f t="shared" si="356"/>
        <v>-98743854.764799997</v>
      </c>
      <c r="AC959">
        <f t="shared" si="357"/>
        <v>-130962145.19919999</v>
      </c>
      <c r="AD959">
        <f t="shared" si="358"/>
        <v>-162986030.51640001</v>
      </c>
      <c r="AE959">
        <f t="shared" si="359"/>
        <v>-177415209.0916</v>
      </c>
    </row>
    <row r="960" spans="1:31" x14ac:dyDescent="0.25">
      <c r="A960">
        <v>46.499850989999999</v>
      </c>
      <c r="B960">
        <v>124.62370420000001</v>
      </c>
      <c r="C960">
        <v>3.6697926500000002</v>
      </c>
      <c r="D960">
        <v>0.20250398999999999</v>
      </c>
      <c r="E960" t="b">
        <f t="shared" si="336"/>
        <v>0</v>
      </c>
      <c r="F960">
        <f t="shared" si="337"/>
        <v>-18.14645926</v>
      </c>
      <c r="G960">
        <f t="shared" si="338"/>
        <v>-36.495422510000004</v>
      </c>
      <c r="H960">
        <f t="shared" si="339"/>
        <v>-54.844385760000009</v>
      </c>
      <c r="I960">
        <f t="shared" si="340"/>
        <v>-73.193349010000006</v>
      </c>
      <c r="J960">
        <f t="shared" si="341"/>
        <v>-91.542312260000003</v>
      </c>
      <c r="L960">
        <f t="shared" si="342"/>
        <v>409058.05979999999</v>
      </c>
      <c r="M960">
        <f t="shared" si="343"/>
        <v>-31211909.927200008</v>
      </c>
      <c r="N960">
        <f t="shared" si="344"/>
        <v>-54013225.314800009</v>
      </c>
      <c r="O960">
        <f t="shared" si="345"/>
        <v>-61425712.05120001</v>
      </c>
      <c r="P960">
        <f t="shared" si="346"/>
        <v>-67337881.089200005</v>
      </c>
      <c r="Q960">
        <f t="shared" si="347"/>
        <v>-78726388.543600008</v>
      </c>
      <c r="S960">
        <f t="shared" si="348"/>
        <v>496134.77549999999</v>
      </c>
      <c r="T960">
        <f t="shared" si="349"/>
        <v>-79195066.846700013</v>
      </c>
      <c r="U960">
        <f t="shared" si="350"/>
        <v>-67881485.868600011</v>
      </c>
      <c r="V960">
        <f t="shared" si="351"/>
        <v>-77879027.779200003</v>
      </c>
      <c r="W960">
        <f t="shared" si="352"/>
        <v>-100274888.14370002</v>
      </c>
      <c r="X960">
        <f t="shared" si="353"/>
        <v>-111681620.95720001</v>
      </c>
      <c r="Z960">
        <f t="shared" si="354"/>
        <v>583211.49119999993</v>
      </c>
      <c r="AA960">
        <f t="shared" si="355"/>
        <v>-47543723.261200003</v>
      </c>
      <c r="AB960">
        <f t="shared" si="356"/>
        <v>-81749746.422400013</v>
      </c>
      <c r="AC960">
        <f t="shared" si="357"/>
        <v>-107494996.08960001</v>
      </c>
      <c r="AD960">
        <f t="shared" si="358"/>
        <v>-133211895.19820002</v>
      </c>
      <c r="AE960">
        <f t="shared" si="359"/>
        <v>-144636853.37080002</v>
      </c>
    </row>
    <row r="961" spans="1:31" x14ac:dyDescent="0.25">
      <c r="A961">
        <v>46.508446419999999</v>
      </c>
      <c r="B961">
        <v>124.5596493</v>
      </c>
      <c r="C961">
        <v>3.6697926500000002</v>
      </c>
      <c r="D961">
        <v>4.9010999999999999E-2</v>
      </c>
      <c r="E961" t="b">
        <f t="shared" si="336"/>
        <v>0</v>
      </c>
      <c r="F961">
        <f t="shared" si="337"/>
        <v>-18.29995225</v>
      </c>
      <c r="G961">
        <f t="shared" si="338"/>
        <v>-36.648915500000001</v>
      </c>
      <c r="H961">
        <f t="shared" si="339"/>
        <v>-54.997878750000005</v>
      </c>
      <c r="I961">
        <f t="shared" si="340"/>
        <v>-73.346842000000009</v>
      </c>
      <c r="J961">
        <f t="shared" si="341"/>
        <v>-91.695805250000006</v>
      </c>
      <c r="L961">
        <f t="shared" si="342"/>
        <v>99002.22</v>
      </c>
      <c r="M961">
        <f t="shared" si="343"/>
        <v>-31475917.870000005</v>
      </c>
      <c r="N961">
        <f t="shared" si="344"/>
        <v>-54240394.939999998</v>
      </c>
      <c r="O961">
        <f t="shared" si="345"/>
        <v>-61597624.200000018</v>
      </c>
      <c r="P961">
        <f t="shared" si="346"/>
        <v>-67479094.640000015</v>
      </c>
      <c r="Q961">
        <f t="shared" si="347"/>
        <v>-78858392.515000001</v>
      </c>
      <c r="S961">
        <f t="shared" si="348"/>
        <v>120076.95000000001</v>
      </c>
      <c r="T961">
        <f t="shared" si="349"/>
        <v>-79528146.63499999</v>
      </c>
      <c r="U961">
        <f t="shared" si="350"/>
        <v>-68166982.829999998</v>
      </c>
      <c r="V961">
        <f t="shared" si="351"/>
        <v>-78096987.825000003</v>
      </c>
      <c r="W961">
        <f t="shared" si="352"/>
        <v>-100485173.54000002</v>
      </c>
      <c r="X961">
        <f t="shared" si="353"/>
        <v>-111868882.405</v>
      </c>
      <c r="Z961">
        <f t="shared" si="354"/>
        <v>141151.67999999999</v>
      </c>
      <c r="AA961">
        <f t="shared" si="355"/>
        <v>-47945874.895000003</v>
      </c>
      <c r="AB961">
        <f t="shared" si="356"/>
        <v>-82093570.720000014</v>
      </c>
      <c r="AC961">
        <f t="shared" si="357"/>
        <v>-107795842.35000001</v>
      </c>
      <c r="AD961">
        <f t="shared" si="358"/>
        <v>-133491252.44000003</v>
      </c>
      <c r="AE961">
        <f t="shared" si="359"/>
        <v>-144879372.29500002</v>
      </c>
    </row>
    <row r="962" spans="1:31" x14ac:dyDescent="0.25">
      <c r="A962">
        <v>46.515137160000002</v>
      </c>
      <c r="B962">
        <v>124.1628022</v>
      </c>
      <c r="C962">
        <v>4.5470686000000002</v>
      </c>
      <c r="D962">
        <v>1.7568229399999999</v>
      </c>
      <c r="E962" t="b">
        <f t="shared" si="336"/>
        <v>0</v>
      </c>
      <c r="F962">
        <f t="shared" si="337"/>
        <v>-20.978520060000001</v>
      </c>
      <c r="G962">
        <f t="shared" si="338"/>
        <v>-43.713863060000001</v>
      </c>
      <c r="H962">
        <f t="shared" si="339"/>
        <v>-66.449206059999995</v>
      </c>
      <c r="I962">
        <f t="shared" si="340"/>
        <v>-89.184549059999995</v>
      </c>
      <c r="J962">
        <f t="shared" si="341"/>
        <v>-111.91989206</v>
      </c>
      <c r="L962">
        <f t="shared" si="342"/>
        <v>3548782.3388</v>
      </c>
      <c r="M962">
        <f t="shared" si="343"/>
        <v>-36083054.503200009</v>
      </c>
      <c r="N962">
        <f t="shared" si="344"/>
        <v>-64696517.3288</v>
      </c>
      <c r="O962">
        <f t="shared" si="345"/>
        <v>-74423110.787200004</v>
      </c>
      <c r="P962">
        <f t="shared" si="346"/>
        <v>-82049785.135199979</v>
      </c>
      <c r="Q962">
        <f t="shared" si="347"/>
        <v>-96251107.171599999</v>
      </c>
      <c r="S962">
        <f t="shared" si="348"/>
        <v>4304216.2029999997</v>
      </c>
      <c r="T962">
        <f t="shared" si="349"/>
        <v>-94859082.840200007</v>
      </c>
      <c r="U962">
        <f t="shared" si="350"/>
        <v>-81307785.291600004</v>
      </c>
      <c r="V962">
        <f t="shared" si="351"/>
        <v>-94357872.605199993</v>
      </c>
      <c r="W962">
        <f t="shared" si="352"/>
        <v>-122182832.21219999</v>
      </c>
      <c r="X962">
        <f t="shared" si="353"/>
        <v>-136542268.3132</v>
      </c>
      <c r="Z962">
        <f t="shared" si="354"/>
        <v>5059650.0671999995</v>
      </c>
      <c r="AA962">
        <f t="shared" si="355"/>
        <v>-54963722.557200007</v>
      </c>
      <c r="AB962">
        <f t="shared" si="356"/>
        <v>-97919053.254400015</v>
      </c>
      <c r="AC962">
        <f t="shared" si="357"/>
        <v>-130240443.87759998</v>
      </c>
      <c r="AD962">
        <f t="shared" si="358"/>
        <v>-162315879.28919998</v>
      </c>
      <c r="AE962">
        <f t="shared" si="359"/>
        <v>-176833429.45480001</v>
      </c>
    </row>
    <row r="963" spans="1:31" x14ac:dyDescent="0.25">
      <c r="A963">
        <v>46.544826810000004</v>
      </c>
      <c r="B963">
        <v>124.9691073</v>
      </c>
      <c r="C963">
        <v>5.3287997200000001</v>
      </c>
      <c r="D963">
        <v>612.26196289999996</v>
      </c>
      <c r="E963" t="b">
        <f t="shared" ref="E963:E981" si="360">D963&gt;C963</f>
        <v>1</v>
      </c>
      <c r="F963">
        <f t="shared" ref="F963:F981" si="361">D963-(C963*(2030-2025))</f>
        <v>585.61796429999993</v>
      </c>
      <c r="G963">
        <f t="shared" ref="G963:G981" si="362">D963-(C963*(2035-2025))</f>
        <v>558.97396570000001</v>
      </c>
      <c r="H963">
        <f t="shared" ref="H963:H981" si="363">D963-(C963*(2040-2025))</f>
        <v>532.32996709999998</v>
      </c>
      <c r="I963">
        <f t="shared" ref="I963:I981" si="364">D963-(C963*(2045-2025))</f>
        <v>505.68596849999994</v>
      </c>
      <c r="J963">
        <f t="shared" ref="J963:J981" si="365">D963-(C963*(2050-2025))</f>
        <v>479.04196989999991</v>
      </c>
      <c r="L963">
        <f t="shared" ref="L963:L981" si="366">MIN(C963,D963)*1000000*((280/250)+0.9)</f>
        <v>10764175.4344</v>
      </c>
      <c r="M963">
        <f t="shared" ref="M963:M981" si="367">MIN(C963,F963)*1000000*((230/250)+0.8)</f>
        <v>9165535.5184000004</v>
      </c>
      <c r="N963">
        <f t="shared" ref="N963:N981" si="368">MIN(C963,G963)*1000000*((195/250)+0.7)</f>
        <v>7886623.5855999999</v>
      </c>
      <c r="O963">
        <f t="shared" ref="O963:O981" si="369">MIN(C963,H963)*1000000*((130/250)+0.6)</f>
        <v>5968255.6864</v>
      </c>
      <c r="P963">
        <f t="shared" ref="P963:P981" si="370">MIN(C963,I963)*1000000*((105/250)+0.5)</f>
        <v>4902495.7423999989</v>
      </c>
      <c r="Q963">
        <f t="shared" ref="Q963:Q981" si="371">MIN(C963,J963)*1000000*((90/250)+0.5)</f>
        <v>4582767.7591999993</v>
      </c>
      <c r="S963">
        <f t="shared" ref="S963:S981" si="372">MIN(C963,D963)*1000000*((325/250)+1.15)</f>
        <v>13055559.314000001</v>
      </c>
      <c r="T963">
        <f t="shared" ref="T963:T981" si="373">MIN(C963,G963)*1000000*((280/250)+1.05)</f>
        <v>11563495.392399998</v>
      </c>
      <c r="U963">
        <f t="shared" ref="U963:U981" si="374">MIN(C963,G963)*1000000*((227.5/250)+0.95)</f>
        <v>9911567.4791999981</v>
      </c>
      <c r="V963">
        <f t="shared" ref="V963:V981" si="375">MIN(C963,H963)*1000000*((142.5/250)+0.85)</f>
        <v>7566895.6023999993</v>
      </c>
      <c r="W963">
        <f t="shared" ref="W963:W981" si="376">MIN(C963,I963)*1000000*((142.5/250)+0.8)</f>
        <v>7300455.6164000006</v>
      </c>
      <c r="X963">
        <f t="shared" ref="X963:X981" si="377">MIN(C963,J963)*1000000*((117.5/250)+0.75)</f>
        <v>6501135.6583999991</v>
      </c>
      <c r="Z963">
        <f t="shared" ref="Z963:Z981" si="378">MIN(C963,D963)*1000000*((370/250)+1.4)</f>
        <v>15346943.193599999</v>
      </c>
      <c r="AA963">
        <f t="shared" ref="AA963:AA981" si="379">MIN(C963,F963)*1000000*((330/250)+1.3)</f>
        <v>13961455.2664</v>
      </c>
      <c r="AB963">
        <f t="shared" ref="AB963:AB981" si="380">MIN(C963,G963)*1000000*((260/250)+1.2)</f>
        <v>11936511.3728</v>
      </c>
      <c r="AC963">
        <f t="shared" ref="AC963:AC981" si="381">MIN(C963,H963)*1000000*((215/250)+1.1)</f>
        <v>10444447.451199999</v>
      </c>
      <c r="AD963">
        <f t="shared" ref="AD963:AD981" si="382">MIN(C963,I963)*1000000*((180/250)+1.1)</f>
        <v>9698415.4903999995</v>
      </c>
      <c r="AE963">
        <f t="shared" ref="AE963:AE981" si="383">MIN(C963,J963)*1000000*((145/250)+1)</f>
        <v>8419503.5576000009</v>
      </c>
    </row>
    <row r="964" spans="1:31" x14ac:dyDescent="0.25">
      <c r="A964">
        <v>46.620408670000003</v>
      </c>
      <c r="B964">
        <v>124.0587314</v>
      </c>
      <c r="C964">
        <v>4.5470686000000002</v>
      </c>
      <c r="D964">
        <v>0.184725</v>
      </c>
      <c r="E964" t="b">
        <f t="shared" si="360"/>
        <v>0</v>
      </c>
      <c r="F964">
        <f t="shared" si="361"/>
        <v>-22.550618</v>
      </c>
      <c r="G964">
        <f t="shared" si="362"/>
        <v>-45.285961</v>
      </c>
      <c r="H964">
        <f t="shared" si="363"/>
        <v>-68.021304000000001</v>
      </c>
      <c r="I964">
        <f t="shared" si="364"/>
        <v>-90.756647000000001</v>
      </c>
      <c r="J964">
        <f t="shared" si="365"/>
        <v>-113.49199</v>
      </c>
      <c r="L964">
        <f t="shared" si="366"/>
        <v>373144.5</v>
      </c>
      <c r="M964">
        <f t="shared" si="367"/>
        <v>-38787062.960000001</v>
      </c>
      <c r="N964">
        <f t="shared" si="368"/>
        <v>-67023222.280000001</v>
      </c>
      <c r="O964">
        <f t="shared" si="369"/>
        <v>-76183860.480000004</v>
      </c>
      <c r="P964">
        <f t="shared" si="370"/>
        <v>-83496115.239999995</v>
      </c>
      <c r="Q964">
        <f t="shared" si="371"/>
        <v>-97603111.399999991</v>
      </c>
      <c r="S964">
        <f t="shared" si="372"/>
        <v>452576.25000000006</v>
      </c>
      <c r="T964">
        <f t="shared" si="373"/>
        <v>-98270535.36999999</v>
      </c>
      <c r="U964">
        <f t="shared" si="374"/>
        <v>-84231887.459999993</v>
      </c>
      <c r="V964">
        <f t="shared" si="375"/>
        <v>-96590251.679999992</v>
      </c>
      <c r="W964">
        <f t="shared" si="376"/>
        <v>-124336606.39000002</v>
      </c>
      <c r="X964">
        <f t="shared" si="377"/>
        <v>-138460227.79999998</v>
      </c>
      <c r="Z964">
        <f t="shared" si="378"/>
        <v>532008</v>
      </c>
      <c r="AA964">
        <f t="shared" si="379"/>
        <v>-59082619.160000004</v>
      </c>
      <c r="AB964">
        <f t="shared" si="380"/>
        <v>-101440552.64000002</v>
      </c>
      <c r="AC964">
        <f t="shared" si="381"/>
        <v>-133321755.84</v>
      </c>
      <c r="AD964">
        <f t="shared" si="382"/>
        <v>-165177097.53999999</v>
      </c>
      <c r="AE964">
        <f t="shared" si="383"/>
        <v>-179317344.20000002</v>
      </c>
    </row>
    <row r="965" spans="1:31" x14ac:dyDescent="0.25">
      <c r="A965">
        <v>46.622529270000001</v>
      </c>
      <c r="B965">
        <v>124.39202950000001</v>
      </c>
      <c r="C965">
        <v>4.5470686000000002</v>
      </c>
      <c r="D965">
        <v>0.31957500999999999</v>
      </c>
      <c r="E965" t="b">
        <f t="shared" si="360"/>
        <v>0</v>
      </c>
      <c r="F965">
        <f t="shared" si="361"/>
        <v>-22.415767989999999</v>
      </c>
      <c r="G965">
        <f t="shared" si="362"/>
        <v>-45.151110989999999</v>
      </c>
      <c r="H965">
        <f t="shared" si="363"/>
        <v>-67.886453990000007</v>
      </c>
      <c r="I965">
        <f t="shared" si="364"/>
        <v>-90.621796990000007</v>
      </c>
      <c r="J965">
        <f t="shared" si="365"/>
        <v>-113.35713999000001</v>
      </c>
      <c r="L965">
        <f t="shared" si="366"/>
        <v>645541.52020000003</v>
      </c>
      <c r="M965">
        <f t="shared" si="367"/>
        <v>-38555120.9428</v>
      </c>
      <c r="N965">
        <f t="shared" si="368"/>
        <v>-66823644.265200004</v>
      </c>
      <c r="O965">
        <f t="shared" si="369"/>
        <v>-76032828.468800023</v>
      </c>
      <c r="P965">
        <f t="shared" si="370"/>
        <v>-83372053.230800003</v>
      </c>
      <c r="Q965">
        <f t="shared" si="371"/>
        <v>-97487140.391400009</v>
      </c>
      <c r="S965">
        <f t="shared" si="372"/>
        <v>782958.77450000006</v>
      </c>
      <c r="T965">
        <f t="shared" si="373"/>
        <v>-97977910.848299995</v>
      </c>
      <c r="U965">
        <f t="shared" si="374"/>
        <v>-83981066.441399992</v>
      </c>
      <c r="V965">
        <f t="shared" si="375"/>
        <v>-96398764.665800005</v>
      </c>
      <c r="W965">
        <f t="shared" si="376"/>
        <v>-124151861.87630002</v>
      </c>
      <c r="X965">
        <f t="shared" si="377"/>
        <v>-138295710.78780001</v>
      </c>
      <c r="Z965">
        <f t="shared" si="378"/>
        <v>920376.02879999997</v>
      </c>
      <c r="AA965">
        <f t="shared" si="379"/>
        <v>-58729312.1338</v>
      </c>
      <c r="AB965">
        <f t="shared" si="380"/>
        <v>-101138488.61760001</v>
      </c>
      <c r="AC965">
        <f t="shared" si="381"/>
        <v>-133057449.82040001</v>
      </c>
      <c r="AD965">
        <f t="shared" si="382"/>
        <v>-164931670.52180001</v>
      </c>
      <c r="AE965">
        <f t="shared" si="383"/>
        <v>-179104281.18420002</v>
      </c>
    </row>
    <row r="966" spans="1:31" x14ac:dyDescent="0.25">
      <c r="A966">
        <v>46.639471409999999</v>
      </c>
      <c r="B966">
        <v>124.2636088</v>
      </c>
      <c r="C966">
        <v>4.5470686000000002</v>
      </c>
      <c r="D966">
        <v>0.58188403</v>
      </c>
      <c r="E966" t="b">
        <f t="shared" si="360"/>
        <v>0</v>
      </c>
      <c r="F966">
        <f t="shared" si="361"/>
        <v>-22.153458969999999</v>
      </c>
      <c r="G966">
        <f t="shared" si="362"/>
        <v>-44.888801970000003</v>
      </c>
      <c r="H966">
        <f t="shared" si="363"/>
        <v>-67.624144970000003</v>
      </c>
      <c r="I966">
        <f t="shared" si="364"/>
        <v>-90.359487970000004</v>
      </c>
      <c r="J966">
        <f t="shared" si="365"/>
        <v>-113.09483097</v>
      </c>
      <c r="L966">
        <f t="shared" si="366"/>
        <v>1175405.7406000001</v>
      </c>
      <c r="M966">
        <f t="shared" si="367"/>
        <v>-38103949.428400002</v>
      </c>
      <c r="N966">
        <f t="shared" si="368"/>
        <v>-66435426.915600009</v>
      </c>
      <c r="O966">
        <f t="shared" si="369"/>
        <v>-75739042.366400003</v>
      </c>
      <c r="P966">
        <f t="shared" si="370"/>
        <v>-83130728.932399988</v>
      </c>
      <c r="Q966">
        <f t="shared" si="371"/>
        <v>-97261554.634199992</v>
      </c>
      <c r="S966">
        <f t="shared" si="372"/>
        <v>1425615.8735000002</v>
      </c>
      <c r="T966">
        <f t="shared" si="373"/>
        <v>-97408700.274900004</v>
      </c>
      <c r="U966">
        <f t="shared" si="374"/>
        <v>-83493171.664200008</v>
      </c>
      <c r="V966">
        <f t="shared" si="375"/>
        <v>-96026285.8574</v>
      </c>
      <c r="W966">
        <f t="shared" si="376"/>
        <v>-123792498.51890001</v>
      </c>
      <c r="X966">
        <f t="shared" si="377"/>
        <v>-137975693.7834</v>
      </c>
      <c r="Z966">
        <f t="shared" si="378"/>
        <v>1675826.0064000001</v>
      </c>
      <c r="AA966">
        <f t="shared" si="379"/>
        <v>-58042062.501400001</v>
      </c>
      <c r="AB966">
        <f t="shared" si="380"/>
        <v>-100550916.41280003</v>
      </c>
      <c r="AC966">
        <f t="shared" si="381"/>
        <v>-132543324.14119999</v>
      </c>
      <c r="AD966">
        <f t="shared" si="382"/>
        <v>-164454268.1054</v>
      </c>
      <c r="AE966">
        <f t="shared" si="383"/>
        <v>-178689832.93259999</v>
      </c>
    </row>
    <row r="967" spans="1:31" x14ac:dyDescent="0.25">
      <c r="A967">
        <v>46.738092530000003</v>
      </c>
      <c r="B967">
        <v>124.5577184</v>
      </c>
      <c r="C967">
        <v>4.5470686000000002</v>
      </c>
      <c r="D967">
        <v>3.4366679200000001</v>
      </c>
      <c r="E967" t="b">
        <f t="shared" si="360"/>
        <v>0</v>
      </c>
      <c r="F967">
        <f t="shared" si="361"/>
        <v>-19.298675079999999</v>
      </c>
      <c r="G967">
        <f t="shared" si="362"/>
        <v>-42.034018080000003</v>
      </c>
      <c r="H967">
        <f t="shared" si="363"/>
        <v>-64.769361079999996</v>
      </c>
      <c r="I967">
        <f t="shared" si="364"/>
        <v>-87.504704079999996</v>
      </c>
      <c r="J967">
        <f t="shared" si="365"/>
        <v>-110.24004708</v>
      </c>
      <c r="L967">
        <f t="shared" si="366"/>
        <v>6942069.1984000001</v>
      </c>
      <c r="M967">
        <f t="shared" si="367"/>
        <v>-33193721.137600001</v>
      </c>
      <c r="N967">
        <f t="shared" si="368"/>
        <v>-62210346.758400008</v>
      </c>
      <c r="O967">
        <f t="shared" si="369"/>
        <v>-72541684.409600005</v>
      </c>
      <c r="P967">
        <f t="shared" si="370"/>
        <v>-80504327.753599986</v>
      </c>
      <c r="Q967">
        <f t="shared" si="371"/>
        <v>-94806440.488800004</v>
      </c>
      <c r="S967">
        <f t="shared" si="372"/>
        <v>8419836.404000001</v>
      </c>
      <c r="T967">
        <f t="shared" si="373"/>
        <v>-91213819.233600006</v>
      </c>
      <c r="U967">
        <f t="shared" si="374"/>
        <v>-78183273.628800005</v>
      </c>
      <c r="V967">
        <f t="shared" si="375"/>
        <v>-91972492.733599991</v>
      </c>
      <c r="W967">
        <f t="shared" si="376"/>
        <v>-119881444.58960001</v>
      </c>
      <c r="X967">
        <f t="shared" si="377"/>
        <v>-134492857.43759999</v>
      </c>
      <c r="Z967">
        <f t="shared" si="378"/>
        <v>9897603.6096000001</v>
      </c>
      <c r="AA967">
        <f t="shared" si="379"/>
        <v>-50562528.709599994</v>
      </c>
      <c r="AB967">
        <f t="shared" si="380"/>
        <v>-94156200.499200016</v>
      </c>
      <c r="AC967">
        <f t="shared" si="381"/>
        <v>-126947947.71679999</v>
      </c>
      <c r="AD967">
        <f t="shared" si="382"/>
        <v>-159258561.42559999</v>
      </c>
      <c r="AE967">
        <f t="shared" si="383"/>
        <v>-174179274.38640001</v>
      </c>
    </row>
    <row r="968" spans="1:31" x14ac:dyDescent="0.25">
      <c r="A968">
        <v>46.73902897</v>
      </c>
      <c r="B968">
        <v>124.8916139</v>
      </c>
      <c r="C968">
        <v>3.6697926500000002</v>
      </c>
      <c r="D968">
        <v>78.619300839999994</v>
      </c>
      <c r="E968" t="b">
        <f t="shared" si="360"/>
        <v>1</v>
      </c>
      <c r="F968">
        <f t="shared" si="361"/>
        <v>60.270337589999997</v>
      </c>
      <c r="G968">
        <f t="shared" si="362"/>
        <v>41.921374339999993</v>
      </c>
      <c r="H968">
        <f t="shared" si="363"/>
        <v>23.572411089999989</v>
      </c>
      <c r="I968">
        <f t="shared" si="364"/>
        <v>5.2234478399999915</v>
      </c>
      <c r="J968">
        <f t="shared" si="365"/>
        <v>-13.125515410000006</v>
      </c>
      <c r="L968">
        <f t="shared" si="366"/>
        <v>7412981.1530000009</v>
      </c>
      <c r="M968">
        <f t="shared" si="367"/>
        <v>6312043.3580000009</v>
      </c>
      <c r="N968">
        <f t="shared" si="368"/>
        <v>5431293.1220000004</v>
      </c>
      <c r="O968">
        <f t="shared" si="369"/>
        <v>4110167.7680000006</v>
      </c>
      <c r="P968">
        <f t="shared" si="370"/>
        <v>3376209.2379999999</v>
      </c>
      <c r="Q968">
        <f t="shared" si="371"/>
        <v>-11287943.252600005</v>
      </c>
      <c r="S968">
        <f t="shared" si="372"/>
        <v>8990991.9925000016</v>
      </c>
      <c r="T968">
        <f t="shared" si="373"/>
        <v>7963450.0505000008</v>
      </c>
      <c r="U968">
        <f t="shared" si="374"/>
        <v>6825814.3289999999</v>
      </c>
      <c r="V968">
        <f t="shared" si="375"/>
        <v>5211105.5630000001</v>
      </c>
      <c r="W968">
        <f t="shared" si="376"/>
        <v>5027615.9305000007</v>
      </c>
      <c r="X968">
        <f t="shared" si="377"/>
        <v>-16013128.800200006</v>
      </c>
      <c r="Z968">
        <f t="shared" si="378"/>
        <v>10569002.832</v>
      </c>
      <c r="AA968">
        <f t="shared" si="379"/>
        <v>9614856.7430000007</v>
      </c>
      <c r="AB968">
        <f t="shared" si="380"/>
        <v>8220335.5360000012</v>
      </c>
      <c r="AC968">
        <f t="shared" si="381"/>
        <v>7192793.5940000005</v>
      </c>
      <c r="AD968">
        <f t="shared" si="382"/>
        <v>6679022.6230000006</v>
      </c>
      <c r="AE968">
        <f t="shared" si="383"/>
        <v>-20738314.347800009</v>
      </c>
    </row>
    <row r="969" spans="1:31" x14ac:dyDescent="0.25">
      <c r="A969">
        <v>46.758516159999999</v>
      </c>
      <c r="B969">
        <v>123.6968102</v>
      </c>
      <c r="C969">
        <v>5.9802422499999999</v>
      </c>
      <c r="D969">
        <v>0.57160699000000004</v>
      </c>
      <c r="E969" t="b">
        <f t="shared" si="360"/>
        <v>0</v>
      </c>
      <c r="F969">
        <f t="shared" si="361"/>
        <v>-29.32960426</v>
      </c>
      <c r="G969">
        <f t="shared" si="362"/>
        <v>-59.230815509999999</v>
      </c>
      <c r="H969">
        <f t="shared" si="363"/>
        <v>-89.132026759999988</v>
      </c>
      <c r="I969">
        <f t="shared" si="364"/>
        <v>-119.03323800999999</v>
      </c>
      <c r="J969">
        <f t="shared" si="365"/>
        <v>-148.93444926000001</v>
      </c>
      <c r="L969">
        <f t="shared" si="366"/>
        <v>1154646.1198</v>
      </c>
      <c r="M969">
        <f t="shared" si="367"/>
        <v>-50446919.32720001</v>
      </c>
      <c r="N969">
        <f t="shared" si="368"/>
        <v>-87661606.954799995</v>
      </c>
      <c r="O969">
        <f t="shared" si="369"/>
        <v>-99827869.971200004</v>
      </c>
      <c r="P969">
        <f t="shared" si="370"/>
        <v>-109510578.96919999</v>
      </c>
      <c r="Q969">
        <f t="shared" si="371"/>
        <v>-128083626.36360002</v>
      </c>
      <c r="S969">
        <f t="shared" si="372"/>
        <v>1400437.1255000001</v>
      </c>
      <c r="T969">
        <f t="shared" si="373"/>
        <v>-128530869.65669999</v>
      </c>
      <c r="U969">
        <f t="shared" si="374"/>
        <v>-110169316.84859999</v>
      </c>
      <c r="V969">
        <f t="shared" si="375"/>
        <v>-126567477.99919999</v>
      </c>
      <c r="W969">
        <f t="shared" si="376"/>
        <v>-163075536.07370001</v>
      </c>
      <c r="X969">
        <f t="shared" si="377"/>
        <v>-181700028.09720001</v>
      </c>
      <c r="Z969">
        <f t="shared" si="378"/>
        <v>1646228.1311999999</v>
      </c>
      <c r="AA969">
        <f t="shared" si="379"/>
        <v>-76843563.161200002</v>
      </c>
      <c r="AB969">
        <f t="shared" si="380"/>
        <v>-132677026.74240001</v>
      </c>
      <c r="AC969">
        <f t="shared" si="381"/>
        <v>-174698772.44959998</v>
      </c>
      <c r="AD969">
        <f t="shared" si="382"/>
        <v>-216640493.17819998</v>
      </c>
      <c r="AE969">
        <f t="shared" si="383"/>
        <v>-235316429.83080006</v>
      </c>
    </row>
    <row r="970" spans="1:31" x14ac:dyDescent="0.25">
      <c r="A970">
        <v>46.80059</v>
      </c>
      <c r="B970">
        <v>124.7757143</v>
      </c>
      <c r="C970">
        <v>3.6697926500000002</v>
      </c>
      <c r="D970">
        <v>15.609274859999999</v>
      </c>
      <c r="E970" t="b">
        <f t="shared" si="360"/>
        <v>1</v>
      </c>
      <c r="F970">
        <f t="shared" si="361"/>
        <v>-2.7396883900000013</v>
      </c>
      <c r="G970">
        <f t="shared" si="362"/>
        <v>-21.088651640000002</v>
      </c>
      <c r="H970">
        <f t="shared" si="363"/>
        <v>-39.437614890000006</v>
      </c>
      <c r="I970">
        <f t="shared" si="364"/>
        <v>-57.786578140000003</v>
      </c>
      <c r="J970">
        <f t="shared" si="365"/>
        <v>-76.13554139</v>
      </c>
      <c r="L970">
        <f t="shared" si="366"/>
        <v>7412981.1530000009</v>
      </c>
      <c r="M970">
        <f t="shared" si="367"/>
        <v>-4712264.0308000036</v>
      </c>
      <c r="N970">
        <f t="shared" si="368"/>
        <v>-31211204.427200001</v>
      </c>
      <c r="O970">
        <f t="shared" si="369"/>
        <v>-44170128.676800013</v>
      </c>
      <c r="P970">
        <f t="shared" si="370"/>
        <v>-53163651.888799995</v>
      </c>
      <c r="Q970">
        <f t="shared" si="371"/>
        <v>-65476565.595399998</v>
      </c>
      <c r="S970">
        <f t="shared" si="372"/>
        <v>8990991.9925000016</v>
      </c>
      <c r="T970">
        <f t="shared" si="373"/>
        <v>-45762374.058799997</v>
      </c>
      <c r="U970">
        <f t="shared" si="374"/>
        <v>-39224892.050399996</v>
      </c>
      <c r="V970">
        <f t="shared" si="375"/>
        <v>-56001413.143800005</v>
      </c>
      <c r="W970">
        <f t="shared" si="376"/>
        <v>-79167612.051800013</v>
      </c>
      <c r="X970">
        <f t="shared" si="377"/>
        <v>-92885360.495800003</v>
      </c>
      <c r="Z970">
        <f t="shared" si="378"/>
        <v>10569002.832</v>
      </c>
      <c r="AA970">
        <f t="shared" si="379"/>
        <v>-7177983.5818000045</v>
      </c>
      <c r="AB970">
        <f t="shared" si="380"/>
        <v>-47238579.673600003</v>
      </c>
      <c r="AC970">
        <f t="shared" si="381"/>
        <v>-77297725.184400007</v>
      </c>
      <c r="AD970">
        <f t="shared" si="382"/>
        <v>-105171572.2148</v>
      </c>
      <c r="AE970">
        <f t="shared" si="383"/>
        <v>-120294155.3962</v>
      </c>
    </row>
    <row r="971" spans="1:31" x14ac:dyDescent="0.25">
      <c r="A971">
        <v>46.807881739999999</v>
      </c>
      <c r="B971">
        <v>124.37714579999999</v>
      </c>
      <c r="C971">
        <v>4.5470686000000002</v>
      </c>
      <c r="D971">
        <v>0.92362601</v>
      </c>
      <c r="E971" t="b">
        <f t="shared" si="360"/>
        <v>0</v>
      </c>
      <c r="F971">
        <f t="shared" si="361"/>
        <v>-21.811716990000001</v>
      </c>
      <c r="G971">
        <f t="shared" si="362"/>
        <v>-44.547059990000001</v>
      </c>
      <c r="H971">
        <f t="shared" si="363"/>
        <v>-67.282402989999994</v>
      </c>
      <c r="I971">
        <f t="shared" si="364"/>
        <v>-90.017745989999995</v>
      </c>
      <c r="J971">
        <f t="shared" si="365"/>
        <v>-112.75308898999999</v>
      </c>
      <c r="L971">
        <f t="shared" si="366"/>
        <v>1865724.5401999999</v>
      </c>
      <c r="M971">
        <f t="shared" si="367"/>
        <v>-37516153.222800009</v>
      </c>
      <c r="N971">
        <f t="shared" si="368"/>
        <v>-65929648.7852</v>
      </c>
      <c r="O971">
        <f t="shared" si="369"/>
        <v>-75356291.348800004</v>
      </c>
      <c r="P971">
        <f t="shared" si="370"/>
        <v>-82816326.310799986</v>
      </c>
      <c r="Q971">
        <f t="shared" si="371"/>
        <v>-96967656.531399995</v>
      </c>
      <c r="S971">
        <f t="shared" si="372"/>
        <v>2262883.7245</v>
      </c>
      <c r="T971">
        <f t="shared" si="373"/>
        <v>-96667120.178300008</v>
      </c>
      <c r="U971">
        <f t="shared" si="374"/>
        <v>-82857531.581399992</v>
      </c>
      <c r="V971">
        <f t="shared" si="375"/>
        <v>-95541012.245799989</v>
      </c>
      <c r="W971">
        <f t="shared" si="376"/>
        <v>-123324312.0063</v>
      </c>
      <c r="X971">
        <f t="shared" si="377"/>
        <v>-137558768.56779999</v>
      </c>
      <c r="Z971">
        <f t="shared" si="378"/>
        <v>2660042.9087999999</v>
      </c>
      <c r="AA971">
        <f t="shared" si="379"/>
        <v>-57146698.51380001</v>
      </c>
      <c r="AB971">
        <f t="shared" si="380"/>
        <v>-99785414.377600014</v>
      </c>
      <c r="AC971">
        <f t="shared" si="381"/>
        <v>-131873509.86039999</v>
      </c>
      <c r="AD971">
        <f t="shared" si="382"/>
        <v>-163832297.70179999</v>
      </c>
      <c r="AE971">
        <f t="shared" si="383"/>
        <v>-178149880.60420001</v>
      </c>
    </row>
    <row r="972" spans="1:31" x14ac:dyDescent="0.25">
      <c r="A972">
        <v>46.83883127</v>
      </c>
      <c r="B972">
        <v>123.7851312</v>
      </c>
      <c r="C972">
        <v>5.9802422499999999</v>
      </c>
      <c r="D972">
        <v>0.11275399999999999</v>
      </c>
      <c r="E972" t="b">
        <f t="shared" si="360"/>
        <v>0</v>
      </c>
      <c r="F972">
        <f t="shared" si="361"/>
        <v>-29.78845725</v>
      </c>
      <c r="G972">
        <f t="shared" si="362"/>
        <v>-59.689668499999996</v>
      </c>
      <c r="H972">
        <f t="shared" si="363"/>
        <v>-89.590879749999999</v>
      </c>
      <c r="I972">
        <f t="shared" si="364"/>
        <v>-119.492091</v>
      </c>
      <c r="J972">
        <f t="shared" si="365"/>
        <v>-149.39330225</v>
      </c>
      <c r="L972">
        <f t="shared" si="366"/>
        <v>227763.08000000002</v>
      </c>
      <c r="M972">
        <f t="shared" si="367"/>
        <v>-51236146.470000006</v>
      </c>
      <c r="N972">
        <f t="shared" si="368"/>
        <v>-88340709.379999995</v>
      </c>
      <c r="O972">
        <f t="shared" si="369"/>
        <v>-100341785.32000001</v>
      </c>
      <c r="P972">
        <f t="shared" si="370"/>
        <v>-109932723.72</v>
      </c>
      <c r="Q972">
        <f t="shared" si="371"/>
        <v>-128478239.935</v>
      </c>
      <c r="S972">
        <f t="shared" si="372"/>
        <v>276247.30000000005</v>
      </c>
      <c r="T972">
        <f t="shared" si="373"/>
        <v>-129526580.64499998</v>
      </c>
      <c r="U972">
        <f t="shared" si="374"/>
        <v>-111022783.40999998</v>
      </c>
      <c r="V972">
        <f t="shared" si="375"/>
        <v>-127219049.24499999</v>
      </c>
      <c r="W972">
        <f t="shared" si="376"/>
        <v>-163704164.67000002</v>
      </c>
      <c r="X972">
        <f t="shared" si="377"/>
        <v>-182259828.745</v>
      </c>
      <c r="Z972">
        <f t="shared" si="378"/>
        <v>324731.51999999996</v>
      </c>
      <c r="AA972">
        <f t="shared" si="379"/>
        <v>-78045757.995000005</v>
      </c>
      <c r="AB972">
        <f t="shared" si="380"/>
        <v>-133704857.44</v>
      </c>
      <c r="AC972">
        <f t="shared" si="381"/>
        <v>-175598124.31</v>
      </c>
      <c r="AD972">
        <f t="shared" si="382"/>
        <v>-217475605.62</v>
      </c>
      <c r="AE972">
        <f t="shared" si="383"/>
        <v>-236041417.55500001</v>
      </c>
    </row>
    <row r="973" spans="1:31" x14ac:dyDescent="0.25">
      <c r="A973">
        <v>47.838156040000001</v>
      </c>
      <c r="B973">
        <v>117.12205489999999</v>
      </c>
      <c r="C973">
        <v>0.88161886</v>
      </c>
      <c r="D973">
        <v>48.136058810000002</v>
      </c>
      <c r="E973" t="b">
        <f t="shared" si="360"/>
        <v>1</v>
      </c>
      <c r="F973">
        <f t="shared" si="361"/>
        <v>43.72796451</v>
      </c>
      <c r="G973">
        <f t="shared" si="362"/>
        <v>39.319870210000005</v>
      </c>
      <c r="H973">
        <f t="shared" si="363"/>
        <v>34.911775910000003</v>
      </c>
      <c r="I973">
        <f t="shared" si="364"/>
        <v>30.503681610000001</v>
      </c>
      <c r="J973">
        <f t="shared" si="365"/>
        <v>26.095587310000003</v>
      </c>
      <c r="L973">
        <f t="shared" si="366"/>
        <v>1780870.0972</v>
      </c>
      <c r="M973">
        <f t="shared" si="367"/>
        <v>1516384.4392000001</v>
      </c>
      <c r="N973">
        <f t="shared" si="368"/>
        <v>1304795.9128</v>
      </c>
      <c r="O973">
        <f t="shared" si="369"/>
        <v>987413.12320000003</v>
      </c>
      <c r="P973">
        <f t="shared" si="370"/>
        <v>811089.35119999992</v>
      </c>
      <c r="Q973">
        <f t="shared" si="371"/>
        <v>758192.21959999995</v>
      </c>
      <c r="S973">
        <f t="shared" si="372"/>
        <v>2159966.2069999999</v>
      </c>
      <c r="T973">
        <f t="shared" si="373"/>
        <v>1913112.9261999999</v>
      </c>
      <c r="U973">
        <f t="shared" si="374"/>
        <v>1639811.0795999998</v>
      </c>
      <c r="V973">
        <f t="shared" si="375"/>
        <v>1251898.7811999999</v>
      </c>
      <c r="W973">
        <f t="shared" si="376"/>
        <v>1207817.8382000001</v>
      </c>
      <c r="X973">
        <f t="shared" si="377"/>
        <v>1075575.0092</v>
      </c>
      <c r="Z973">
        <f t="shared" si="378"/>
        <v>2539062.3167999997</v>
      </c>
      <c r="AA973">
        <f t="shared" si="379"/>
        <v>2309841.4131999998</v>
      </c>
      <c r="AB973">
        <f t="shared" si="380"/>
        <v>1974826.2464000001</v>
      </c>
      <c r="AC973">
        <f t="shared" si="381"/>
        <v>1727972.9656</v>
      </c>
      <c r="AD973">
        <f t="shared" si="382"/>
        <v>1604546.3252000001</v>
      </c>
      <c r="AE973">
        <f t="shared" si="383"/>
        <v>1392957.7988</v>
      </c>
    </row>
    <row r="974" spans="1:31" x14ac:dyDescent="0.25">
      <c r="A974">
        <v>47.937428519999997</v>
      </c>
      <c r="B974">
        <v>117.00484179999999</v>
      </c>
      <c r="C974">
        <v>0.88161886</v>
      </c>
      <c r="D974">
        <v>8.9706563900000003</v>
      </c>
      <c r="E974" t="b">
        <f t="shared" si="360"/>
        <v>1</v>
      </c>
      <c r="F974">
        <f t="shared" si="361"/>
        <v>4.5625620900000001</v>
      </c>
      <c r="G974">
        <f t="shared" si="362"/>
        <v>0.15446778999999999</v>
      </c>
      <c r="H974">
        <f t="shared" si="363"/>
        <v>-4.2536265100000001</v>
      </c>
      <c r="I974">
        <f t="shared" si="364"/>
        <v>-8.6617208100000003</v>
      </c>
      <c r="J974">
        <f t="shared" si="365"/>
        <v>-13.069815109999999</v>
      </c>
      <c r="L974">
        <f t="shared" si="366"/>
        <v>1780870.0972</v>
      </c>
      <c r="M974">
        <f t="shared" si="367"/>
        <v>1516384.4392000001</v>
      </c>
      <c r="N974">
        <f t="shared" si="368"/>
        <v>228612.32920000001</v>
      </c>
      <c r="O974">
        <f t="shared" si="369"/>
        <v>-4764061.6912000002</v>
      </c>
      <c r="P974">
        <f t="shared" si="370"/>
        <v>-7968783.1452000001</v>
      </c>
      <c r="Q974">
        <f t="shared" si="371"/>
        <v>-11240040.9946</v>
      </c>
      <c r="S974">
        <f t="shared" si="372"/>
        <v>2159966.2069999999</v>
      </c>
      <c r="T974">
        <f t="shared" si="373"/>
        <v>335195.10430000001</v>
      </c>
      <c r="U974">
        <f t="shared" si="374"/>
        <v>287310.0894</v>
      </c>
      <c r="V974">
        <f t="shared" si="375"/>
        <v>-6040149.644199999</v>
      </c>
      <c r="W974">
        <f t="shared" si="376"/>
        <v>-11866557.509700002</v>
      </c>
      <c r="X974">
        <f t="shared" si="377"/>
        <v>-15945174.434199998</v>
      </c>
      <c r="Z974">
        <f t="shared" si="378"/>
        <v>2539062.3167999997</v>
      </c>
      <c r="AA974">
        <f t="shared" si="379"/>
        <v>2309841.4131999998</v>
      </c>
      <c r="AB974">
        <f t="shared" si="380"/>
        <v>346007.84960000007</v>
      </c>
      <c r="AC974">
        <f t="shared" si="381"/>
        <v>-8337107.9595999997</v>
      </c>
      <c r="AD974">
        <f t="shared" si="382"/>
        <v>-15764331.874200001</v>
      </c>
      <c r="AE974">
        <f t="shared" si="383"/>
        <v>-20650307.873799998</v>
      </c>
    </row>
    <row r="975" spans="1:31" x14ac:dyDescent="0.25">
      <c r="A975">
        <v>48.016223619999998</v>
      </c>
      <c r="B975">
        <v>117.1526538</v>
      </c>
      <c r="C975">
        <v>0.88161886</v>
      </c>
      <c r="D975">
        <v>10.97902393</v>
      </c>
      <c r="E975" t="b">
        <f t="shared" si="360"/>
        <v>1</v>
      </c>
      <c r="F975">
        <f t="shared" si="361"/>
        <v>6.5709296300000002</v>
      </c>
      <c r="G975">
        <f t="shared" si="362"/>
        <v>2.1628353300000001</v>
      </c>
      <c r="H975">
        <f t="shared" si="363"/>
        <v>-2.2452589700000001</v>
      </c>
      <c r="I975">
        <f t="shared" si="364"/>
        <v>-6.6533532700000002</v>
      </c>
      <c r="J975">
        <f t="shared" si="365"/>
        <v>-11.061447569999999</v>
      </c>
      <c r="L975">
        <f t="shared" si="366"/>
        <v>1780870.0972</v>
      </c>
      <c r="M975">
        <f t="shared" si="367"/>
        <v>1516384.4392000001</v>
      </c>
      <c r="N975">
        <f t="shared" si="368"/>
        <v>1304795.9128</v>
      </c>
      <c r="O975">
        <f t="shared" si="369"/>
        <v>-2514690.0464000003</v>
      </c>
      <c r="P975">
        <f t="shared" si="370"/>
        <v>-6121085.0083999997</v>
      </c>
      <c r="Q975">
        <f t="shared" si="371"/>
        <v>-9512844.9101999979</v>
      </c>
      <c r="S975">
        <f t="shared" si="372"/>
        <v>2159966.2069999999</v>
      </c>
      <c r="T975">
        <f t="shared" si="373"/>
        <v>1913112.9261999999</v>
      </c>
      <c r="U975">
        <f t="shared" si="374"/>
        <v>1639811.0795999998</v>
      </c>
      <c r="V975">
        <f t="shared" si="375"/>
        <v>-3188267.7374</v>
      </c>
      <c r="W975">
        <f t="shared" si="376"/>
        <v>-9115093.9799000006</v>
      </c>
      <c r="X975">
        <f t="shared" si="377"/>
        <v>-13494966.035399998</v>
      </c>
      <c r="Z975">
        <f t="shared" si="378"/>
        <v>2539062.3167999997</v>
      </c>
      <c r="AA975">
        <f t="shared" si="379"/>
        <v>2309841.4131999998</v>
      </c>
      <c r="AB975">
        <f t="shared" si="380"/>
        <v>1974826.2464000001</v>
      </c>
      <c r="AC975">
        <f t="shared" si="381"/>
        <v>-4400707.5811999999</v>
      </c>
      <c r="AD975">
        <f t="shared" si="382"/>
        <v>-12109102.951400001</v>
      </c>
      <c r="AE975">
        <f t="shared" si="383"/>
        <v>-17477087.160599999</v>
      </c>
    </row>
    <row r="976" spans="1:31" x14ac:dyDescent="0.25">
      <c r="A976">
        <v>48.157305569999998</v>
      </c>
      <c r="B976">
        <v>117.64868989999999</v>
      </c>
      <c r="C976">
        <v>1.6503210100000001</v>
      </c>
      <c r="D976">
        <v>22.796184539999999</v>
      </c>
      <c r="E976" t="b">
        <f t="shared" si="360"/>
        <v>1</v>
      </c>
      <c r="F976">
        <f t="shared" si="361"/>
        <v>14.544579489999999</v>
      </c>
      <c r="G976">
        <f t="shared" si="362"/>
        <v>6.2929744399999983</v>
      </c>
      <c r="H976">
        <f t="shared" si="363"/>
        <v>-1.9586306100000037</v>
      </c>
      <c r="I976">
        <f t="shared" si="364"/>
        <v>-10.210235660000002</v>
      </c>
      <c r="J976">
        <f t="shared" si="365"/>
        <v>-18.461840710000004</v>
      </c>
      <c r="L976">
        <f t="shared" si="366"/>
        <v>3333648.4402000001</v>
      </c>
      <c r="M976">
        <f t="shared" si="367"/>
        <v>2838552.1372000002</v>
      </c>
      <c r="N976">
        <f t="shared" si="368"/>
        <v>2442475.0948000001</v>
      </c>
      <c r="O976">
        <f t="shared" si="369"/>
        <v>-2193666.2832000046</v>
      </c>
      <c r="P976">
        <f t="shared" si="370"/>
        <v>-9393416.8072000016</v>
      </c>
      <c r="Q976">
        <f t="shared" si="371"/>
        <v>-15877183.010600004</v>
      </c>
      <c r="S976">
        <f t="shared" si="372"/>
        <v>4043286.4745000005</v>
      </c>
      <c r="T976">
        <f t="shared" si="373"/>
        <v>3581196.5916999998</v>
      </c>
      <c r="U976">
        <f t="shared" si="374"/>
        <v>3069597.0785999997</v>
      </c>
      <c r="V976">
        <f t="shared" si="375"/>
        <v>-2781255.4662000053</v>
      </c>
      <c r="W976">
        <f t="shared" si="376"/>
        <v>-13988022.854200004</v>
      </c>
      <c r="X976">
        <f t="shared" si="377"/>
        <v>-22523445.666200005</v>
      </c>
      <c r="Z976">
        <f t="shared" si="378"/>
        <v>4752924.5088</v>
      </c>
      <c r="AA976">
        <f t="shared" si="379"/>
        <v>4323841.0461999997</v>
      </c>
      <c r="AB976">
        <f t="shared" si="380"/>
        <v>3696719.0624000002</v>
      </c>
      <c r="AC976">
        <f t="shared" si="381"/>
        <v>-3838915.9956000075</v>
      </c>
      <c r="AD976">
        <f t="shared" si="382"/>
        <v>-18582628.901200004</v>
      </c>
      <c r="AE976">
        <f t="shared" si="383"/>
        <v>-29169708.321800008</v>
      </c>
    </row>
    <row r="977" spans="1:31" x14ac:dyDescent="0.25">
      <c r="A977">
        <v>48.188981839999997</v>
      </c>
      <c r="B977">
        <v>117.24992</v>
      </c>
      <c r="C977">
        <v>0.88161886</v>
      </c>
      <c r="D977">
        <v>0.17926601</v>
      </c>
      <c r="E977" t="b">
        <f t="shared" si="360"/>
        <v>0</v>
      </c>
      <c r="F977">
        <f t="shared" si="361"/>
        <v>-4.22882829</v>
      </c>
      <c r="G977">
        <f t="shared" si="362"/>
        <v>-8.6369225900000011</v>
      </c>
      <c r="H977">
        <f t="shared" si="363"/>
        <v>-13.045016890000001</v>
      </c>
      <c r="I977">
        <f t="shared" si="364"/>
        <v>-17.453111190000001</v>
      </c>
      <c r="J977">
        <f t="shared" si="365"/>
        <v>-21.86120549</v>
      </c>
      <c r="L977">
        <f t="shared" si="366"/>
        <v>362117.34020000004</v>
      </c>
      <c r="M977">
        <f t="shared" si="367"/>
        <v>-7273584.6588000013</v>
      </c>
      <c r="N977">
        <f t="shared" si="368"/>
        <v>-12782645.433200002</v>
      </c>
      <c r="O977">
        <f t="shared" si="369"/>
        <v>-14610418.916800002</v>
      </c>
      <c r="P977">
        <f t="shared" si="370"/>
        <v>-16056862.2948</v>
      </c>
      <c r="Q977">
        <f t="shared" si="371"/>
        <v>-18800636.7214</v>
      </c>
      <c r="S977">
        <f t="shared" si="372"/>
        <v>439201.72450000007</v>
      </c>
      <c r="T977">
        <f t="shared" si="373"/>
        <v>-18742122.020300005</v>
      </c>
      <c r="U977">
        <f t="shared" si="374"/>
        <v>-16064676.017400002</v>
      </c>
      <c r="V977">
        <f t="shared" si="375"/>
        <v>-18523923.983800001</v>
      </c>
      <c r="W977">
        <f t="shared" si="376"/>
        <v>-23910762.330300003</v>
      </c>
      <c r="X977">
        <f t="shared" si="377"/>
        <v>-26670670.697799999</v>
      </c>
      <c r="Z977">
        <f t="shared" si="378"/>
        <v>516286.10879999999</v>
      </c>
      <c r="AA977">
        <f t="shared" si="379"/>
        <v>-11079530.119800001</v>
      </c>
      <c r="AB977">
        <f t="shared" si="380"/>
        <v>-19346706.601600006</v>
      </c>
      <c r="AC977">
        <f t="shared" si="381"/>
        <v>-25568233.104400001</v>
      </c>
      <c r="AD977">
        <f t="shared" si="382"/>
        <v>-31764662.365800004</v>
      </c>
      <c r="AE977">
        <f t="shared" si="383"/>
        <v>-34540704.674199998</v>
      </c>
    </row>
    <row r="978" spans="1:31" x14ac:dyDescent="0.25">
      <c r="A978">
        <v>48.401524360000003</v>
      </c>
      <c r="B978">
        <v>116.2058425</v>
      </c>
      <c r="C978">
        <v>0.88161886</v>
      </c>
      <c r="D978">
        <v>0.24129701000000001</v>
      </c>
      <c r="E978" t="b">
        <f t="shared" si="360"/>
        <v>0</v>
      </c>
      <c r="F978">
        <f t="shared" si="361"/>
        <v>-4.1667972899999999</v>
      </c>
      <c r="G978">
        <f t="shared" si="362"/>
        <v>-8.57489159</v>
      </c>
      <c r="H978">
        <f t="shared" si="363"/>
        <v>-12.98298589</v>
      </c>
      <c r="I978">
        <f t="shared" si="364"/>
        <v>-17.39108019</v>
      </c>
      <c r="J978">
        <f t="shared" si="365"/>
        <v>-21.799174489999999</v>
      </c>
      <c r="L978">
        <f t="shared" si="366"/>
        <v>487419.96020000003</v>
      </c>
      <c r="M978">
        <f t="shared" si="367"/>
        <v>-7166891.338800001</v>
      </c>
      <c r="N978">
        <f t="shared" si="368"/>
        <v>-12690839.553199999</v>
      </c>
      <c r="O978">
        <f t="shared" si="369"/>
        <v>-14540944.196800003</v>
      </c>
      <c r="P978">
        <f t="shared" si="370"/>
        <v>-15999793.774800001</v>
      </c>
      <c r="Q978">
        <f t="shared" si="371"/>
        <v>-18747290.0614</v>
      </c>
      <c r="S978">
        <f t="shared" si="372"/>
        <v>591177.67450000008</v>
      </c>
      <c r="T978">
        <f t="shared" si="373"/>
        <v>-18607514.750299998</v>
      </c>
      <c r="U978">
        <f t="shared" si="374"/>
        <v>-15949298.357399998</v>
      </c>
      <c r="V978">
        <f t="shared" si="375"/>
        <v>-18435839.963799998</v>
      </c>
      <c r="W978">
        <f t="shared" si="376"/>
        <v>-23825779.860300004</v>
      </c>
      <c r="X978">
        <f t="shared" si="377"/>
        <v>-26594992.877799999</v>
      </c>
      <c r="Z978">
        <f t="shared" si="378"/>
        <v>694935.38879999996</v>
      </c>
      <c r="AA978">
        <f t="shared" si="379"/>
        <v>-10917008.899800001</v>
      </c>
      <c r="AB978">
        <f t="shared" si="380"/>
        <v>-19207757.161600001</v>
      </c>
      <c r="AC978">
        <f t="shared" si="381"/>
        <v>-25446652.3444</v>
      </c>
      <c r="AD978">
        <f t="shared" si="382"/>
        <v>-31651765.945800003</v>
      </c>
      <c r="AE978">
        <f t="shared" si="383"/>
        <v>-34442695.694200002</v>
      </c>
    </row>
    <row r="979" spans="1:31" x14ac:dyDescent="0.25">
      <c r="A979">
        <v>48.546118939999999</v>
      </c>
      <c r="B979">
        <v>117.855036</v>
      </c>
      <c r="C979">
        <v>1.6503210100000001</v>
      </c>
      <c r="D979">
        <v>6.0265269300000002</v>
      </c>
      <c r="E979" t="b">
        <f t="shared" si="360"/>
        <v>1</v>
      </c>
      <c r="F979">
        <f t="shared" si="361"/>
        <v>-2.22507812</v>
      </c>
      <c r="G979">
        <f t="shared" si="362"/>
        <v>-10.476683170000001</v>
      </c>
      <c r="H979">
        <f t="shared" si="363"/>
        <v>-18.728288220000003</v>
      </c>
      <c r="I979">
        <f t="shared" si="364"/>
        <v>-26.979893270000002</v>
      </c>
      <c r="J979">
        <f t="shared" si="365"/>
        <v>-35.23149832</v>
      </c>
      <c r="L979">
        <f t="shared" si="366"/>
        <v>3333648.4402000001</v>
      </c>
      <c r="M979">
        <f t="shared" si="367"/>
        <v>-3827134.3664000006</v>
      </c>
      <c r="N979">
        <f t="shared" si="368"/>
        <v>-15505491.091600003</v>
      </c>
      <c r="O979">
        <f t="shared" si="369"/>
        <v>-20975682.806400005</v>
      </c>
      <c r="P979">
        <f t="shared" si="370"/>
        <v>-24821501.808400001</v>
      </c>
      <c r="Q979">
        <f t="shared" si="371"/>
        <v>-30299088.555199999</v>
      </c>
      <c r="S979">
        <f t="shared" si="372"/>
        <v>4043286.4745000005</v>
      </c>
      <c r="T979">
        <f t="shared" si="373"/>
        <v>-22734402.478900004</v>
      </c>
      <c r="U979">
        <f t="shared" si="374"/>
        <v>-19486630.696200002</v>
      </c>
      <c r="V979">
        <f t="shared" si="375"/>
        <v>-26594169.272400003</v>
      </c>
      <c r="W979">
        <f t="shared" si="376"/>
        <v>-36962453.779900007</v>
      </c>
      <c r="X979">
        <f t="shared" si="377"/>
        <v>-42982427.950400002</v>
      </c>
      <c r="Z979">
        <f t="shared" si="378"/>
        <v>4752924.5088</v>
      </c>
      <c r="AA979">
        <f t="shared" si="379"/>
        <v>-5829704.6744000008</v>
      </c>
      <c r="AB979">
        <f t="shared" si="380"/>
        <v>-23467770.300800007</v>
      </c>
      <c r="AC979">
        <f t="shared" si="381"/>
        <v>-36707444.911200002</v>
      </c>
      <c r="AD979">
        <f t="shared" si="382"/>
        <v>-49103405.751400009</v>
      </c>
      <c r="AE979">
        <f t="shared" si="383"/>
        <v>-55665767.345600002</v>
      </c>
    </row>
    <row r="980" spans="1:31" x14ac:dyDescent="0.25">
      <c r="A980">
        <v>48.551560440000003</v>
      </c>
      <c r="B980">
        <v>117.7882175</v>
      </c>
      <c r="C980">
        <v>1.6503210100000001</v>
      </c>
      <c r="D980">
        <v>1.28356504</v>
      </c>
      <c r="E980" t="b">
        <f t="shared" si="360"/>
        <v>0</v>
      </c>
      <c r="F980">
        <f t="shared" si="361"/>
        <v>-6.9680400100000002</v>
      </c>
      <c r="G980">
        <f t="shared" si="362"/>
        <v>-15.219645060000001</v>
      </c>
      <c r="H980">
        <f t="shared" si="363"/>
        <v>-23.471250110000003</v>
      </c>
      <c r="I980">
        <f t="shared" si="364"/>
        <v>-31.722855160000002</v>
      </c>
      <c r="J980">
        <f t="shared" si="365"/>
        <v>-39.974460210000004</v>
      </c>
      <c r="L980">
        <f t="shared" si="366"/>
        <v>2592801.3807999999</v>
      </c>
      <c r="M980">
        <f t="shared" si="367"/>
        <v>-11985028.817200001</v>
      </c>
      <c r="N980">
        <f t="shared" si="368"/>
        <v>-22525074.6888</v>
      </c>
      <c r="O980">
        <f t="shared" si="369"/>
        <v>-26287800.123200007</v>
      </c>
      <c r="P980">
        <f t="shared" si="370"/>
        <v>-29185026.747199997</v>
      </c>
      <c r="Q980">
        <f t="shared" si="371"/>
        <v>-34378035.780600004</v>
      </c>
      <c r="S980">
        <f t="shared" si="372"/>
        <v>3144734.3480000002</v>
      </c>
      <c r="T980">
        <f t="shared" si="373"/>
        <v>-33026629.780200001</v>
      </c>
      <c r="U980">
        <f t="shared" si="374"/>
        <v>-28308539.8116</v>
      </c>
      <c r="V980">
        <f t="shared" si="375"/>
        <v>-33329175.156200003</v>
      </c>
      <c r="W980">
        <f t="shared" si="376"/>
        <v>-43460311.569200002</v>
      </c>
      <c r="X980">
        <f t="shared" si="377"/>
        <v>-48768841.456200004</v>
      </c>
      <c r="Z980">
        <f t="shared" si="378"/>
        <v>3696667.3152000001</v>
      </c>
      <c r="AA980">
        <f t="shared" si="379"/>
        <v>-18256264.826200001</v>
      </c>
      <c r="AB980">
        <f t="shared" si="380"/>
        <v>-34092004.934400007</v>
      </c>
      <c r="AC980">
        <f t="shared" si="381"/>
        <v>-46003650.215600006</v>
      </c>
      <c r="AD980">
        <f t="shared" si="382"/>
        <v>-57735596.391199999</v>
      </c>
      <c r="AE980">
        <f t="shared" si="383"/>
        <v>-63159647.131800003</v>
      </c>
    </row>
    <row r="981" spans="1:31" x14ac:dyDescent="0.25">
      <c r="A981">
        <v>48.579495710000003</v>
      </c>
      <c r="B981">
        <v>117.996954</v>
      </c>
      <c r="C981">
        <v>1.6503210100000001</v>
      </c>
      <c r="D981">
        <v>0.23902100000000001</v>
      </c>
      <c r="E981" t="b">
        <f t="shared" si="360"/>
        <v>0</v>
      </c>
      <c r="F981">
        <f t="shared" si="361"/>
        <v>-8.012584050000001</v>
      </c>
      <c r="G981">
        <f t="shared" si="362"/>
        <v>-16.264189099999999</v>
      </c>
      <c r="H981">
        <f t="shared" si="363"/>
        <v>-24.515794150000001</v>
      </c>
      <c r="I981">
        <f t="shared" si="364"/>
        <v>-32.7673992</v>
      </c>
      <c r="J981">
        <f t="shared" si="365"/>
        <v>-41.019004250000002</v>
      </c>
      <c r="L981">
        <f t="shared" si="366"/>
        <v>482822.42</v>
      </c>
      <c r="M981">
        <f t="shared" si="367"/>
        <v>-13781644.566000003</v>
      </c>
      <c r="N981">
        <f t="shared" si="368"/>
        <v>-24070999.868000001</v>
      </c>
      <c r="O981">
        <f t="shared" si="369"/>
        <v>-27457689.448000006</v>
      </c>
      <c r="P981">
        <f t="shared" si="370"/>
        <v>-30146007.263999999</v>
      </c>
      <c r="Q981">
        <f t="shared" si="371"/>
        <v>-35276343.655000001</v>
      </c>
      <c r="S981">
        <f t="shared" si="372"/>
        <v>585601.45000000007</v>
      </c>
      <c r="T981">
        <f t="shared" si="373"/>
        <v>-35293290.346999995</v>
      </c>
      <c r="U981">
        <f t="shared" si="374"/>
        <v>-30251391.725999996</v>
      </c>
      <c r="V981">
        <f t="shared" si="375"/>
        <v>-34812427.693000004</v>
      </c>
      <c r="W981">
        <f t="shared" si="376"/>
        <v>-44891336.903999999</v>
      </c>
      <c r="X981">
        <f t="shared" si="377"/>
        <v>-50043185.185000002</v>
      </c>
      <c r="Z981">
        <f t="shared" si="378"/>
        <v>688380.48</v>
      </c>
      <c r="AA981">
        <f t="shared" si="379"/>
        <v>-20992970.211000003</v>
      </c>
      <c r="AB981">
        <f t="shared" si="380"/>
        <v>-36431783.584000006</v>
      </c>
      <c r="AC981">
        <f t="shared" si="381"/>
        <v>-48050956.534000002</v>
      </c>
      <c r="AD981">
        <f t="shared" si="382"/>
        <v>-59636666.544</v>
      </c>
      <c r="AE981">
        <f t="shared" si="383"/>
        <v>-64810026.715000004</v>
      </c>
    </row>
  </sheetData>
  <sortState xmlns:xlrd2="http://schemas.microsoft.com/office/spreadsheetml/2017/richdata2" ref="A2:C981">
    <sortCondition ref="A1:A98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CAROLINE ACEN</dc:creator>
  <cp:lastModifiedBy>CAROLINE ACEN</cp:lastModifiedBy>
  <dcterms:created xsi:type="dcterms:W3CDTF">2025-07-18T17:28:50Z</dcterms:created>
  <dcterms:modified xsi:type="dcterms:W3CDTF">2025-08-20T04:05:23Z</dcterms:modified>
</cp:coreProperties>
</file>