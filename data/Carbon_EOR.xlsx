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345500-1716-4750-9250-7FE9D1311EA7}" xr6:coauthVersionLast="47" xr6:coauthVersionMax="47" xr10:uidLastSave="{00000000-0000-0000-0000-000000000000}"/>
  <bookViews>
    <workbookView xWindow="35280" yWindow="705" windowWidth="17250" windowHeight="10320" xr2:uid="{1C3BA7FD-91E3-44D3-924A-95ACC453F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1" l="1"/>
  <c r="AC32" i="1"/>
  <c r="AB32" i="1"/>
  <c r="AA32" i="1"/>
  <c r="Z32" i="1"/>
  <c r="Y32" i="1"/>
  <c r="AC31" i="1"/>
  <c r="AB31" i="1"/>
  <c r="AA31" i="1"/>
  <c r="Z31" i="1"/>
  <c r="Y31" i="1"/>
  <c r="AC30" i="1"/>
  <c r="AB30" i="1"/>
  <c r="AA30" i="1"/>
  <c r="Z30" i="1"/>
  <c r="Y30" i="1"/>
  <c r="AC29" i="1"/>
  <c r="AB29" i="1"/>
  <c r="AA29" i="1"/>
  <c r="Z29" i="1"/>
  <c r="Y29" i="1"/>
  <c r="AC28" i="1"/>
  <c r="AB28" i="1"/>
  <c r="AA28" i="1"/>
  <c r="Z28" i="1"/>
  <c r="Y28" i="1"/>
  <c r="AC27" i="1"/>
  <c r="AB27" i="1"/>
  <c r="AA27" i="1"/>
  <c r="Z27" i="1"/>
  <c r="Y27" i="1"/>
  <c r="AC26" i="1"/>
  <c r="AB26" i="1"/>
  <c r="AA26" i="1"/>
  <c r="Z26" i="1"/>
  <c r="Y26" i="1"/>
  <c r="AC25" i="1"/>
  <c r="AB25" i="1"/>
  <c r="AA25" i="1"/>
  <c r="Z25" i="1"/>
  <c r="Y25" i="1"/>
  <c r="AC24" i="1"/>
  <c r="AB24" i="1"/>
  <c r="AA24" i="1"/>
  <c r="Z24" i="1"/>
  <c r="Y24" i="1"/>
  <c r="AC23" i="1"/>
  <c r="AB23" i="1"/>
  <c r="AA23" i="1"/>
  <c r="Z23" i="1"/>
  <c r="Y23" i="1"/>
  <c r="AC22" i="1"/>
  <c r="AB22" i="1"/>
  <c r="AA22" i="1"/>
  <c r="Z22" i="1"/>
  <c r="Y22" i="1"/>
  <c r="AC21" i="1"/>
  <c r="AB21" i="1"/>
  <c r="AA21" i="1"/>
  <c r="Z21" i="1"/>
  <c r="Y21" i="1"/>
  <c r="AC20" i="1"/>
  <c r="AB20" i="1"/>
  <c r="AA20" i="1"/>
  <c r="Z20" i="1"/>
  <c r="Y20" i="1"/>
  <c r="AC19" i="1"/>
  <c r="AB19" i="1"/>
  <c r="AA19" i="1"/>
  <c r="Z19" i="1"/>
  <c r="Y19" i="1"/>
  <c r="AC18" i="1"/>
  <c r="AB18" i="1"/>
  <c r="AA18" i="1"/>
  <c r="Z18" i="1"/>
  <c r="Y18" i="1"/>
  <c r="AC17" i="1"/>
  <c r="AB17" i="1"/>
  <c r="AA17" i="1"/>
  <c r="Z17" i="1"/>
  <c r="Y17" i="1"/>
  <c r="AC16" i="1"/>
  <c r="AB16" i="1"/>
  <c r="AA16" i="1"/>
  <c r="Z16" i="1"/>
  <c r="Y16" i="1"/>
  <c r="AC15" i="1"/>
  <c r="AB15" i="1"/>
  <c r="AA15" i="1"/>
  <c r="Z15" i="1"/>
  <c r="Y15" i="1"/>
  <c r="AC14" i="1"/>
  <c r="AB14" i="1"/>
  <c r="AA14" i="1"/>
  <c r="Z14" i="1"/>
  <c r="Y14" i="1"/>
  <c r="AC13" i="1"/>
  <c r="AB13" i="1"/>
  <c r="AA13" i="1"/>
  <c r="Z13" i="1"/>
  <c r="Y13" i="1"/>
  <c r="AC12" i="1"/>
  <c r="AB12" i="1"/>
  <c r="AA12" i="1"/>
  <c r="Z12" i="1"/>
  <c r="Y12" i="1"/>
  <c r="AC11" i="1"/>
  <c r="AB11" i="1"/>
  <c r="AA11" i="1"/>
  <c r="Z11" i="1"/>
  <c r="Y11" i="1"/>
  <c r="AC10" i="1"/>
  <c r="AB10" i="1"/>
  <c r="AA10" i="1"/>
  <c r="Z10" i="1"/>
  <c r="Y10" i="1"/>
  <c r="AC9" i="1"/>
  <c r="AB9" i="1"/>
  <c r="AA9" i="1"/>
  <c r="Z9" i="1"/>
  <c r="Y9" i="1"/>
  <c r="AC8" i="1"/>
  <c r="AB8" i="1"/>
  <c r="AA8" i="1"/>
  <c r="Z8" i="1"/>
  <c r="Y8" i="1"/>
  <c r="AC7" i="1"/>
  <c r="AB7" i="1"/>
  <c r="AA7" i="1"/>
  <c r="Z7" i="1"/>
  <c r="Y7" i="1"/>
  <c r="AC6" i="1"/>
  <c r="AB6" i="1"/>
  <c r="AA6" i="1"/>
  <c r="Z6" i="1"/>
  <c r="Y6" i="1"/>
  <c r="AC5" i="1"/>
  <c r="AB5" i="1"/>
  <c r="AA5" i="1"/>
  <c r="Z5" i="1"/>
  <c r="Y5" i="1"/>
  <c r="AC4" i="1"/>
  <c r="AB4" i="1"/>
  <c r="AA4" i="1"/>
  <c r="Z4" i="1"/>
  <c r="Y4" i="1"/>
  <c r="AC3" i="1"/>
  <c r="AB3" i="1"/>
  <c r="AA3" i="1"/>
  <c r="Z3" i="1"/>
  <c r="Y3" i="1"/>
  <c r="AC2" i="1"/>
  <c r="AB2" i="1"/>
  <c r="AA2" i="1"/>
  <c r="Z2" i="1"/>
  <c r="Y2" i="1"/>
  <c r="X3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R27" i="1"/>
  <c r="V18" i="1"/>
  <c r="S18" i="1"/>
  <c r="R16" i="1"/>
  <c r="V13" i="1"/>
  <c r="R13" i="1"/>
  <c r="S11" i="1"/>
  <c r="S10" i="1"/>
  <c r="R10" i="1"/>
  <c r="T8" i="1"/>
  <c r="L8" i="1"/>
  <c r="U8" i="1"/>
  <c r="S8" i="1"/>
  <c r="V3" i="1"/>
  <c r="R3" i="1"/>
  <c r="Q3" i="1"/>
  <c r="V2" i="1"/>
  <c r="U2" i="1"/>
  <c r="T2" i="1"/>
  <c r="S2" i="1"/>
  <c r="R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2" i="1"/>
  <c r="V31" i="1" l="1"/>
  <c r="V32" i="1"/>
  <c r="V30" i="1"/>
  <c r="U31" i="1"/>
  <c r="U32" i="1"/>
  <c r="U30" i="1"/>
  <c r="T31" i="1"/>
  <c r="T32" i="1"/>
  <c r="T30" i="1"/>
  <c r="S31" i="1"/>
  <c r="S32" i="1"/>
  <c r="S30" i="1"/>
  <c r="R32" i="1"/>
  <c r="R31" i="1"/>
  <c r="R30" i="1"/>
  <c r="V29" i="1"/>
  <c r="U29" i="1"/>
  <c r="T29" i="1"/>
  <c r="S29" i="1"/>
  <c r="R29" i="1"/>
  <c r="V28" i="1"/>
  <c r="U28" i="1"/>
  <c r="T28" i="1"/>
  <c r="S28" i="1"/>
  <c r="R28" i="1"/>
  <c r="V27" i="1"/>
  <c r="U27" i="1"/>
  <c r="T27" i="1"/>
  <c r="S27" i="1"/>
  <c r="V26" i="1"/>
  <c r="U26" i="1"/>
  <c r="T26" i="1"/>
  <c r="S26" i="1"/>
  <c r="R26" i="1"/>
  <c r="V25" i="1"/>
  <c r="U25" i="1"/>
  <c r="T25" i="1"/>
  <c r="S25" i="1"/>
  <c r="R25" i="1"/>
  <c r="V24" i="1"/>
  <c r="U24" i="1"/>
  <c r="T24" i="1"/>
  <c r="S24" i="1"/>
  <c r="R24" i="1"/>
  <c r="V23" i="1"/>
  <c r="U23" i="1"/>
  <c r="T23" i="1"/>
  <c r="S23" i="1"/>
  <c r="R23" i="1"/>
  <c r="V22" i="1"/>
  <c r="U22" i="1"/>
  <c r="T22" i="1"/>
  <c r="S22" i="1"/>
  <c r="R22" i="1"/>
  <c r="V21" i="1"/>
  <c r="U21" i="1"/>
  <c r="T21" i="1"/>
  <c r="S21" i="1"/>
  <c r="R21" i="1"/>
  <c r="V20" i="1"/>
  <c r="U20" i="1"/>
  <c r="T20" i="1"/>
  <c r="S20" i="1"/>
  <c r="R20" i="1"/>
  <c r="V19" i="1"/>
  <c r="U19" i="1"/>
  <c r="T19" i="1"/>
  <c r="S19" i="1"/>
  <c r="R19" i="1"/>
  <c r="U18" i="1"/>
  <c r="T18" i="1"/>
  <c r="R18" i="1"/>
  <c r="V17" i="1"/>
  <c r="U17" i="1"/>
  <c r="T17" i="1"/>
  <c r="S17" i="1"/>
  <c r="R17" i="1"/>
  <c r="V16" i="1"/>
  <c r="U16" i="1"/>
  <c r="T16" i="1"/>
  <c r="S16" i="1"/>
  <c r="V15" i="1"/>
  <c r="U15" i="1"/>
  <c r="T15" i="1"/>
  <c r="S15" i="1"/>
  <c r="R15" i="1"/>
  <c r="V14" i="1"/>
  <c r="U14" i="1"/>
  <c r="T14" i="1"/>
  <c r="S14" i="1"/>
  <c r="R14" i="1"/>
  <c r="U13" i="1"/>
  <c r="T13" i="1"/>
  <c r="S13" i="1"/>
  <c r="V12" i="1"/>
  <c r="U12" i="1"/>
  <c r="T12" i="1"/>
  <c r="S12" i="1"/>
  <c r="R12" i="1"/>
  <c r="V11" i="1"/>
  <c r="U11" i="1"/>
  <c r="T11" i="1"/>
  <c r="R11" i="1"/>
  <c r="V10" i="1"/>
  <c r="U10" i="1"/>
  <c r="T10" i="1"/>
  <c r="V8" i="1"/>
  <c r="R9" i="1"/>
  <c r="R8" i="1"/>
  <c r="V6" i="1"/>
  <c r="V7" i="1"/>
  <c r="U6" i="1"/>
  <c r="U7" i="1"/>
  <c r="U5" i="1"/>
  <c r="T6" i="1"/>
  <c r="T7" i="1"/>
  <c r="T5" i="1"/>
  <c r="S6" i="1"/>
  <c r="S7" i="1"/>
  <c r="S5" i="1"/>
  <c r="R6" i="1"/>
  <c r="R7" i="1"/>
  <c r="R5" i="1"/>
  <c r="U3" i="1"/>
  <c r="T3" i="1"/>
  <c r="S3" i="1"/>
  <c r="V9" i="1"/>
  <c r="U9" i="1"/>
  <c r="V4" i="1"/>
  <c r="U4" i="1"/>
  <c r="T9" i="1"/>
  <c r="T4" i="1"/>
  <c r="S9" i="1"/>
  <c r="S4" i="1"/>
  <c r="R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L3" i="1"/>
  <c r="L4" i="1"/>
  <c r="L5" i="1"/>
  <c r="L6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</calcChain>
</file>

<file path=xl/sharedStrings.xml><?xml version="1.0" encoding="utf-8"?>
<sst xmlns="http://schemas.openxmlformats.org/spreadsheetml/2006/main" count="57" uniqueCount="57">
  <si>
    <t>Province name</t>
  </si>
  <si>
    <t>Anhui</t>
  </si>
  <si>
    <t>Beijing</t>
  </si>
  <si>
    <t>Fujian</t>
  </si>
  <si>
    <t>Gansu</t>
  </si>
  <si>
    <t>Guangdong</t>
  </si>
  <si>
    <t>Guizhou</t>
  </si>
  <si>
    <t>Hainan</t>
  </si>
  <si>
    <t>Hebei</t>
  </si>
  <si>
    <t>Henan</t>
  </si>
  <si>
    <t>Heilongjiang</t>
  </si>
  <si>
    <t>Hubei</t>
  </si>
  <si>
    <t>Hunan</t>
  </si>
  <si>
    <t>Jilin</t>
  </si>
  <si>
    <t>Jiangsu</t>
  </si>
  <si>
    <t>Jiangxi</t>
  </si>
  <si>
    <t>Liaoning</t>
  </si>
  <si>
    <t>Qinghai</t>
  </si>
  <si>
    <t>Shandong</t>
  </si>
  <si>
    <t>Shanxi</t>
  </si>
  <si>
    <t>Shaanxi</t>
  </si>
  <si>
    <t>Shanghai</t>
  </si>
  <si>
    <t>Sichuan</t>
  </si>
  <si>
    <t>Tianjin</t>
  </si>
  <si>
    <t>Yunnan</t>
  </si>
  <si>
    <t>Zhejiang</t>
  </si>
  <si>
    <t>Chongqing</t>
  </si>
  <si>
    <t>Storage potential-EOR (Mt)</t>
  </si>
  <si>
    <t>Injection rate capability-EOR (Mt/a) (Average)</t>
  </si>
  <si>
    <t>Guangxi</t>
  </si>
  <si>
    <t>Inner Mongolia</t>
  </si>
  <si>
    <t>Ningxia</t>
  </si>
  <si>
    <t xml:space="preserve">Tibet </t>
  </si>
  <si>
    <t xml:space="preserve">Xinjiang </t>
  </si>
  <si>
    <t>CO2_2025</t>
  </si>
  <si>
    <t>CO2_2030</t>
  </si>
  <si>
    <t>CO2_2035</t>
  </si>
  <si>
    <t>CO2_2040</t>
  </si>
  <si>
    <t>CO2_2045</t>
  </si>
  <si>
    <t>CO2_2050</t>
  </si>
  <si>
    <t>S_2030</t>
  </si>
  <si>
    <t>S_2035</t>
  </si>
  <si>
    <t>S_2040</t>
  </si>
  <si>
    <t>S_2045</t>
  </si>
  <si>
    <t>S_2050</t>
  </si>
  <si>
    <t>C_2025</t>
  </si>
  <si>
    <t>C_2030</t>
  </si>
  <si>
    <t>C_2035</t>
  </si>
  <si>
    <t>C_2040</t>
  </si>
  <si>
    <t>C_2045</t>
  </si>
  <si>
    <t>C_2050</t>
  </si>
  <si>
    <t>P_2025</t>
  </si>
  <si>
    <t>P_2030</t>
  </si>
  <si>
    <t>P_2035</t>
  </si>
  <si>
    <t>P_2040</t>
  </si>
  <si>
    <t>P_2045</t>
  </si>
  <si>
    <t>P_2050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</si>
</sst>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vertical="center"/>
    </xf>
    <xf numFmtId="0" fontId="0" fillId="3" borderId="0" xfId="0" applyFill="1"/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3EB2-1021-4556-B06F-770418FA2C22}">
  <dimension ref="A1:AC32"/>
  <sheetViews>
    <sheetView tabSelected="1" workbookViewId="0">
      <selection activeCell="C12" sqref="C12"/>
    </sheetView>
  </sheetViews>
  <sheetFormatPr defaultRowHeight="14.5" x14ac:dyDescent="0.35"/>
  <cols>
    <col min="1" max="1" width="19.54296875" style="4" customWidth="1"/>
    <col min="2" max="2" width="27.54296875" style="4" customWidth="1"/>
    <col min="3" max="3" width="41.54296875" style="4" customWidth="1"/>
    <col min="4" max="4" width="12.1796875" customWidth="1"/>
    <col min="5" max="5" width="11.26953125" customWidth="1"/>
    <col min="6" max="6" width="11.1796875" customWidth="1"/>
    <col min="7" max="7" width="11.26953125" customWidth="1"/>
    <col min="8" max="8" width="11" customWidth="1"/>
    <col min="9" max="9" width="10.54296875" customWidth="1"/>
    <col min="10" max="10" width="9.1796875" style="5"/>
    <col min="16" max="16" width="9.1796875" style="5"/>
    <col min="22" max="22" width="8.7265625" customWidth="1"/>
  </cols>
  <sheetData>
    <row r="1" spans="1:29" x14ac:dyDescent="0.35">
      <c r="A1" s="1" t="s">
        <v>0</v>
      </c>
      <c r="B1" s="1" t="s">
        <v>27</v>
      </c>
      <c r="C1" s="1" t="s">
        <v>28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</row>
    <row r="2" spans="1:29" s="5" customFormat="1" x14ac:dyDescent="0.35">
      <c r="A2" s="3" t="s">
        <v>1</v>
      </c>
      <c r="B2" s="3">
        <v>5.04</v>
      </c>
      <c r="C2" s="3">
        <v>14.3</v>
      </c>
      <c r="D2" s="8">
        <v>4378.58</v>
      </c>
      <c r="E2" s="3">
        <v>3689.1930000000002</v>
      </c>
      <c r="F2" s="3">
        <v>3178.9029999999998</v>
      </c>
      <c r="G2" s="3">
        <v>1914.627</v>
      </c>
      <c r="H2" s="3">
        <v>407.6902</v>
      </c>
      <c r="I2" s="3">
        <v>234.5317</v>
      </c>
      <c r="K2" s="5">
        <f>B2-(C2*(2030-2025))</f>
        <v>-66.459999999999994</v>
      </c>
      <c r="L2" s="5">
        <f>B2-(C2*(2035-2025))</f>
        <v>-137.96</v>
      </c>
      <c r="M2" s="5">
        <f>B2-(C2*(2040-2025))</f>
        <v>-209.46</v>
      </c>
      <c r="N2" s="5">
        <f>B2-(C2*(2045-2025))</f>
        <v>-280.95999999999998</v>
      </c>
      <c r="O2" s="5">
        <f>B2-(C2*(2050-2025))</f>
        <v>-352.46</v>
      </c>
      <c r="Q2" s="5">
        <f>(MIN(B2,C2)/(D2))*100</f>
        <v>0.11510581055958781</v>
      </c>
      <c r="R2" s="5">
        <f>(B2/(E2))*100</f>
        <v>0.13661524349634188</v>
      </c>
      <c r="S2" s="5">
        <f>(B2/(F2))*100</f>
        <v>0.15854525916644829</v>
      </c>
      <c r="T2" s="5">
        <f>(B2/(G2))*100</f>
        <v>0.26323665131641832</v>
      </c>
      <c r="U2" s="5">
        <f>(B2/(H2))*100</f>
        <v>1.2362328061846961</v>
      </c>
      <c r="V2" s="5">
        <f>(B2/(I2))*100</f>
        <v>2.1489632318360377</v>
      </c>
      <c r="X2" s="5">
        <f>B2</f>
        <v>5.04</v>
      </c>
      <c r="Y2" s="5">
        <f>B2-(C2*(2030-2025))</f>
        <v>-66.459999999999994</v>
      </c>
      <c r="Z2" s="5">
        <f>B2-(C2*(2035-2025))</f>
        <v>-137.96</v>
      </c>
      <c r="AA2" s="4">
        <f>B2-(C2*(2040-2025))</f>
        <v>-209.46</v>
      </c>
      <c r="AB2" s="4">
        <f>B2-(C2*(2045-2025))</f>
        <v>-280.95999999999998</v>
      </c>
      <c r="AC2" s="4">
        <f>B2-(C2*(2050-2025))</f>
        <v>-352.46</v>
      </c>
    </row>
    <row r="3" spans="1:29" s="5" customFormat="1" x14ac:dyDescent="0.35">
      <c r="A3" s="3" t="s">
        <v>2</v>
      </c>
      <c r="B3" s="3">
        <v>0.94</v>
      </c>
      <c r="C3" s="3">
        <v>26.66</v>
      </c>
      <c r="D3" s="7">
        <v>1971.05</v>
      </c>
      <c r="E3" s="3">
        <v>1749.212</v>
      </c>
      <c r="F3" s="3">
        <v>1599.127</v>
      </c>
      <c r="G3" s="3">
        <v>1016.713</v>
      </c>
      <c r="H3" s="3">
        <v>516.47379999999998</v>
      </c>
      <c r="I3" s="3">
        <v>304.32049999999998</v>
      </c>
      <c r="K3" s="5">
        <f t="shared" ref="K3:K32" si="0">B3-(C3*(2030-2025))</f>
        <v>-132.36000000000001</v>
      </c>
      <c r="L3" s="5">
        <f t="shared" ref="L3:L32" si="1">B3-(C3*(2035-2025))</f>
        <v>-265.66000000000003</v>
      </c>
      <c r="M3" s="5">
        <f t="shared" ref="M3:M32" si="2">B3-(C3*(2040-2025))</f>
        <v>-398.96</v>
      </c>
      <c r="N3" s="5">
        <f t="shared" ref="N3:N32" si="3">B3-(C3*(2045-2025))</f>
        <v>-532.26</v>
      </c>
      <c r="O3" s="5">
        <f t="shared" ref="O3:O32" si="4">B3-(C3*(2050-2025))</f>
        <v>-665.56</v>
      </c>
      <c r="Q3" s="5">
        <f>(MIN(B3,C3)/(D3))*100</f>
        <v>4.7690317343547853E-2</v>
      </c>
      <c r="R3" s="5">
        <f>(B3/(E3))*100</f>
        <v>5.3738483385661659E-2</v>
      </c>
      <c r="S3" s="5">
        <f>(B3/(F3))*100</f>
        <v>5.878207296856347E-2</v>
      </c>
      <c r="T3" s="5">
        <f>(B3/(G3))*100</f>
        <v>9.2454802879475328E-2</v>
      </c>
      <c r="U3" s="5">
        <f>(B3/(H3))*100</f>
        <v>0.18200342398781894</v>
      </c>
      <c r="V3" s="5">
        <f>(B3/(I3))*100</f>
        <v>0.30888487630639411</v>
      </c>
      <c r="X3" s="5">
        <f>B3</f>
        <v>0.94</v>
      </c>
      <c r="Y3" s="5">
        <f>B3-(C3*(2030-2025))</f>
        <v>-132.36000000000001</v>
      </c>
      <c r="Z3" s="5">
        <f>B3-(C3*(2035-2025))</f>
        <v>-265.66000000000003</v>
      </c>
      <c r="AA3" s="4">
        <f>B3-(C3*(2040-2025))</f>
        <v>-398.96</v>
      </c>
      <c r="AB3" s="4">
        <f>B3-(C3*(2045-2025))</f>
        <v>-532.26</v>
      </c>
      <c r="AC3" s="4">
        <f>B3-(C3*(2050-2025))</f>
        <v>-665.56</v>
      </c>
    </row>
    <row r="4" spans="1:29" x14ac:dyDescent="0.35">
      <c r="A4" s="2" t="s">
        <v>3</v>
      </c>
      <c r="B4" s="2">
        <v>0</v>
      </c>
      <c r="C4" s="2">
        <v>0</v>
      </c>
      <c r="D4" s="6">
        <v>2457.08</v>
      </c>
      <c r="E4" s="2">
        <v>2572.0740000000001</v>
      </c>
      <c r="F4" s="2">
        <v>1816.4069999999999</v>
      </c>
      <c r="G4" s="2">
        <v>852.12289999999996</v>
      </c>
      <c r="H4" s="2">
        <v>357.34199999999998</v>
      </c>
      <c r="I4" s="2">
        <v>201.02010000000001</v>
      </c>
      <c r="K4">
        <f t="shared" si="0"/>
        <v>0</v>
      </c>
      <c r="L4">
        <f t="shared" si="1"/>
        <v>0</v>
      </c>
      <c r="M4">
        <f t="shared" si="2"/>
        <v>0</v>
      </c>
      <c r="N4">
        <f t="shared" si="3"/>
        <v>0</v>
      </c>
      <c r="O4">
        <f t="shared" si="4"/>
        <v>0</v>
      </c>
      <c r="Q4" s="5">
        <f t="shared" ref="Q4:Q32" si="5">(MIN(B4,C4)/(D4))*100</f>
        <v>0</v>
      </c>
      <c r="R4">
        <f>(C4*(2030-2025)/(E4/1000))*100</f>
        <v>0</v>
      </c>
      <c r="S4">
        <f>((C4*(2035-2025))/(F4/1000))*100</f>
        <v>0</v>
      </c>
      <c r="T4">
        <f>((C4*(2040-2025))/(G4/1000))*100</f>
        <v>0</v>
      </c>
      <c r="U4">
        <f>((C4*(2045-2025))/(H4/1000))*100</f>
        <v>0</v>
      </c>
      <c r="V4">
        <f>((C4*(2050-2025))/(I4/1000))*100</f>
        <v>0</v>
      </c>
      <c r="X4" s="5">
        <f>B4</f>
        <v>0</v>
      </c>
      <c r="Y4" s="5">
        <f>B4-(C4*(2030-2025))</f>
        <v>0</v>
      </c>
      <c r="Z4" s="5">
        <f>B4-(C4*(2035-2025))</f>
        <v>0</v>
      </c>
      <c r="AA4" s="4">
        <f>B4-(C4*(2040-2025))</f>
        <v>0</v>
      </c>
      <c r="AB4" s="4">
        <f>B4-(C4*(2045-2025))</f>
        <v>0</v>
      </c>
      <c r="AC4" s="4">
        <f>B4-(C4*(2050-2025))</f>
        <v>0</v>
      </c>
    </row>
    <row r="5" spans="1:29" x14ac:dyDescent="0.35">
      <c r="A5" s="2" t="s">
        <v>4</v>
      </c>
      <c r="B5" s="2">
        <v>353.38</v>
      </c>
      <c r="C5" s="2">
        <v>1.64</v>
      </c>
      <c r="D5" s="6">
        <v>3074.12</v>
      </c>
      <c r="E5" s="2">
        <v>2009.136</v>
      </c>
      <c r="F5" s="2">
        <v>821.88199999999995</v>
      </c>
      <c r="G5" s="2">
        <v>344.5652</v>
      </c>
      <c r="H5" s="2">
        <v>335.3974</v>
      </c>
      <c r="I5" s="2">
        <v>269.32260000000002</v>
      </c>
      <c r="K5">
        <f t="shared" si="0"/>
        <v>345.18</v>
      </c>
      <c r="L5">
        <f t="shared" si="1"/>
        <v>336.98</v>
      </c>
      <c r="M5">
        <f t="shared" si="2"/>
        <v>328.78</v>
      </c>
      <c r="N5">
        <f t="shared" si="3"/>
        <v>320.58</v>
      </c>
      <c r="O5">
        <f t="shared" si="4"/>
        <v>312.38</v>
      </c>
      <c r="Q5" s="5">
        <f t="shared" si="5"/>
        <v>5.3348600575123931E-2</v>
      </c>
      <c r="R5">
        <f>(C5*(2030-2025)/(E5))*100</f>
        <v>0.40813563641286599</v>
      </c>
      <c r="S5">
        <f>((C5*(2035-2025))/(F5))*100</f>
        <v>1.9954202671429717</v>
      </c>
      <c r="T5">
        <f>((C5*(2040-2025))/(G5))*100</f>
        <v>7.1394325370060576</v>
      </c>
      <c r="U5">
        <f>((C5*(2045-2025))/(H5))*100</f>
        <v>9.7794437285441091</v>
      </c>
      <c r="V5">
        <f>((C5*(2050-2025))/(I5))*100</f>
        <v>15.223378951487918</v>
      </c>
      <c r="X5" s="5">
        <f>B5</f>
        <v>353.38</v>
      </c>
      <c r="Y5" s="5">
        <f>B5-(C5*(2030-2025))</f>
        <v>345.18</v>
      </c>
      <c r="Z5" s="5">
        <f>B5-(C5*(2035-2025))</f>
        <v>336.98</v>
      </c>
      <c r="AA5" s="4">
        <f>B5-(C5*(2040-2025))</f>
        <v>328.78</v>
      </c>
      <c r="AB5" s="4">
        <f>B5-(C5*(2045-2025))</f>
        <v>320.58</v>
      </c>
      <c r="AC5" s="4">
        <f>B5-(C5*(2050-2025))</f>
        <v>312.38</v>
      </c>
    </row>
    <row r="6" spans="1:29" x14ac:dyDescent="0.35">
      <c r="A6" s="2" t="s">
        <v>5</v>
      </c>
      <c r="B6" s="2">
        <v>0</v>
      </c>
      <c r="C6" s="2">
        <v>0</v>
      </c>
      <c r="D6" s="6">
        <v>2348.14</v>
      </c>
      <c r="E6" s="2">
        <v>2291.625</v>
      </c>
      <c r="F6" s="2">
        <v>1376.8979999999999</v>
      </c>
      <c r="G6" s="2">
        <v>888.69359999999995</v>
      </c>
      <c r="H6" s="2">
        <v>312.2568</v>
      </c>
      <c r="I6" s="2">
        <v>123.547</v>
      </c>
      <c r="K6">
        <f t="shared" si="0"/>
        <v>0</v>
      </c>
      <c r="L6">
        <f t="shared" si="1"/>
        <v>0</v>
      </c>
      <c r="M6">
        <f t="shared" si="2"/>
        <v>0</v>
      </c>
      <c r="N6">
        <f t="shared" si="3"/>
        <v>0</v>
      </c>
      <c r="O6">
        <f t="shared" si="4"/>
        <v>0</v>
      </c>
      <c r="Q6" s="5">
        <f t="shared" si="5"/>
        <v>0</v>
      </c>
      <c r="R6">
        <f t="shared" ref="R6:R7" si="6">(C6*(2030-2025)/(E6))*100</f>
        <v>0</v>
      </c>
      <c r="S6">
        <f t="shared" ref="S6:S7" si="7">((C6*(2035-2025))/(F6))*100</f>
        <v>0</v>
      </c>
      <c r="T6">
        <f t="shared" ref="T6:T7" si="8">((C6*(2040-2025))/(G6))*100</f>
        <v>0</v>
      </c>
      <c r="U6">
        <f t="shared" ref="U6:U7" si="9">((C6*(2045-2025))/(H6))*100</f>
        <v>0</v>
      </c>
      <c r="V6">
        <f t="shared" ref="V6:V7" si="10">((C6*(2050-2025))/(I6))*100</f>
        <v>0</v>
      </c>
      <c r="X6" s="5">
        <f>B6</f>
        <v>0</v>
      </c>
      <c r="Y6" s="5">
        <f>B6-(C6*(2030-2025))</f>
        <v>0</v>
      </c>
      <c r="Z6" s="5">
        <f>B6-(C6*(2035-2025))</f>
        <v>0</v>
      </c>
      <c r="AA6" s="4">
        <f>B6-(C6*(2040-2025))</f>
        <v>0</v>
      </c>
      <c r="AB6" s="4">
        <f>B6-(C6*(2045-2025))</f>
        <v>0</v>
      </c>
      <c r="AC6" s="4">
        <f>B6-(C6*(2050-2025))</f>
        <v>0</v>
      </c>
    </row>
    <row r="7" spans="1:29" x14ac:dyDescent="0.35">
      <c r="A7" s="2" t="s">
        <v>29</v>
      </c>
      <c r="B7" s="2">
        <v>0</v>
      </c>
      <c r="C7" s="2">
        <v>0</v>
      </c>
      <c r="D7" s="6">
        <v>2476.31</v>
      </c>
      <c r="E7" s="2">
        <v>2897.5929999999998</v>
      </c>
      <c r="F7" s="2">
        <v>2146.759</v>
      </c>
      <c r="G7" s="2">
        <v>1597.4670000000001</v>
      </c>
      <c r="H7" s="2">
        <v>542.27459999999996</v>
      </c>
      <c r="I7" s="2">
        <v>210.9802</v>
      </c>
      <c r="K7">
        <f t="shared" si="0"/>
        <v>0</v>
      </c>
      <c r="L7">
        <f t="shared" si="1"/>
        <v>0</v>
      </c>
      <c r="M7">
        <f t="shared" si="2"/>
        <v>0</v>
      </c>
      <c r="N7">
        <f t="shared" si="3"/>
        <v>0</v>
      </c>
      <c r="O7">
        <f t="shared" si="4"/>
        <v>0</v>
      </c>
      <c r="Q7" s="5">
        <f t="shared" si="5"/>
        <v>0</v>
      </c>
      <c r="R7">
        <f t="shared" si="6"/>
        <v>0</v>
      </c>
      <c r="S7">
        <f t="shared" si="7"/>
        <v>0</v>
      </c>
      <c r="T7">
        <f t="shared" si="8"/>
        <v>0</v>
      </c>
      <c r="U7">
        <f t="shared" si="9"/>
        <v>0</v>
      </c>
      <c r="V7">
        <f t="shared" si="10"/>
        <v>0</v>
      </c>
      <c r="X7" s="5">
        <f>B7</f>
        <v>0</v>
      </c>
      <c r="Y7" s="5">
        <f>B7-(C7*(2030-2025))</f>
        <v>0</v>
      </c>
      <c r="Z7" s="5">
        <f>B7-(C7*(2035-2025))</f>
        <v>0</v>
      </c>
      <c r="AA7" s="4">
        <f>B7-(C7*(2040-2025))</f>
        <v>0</v>
      </c>
      <c r="AB7" s="4">
        <f>B7-(C7*(2045-2025))</f>
        <v>0</v>
      </c>
      <c r="AC7" s="4">
        <f>B7-(C7*(2050-2025))</f>
        <v>0</v>
      </c>
    </row>
    <row r="8" spans="1:29" x14ac:dyDescent="0.35">
      <c r="A8" s="2" t="s">
        <v>6</v>
      </c>
      <c r="B8" s="2">
        <v>0.11</v>
      </c>
      <c r="C8" s="2">
        <v>0.01</v>
      </c>
      <c r="D8" s="6">
        <v>2482.21</v>
      </c>
      <c r="E8" s="2">
        <v>3619.174</v>
      </c>
      <c r="F8" s="2">
        <v>2765.4589999999998</v>
      </c>
      <c r="G8" s="2">
        <v>1845.836</v>
      </c>
      <c r="H8" s="2">
        <v>1135.347</v>
      </c>
      <c r="I8" s="2">
        <v>995.2192</v>
      </c>
      <c r="K8">
        <f t="shared" si="0"/>
        <v>0.06</v>
      </c>
      <c r="L8">
        <f t="shared" si="1"/>
        <v>9.999999999999995E-3</v>
      </c>
      <c r="M8" s="5">
        <f t="shared" si="2"/>
        <v>-3.9999999999999994E-2</v>
      </c>
      <c r="N8" s="5">
        <f t="shared" si="3"/>
        <v>-9.0000000000000011E-2</v>
      </c>
      <c r="O8" s="5">
        <f t="shared" si="4"/>
        <v>-0.14000000000000001</v>
      </c>
      <c r="Q8" s="5">
        <f t="shared" si="5"/>
        <v>4.0286680014986649E-4</v>
      </c>
      <c r="R8">
        <f>(C8*(2030-2025)/(E8))*100</f>
        <v>1.3815307028620344E-3</v>
      </c>
      <c r="S8">
        <f>((C8*(2035-2025))/(F8))*100</f>
        <v>3.6160362529330577E-3</v>
      </c>
      <c r="T8">
        <f>(B8/(G8))*100</f>
        <v>5.9593593363657443E-3</v>
      </c>
      <c r="U8">
        <f>(B8/(H8))*100</f>
        <v>9.6886678698230588E-3</v>
      </c>
      <c r="V8">
        <f>(B8/(I8))*100</f>
        <v>1.1052841424281203E-2</v>
      </c>
      <c r="X8" s="5">
        <f>B8</f>
        <v>0.11</v>
      </c>
      <c r="Y8" s="5">
        <f>B8-(C8*(2030-2025))</f>
        <v>0.06</v>
      </c>
      <c r="Z8" s="5">
        <f>B8-(C8*(2035-2025))</f>
        <v>9.999999999999995E-3</v>
      </c>
      <c r="AA8" s="4">
        <f>B8-(C8*(2040-2025))</f>
        <v>-3.9999999999999994E-2</v>
      </c>
      <c r="AB8" s="4">
        <f>B8-(C8*(2045-2025))</f>
        <v>-9.0000000000000011E-2</v>
      </c>
      <c r="AC8" s="4">
        <f>B8-(C8*(2050-2025))</f>
        <v>-0.14000000000000001</v>
      </c>
    </row>
    <row r="9" spans="1:29" x14ac:dyDescent="0.35">
      <c r="A9" s="2" t="s">
        <v>7</v>
      </c>
      <c r="B9" s="2">
        <v>0</v>
      </c>
      <c r="C9" s="2">
        <v>0</v>
      </c>
      <c r="D9" s="6">
        <v>963.44500000000005</v>
      </c>
      <c r="E9" s="2">
        <v>498.30070000000001</v>
      </c>
      <c r="F9" s="2">
        <v>276.93029999999999</v>
      </c>
      <c r="G9" s="2">
        <v>150.03800000000001</v>
      </c>
      <c r="H9" s="2">
        <v>135.25579999999999</v>
      </c>
      <c r="I9" s="2">
        <v>113.2484</v>
      </c>
      <c r="K9">
        <f t="shared" si="0"/>
        <v>0</v>
      </c>
      <c r="L9">
        <f t="shared" si="1"/>
        <v>0</v>
      </c>
      <c r="M9">
        <f t="shared" si="2"/>
        <v>0</v>
      </c>
      <c r="N9">
        <f t="shared" si="3"/>
        <v>0</v>
      </c>
      <c r="O9">
        <f t="shared" si="4"/>
        <v>0</v>
      </c>
      <c r="Q9" s="5">
        <f t="shared" si="5"/>
        <v>0</v>
      </c>
      <c r="R9">
        <f>(C9*(2030-2025)/(E9))*100</f>
        <v>0</v>
      </c>
      <c r="S9">
        <f t="shared" ref="S9" si="11">((C9*(2035-2025))/(F9/1000))*100</f>
        <v>0</v>
      </c>
      <c r="T9">
        <f>((C9*(2040-2025))/(G9/1000))*100</f>
        <v>0</v>
      </c>
      <c r="U9">
        <f>((C9*(2045-2025))/(H9/1000))*100</f>
        <v>0</v>
      </c>
      <c r="V9">
        <f>((C9*(2050-2025))/(I9/1000))*100</f>
        <v>0</v>
      </c>
      <c r="X9" s="5">
        <f>B9</f>
        <v>0</v>
      </c>
      <c r="Y9" s="5">
        <f>B9-(C9*(2030-2025))</f>
        <v>0</v>
      </c>
      <c r="Z9" s="5">
        <f>B9-(C9*(2035-2025))</f>
        <v>0</v>
      </c>
      <c r="AA9" s="4">
        <f>B9-(C9*(2040-2025))</f>
        <v>0</v>
      </c>
      <c r="AB9" s="4">
        <f>B9-(C9*(2045-2025))</f>
        <v>0</v>
      </c>
      <c r="AC9" s="4">
        <f>B9-(C9*(2050-2025))</f>
        <v>0</v>
      </c>
    </row>
    <row r="10" spans="1:29" x14ac:dyDescent="0.35">
      <c r="A10" s="2" t="s">
        <v>8</v>
      </c>
      <c r="B10" s="2">
        <v>208.36</v>
      </c>
      <c r="C10" s="2">
        <v>27.01</v>
      </c>
      <c r="D10" s="6">
        <v>2785.88</v>
      </c>
      <c r="E10" s="2">
        <v>2927.7489999999998</v>
      </c>
      <c r="F10" s="2">
        <v>2697.6329999999998</v>
      </c>
      <c r="G10" s="2">
        <v>1829.404</v>
      </c>
      <c r="H10" s="2">
        <v>917.54849999999999</v>
      </c>
      <c r="I10" s="2">
        <v>711.31679999999994</v>
      </c>
      <c r="K10">
        <f t="shared" si="0"/>
        <v>73.31</v>
      </c>
      <c r="L10" s="5">
        <f t="shared" si="1"/>
        <v>-61.740000000000009</v>
      </c>
      <c r="M10" s="5">
        <f t="shared" si="2"/>
        <v>-196.79000000000002</v>
      </c>
      <c r="N10" s="5">
        <f t="shared" si="3"/>
        <v>-331.84000000000003</v>
      </c>
      <c r="O10" s="5">
        <f t="shared" si="4"/>
        <v>-466.89</v>
      </c>
      <c r="Q10" s="5">
        <f t="shared" si="5"/>
        <v>0.96953206886154464</v>
      </c>
      <c r="R10">
        <f>(C10*(2030-2025)/(E10))*100</f>
        <v>4.6127588123162209</v>
      </c>
      <c r="S10">
        <f>(B10/(F10))*100</f>
        <v>7.7238082422627556</v>
      </c>
      <c r="T10">
        <f>(B10/(G10))*100</f>
        <v>11.389501717499252</v>
      </c>
      <c r="U10">
        <f>(B10/(H10))*100</f>
        <v>22.708336398566399</v>
      </c>
      <c r="V10">
        <f>(B10/(I10))*100</f>
        <v>29.292152244963148</v>
      </c>
      <c r="X10" s="5">
        <f>B10</f>
        <v>208.36</v>
      </c>
      <c r="Y10" s="5">
        <f>B10-(C10*(2030-2025))</f>
        <v>73.31</v>
      </c>
      <c r="Z10" s="5">
        <f>B10-(C10*(2035-2025))</f>
        <v>-61.740000000000009</v>
      </c>
      <c r="AA10" s="4">
        <f>B10-(C10*(2040-2025))</f>
        <v>-196.79000000000002</v>
      </c>
      <c r="AB10" s="4">
        <f>B10-(C10*(2045-2025))</f>
        <v>-331.84000000000003</v>
      </c>
      <c r="AC10" s="4">
        <f>B10-(C10*(2050-2025))</f>
        <v>-466.89</v>
      </c>
    </row>
    <row r="11" spans="1:29" x14ac:dyDescent="0.35">
      <c r="A11" s="2" t="s">
        <v>9</v>
      </c>
      <c r="B11" s="2">
        <v>182.33</v>
      </c>
      <c r="C11" s="2">
        <v>22.64</v>
      </c>
      <c r="D11" s="6">
        <v>4209.6099999999997</v>
      </c>
      <c r="E11" s="2">
        <v>4483.4250000000002</v>
      </c>
      <c r="F11" s="2">
        <v>3357.8829999999998</v>
      </c>
      <c r="G11" s="2">
        <v>2811.3420000000001</v>
      </c>
      <c r="H11" s="2">
        <v>1501.845</v>
      </c>
      <c r="I11" s="2">
        <v>676.96400000000006</v>
      </c>
      <c r="K11">
        <f t="shared" si="0"/>
        <v>69.13000000000001</v>
      </c>
      <c r="L11" s="5">
        <f t="shared" si="1"/>
        <v>-44.069999999999993</v>
      </c>
      <c r="M11" s="5">
        <f t="shared" si="2"/>
        <v>-157.27000000000001</v>
      </c>
      <c r="N11" s="5">
        <f t="shared" si="3"/>
        <v>-270.47000000000003</v>
      </c>
      <c r="O11" s="5">
        <f t="shared" si="4"/>
        <v>-383.66999999999996</v>
      </c>
      <c r="Q11" s="5">
        <f t="shared" si="5"/>
        <v>0.53781704243385975</v>
      </c>
      <c r="R11">
        <f>(C11*(2030-2025)/(E11))*100</f>
        <v>2.5248554397586664</v>
      </c>
      <c r="S11">
        <f>(B11/(F11))*100</f>
        <v>5.4299092612815878</v>
      </c>
      <c r="T11">
        <f>(B11/(G11))*100</f>
        <v>6.4855147470496295</v>
      </c>
      <c r="U11">
        <f>(B11/(H11))*100</f>
        <v>12.140400640545463</v>
      </c>
      <c r="V11">
        <f>(B11/(I11))*100</f>
        <v>26.933485384747197</v>
      </c>
      <c r="X11" s="5">
        <f>B11</f>
        <v>182.33</v>
      </c>
      <c r="Y11" s="5">
        <f>B11-(C11*(2030-2025))</f>
        <v>69.13000000000001</v>
      </c>
      <c r="Z11" s="5">
        <f>B11-(C11*(2035-2025))</f>
        <v>-44.069999999999993</v>
      </c>
      <c r="AA11" s="4">
        <f>B11-(C11*(2040-2025))</f>
        <v>-157.27000000000001</v>
      </c>
      <c r="AB11" s="4">
        <f>B11-(C11*(2045-2025))</f>
        <v>-270.47000000000003</v>
      </c>
      <c r="AC11" s="4">
        <f>B11-(C11*(2050-2025))</f>
        <v>-383.66999999999996</v>
      </c>
    </row>
    <row r="12" spans="1:29" x14ac:dyDescent="0.35">
      <c r="A12" s="2" t="s">
        <v>10</v>
      </c>
      <c r="B12" s="2">
        <v>1415.07</v>
      </c>
      <c r="C12" s="2">
        <v>7.92</v>
      </c>
      <c r="D12" s="6">
        <v>3075.4</v>
      </c>
      <c r="E12" s="2">
        <v>2660.7510000000002</v>
      </c>
      <c r="F12" s="2">
        <v>2767.8580000000002</v>
      </c>
      <c r="G12" s="2">
        <v>1302.1790000000001</v>
      </c>
      <c r="H12" s="2">
        <v>703.9461</v>
      </c>
      <c r="I12" s="2">
        <v>452.23649999999998</v>
      </c>
      <c r="K12">
        <f t="shared" si="0"/>
        <v>1375.47</v>
      </c>
      <c r="L12">
        <f t="shared" si="1"/>
        <v>1335.87</v>
      </c>
      <c r="M12">
        <f t="shared" si="2"/>
        <v>1296.27</v>
      </c>
      <c r="N12">
        <f t="shared" si="3"/>
        <v>1256.6699999999998</v>
      </c>
      <c r="O12">
        <f t="shared" si="4"/>
        <v>1217.07</v>
      </c>
      <c r="Q12" s="5">
        <f t="shared" si="5"/>
        <v>0.25752747610066984</v>
      </c>
      <c r="R12">
        <f>(C12*(2030-2025)/(E12))*100</f>
        <v>1.4883016110864939</v>
      </c>
      <c r="S12">
        <f>((C12*(2035-2025))/(F12))*100</f>
        <v>2.8614184687220225</v>
      </c>
      <c r="T12">
        <f>((C12*(2040-2025))/(G12))*100</f>
        <v>9.123169702475618</v>
      </c>
      <c r="U12">
        <f>((C12*(2045-2025))/(H12))*100</f>
        <v>22.501722788150968</v>
      </c>
      <c r="V12">
        <f>((C12*(2050-2025))/(I12))*100</f>
        <v>43.782401464720344</v>
      </c>
      <c r="X12" s="5">
        <f>B12</f>
        <v>1415.07</v>
      </c>
      <c r="Y12" s="5">
        <f>B12-(C12*(2030-2025))</f>
        <v>1375.47</v>
      </c>
      <c r="Z12" s="5">
        <f>B12-(C12*(2035-2025))</f>
        <v>1335.87</v>
      </c>
      <c r="AA12" s="4">
        <f>B12-(C12*(2040-2025))</f>
        <v>1296.27</v>
      </c>
      <c r="AB12" s="4">
        <f>B12-(C12*(2045-2025))</f>
        <v>1256.6699999999998</v>
      </c>
      <c r="AC12" s="4">
        <f>B12-(C12*(2050-2025))</f>
        <v>1217.07</v>
      </c>
    </row>
    <row r="13" spans="1:29" x14ac:dyDescent="0.35">
      <c r="A13" s="2" t="s">
        <v>11</v>
      </c>
      <c r="B13" s="2">
        <v>32.49</v>
      </c>
      <c r="C13" s="2">
        <v>11.01</v>
      </c>
      <c r="D13" s="6">
        <v>3285.78</v>
      </c>
      <c r="E13" s="2">
        <v>3294.1819999999998</v>
      </c>
      <c r="F13" s="2">
        <v>2130.1120000000001</v>
      </c>
      <c r="G13" s="2">
        <v>1234.0530000000001</v>
      </c>
      <c r="H13" s="2">
        <v>483.35840000000002</v>
      </c>
      <c r="I13" s="2">
        <v>323.11900000000003</v>
      </c>
      <c r="K13" s="5">
        <f t="shared" si="0"/>
        <v>-22.559999999999995</v>
      </c>
      <c r="L13" s="5">
        <f t="shared" si="1"/>
        <v>-77.609999999999985</v>
      </c>
      <c r="M13" s="5">
        <f t="shared" si="2"/>
        <v>-132.66</v>
      </c>
      <c r="N13" s="5">
        <f t="shared" si="3"/>
        <v>-187.70999999999998</v>
      </c>
      <c r="O13" s="5">
        <f t="shared" si="4"/>
        <v>-242.76</v>
      </c>
      <c r="Q13" s="5">
        <f t="shared" si="5"/>
        <v>0.33508025491664079</v>
      </c>
      <c r="R13">
        <f>(B13/(E13))*100</f>
        <v>0.9862843036602108</v>
      </c>
      <c r="S13">
        <f>(B13/(F13))*100</f>
        <v>1.5252719105849835</v>
      </c>
      <c r="T13">
        <f>(B13/(G13))*100</f>
        <v>2.6327880569148974</v>
      </c>
      <c r="U13">
        <f>(B13/(H13))*100</f>
        <v>6.7217203631921993</v>
      </c>
      <c r="V13">
        <f>(B13/(I13))*100</f>
        <v>10.055119011881072</v>
      </c>
      <c r="X13" s="5">
        <f>B13</f>
        <v>32.49</v>
      </c>
      <c r="Y13" s="5">
        <f>B13-(C13*(2030-2025))</f>
        <v>-22.559999999999995</v>
      </c>
      <c r="Z13" s="5">
        <f>B13-(C13*(2035-2025))</f>
        <v>-77.609999999999985</v>
      </c>
      <c r="AA13" s="4">
        <f>B13-(C13*(2040-2025))</f>
        <v>-132.66</v>
      </c>
      <c r="AB13" s="4">
        <f>B13-(C13*(2045-2025))</f>
        <v>-187.70999999999998</v>
      </c>
      <c r="AC13" s="4">
        <f>B13-(C13*(2050-2025))</f>
        <v>-242.76</v>
      </c>
    </row>
    <row r="14" spans="1:29" x14ac:dyDescent="0.35">
      <c r="A14" s="2" t="s">
        <v>12</v>
      </c>
      <c r="B14" s="2">
        <v>0</v>
      </c>
      <c r="C14" s="2">
        <v>0</v>
      </c>
      <c r="D14" s="6">
        <v>3037.34</v>
      </c>
      <c r="E14" s="2">
        <v>3265.8919999999998</v>
      </c>
      <c r="F14" s="2">
        <v>1493.915</v>
      </c>
      <c r="G14" s="2">
        <v>685.07529999999997</v>
      </c>
      <c r="H14" s="2">
        <v>226.6651</v>
      </c>
      <c r="I14" s="2">
        <v>120.6104</v>
      </c>
      <c r="K14">
        <f t="shared" si="0"/>
        <v>0</v>
      </c>
      <c r="L14">
        <f t="shared" si="1"/>
        <v>0</v>
      </c>
      <c r="M14">
        <f t="shared" si="2"/>
        <v>0</v>
      </c>
      <c r="N14">
        <f t="shared" si="3"/>
        <v>0</v>
      </c>
      <c r="O14">
        <f t="shared" si="4"/>
        <v>0</v>
      </c>
      <c r="Q14" s="5">
        <f t="shared" si="5"/>
        <v>0</v>
      </c>
      <c r="R14">
        <f>((0*(2030-2025))/(E14))*100</f>
        <v>0</v>
      </c>
      <c r="S14">
        <f>((C14*(2035-2025))/(F14))*100</f>
        <v>0</v>
      </c>
      <c r="T14">
        <f>((C14*(2040-2025))/(G14))*100</f>
        <v>0</v>
      </c>
      <c r="U14">
        <f>((C14*(2045-2025))/(H14))*100</f>
        <v>0</v>
      </c>
      <c r="V14">
        <f>((C14*(2050-2025))/(I14))*100</f>
        <v>0</v>
      </c>
      <c r="X14" s="5">
        <f>B14</f>
        <v>0</v>
      </c>
      <c r="Y14" s="5">
        <f>B14-(C14*(2030-2025))</f>
        <v>0</v>
      </c>
      <c r="Z14" s="5">
        <f>B14-(C14*(2035-2025))</f>
        <v>0</v>
      </c>
      <c r="AA14" s="4">
        <f>B14-(C14*(2040-2025))</f>
        <v>0</v>
      </c>
      <c r="AB14" s="4">
        <f>B14-(C14*(2045-2025))</f>
        <v>0</v>
      </c>
      <c r="AC14" s="4">
        <f>B14-(C14*(2050-2025))</f>
        <v>0</v>
      </c>
    </row>
    <row r="15" spans="1:29" x14ac:dyDescent="0.35">
      <c r="A15" s="2" t="s">
        <v>13</v>
      </c>
      <c r="B15" s="2">
        <v>304.08999999999997</v>
      </c>
      <c r="C15" s="2">
        <v>11.35</v>
      </c>
      <c r="D15" s="6">
        <v>1685.28</v>
      </c>
      <c r="E15" s="2">
        <v>1012.49</v>
      </c>
      <c r="F15" s="2">
        <v>536.38340000000005</v>
      </c>
      <c r="G15" s="2">
        <v>346.1764</v>
      </c>
      <c r="H15" s="2">
        <v>287.36799999999999</v>
      </c>
      <c r="I15" s="2">
        <v>170.0831</v>
      </c>
      <c r="K15">
        <f t="shared" si="0"/>
        <v>247.33999999999997</v>
      </c>
      <c r="L15">
        <f t="shared" si="1"/>
        <v>190.58999999999997</v>
      </c>
      <c r="M15">
        <f t="shared" si="2"/>
        <v>133.83999999999997</v>
      </c>
      <c r="N15">
        <f t="shared" si="3"/>
        <v>77.089999999999975</v>
      </c>
      <c r="O15">
        <f t="shared" si="4"/>
        <v>20.339999999999975</v>
      </c>
      <c r="Q15" s="5">
        <f t="shared" si="5"/>
        <v>0.67347859109465491</v>
      </c>
      <c r="R15">
        <f>((C15*(2030-2025))/(E15))*100</f>
        <v>5.604993629566712</v>
      </c>
      <c r="S15">
        <f>((C15*(2035-2025))/(F15))*100</f>
        <v>21.160237248207157</v>
      </c>
      <c r="T15">
        <f>((C15*(2040-2025))/(G15))*100</f>
        <v>49.180128974707692</v>
      </c>
      <c r="U15">
        <f>((C15*(2045-2025))/(H15))*100</f>
        <v>78.992789733025248</v>
      </c>
      <c r="V15">
        <f>((C15*(2050-2025))/(I15))*100</f>
        <v>166.83021417177838</v>
      </c>
      <c r="X15" s="5">
        <f>B15</f>
        <v>304.08999999999997</v>
      </c>
      <c r="Y15" s="5">
        <f>B15-(C15*(2030-2025))</f>
        <v>247.33999999999997</v>
      </c>
      <c r="Z15" s="5">
        <f>B15-(C15*(2035-2025))</f>
        <v>190.58999999999997</v>
      </c>
      <c r="AA15" s="4">
        <f>B15-(C15*(2040-2025))</f>
        <v>133.83999999999997</v>
      </c>
      <c r="AB15" s="4">
        <f>B15-(C15*(2045-2025))</f>
        <v>77.089999999999975</v>
      </c>
      <c r="AC15" s="4">
        <f>B15-(C15*(2050-2025))</f>
        <v>20.339999999999975</v>
      </c>
    </row>
    <row r="16" spans="1:29" s="5" customFormat="1" x14ac:dyDescent="0.35">
      <c r="A16" s="3" t="s">
        <v>14</v>
      </c>
      <c r="B16" s="3">
        <v>63.6</v>
      </c>
      <c r="C16" s="3">
        <v>64.89</v>
      </c>
      <c r="D16" s="7">
        <v>3148.21</v>
      </c>
      <c r="E16" s="3">
        <v>2392.0549999999998</v>
      </c>
      <c r="F16" s="3">
        <v>1375.431</v>
      </c>
      <c r="G16" s="3">
        <v>665.77340000000004</v>
      </c>
      <c r="H16" s="3">
        <v>237.5608</v>
      </c>
      <c r="I16" s="3">
        <v>133.56030000000001</v>
      </c>
      <c r="K16" s="5">
        <f t="shared" si="0"/>
        <v>-260.84999999999997</v>
      </c>
      <c r="L16" s="5">
        <f t="shared" si="1"/>
        <v>-585.29999999999995</v>
      </c>
      <c r="M16" s="5">
        <f t="shared" si="2"/>
        <v>-909.75</v>
      </c>
      <c r="N16" s="5">
        <f t="shared" si="3"/>
        <v>-1234.2</v>
      </c>
      <c r="O16" s="5">
        <f t="shared" si="4"/>
        <v>-1558.65</v>
      </c>
      <c r="Q16" s="5">
        <f t="shared" si="5"/>
        <v>2.0201956032157957</v>
      </c>
      <c r="R16" s="5">
        <f>(B16/(E16))*100</f>
        <v>2.6588017415987508</v>
      </c>
      <c r="S16" s="5">
        <f>(B16/(F16))*100</f>
        <v>4.6240051300283334</v>
      </c>
      <c r="T16" s="5">
        <f>(B16/(G16))*100</f>
        <v>9.5527997964472586</v>
      </c>
      <c r="U16" s="5">
        <f>(B16/(H16))*100</f>
        <v>26.772093712430671</v>
      </c>
      <c r="V16" s="5">
        <f>(B16/(I16))*100</f>
        <v>47.618940658264464</v>
      </c>
      <c r="X16" s="5">
        <f>B16</f>
        <v>63.6</v>
      </c>
      <c r="Y16" s="5">
        <f>B16-(C16*(2030-2025))</f>
        <v>-260.84999999999997</v>
      </c>
      <c r="Z16" s="5">
        <f>B16-(C16*(2035-2025))</f>
        <v>-585.29999999999995</v>
      </c>
      <c r="AA16" s="4">
        <f>B16-(C16*(2040-2025))</f>
        <v>-909.75</v>
      </c>
      <c r="AB16" s="4">
        <f>B16-(C16*(2045-2025))</f>
        <v>-1234.2</v>
      </c>
      <c r="AC16" s="4">
        <f>B16-(C16*(2050-2025))</f>
        <v>-1558.65</v>
      </c>
    </row>
    <row r="17" spans="1:29" x14ac:dyDescent="0.35">
      <c r="A17" s="2" t="s">
        <v>15</v>
      </c>
      <c r="B17" s="2">
        <v>0</v>
      </c>
      <c r="C17" s="2">
        <v>0</v>
      </c>
      <c r="D17" s="6">
        <v>4825.6000000000004</v>
      </c>
      <c r="E17" s="2">
        <v>4954.4359999999997</v>
      </c>
      <c r="F17" s="2">
        <v>3220.6019999999999</v>
      </c>
      <c r="G17" s="2">
        <v>2135.1950000000002</v>
      </c>
      <c r="H17" s="2">
        <v>1146.049</v>
      </c>
      <c r="I17" s="2">
        <v>279.89159999999998</v>
      </c>
      <c r="K17">
        <f t="shared" si="0"/>
        <v>0</v>
      </c>
      <c r="L17">
        <f t="shared" si="1"/>
        <v>0</v>
      </c>
      <c r="M17">
        <f t="shared" si="2"/>
        <v>0</v>
      </c>
      <c r="N17">
        <f t="shared" si="3"/>
        <v>0</v>
      </c>
      <c r="O17">
        <f t="shared" si="4"/>
        <v>0</v>
      </c>
      <c r="Q17" s="5">
        <f t="shared" si="5"/>
        <v>0</v>
      </c>
      <c r="R17">
        <f>((C17*(2030-2025))/(E17/1000))*100</f>
        <v>0</v>
      </c>
      <c r="S17">
        <f>((C17*(2035-2025))/F17)*100</f>
        <v>0</v>
      </c>
      <c r="T17">
        <f>((C17*(2040-2025))/(G17))*100</f>
        <v>0</v>
      </c>
      <c r="U17">
        <f>((C17*(2045-2025))/(H17))*100</f>
        <v>0</v>
      </c>
      <c r="V17">
        <f>((C17*(2050-2025))/(I17))*100</f>
        <v>0</v>
      </c>
      <c r="X17" s="5">
        <f>B17</f>
        <v>0</v>
      </c>
      <c r="Y17" s="5">
        <f>B17-(C17*(2030-2025))</f>
        <v>0</v>
      </c>
      <c r="Z17" s="5">
        <f>B17-(C17*(2035-2025))</f>
        <v>0</v>
      </c>
      <c r="AA17" s="4">
        <f>B17-(C17*(2040-2025))</f>
        <v>0</v>
      </c>
      <c r="AB17" s="4">
        <f>B17-(C17*(2045-2025))</f>
        <v>0</v>
      </c>
      <c r="AC17" s="4">
        <f>B17-(C17*(2050-2025))</f>
        <v>0</v>
      </c>
    </row>
    <row r="18" spans="1:29" x14ac:dyDescent="0.35">
      <c r="A18" s="2" t="s">
        <v>16</v>
      </c>
      <c r="B18" s="2">
        <v>318.79000000000002</v>
      </c>
      <c r="C18" s="2">
        <v>32.659999999999997</v>
      </c>
      <c r="D18" s="6">
        <v>2620.37</v>
      </c>
      <c r="E18" s="2">
        <v>2548.1849999999999</v>
      </c>
      <c r="F18" s="2">
        <v>2047.4359999999999</v>
      </c>
      <c r="G18" s="2">
        <v>1255.681</v>
      </c>
      <c r="H18" s="2">
        <v>1042.518</v>
      </c>
      <c r="I18" s="2">
        <v>933.90880000000004</v>
      </c>
      <c r="K18">
        <f t="shared" si="0"/>
        <v>155.49000000000004</v>
      </c>
      <c r="L18" s="5">
        <f t="shared" si="1"/>
        <v>-7.8099999999999454</v>
      </c>
      <c r="M18" s="5">
        <f t="shared" si="2"/>
        <v>-171.10999999999996</v>
      </c>
      <c r="N18" s="5">
        <f t="shared" si="3"/>
        <v>-334.40999999999991</v>
      </c>
      <c r="O18" s="5">
        <f t="shared" si="4"/>
        <v>-497.70999999999987</v>
      </c>
      <c r="Q18" s="5">
        <f t="shared" si="5"/>
        <v>1.2463888687475433</v>
      </c>
      <c r="R18">
        <f>(B18/(E18))*100</f>
        <v>12.510473140686413</v>
      </c>
      <c r="S18">
        <f>(B18/(F18))*100</f>
        <v>15.57020585747247</v>
      </c>
      <c r="T18">
        <f>(B18/(G18))*100</f>
        <v>25.387817447265672</v>
      </c>
      <c r="U18">
        <f>(B18/(H18))*100</f>
        <v>30.578848518682651</v>
      </c>
      <c r="V18">
        <f>(B18/(I18))*100</f>
        <v>34.135024747598479</v>
      </c>
      <c r="X18" s="5">
        <f>B18</f>
        <v>318.79000000000002</v>
      </c>
      <c r="Y18" s="5">
        <f>B18-(C18*(2030-2025))</f>
        <v>155.49000000000004</v>
      </c>
      <c r="Z18" s="5">
        <f>B18-(C18*(2035-2025))</f>
        <v>-7.8099999999999454</v>
      </c>
      <c r="AA18" s="4">
        <f>B18-(C18*(2040-2025))</f>
        <v>-171.10999999999996</v>
      </c>
      <c r="AB18" s="4">
        <f>B18-(C18*(2045-2025))</f>
        <v>-334.40999999999991</v>
      </c>
      <c r="AC18" s="4">
        <f>B18-(C18*(2050-2025))</f>
        <v>-497.70999999999987</v>
      </c>
    </row>
    <row r="19" spans="1:29" x14ac:dyDescent="0.35">
      <c r="A19" s="2" t="s">
        <v>30</v>
      </c>
      <c r="B19" s="2">
        <v>178.49</v>
      </c>
      <c r="C19" s="2">
        <v>3.09</v>
      </c>
      <c r="D19" s="6">
        <v>2538.88</v>
      </c>
      <c r="E19" s="2">
        <v>2114.86</v>
      </c>
      <c r="F19" s="2">
        <v>1275.748</v>
      </c>
      <c r="G19" s="2">
        <v>759.01189999999997</v>
      </c>
      <c r="H19" s="2">
        <v>470.53609999999998</v>
      </c>
      <c r="I19" s="2">
        <v>391.88569999999999</v>
      </c>
      <c r="K19">
        <f t="shared" si="0"/>
        <v>163.04000000000002</v>
      </c>
      <c r="L19">
        <f t="shared" si="1"/>
        <v>147.59</v>
      </c>
      <c r="M19">
        <f t="shared" si="2"/>
        <v>132.14000000000001</v>
      </c>
      <c r="N19">
        <f t="shared" si="3"/>
        <v>116.69000000000001</v>
      </c>
      <c r="O19">
        <f t="shared" si="4"/>
        <v>101.24000000000001</v>
      </c>
      <c r="Q19" s="5">
        <f t="shared" si="5"/>
        <v>0.12170720947819511</v>
      </c>
      <c r="R19">
        <f t="shared" ref="R19:R26" si="12">((C19*(2030-2025))/(E19))*100</f>
        <v>0.73054481147688255</v>
      </c>
      <c r="S19">
        <f>((C19*(2035-2025))/(F19))*100</f>
        <v>2.4221084414790379</v>
      </c>
      <c r="T19">
        <f>((C19*(2040-2025))/(G19))*100</f>
        <v>6.1066236247415873</v>
      </c>
      <c r="U19">
        <f>((C19*(2045-2025))/(H19))*100</f>
        <v>13.13395507804821</v>
      </c>
      <c r="V19">
        <f>((C19*(2050-2025))/(I19))*100</f>
        <v>19.712380421127897</v>
      </c>
      <c r="X19" s="5">
        <f>B19</f>
        <v>178.49</v>
      </c>
      <c r="Y19" s="5">
        <f>B19-(C19*(2030-2025))</f>
        <v>163.04000000000002</v>
      </c>
      <c r="Z19" s="5">
        <f>B19-(C19*(2035-2025))</f>
        <v>147.59</v>
      </c>
      <c r="AA19" s="4">
        <f>B19-(C19*(2040-2025))</f>
        <v>132.14000000000001</v>
      </c>
      <c r="AB19" s="4">
        <f>B19-(C19*(2045-2025))</f>
        <v>116.69000000000001</v>
      </c>
      <c r="AC19" s="4">
        <f>B19-(C19*(2050-2025))</f>
        <v>101.24000000000001</v>
      </c>
    </row>
    <row r="20" spans="1:29" x14ac:dyDescent="0.35">
      <c r="A20" s="2" t="s">
        <v>31</v>
      </c>
      <c r="B20" s="2">
        <v>5.75</v>
      </c>
      <c r="C20" s="2">
        <v>1</v>
      </c>
      <c r="D20" s="6">
        <v>4514.6000000000004</v>
      </c>
      <c r="E20" s="2">
        <v>3900.9960000000001</v>
      </c>
      <c r="F20" s="2">
        <v>2704.848</v>
      </c>
      <c r="G20" s="2">
        <v>1300.2919999999999</v>
      </c>
      <c r="H20" s="2">
        <v>1008.396</v>
      </c>
      <c r="I20" s="2">
        <v>1070.7950000000001</v>
      </c>
      <c r="K20">
        <f t="shared" si="0"/>
        <v>0.75</v>
      </c>
      <c r="L20" s="5">
        <f t="shared" si="1"/>
        <v>-4.25</v>
      </c>
      <c r="M20" s="5">
        <f t="shared" si="2"/>
        <v>-9.25</v>
      </c>
      <c r="N20" s="5">
        <f t="shared" si="3"/>
        <v>-14.25</v>
      </c>
      <c r="O20" s="5">
        <f t="shared" si="4"/>
        <v>-19.25</v>
      </c>
      <c r="Q20" s="5">
        <f t="shared" si="5"/>
        <v>2.2150356620741593E-2</v>
      </c>
      <c r="R20">
        <f t="shared" si="12"/>
        <v>0.12817239494734164</v>
      </c>
      <c r="S20">
        <f>(B20/(F20))*100</f>
        <v>0.21258126149787346</v>
      </c>
      <c r="T20">
        <f>(B20/(G20))*100</f>
        <v>0.44220836550559411</v>
      </c>
      <c r="U20">
        <f>(B20/(H20))*100</f>
        <v>0.57021249588455325</v>
      </c>
      <c r="V20">
        <f>(B20/(I20))*100</f>
        <v>0.5369842033255664</v>
      </c>
      <c r="X20" s="5">
        <f>B20</f>
        <v>5.75</v>
      </c>
      <c r="Y20" s="5">
        <f>B20-(C20*(2030-2025))</f>
        <v>0.75</v>
      </c>
      <c r="Z20" s="5">
        <f>B20-(C20*(2035-2025))</f>
        <v>-4.25</v>
      </c>
      <c r="AA20" s="4">
        <f>B20-(C20*(2040-2025))</f>
        <v>-9.25</v>
      </c>
      <c r="AB20" s="4">
        <f>B20-(C20*(2045-2025))</f>
        <v>-14.25</v>
      </c>
      <c r="AC20" s="4">
        <f>B20-(C20*(2050-2025))</f>
        <v>-19.25</v>
      </c>
    </row>
    <row r="21" spans="1:29" x14ac:dyDescent="0.35">
      <c r="A21" s="2" t="s">
        <v>17</v>
      </c>
      <c r="B21" s="2">
        <v>144.4</v>
      </c>
      <c r="C21" s="2">
        <v>20.62</v>
      </c>
      <c r="D21" s="6">
        <v>1320.22</v>
      </c>
      <c r="E21" s="2">
        <v>918.30449999999996</v>
      </c>
      <c r="F21" s="2">
        <v>339.93029999999999</v>
      </c>
      <c r="G21" s="2">
        <v>711.71220000000005</v>
      </c>
      <c r="H21" s="2">
        <v>346.99700000000001</v>
      </c>
      <c r="I21" s="2">
        <v>261.99209999999999</v>
      </c>
      <c r="K21">
        <f t="shared" si="0"/>
        <v>41.3</v>
      </c>
      <c r="L21" s="5">
        <f t="shared" si="1"/>
        <v>-61.800000000000011</v>
      </c>
      <c r="M21" s="5">
        <f t="shared" si="2"/>
        <v>-164.9</v>
      </c>
      <c r="N21" s="5">
        <f t="shared" si="3"/>
        <v>-268</v>
      </c>
      <c r="O21" s="5">
        <f t="shared" si="4"/>
        <v>-371.1</v>
      </c>
      <c r="Q21" s="5">
        <f t="shared" si="5"/>
        <v>1.5618609019708838</v>
      </c>
      <c r="R21">
        <f t="shared" si="12"/>
        <v>11.227212760037657</v>
      </c>
      <c r="S21">
        <f>(B21/(F21))*100</f>
        <v>42.479296491074791</v>
      </c>
      <c r="T21">
        <f>(B21/(G21))*100</f>
        <v>20.289100004187084</v>
      </c>
      <c r="U21">
        <f>(B21/(H21))*100</f>
        <v>41.614192629907464</v>
      </c>
      <c r="V21">
        <f>(B21/(I21))*100</f>
        <v>55.116165716447171</v>
      </c>
      <c r="X21" s="5">
        <f>B21</f>
        <v>144.4</v>
      </c>
      <c r="Y21" s="5">
        <f>B21-(C21*(2030-2025))</f>
        <v>41.3</v>
      </c>
      <c r="Z21" s="5">
        <f>B21-(C21*(2035-2025))</f>
        <v>-61.800000000000011</v>
      </c>
      <c r="AA21" s="4">
        <f>B21-(C21*(2040-2025))</f>
        <v>-164.9</v>
      </c>
      <c r="AB21" s="4">
        <f>B21-(C21*(2045-2025))</f>
        <v>-268</v>
      </c>
      <c r="AC21" s="4">
        <f>B21-(C21*(2050-2025))</f>
        <v>-371.1</v>
      </c>
    </row>
    <row r="22" spans="1:29" x14ac:dyDescent="0.35">
      <c r="A22" s="2" t="s">
        <v>18</v>
      </c>
      <c r="B22" s="2">
        <v>591.76</v>
      </c>
      <c r="C22" s="2">
        <v>39.130000000000003</v>
      </c>
      <c r="D22" s="6">
        <v>3762.54</v>
      </c>
      <c r="E22" s="2">
        <v>3592.19</v>
      </c>
      <c r="F22" s="2">
        <v>2948.12</v>
      </c>
      <c r="G22" s="2">
        <v>1780.6890000000001</v>
      </c>
      <c r="H22" s="2">
        <v>574.745</v>
      </c>
      <c r="I22" s="2">
        <v>226.85839999999999</v>
      </c>
      <c r="K22">
        <f t="shared" si="0"/>
        <v>396.11</v>
      </c>
      <c r="L22">
        <f t="shared" si="1"/>
        <v>200.45999999999998</v>
      </c>
      <c r="M22">
        <f t="shared" si="2"/>
        <v>4.8099999999999454</v>
      </c>
      <c r="N22" s="5">
        <f t="shared" si="3"/>
        <v>-190.84000000000003</v>
      </c>
      <c r="O22" s="5">
        <f t="shared" si="4"/>
        <v>-386.49000000000012</v>
      </c>
      <c r="Q22" s="5">
        <f t="shared" si="5"/>
        <v>1.0399889436391374</v>
      </c>
      <c r="R22">
        <f t="shared" si="12"/>
        <v>5.4465381842274496</v>
      </c>
      <c r="S22">
        <f>((C22*(2035-2025))/(F22))*100</f>
        <v>13.272865419318075</v>
      </c>
      <c r="T22">
        <f>(B22/(G22))*100</f>
        <v>33.232080391354131</v>
      </c>
      <c r="U22">
        <f>(B22/(H22))*100</f>
        <v>102.96044332704068</v>
      </c>
      <c r="V22">
        <f>(B22/(I22))*100</f>
        <v>260.84993987438861</v>
      </c>
      <c r="X22" s="5">
        <f>B22</f>
        <v>591.76</v>
      </c>
      <c r="Y22" s="5">
        <f>B22-(C22*(2030-2025))</f>
        <v>396.11</v>
      </c>
      <c r="Z22" s="5">
        <f>B22-(C22*(2035-2025))</f>
        <v>200.45999999999998</v>
      </c>
      <c r="AA22" s="4">
        <f>B22-(C22*(2040-2025))</f>
        <v>4.8099999999999454</v>
      </c>
      <c r="AB22" s="4">
        <f>B22-(C22*(2045-2025))</f>
        <v>-190.84000000000003</v>
      </c>
      <c r="AC22" s="4">
        <f>B22-(C22*(2050-2025))</f>
        <v>-386.49000000000012</v>
      </c>
    </row>
    <row r="23" spans="1:29" x14ac:dyDescent="0.35">
      <c r="A23" s="2" t="s">
        <v>19</v>
      </c>
      <c r="B23" s="2">
        <v>0</v>
      </c>
      <c r="C23" s="2">
        <v>0</v>
      </c>
      <c r="D23" s="6">
        <v>3631.23</v>
      </c>
      <c r="E23" s="2">
        <v>3277.3310000000001</v>
      </c>
      <c r="F23" s="2">
        <v>2671.7370000000001</v>
      </c>
      <c r="G23" s="2">
        <v>1398.884</v>
      </c>
      <c r="H23" s="2">
        <v>833.03769999999997</v>
      </c>
      <c r="I23" s="2">
        <v>616.47199999999998</v>
      </c>
      <c r="K23">
        <f t="shared" si="0"/>
        <v>0</v>
      </c>
      <c r="L23">
        <f t="shared" si="1"/>
        <v>0</v>
      </c>
      <c r="M23">
        <f t="shared" si="2"/>
        <v>0</v>
      </c>
      <c r="N23">
        <f t="shared" si="3"/>
        <v>0</v>
      </c>
      <c r="O23">
        <f t="shared" si="4"/>
        <v>0</v>
      </c>
      <c r="Q23" s="5">
        <f t="shared" si="5"/>
        <v>0</v>
      </c>
      <c r="R23">
        <f t="shared" si="12"/>
        <v>0</v>
      </c>
      <c r="S23">
        <f>((C23*(2035-2025))/(F23))*100</f>
        <v>0</v>
      </c>
      <c r="T23">
        <f>((C23*(2040-2025))/(G23))*100</f>
        <v>0</v>
      </c>
      <c r="U23">
        <f>((C23*(2040-2025))/(H23))*100</f>
        <v>0</v>
      </c>
      <c r="V23">
        <f>((C23*(2050-2025))/(I23))*100</f>
        <v>0</v>
      </c>
      <c r="X23" s="5">
        <f>B23</f>
        <v>0</v>
      </c>
      <c r="Y23" s="5">
        <f>B23-(C23*(2030-2025))</f>
        <v>0</v>
      </c>
      <c r="Z23" s="5">
        <f>B23-(C23*(2035-2025))</f>
        <v>0</v>
      </c>
      <c r="AA23" s="4">
        <f>B23-(C23*(2040-2025))</f>
        <v>0</v>
      </c>
      <c r="AB23" s="4">
        <f>B23-(C23*(2045-2025))</f>
        <v>0</v>
      </c>
      <c r="AC23" s="4">
        <f>B23-(C23*(2050-2025))</f>
        <v>0</v>
      </c>
    </row>
    <row r="24" spans="1:29" x14ac:dyDescent="0.35">
      <c r="A24" s="2" t="s">
        <v>20</v>
      </c>
      <c r="B24" s="2">
        <v>500.37</v>
      </c>
      <c r="C24" s="2">
        <v>1.42</v>
      </c>
      <c r="D24" s="6">
        <v>3884.05</v>
      </c>
      <c r="E24" s="2">
        <v>3505.4780000000001</v>
      </c>
      <c r="F24" s="2">
        <v>2203.683</v>
      </c>
      <c r="G24" s="2">
        <v>1000.838</v>
      </c>
      <c r="H24" s="2">
        <v>1202.2339999999999</v>
      </c>
      <c r="I24" s="2">
        <v>1014.024</v>
      </c>
      <c r="K24">
        <f t="shared" si="0"/>
        <v>493.27</v>
      </c>
      <c r="L24">
        <f t="shared" si="1"/>
        <v>486.17</v>
      </c>
      <c r="M24">
        <f t="shared" si="2"/>
        <v>479.07</v>
      </c>
      <c r="N24">
        <f t="shared" si="3"/>
        <v>471.97</v>
      </c>
      <c r="O24">
        <f t="shared" si="4"/>
        <v>464.87</v>
      </c>
      <c r="Q24" s="5">
        <f t="shared" si="5"/>
        <v>3.6559776521929425E-2</v>
      </c>
      <c r="R24">
        <f t="shared" si="12"/>
        <v>0.20254013860591907</v>
      </c>
      <c r="S24">
        <f>((C24*(2035-2025))/(F24))*100</f>
        <v>0.64437580178274279</v>
      </c>
      <c r="T24">
        <f>((C24*(2040-2025))/(G24))*100</f>
        <v>2.128216554527306</v>
      </c>
      <c r="U24">
        <f>((C24*(2040-2025))/(H24))*100</f>
        <v>1.7717016820352773</v>
      </c>
      <c r="V24">
        <f>((C24*(2050-2025))/(I24))*100</f>
        <v>3.5009033316765676</v>
      </c>
      <c r="X24" s="5">
        <f>B24</f>
        <v>500.37</v>
      </c>
      <c r="Y24" s="5">
        <f>B24-(C24*(2030-2025))</f>
        <v>493.27</v>
      </c>
      <c r="Z24" s="5">
        <f>B24-(C24*(2035-2025))</f>
        <v>486.17</v>
      </c>
      <c r="AA24" s="4">
        <f>B24-(C24*(2040-2025))</f>
        <v>479.07</v>
      </c>
      <c r="AB24" s="4">
        <f>B24-(C24*(2045-2025))</f>
        <v>471.97</v>
      </c>
      <c r="AC24" s="4">
        <f>B24-(C24*(2050-2025))</f>
        <v>464.87</v>
      </c>
    </row>
    <row r="25" spans="1:29" x14ac:dyDescent="0.35">
      <c r="A25" s="2" t="s">
        <v>21</v>
      </c>
      <c r="B25" s="2">
        <v>0</v>
      </c>
      <c r="C25" s="2">
        <v>0</v>
      </c>
      <c r="D25" s="6">
        <v>2948.21</v>
      </c>
      <c r="E25" s="2">
        <v>3689.6709999999998</v>
      </c>
      <c r="F25" s="2">
        <v>2890.6010000000001</v>
      </c>
      <c r="G25" s="2">
        <v>2061.6</v>
      </c>
      <c r="H25" s="2">
        <v>700.62099999999998</v>
      </c>
      <c r="I25" s="2">
        <v>342.09359999999998</v>
      </c>
      <c r="K25">
        <f t="shared" si="0"/>
        <v>0</v>
      </c>
      <c r="L25">
        <f t="shared" si="1"/>
        <v>0</v>
      </c>
      <c r="M25">
        <f t="shared" si="2"/>
        <v>0</v>
      </c>
      <c r="N25">
        <f t="shared" si="3"/>
        <v>0</v>
      </c>
      <c r="O25">
        <f t="shared" si="4"/>
        <v>0</v>
      </c>
      <c r="Q25" s="5">
        <f t="shared" si="5"/>
        <v>0</v>
      </c>
      <c r="R25">
        <f t="shared" si="12"/>
        <v>0</v>
      </c>
      <c r="S25">
        <f>((C25*(2035-2025))/(F25))*100</f>
        <v>0</v>
      </c>
      <c r="T25">
        <f>((C25*(2040-2025))/(G25))*100</f>
        <v>0</v>
      </c>
      <c r="U25">
        <f>((C25*(2040-2025))/(H25))*100</f>
        <v>0</v>
      </c>
      <c r="V25">
        <f>((C25*(2050-2025))/(I25))*100</f>
        <v>0</v>
      </c>
      <c r="X25" s="5">
        <f>B25</f>
        <v>0</v>
      </c>
      <c r="Y25" s="5">
        <f>B25-(C25*(2030-2025))</f>
        <v>0</v>
      </c>
      <c r="Z25" s="5">
        <f>B25-(C25*(2035-2025))</f>
        <v>0</v>
      </c>
      <c r="AA25" s="4">
        <f>B25-(C25*(2040-2025))</f>
        <v>0</v>
      </c>
      <c r="AB25" s="4">
        <f>B25-(C25*(2045-2025))</f>
        <v>0</v>
      </c>
      <c r="AC25" s="4">
        <f>B25-(C25*(2050-2025))</f>
        <v>0</v>
      </c>
    </row>
    <row r="26" spans="1:29" x14ac:dyDescent="0.35">
      <c r="A26" s="2" t="s">
        <v>22</v>
      </c>
      <c r="B26" s="2">
        <v>37.75</v>
      </c>
      <c r="C26" s="2">
        <v>0.28999999999999998</v>
      </c>
      <c r="D26" s="6">
        <v>590.58799999999997</v>
      </c>
      <c r="E26" s="2">
        <v>454.0111</v>
      </c>
      <c r="F26" s="2">
        <v>356.1728</v>
      </c>
      <c r="G26" s="2">
        <v>290.12700000000001</v>
      </c>
      <c r="H26" s="2">
        <v>205.25649999999999</v>
      </c>
      <c r="I26" s="2">
        <v>115.8563</v>
      </c>
      <c r="K26">
        <f t="shared" si="0"/>
        <v>36.299999999999997</v>
      </c>
      <c r="L26">
        <f t="shared" si="1"/>
        <v>34.85</v>
      </c>
      <c r="M26">
        <f t="shared" si="2"/>
        <v>33.4</v>
      </c>
      <c r="N26">
        <f t="shared" si="3"/>
        <v>31.95</v>
      </c>
      <c r="O26">
        <f t="shared" si="4"/>
        <v>30.5</v>
      </c>
      <c r="Q26" s="5">
        <f t="shared" si="5"/>
        <v>4.910360522055985E-2</v>
      </c>
      <c r="R26">
        <f t="shared" si="12"/>
        <v>0.31937545139314877</v>
      </c>
      <c r="S26">
        <f>((C26*(2035-2025))/(F26))*100</f>
        <v>0.81421152878602743</v>
      </c>
      <c r="T26">
        <f>((C26*(2040-2025))/(G26))*100</f>
        <v>1.4993433909977352</v>
      </c>
      <c r="U26">
        <f>((C26*(2040-2025))/(H26))*100</f>
        <v>2.1192995106123313</v>
      </c>
      <c r="V26">
        <f>((C26*(2050-2025))/(I26))*100</f>
        <v>6.2577520600951342</v>
      </c>
      <c r="X26" s="5">
        <f>B26</f>
        <v>37.75</v>
      </c>
      <c r="Y26" s="5">
        <f>B26-(C26*(2030-2025))</f>
        <v>36.299999999999997</v>
      </c>
      <c r="Z26" s="5">
        <f>B26-(C26*(2035-2025))</f>
        <v>34.85</v>
      </c>
      <c r="AA26" s="4">
        <f>B26-(C26*(2040-2025))</f>
        <v>33.4</v>
      </c>
      <c r="AB26" s="4">
        <f>B26-(C26*(2045-2025))</f>
        <v>31.95</v>
      </c>
      <c r="AC26" s="4">
        <f>B26-(C26*(2050-2025))</f>
        <v>30.5</v>
      </c>
    </row>
    <row r="27" spans="1:29" s="5" customFormat="1" x14ac:dyDescent="0.35">
      <c r="A27" s="3" t="s">
        <v>23</v>
      </c>
      <c r="B27" s="3">
        <v>48.05</v>
      </c>
      <c r="C27" s="3">
        <v>52.51</v>
      </c>
      <c r="D27" s="7">
        <v>4269.97</v>
      </c>
      <c r="E27" s="3">
        <v>4636.808</v>
      </c>
      <c r="F27" s="3">
        <v>4075.4119999999998</v>
      </c>
      <c r="G27" s="3">
        <v>3229.7979999999998</v>
      </c>
      <c r="H27" s="3">
        <v>1994.145</v>
      </c>
      <c r="I27" s="3">
        <v>1573.5129999999999</v>
      </c>
      <c r="K27" s="5">
        <f t="shared" si="0"/>
        <v>-214.5</v>
      </c>
      <c r="L27" s="5">
        <f t="shared" si="1"/>
        <v>-477.05</v>
      </c>
      <c r="M27" s="5">
        <f t="shared" si="2"/>
        <v>-739.6</v>
      </c>
      <c r="N27" s="5">
        <f t="shared" si="3"/>
        <v>-1002.1500000000001</v>
      </c>
      <c r="O27" s="5">
        <f t="shared" si="4"/>
        <v>-1264.7</v>
      </c>
      <c r="Q27" s="5">
        <f t="shared" si="5"/>
        <v>1.1253006461403707</v>
      </c>
      <c r="R27" s="5">
        <f>(B27/(E27))*100</f>
        <v>1.0362732293422543</v>
      </c>
      <c r="S27" s="5">
        <f>(B27/(F27))*100</f>
        <v>1.1790219001170923</v>
      </c>
      <c r="T27" s="5">
        <f>(B27/(G27))*100</f>
        <v>1.4877091384662446</v>
      </c>
      <c r="U27" s="5">
        <f>(B27/(H27))*100</f>
        <v>2.4095539692449646</v>
      </c>
      <c r="V27" s="5">
        <f>(B27/(I27))*100</f>
        <v>3.0536767093757726</v>
      </c>
      <c r="X27" s="5">
        <f>B27</f>
        <v>48.05</v>
      </c>
      <c r="Y27" s="5">
        <f>B27-(C27*(2030-2025))</f>
        <v>-214.5</v>
      </c>
      <c r="Z27" s="5">
        <f>B27-(C27*(2035-2025))</f>
        <v>-477.05</v>
      </c>
      <c r="AA27" s="4">
        <f>B27-(C27*(2040-2025))</f>
        <v>-739.6</v>
      </c>
      <c r="AB27" s="4">
        <f>B27-(C27*(2045-2025))</f>
        <v>-1002.1500000000001</v>
      </c>
      <c r="AC27" s="4">
        <f>B27-(C27*(2050-2025))</f>
        <v>-1264.7</v>
      </c>
    </row>
    <row r="28" spans="1:29" x14ac:dyDescent="0.35">
      <c r="A28" s="2" t="s">
        <v>32</v>
      </c>
      <c r="B28" s="2">
        <v>0</v>
      </c>
      <c r="C28" s="2">
        <v>0</v>
      </c>
      <c r="D28" s="6">
        <v>373.81799999999998</v>
      </c>
      <c r="E28" s="2">
        <v>267.6379</v>
      </c>
      <c r="F28" s="2">
        <v>162.44120000000001</v>
      </c>
      <c r="G28" s="2">
        <v>187.64619999999999</v>
      </c>
      <c r="H28" s="2">
        <v>99.86054</v>
      </c>
      <c r="I28" s="2">
        <v>49.902419999999999</v>
      </c>
      <c r="K28">
        <f t="shared" si="0"/>
        <v>0</v>
      </c>
      <c r="L28">
        <f t="shared" si="1"/>
        <v>0</v>
      </c>
      <c r="M28">
        <f t="shared" si="2"/>
        <v>0</v>
      </c>
      <c r="N28">
        <f t="shared" si="3"/>
        <v>0</v>
      </c>
      <c r="O28">
        <f t="shared" si="4"/>
        <v>0</v>
      </c>
      <c r="Q28" s="5">
        <f t="shared" si="5"/>
        <v>0</v>
      </c>
      <c r="R28">
        <f>((C28*(2030-2025))/(E28))*100</f>
        <v>0</v>
      </c>
      <c r="S28">
        <f>((C28*(2035-2025))/(F28))*100</f>
        <v>0</v>
      </c>
      <c r="T28">
        <f>((C28*(2040-2025))/(G28))*100</f>
        <v>0</v>
      </c>
      <c r="U28">
        <f>((C28*(2045-2025))/(H28))*100</f>
        <v>0</v>
      </c>
      <c r="V28">
        <f>((C28*(2050-2025))/(I28))*100</f>
        <v>0</v>
      </c>
      <c r="X28" s="5">
        <f>B28</f>
        <v>0</v>
      </c>
      <c r="Y28" s="5">
        <f>B28-(C28*(2030-2025))</f>
        <v>0</v>
      </c>
      <c r="Z28" s="5">
        <f>B28-(C28*(2035-2025))</f>
        <v>0</v>
      </c>
      <c r="AA28" s="4">
        <f>B28-(C28*(2040-2025))</f>
        <v>0</v>
      </c>
      <c r="AB28" s="4">
        <f>B28-(C28*(2045-2025))</f>
        <v>0</v>
      </c>
      <c r="AC28" s="4">
        <f>B28-(C28*(2050-2025))</f>
        <v>0</v>
      </c>
    </row>
    <row r="29" spans="1:29" x14ac:dyDescent="0.35">
      <c r="A29" s="2" t="s">
        <v>33</v>
      </c>
      <c r="B29" s="2">
        <v>685.73</v>
      </c>
      <c r="C29" s="2">
        <v>5.92</v>
      </c>
      <c r="D29" s="6">
        <v>3630.85</v>
      </c>
      <c r="E29" s="2">
        <v>3006.386</v>
      </c>
      <c r="F29" s="2">
        <v>2519.7510000000002</v>
      </c>
      <c r="G29" s="2">
        <v>1596.6780000000001</v>
      </c>
      <c r="H29" s="2">
        <v>783.10389999999995</v>
      </c>
      <c r="I29" s="2">
        <v>647.18939999999998</v>
      </c>
      <c r="K29">
        <f t="shared" si="0"/>
        <v>656.13</v>
      </c>
      <c r="L29">
        <f t="shared" si="1"/>
        <v>626.53</v>
      </c>
      <c r="M29">
        <f t="shared" si="2"/>
        <v>596.93000000000006</v>
      </c>
      <c r="N29">
        <f t="shared" si="3"/>
        <v>567.33000000000004</v>
      </c>
      <c r="O29">
        <f t="shared" si="4"/>
        <v>537.73</v>
      </c>
      <c r="Q29" s="5">
        <f t="shared" si="5"/>
        <v>0.16304722034785243</v>
      </c>
      <c r="R29">
        <f>((C29*(2030-2025))/(E29))*100</f>
        <v>0.98457084353107027</v>
      </c>
      <c r="S29">
        <f>((C29*(2035-2025))/(F29))*100</f>
        <v>2.3494384961053694</v>
      </c>
      <c r="T29">
        <f>((C29*(2040-2025))/(G29))*100</f>
        <v>5.5615471622957156</v>
      </c>
      <c r="U29">
        <f>((C29*(2045-2025))/(H29))*100</f>
        <v>15.119321969919957</v>
      </c>
      <c r="V29">
        <f>((C29*(2050-2025))/(I29))*100</f>
        <v>22.868112487627272</v>
      </c>
      <c r="X29" s="5">
        <f>B29</f>
        <v>685.73</v>
      </c>
      <c r="Y29" s="5">
        <f>B29-(C29*(2030-2025))</f>
        <v>656.13</v>
      </c>
      <c r="Z29" s="5">
        <f>B29-(C29*(2035-2025))</f>
        <v>626.53</v>
      </c>
      <c r="AA29" s="4">
        <f>B29-(C29*(2040-2025))</f>
        <v>596.93000000000006</v>
      </c>
      <c r="AB29" s="4">
        <f>B29-(C29*(2045-2025))</f>
        <v>567.33000000000004</v>
      </c>
      <c r="AC29" s="4">
        <f>B29-(C29*(2050-2025))</f>
        <v>537.73</v>
      </c>
    </row>
    <row r="30" spans="1:29" x14ac:dyDescent="0.35">
      <c r="A30" s="2" t="s">
        <v>24</v>
      </c>
      <c r="B30" s="2">
        <v>0</v>
      </c>
      <c r="C30" s="2">
        <v>0</v>
      </c>
      <c r="D30" s="6">
        <v>763.97299999999996</v>
      </c>
      <c r="E30" s="2">
        <v>843.55870000000004</v>
      </c>
      <c r="F30" s="2">
        <v>613.38869999999997</v>
      </c>
      <c r="G30" s="2">
        <v>398.93110000000001</v>
      </c>
      <c r="H30" s="2">
        <v>155.87790000000001</v>
      </c>
      <c r="I30" s="2">
        <v>62.975589999999997</v>
      </c>
      <c r="K30">
        <f t="shared" si="0"/>
        <v>0</v>
      </c>
      <c r="L30">
        <f t="shared" si="1"/>
        <v>0</v>
      </c>
      <c r="M30">
        <f t="shared" si="2"/>
        <v>0</v>
      </c>
      <c r="N30">
        <f t="shared" si="3"/>
        <v>0</v>
      </c>
      <c r="O30">
        <f t="shared" si="4"/>
        <v>0</v>
      </c>
      <c r="Q30" s="5">
        <f t="shared" si="5"/>
        <v>0</v>
      </c>
      <c r="R30">
        <f>((C30*(2030-2025))/E30)*100</f>
        <v>0</v>
      </c>
      <c r="S30">
        <f>((C30*(2035-2025))/F30)*100</f>
        <v>0</v>
      </c>
      <c r="T30">
        <f>((C30*(2040-2025))/G30)*100</f>
        <v>0</v>
      </c>
      <c r="U30">
        <f>((C30*(2045-2025))/H30)*100</f>
        <v>0</v>
      </c>
      <c r="V30">
        <f>((C30*(2050-2025))/I30)*100</f>
        <v>0</v>
      </c>
      <c r="X30" s="5">
        <f>B30</f>
        <v>0</v>
      </c>
      <c r="Y30" s="5">
        <f>B30-(C30*(2030-2025))</f>
        <v>0</v>
      </c>
      <c r="Z30" s="5">
        <f>B30-(C30*(2035-2025))</f>
        <v>0</v>
      </c>
      <c r="AA30" s="4">
        <f>B30-(C30*(2040-2025))</f>
        <v>0</v>
      </c>
      <c r="AB30" s="4">
        <f>B30-(C30*(2045-2025))</f>
        <v>0</v>
      </c>
      <c r="AC30" s="4">
        <f>B30-(C30*(2050-2025))</f>
        <v>0</v>
      </c>
    </row>
    <row r="31" spans="1:29" x14ac:dyDescent="0.35">
      <c r="A31" s="2" t="s">
        <v>25</v>
      </c>
      <c r="B31" s="2">
        <v>0</v>
      </c>
      <c r="C31" s="2">
        <v>0</v>
      </c>
      <c r="D31" s="6">
        <v>2636.05</v>
      </c>
      <c r="E31" s="2">
        <v>2336.8310000000001</v>
      </c>
      <c r="F31" s="2">
        <v>1366.9079999999999</v>
      </c>
      <c r="G31" s="2">
        <v>884.21299999999997</v>
      </c>
      <c r="H31" s="2">
        <v>431.91579999999999</v>
      </c>
      <c r="I31" s="2">
        <v>265.30130000000003</v>
      </c>
      <c r="K31">
        <f t="shared" si="0"/>
        <v>0</v>
      </c>
      <c r="L31">
        <f t="shared" si="1"/>
        <v>0</v>
      </c>
      <c r="M31">
        <f t="shared" si="2"/>
        <v>0</v>
      </c>
      <c r="N31">
        <f t="shared" si="3"/>
        <v>0</v>
      </c>
      <c r="O31">
        <f t="shared" si="4"/>
        <v>0</v>
      </c>
      <c r="Q31" s="5">
        <f t="shared" si="5"/>
        <v>0</v>
      </c>
      <c r="R31">
        <f t="shared" ref="R31" si="13">((C31*(2030-2025))/E31)*100</f>
        <v>0</v>
      </c>
      <c r="S31">
        <f t="shared" ref="S31:S32" si="14">((C31*(2035-2025))/F31)*100</f>
        <v>0</v>
      </c>
      <c r="T31">
        <f t="shared" ref="T31:T32" si="15">((C31*(2040-2025))/G31)*100</f>
        <v>0</v>
      </c>
      <c r="U31">
        <f t="shared" ref="U31:U32" si="16">((C31*(2045-2025))/H31)*100</f>
        <v>0</v>
      </c>
      <c r="V31">
        <f t="shared" ref="V31:V32" si="17">((C31*(2050-2025))/I31)*100</f>
        <v>0</v>
      </c>
      <c r="X31" s="5">
        <f>B31</f>
        <v>0</v>
      </c>
      <c r="Y31" s="5">
        <f>B31-(C31*(2030-2025))</f>
        <v>0</v>
      </c>
      <c r="Z31" s="5">
        <f>B31-(C31*(2035-2025))</f>
        <v>0</v>
      </c>
      <c r="AA31" s="4">
        <f>B31-(C31*(2040-2025))</f>
        <v>0</v>
      </c>
      <c r="AB31" s="4">
        <f>B31-(C31*(2045-2025))</f>
        <v>0</v>
      </c>
      <c r="AC31" s="4">
        <f>B31-(C31*(2050-2025))</f>
        <v>0</v>
      </c>
    </row>
    <row r="32" spans="1:29" x14ac:dyDescent="0.35">
      <c r="A32" s="2" t="s">
        <v>26</v>
      </c>
      <c r="B32" s="2">
        <v>11.36</v>
      </c>
      <c r="C32" s="2">
        <v>0.01</v>
      </c>
      <c r="D32" s="6">
        <v>2727.67</v>
      </c>
      <c r="E32" s="2">
        <v>2075.529</v>
      </c>
      <c r="F32" s="2">
        <v>1349.722</v>
      </c>
      <c r="G32" s="2">
        <v>773.83199999999999</v>
      </c>
      <c r="H32" s="2">
        <v>451.86489999999998</v>
      </c>
      <c r="I32" s="2">
        <v>526.82249999999999</v>
      </c>
      <c r="K32">
        <f t="shared" si="0"/>
        <v>11.309999999999999</v>
      </c>
      <c r="L32">
        <f t="shared" si="1"/>
        <v>11.26</v>
      </c>
      <c r="M32">
        <f t="shared" si="2"/>
        <v>11.209999999999999</v>
      </c>
      <c r="N32">
        <f t="shared" si="3"/>
        <v>11.16</v>
      </c>
      <c r="O32">
        <f t="shared" si="4"/>
        <v>11.11</v>
      </c>
      <c r="Q32" s="5">
        <f t="shared" si="5"/>
        <v>3.6661326333464089E-4</v>
      </c>
      <c r="R32">
        <f>((C32*(2030-2025))/E32)*100</f>
        <v>2.4090243981172996E-3</v>
      </c>
      <c r="S32">
        <f t="shared" si="14"/>
        <v>7.4089330988159046E-3</v>
      </c>
      <c r="T32">
        <f t="shared" si="15"/>
        <v>1.938405235244859E-2</v>
      </c>
      <c r="U32">
        <f t="shared" si="16"/>
        <v>4.4261016954403855E-2</v>
      </c>
      <c r="V32">
        <f t="shared" si="17"/>
        <v>4.7454313359812837E-2</v>
      </c>
      <c r="X32" s="5">
        <f>B32</f>
        <v>11.36</v>
      </c>
      <c r="Y32" s="5">
        <f>B32-(C32*(2030-2025))</f>
        <v>11.309999999999999</v>
      </c>
      <c r="Z32" s="5">
        <f>B32-(C32*(2035-2025))</f>
        <v>11.26</v>
      </c>
      <c r="AA32" s="4">
        <f>B32-(C32*(2040-2025))</f>
        <v>11.209999999999999</v>
      </c>
      <c r="AB32" s="4">
        <f>B32-(C32*(2045-2025))</f>
        <v>11.16</v>
      </c>
      <c r="AC32" s="4">
        <f>B32-(C32*(2050-2025))</f>
        <v>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Daniel Olasehinde</cp:lastModifiedBy>
  <dcterms:created xsi:type="dcterms:W3CDTF">2025-07-18T23:26:48Z</dcterms:created>
  <dcterms:modified xsi:type="dcterms:W3CDTF">2025-10-16T09:30:55Z</dcterms:modified>
</cp:coreProperties>
</file>