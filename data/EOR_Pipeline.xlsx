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CCS\1\"/>
    </mc:Choice>
  </mc:AlternateContent>
  <xr:revisionPtr revIDLastSave="0" documentId="13_ncr:1_{1F6FF328-4EE5-406D-8E9A-1B4D6863D02D}" xr6:coauthVersionLast="47" xr6:coauthVersionMax="47" xr10:uidLastSave="{00000000-0000-0000-0000-000000000000}"/>
  <bookViews>
    <workbookView xWindow="-120" yWindow="-120" windowWidth="29040" windowHeight="15840" xr2:uid="{DD3A6B1A-B09F-4147-AEBB-1ACB044CDBA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E3" i="1" l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5" i="1"/>
  <c r="AE516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79" i="1"/>
  <c r="AE580" i="1"/>
  <c r="AE581" i="1"/>
  <c r="AE582" i="1"/>
  <c r="AE583" i="1"/>
  <c r="AE584" i="1"/>
  <c r="AE585" i="1"/>
  <c r="AE586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6" i="1"/>
  <c r="AE647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1" i="1"/>
  <c r="AE662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7" i="1"/>
  <c r="AE698" i="1"/>
  <c r="AE699" i="1"/>
  <c r="AE700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59" i="1"/>
  <c r="AE760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5" i="1"/>
  <c r="AE776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8" i="1"/>
  <c r="AE819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8" i="1"/>
  <c r="AE859" i="1"/>
  <c r="AE860" i="1"/>
  <c r="AE861" i="1"/>
  <c r="AE862" i="1"/>
  <c r="AE863" i="1"/>
  <c r="AE864" i="1"/>
  <c r="AE865" i="1"/>
  <c r="AE866" i="1"/>
  <c r="AE867" i="1"/>
  <c r="AE868" i="1"/>
  <c r="AE869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AE894" i="1"/>
  <c r="AE895" i="1"/>
  <c r="AE896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3" i="1"/>
  <c r="AE924" i="1"/>
  <c r="AE925" i="1"/>
  <c r="AE926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39" i="1"/>
  <c r="AE940" i="1"/>
  <c r="AE941" i="1"/>
  <c r="AE942" i="1"/>
  <c r="AE943" i="1"/>
  <c r="AE944" i="1"/>
  <c r="AE945" i="1"/>
  <c r="AE946" i="1"/>
  <c r="AE947" i="1"/>
  <c r="AE948" i="1"/>
  <c r="AE949" i="1"/>
  <c r="AE950" i="1"/>
  <c r="AE951" i="1"/>
  <c r="AE952" i="1"/>
  <c r="AE953" i="1"/>
  <c r="AE954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2" i="1"/>
  <c r="AD733" i="1"/>
  <c r="AD734" i="1"/>
  <c r="AD735" i="1"/>
  <c r="AD736" i="1"/>
  <c r="AD737" i="1"/>
  <c r="AD738" i="1"/>
  <c r="AD739" i="1"/>
  <c r="AD740" i="1"/>
  <c r="AD741" i="1"/>
  <c r="AD742" i="1"/>
  <c r="AD743" i="1"/>
  <c r="AD744" i="1"/>
  <c r="AD745" i="1"/>
  <c r="AD746" i="1"/>
  <c r="AD747" i="1"/>
  <c r="AD748" i="1"/>
  <c r="AD749" i="1"/>
  <c r="AD750" i="1"/>
  <c r="AD751" i="1"/>
  <c r="AD752" i="1"/>
  <c r="AD753" i="1"/>
  <c r="AD754" i="1"/>
  <c r="AD755" i="1"/>
  <c r="AD756" i="1"/>
  <c r="AD757" i="1"/>
  <c r="AD758" i="1"/>
  <c r="AD759" i="1"/>
  <c r="AD760" i="1"/>
  <c r="AD761" i="1"/>
  <c r="AD762" i="1"/>
  <c r="AD763" i="1"/>
  <c r="AD764" i="1"/>
  <c r="AD765" i="1"/>
  <c r="AD766" i="1"/>
  <c r="AD767" i="1"/>
  <c r="AD768" i="1"/>
  <c r="AD769" i="1"/>
  <c r="AD770" i="1"/>
  <c r="AD771" i="1"/>
  <c r="AD772" i="1"/>
  <c r="AD773" i="1"/>
  <c r="AD774" i="1"/>
  <c r="AD775" i="1"/>
  <c r="AD776" i="1"/>
  <c r="AD777" i="1"/>
  <c r="AD778" i="1"/>
  <c r="AD779" i="1"/>
  <c r="AD780" i="1"/>
  <c r="AD781" i="1"/>
  <c r="AD782" i="1"/>
  <c r="AD783" i="1"/>
  <c r="AD784" i="1"/>
  <c r="AD785" i="1"/>
  <c r="AD786" i="1"/>
  <c r="AD787" i="1"/>
  <c r="AD788" i="1"/>
  <c r="AD789" i="1"/>
  <c r="AD790" i="1"/>
  <c r="AD791" i="1"/>
  <c r="AD792" i="1"/>
  <c r="AD793" i="1"/>
  <c r="AD794" i="1"/>
  <c r="AD795" i="1"/>
  <c r="AD796" i="1"/>
  <c r="AD797" i="1"/>
  <c r="AD798" i="1"/>
  <c r="AD799" i="1"/>
  <c r="AD800" i="1"/>
  <c r="AD801" i="1"/>
  <c r="AD802" i="1"/>
  <c r="AD803" i="1"/>
  <c r="AD804" i="1"/>
  <c r="AD805" i="1"/>
  <c r="AD806" i="1"/>
  <c r="AD807" i="1"/>
  <c r="AD808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77" i="1"/>
  <c r="AD878" i="1"/>
  <c r="AD879" i="1"/>
  <c r="AD880" i="1"/>
  <c r="AD881" i="1"/>
  <c r="AD882" i="1"/>
  <c r="AD883" i="1"/>
  <c r="AD884" i="1"/>
  <c r="AD885" i="1"/>
  <c r="AD886" i="1"/>
  <c r="AD887" i="1"/>
  <c r="AD888" i="1"/>
  <c r="AD889" i="1"/>
  <c r="AD890" i="1"/>
  <c r="AD891" i="1"/>
  <c r="AD892" i="1"/>
  <c r="AD893" i="1"/>
  <c r="AD894" i="1"/>
  <c r="AD895" i="1"/>
  <c r="AD896" i="1"/>
  <c r="AD897" i="1"/>
  <c r="AD898" i="1"/>
  <c r="AD899" i="1"/>
  <c r="AD900" i="1"/>
  <c r="AD901" i="1"/>
  <c r="AD902" i="1"/>
  <c r="AD903" i="1"/>
  <c r="AD904" i="1"/>
  <c r="AD905" i="1"/>
  <c r="AD906" i="1"/>
  <c r="AD907" i="1"/>
  <c r="AD908" i="1"/>
  <c r="AD909" i="1"/>
  <c r="AD910" i="1"/>
  <c r="AD911" i="1"/>
  <c r="AD912" i="1"/>
  <c r="AD913" i="1"/>
  <c r="AD914" i="1"/>
  <c r="AD915" i="1"/>
  <c r="AD916" i="1"/>
  <c r="AD917" i="1"/>
  <c r="AD918" i="1"/>
  <c r="AD919" i="1"/>
  <c r="AD920" i="1"/>
  <c r="AD921" i="1"/>
  <c r="AD922" i="1"/>
  <c r="AD923" i="1"/>
  <c r="AD924" i="1"/>
  <c r="AD925" i="1"/>
  <c r="AD926" i="1"/>
  <c r="AD927" i="1"/>
  <c r="AD928" i="1"/>
  <c r="AD929" i="1"/>
  <c r="AD930" i="1"/>
  <c r="AD931" i="1"/>
  <c r="AD932" i="1"/>
  <c r="AD933" i="1"/>
  <c r="AD934" i="1"/>
  <c r="AD935" i="1"/>
  <c r="AD936" i="1"/>
  <c r="AD937" i="1"/>
  <c r="AD938" i="1"/>
  <c r="AD939" i="1"/>
  <c r="AD940" i="1"/>
  <c r="AD941" i="1"/>
  <c r="AD942" i="1"/>
  <c r="AD943" i="1"/>
  <c r="AD944" i="1"/>
  <c r="AD945" i="1"/>
  <c r="AD946" i="1"/>
  <c r="AD947" i="1"/>
  <c r="AD948" i="1"/>
  <c r="AD949" i="1"/>
  <c r="AD950" i="1"/>
  <c r="AD951" i="1"/>
  <c r="AD952" i="1"/>
  <c r="AD953" i="1"/>
  <c r="AD954" i="1"/>
  <c r="AD955" i="1"/>
  <c r="AD956" i="1"/>
  <c r="AD957" i="1"/>
  <c r="AD958" i="1"/>
  <c r="AD959" i="1"/>
  <c r="AD960" i="1"/>
  <c r="AD961" i="1"/>
  <c r="AD962" i="1"/>
  <c r="AD963" i="1"/>
  <c r="AD964" i="1"/>
  <c r="AD965" i="1"/>
  <c r="AD966" i="1"/>
  <c r="AD967" i="1"/>
  <c r="AD968" i="1"/>
  <c r="AD969" i="1"/>
  <c r="AD970" i="1"/>
  <c r="AD971" i="1"/>
  <c r="AD972" i="1"/>
  <c r="AD973" i="1"/>
  <c r="AD974" i="1"/>
  <c r="AD975" i="1"/>
  <c r="AD976" i="1"/>
  <c r="AD977" i="1"/>
  <c r="AD978" i="1"/>
  <c r="AD979" i="1"/>
  <c r="AD980" i="1"/>
  <c r="AD981" i="1"/>
  <c r="AD2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792" i="1"/>
  <c r="AC793" i="1"/>
  <c r="AC794" i="1"/>
  <c r="AC795" i="1"/>
  <c r="AC796" i="1"/>
  <c r="AC797" i="1"/>
  <c r="AC798" i="1"/>
  <c r="AC799" i="1"/>
  <c r="AC800" i="1"/>
  <c r="AC801" i="1"/>
  <c r="AC802" i="1"/>
  <c r="AC803" i="1"/>
  <c r="AC804" i="1"/>
  <c r="AC805" i="1"/>
  <c r="AC806" i="1"/>
  <c r="AC807" i="1"/>
  <c r="AC808" i="1"/>
  <c r="AC809" i="1"/>
  <c r="AC810" i="1"/>
  <c r="AC81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2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8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4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6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2" i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8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0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6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39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1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7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B740" i="1"/>
  <c r="AB741" i="1"/>
  <c r="AB742" i="1"/>
  <c r="AB743" i="1"/>
  <c r="AB744" i="1"/>
  <c r="AB745" i="1"/>
  <c r="AB746" i="1"/>
  <c r="AB747" i="1"/>
  <c r="AB748" i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4" i="1"/>
  <c r="AB785" i="1"/>
  <c r="AB786" i="1"/>
  <c r="AB787" i="1"/>
  <c r="AB788" i="1"/>
  <c r="AB789" i="1"/>
  <c r="AB790" i="1"/>
  <c r="AB791" i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B818" i="1"/>
  <c r="AB819" i="1"/>
  <c r="AB820" i="1"/>
  <c r="AB821" i="1"/>
  <c r="AB822" i="1"/>
  <c r="AB823" i="1"/>
  <c r="AB824" i="1"/>
  <c r="AB825" i="1"/>
  <c r="AB826" i="1"/>
  <c r="AB827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69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3" i="1"/>
  <c r="AB914" i="1"/>
  <c r="AB915" i="1"/>
  <c r="AB916" i="1"/>
  <c r="AB917" i="1"/>
  <c r="AB918" i="1"/>
  <c r="AB919" i="1"/>
  <c r="AB920" i="1"/>
  <c r="AB921" i="1"/>
  <c r="AB922" i="1"/>
  <c r="AB923" i="1"/>
  <c r="AB924" i="1"/>
  <c r="AB925" i="1"/>
  <c r="AB926" i="1"/>
  <c r="AB927" i="1"/>
  <c r="AB928" i="1"/>
  <c r="AB929" i="1"/>
  <c r="AB930" i="1"/>
  <c r="AB931" i="1"/>
  <c r="AB932" i="1"/>
  <c r="AB933" i="1"/>
  <c r="AB934" i="1"/>
  <c r="AB935" i="1"/>
  <c r="AB936" i="1"/>
  <c r="AB937" i="1"/>
  <c r="AB938" i="1"/>
  <c r="AB939" i="1"/>
  <c r="AB940" i="1"/>
  <c r="AB941" i="1"/>
  <c r="AB942" i="1"/>
  <c r="AB943" i="1"/>
  <c r="AB944" i="1"/>
  <c r="AB945" i="1"/>
  <c r="AB946" i="1"/>
  <c r="AB947" i="1"/>
  <c r="AB948" i="1"/>
  <c r="AB949" i="1"/>
  <c r="AB950" i="1"/>
  <c r="AB951" i="1"/>
  <c r="AB952" i="1"/>
  <c r="AB953" i="1"/>
  <c r="AB954" i="1"/>
  <c r="AB955" i="1"/>
  <c r="AB956" i="1"/>
  <c r="AB957" i="1"/>
  <c r="AB958" i="1"/>
  <c r="AB959" i="1"/>
  <c r="AB960" i="1"/>
  <c r="AB961" i="1"/>
  <c r="AB962" i="1"/>
  <c r="AB963" i="1"/>
  <c r="AB964" i="1"/>
  <c r="AB965" i="1"/>
  <c r="AB966" i="1"/>
  <c r="AB967" i="1"/>
  <c r="AB968" i="1"/>
  <c r="AB969" i="1"/>
  <c r="AB970" i="1"/>
  <c r="AB971" i="1"/>
  <c r="AB972" i="1"/>
  <c r="AB973" i="1"/>
  <c r="AB974" i="1"/>
  <c r="AB975" i="1"/>
  <c r="AB976" i="1"/>
  <c r="AB977" i="1"/>
  <c r="AB978" i="1"/>
  <c r="AB979" i="1"/>
  <c r="AB980" i="1"/>
  <c r="AB981" i="1"/>
  <c r="AB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68" i="1"/>
  <c r="AA369" i="1"/>
  <c r="AA370" i="1"/>
  <c r="AA371" i="1"/>
  <c r="AA372" i="1"/>
  <c r="AA373" i="1"/>
  <c r="AA374" i="1"/>
  <c r="AA375" i="1"/>
  <c r="AA376" i="1"/>
  <c r="AA377" i="1"/>
  <c r="AA378" i="1"/>
  <c r="AA379" i="1"/>
  <c r="AA380" i="1"/>
  <c r="AA381" i="1"/>
  <c r="AA382" i="1"/>
  <c r="AA383" i="1"/>
  <c r="AA384" i="1"/>
  <c r="AA385" i="1"/>
  <c r="AA386" i="1"/>
  <c r="AA387" i="1"/>
  <c r="AA388" i="1"/>
  <c r="AA389" i="1"/>
  <c r="AA390" i="1"/>
  <c r="AA391" i="1"/>
  <c r="AA392" i="1"/>
  <c r="AA393" i="1"/>
  <c r="AA394" i="1"/>
  <c r="AA395" i="1"/>
  <c r="AA396" i="1"/>
  <c r="AA397" i="1"/>
  <c r="AA398" i="1"/>
  <c r="AA399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24" i="1"/>
  <c r="AA425" i="1"/>
  <c r="AA426" i="1"/>
  <c r="AA427" i="1"/>
  <c r="AA428" i="1"/>
  <c r="AA429" i="1"/>
  <c r="AA430" i="1"/>
  <c r="AA431" i="1"/>
  <c r="AA432" i="1"/>
  <c r="AA433" i="1"/>
  <c r="AA434" i="1"/>
  <c r="AA435" i="1"/>
  <c r="AA436" i="1"/>
  <c r="AA437" i="1"/>
  <c r="AA438" i="1"/>
  <c r="AA439" i="1"/>
  <c r="AA440" i="1"/>
  <c r="AA441" i="1"/>
  <c r="AA442" i="1"/>
  <c r="AA443" i="1"/>
  <c r="AA444" i="1"/>
  <c r="AA445" i="1"/>
  <c r="AA446" i="1"/>
  <c r="AA447" i="1"/>
  <c r="AA448" i="1"/>
  <c r="AA449" i="1"/>
  <c r="AA450" i="1"/>
  <c r="AA451" i="1"/>
  <c r="AA452" i="1"/>
  <c r="AA453" i="1"/>
  <c r="AA454" i="1"/>
  <c r="AA455" i="1"/>
  <c r="AA456" i="1"/>
  <c r="AA457" i="1"/>
  <c r="AA458" i="1"/>
  <c r="AA459" i="1"/>
  <c r="AA460" i="1"/>
  <c r="AA461" i="1"/>
  <c r="AA462" i="1"/>
  <c r="AA463" i="1"/>
  <c r="AA464" i="1"/>
  <c r="AA465" i="1"/>
  <c r="AA466" i="1"/>
  <c r="AA467" i="1"/>
  <c r="AA468" i="1"/>
  <c r="AA469" i="1"/>
  <c r="AA470" i="1"/>
  <c r="AA471" i="1"/>
  <c r="AA472" i="1"/>
  <c r="AA473" i="1"/>
  <c r="AA474" i="1"/>
  <c r="AA475" i="1"/>
  <c r="AA476" i="1"/>
  <c r="AA477" i="1"/>
  <c r="AA478" i="1"/>
  <c r="AA479" i="1"/>
  <c r="AA480" i="1"/>
  <c r="AA481" i="1"/>
  <c r="AA482" i="1"/>
  <c r="AA483" i="1"/>
  <c r="AA484" i="1"/>
  <c r="AA485" i="1"/>
  <c r="AA486" i="1"/>
  <c r="AA487" i="1"/>
  <c r="AA488" i="1"/>
  <c r="AA489" i="1"/>
  <c r="AA490" i="1"/>
  <c r="AA491" i="1"/>
  <c r="AA492" i="1"/>
  <c r="AA493" i="1"/>
  <c r="AA494" i="1"/>
  <c r="AA495" i="1"/>
  <c r="AA496" i="1"/>
  <c r="AA497" i="1"/>
  <c r="AA498" i="1"/>
  <c r="AA499" i="1"/>
  <c r="AA500" i="1"/>
  <c r="AA501" i="1"/>
  <c r="AA502" i="1"/>
  <c r="AA503" i="1"/>
  <c r="AA504" i="1"/>
  <c r="AA505" i="1"/>
  <c r="AA506" i="1"/>
  <c r="AA507" i="1"/>
  <c r="AA508" i="1"/>
  <c r="AA509" i="1"/>
  <c r="AA510" i="1"/>
  <c r="AA511" i="1"/>
  <c r="AA512" i="1"/>
  <c r="AA513" i="1"/>
  <c r="AA514" i="1"/>
  <c r="AA515" i="1"/>
  <c r="AA516" i="1"/>
  <c r="AA517" i="1"/>
  <c r="AA518" i="1"/>
  <c r="AA519" i="1"/>
  <c r="AA520" i="1"/>
  <c r="AA521" i="1"/>
  <c r="AA522" i="1"/>
  <c r="AA523" i="1"/>
  <c r="AA524" i="1"/>
  <c r="AA525" i="1"/>
  <c r="AA526" i="1"/>
  <c r="AA527" i="1"/>
  <c r="AA528" i="1"/>
  <c r="AA529" i="1"/>
  <c r="AA530" i="1"/>
  <c r="AA531" i="1"/>
  <c r="AA532" i="1"/>
  <c r="AA533" i="1"/>
  <c r="AA534" i="1"/>
  <c r="AA535" i="1"/>
  <c r="AA536" i="1"/>
  <c r="AA537" i="1"/>
  <c r="AA538" i="1"/>
  <c r="AA539" i="1"/>
  <c r="AA540" i="1"/>
  <c r="AA541" i="1"/>
  <c r="AA542" i="1"/>
  <c r="AA543" i="1"/>
  <c r="AA544" i="1"/>
  <c r="AA545" i="1"/>
  <c r="AA546" i="1"/>
  <c r="AA547" i="1"/>
  <c r="AA548" i="1"/>
  <c r="AA549" i="1"/>
  <c r="AA550" i="1"/>
  <c r="AA551" i="1"/>
  <c r="AA552" i="1"/>
  <c r="AA553" i="1"/>
  <c r="AA554" i="1"/>
  <c r="AA555" i="1"/>
  <c r="AA556" i="1"/>
  <c r="AA557" i="1"/>
  <c r="AA558" i="1"/>
  <c r="AA559" i="1"/>
  <c r="AA560" i="1"/>
  <c r="AA561" i="1"/>
  <c r="AA562" i="1"/>
  <c r="AA563" i="1"/>
  <c r="AA564" i="1"/>
  <c r="AA565" i="1"/>
  <c r="AA566" i="1"/>
  <c r="AA567" i="1"/>
  <c r="AA568" i="1"/>
  <c r="AA569" i="1"/>
  <c r="AA570" i="1"/>
  <c r="AA571" i="1"/>
  <c r="AA572" i="1"/>
  <c r="AA573" i="1"/>
  <c r="AA574" i="1"/>
  <c r="AA575" i="1"/>
  <c r="AA576" i="1"/>
  <c r="AA577" i="1"/>
  <c r="AA578" i="1"/>
  <c r="AA579" i="1"/>
  <c r="AA580" i="1"/>
  <c r="AA581" i="1"/>
  <c r="AA582" i="1"/>
  <c r="AA583" i="1"/>
  <c r="AA584" i="1"/>
  <c r="AA585" i="1"/>
  <c r="AA586" i="1"/>
  <c r="AA587" i="1"/>
  <c r="AA588" i="1"/>
  <c r="AA589" i="1"/>
  <c r="AA590" i="1"/>
  <c r="AA591" i="1"/>
  <c r="AA592" i="1"/>
  <c r="AA593" i="1"/>
  <c r="AA594" i="1"/>
  <c r="AA595" i="1"/>
  <c r="AA596" i="1"/>
  <c r="AA597" i="1"/>
  <c r="AA598" i="1"/>
  <c r="AA599" i="1"/>
  <c r="AA600" i="1"/>
  <c r="AA601" i="1"/>
  <c r="AA602" i="1"/>
  <c r="AA603" i="1"/>
  <c r="AA604" i="1"/>
  <c r="AA605" i="1"/>
  <c r="AA606" i="1"/>
  <c r="AA607" i="1"/>
  <c r="AA608" i="1"/>
  <c r="AA609" i="1"/>
  <c r="AA610" i="1"/>
  <c r="AA611" i="1"/>
  <c r="AA612" i="1"/>
  <c r="AA613" i="1"/>
  <c r="AA614" i="1"/>
  <c r="AA615" i="1"/>
  <c r="AA616" i="1"/>
  <c r="AA617" i="1"/>
  <c r="AA618" i="1"/>
  <c r="AA619" i="1"/>
  <c r="AA620" i="1"/>
  <c r="AA621" i="1"/>
  <c r="AA622" i="1"/>
  <c r="AA623" i="1"/>
  <c r="AA624" i="1"/>
  <c r="AA625" i="1"/>
  <c r="AA626" i="1"/>
  <c r="AA627" i="1"/>
  <c r="AA628" i="1"/>
  <c r="AA629" i="1"/>
  <c r="AA630" i="1"/>
  <c r="AA631" i="1"/>
  <c r="AA632" i="1"/>
  <c r="AA633" i="1"/>
  <c r="AA634" i="1"/>
  <c r="AA635" i="1"/>
  <c r="AA636" i="1"/>
  <c r="AA637" i="1"/>
  <c r="AA638" i="1"/>
  <c r="AA639" i="1"/>
  <c r="AA640" i="1"/>
  <c r="AA641" i="1"/>
  <c r="AA642" i="1"/>
  <c r="AA643" i="1"/>
  <c r="AA644" i="1"/>
  <c r="AA645" i="1"/>
  <c r="AA646" i="1"/>
  <c r="AA647" i="1"/>
  <c r="AA648" i="1"/>
  <c r="AA649" i="1"/>
  <c r="AA650" i="1"/>
  <c r="AA651" i="1"/>
  <c r="AA652" i="1"/>
  <c r="AA653" i="1"/>
  <c r="AA654" i="1"/>
  <c r="AA655" i="1"/>
  <c r="AA656" i="1"/>
  <c r="AA657" i="1"/>
  <c r="AA658" i="1"/>
  <c r="AA659" i="1"/>
  <c r="AA660" i="1"/>
  <c r="AA661" i="1"/>
  <c r="AA662" i="1"/>
  <c r="AA663" i="1"/>
  <c r="AA664" i="1"/>
  <c r="AA665" i="1"/>
  <c r="AA666" i="1"/>
  <c r="AA667" i="1"/>
  <c r="AA668" i="1"/>
  <c r="AA669" i="1"/>
  <c r="AA670" i="1"/>
  <c r="AA671" i="1"/>
  <c r="AA672" i="1"/>
  <c r="AA673" i="1"/>
  <c r="AA674" i="1"/>
  <c r="AA675" i="1"/>
  <c r="AA676" i="1"/>
  <c r="AA677" i="1"/>
  <c r="AA678" i="1"/>
  <c r="AA679" i="1"/>
  <c r="AA680" i="1"/>
  <c r="AA681" i="1"/>
  <c r="AA682" i="1"/>
  <c r="AA683" i="1"/>
  <c r="AA684" i="1"/>
  <c r="AA685" i="1"/>
  <c r="AA686" i="1"/>
  <c r="AA687" i="1"/>
  <c r="AA688" i="1"/>
  <c r="AA689" i="1"/>
  <c r="AA690" i="1"/>
  <c r="AA691" i="1"/>
  <c r="AA692" i="1"/>
  <c r="AA693" i="1"/>
  <c r="AA694" i="1"/>
  <c r="AA695" i="1"/>
  <c r="AA696" i="1"/>
  <c r="AA697" i="1"/>
  <c r="AA698" i="1"/>
  <c r="AA699" i="1"/>
  <c r="AA700" i="1"/>
  <c r="AA701" i="1"/>
  <c r="AA702" i="1"/>
  <c r="AA703" i="1"/>
  <c r="AA704" i="1"/>
  <c r="AA705" i="1"/>
  <c r="AA706" i="1"/>
  <c r="AA707" i="1"/>
  <c r="AA708" i="1"/>
  <c r="AA709" i="1"/>
  <c r="AA710" i="1"/>
  <c r="AA711" i="1"/>
  <c r="AA712" i="1"/>
  <c r="AA713" i="1"/>
  <c r="AA714" i="1"/>
  <c r="AA715" i="1"/>
  <c r="AA716" i="1"/>
  <c r="AA717" i="1"/>
  <c r="AA718" i="1"/>
  <c r="AA719" i="1"/>
  <c r="AA720" i="1"/>
  <c r="AA721" i="1"/>
  <c r="AA722" i="1"/>
  <c r="AA723" i="1"/>
  <c r="AA724" i="1"/>
  <c r="AA725" i="1"/>
  <c r="AA726" i="1"/>
  <c r="AA727" i="1"/>
  <c r="AA728" i="1"/>
  <c r="AA729" i="1"/>
  <c r="AA730" i="1"/>
  <c r="AA731" i="1"/>
  <c r="AA732" i="1"/>
  <c r="AA733" i="1"/>
  <c r="AA734" i="1"/>
  <c r="AA735" i="1"/>
  <c r="AA736" i="1"/>
  <c r="AA737" i="1"/>
  <c r="AA738" i="1"/>
  <c r="AA739" i="1"/>
  <c r="AA740" i="1"/>
  <c r="AA741" i="1"/>
  <c r="AA742" i="1"/>
  <c r="AA743" i="1"/>
  <c r="AA744" i="1"/>
  <c r="AA745" i="1"/>
  <c r="AA746" i="1"/>
  <c r="AA747" i="1"/>
  <c r="AA748" i="1"/>
  <c r="AA749" i="1"/>
  <c r="AA750" i="1"/>
  <c r="AA751" i="1"/>
  <c r="AA752" i="1"/>
  <c r="AA753" i="1"/>
  <c r="AA754" i="1"/>
  <c r="AA755" i="1"/>
  <c r="AA756" i="1"/>
  <c r="AA757" i="1"/>
  <c r="AA758" i="1"/>
  <c r="AA759" i="1"/>
  <c r="AA760" i="1"/>
  <c r="AA761" i="1"/>
  <c r="AA762" i="1"/>
  <c r="AA763" i="1"/>
  <c r="AA764" i="1"/>
  <c r="AA765" i="1"/>
  <c r="AA766" i="1"/>
  <c r="AA767" i="1"/>
  <c r="AA768" i="1"/>
  <c r="AA769" i="1"/>
  <c r="AA770" i="1"/>
  <c r="AA771" i="1"/>
  <c r="AA772" i="1"/>
  <c r="AA773" i="1"/>
  <c r="AA774" i="1"/>
  <c r="AA775" i="1"/>
  <c r="AA776" i="1"/>
  <c r="AA777" i="1"/>
  <c r="AA778" i="1"/>
  <c r="AA779" i="1"/>
  <c r="AA780" i="1"/>
  <c r="AA781" i="1"/>
  <c r="AA782" i="1"/>
  <c r="AA783" i="1"/>
  <c r="AA784" i="1"/>
  <c r="AA785" i="1"/>
  <c r="AA786" i="1"/>
  <c r="AA787" i="1"/>
  <c r="AA788" i="1"/>
  <c r="AA789" i="1"/>
  <c r="AA790" i="1"/>
  <c r="AA791" i="1"/>
  <c r="AA792" i="1"/>
  <c r="AA793" i="1"/>
  <c r="AA794" i="1"/>
  <c r="AA795" i="1"/>
  <c r="AA796" i="1"/>
  <c r="AA797" i="1"/>
  <c r="AA798" i="1"/>
  <c r="AA799" i="1"/>
  <c r="AA800" i="1"/>
  <c r="AA801" i="1"/>
  <c r="AA802" i="1"/>
  <c r="AA803" i="1"/>
  <c r="AA804" i="1"/>
  <c r="AA805" i="1"/>
  <c r="AA806" i="1"/>
  <c r="AA807" i="1"/>
  <c r="AA808" i="1"/>
  <c r="AA809" i="1"/>
  <c r="AA810" i="1"/>
  <c r="AA811" i="1"/>
  <c r="AA812" i="1"/>
  <c r="AA813" i="1"/>
  <c r="AA814" i="1"/>
  <c r="AA815" i="1"/>
  <c r="AA816" i="1"/>
  <c r="AA817" i="1"/>
  <c r="AA818" i="1"/>
  <c r="AA819" i="1"/>
  <c r="AA820" i="1"/>
  <c r="AA821" i="1"/>
  <c r="AA822" i="1"/>
  <c r="AA823" i="1"/>
  <c r="AA824" i="1"/>
  <c r="AA825" i="1"/>
  <c r="AA826" i="1"/>
  <c r="AA827" i="1"/>
  <c r="AA828" i="1"/>
  <c r="AA829" i="1"/>
  <c r="AA830" i="1"/>
  <c r="AA831" i="1"/>
  <c r="AA832" i="1"/>
  <c r="AA833" i="1"/>
  <c r="AA834" i="1"/>
  <c r="AA835" i="1"/>
  <c r="AA836" i="1"/>
  <c r="AA837" i="1"/>
  <c r="AA838" i="1"/>
  <c r="AA839" i="1"/>
  <c r="AA840" i="1"/>
  <c r="AA841" i="1"/>
  <c r="AA842" i="1"/>
  <c r="AA843" i="1"/>
  <c r="AA844" i="1"/>
  <c r="AA845" i="1"/>
  <c r="AA846" i="1"/>
  <c r="AA847" i="1"/>
  <c r="AA848" i="1"/>
  <c r="AA849" i="1"/>
  <c r="AA850" i="1"/>
  <c r="AA851" i="1"/>
  <c r="AA852" i="1"/>
  <c r="AA853" i="1"/>
  <c r="AA854" i="1"/>
  <c r="AA855" i="1"/>
  <c r="AA856" i="1"/>
  <c r="AA857" i="1"/>
  <c r="AA858" i="1"/>
  <c r="AA859" i="1"/>
  <c r="AA860" i="1"/>
  <c r="AA861" i="1"/>
  <c r="AA862" i="1"/>
  <c r="AA863" i="1"/>
  <c r="AA864" i="1"/>
  <c r="AA865" i="1"/>
  <c r="AA866" i="1"/>
  <c r="AA867" i="1"/>
  <c r="AA868" i="1"/>
  <c r="AA869" i="1"/>
  <c r="AA870" i="1"/>
  <c r="AA871" i="1"/>
  <c r="AA872" i="1"/>
  <c r="AA873" i="1"/>
  <c r="AA874" i="1"/>
  <c r="AA875" i="1"/>
  <c r="AA876" i="1"/>
  <c r="AA877" i="1"/>
  <c r="AA878" i="1"/>
  <c r="AA879" i="1"/>
  <c r="AA880" i="1"/>
  <c r="AA881" i="1"/>
  <c r="AA882" i="1"/>
  <c r="AA883" i="1"/>
  <c r="AA884" i="1"/>
  <c r="AA885" i="1"/>
  <c r="AA886" i="1"/>
  <c r="AA887" i="1"/>
  <c r="AA888" i="1"/>
  <c r="AA889" i="1"/>
  <c r="AA890" i="1"/>
  <c r="AA891" i="1"/>
  <c r="AA892" i="1"/>
  <c r="AA893" i="1"/>
  <c r="AA894" i="1"/>
  <c r="AA895" i="1"/>
  <c r="AA896" i="1"/>
  <c r="AA897" i="1"/>
  <c r="AA898" i="1"/>
  <c r="AA899" i="1"/>
  <c r="AA900" i="1"/>
  <c r="AA901" i="1"/>
  <c r="AA902" i="1"/>
  <c r="AA903" i="1"/>
  <c r="AA904" i="1"/>
  <c r="AA905" i="1"/>
  <c r="AA906" i="1"/>
  <c r="AA907" i="1"/>
  <c r="AA908" i="1"/>
  <c r="AA909" i="1"/>
  <c r="AA910" i="1"/>
  <c r="AA911" i="1"/>
  <c r="AA912" i="1"/>
  <c r="AA913" i="1"/>
  <c r="AA914" i="1"/>
  <c r="AA915" i="1"/>
  <c r="AA916" i="1"/>
  <c r="AA917" i="1"/>
  <c r="AA918" i="1"/>
  <c r="AA919" i="1"/>
  <c r="AA920" i="1"/>
  <c r="AA921" i="1"/>
  <c r="AA922" i="1"/>
  <c r="AA923" i="1"/>
  <c r="AA924" i="1"/>
  <c r="AA925" i="1"/>
  <c r="AA926" i="1"/>
  <c r="AA927" i="1"/>
  <c r="AA928" i="1"/>
  <c r="AA929" i="1"/>
  <c r="AA930" i="1"/>
  <c r="AA931" i="1"/>
  <c r="AA932" i="1"/>
  <c r="AA933" i="1"/>
  <c r="AA934" i="1"/>
  <c r="AA935" i="1"/>
  <c r="AA936" i="1"/>
  <c r="AA937" i="1"/>
  <c r="AA938" i="1"/>
  <c r="AA939" i="1"/>
  <c r="AA940" i="1"/>
  <c r="AA941" i="1"/>
  <c r="AA942" i="1"/>
  <c r="AA943" i="1"/>
  <c r="AA944" i="1"/>
  <c r="AA945" i="1"/>
  <c r="AA946" i="1"/>
  <c r="AA947" i="1"/>
  <c r="AA948" i="1"/>
  <c r="AA949" i="1"/>
  <c r="AA950" i="1"/>
  <c r="AA951" i="1"/>
  <c r="AA952" i="1"/>
  <c r="AA953" i="1"/>
  <c r="AA954" i="1"/>
  <c r="AA955" i="1"/>
  <c r="AA956" i="1"/>
  <c r="AA957" i="1"/>
  <c r="AA958" i="1"/>
  <c r="AA959" i="1"/>
  <c r="AA960" i="1"/>
  <c r="AA961" i="1"/>
  <c r="AA962" i="1"/>
  <c r="AA963" i="1"/>
  <c r="AA964" i="1"/>
  <c r="AA965" i="1"/>
  <c r="AA966" i="1"/>
  <c r="AA967" i="1"/>
  <c r="AA968" i="1"/>
  <c r="AA969" i="1"/>
  <c r="AA970" i="1"/>
  <c r="AA971" i="1"/>
  <c r="AA972" i="1"/>
  <c r="AA973" i="1"/>
  <c r="AA974" i="1"/>
  <c r="AA975" i="1"/>
  <c r="AA976" i="1"/>
  <c r="AA977" i="1"/>
  <c r="AA978" i="1"/>
  <c r="AA979" i="1"/>
  <c r="AA980" i="1"/>
  <c r="AA981" i="1"/>
  <c r="AA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2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4" i="1"/>
  <c r="Z475" i="1"/>
  <c r="Z476" i="1"/>
  <c r="Z477" i="1"/>
  <c r="Z478" i="1"/>
  <c r="Z479" i="1"/>
  <c r="Z480" i="1"/>
  <c r="Z481" i="1"/>
  <c r="Z482" i="1"/>
  <c r="Z483" i="1"/>
  <c r="Z484" i="1"/>
  <c r="Z485" i="1"/>
  <c r="Z486" i="1"/>
  <c r="Z487" i="1"/>
  <c r="Z488" i="1"/>
  <c r="Z489" i="1"/>
  <c r="Z490" i="1"/>
  <c r="Z491" i="1"/>
  <c r="Z492" i="1"/>
  <c r="Z493" i="1"/>
  <c r="Z494" i="1"/>
  <c r="Z495" i="1"/>
  <c r="Z496" i="1"/>
  <c r="Z497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Z519" i="1"/>
  <c r="Z520" i="1"/>
  <c r="Z521" i="1"/>
  <c r="Z522" i="1"/>
  <c r="Z523" i="1"/>
  <c r="Z524" i="1"/>
  <c r="Z525" i="1"/>
  <c r="Z526" i="1"/>
  <c r="Z527" i="1"/>
  <c r="Z528" i="1"/>
  <c r="Z529" i="1"/>
  <c r="Z530" i="1"/>
  <c r="Z531" i="1"/>
  <c r="Z532" i="1"/>
  <c r="Z533" i="1"/>
  <c r="Z534" i="1"/>
  <c r="Z535" i="1"/>
  <c r="Z536" i="1"/>
  <c r="Z537" i="1"/>
  <c r="Z538" i="1"/>
  <c r="Z539" i="1"/>
  <c r="Z540" i="1"/>
  <c r="Z541" i="1"/>
  <c r="Z542" i="1"/>
  <c r="Z543" i="1"/>
  <c r="Z544" i="1"/>
  <c r="Z545" i="1"/>
  <c r="Z546" i="1"/>
  <c r="Z547" i="1"/>
  <c r="Z548" i="1"/>
  <c r="Z549" i="1"/>
  <c r="Z550" i="1"/>
  <c r="Z551" i="1"/>
  <c r="Z552" i="1"/>
  <c r="Z553" i="1"/>
  <c r="Z554" i="1"/>
  <c r="Z555" i="1"/>
  <c r="Z556" i="1"/>
  <c r="Z557" i="1"/>
  <c r="Z558" i="1"/>
  <c r="Z559" i="1"/>
  <c r="Z560" i="1"/>
  <c r="Z561" i="1"/>
  <c r="Z562" i="1"/>
  <c r="Z563" i="1"/>
  <c r="Z564" i="1"/>
  <c r="Z565" i="1"/>
  <c r="Z566" i="1"/>
  <c r="Z567" i="1"/>
  <c r="Z568" i="1"/>
  <c r="Z569" i="1"/>
  <c r="Z570" i="1"/>
  <c r="Z571" i="1"/>
  <c r="Z572" i="1"/>
  <c r="Z573" i="1"/>
  <c r="Z574" i="1"/>
  <c r="Z575" i="1"/>
  <c r="Z576" i="1"/>
  <c r="Z577" i="1"/>
  <c r="Z578" i="1"/>
  <c r="Z579" i="1"/>
  <c r="Z580" i="1"/>
  <c r="Z581" i="1"/>
  <c r="Z582" i="1"/>
  <c r="Z583" i="1"/>
  <c r="Z584" i="1"/>
  <c r="Z585" i="1"/>
  <c r="Z586" i="1"/>
  <c r="Z587" i="1"/>
  <c r="Z588" i="1"/>
  <c r="Z589" i="1"/>
  <c r="Z590" i="1"/>
  <c r="Z591" i="1"/>
  <c r="Z592" i="1"/>
  <c r="Z593" i="1"/>
  <c r="Z594" i="1"/>
  <c r="Z595" i="1"/>
  <c r="Z596" i="1"/>
  <c r="Z597" i="1"/>
  <c r="Z598" i="1"/>
  <c r="Z599" i="1"/>
  <c r="Z600" i="1"/>
  <c r="Z601" i="1"/>
  <c r="Z602" i="1"/>
  <c r="Z603" i="1"/>
  <c r="Z604" i="1"/>
  <c r="Z605" i="1"/>
  <c r="Z606" i="1"/>
  <c r="Z607" i="1"/>
  <c r="Z608" i="1"/>
  <c r="Z609" i="1"/>
  <c r="Z610" i="1"/>
  <c r="Z611" i="1"/>
  <c r="Z612" i="1"/>
  <c r="Z613" i="1"/>
  <c r="Z614" i="1"/>
  <c r="Z615" i="1"/>
  <c r="Z616" i="1"/>
  <c r="Z617" i="1"/>
  <c r="Z618" i="1"/>
  <c r="Z619" i="1"/>
  <c r="Z620" i="1"/>
  <c r="Z621" i="1"/>
  <c r="Z622" i="1"/>
  <c r="Z623" i="1"/>
  <c r="Z624" i="1"/>
  <c r="Z625" i="1"/>
  <c r="Z626" i="1"/>
  <c r="Z627" i="1"/>
  <c r="Z628" i="1"/>
  <c r="Z629" i="1"/>
  <c r="Z630" i="1"/>
  <c r="Z631" i="1"/>
  <c r="Z632" i="1"/>
  <c r="Z633" i="1"/>
  <c r="Z634" i="1"/>
  <c r="Z635" i="1"/>
  <c r="Z636" i="1"/>
  <c r="Z637" i="1"/>
  <c r="Z638" i="1"/>
  <c r="Z639" i="1"/>
  <c r="Z640" i="1"/>
  <c r="Z641" i="1"/>
  <c r="Z642" i="1"/>
  <c r="Z643" i="1"/>
  <c r="Z644" i="1"/>
  <c r="Z645" i="1"/>
  <c r="Z646" i="1"/>
  <c r="Z647" i="1"/>
  <c r="Z648" i="1"/>
  <c r="Z649" i="1"/>
  <c r="Z650" i="1"/>
  <c r="Z651" i="1"/>
  <c r="Z652" i="1"/>
  <c r="Z653" i="1"/>
  <c r="Z654" i="1"/>
  <c r="Z655" i="1"/>
  <c r="Z656" i="1"/>
  <c r="Z657" i="1"/>
  <c r="Z658" i="1"/>
  <c r="Z659" i="1"/>
  <c r="Z660" i="1"/>
  <c r="Z661" i="1"/>
  <c r="Z662" i="1"/>
  <c r="Z663" i="1"/>
  <c r="Z664" i="1"/>
  <c r="Z665" i="1"/>
  <c r="Z666" i="1"/>
  <c r="Z667" i="1"/>
  <c r="Z668" i="1"/>
  <c r="Z669" i="1"/>
  <c r="Z670" i="1"/>
  <c r="Z671" i="1"/>
  <c r="Z672" i="1"/>
  <c r="Z673" i="1"/>
  <c r="Z674" i="1"/>
  <c r="Z675" i="1"/>
  <c r="Z676" i="1"/>
  <c r="Z677" i="1"/>
  <c r="Z678" i="1"/>
  <c r="Z679" i="1"/>
  <c r="Z680" i="1"/>
  <c r="Z681" i="1"/>
  <c r="Z682" i="1"/>
  <c r="Z683" i="1"/>
  <c r="Z684" i="1"/>
  <c r="Z685" i="1"/>
  <c r="Z686" i="1"/>
  <c r="Z687" i="1"/>
  <c r="Z688" i="1"/>
  <c r="Z689" i="1"/>
  <c r="Z690" i="1"/>
  <c r="Z691" i="1"/>
  <c r="Z692" i="1"/>
  <c r="Z693" i="1"/>
  <c r="Z694" i="1"/>
  <c r="Z695" i="1"/>
  <c r="Z696" i="1"/>
  <c r="Z697" i="1"/>
  <c r="Z698" i="1"/>
  <c r="Z699" i="1"/>
  <c r="Z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494" i="1"/>
  <c r="X495" i="1"/>
  <c r="X496" i="1"/>
  <c r="X497" i="1"/>
  <c r="X498" i="1"/>
  <c r="X499" i="1"/>
  <c r="X500" i="1"/>
  <c r="X501" i="1"/>
  <c r="X502" i="1"/>
  <c r="X503" i="1"/>
  <c r="X504" i="1"/>
  <c r="X505" i="1"/>
  <c r="X506" i="1"/>
  <c r="X507" i="1"/>
  <c r="X508" i="1"/>
  <c r="X509" i="1"/>
  <c r="X510" i="1"/>
  <c r="X511" i="1"/>
  <c r="X512" i="1"/>
  <c r="X513" i="1"/>
  <c r="X514" i="1"/>
  <c r="X515" i="1"/>
  <c r="X516" i="1"/>
  <c r="X517" i="1"/>
  <c r="X518" i="1"/>
  <c r="X519" i="1"/>
  <c r="X520" i="1"/>
  <c r="X521" i="1"/>
  <c r="X522" i="1"/>
  <c r="X523" i="1"/>
  <c r="X524" i="1"/>
  <c r="X525" i="1"/>
  <c r="X526" i="1"/>
  <c r="X527" i="1"/>
  <c r="X528" i="1"/>
  <c r="X529" i="1"/>
  <c r="X530" i="1"/>
  <c r="X531" i="1"/>
  <c r="X532" i="1"/>
  <c r="X533" i="1"/>
  <c r="X534" i="1"/>
  <c r="X535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549" i="1"/>
  <c r="X550" i="1"/>
  <c r="X551" i="1"/>
  <c r="X552" i="1"/>
  <c r="X553" i="1"/>
  <c r="X554" i="1"/>
  <c r="X555" i="1"/>
  <c r="X556" i="1"/>
  <c r="X557" i="1"/>
  <c r="X558" i="1"/>
  <c r="X559" i="1"/>
  <c r="X560" i="1"/>
  <c r="X561" i="1"/>
  <c r="X562" i="1"/>
  <c r="X563" i="1"/>
  <c r="X564" i="1"/>
  <c r="X565" i="1"/>
  <c r="X566" i="1"/>
  <c r="X567" i="1"/>
  <c r="X568" i="1"/>
  <c r="X569" i="1"/>
  <c r="X570" i="1"/>
  <c r="X571" i="1"/>
  <c r="X572" i="1"/>
  <c r="X573" i="1"/>
  <c r="X574" i="1"/>
  <c r="X575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588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605" i="1"/>
  <c r="X606" i="1"/>
  <c r="X607" i="1"/>
  <c r="X608" i="1"/>
  <c r="X609" i="1"/>
  <c r="X610" i="1"/>
  <c r="X611" i="1"/>
  <c r="X612" i="1"/>
  <c r="X613" i="1"/>
  <c r="X614" i="1"/>
  <c r="X615" i="1"/>
  <c r="X616" i="1"/>
  <c r="X617" i="1"/>
  <c r="X618" i="1"/>
  <c r="X619" i="1"/>
  <c r="X620" i="1"/>
  <c r="X621" i="1"/>
  <c r="X622" i="1"/>
  <c r="X623" i="1"/>
  <c r="X624" i="1"/>
  <c r="X625" i="1"/>
  <c r="X626" i="1"/>
  <c r="X627" i="1"/>
  <c r="X628" i="1"/>
  <c r="X629" i="1"/>
  <c r="X630" i="1"/>
  <c r="X631" i="1"/>
  <c r="X632" i="1"/>
  <c r="X633" i="1"/>
  <c r="X634" i="1"/>
  <c r="X635" i="1"/>
  <c r="X636" i="1"/>
  <c r="X637" i="1"/>
  <c r="X638" i="1"/>
  <c r="X639" i="1"/>
  <c r="X640" i="1"/>
  <c r="X641" i="1"/>
  <c r="X642" i="1"/>
  <c r="X643" i="1"/>
  <c r="X644" i="1"/>
  <c r="X645" i="1"/>
  <c r="X646" i="1"/>
  <c r="X647" i="1"/>
  <c r="X648" i="1"/>
  <c r="X649" i="1"/>
  <c r="X650" i="1"/>
  <c r="X651" i="1"/>
  <c r="X652" i="1"/>
  <c r="X653" i="1"/>
  <c r="X654" i="1"/>
  <c r="X655" i="1"/>
  <c r="X656" i="1"/>
  <c r="X657" i="1"/>
  <c r="X658" i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689" i="1"/>
  <c r="X690" i="1"/>
  <c r="X691" i="1"/>
  <c r="X692" i="1"/>
  <c r="X693" i="1"/>
  <c r="X694" i="1"/>
  <c r="X695" i="1"/>
  <c r="X696" i="1"/>
  <c r="X697" i="1"/>
  <c r="X698" i="1"/>
  <c r="X699" i="1"/>
  <c r="X700" i="1"/>
  <c r="X701" i="1"/>
  <c r="X702" i="1"/>
  <c r="X703" i="1"/>
  <c r="X704" i="1"/>
  <c r="X705" i="1"/>
  <c r="X706" i="1"/>
  <c r="X707" i="1"/>
  <c r="X708" i="1"/>
  <c r="X709" i="1"/>
  <c r="X710" i="1"/>
  <c r="X711" i="1"/>
  <c r="X712" i="1"/>
  <c r="X713" i="1"/>
  <c r="X714" i="1"/>
  <c r="X715" i="1"/>
  <c r="X716" i="1"/>
  <c r="X717" i="1"/>
  <c r="X718" i="1"/>
  <c r="X719" i="1"/>
  <c r="X720" i="1"/>
  <c r="X721" i="1"/>
  <c r="X722" i="1"/>
  <c r="X723" i="1"/>
  <c r="X724" i="1"/>
  <c r="X725" i="1"/>
  <c r="X726" i="1"/>
  <c r="X727" i="1"/>
  <c r="X728" i="1"/>
  <c r="X729" i="1"/>
  <c r="X730" i="1"/>
  <c r="X731" i="1"/>
  <c r="X732" i="1"/>
  <c r="X733" i="1"/>
  <c r="X734" i="1"/>
  <c r="X735" i="1"/>
  <c r="X736" i="1"/>
  <c r="X737" i="1"/>
  <c r="X738" i="1"/>
  <c r="X739" i="1"/>
  <c r="X740" i="1"/>
  <c r="X741" i="1"/>
  <c r="X742" i="1"/>
  <c r="X743" i="1"/>
  <c r="X744" i="1"/>
  <c r="X745" i="1"/>
  <c r="X746" i="1"/>
  <c r="X747" i="1"/>
  <c r="X748" i="1"/>
  <c r="X749" i="1"/>
  <c r="X750" i="1"/>
  <c r="X751" i="1"/>
  <c r="X752" i="1"/>
  <c r="X753" i="1"/>
  <c r="X754" i="1"/>
  <c r="X755" i="1"/>
  <c r="X756" i="1"/>
  <c r="X757" i="1"/>
  <c r="X758" i="1"/>
  <c r="X759" i="1"/>
  <c r="X760" i="1"/>
  <c r="X761" i="1"/>
  <c r="X762" i="1"/>
  <c r="X763" i="1"/>
  <c r="X764" i="1"/>
  <c r="X765" i="1"/>
  <c r="X766" i="1"/>
  <c r="X767" i="1"/>
  <c r="X768" i="1"/>
  <c r="X769" i="1"/>
  <c r="X770" i="1"/>
  <c r="X771" i="1"/>
  <c r="X772" i="1"/>
  <c r="X773" i="1"/>
  <c r="X774" i="1"/>
  <c r="X775" i="1"/>
  <c r="X776" i="1"/>
  <c r="X777" i="1"/>
  <c r="X778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792" i="1"/>
  <c r="X793" i="1"/>
  <c r="X794" i="1"/>
  <c r="X795" i="1"/>
  <c r="X796" i="1"/>
  <c r="X797" i="1"/>
  <c r="X798" i="1"/>
  <c r="X799" i="1"/>
  <c r="X800" i="1"/>
  <c r="X801" i="1"/>
  <c r="X802" i="1"/>
  <c r="X803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826" i="1"/>
  <c r="X827" i="1"/>
  <c r="X828" i="1"/>
  <c r="X829" i="1"/>
  <c r="X830" i="1"/>
  <c r="X831" i="1"/>
  <c r="X832" i="1"/>
  <c r="X833" i="1"/>
  <c r="X834" i="1"/>
  <c r="X835" i="1"/>
  <c r="X836" i="1"/>
  <c r="X837" i="1"/>
  <c r="X838" i="1"/>
  <c r="X839" i="1"/>
  <c r="X840" i="1"/>
  <c r="X841" i="1"/>
  <c r="X842" i="1"/>
  <c r="X843" i="1"/>
  <c r="X844" i="1"/>
  <c r="X845" i="1"/>
  <c r="X846" i="1"/>
  <c r="X847" i="1"/>
  <c r="X848" i="1"/>
  <c r="X849" i="1"/>
  <c r="X850" i="1"/>
  <c r="X851" i="1"/>
  <c r="X852" i="1"/>
  <c r="X853" i="1"/>
  <c r="X854" i="1"/>
  <c r="X855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918" i="1"/>
  <c r="X919" i="1"/>
  <c r="X920" i="1"/>
  <c r="X921" i="1"/>
  <c r="X922" i="1"/>
  <c r="X923" i="1"/>
  <c r="X924" i="1"/>
  <c r="X925" i="1"/>
  <c r="X926" i="1"/>
  <c r="X927" i="1"/>
  <c r="X928" i="1"/>
  <c r="X929" i="1"/>
  <c r="X930" i="1"/>
  <c r="X931" i="1"/>
  <c r="X932" i="1"/>
  <c r="X933" i="1"/>
  <c r="X934" i="1"/>
  <c r="X935" i="1"/>
  <c r="X936" i="1"/>
  <c r="X937" i="1"/>
  <c r="X938" i="1"/>
  <c r="X939" i="1"/>
  <c r="X940" i="1"/>
  <c r="X941" i="1"/>
  <c r="X942" i="1"/>
  <c r="X943" i="1"/>
  <c r="X944" i="1"/>
  <c r="X945" i="1"/>
  <c r="X946" i="1"/>
  <c r="X947" i="1"/>
  <c r="X948" i="1"/>
  <c r="X949" i="1"/>
  <c r="X950" i="1"/>
  <c r="X951" i="1"/>
  <c r="X952" i="1"/>
  <c r="X953" i="1"/>
  <c r="X954" i="1"/>
  <c r="X955" i="1"/>
  <c r="X956" i="1"/>
  <c r="X957" i="1"/>
  <c r="X958" i="1"/>
  <c r="X959" i="1"/>
  <c r="X960" i="1"/>
  <c r="X961" i="1"/>
  <c r="X962" i="1"/>
  <c r="X963" i="1"/>
  <c r="X964" i="1"/>
  <c r="X965" i="1"/>
  <c r="X966" i="1"/>
  <c r="X967" i="1"/>
  <c r="X968" i="1"/>
  <c r="X969" i="1"/>
  <c r="X970" i="1"/>
  <c r="X971" i="1"/>
  <c r="X972" i="1"/>
  <c r="X973" i="1"/>
  <c r="X974" i="1"/>
  <c r="X975" i="1"/>
  <c r="X976" i="1"/>
  <c r="X977" i="1"/>
  <c r="X978" i="1"/>
  <c r="X979" i="1"/>
  <c r="X980" i="1"/>
  <c r="X981" i="1"/>
  <c r="X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6" i="1"/>
  <c r="W647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7" i="1"/>
  <c r="W69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59" i="1"/>
  <c r="W760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5" i="1"/>
  <c r="W776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3" i="1"/>
  <c r="W924" i="1"/>
  <c r="W925" i="1"/>
  <c r="W926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39" i="1"/>
  <c r="W940" i="1"/>
  <c r="W941" i="1"/>
  <c r="W942" i="1"/>
  <c r="W943" i="1"/>
  <c r="W944" i="1"/>
  <c r="W945" i="1"/>
  <c r="W946" i="1"/>
  <c r="W947" i="1"/>
  <c r="W948" i="1"/>
  <c r="W949" i="1"/>
  <c r="W950" i="1"/>
  <c r="W951" i="1"/>
  <c r="W952" i="1"/>
  <c r="W953" i="1"/>
  <c r="W954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8" i="1"/>
  <c r="U819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8" i="1"/>
  <c r="U859" i="1"/>
  <c r="U860" i="1"/>
  <c r="U861" i="1"/>
  <c r="U862" i="1"/>
  <c r="U863" i="1"/>
  <c r="U864" i="1"/>
  <c r="U865" i="1"/>
  <c r="U866" i="1"/>
  <c r="U867" i="1"/>
  <c r="U868" i="1"/>
  <c r="U869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0" i="1"/>
  <c r="U891" i="1"/>
  <c r="U892" i="1"/>
  <c r="U893" i="1"/>
  <c r="U894" i="1"/>
  <c r="U895" i="1"/>
  <c r="U896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3" i="1"/>
  <c r="U924" i="1"/>
  <c r="U925" i="1"/>
  <c r="U926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39" i="1"/>
  <c r="U940" i="1"/>
  <c r="U941" i="1"/>
  <c r="U942" i="1"/>
  <c r="U943" i="1"/>
  <c r="U944" i="1"/>
  <c r="U945" i="1"/>
  <c r="U946" i="1"/>
  <c r="U947" i="1"/>
  <c r="U948" i="1"/>
  <c r="U949" i="1"/>
  <c r="U950" i="1"/>
  <c r="U951" i="1"/>
  <c r="U952" i="1"/>
  <c r="U953" i="1"/>
  <c r="U954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2" i="1"/>
  <c r="Z979" i="1"/>
  <c r="Z974" i="1"/>
  <c r="Z975" i="1"/>
  <c r="Z976" i="1"/>
  <c r="Z973" i="1"/>
  <c r="Z970" i="1"/>
  <c r="Z968" i="1"/>
  <c r="Z963" i="1"/>
  <c r="Z957" i="1"/>
  <c r="Z956" i="1"/>
  <c r="Z953" i="1"/>
  <c r="Z951" i="1"/>
  <c r="Z949" i="1"/>
  <c r="Z948" i="1"/>
  <c r="Z946" i="1"/>
  <c r="Z945" i="1"/>
  <c r="Z935" i="1"/>
  <c r="Z936" i="1"/>
  <c r="Z937" i="1"/>
  <c r="Z938" i="1"/>
  <c r="Z939" i="1"/>
  <c r="Z940" i="1"/>
  <c r="Z934" i="1"/>
  <c r="Z932" i="1"/>
  <c r="Z924" i="1"/>
  <c r="Z925" i="1"/>
  <c r="Z926" i="1"/>
  <c r="Z923" i="1"/>
  <c r="Z920" i="1"/>
  <c r="Z917" i="1"/>
  <c r="Z918" i="1"/>
  <c r="Z919" i="1"/>
  <c r="Z916" i="1"/>
  <c r="Z914" i="1"/>
  <c r="Z912" i="1"/>
  <c r="Z910" i="1"/>
  <c r="Z907" i="1"/>
  <c r="Z908" i="1"/>
  <c r="Z906" i="1"/>
  <c r="Z903" i="1"/>
  <c r="Z904" i="1"/>
  <c r="Z902" i="1"/>
  <c r="Z895" i="1"/>
  <c r="Z896" i="1"/>
  <c r="Z894" i="1"/>
  <c r="Z892" i="1"/>
  <c r="Z888" i="1"/>
  <c r="Z887" i="1"/>
  <c r="Z882" i="1"/>
  <c r="Z883" i="1"/>
  <c r="Z884" i="1"/>
  <c r="Z881" i="1"/>
  <c r="Z876" i="1"/>
  <c r="Z877" i="1"/>
  <c r="Z875" i="1"/>
  <c r="Z867" i="1"/>
  <c r="Z864" i="1"/>
  <c r="Z862" i="1"/>
  <c r="Z861" i="1"/>
  <c r="Z859" i="1"/>
  <c r="Z857" i="1"/>
  <c r="Z856" i="1"/>
  <c r="Z854" i="1"/>
  <c r="Z850" i="1"/>
  <c r="Z849" i="1"/>
  <c r="Z838" i="1"/>
  <c r="Z839" i="1"/>
  <c r="Z840" i="1"/>
  <c r="Z841" i="1"/>
  <c r="Z842" i="1"/>
  <c r="Z843" i="1"/>
  <c r="Z844" i="1"/>
  <c r="Z845" i="1"/>
  <c r="Z846" i="1"/>
  <c r="Z837" i="1"/>
  <c r="Z832" i="1"/>
  <c r="Z821" i="1"/>
  <c r="Z814" i="1"/>
  <c r="Z808" i="1"/>
  <c r="Z804" i="1"/>
  <c r="Z801" i="1"/>
  <c r="Z800" i="1"/>
  <c r="Z795" i="1"/>
  <c r="Z792" i="1"/>
  <c r="Z793" i="1"/>
  <c r="Z791" i="1"/>
  <c r="Z787" i="1"/>
  <c r="Z784" i="1"/>
  <c r="Z770" i="1"/>
  <c r="Z760" i="1"/>
  <c r="Z757" i="1"/>
  <c r="Z749" i="1"/>
  <c r="Z737" i="1"/>
  <c r="Z733" i="1"/>
  <c r="Z732" i="1"/>
  <c r="Z724" i="1"/>
  <c r="Z725" i="1"/>
  <c r="Z723" i="1"/>
  <c r="Z721" i="1"/>
  <c r="Z716" i="1"/>
  <c r="Z714" i="1"/>
  <c r="Z713" i="1"/>
  <c r="Z711" i="1"/>
  <c r="Z981" i="1"/>
  <c r="Z980" i="1"/>
  <c r="Z978" i="1"/>
  <c r="Z977" i="1"/>
  <c r="Z972" i="1"/>
  <c r="Z971" i="1"/>
  <c r="Z969" i="1"/>
  <c r="Z965" i="1"/>
  <c r="Z966" i="1"/>
  <c r="Z967" i="1"/>
  <c r="Z964" i="1"/>
  <c r="Z959" i="1"/>
  <c r="Z960" i="1"/>
  <c r="Z961" i="1"/>
  <c r="Z962" i="1"/>
  <c r="Z958" i="1"/>
  <c r="Z955" i="1"/>
  <c r="Z954" i="1"/>
  <c r="Z952" i="1"/>
  <c r="Z950" i="1"/>
  <c r="Z947" i="1"/>
  <c r="Z942" i="1"/>
  <c r="Z943" i="1"/>
  <c r="Z944" i="1"/>
  <c r="Z941" i="1"/>
  <c r="Z933" i="1"/>
  <c r="Z928" i="1"/>
  <c r="Z929" i="1"/>
  <c r="Z930" i="1"/>
  <c r="Z931" i="1"/>
  <c r="Z927" i="1"/>
  <c r="Z922" i="1"/>
  <c r="Z921" i="1"/>
  <c r="Z915" i="1"/>
  <c r="Z913" i="1"/>
  <c r="Z911" i="1"/>
  <c r="Z909" i="1"/>
  <c r="Z905" i="1"/>
  <c r="Z898" i="1"/>
  <c r="Z899" i="1"/>
  <c r="Z900" i="1"/>
  <c r="Z901" i="1"/>
  <c r="Z897" i="1"/>
  <c r="Z893" i="1"/>
  <c r="Z890" i="1"/>
  <c r="Z891" i="1"/>
  <c r="Z889" i="1"/>
  <c r="Z886" i="1"/>
  <c r="Z885" i="1"/>
  <c r="Z879" i="1"/>
  <c r="Z880" i="1"/>
  <c r="Z878" i="1"/>
  <c r="Z869" i="1"/>
  <c r="Z870" i="1"/>
  <c r="Z871" i="1"/>
  <c r="Z872" i="1"/>
  <c r="Z873" i="1"/>
  <c r="Z874" i="1"/>
  <c r="Z868" i="1"/>
  <c r="Z866" i="1"/>
  <c r="Z865" i="1"/>
  <c r="Z863" i="1"/>
  <c r="Z860" i="1"/>
  <c r="Z858" i="1"/>
  <c r="Z855" i="1"/>
  <c r="Z852" i="1"/>
  <c r="Z853" i="1"/>
  <c r="Z851" i="1"/>
  <c r="Z848" i="1"/>
  <c r="Z847" i="1"/>
  <c r="Z834" i="1"/>
  <c r="Z835" i="1"/>
  <c r="Z836" i="1"/>
  <c r="Z833" i="1"/>
  <c r="Z823" i="1"/>
  <c r="Z824" i="1"/>
  <c r="Z825" i="1"/>
  <c r="Z826" i="1"/>
  <c r="Z827" i="1"/>
  <c r="Z828" i="1"/>
  <c r="Z829" i="1"/>
  <c r="Z830" i="1"/>
  <c r="Z831" i="1"/>
  <c r="Z822" i="1"/>
  <c r="Z816" i="1"/>
  <c r="Z817" i="1"/>
  <c r="Z818" i="1"/>
  <c r="Z819" i="1"/>
  <c r="Z820" i="1"/>
  <c r="Z815" i="1"/>
  <c r="Z810" i="1"/>
  <c r="Z811" i="1"/>
  <c r="Z812" i="1"/>
  <c r="Z813" i="1"/>
  <c r="Z809" i="1"/>
  <c r="Z806" i="1"/>
  <c r="Z807" i="1"/>
  <c r="Z805" i="1"/>
  <c r="Z803" i="1"/>
  <c r="Z802" i="1"/>
  <c r="Z797" i="1"/>
  <c r="Z798" i="1"/>
  <c r="Z799" i="1"/>
  <c r="Z796" i="1"/>
  <c r="Z794" i="1"/>
  <c r="Z789" i="1"/>
  <c r="Z790" i="1"/>
  <c r="Z788" i="1"/>
  <c r="Z786" i="1"/>
  <c r="Z785" i="1"/>
  <c r="Z772" i="1"/>
  <c r="Z773" i="1"/>
  <c r="Z774" i="1"/>
  <c r="Z775" i="1"/>
  <c r="Z776" i="1"/>
  <c r="Z777" i="1"/>
  <c r="Z778" i="1"/>
  <c r="Z779" i="1"/>
  <c r="Z780" i="1"/>
  <c r="Z781" i="1"/>
  <c r="Z782" i="1"/>
  <c r="Z783" i="1"/>
  <c r="Z771" i="1"/>
  <c r="Z762" i="1"/>
  <c r="Z763" i="1"/>
  <c r="Z764" i="1"/>
  <c r="Z765" i="1"/>
  <c r="Z766" i="1"/>
  <c r="Z767" i="1"/>
  <c r="Z768" i="1"/>
  <c r="Z769" i="1"/>
  <c r="Z761" i="1"/>
  <c r="Z759" i="1"/>
  <c r="Z758" i="1"/>
  <c r="Z751" i="1"/>
  <c r="Z752" i="1"/>
  <c r="Z753" i="1"/>
  <c r="Z754" i="1"/>
  <c r="Z755" i="1"/>
  <c r="Z756" i="1"/>
  <c r="Z750" i="1"/>
  <c r="Z739" i="1"/>
  <c r="Z740" i="1"/>
  <c r="Z741" i="1"/>
  <c r="Z742" i="1"/>
  <c r="Z743" i="1"/>
  <c r="Z744" i="1"/>
  <c r="Z745" i="1"/>
  <c r="Z746" i="1"/>
  <c r="Z747" i="1"/>
  <c r="Z748" i="1"/>
  <c r="Z738" i="1"/>
  <c r="Z735" i="1"/>
  <c r="Z736" i="1"/>
  <c r="Z734" i="1"/>
  <c r="Z727" i="1"/>
  <c r="Z728" i="1"/>
  <c r="Z729" i="1"/>
  <c r="Z730" i="1"/>
  <c r="Z731" i="1"/>
  <c r="Z726" i="1"/>
  <c r="Z722" i="1"/>
  <c r="Z718" i="1"/>
  <c r="Z719" i="1"/>
  <c r="Z720" i="1"/>
  <c r="Z717" i="1"/>
  <c r="Z715" i="1"/>
  <c r="Z712" i="1"/>
  <c r="Z702" i="1"/>
  <c r="Z703" i="1"/>
  <c r="Z704" i="1"/>
  <c r="Z705" i="1"/>
  <c r="Z706" i="1"/>
  <c r="Z707" i="1"/>
  <c r="Z708" i="1"/>
  <c r="Z709" i="1"/>
  <c r="Z710" i="1"/>
  <c r="Z701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2" i="1"/>
</calcChain>
</file>

<file path=xl/sharedStrings.xml><?xml version="1.0" encoding="utf-8"?>
<sst xmlns="http://schemas.openxmlformats.org/spreadsheetml/2006/main" count="27" uniqueCount="27">
  <si>
    <t>Y</t>
  </si>
  <si>
    <t>X</t>
  </si>
  <si>
    <t>Injection Rate</t>
  </si>
  <si>
    <t>Storage Potential</t>
  </si>
  <si>
    <t>S_2030 (t-1)</t>
  </si>
  <si>
    <t>S_2035 (t-1)</t>
  </si>
  <si>
    <t>S_2040 (t-1)</t>
  </si>
  <si>
    <t>S_2045 (t-1)</t>
  </si>
  <si>
    <t>S_2050 (t-1)</t>
  </si>
  <si>
    <t>Cost_min_2025</t>
  </si>
  <si>
    <t>Cost_min_2030</t>
  </si>
  <si>
    <t>Cost_min_2035</t>
  </si>
  <si>
    <t>Cost_min_2040</t>
  </si>
  <si>
    <t>Cost_min_2045</t>
  </si>
  <si>
    <t>Cost_min_2050</t>
  </si>
  <si>
    <t>Cost_avg_2025</t>
  </si>
  <si>
    <t>Cost_avg_2030</t>
  </si>
  <si>
    <t>Cost_avg_2035</t>
  </si>
  <si>
    <t>Cost_avg_2040</t>
  </si>
  <si>
    <t>Cost_avg_2045</t>
  </si>
  <si>
    <t>Cost_avg_2050</t>
  </si>
  <si>
    <t>Cost_max_2025</t>
  </si>
  <si>
    <t>Cost_max_2030</t>
  </si>
  <si>
    <t>Cost_max_2035</t>
  </si>
  <si>
    <t>Cost_max_2040</t>
  </si>
  <si>
    <t>Cost_max_2045</t>
  </si>
  <si>
    <t>Cost_max_2050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</si>
</sst>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1D196-02A4-44EB-BACF-4E4EC61D6024}">
  <dimension ref="A1:AE981"/>
  <sheetViews>
    <sheetView tabSelected="1" topLeftCell="G1" workbookViewId="0">
      <selection activeCell="AE2" sqref="AE2:AE981"/>
    </sheetView>
  </sheetViews>
  <sheetFormatPr defaultRowHeight="15" x14ac:dyDescent="0.25"/>
  <cols>
    <col min="1" max="1" width="14.5703125" customWidth="1"/>
    <col min="2" max="2" width="12.42578125" customWidth="1"/>
    <col min="3" max="3" width="16.5703125" customWidth="1"/>
    <col min="4" max="5" width="15.140625" customWidth="1"/>
    <col min="6" max="6" width="17.5703125" customWidth="1"/>
    <col min="7" max="7" width="17.28515625" customWidth="1"/>
    <col min="8" max="9" width="19.28515625" customWidth="1"/>
    <col min="10" max="10" width="14.7109375" customWidth="1"/>
    <col min="11" max="11" width="9" style="1" customWidth="1"/>
    <col min="12" max="12" width="16" customWidth="1"/>
    <col min="13" max="14" width="17" customWidth="1"/>
    <col min="15" max="15" width="18.5703125" customWidth="1"/>
    <col min="16" max="16" width="16.85546875" customWidth="1"/>
    <col min="17" max="17" width="15.85546875" customWidth="1"/>
    <col min="18" max="18" width="9.140625" style="1"/>
    <col min="19" max="19" width="14.140625" customWidth="1"/>
    <col min="20" max="20" width="16.5703125" customWidth="1"/>
    <col min="21" max="22" width="15.140625" customWidth="1"/>
    <col min="23" max="23" width="17.5703125" customWidth="1"/>
    <col min="24" max="24" width="16.140625" customWidth="1"/>
    <col min="26" max="26" width="14.5703125" customWidth="1"/>
    <col min="27" max="27" width="14.140625" customWidth="1"/>
    <col min="28" max="28" width="14.28515625" customWidth="1"/>
    <col min="29" max="29" width="14.42578125" customWidth="1"/>
    <col min="30" max="31" width="14" customWidth="1"/>
  </cols>
  <sheetData>
    <row r="1" spans="1:31" x14ac:dyDescent="0.25">
      <c r="A1" t="s">
        <v>0</v>
      </c>
      <c r="B1" t="s">
        <v>1</v>
      </c>
      <c r="C1" t="s">
        <v>2</v>
      </c>
      <c r="D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Z1" t="s">
        <v>21</v>
      </c>
      <c r="AA1" t="s">
        <v>22</v>
      </c>
      <c r="AB1" t="s">
        <v>23</v>
      </c>
      <c r="AC1" t="s">
        <v>24</v>
      </c>
      <c r="AD1" t="s">
        <v>25</v>
      </c>
      <c r="AE1" t="s">
        <v>26</v>
      </c>
    </row>
    <row r="2" spans="1:31" x14ac:dyDescent="0.25">
      <c r="A2">
        <v>17.247992409999998</v>
      </c>
      <c r="B2">
        <v>108.6683958</v>
      </c>
      <c r="C2">
        <v>0.60592902000000004</v>
      </c>
      <c r="D2">
        <v>0.47579800999999999</v>
      </c>
      <c r="E2" t="b">
        <f>D2&gt;C2</f>
        <v>0</v>
      </c>
      <c r="F2">
        <f>D2-(C2*(2030-2025))</f>
        <v>-2.5538470900000001</v>
      </c>
      <c r="G2">
        <f>D2-(C2*(2035-2025))</f>
        <v>-5.5834921900000003</v>
      </c>
      <c r="H2">
        <f>D2-(C2*(2040-2025))</f>
        <v>-8.6131372900000009</v>
      </c>
      <c r="I2">
        <f>D2-(C2*(2045-2025))</f>
        <v>-11.642782390000001</v>
      </c>
      <c r="J2">
        <f>D2-(C2*(2050-2025))</f>
        <v>-14.67242749</v>
      </c>
      <c r="L2">
        <f>MIN(C2,D2)*1000000*((280/250)+0.8)</f>
        <v>913532.17920000013</v>
      </c>
      <c r="M2">
        <f>MIN(F2,C2)*1000000*((230/250)+0.7)</f>
        <v>-4137232.2858000007</v>
      </c>
      <c r="N2">
        <f>MIN(G2,C2)*1000000*((195/250)+0.6)</f>
        <v>-7705219.2221999997</v>
      </c>
      <c r="O2">
        <f>MIN(H2,C2)*1000000*((130/250)+0.5)</f>
        <v>-8785400.0358000007</v>
      </c>
      <c r="P2">
        <f>MIN(I2,C2)*1000000*((105/250)+0.5)</f>
        <v>-10711359.798799999</v>
      </c>
      <c r="Q2">
        <f>MIN(J2,C2)*1000000*((90/250)+0.4)</f>
        <v>-11151044.8924</v>
      </c>
      <c r="S2">
        <f>MIN(C2,D2)*1000000*((325/250)+0.8)</f>
        <v>999175.82100000011</v>
      </c>
      <c r="T2">
        <f>MIN(F2,C2)*1000000*((280/250)+0.7)</f>
        <v>-4648001.7038000012</v>
      </c>
      <c r="U2">
        <f>MIN(G2,C2)*1000000*((227.5/250)+0.6)</f>
        <v>-8431073.2069000006</v>
      </c>
      <c r="V2">
        <f>MIN(H2,C2)*1000000*((142.5/250)+0.5)</f>
        <v>-9216056.9002999999</v>
      </c>
      <c r="W2">
        <f>MIN(I2,C2)*1000000*((142.5/250)+0.5)</f>
        <v>-12457777.157299999</v>
      </c>
      <c r="X2">
        <f>MIN(J2,C2)*1000000*( (117.5/250)+0.4)</f>
        <v>-12765011.916300001</v>
      </c>
      <c r="Z2">
        <f>MIN(C2,D2)*1000000*((370/250)+0.8)</f>
        <v>1084819.4628000001</v>
      </c>
      <c r="AA2">
        <f>MIN(C2,F2)*1000000*((330/250)+0.7)</f>
        <v>-5158771.1218000008</v>
      </c>
      <c r="AB2">
        <f>MIN(C2,G2)*1000000*((260/250)+0.6)</f>
        <v>-9156927.1916000005</v>
      </c>
      <c r="AC2">
        <f>MIN(C2,H2)*1000000*((215/250)+0.5)</f>
        <v>-11713866.714400001</v>
      </c>
      <c r="AD2">
        <f>MIN(C2,I2)*1000000*((180/250)+0.5)</f>
        <v>-14204194.515800001</v>
      </c>
      <c r="AE2">
        <f>MIN(C2,J2)*1000000*((145/250)+0.4)</f>
        <v>-14378978.940199999</v>
      </c>
    </row>
    <row r="3" spans="1:31" x14ac:dyDescent="0.25">
      <c r="A3">
        <v>18.06815937</v>
      </c>
      <c r="B3">
        <v>110.29891689999999</v>
      </c>
      <c r="C3">
        <v>38.298469539999999</v>
      </c>
      <c r="D3">
        <v>0.48972300000000002</v>
      </c>
      <c r="E3" t="b">
        <f t="shared" ref="E3:E66" si="0">D3&gt;C3</f>
        <v>0</v>
      </c>
      <c r="F3">
        <f t="shared" ref="F3:F66" si="1">D3-(C3*(2030-2025))</f>
        <v>-191.00262469999998</v>
      </c>
      <c r="G3">
        <f t="shared" ref="G3:G66" si="2">D3-(C3*(2035-2025))</f>
        <v>-382.49497239999994</v>
      </c>
      <c r="H3">
        <f t="shared" ref="H3:H66" si="3">D3-(C3*(2040-2025))</f>
        <v>-573.98732009999992</v>
      </c>
      <c r="I3">
        <f t="shared" ref="I3:I66" si="4">D3-(C3*(2045-2025))</f>
        <v>-765.4796677999999</v>
      </c>
      <c r="J3">
        <f t="shared" ref="J3:J66" si="5">D3-(C3*(2050-2025))</f>
        <v>-956.9720155</v>
      </c>
      <c r="L3">
        <f t="shared" ref="L3:L66" si="6">MIN(C3,D3)*1000000*((280/250)+0.8)</f>
        <v>940268.16</v>
      </c>
      <c r="M3">
        <f t="shared" ref="M3:M66" si="7">MIN(F3,C3)*1000000*((230/250)+0.7)</f>
        <v>-309424252.014</v>
      </c>
      <c r="N3">
        <f t="shared" ref="N3:N66" si="8">MIN(G3,C3)*1000000*((195/250)+0.6)</f>
        <v>-527843061.91199982</v>
      </c>
      <c r="O3">
        <f t="shared" ref="O3:O66" si="9">MIN(H3,C3)*1000000*((130/250)+0.5)</f>
        <v>-585467066.50199986</v>
      </c>
      <c r="P3">
        <f t="shared" ref="P3:P66" si="10">MIN(I3,C3)*1000000*((105/250)+0.5)</f>
        <v>-704241294.37599993</v>
      </c>
      <c r="Q3">
        <f t="shared" ref="Q3:Q66" si="11">MIN(J3,C3)*1000000*((90/250)+0.4)</f>
        <v>-727298731.77999997</v>
      </c>
      <c r="S3">
        <f t="shared" ref="S3:S66" si="12">MIN(C3,D3)*1000000*((325/250)+0.8)</f>
        <v>1028418.3</v>
      </c>
      <c r="T3">
        <f t="shared" ref="T3:T66" si="13">MIN(F3,C3)*1000000*((280/250)+0.7)</f>
        <v>-347624776.954</v>
      </c>
      <c r="U3">
        <f t="shared" ref="U3:U66" si="14">MIN(G3,C3)*1000000*((227.5/250)+0.6)</f>
        <v>-577567408.32399988</v>
      </c>
      <c r="V3">
        <f t="shared" ref="V3:V66" si="15">MIN(H3,C3)*1000000*((142.5/250)+0.5)</f>
        <v>-614166432.50699985</v>
      </c>
      <c r="W3">
        <f t="shared" ref="W3:W66" si="16">MIN(I3,C3)*1000000*((142.5/250)+0.5)</f>
        <v>-819063244.54599988</v>
      </c>
      <c r="X3">
        <f t="shared" ref="X3:X66" si="17">MIN(J3,C3)*1000000*( (117.5/250)+0.4)</f>
        <v>-832565653.48500001</v>
      </c>
      <c r="Z3">
        <f t="shared" ref="Z3:Z66" si="18">MIN(C3,D3)*1000000*((370/250)+0.8)</f>
        <v>1116568.4400000002</v>
      </c>
      <c r="AA3">
        <f t="shared" ref="AA3:AA66" si="19">MIN(C3,F3)*1000000*((330/250)+0.7)</f>
        <v>-385825301.89399999</v>
      </c>
      <c r="AB3">
        <f t="shared" ref="AB3:AB66" si="20">MIN(C3,G3)*1000000*((260/250)+0.6)</f>
        <v>-627291754.73599994</v>
      </c>
      <c r="AC3">
        <f t="shared" ref="AC3:AC66" si="21">MIN(C3,H3)*1000000*((215/250)+0.5)</f>
        <v>-780622755.33599985</v>
      </c>
      <c r="AD3">
        <f t="shared" ref="AD3:AD66" si="22">MIN(C3,I3)*1000000*((180/250)+0.5)</f>
        <v>-933885194.71599996</v>
      </c>
      <c r="AE3">
        <f t="shared" ref="AE3:AE66" si="23">MIN(C3,J3)*1000000*((145/250)+0.4)</f>
        <v>-937832575.18999994</v>
      </c>
    </row>
    <row r="4" spans="1:31" x14ac:dyDescent="0.25">
      <c r="A4">
        <v>19.42620406</v>
      </c>
      <c r="B4">
        <v>112.1812419</v>
      </c>
      <c r="C4">
        <v>1.69117999</v>
      </c>
      <c r="D4">
        <v>1.83645999</v>
      </c>
      <c r="E4" t="b">
        <f t="shared" si="0"/>
        <v>1</v>
      </c>
      <c r="F4">
        <f t="shared" si="1"/>
        <v>-6.6194399599999993</v>
      </c>
      <c r="G4">
        <f t="shared" si="2"/>
        <v>-15.075339909999999</v>
      </c>
      <c r="H4">
        <f t="shared" si="3"/>
        <v>-23.531239859999999</v>
      </c>
      <c r="I4">
        <f t="shared" si="4"/>
        <v>-31.987139809999995</v>
      </c>
      <c r="J4">
        <f t="shared" si="5"/>
        <v>-40.443039759999998</v>
      </c>
      <c r="L4">
        <f t="shared" si="6"/>
        <v>3247065.5808000001</v>
      </c>
      <c r="M4">
        <f t="shared" si="7"/>
        <v>-10723492.735199999</v>
      </c>
      <c r="N4">
        <f t="shared" si="8"/>
        <v>-20803969.075799994</v>
      </c>
      <c r="O4">
        <f t="shared" si="9"/>
        <v>-24001864.657200001</v>
      </c>
      <c r="P4">
        <f t="shared" si="10"/>
        <v>-29428168.625199992</v>
      </c>
      <c r="Q4">
        <f t="shared" si="11"/>
        <v>-30736710.217599999</v>
      </c>
      <c r="S4">
        <f t="shared" si="12"/>
        <v>3551477.9790000003</v>
      </c>
      <c r="T4">
        <f t="shared" si="13"/>
        <v>-12047380.727199998</v>
      </c>
      <c r="U4">
        <f t="shared" si="14"/>
        <v>-22763763.264099997</v>
      </c>
      <c r="V4">
        <f t="shared" si="15"/>
        <v>-25178426.650199994</v>
      </c>
      <c r="W4">
        <f t="shared" si="16"/>
        <v>-34226239.59669999</v>
      </c>
      <c r="X4">
        <f t="shared" si="17"/>
        <v>-35185444.591200002</v>
      </c>
      <c r="Z4">
        <f t="shared" si="18"/>
        <v>3855890.3772000005</v>
      </c>
      <c r="AA4">
        <f t="shared" si="19"/>
        <v>-13371268.719199998</v>
      </c>
      <c r="AB4">
        <f t="shared" si="20"/>
        <v>-24723557.452399999</v>
      </c>
      <c r="AC4">
        <f t="shared" si="21"/>
        <v>-32002486.209599998</v>
      </c>
      <c r="AD4">
        <f t="shared" si="22"/>
        <v>-39024310.568199992</v>
      </c>
      <c r="AE4">
        <f t="shared" si="23"/>
        <v>-39634178.9648</v>
      </c>
    </row>
    <row r="5" spans="1:31" x14ac:dyDescent="0.25">
      <c r="A5">
        <v>19.42901049</v>
      </c>
      <c r="B5">
        <v>112.13477570000001</v>
      </c>
      <c r="C5">
        <v>2.11266708</v>
      </c>
      <c r="D5">
        <v>18.783309939999999</v>
      </c>
      <c r="E5" t="b">
        <f t="shared" si="0"/>
        <v>1</v>
      </c>
      <c r="F5">
        <f t="shared" si="1"/>
        <v>8.2199745399999991</v>
      </c>
      <c r="G5">
        <f t="shared" si="2"/>
        <v>-2.3433608600000007</v>
      </c>
      <c r="H5">
        <f t="shared" si="3"/>
        <v>-12.90669626</v>
      </c>
      <c r="I5">
        <f t="shared" si="4"/>
        <v>-23.47003166</v>
      </c>
      <c r="J5">
        <f t="shared" si="5"/>
        <v>-34.033367060000003</v>
      </c>
      <c r="L5">
        <f t="shared" si="6"/>
        <v>4056320.7936000004</v>
      </c>
      <c r="M5">
        <f t="shared" si="7"/>
        <v>3422520.6696000001</v>
      </c>
      <c r="N5">
        <f t="shared" si="8"/>
        <v>-3233837.986800001</v>
      </c>
      <c r="O5">
        <f t="shared" si="9"/>
        <v>-13164830.1852</v>
      </c>
      <c r="P5">
        <f t="shared" si="10"/>
        <v>-21592429.1272</v>
      </c>
      <c r="Q5">
        <f t="shared" si="11"/>
        <v>-25865358.965600003</v>
      </c>
      <c r="S5">
        <f t="shared" si="12"/>
        <v>4436600.8680000007</v>
      </c>
      <c r="T5">
        <f t="shared" si="13"/>
        <v>3845054.0856000003</v>
      </c>
      <c r="U5">
        <f t="shared" si="14"/>
        <v>-3538474.8986000014</v>
      </c>
      <c r="V5">
        <f t="shared" si="15"/>
        <v>-13810164.998199997</v>
      </c>
      <c r="W5">
        <f t="shared" si="16"/>
        <v>-25112933.876199998</v>
      </c>
      <c r="X5">
        <f t="shared" si="17"/>
        <v>-29609029.342200004</v>
      </c>
      <c r="Z5">
        <f t="shared" si="18"/>
        <v>4816880.942400001</v>
      </c>
      <c r="AA5">
        <f t="shared" si="19"/>
        <v>4267587.5016000001</v>
      </c>
      <c r="AB5">
        <f t="shared" si="20"/>
        <v>-3843111.8104000017</v>
      </c>
      <c r="AC5">
        <f t="shared" si="21"/>
        <v>-17553106.913599998</v>
      </c>
      <c r="AD5">
        <f t="shared" si="22"/>
        <v>-28633438.6252</v>
      </c>
      <c r="AE5">
        <f t="shared" si="23"/>
        <v>-33352699.718800001</v>
      </c>
    </row>
    <row r="6" spans="1:31" x14ac:dyDescent="0.25">
      <c r="A6">
        <v>19.4317958</v>
      </c>
      <c r="B6">
        <v>112.0883066</v>
      </c>
      <c r="C6">
        <v>1.69117999</v>
      </c>
      <c r="D6">
        <v>1.83645999</v>
      </c>
      <c r="E6" t="b">
        <f t="shared" si="0"/>
        <v>1</v>
      </c>
      <c r="F6">
        <f t="shared" si="1"/>
        <v>-6.6194399599999993</v>
      </c>
      <c r="G6">
        <f t="shared" si="2"/>
        <v>-15.075339909999999</v>
      </c>
      <c r="H6">
        <f t="shared" si="3"/>
        <v>-23.531239859999999</v>
      </c>
      <c r="I6">
        <f t="shared" si="4"/>
        <v>-31.987139809999995</v>
      </c>
      <c r="J6">
        <f t="shared" si="5"/>
        <v>-40.443039759999998</v>
      </c>
      <c r="L6">
        <f t="shared" si="6"/>
        <v>3247065.5808000001</v>
      </c>
      <c r="M6">
        <f t="shared" si="7"/>
        <v>-10723492.735199999</v>
      </c>
      <c r="N6">
        <f t="shared" si="8"/>
        <v>-20803969.075799994</v>
      </c>
      <c r="O6">
        <f t="shared" si="9"/>
        <v>-24001864.657200001</v>
      </c>
      <c r="P6">
        <f t="shared" si="10"/>
        <v>-29428168.625199992</v>
      </c>
      <c r="Q6">
        <f t="shared" si="11"/>
        <v>-30736710.217599999</v>
      </c>
      <c r="S6">
        <f t="shared" si="12"/>
        <v>3551477.9790000003</v>
      </c>
      <c r="T6">
        <f t="shared" si="13"/>
        <v>-12047380.727199998</v>
      </c>
      <c r="U6">
        <f t="shared" si="14"/>
        <v>-22763763.264099997</v>
      </c>
      <c r="V6">
        <f t="shared" si="15"/>
        <v>-25178426.650199994</v>
      </c>
      <c r="W6">
        <f t="shared" si="16"/>
        <v>-34226239.59669999</v>
      </c>
      <c r="X6">
        <f t="shared" si="17"/>
        <v>-35185444.591200002</v>
      </c>
      <c r="Z6">
        <f t="shared" si="18"/>
        <v>3855890.3772000005</v>
      </c>
      <c r="AA6">
        <f t="shared" si="19"/>
        <v>-13371268.719199998</v>
      </c>
      <c r="AB6">
        <f t="shared" si="20"/>
        <v>-24723557.452399999</v>
      </c>
      <c r="AC6">
        <f t="shared" si="21"/>
        <v>-32002486.209599998</v>
      </c>
      <c r="AD6">
        <f t="shared" si="22"/>
        <v>-39024310.568199992</v>
      </c>
      <c r="AE6">
        <f t="shared" si="23"/>
        <v>-39634178.9648</v>
      </c>
    </row>
    <row r="7" spans="1:31" x14ac:dyDescent="0.25">
      <c r="A7">
        <v>19.455932260000001</v>
      </c>
      <c r="B7">
        <v>112.4166117</v>
      </c>
      <c r="C7">
        <v>0.42279499999999998</v>
      </c>
      <c r="D7">
        <v>3.6729190300000001</v>
      </c>
      <c r="E7" t="b">
        <f t="shared" si="0"/>
        <v>1</v>
      </c>
      <c r="F7">
        <f t="shared" si="1"/>
        <v>1.5589440300000001</v>
      </c>
      <c r="G7">
        <f t="shared" si="2"/>
        <v>-0.55503096999999979</v>
      </c>
      <c r="H7">
        <f t="shared" si="3"/>
        <v>-2.6690059699999997</v>
      </c>
      <c r="I7">
        <f t="shared" si="4"/>
        <v>-4.7829809699999997</v>
      </c>
      <c r="J7">
        <f t="shared" si="5"/>
        <v>-6.8969559699999996</v>
      </c>
      <c r="L7">
        <f t="shared" si="6"/>
        <v>811766.4</v>
      </c>
      <c r="M7">
        <f t="shared" si="7"/>
        <v>684927.9</v>
      </c>
      <c r="N7">
        <f t="shared" si="8"/>
        <v>-765942.73859999957</v>
      </c>
      <c r="O7">
        <f t="shared" si="9"/>
        <v>-2722386.0893999999</v>
      </c>
      <c r="P7">
        <f t="shared" si="10"/>
        <v>-4400342.4923999999</v>
      </c>
      <c r="Q7">
        <f t="shared" si="11"/>
        <v>-5241686.5372000001</v>
      </c>
      <c r="S7">
        <f t="shared" si="12"/>
        <v>887869.5</v>
      </c>
      <c r="T7">
        <f t="shared" si="13"/>
        <v>769486.9</v>
      </c>
      <c r="U7">
        <f t="shared" si="14"/>
        <v>-838096.76469999959</v>
      </c>
      <c r="V7">
        <f t="shared" si="15"/>
        <v>-2855836.3878999995</v>
      </c>
      <c r="W7">
        <f t="shared" si="16"/>
        <v>-5117789.6378999986</v>
      </c>
      <c r="X7">
        <f t="shared" si="17"/>
        <v>-6000351.6938999994</v>
      </c>
      <c r="Z7">
        <f t="shared" si="18"/>
        <v>963972.60000000009</v>
      </c>
      <c r="AA7">
        <f t="shared" si="19"/>
        <v>854045.9</v>
      </c>
      <c r="AB7">
        <f t="shared" si="20"/>
        <v>-910250.79079999961</v>
      </c>
      <c r="AC7">
        <f t="shared" si="21"/>
        <v>-3629848.1191999991</v>
      </c>
      <c r="AD7">
        <f t="shared" si="22"/>
        <v>-5835236.7833999991</v>
      </c>
      <c r="AE7">
        <f t="shared" si="23"/>
        <v>-6759016.8505999995</v>
      </c>
    </row>
    <row r="8" spans="1:31" x14ac:dyDescent="0.25">
      <c r="A8">
        <v>19.46746134</v>
      </c>
      <c r="B8">
        <v>112.23069820000001</v>
      </c>
      <c r="C8">
        <v>1.6207139500000001</v>
      </c>
      <c r="D8">
        <v>1.9833760300000001</v>
      </c>
      <c r="E8" t="b">
        <f t="shared" si="0"/>
        <v>1</v>
      </c>
      <c r="F8">
        <f t="shared" si="1"/>
        <v>-6.1201937199999996</v>
      </c>
      <c r="G8">
        <f t="shared" si="2"/>
        <v>-14.22376347</v>
      </c>
      <c r="H8">
        <f t="shared" si="3"/>
        <v>-22.327333220000003</v>
      </c>
      <c r="I8">
        <f t="shared" si="4"/>
        <v>-30.430902970000002</v>
      </c>
      <c r="J8">
        <f t="shared" si="5"/>
        <v>-38.534472719999997</v>
      </c>
      <c r="L8">
        <f t="shared" si="6"/>
        <v>3111770.7840000005</v>
      </c>
      <c r="M8">
        <f t="shared" si="7"/>
        <v>-9914713.8264000006</v>
      </c>
      <c r="N8">
        <f t="shared" si="8"/>
        <v>-19628793.588599999</v>
      </c>
      <c r="O8">
        <f t="shared" si="9"/>
        <v>-22773879.884400003</v>
      </c>
      <c r="P8">
        <f t="shared" si="10"/>
        <v>-27996430.7324</v>
      </c>
      <c r="Q8">
        <f t="shared" si="11"/>
        <v>-29286199.267200001</v>
      </c>
      <c r="S8">
        <f t="shared" si="12"/>
        <v>3403499.2950000004</v>
      </c>
      <c r="T8">
        <f t="shared" si="13"/>
        <v>-11138752.5704</v>
      </c>
      <c r="U8">
        <f t="shared" si="14"/>
        <v>-21477882.839700002</v>
      </c>
      <c r="V8">
        <f t="shared" si="15"/>
        <v>-23890246.545399997</v>
      </c>
      <c r="W8">
        <f t="shared" si="16"/>
        <v>-32561066.177899998</v>
      </c>
      <c r="X8">
        <f t="shared" si="17"/>
        <v>-33524991.266399998</v>
      </c>
      <c r="Z8">
        <f t="shared" si="18"/>
        <v>3695227.8060000008</v>
      </c>
      <c r="AA8">
        <f t="shared" si="19"/>
        <v>-12362791.3144</v>
      </c>
      <c r="AB8">
        <f t="shared" si="20"/>
        <v>-23326972.090800002</v>
      </c>
      <c r="AC8">
        <f t="shared" si="21"/>
        <v>-30365173.179200001</v>
      </c>
      <c r="AD8">
        <f t="shared" si="22"/>
        <v>-37125701.623400003</v>
      </c>
      <c r="AE8">
        <f t="shared" si="23"/>
        <v>-37763783.265599996</v>
      </c>
    </row>
    <row r="9" spans="1:31" x14ac:dyDescent="0.25">
      <c r="A9">
        <v>19.470290810000002</v>
      </c>
      <c r="B9">
        <v>112.1842126</v>
      </c>
      <c r="C9">
        <v>1.69117999</v>
      </c>
      <c r="D9">
        <v>1.22430599</v>
      </c>
      <c r="E9" t="b">
        <f t="shared" si="0"/>
        <v>0</v>
      </c>
      <c r="F9">
        <f t="shared" si="1"/>
        <v>-7.2315939599999997</v>
      </c>
      <c r="G9">
        <f t="shared" si="2"/>
        <v>-15.687493909999999</v>
      </c>
      <c r="H9">
        <f t="shared" si="3"/>
        <v>-24.14339386</v>
      </c>
      <c r="I9">
        <f t="shared" si="4"/>
        <v>-32.599293809999999</v>
      </c>
      <c r="J9">
        <f t="shared" si="5"/>
        <v>-41.055193760000002</v>
      </c>
      <c r="L9">
        <f t="shared" si="6"/>
        <v>2350667.5008</v>
      </c>
      <c r="M9">
        <f t="shared" si="7"/>
        <v>-11715182.215200001</v>
      </c>
      <c r="N9">
        <f t="shared" si="8"/>
        <v>-21648741.595799997</v>
      </c>
      <c r="O9">
        <f t="shared" si="9"/>
        <v>-24626261.737199999</v>
      </c>
      <c r="P9">
        <f t="shared" si="10"/>
        <v>-29991350.305199996</v>
      </c>
      <c r="Q9">
        <f t="shared" si="11"/>
        <v>-31201947.257600006</v>
      </c>
      <c r="S9">
        <f t="shared" si="12"/>
        <v>2571042.5789999999</v>
      </c>
      <c r="T9">
        <f t="shared" si="13"/>
        <v>-13161501.007200001</v>
      </c>
      <c r="U9">
        <f t="shared" si="14"/>
        <v>-23688115.804099999</v>
      </c>
      <c r="V9">
        <f t="shared" si="15"/>
        <v>-25833431.430199996</v>
      </c>
      <c r="W9">
        <f t="shared" si="16"/>
        <v>-34881244.376699992</v>
      </c>
      <c r="X9">
        <f t="shared" si="17"/>
        <v>-35718018.571200006</v>
      </c>
      <c r="Z9">
        <f t="shared" si="18"/>
        <v>2791417.6572000002</v>
      </c>
      <c r="AA9">
        <f t="shared" si="19"/>
        <v>-14607819.7992</v>
      </c>
      <c r="AB9">
        <f t="shared" si="20"/>
        <v>-25727490.012399998</v>
      </c>
      <c r="AC9">
        <f t="shared" si="21"/>
        <v>-32835015.649599995</v>
      </c>
      <c r="AD9">
        <f t="shared" si="22"/>
        <v>-39771138.448199995</v>
      </c>
      <c r="AE9">
        <f t="shared" si="23"/>
        <v>-40234089.884800002</v>
      </c>
    </row>
    <row r="10" spans="1:31" x14ac:dyDescent="0.25">
      <c r="A10">
        <v>19.486823940000001</v>
      </c>
      <c r="B10">
        <v>111.9052397</v>
      </c>
      <c r="C10">
        <v>0.33738801000000002</v>
      </c>
      <c r="D10">
        <v>1.2941700199999999</v>
      </c>
      <c r="E10" t="b">
        <f t="shared" si="0"/>
        <v>1</v>
      </c>
      <c r="F10">
        <f t="shared" si="1"/>
        <v>-0.3927700300000001</v>
      </c>
      <c r="G10">
        <f t="shared" si="2"/>
        <v>-2.0797100799999999</v>
      </c>
      <c r="H10">
        <f t="shared" si="3"/>
        <v>-3.7666501300000004</v>
      </c>
      <c r="I10">
        <f t="shared" si="4"/>
        <v>-5.45359018</v>
      </c>
      <c r="J10">
        <f t="shared" si="5"/>
        <v>-7.1405302300000004</v>
      </c>
      <c r="L10">
        <f t="shared" si="6"/>
        <v>647784.97920000006</v>
      </c>
      <c r="M10">
        <f t="shared" si="7"/>
        <v>-636287.44860000024</v>
      </c>
      <c r="N10">
        <f t="shared" si="8"/>
        <v>-2869999.9103999995</v>
      </c>
      <c r="O10">
        <f t="shared" si="9"/>
        <v>-3841983.1326000006</v>
      </c>
      <c r="P10">
        <f t="shared" si="10"/>
        <v>-5017302.9655999998</v>
      </c>
      <c r="Q10">
        <f t="shared" si="11"/>
        <v>-5426802.9748</v>
      </c>
      <c r="S10">
        <f t="shared" si="12"/>
        <v>708514.821</v>
      </c>
      <c r="T10">
        <f t="shared" si="13"/>
        <v>-714841.45460000017</v>
      </c>
      <c r="U10">
        <f t="shared" si="14"/>
        <v>-3140362.2207999998</v>
      </c>
      <c r="V10">
        <f t="shared" si="15"/>
        <v>-4030315.6390999998</v>
      </c>
      <c r="W10">
        <f t="shared" si="16"/>
        <v>-5835341.4925999986</v>
      </c>
      <c r="X10">
        <f t="shared" si="17"/>
        <v>-6212261.3001000006</v>
      </c>
      <c r="Z10">
        <f t="shared" si="18"/>
        <v>769244.66280000005</v>
      </c>
      <c r="AA10">
        <f t="shared" si="19"/>
        <v>-793395.46060000022</v>
      </c>
      <c r="AB10">
        <f t="shared" si="20"/>
        <v>-3410724.5312000001</v>
      </c>
      <c r="AC10">
        <f t="shared" si="21"/>
        <v>-5122644.1767999995</v>
      </c>
      <c r="AD10">
        <f t="shared" si="22"/>
        <v>-6653380.0195999993</v>
      </c>
      <c r="AE10">
        <f t="shared" si="23"/>
        <v>-6997719.6254000003</v>
      </c>
    </row>
    <row r="11" spans="1:31" x14ac:dyDescent="0.25">
      <c r="A11">
        <v>19.54117381</v>
      </c>
      <c r="B11">
        <v>112.4692993</v>
      </c>
      <c r="C11">
        <v>0.32522499999999999</v>
      </c>
      <c r="D11">
        <v>3.4043319200000002</v>
      </c>
      <c r="E11" t="b">
        <f t="shared" si="0"/>
        <v>1</v>
      </c>
      <c r="F11">
        <f t="shared" si="1"/>
        <v>1.7782069200000001</v>
      </c>
      <c r="G11">
        <f t="shared" si="2"/>
        <v>0.15208192000000009</v>
      </c>
      <c r="H11">
        <f t="shared" si="3"/>
        <v>-1.47404308</v>
      </c>
      <c r="I11">
        <f t="shared" si="4"/>
        <v>-3.10016808</v>
      </c>
      <c r="J11">
        <f t="shared" si="5"/>
        <v>-4.7262930799999996</v>
      </c>
      <c r="L11">
        <f t="shared" si="6"/>
        <v>624432</v>
      </c>
      <c r="M11">
        <f t="shared" si="7"/>
        <v>526864.5</v>
      </c>
      <c r="N11">
        <f t="shared" si="8"/>
        <v>209873.04960000011</v>
      </c>
      <c r="O11">
        <f t="shared" si="9"/>
        <v>-1503523.9415999998</v>
      </c>
      <c r="P11">
        <f t="shared" si="10"/>
        <v>-2852154.6335999998</v>
      </c>
      <c r="Q11">
        <f t="shared" si="11"/>
        <v>-3591982.7407999993</v>
      </c>
      <c r="S11">
        <f t="shared" si="12"/>
        <v>682972.5</v>
      </c>
      <c r="T11">
        <f t="shared" si="13"/>
        <v>591909.5</v>
      </c>
      <c r="U11">
        <f t="shared" si="14"/>
        <v>229643.69920000015</v>
      </c>
      <c r="V11">
        <f t="shared" si="15"/>
        <v>-1577226.0955999997</v>
      </c>
      <c r="W11">
        <f t="shared" si="16"/>
        <v>-3317179.8455999997</v>
      </c>
      <c r="X11">
        <f t="shared" si="17"/>
        <v>-4111874.9795999993</v>
      </c>
      <c r="Z11">
        <f t="shared" si="18"/>
        <v>741513.00000000012</v>
      </c>
      <c r="AA11">
        <f t="shared" si="19"/>
        <v>656954.5</v>
      </c>
      <c r="AB11">
        <f t="shared" si="20"/>
        <v>249414.34880000018</v>
      </c>
      <c r="AC11">
        <f t="shared" si="21"/>
        <v>-2004698.5887999996</v>
      </c>
      <c r="AD11">
        <f t="shared" si="22"/>
        <v>-3782205.0575999999</v>
      </c>
      <c r="AE11">
        <f t="shared" si="23"/>
        <v>-4631767.2183999987</v>
      </c>
    </row>
    <row r="12" spans="1:31" x14ac:dyDescent="0.25">
      <c r="A12">
        <v>19.566864200000001</v>
      </c>
      <c r="B12">
        <v>112.0505551</v>
      </c>
      <c r="C12">
        <v>0.21276999999999999</v>
      </c>
      <c r="D12">
        <v>23.416383740000001</v>
      </c>
      <c r="E12" t="b">
        <f t="shared" si="0"/>
        <v>1</v>
      </c>
      <c r="F12">
        <f t="shared" si="1"/>
        <v>22.352533740000002</v>
      </c>
      <c r="G12">
        <f t="shared" si="2"/>
        <v>21.28868374</v>
      </c>
      <c r="H12">
        <f t="shared" si="3"/>
        <v>20.224833740000001</v>
      </c>
      <c r="I12">
        <f t="shared" si="4"/>
        <v>19.160983739999999</v>
      </c>
      <c r="J12">
        <f t="shared" si="5"/>
        <v>18.09713374</v>
      </c>
      <c r="L12">
        <f t="shared" si="6"/>
        <v>408518.40000000002</v>
      </c>
      <c r="M12">
        <f t="shared" si="7"/>
        <v>344687.4</v>
      </c>
      <c r="N12">
        <f t="shared" si="8"/>
        <v>293622.59999999998</v>
      </c>
      <c r="O12">
        <f t="shared" si="9"/>
        <v>217025.4</v>
      </c>
      <c r="P12">
        <f t="shared" si="10"/>
        <v>195748.4</v>
      </c>
      <c r="Q12">
        <f t="shared" si="11"/>
        <v>161705.20000000001</v>
      </c>
      <c r="S12">
        <f t="shared" si="12"/>
        <v>446817</v>
      </c>
      <c r="T12">
        <f t="shared" si="13"/>
        <v>387241.4</v>
      </c>
      <c r="U12">
        <f t="shared" si="14"/>
        <v>321282.7</v>
      </c>
      <c r="V12">
        <f t="shared" si="15"/>
        <v>227663.89999999997</v>
      </c>
      <c r="W12">
        <f t="shared" si="16"/>
        <v>227663.89999999997</v>
      </c>
      <c r="X12">
        <f t="shared" si="17"/>
        <v>185109.9</v>
      </c>
      <c r="Z12">
        <f t="shared" si="18"/>
        <v>485115.60000000003</v>
      </c>
      <c r="AA12">
        <f t="shared" si="19"/>
        <v>429795.4</v>
      </c>
      <c r="AB12">
        <f t="shared" si="20"/>
        <v>348942.80000000005</v>
      </c>
      <c r="AC12">
        <f t="shared" si="21"/>
        <v>289367.19999999995</v>
      </c>
      <c r="AD12">
        <f t="shared" si="22"/>
        <v>259579.4</v>
      </c>
      <c r="AE12">
        <f t="shared" si="23"/>
        <v>208514.6</v>
      </c>
    </row>
    <row r="13" spans="1:31" x14ac:dyDescent="0.25">
      <c r="A13">
        <v>19.608211650000001</v>
      </c>
      <c r="B13">
        <v>112.1000284</v>
      </c>
      <c r="C13">
        <v>0.23639899</v>
      </c>
      <c r="D13">
        <v>23.01433372</v>
      </c>
      <c r="E13" t="b">
        <f t="shared" si="0"/>
        <v>1</v>
      </c>
      <c r="F13">
        <f t="shared" si="1"/>
        <v>21.83233877</v>
      </c>
      <c r="G13">
        <f t="shared" si="2"/>
        <v>20.65034382</v>
      </c>
      <c r="H13">
        <f t="shared" si="3"/>
        <v>19.46834887</v>
      </c>
      <c r="I13">
        <f t="shared" si="4"/>
        <v>18.28635392</v>
      </c>
      <c r="J13">
        <f t="shared" si="5"/>
        <v>17.10435897</v>
      </c>
      <c r="L13">
        <f t="shared" si="6"/>
        <v>453886.06080000004</v>
      </c>
      <c r="M13">
        <f t="shared" si="7"/>
        <v>382966.36379999999</v>
      </c>
      <c r="N13">
        <f t="shared" si="8"/>
        <v>326230.60619999998</v>
      </c>
      <c r="O13">
        <f t="shared" si="9"/>
        <v>241126.96979999999</v>
      </c>
      <c r="P13">
        <f t="shared" si="10"/>
        <v>217487.07079999999</v>
      </c>
      <c r="Q13">
        <f t="shared" si="11"/>
        <v>179663.23240000001</v>
      </c>
      <c r="S13">
        <f t="shared" si="12"/>
        <v>496437.87900000002</v>
      </c>
      <c r="T13">
        <f t="shared" si="13"/>
        <v>430246.1618</v>
      </c>
      <c r="U13">
        <f t="shared" si="14"/>
        <v>356962.47489999997</v>
      </c>
      <c r="V13">
        <f t="shared" si="15"/>
        <v>252946.91929999995</v>
      </c>
      <c r="W13">
        <f t="shared" si="16"/>
        <v>252946.91929999995</v>
      </c>
      <c r="X13">
        <f t="shared" si="17"/>
        <v>205667.1213</v>
      </c>
      <c r="Z13">
        <f t="shared" si="18"/>
        <v>538989.69720000005</v>
      </c>
      <c r="AA13">
        <f t="shared" si="19"/>
        <v>477525.95980000001</v>
      </c>
      <c r="AB13">
        <f t="shared" si="20"/>
        <v>387694.34360000002</v>
      </c>
      <c r="AC13">
        <f t="shared" si="21"/>
        <v>321502.62639999995</v>
      </c>
      <c r="AD13">
        <f t="shared" si="22"/>
        <v>288406.76779999997</v>
      </c>
      <c r="AE13">
        <f t="shared" si="23"/>
        <v>231671.01019999999</v>
      </c>
    </row>
    <row r="14" spans="1:31" x14ac:dyDescent="0.25">
      <c r="A14">
        <v>19.641031330000001</v>
      </c>
      <c r="B14">
        <v>112.2892702</v>
      </c>
      <c r="C14">
        <v>1.4453259700000001</v>
      </c>
      <c r="D14">
        <v>1.4104009900000001</v>
      </c>
      <c r="E14" t="b">
        <f t="shared" si="0"/>
        <v>0</v>
      </c>
      <c r="F14">
        <f t="shared" si="1"/>
        <v>-5.8162288599999998</v>
      </c>
      <c r="G14">
        <f t="shared" si="2"/>
        <v>-13.042858710000001</v>
      </c>
      <c r="H14">
        <f t="shared" si="3"/>
        <v>-20.269488560000003</v>
      </c>
      <c r="I14">
        <f t="shared" si="4"/>
        <v>-27.496118410000001</v>
      </c>
      <c r="J14">
        <f t="shared" si="5"/>
        <v>-34.722748260000003</v>
      </c>
      <c r="L14">
        <f t="shared" si="6"/>
        <v>2707969.9008000004</v>
      </c>
      <c r="M14">
        <f t="shared" si="7"/>
        <v>-9422290.7532000002</v>
      </c>
      <c r="N14">
        <f t="shared" si="8"/>
        <v>-17999145.0198</v>
      </c>
      <c r="O14">
        <f t="shared" si="9"/>
        <v>-20674878.331200004</v>
      </c>
      <c r="P14">
        <f t="shared" si="10"/>
        <v>-25296428.937199999</v>
      </c>
      <c r="Q14">
        <f t="shared" si="11"/>
        <v>-26389288.677600004</v>
      </c>
      <c r="S14">
        <f t="shared" si="12"/>
        <v>2961842.0789999999</v>
      </c>
      <c r="T14">
        <f t="shared" si="13"/>
        <v>-10585536.5252</v>
      </c>
      <c r="U14">
        <f t="shared" si="14"/>
        <v>-19694716.652100001</v>
      </c>
      <c r="V14">
        <f t="shared" si="15"/>
        <v>-21688352.759199999</v>
      </c>
      <c r="W14">
        <f t="shared" si="16"/>
        <v>-29420846.698699996</v>
      </c>
      <c r="X14">
        <f t="shared" si="17"/>
        <v>-30208790.986200005</v>
      </c>
      <c r="Z14">
        <f t="shared" si="18"/>
        <v>3215714.2572000003</v>
      </c>
      <c r="AA14">
        <f t="shared" si="19"/>
        <v>-11748782.297199998</v>
      </c>
      <c r="AB14">
        <f t="shared" si="20"/>
        <v>-21390288.284400005</v>
      </c>
      <c r="AC14">
        <f t="shared" si="21"/>
        <v>-27566504.441600002</v>
      </c>
      <c r="AD14">
        <f t="shared" si="22"/>
        <v>-33545264.460200001</v>
      </c>
      <c r="AE14">
        <f t="shared" si="23"/>
        <v>-34028293.294800006</v>
      </c>
    </row>
    <row r="15" spans="1:31" x14ac:dyDescent="0.25">
      <c r="A15">
        <v>19.649543000000001</v>
      </c>
      <c r="B15">
        <v>112.1495462</v>
      </c>
      <c r="C15">
        <v>1.3388509799999999</v>
      </c>
      <c r="D15">
        <v>5.2400307699999997</v>
      </c>
      <c r="E15" t="b">
        <f t="shared" si="0"/>
        <v>1</v>
      </c>
      <c r="F15">
        <f t="shared" si="1"/>
        <v>-1.4542241300000001</v>
      </c>
      <c r="G15">
        <f t="shared" si="2"/>
        <v>-8.1484790300000007</v>
      </c>
      <c r="H15">
        <f t="shared" si="3"/>
        <v>-14.842733929999998</v>
      </c>
      <c r="I15">
        <f t="shared" si="4"/>
        <v>-21.536988829999999</v>
      </c>
      <c r="J15">
        <f t="shared" si="5"/>
        <v>-28.231243729999999</v>
      </c>
      <c r="L15">
        <f t="shared" si="6"/>
        <v>2570593.8816</v>
      </c>
      <c r="M15">
        <f t="shared" si="7"/>
        <v>-2355843.0906000002</v>
      </c>
      <c r="N15">
        <f t="shared" si="8"/>
        <v>-11244901.0614</v>
      </c>
      <c r="O15">
        <f t="shared" si="9"/>
        <v>-15139588.608599998</v>
      </c>
      <c r="P15">
        <f t="shared" si="10"/>
        <v>-19814029.723599996</v>
      </c>
      <c r="Q15">
        <f t="shared" si="11"/>
        <v>-21455745.2348</v>
      </c>
      <c r="S15">
        <f t="shared" si="12"/>
        <v>2811587.0580000002</v>
      </c>
      <c r="T15">
        <f t="shared" si="13"/>
        <v>-2646687.9166000001</v>
      </c>
      <c r="U15">
        <f t="shared" si="14"/>
        <v>-12304203.335300002</v>
      </c>
      <c r="V15">
        <f t="shared" si="15"/>
        <v>-15881725.305099996</v>
      </c>
      <c r="W15">
        <f t="shared" si="16"/>
        <v>-23044578.048099995</v>
      </c>
      <c r="X15">
        <f t="shared" si="17"/>
        <v>-24561182.0451</v>
      </c>
      <c r="Z15">
        <f t="shared" si="18"/>
        <v>3052580.2344000004</v>
      </c>
      <c r="AA15">
        <f t="shared" si="19"/>
        <v>-2937532.7426000005</v>
      </c>
      <c r="AB15">
        <f t="shared" si="20"/>
        <v>-13363505.609200003</v>
      </c>
      <c r="AC15">
        <f t="shared" si="21"/>
        <v>-20186118.144799996</v>
      </c>
      <c r="AD15">
        <f t="shared" si="22"/>
        <v>-26275126.372599997</v>
      </c>
      <c r="AE15">
        <f t="shared" si="23"/>
        <v>-27666618.8554</v>
      </c>
    </row>
    <row r="16" spans="1:31" x14ac:dyDescent="0.25">
      <c r="A16">
        <v>19.679374370000001</v>
      </c>
      <c r="B16">
        <v>112.3854791</v>
      </c>
      <c r="C16">
        <v>1.6207139500000001</v>
      </c>
      <c r="D16">
        <v>7.3458380700000001</v>
      </c>
      <c r="E16" t="b">
        <f t="shared" si="0"/>
        <v>1</v>
      </c>
      <c r="F16">
        <f t="shared" si="1"/>
        <v>-0.75773168000000002</v>
      </c>
      <c r="G16">
        <f t="shared" si="2"/>
        <v>-8.861301430000001</v>
      </c>
      <c r="H16">
        <f t="shared" si="3"/>
        <v>-16.964871180000003</v>
      </c>
      <c r="I16">
        <f t="shared" si="4"/>
        <v>-25.068440930000001</v>
      </c>
      <c r="J16">
        <f t="shared" si="5"/>
        <v>-33.17201068</v>
      </c>
      <c r="L16">
        <f t="shared" si="6"/>
        <v>3111770.7840000005</v>
      </c>
      <c r="M16">
        <f t="shared" si="7"/>
        <v>-1227525.3216000001</v>
      </c>
      <c r="N16">
        <f t="shared" si="8"/>
        <v>-12228595.9734</v>
      </c>
      <c r="O16">
        <f t="shared" si="9"/>
        <v>-17304168.603600003</v>
      </c>
      <c r="P16">
        <f t="shared" si="10"/>
        <v>-23062965.655599996</v>
      </c>
      <c r="Q16">
        <f t="shared" si="11"/>
        <v>-25210728.116799999</v>
      </c>
      <c r="S16">
        <f t="shared" si="12"/>
        <v>3403499.2950000004</v>
      </c>
      <c r="T16">
        <f t="shared" si="13"/>
        <v>-1379071.6576</v>
      </c>
      <c r="U16">
        <f t="shared" si="14"/>
        <v>-13380565.159300003</v>
      </c>
      <c r="V16">
        <f t="shared" si="15"/>
        <v>-18152412.162599999</v>
      </c>
      <c r="W16">
        <f t="shared" si="16"/>
        <v>-26823231.795099996</v>
      </c>
      <c r="X16">
        <f t="shared" si="17"/>
        <v>-28859649.2916</v>
      </c>
      <c r="Z16">
        <f t="shared" si="18"/>
        <v>3695227.8060000008</v>
      </c>
      <c r="AA16">
        <f t="shared" si="19"/>
        <v>-1530617.9936000002</v>
      </c>
      <c r="AB16">
        <f t="shared" si="20"/>
        <v>-14532534.345200004</v>
      </c>
      <c r="AC16">
        <f t="shared" si="21"/>
        <v>-23072224.804800004</v>
      </c>
      <c r="AD16">
        <f t="shared" si="22"/>
        <v>-30583497.934599999</v>
      </c>
      <c r="AE16">
        <f t="shared" si="23"/>
        <v>-32508570.466399997</v>
      </c>
    </row>
    <row r="17" spans="1:31" x14ac:dyDescent="0.25">
      <c r="A17">
        <v>19.752795939999999</v>
      </c>
      <c r="B17">
        <v>112.6247559</v>
      </c>
      <c r="C17">
        <v>1.90340102</v>
      </c>
      <c r="D17">
        <v>9.6398999999999999E-2</v>
      </c>
      <c r="E17" t="b">
        <f t="shared" si="0"/>
        <v>0</v>
      </c>
      <c r="F17">
        <f t="shared" si="1"/>
        <v>-9.4206061000000005</v>
      </c>
      <c r="G17">
        <f t="shared" si="2"/>
        <v>-18.937611199999999</v>
      </c>
      <c r="H17">
        <f t="shared" si="3"/>
        <v>-28.454616299999998</v>
      </c>
      <c r="I17">
        <f t="shared" si="4"/>
        <v>-37.971621400000004</v>
      </c>
      <c r="J17">
        <f t="shared" si="5"/>
        <v>-47.488626500000002</v>
      </c>
      <c r="L17">
        <f t="shared" si="6"/>
        <v>185086.08000000002</v>
      </c>
      <c r="M17">
        <f t="shared" si="7"/>
        <v>-15261381.882000001</v>
      </c>
      <c r="N17">
        <f t="shared" si="8"/>
        <v>-26133903.455999997</v>
      </c>
      <c r="O17">
        <f t="shared" si="9"/>
        <v>-29023708.625999998</v>
      </c>
      <c r="P17">
        <f t="shared" si="10"/>
        <v>-34933891.688000001</v>
      </c>
      <c r="Q17">
        <f t="shared" si="11"/>
        <v>-36091356.140000001</v>
      </c>
      <c r="S17">
        <f t="shared" si="12"/>
        <v>202437.9</v>
      </c>
      <c r="T17">
        <f t="shared" si="13"/>
        <v>-17145503.101999998</v>
      </c>
      <c r="U17">
        <f t="shared" si="14"/>
        <v>-28595792.912</v>
      </c>
      <c r="V17">
        <f t="shared" si="15"/>
        <v>-30446439.440999992</v>
      </c>
      <c r="W17">
        <f t="shared" si="16"/>
        <v>-40629634.898000002</v>
      </c>
      <c r="X17">
        <f t="shared" si="17"/>
        <v>-41315105.055</v>
      </c>
      <c r="Z17">
        <f t="shared" si="18"/>
        <v>219789.72000000003</v>
      </c>
      <c r="AA17">
        <f t="shared" si="19"/>
        <v>-19029624.322000001</v>
      </c>
      <c r="AB17">
        <f t="shared" si="20"/>
        <v>-31057682.368000001</v>
      </c>
      <c r="AC17">
        <f t="shared" si="21"/>
        <v>-38698278.16799999</v>
      </c>
      <c r="AD17">
        <f t="shared" si="22"/>
        <v>-46325378.108000003</v>
      </c>
      <c r="AE17">
        <f t="shared" si="23"/>
        <v>-46538853.969999999</v>
      </c>
    </row>
    <row r="18" spans="1:31" x14ac:dyDescent="0.25">
      <c r="A18">
        <v>19.765843539999999</v>
      </c>
      <c r="B18">
        <v>113.7034931</v>
      </c>
      <c r="C18">
        <v>1.05698705</v>
      </c>
      <c r="D18">
        <v>2.4486129299999999</v>
      </c>
      <c r="E18" t="b">
        <f t="shared" si="0"/>
        <v>1</v>
      </c>
      <c r="F18">
        <f t="shared" si="1"/>
        <v>-2.8363223200000003</v>
      </c>
      <c r="G18">
        <f t="shared" si="2"/>
        <v>-8.1212575700000009</v>
      </c>
      <c r="H18">
        <f t="shared" si="3"/>
        <v>-13.406192820000001</v>
      </c>
      <c r="I18">
        <f t="shared" si="4"/>
        <v>-18.691128070000001</v>
      </c>
      <c r="J18">
        <f t="shared" si="5"/>
        <v>-23.976063320000002</v>
      </c>
      <c r="L18">
        <f t="shared" si="6"/>
        <v>2029415.1360000002</v>
      </c>
      <c r="M18">
        <f t="shared" si="7"/>
        <v>-4594842.158400001</v>
      </c>
      <c r="N18">
        <f t="shared" si="8"/>
        <v>-11207335.446600001</v>
      </c>
      <c r="O18">
        <f t="shared" si="9"/>
        <v>-13674316.6764</v>
      </c>
      <c r="P18">
        <f t="shared" si="10"/>
        <v>-17195837.8244</v>
      </c>
      <c r="Q18">
        <f t="shared" si="11"/>
        <v>-18221808.123199999</v>
      </c>
      <c r="S18">
        <f t="shared" si="12"/>
        <v>2219672.8050000002</v>
      </c>
      <c r="T18">
        <f t="shared" si="13"/>
        <v>-5162106.6224000007</v>
      </c>
      <c r="U18">
        <f t="shared" si="14"/>
        <v>-12263098.930700002</v>
      </c>
      <c r="V18">
        <f t="shared" si="15"/>
        <v>-14344626.317399997</v>
      </c>
      <c r="W18">
        <f t="shared" si="16"/>
        <v>-19999507.034899998</v>
      </c>
      <c r="X18">
        <f t="shared" si="17"/>
        <v>-20859175.088399999</v>
      </c>
      <c r="Z18">
        <f t="shared" si="18"/>
        <v>2409930.4740000004</v>
      </c>
      <c r="AA18">
        <f t="shared" si="19"/>
        <v>-5729371.0864000004</v>
      </c>
      <c r="AB18">
        <f t="shared" si="20"/>
        <v>-13318862.414800003</v>
      </c>
      <c r="AC18">
        <f t="shared" si="21"/>
        <v>-18232422.235199999</v>
      </c>
      <c r="AD18">
        <f t="shared" si="22"/>
        <v>-22803176.2454</v>
      </c>
      <c r="AE18">
        <f t="shared" si="23"/>
        <v>-23496542.053599998</v>
      </c>
    </row>
    <row r="19" spans="1:31" s="1" customFormat="1" x14ac:dyDescent="0.25">
      <c r="A19" s="1">
        <v>19.770554310000001</v>
      </c>
      <c r="B19" s="1">
        <v>112.3450035</v>
      </c>
      <c r="C19" s="1">
        <v>0</v>
      </c>
      <c r="D19" s="1">
        <v>1.83645999</v>
      </c>
      <c r="E19" s="1" t="b">
        <f t="shared" si="0"/>
        <v>1</v>
      </c>
      <c r="F19">
        <f t="shared" si="1"/>
        <v>1.83645999</v>
      </c>
      <c r="G19">
        <f t="shared" si="2"/>
        <v>1.83645999</v>
      </c>
      <c r="H19">
        <f t="shared" si="3"/>
        <v>1.83645999</v>
      </c>
      <c r="I19">
        <f t="shared" si="4"/>
        <v>1.83645999</v>
      </c>
      <c r="J19">
        <f t="shared" si="5"/>
        <v>1.83645999</v>
      </c>
      <c r="L19">
        <f t="shared" si="6"/>
        <v>0</v>
      </c>
      <c r="M19">
        <f t="shared" si="7"/>
        <v>0</v>
      </c>
      <c r="N19">
        <f t="shared" si="8"/>
        <v>0</v>
      </c>
      <c r="O19">
        <f t="shared" si="9"/>
        <v>0</v>
      </c>
      <c r="P19">
        <f t="shared" si="10"/>
        <v>0</v>
      </c>
      <c r="Q19">
        <f t="shared" si="11"/>
        <v>0</v>
      </c>
      <c r="S19">
        <f t="shared" si="12"/>
        <v>0</v>
      </c>
      <c r="T19">
        <f t="shared" si="13"/>
        <v>0</v>
      </c>
      <c r="U19">
        <f t="shared" si="14"/>
        <v>0</v>
      </c>
      <c r="V19">
        <f t="shared" si="15"/>
        <v>0</v>
      </c>
      <c r="W19">
        <f t="shared" si="16"/>
        <v>0</v>
      </c>
      <c r="X19">
        <f t="shared" si="17"/>
        <v>0</v>
      </c>
      <c r="Z19">
        <f t="shared" si="18"/>
        <v>0</v>
      </c>
      <c r="AA19">
        <f t="shared" si="19"/>
        <v>0</v>
      </c>
      <c r="AB19">
        <f t="shared" si="20"/>
        <v>0</v>
      </c>
      <c r="AC19">
        <f t="shared" si="21"/>
        <v>0</v>
      </c>
      <c r="AD19">
        <f t="shared" si="22"/>
        <v>0</v>
      </c>
      <c r="AE19">
        <f t="shared" si="23"/>
        <v>0</v>
      </c>
    </row>
    <row r="20" spans="1:31" x14ac:dyDescent="0.25">
      <c r="A20">
        <v>19.77914711</v>
      </c>
      <c r="B20">
        <v>112.2050873</v>
      </c>
      <c r="C20">
        <v>1.60182095</v>
      </c>
      <c r="D20">
        <v>5.3649110799999997</v>
      </c>
      <c r="E20" t="b">
        <f t="shared" si="0"/>
        <v>1</v>
      </c>
      <c r="F20">
        <f t="shared" si="1"/>
        <v>-2.6441936700000008</v>
      </c>
      <c r="G20">
        <f t="shared" si="2"/>
        <v>-10.653298420000002</v>
      </c>
      <c r="H20">
        <f t="shared" si="3"/>
        <v>-18.662403170000001</v>
      </c>
      <c r="I20">
        <f t="shared" si="4"/>
        <v>-26.671507920000003</v>
      </c>
      <c r="J20">
        <f t="shared" si="5"/>
        <v>-34.680612670000002</v>
      </c>
      <c r="L20">
        <f t="shared" si="6"/>
        <v>3075496.2239999999</v>
      </c>
      <c r="M20">
        <f t="shared" si="7"/>
        <v>-4283593.7454000013</v>
      </c>
      <c r="N20">
        <f t="shared" si="8"/>
        <v>-14701551.819600001</v>
      </c>
      <c r="O20">
        <f t="shared" si="9"/>
        <v>-19035651.233400002</v>
      </c>
      <c r="P20">
        <f t="shared" si="10"/>
        <v>-24537787.286400001</v>
      </c>
      <c r="Q20">
        <f t="shared" si="11"/>
        <v>-26357265.6292</v>
      </c>
      <c r="S20">
        <f t="shared" si="12"/>
        <v>3363823.9950000001</v>
      </c>
      <c r="T20">
        <f t="shared" si="13"/>
        <v>-4812432.4794000015</v>
      </c>
      <c r="U20">
        <f t="shared" si="14"/>
        <v>-16086480.614200003</v>
      </c>
      <c r="V20">
        <f t="shared" si="15"/>
        <v>-19968771.391899999</v>
      </c>
      <c r="W20">
        <f t="shared" si="16"/>
        <v>-28538513.474399999</v>
      </c>
      <c r="X20">
        <f t="shared" si="17"/>
        <v>-30172133.0229</v>
      </c>
      <c r="Z20">
        <f t="shared" si="18"/>
        <v>3652151.7660000003</v>
      </c>
      <c r="AA20">
        <f t="shared" si="19"/>
        <v>-5341271.2134000016</v>
      </c>
      <c r="AB20">
        <f t="shared" si="20"/>
        <v>-17471409.408800006</v>
      </c>
      <c r="AC20">
        <f t="shared" si="21"/>
        <v>-25380868.3112</v>
      </c>
      <c r="AD20">
        <f t="shared" si="22"/>
        <v>-32539239.6624</v>
      </c>
      <c r="AE20">
        <f t="shared" si="23"/>
        <v>-33987000.416600004</v>
      </c>
    </row>
    <row r="21" spans="1:31" x14ac:dyDescent="0.25">
      <c r="A21">
        <v>20.246964160000001</v>
      </c>
      <c r="B21">
        <v>115.8670042</v>
      </c>
      <c r="C21">
        <v>1.42060995</v>
      </c>
      <c r="D21">
        <v>1.95888996</v>
      </c>
      <c r="E21" t="b">
        <f t="shared" si="0"/>
        <v>1</v>
      </c>
      <c r="F21">
        <f t="shared" si="1"/>
        <v>-5.1441597899999998</v>
      </c>
      <c r="G21">
        <f t="shared" si="2"/>
        <v>-12.24720954</v>
      </c>
      <c r="H21">
        <f t="shared" si="3"/>
        <v>-19.35025929</v>
      </c>
      <c r="I21">
        <f t="shared" si="4"/>
        <v>-26.453309040000001</v>
      </c>
      <c r="J21">
        <f t="shared" si="5"/>
        <v>-33.556358789999997</v>
      </c>
      <c r="L21">
        <f t="shared" si="6"/>
        <v>2727571.1040000003</v>
      </c>
      <c r="M21">
        <f t="shared" si="7"/>
        <v>-8333538.8598000007</v>
      </c>
      <c r="N21">
        <f t="shared" si="8"/>
        <v>-16901149.165199999</v>
      </c>
      <c r="O21">
        <f t="shared" si="9"/>
        <v>-19737264.4758</v>
      </c>
      <c r="P21">
        <f t="shared" si="10"/>
        <v>-24337044.316799998</v>
      </c>
      <c r="Q21">
        <f t="shared" si="11"/>
        <v>-25502832.680399999</v>
      </c>
      <c r="S21">
        <f t="shared" si="12"/>
        <v>2983280.895</v>
      </c>
      <c r="T21">
        <f t="shared" si="13"/>
        <v>-9362370.8178000003</v>
      </c>
      <c r="U21">
        <f t="shared" si="14"/>
        <v>-18493286.405400001</v>
      </c>
      <c r="V21">
        <f t="shared" si="15"/>
        <v>-20704777.440299995</v>
      </c>
      <c r="W21">
        <f t="shared" si="16"/>
        <v>-28305040.672799993</v>
      </c>
      <c r="X21">
        <f t="shared" si="17"/>
        <v>-29194032.147299998</v>
      </c>
      <c r="Z21">
        <f t="shared" si="18"/>
        <v>3238990.6860000002</v>
      </c>
      <c r="AA21">
        <f t="shared" si="19"/>
        <v>-10391202.775800001</v>
      </c>
      <c r="AB21">
        <f t="shared" si="20"/>
        <v>-20085423.645600002</v>
      </c>
      <c r="AC21">
        <f t="shared" si="21"/>
        <v>-26316352.634399995</v>
      </c>
      <c r="AD21">
        <f t="shared" si="22"/>
        <v>-32273037.0288</v>
      </c>
      <c r="AE21">
        <f t="shared" si="23"/>
        <v>-32885231.6142</v>
      </c>
    </row>
    <row r="22" spans="1:31" x14ac:dyDescent="0.25">
      <c r="A22">
        <v>20.374969060000002</v>
      </c>
      <c r="B22">
        <v>115.4553676</v>
      </c>
      <c r="C22">
        <v>1.04884398</v>
      </c>
      <c r="D22">
        <v>10.15929508</v>
      </c>
      <c r="E22" t="b">
        <f t="shared" si="0"/>
        <v>1</v>
      </c>
      <c r="F22">
        <f t="shared" si="1"/>
        <v>4.9150751799999997</v>
      </c>
      <c r="G22">
        <f t="shared" si="2"/>
        <v>-0.32914472000000039</v>
      </c>
      <c r="H22">
        <f t="shared" si="3"/>
        <v>-5.5733646199999995</v>
      </c>
      <c r="I22">
        <f t="shared" si="4"/>
        <v>-10.81758452</v>
      </c>
      <c r="J22">
        <f t="shared" si="5"/>
        <v>-16.061804420000001</v>
      </c>
      <c r="L22">
        <f t="shared" si="6"/>
        <v>2013780.4416</v>
      </c>
      <c r="M22">
        <f t="shared" si="7"/>
        <v>1699127.2476000001</v>
      </c>
      <c r="N22">
        <f t="shared" si="8"/>
        <v>-454219.71360000048</v>
      </c>
      <c r="O22">
        <f t="shared" si="9"/>
        <v>-5684831.9123999989</v>
      </c>
      <c r="P22">
        <f t="shared" si="10"/>
        <v>-9952177.7583999988</v>
      </c>
      <c r="Q22">
        <f t="shared" si="11"/>
        <v>-12206971.359200001</v>
      </c>
      <c r="S22">
        <f t="shared" si="12"/>
        <v>2202572.358</v>
      </c>
      <c r="T22">
        <f t="shared" si="13"/>
        <v>1908896.0436</v>
      </c>
      <c r="U22">
        <f t="shared" si="14"/>
        <v>-497008.52720000059</v>
      </c>
      <c r="V22">
        <f t="shared" si="15"/>
        <v>-5963500.1433999985</v>
      </c>
      <c r="W22">
        <f t="shared" si="16"/>
        <v>-11574815.436399998</v>
      </c>
      <c r="X22">
        <f t="shared" si="17"/>
        <v>-13973769.845400002</v>
      </c>
      <c r="Z22">
        <f t="shared" si="18"/>
        <v>2391364.2744</v>
      </c>
      <c r="AA22">
        <f t="shared" si="19"/>
        <v>2118664.8396000001</v>
      </c>
      <c r="AB22">
        <f t="shared" si="20"/>
        <v>-539797.3408000007</v>
      </c>
      <c r="AC22">
        <f t="shared" si="21"/>
        <v>-7579775.8831999982</v>
      </c>
      <c r="AD22">
        <f t="shared" si="22"/>
        <v>-13197453.114399999</v>
      </c>
      <c r="AE22">
        <f t="shared" si="23"/>
        <v>-15740568.331600001</v>
      </c>
    </row>
    <row r="23" spans="1:31" x14ac:dyDescent="0.25">
      <c r="A23">
        <v>20.376971149999999</v>
      </c>
      <c r="B23">
        <v>113.8496136</v>
      </c>
      <c r="C23">
        <v>1.05698705</v>
      </c>
      <c r="D23">
        <v>1.29286802</v>
      </c>
      <c r="E23" t="b">
        <f t="shared" si="0"/>
        <v>1</v>
      </c>
      <c r="F23">
        <f t="shared" si="1"/>
        <v>-3.99206723</v>
      </c>
      <c r="G23">
        <f t="shared" si="2"/>
        <v>-9.2770024800000002</v>
      </c>
      <c r="H23">
        <f t="shared" si="3"/>
        <v>-14.56193773</v>
      </c>
      <c r="I23">
        <f t="shared" si="4"/>
        <v>-19.846872980000001</v>
      </c>
      <c r="J23">
        <f t="shared" si="5"/>
        <v>-25.131808230000001</v>
      </c>
      <c r="L23">
        <f t="shared" si="6"/>
        <v>2029415.1360000002</v>
      </c>
      <c r="M23">
        <f t="shared" si="7"/>
        <v>-6467148.9126000004</v>
      </c>
      <c r="N23">
        <f t="shared" si="8"/>
        <v>-12802263.4224</v>
      </c>
      <c r="O23">
        <f t="shared" si="9"/>
        <v>-14853176.4846</v>
      </c>
      <c r="P23">
        <f t="shared" si="10"/>
        <v>-18259123.141599998</v>
      </c>
      <c r="Q23">
        <f t="shared" si="11"/>
        <v>-19100174.254799999</v>
      </c>
      <c r="S23">
        <f t="shared" si="12"/>
        <v>2219672.8050000002</v>
      </c>
      <c r="T23">
        <f t="shared" si="13"/>
        <v>-7265562.3585999999</v>
      </c>
      <c r="U23">
        <f t="shared" si="14"/>
        <v>-14008273.744800001</v>
      </c>
      <c r="V23">
        <f t="shared" si="15"/>
        <v>-15581273.371099997</v>
      </c>
      <c r="W23">
        <f t="shared" si="16"/>
        <v>-21236154.088599999</v>
      </c>
      <c r="X23">
        <f t="shared" si="17"/>
        <v>-21864673.160100002</v>
      </c>
      <c r="Z23">
        <f t="shared" si="18"/>
        <v>2409930.4740000004</v>
      </c>
      <c r="AA23">
        <f t="shared" si="19"/>
        <v>-8063975.8046000004</v>
      </c>
      <c r="AB23">
        <f t="shared" si="20"/>
        <v>-15214284.067200001</v>
      </c>
      <c r="AC23">
        <f t="shared" si="21"/>
        <v>-19804235.312799998</v>
      </c>
      <c r="AD23">
        <f t="shared" si="22"/>
        <v>-24213185.035599999</v>
      </c>
      <c r="AE23">
        <f t="shared" si="23"/>
        <v>-24629172.065400001</v>
      </c>
    </row>
    <row r="24" spans="1:31" x14ac:dyDescent="0.25">
      <c r="A24">
        <v>20.387844439999999</v>
      </c>
      <c r="B24">
        <v>115.3148869</v>
      </c>
      <c r="C24">
        <v>1.66006696</v>
      </c>
      <c r="D24">
        <v>13.815073010000001</v>
      </c>
      <c r="E24" t="b">
        <f t="shared" si="0"/>
        <v>1</v>
      </c>
      <c r="F24">
        <f t="shared" si="1"/>
        <v>5.5147382100000009</v>
      </c>
      <c r="G24">
        <f t="shared" si="2"/>
        <v>-2.785596589999999</v>
      </c>
      <c r="H24">
        <f t="shared" si="3"/>
        <v>-11.085931389999997</v>
      </c>
      <c r="I24">
        <f t="shared" si="4"/>
        <v>-19.386266190000001</v>
      </c>
      <c r="J24">
        <f t="shared" si="5"/>
        <v>-27.686600990000002</v>
      </c>
      <c r="L24">
        <f t="shared" si="6"/>
        <v>3187328.5632000002</v>
      </c>
      <c r="M24">
        <f t="shared" si="7"/>
        <v>2689308.4752000002</v>
      </c>
      <c r="N24">
        <f t="shared" si="8"/>
        <v>-3844123.294199998</v>
      </c>
      <c r="O24">
        <f t="shared" si="9"/>
        <v>-11307650.017799998</v>
      </c>
      <c r="P24">
        <f t="shared" si="10"/>
        <v>-17835364.8948</v>
      </c>
      <c r="Q24">
        <f t="shared" si="11"/>
        <v>-21041816.752400003</v>
      </c>
      <c r="S24">
        <f t="shared" si="12"/>
        <v>3486140.6159999999</v>
      </c>
      <c r="T24">
        <f t="shared" si="13"/>
        <v>3021321.8672000002</v>
      </c>
      <c r="U24">
        <f t="shared" si="14"/>
        <v>-4206250.8508999981</v>
      </c>
      <c r="V24">
        <f t="shared" si="15"/>
        <v>-11861946.587299995</v>
      </c>
      <c r="W24">
        <f t="shared" si="16"/>
        <v>-20743304.823299997</v>
      </c>
      <c r="X24">
        <f t="shared" si="17"/>
        <v>-24087342.861300003</v>
      </c>
      <c r="Z24">
        <f t="shared" si="18"/>
        <v>3784952.6688000001</v>
      </c>
      <c r="AA24">
        <f t="shared" si="19"/>
        <v>3353335.2591999997</v>
      </c>
      <c r="AB24">
        <f t="shared" si="20"/>
        <v>-4568378.4075999986</v>
      </c>
      <c r="AC24">
        <f t="shared" si="21"/>
        <v>-15076866.690399995</v>
      </c>
      <c r="AD24">
        <f t="shared" si="22"/>
        <v>-23651244.751800001</v>
      </c>
      <c r="AE24">
        <f t="shared" si="23"/>
        <v>-27132868.970200002</v>
      </c>
    </row>
    <row r="25" spans="1:31" x14ac:dyDescent="0.25">
      <c r="A25">
        <v>20.424775239999999</v>
      </c>
      <c r="B25">
        <v>113.80650850000001</v>
      </c>
      <c r="C25">
        <v>1.47978199</v>
      </c>
      <c r="D25">
        <v>3.0240368800000001</v>
      </c>
      <c r="E25" t="b">
        <f t="shared" si="0"/>
        <v>1</v>
      </c>
      <c r="F25">
        <f t="shared" si="1"/>
        <v>-4.3748730699999996</v>
      </c>
      <c r="G25">
        <f t="shared" si="2"/>
        <v>-11.77378302</v>
      </c>
      <c r="H25">
        <f t="shared" si="3"/>
        <v>-19.17269297</v>
      </c>
      <c r="I25">
        <f t="shared" si="4"/>
        <v>-26.57160292</v>
      </c>
      <c r="J25">
        <f t="shared" si="5"/>
        <v>-33.97051287</v>
      </c>
      <c r="L25">
        <f t="shared" si="6"/>
        <v>2841181.4208000004</v>
      </c>
      <c r="M25">
        <f t="shared" si="7"/>
        <v>-7087294.373399999</v>
      </c>
      <c r="N25">
        <f t="shared" si="8"/>
        <v>-16247820.567599999</v>
      </c>
      <c r="O25">
        <f t="shared" si="9"/>
        <v>-19556146.829399999</v>
      </c>
      <c r="P25">
        <f t="shared" si="10"/>
        <v>-24445874.6864</v>
      </c>
      <c r="Q25">
        <f t="shared" si="11"/>
        <v>-25817589.781199999</v>
      </c>
      <c r="S25">
        <f t="shared" si="12"/>
        <v>3107542.179</v>
      </c>
      <c r="T25">
        <f t="shared" si="13"/>
        <v>-7962268.9873999991</v>
      </c>
      <c r="U25">
        <f t="shared" si="14"/>
        <v>-17778412.360199999</v>
      </c>
      <c r="V25">
        <f t="shared" si="15"/>
        <v>-20514781.477899995</v>
      </c>
      <c r="W25">
        <f t="shared" si="16"/>
        <v>-28431615.124399997</v>
      </c>
      <c r="X25">
        <f t="shared" si="17"/>
        <v>-29554346.196899999</v>
      </c>
      <c r="Z25">
        <f t="shared" si="18"/>
        <v>3373902.9372000005</v>
      </c>
      <c r="AA25">
        <f t="shared" si="19"/>
        <v>-8837243.6013999991</v>
      </c>
      <c r="AB25">
        <f t="shared" si="20"/>
        <v>-19309004.152800001</v>
      </c>
      <c r="AC25">
        <f t="shared" si="21"/>
        <v>-26074862.439199995</v>
      </c>
      <c r="AD25">
        <f t="shared" si="22"/>
        <v>-32417355.562400002</v>
      </c>
      <c r="AE25">
        <f t="shared" si="23"/>
        <v>-33291102.612599995</v>
      </c>
    </row>
    <row r="26" spans="1:31" x14ac:dyDescent="0.25">
      <c r="A26">
        <v>20.428336850000001</v>
      </c>
      <c r="B26">
        <v>113.7595895</v>
      </c>
      <c r="C26">
        <v>1.05698705</v>
      </c>
      <c r="D26">
        <v>1.4863079800000001</v>
      </c>
      <c r="E26" t="b">
        <f t="shared" si="0"/>
        <v>1</v>
      </c>
      <c r="F26">
        <f t="shared" si="1"/>
        <v>-3.7986272699999999</v>
      </c>
      <c r="G26">
        <f t="shared" si="2"/>
        <v>-9.083562520000001</v>
      </c>
      <c r="H26">
        <f t="shared" si="3"/>
        <v>-14.368497770000001</v>
      </c>
      <c r="I26">
        <f t="shared" si="4"/>
        <v>-19.653433020000001</v>
      </c>
      <c r="J26">
        <f t="shared" si="5"/>
        <v>-24.938368270000002</v>
      </c>
      <c r="L26">
        <f t="shared" si="6"/>
        <v>2029415.1360000002</v>
      </c>
      <c r="M26">
        <f t="shared" si="7"/>
        <v>-6153776.1774000004</v>
      </c>
      <c r="N26">
        <f t="shared" si="8"/>
        <v>-12535316.277600002</v>
      </c>
      <c r="O26">
        <f t="shared" si="9"/>
        <v>-14655867.725400001</v>
      </c>
      <c r="P26">
        <f t="shared" si="10"/>
        <v>-18081158.378399998</v>
      </c>
      <c r="Q26">
        <f t="shared" si="11"/>
        <v>-18953159.885200001</v>
      </c>
      <c r="S26">
        <f t="shared" si="12"/>
        <v>2219672.8050000002</v>
      </c>
      <c r="T26">
        <f t="shared" si="13"/>
        <v>-6913501.6314000003</v>
      </c>
      <c r="U26">
        <f t="shared" si="14"/>
        <v>-13716179.405200003</v>
      </c>
      <c r="V26">
        <f t="shared" si="15"/>
        <v>-15374292.613899998</v>
      </c>
      <c r="W26">
        <f t="shared" si="16"/>
        <v>-21029173.331399996</v>
      </c>
      <c r="X26">
        <f t="shared" si="17"/>
        <v>-21696380.394900002</v>
      </c>
      <c r="Z26">
        <f t="shared" si="18"/>
        <v>2409930.4740000004</v>
      </c>
      <c r="AA26">
        <f t="shared" si="19"/>
        <v>-7673227.0854000002</v>
      </c>
      <c r="AB26">
        <f t="shared" si="20"/>
        <v>-14897042.532800004</v>
      </c>
      <c r="AC26">
        <f t="shared" si="21"/>
        <v>-19541156.9672</v>
      </c>
      <c r="AD26">
        <f t="shared" si="22"/>
        <v>-23977188.284399997</v>
      </c>
      <c r="AE26">
        <f t="shared" si="23"/>
        <v>-24439600.904600002</v>
      </c>
    </row>
    <row r="27" spans="1:31" x14ac:dyDescent="0.25">
      <c r="A27">
        <v>20.441373760000001</v>
      </c>
      <c r="B27">
        <v>115.69881650000001</v>
      </c>
      <c r="C27">
        <v>1.05698705</v>
      </c>
      <c r="D27">
        <v>2.4486129299999999</v>
      </c>
      <c r="E27" t="b">
        <f t="shared" si="0"/>
        <v>1</v>
      </c>
      <c r="F27">
        <f t="shared" si="1"/>
        <v>-2.8363223200000003</v>
      </c>
      <c r="G27">
        <f t="shared" si="2"/>
        <v>-8.1212575700000009</v>
      </c>
      <c r="H27">
        <f t="shared" si="3"/>
        <v>-13.406192820000001</v>
      </c>
      <c r="I27">
        <f t="shared" si="4"/>
        <v>-18.691128070000001</v>
      </c>
      <c r="J27">
        <f t="shared" si="5"/>
        <v>-23.976063320000002</v>
      </c>
      <c r="L27">
        <f t="shared" si="6"/>
        <v>2029415.1360000002</v>
      </c>
      <c r="M27">
        <f t="shared" si="7"/>
        <v>-4594842.158400001</v>
      </c>
      <c r="N27">
        <f t="shared" si="8"/>
        <v>-11207335.446600001</v>
      </c>
      <c r="O27">
        <f t="shared" si="9"/>
        <v>-13674316.6764</v>
      </c>
      <c r="P27">
        <f t="shared" si="10"/>
        <v>-17195837.8244</v>
      </c>
      <c r="Q27">
        <f t="shared" si="11"/>
        <v>-18221808.123199999</v>
      </c>
      <c r="S27">
        <f t="shared" si="12"/>
        <v>2219672.8050000002</v>
      </c>
      <c r="T27">
        <f t="shared" si="13"/>
        <v>-5162106.6224000007</v>
      </c>
      <c r="U27">
        <f t="shared" si="14"/>
        <v>-12263098.930700002</v>
      </c>
      <c r="V27">
        <f t="shared" si="15"/>
        <v>-14344626.317399997</v>
      </c>
      <c r="W27">
        <f t="shared" si="16"/>
        <v>-19999507.034899998</v>
      </c>
      <c r="X27">
        <f t="shared" si="17"/>
        <v>-20859175.088399999</v>
      </c>
      <c r="Z27">
        <f t="shared" si="18"/>
        <v>2409930.4740000004</v>
      </c>
      <c r="AA27">
        <f t="shared" si="19"/>
        <v>-5729371.0864000004</v>
      </c>
      <c r="AB27">
        <f t="shared" si="20"/>
        <v>-13318862.414800003</v>
      </c>
      <c r="AC27">
        <f t="shared" si="21"/>
        <v>-18232422.235199999</v>
      </c>
      <c r="AD27">
        <f t="shared" si="22"/>
        <v>-22803176.2454</v>
      </c>
      <c r="AE27">
        <f t="shared" si="23"/>
        <v>-23496542.053599998</v>
      </c>
    </row>
    <row r="28" spans="1:31" x14ac:dyDescent="0.25">
      <c r="A28">
        <v>20.447174140000001</v>
      </c>
      <c r="B28">
        <v>114.09187129999999</v>
      </c>
      <c r="C28">
        <v>1.69117999</v>
      </c>
      <c r="D28">
        <v>1.22430599</v>
      </c>
      <c r="E28" t="b">
        <f t="shared" si="0"/>
        <v>0</v>
      </c>
      <c r="F28">
        <f t="shared" si="1"/>
        <v>-7.2315939599999997</v>
      </c>
      <c r="G28">
        <f t="shared" si="2"/>
        <v>-15.687493909999999</v>
      </c>
      <c r="H28">
        <f t="shared" si="3"/>
        <v>-24.14339386</v>
      </c>
      <c r="I28">
        <f t="shared" si="4"/>
        <v>-32.599293809999999</v>
      </c>
      <c r="J28">
        <f t="shared" si="5"/>
        <v>-41.055193760000002</v>
      </c>
      <c r="L28">
        <f t="shared" si="6"/>
        <v>2350667.5008</v>
      </c>
      <c r="M28">
        <f t="shared" si="7"/>
        <v>-11715182.215200001</v>
      </c>
      <c r="N28">
        <f t="shared" si="8"/>
        <v>-21648741.595799997</v>
      </c>
      <c r="O28">
        <f t="shared" si="9"/>
        <v>-24626261.737199999</v>
      </c>
      <c r="P28">
        <f t="shared" si="10"/>
        <v>-29991350.305199996</v>
      </c>
      <c r="Q28">
        <f t="shared" si="11"/>
        <v>-31201947.257600006</v>
      </c>
      <c r="S28">
        <f t="shared" si="12"/>
        <v>2571042.5789999999</v>
      </c>
      <c r="T28">
        <f t="shared" si="13"/>
        <v>-13161501.007200001</v>
      </c>
      <c r="U28">
        <f t="shared" si="14"/>
        <v>-23688115.804099999</v>
      </c>
      <c r="V28">
        <f t="shared" si="15"/>
        <v>-25833431.430199996</v>
      </c>
      <c r="W28">
        <f t="shared" si="16"/>
        <v>-34881244.376699992</v>
      </c>
      <c r="X28">
        <f t="shared" si="17"/>
        <v>-35718018.571200006</v>
      </c>
      <c r="Z28">
        <f t="shared" si="18"/>
        <v>2791417.6572000002</v>
      </c>
      <c r="AA28">
        <f t="shared" si="19"/>
        <v>-14607819.7992</v>
      </c>
      <c r="AB28">
        <f t="shared" si="20"/>
        <v>-25727490.012399998</v>
      </c>
      <c r="AC28">
        <f t="shared" si="21"/>
        <v>-32835015.649599995</v>
      </c>
      <c r="AD28">
        <f t="shared" si="22"/>
        <v>-39771138.448199995</v>
      </c>
      <c r="AE28">
        <f t="shared" si="23"/>
        <v>-40234089.884800002</v>
      </c>
    </row>
    <row r="29" spans="1:31" x14ac:dyDescent="0.25">
      <c r="A29">
        <v>20.44925761</v>
      </c>
      <c r="B29">
        <v>113.47799980000001</v>
      </c>
      <c r="C29">
        <v>1.6207139500000001</v>
      </c>
      <c r="D29">
        <v>7.3458380700000001</v>
      </c>
      <c r="E29" t="b">
        <f t="shared" si="0"/>
        <v>1</v>
      </c>
      <c r="F29">
        <f t="shared" si="1"/>
        <v>-0.75773168000000002</v>
      </c>
      <c r="G29">
        <f t="shared" si="2"/>
        <v>-8.861301430000001</v>
      </c>
      <c r="H29">
        <f t="shared" si="3"/>
        <v>-16.964871180000003</v>
      </c>
      <c r="I29">
        <f t="shared" si="4"/>
        <v>-25.068440930000001</v>
      </c>
      <c r="J29">
        <f t="shared" si="5"/>
        <v>-33.17201068</v>
      </c>
      <c r="L29">
        <f t="shared" si="6"/>
        <v>3111770.7840000005</v>
      </c>
      <c r="M29">
        <f t="shared" si="7"/>
        <v>-1227525.3216000001</v>
      </c>
      <c r="N29">
        <f t="shared" si="8"/>
        <v>-12228595.9734</v>
      </c>
      <c r="O29">
        <f t="shared" si="9"/>
        <v>-17304168.603600003</v>
      </c>
      <c r="P29">
        <f t="shared" si="10"/>
        <v>-23062965.655599996</v>
      </c>
      <c r="Q29">
        <f t="shared" si="11"/>
        <v>-25210728.116799999</v>
      </c>
      <c r="S29">
        <f t="shared" si="12"/>
        <v>3403499.2950000004</v>
      </c>
      <c r="T29">
        <f t="shared" si="13"/>
        <v>-1379071.6576</v>
      </c>
      <c r="U29">
        <f t="shared" si="14"/>
        <v>-13380565.159300003</v>
      </c>
      <c r="V29">
        <f t="shared" si="15"/>
        <v>-18152412.162599999</v>
      </c>
      <c r="W29">
        <f t="shared" si="16"/>
        <v>-26823231.795099996</v>
      </c>
      <c r="X29">
        <f t="shared" si="17"/>
        <v>-28859649.2916</v>
      </c>
      <c r="Z29">
        <f t="shared" si="18"/>
        <v>3695227.8060000008</v>
      </c>
      <c r="AA29">
        <f t="shared" si="19"/>
        <v>-1530617.9936000002</v>
      </c>
      <c r="AB29">
        <f t="shared" si="20"/>
        <v>-14532534.345200004</v>
      </c>
      <c r="AC29">
        <f t="shared" si="21"/>
        <v>-23072224.804800004</v>
      </c>
      <c r="AD29">
        <f t="shared" si="22"/>
        <v>-30583497.934599999</v>
      </c>
      <c r="AE29">
        <f t="shared" si="23"/>
        <v>-32508570.466399997</v>
      </c>
    </row>
    <row r="30" spans="1:31" x14ac:dyDescent="0.25">
      <c r="A30">
        <v>20.45942926</v>
      </c>
      <c r="B30">
        <v>113.33715719999999</v>
      </c>
      <c r="C30">
        <v>1.47978199</v>
      </c>
      <c r="D30">
        <v>4.8213191000000002</v>
      </c>
      <c r="E30" t="b">
        <f t="shared" si="0"/>
        <v>1</v>
      </c>
      <c r="F30">
        <f t="shared" si="1"/>
        <v>-2.57759085</v>
      </c>
      <c r="G30">
        <f t="shared" si="2"/>
        <v>-9.9765008000000002</v>
      </c>
      <c r="H30">
        <f t="shared" si="3"/>
        <v>-17.37541075</v>
      </c>
      <c r="I30">
        <f t="shared" si="4"/>
        <v>-24.774320700000001</v>
      </c>
      <c r="J30">
        <f t="shared" si="5"/>
        <v>-32.173230649999994</v>
      </c>
      <c r="L30">
        <f t="shared" si="6"/>
        <v>2841181.4208000004</v>
      </c>
      <c r="M30">
        <f t="shared" si="7"/>
        <v>-4175697.1770000006</v>
      </c>
      <c r="N30">
        <f t="shared" si="8"/>
        <v>-13767571.104</v>
      </c>
      <c r="O30">
        <f t="shared" si="9"/>
        <v>-17722918.965</v>
      </c>
      <c r="P30">
        <f t="shared" si="10"/>
        <v>-22792375.043999996</v>
      </c>
      <c r="Q30">
        <f t="shared" si="11"/>
        <v>-24451655.293999996</v>
      </c>
      <c r="S30">
        <f t="shared" si="12"/>
        <v>3107542.179</v>
      </c>
      <c r="T30">
        <f t="shared" si="13"/>
        <v>-4691215.3470000001</v>
      </c>
      <c r="U30">
        <f t="shared" si="14"/>
        <v>-15064516.208000001</v>
      </c>
      <c r="V30">
        <f t="shared" si="15"/>
        <v>-18591689.502499998</v>
      </c>
      <c r="W30">
        <f t="shared" si="16"/>
        <v>-26508523.148999996</v>
      </c>
      <c r="X30">
        <f t="shared" si="17"/>
        <v>-27990710.665499996</v>
      </c>
      <c r="Z30">
        <f t="shared" si="18"/>
        <v>3373902.9372000005</v>
      </c>
      <c r="AA30">
        <f t="shared" si="19"/>
        <v>-5206733.517</v>
      </c>
      <c r="AB30">
        <f t="shared" si="20"/>
        <v>-16361461.312000003</v>
      </c>
      <c r="AC30">
        <f t="shared" si="21"/>
        <v>-23630558.619999997</v>
      </c>
      <c r="AD30">
        <f t="shared" si="22"/>
        <v>-30224671.253999997</v>
      </c>
      <c r="AE30">
        <f t="shared" si="23"/>
        <v>-31529766.036999993</v>
      </c>
    </row>
    <row r="31" spans="1:31" x14ac:dyDescent="0.25">
      <c r="A31">
        <v>20.466103360000002</v>
      </c>
      <c r="B31">
        <v>113.24324470000001</v>
      </c>
      <c r="C31">
        <v>1.47978199</v>
      </c>
      <c r="D31">
        <v>11.35666561</v>
      </c>
      <c r="E31" t="b">
        <f t="shared" si="0"/>
        <v>1</v>
      </c>
      <c r="F31">
        <f t="shared" si="1"/>
        <v>3.9577556600000001</v>
      </c>
      <c r="G31">
        <f t="shared" si="2"/>
        <v>-3.4411542900000001</v>
      </c>
      <c r="H31">
        <f t="shared" si="3"/>
        <v>-10.84006424</v>
      </c>
      <c r="I31">
        <f t="shared" si="4"/>
        <v>-18.23897419</v>
      </c>
      <c r="J31">
        <f t="shared" si="5"/>
        <v>-25.637884139999997</v>
      </c>
      <c r="L31">
        <f t="shared" si="6"/>
        <v>2841181.4208000004</v>
      </c>
      <c r="M31">
        <f t="shared" si="7"/>
        <v>2397246.8238000004</v>
      </c>
      <c r="N31">
        <f t="shared" si="8"/>
        <v>-4748792.9201999996</v>
      </c>
      <c r="O31">
        <f t="shared" si="9"/>
        <v>-11056865.524800001</v>
      </c>
      <c r="P31">
        <f t="shared" si="10"/>
        <v>-16779856.254799999</v>
      </c>
      <c r="Q31">
        <f t="shared" si="11"/>
        <v>-19484791.946399998</v>
      </c>
      <c r="S31">
        <f t="shared" si="12"/>
        <v>3107542.179</v>
      </c>
      <c r="T31">
        <f t="shared" si="13"/>
        <v>2693203.2217999999</v>
      </c>
      <c r="U31">
        <f t="shared" si="14"/>
        <v>-5196142.9779000003</v>
      </c>
      <c r="V31">
        <f t="shared" si="15"/>
        <v>-11598868.736799998</v>
      </c>
      <c r="W31">
        <f t="shared" si="16"/>
        <v>-19515702.383299999</v>
      </c>
      <c r="X31">
        <f t="shared" si="17"/>
        <v>-22304959.201799996</v>
      </c>
      <c r="Z31">
        <f t="shared" si="18"/>
        <v>3373902.9372000005</v>
      </c>
      <c r="AA31">
        <f t="shared" si="19"/>
        <v>2989159.6198</v>
      </c>
      <c r="AB31">
        <f t="shared" si="20"/>
        <v>-5643493.0356000001</v>
      </c>
      <c r="AC31">
        <f t="shared" si="21"/>
        <v>-14742487.3664</v>
      </c>
      <c r="AD31">
        <f t="shared" si="22"/>
        <v>-22251548.511800002</v>
      </c>
      <c r="AE31">
        <f t="shared" si="23"/>
        <v>-25125126.457199998</v>
      </c>
    </row>
    <row r="32" spans="1:31" x14ac:dyDescent="0.25">
      <c r="A32">
        <v>20.476898049999999</v>
      </c>
      <c r="B32">
        <v>109.7059948</v>
      </c>
      <c r="C32">
        <v>91.886039729999993</v>
      </c>
      <c r="D32">
        <v>2.2037520399999999</v>
      </c>
      <c r="E32" t="b">
        <f t="shared" si="0"/>
        <v>0</v>
      </c>
      <c r="F32">
        <f t="shared" si="1"/>
        <v>-457.22644660999998</v>
      </c>
      <c r="G32">
        <f t="shared" si="2"/>
        <v>-916.65664525999989</v>
      </c>
      <c r="H32">
        <f t="shared" si="3"/>
        <v>-1376.08684391</v>
      </c>
      <c r="I32">
        <f t="shared" si="4"/>
        <v>-1835.5170425599999</v>
      </c>
      <c r="J32">
        <f t="shared" si="5"/>
        <v>-2294.9472412099999</v>
      </c>
      <c r="L32">
        <f t="shared" si="6"/>
        <v>4231203.9168000007</v>
      </c>
      <c r="M32">
        <f t="shared" si="7"/>
        <v>-740706843.50819993</v>
      </c>
      <c r="N32">
        <f t="shared" si="8"/>
        <v>-1264986170.4587998</v>
      </c>
      <c r="O32">
        <f t="shared" si="9"/>
        <v>-1403608580.7882001</v>
      </c>
      <c r="P32">
        <f t="shared" si="10"/>
        <v>-1688675679.1551998</v>
      </c>
      <c r="Q32">
        <f t="shared" si="11"/>
        <v>-1744159903.3196001</v>
      </c>
      <c r="S32">
        <f t="shared" si="12"/>
        <v>4627879.284</v>
      </c>
      <c r="T32">
        <f t="shared" si="13"/>
        <v>-832152132.83019996</v>
      </c>
      <c r="U32">
        <f t="shared" si="14"/>
        <v>-1384151534.3425999</v>
      </c>
      <c r="V32">
        <f t="shared" si="15"/>
        <v>-1472412922.9836998</v>
      </c>
      <c r="W32">
        <f t="shared" si="16"/>
        <v>-1964003235.5391996</v>
      </c>
      <c r="X32">
        <f t="shared" si="17"/>
        <v>-1996604099.8527</v>
      </c>
      <c r="Z32">
        <f t="shared" si="18"/>
        <v>5024554.6512000002</v>
      </c>
      <c r="AA32">
        <f t="shared" si="19"/>
        <v>-923597422.15219986</v>
      </c>
      <c r="AB32">
        <f t="shared" si="20"/>
        <v>-1503316898.2263999</v>
      </c>
      <c r="AC32">
        <f t="shared" si="21"/>
        <v>-1871478107.7175999</v>
      </c>
      <c r="AD32">
        <f t="shared" si="22"/>
        <v>-2239330791.9231997</v>
      </c>
      <c r="AE32">
        <f t="shared" si="23"/>
        <v>-2249048296.3857999</v>
      </c>
    </row>
    <row r="33" spans="1:31" x14ac:dyDescent="0.25">
      <c r="A33">
        <v>20.478584980000001</v>
      </c>
      <c r="B33">
        <v>109.6589316</v>
      </c>
      <c r="C33">
        <v>96.062675479999996</v>
      </c>
      <c r="D33">
        <v>2.53676295</v>
      </c>
      <c r="E33" t="b">
        <f t="shared" si="0"/>
        <v>0</v>
      </c>
      <c r="F33">
        <f t="shared" si="1"/>
        <v>-477.77661444999995</v>
      </c>
      <c r="G33">
        <f t="shared" si="2"/>
        <v>-958.08999184999993</v>
      </c>
      <c r="H33">
        <f t="shared" si="3"/>
        <v>-1438.40336925</v>
      </c>
      <c r="I33">
        <f t="shared" si="4"/>
        <v>-1918.71674665</v>
      </c>
      <c r="J33">
        <f t="shared" si="5"/>
        <v>-2399.0301240499998</v>
      </c>
      <c r="L33">
        <f t="shared" si="6"/>
        <v>4870584.864000001</v>
      </c>
      <c r="M33">
        <f t="shared" si="7"/>
        <v>-773998115.40899992</v>
      </c>
      <c r="N33">
        <f t="shared" si="8"/>
        <v>-1322164188.7529998</v>
      </c>
      <c r="O33">
        <f t="shared" si="9"/>
        <v>-1467171436.635</v>
      </c>
      <c r="P33">
        <f t="shared" si="10"/>
        <v>-1765219406.918</v>
      </c>
      <c r="Q33">
        <f t="shared" si="11"/>
        <v>-1823262894.2779999</v>
      </c>
      <c r="S33">
        <f t="shared" si="12"/>
        <v>5327202.1950000003</v>
      </c>
      <c r="T33">
        <f t="shared" si="13"/>
        <v>-869553438.29899991</v>
      </c>
      <c r="U33">
        <f t="shared" si="14"/>
        <v>-1446715887.6934998</v>
      </c>
      <c r="V33">
        <f t="shared" si="15"/>
        <v>-1539091605.0974998</v>
      </c>
      <c r="W33">
        <f t="shared" si="16"/>
        <v>-2053026918.9154997</v>
      </c>
      <c r="X33">
        <f t="shared" si="17"/>
        <v>-2087156207.9234998</v>
      </c>
      <c r="Z33">
        <f t="shared" si="18"/>
        <v>5783819.5260000015</v>
      </c>
      <c r="AA33">
        <f t="shared" si="19"/>
        <v>-965108761.18899989</v>
      </c>
      <c r="AB33">
        <f t="shared" si="20"/>
        <v>-1571267586.6340001</v>
      </c>
      <c r="AC33">
        <f t="shared" si="21"/>
        <v>-1956228582.1799998</v>
      </c>
      <c r="AD33">
        <f t="shared" si="22"/>
        <v>-2340834430.9130001</v>
      </c>
      <c r="AE33">
        <f t="shared" si="23"/>
        <v>-2351049521.5689998</v>
      </c>
    </row>
    <row r="34" spans="1:31" x14ac:dyDescent="0.25">
      <c r="A34">
        <v>20.480250359999999</v>
      </c>
      <c r="B34">
        <v>109.6118666</v>
      </c>
      <c r="C34">
        <v>62.64957047</v>
      </c>
      <c r="D34">
        <v>0.48972300000000002</v>
      </c>
      <c r="E34" t="b">
        <f t="shared" si="0"/>
        <v>0</v>
      </c>
      <c r="F34">
        <f t="shared" si="1"/>
        <v>-312.75812934999999</v>
      </c>
      <c r="G34">
        <f t="shared" si="2"/>
        <v>-626.00598170000001</v>
      </c>
      <c r="H34">
        <f t="shared" si="3"/>
        <v>-939.25383405000002</v>
      </c>
      <c r="I34">
        <f t="shared" si="4"/>
        <v>-1252.5016864000002</v>
      </c>
      <c r="J34">
        <f t="shared" si="5"/>
        <v>-1565.7495387500001</v>
      </c>
      <c r="L34">
        <f t="shared" si="6"/>
        <v>940268.16</v>
      </c>
      <c r="M34">
        <f t="shared" si="7"/>
        <v>-506668169.54699999</v>
      </c>
      <c r="N34">
        <f t="shared" si="8"/>
        <v>-863888254.74600005</v>
      </c>
      <c r="O34">
        <f t="shared" si="9"/>
        <v>-958038910.73100007</v>
      </c>
      <c r="P34">
        <f t="shared" si="10"/>
        <v>-1152301551.4879999</v>
      </c>
      <c r="Q34">
        <f t="shared" si="11"/>
        <v>-1189969649.45</v>
      </c>
      <c r="S34">
        <f t="shared" si="12"/>
        <v>1028418.3</v>
      </c>
      <c r="T34">
        <f t="shared" si="13"/>
        <v>-569219795.41699994</v>
      </c>
      <c r="U34">
        <f t="shared" si="14"/>
        <v>-945269032.3670001</v>
      </c>
      <c r="V34">
        <f t="shared" si="15"/>
        <v>-1005001602.4334999</v>
      </c>
      <c r="W34">
        <f t="shared" si="16"/>
        <v>-1340176804.448</v>
      </c>
      <c r="X34">
        <f t="shared" si="17"/>
        <v>-1362202098.7125001</v>
      </c>
      <c r="Z34">
        <f t="shared" si="18"/>
        <v>1116568.4400000002</v>
      </c>
      <c r="AA34">
        <f t="shared" si="19"/>
        <v>-631771421.28699994</v>
      </c>
      <c r="AB34">
        <f t="shared" si="20"/>
        <v>-1026649809.9880002</v>
      </c>
      <c r="AC34">
        <f t="shared" si="21"/>
        <v>-1277385214.3080001</v>
      </c>
      <c r="AD34">
        <f t="shared" si="22"/>
        <v>-1528052057.408</v>
      </c>
      <c r="AE34">
        <f t="shared" si="23"/>
        <v>-1534434547.9749999</v>
      </c>
    </row>
    <row r="35" spans="1:31" x14ac:dyDescent="0.25">
      <c r="A35">
        <v>20.48189421</v>
      </c>
      <c r="B35">
        <v>109.56480000000001</v>
      </c>
      <c r="C35">
        <v>129.47578429999999</v>
      </c>
      <c r="D35">
        <v>1.4691679499999999</v>
      </c>
      <c r="E35" t="b">
        <f t="shared" si="0"/>
        <v>0</v>
      </c>
      <c r="F35">
        <f t="shared" si="1"/>
        <v>-645.90975354999989</v>
      </c>
      <c r="G35">
        <f t="shared" si="2"/>
        <v>-1293.2886750499999</v>
      </c>
      <c r="H35">
        <f t="shared" si="3"/>
        <v>-1940.6675965499999</v>
      </c>
      <c r="I35">
        <f t="shared" si="4"/>
        <v>-2588.0465180499996</v>
      </c>
      <c r="J35">
        <f t="shared" si="5"/>
        <v>-3235.4254395499993</v>
      </c>
      <c r="L35">
        <f t="shared" si="6"/>
        <v>2820802.4640000002</v>
      </c>
      <c r="M35">
        <f t="shared" si="7"/>
        <v>-1046373800.7509998</v>
      </c>
      <c r="N35">
        <f t="shared" si="8"/>
        <v>-1784738371.5689998</v>
      </c>
      <c r="O35">
        <f t="shared" si="9"/>
        <v>-1979480948.4809999</v>
      </c>
      <c r="P35">
        <f t="shared" si="10"/>
        <v>-2381002796.6059995</v>
      </c>
      <c r="Q35">
        <f t="shared" si="11"/>
        <v>-2458923334.0579996</v>
      </c>
      <c r="S35">
        <f t="shared" si="12"/>
        <v>3085252.6949999998</v>
      </c>
      <c r="T35">
        <f t="shared" si="13"/>
        <v>-1175555751.4609997</v>
      </c>
      <c r="U35">
        <f t="shared" si="14"/>
        <v>-1952865899.3255</v>
      </c>
      <c r="V35">
        <f t="shared" si="15"/>
        <v>-2076514328.3084996</v>
      </c>
      <c r="W35">
        <f t="shared" si="16"/>
        <v>-2769209774.3134995</v>
      </c>
      <c r="X35">
        <f t="shared" si="17"/>
        <v>-2814820132.4084992</v>
      </c>
      <c r="Z35">
        <f t="shared" si="18"/>
        <v>3349702.9260000004</v>
      </c>
      <c r="AA35">
        <f t="shared" si="19"/>
        <v>-1304737702.1709998</v>
      </c>
      <c r="AB35">
        <f t="shared" si="20"/>
        <v>-2120993427.082</v>
      </c>
      <c r="AC35">
        <f t="shared" si="21"/>
        <v>-2639307931.3079996</v>
      </c>
      <c r="AD35">
        <f t="shared" si="22"/>
        <v>-3157416752.0209994</v>
      </c>
      <c r="AE35">
        <f t="shared" si="23"/>
        <v>-3170716930.7589993</v>
      </c>
    </row>
    <row r="36" spans="1:31" x14ac:dyDescent="0.25">
      <c r="A36">
        <v>20.498767839999999</v>
      </c>
      <c r="B36">
        <v>114.00191460000001</v>
      </c>
      <c r="C36">
        <v>1.69117999</v>
      </c>
      <c r="D36">
        <v>3.13422394</v>
      </c>
      <c r="E36" t="b">
        <f t="shared" si="0"/>
        <v>1</v>
      </c>
      <c r="F36">
        <f t="shared" si="1"/>
        <v>-5.3216760099999991</v>
      </c>
      <c r="G36">
        <f t="shared" si="2"/>
        <v>-13.777575959999998</v>
      </c>
      <c r="H36">
        <f t="shared" si="3"/>
        <v>-22.233475910000003</v>
      </c>
      <c r="I36">
        <f t="shared" si="4"/>
        <v>-30.689375859999998</v>
      </c>
      <c r="J36">
        <f t="shared" si="5"/>
        <v>-39.145275810000001</v>
      </c>
      <c r="L36">
        <f t="shared" si="6"/>
        <v>3247065.5808000001</v>
      </c>
      <c r="M36">
        <f t="shared" si="7"/>
        <v>-8621115.1361999996</v>
      </c>
      <c r="N36">
        <f t="shared" si="8"/>
        <v>-19013054.824799996</v>
      </c>
      <c r="O36">
        <f t="shared" si="9"/>
        <v>-22678145.428200003</v>
      </c>
      <c r="P36">
        <f t="shared" si="10"/>
        <v>-28234225.791199997</v>
      </c>
      <c r="Q36">
        <f t="shared" si="11"/>
        <v>-29750409.615600001</v>
      </c>
      <c r="S36">
        <f t="shared" si="12"/>
        <v>3551477.9790000003</v>
      </c>
      <c r="T36">
        <f t="shared" si="13"/>
        <v>-9685450.3381999973</v>
      </c>
      <c r="U36">
        <f t="shared" si="14"/>
        <v>-20804139.6996</v>
      </c>
      <c r="V36">
        <f t="shared" si="15"/>
        <v>-23789819.223700002</v>
      </c>
      <c r="W36">
        <f t="shared" si="16"/>
        <v>-32837632.170199994</v>
      </c>
      <c r="X36">
        <f t="shared" si="17"/>
        <v>-34056389.954700001</v>
      </c>
      <c r="Z36">
        <f t="shared" si="18"/>
        <v>3855890.3772000005</v>
      </c>
      <c r="AA36">
        <f t="shared" si="19"/>
        <v>-10749785.540199997</v>
      </c>
      <c r="AB36">
        <f t="shared" si="20"/>
        <v>-22595224.5744</v>
      </c>
      <c r="AC36">
        <f t="shared" si="21"/>
        <v>-30237527.237600002</v>
      </c>
      <c r="AD36">
        <f t="shared" si="22"/>
        <v>-37441038.549199998</v>
      </c>
      <c r="AE36">
        <f t="shared" si="23"/>
        <v>-38362370.293800004</v>
      </c>
    </row>
    <row r="37" spans="1:31" x14ac:dyDescent="0.25">
      <c r="A37">
        <v>20.506050470000002</v>
      </c>
      <c r="B37">
        <v>113.9080122</v>
      </c>
      <c r="C37">
        <v>1.47978199</v>
      </c>
      <c r="D37">
        <v>20.813209530000002</v>
      </c>
      <c r="E37" t="b">
        <f t="shared" si="0"/>
        <v>1</v>
      </c>
      <c r="F37">
        <f t="shared" si="1"/>
        <v>13.414299580000002</v>
      </c>
      <c r="G37">
        <f t="shared" si="2"/>
        <v>6.0153896300000014</v>
      </c>
      <c r="H37">
        <f t="shared" si="3"/>
        <v>-1.3835203199999988</v>
      </c>
      <c r="I37">
        <f t="shared" si="4"/>
        <v>-8.782430269999999</v>
      </c>
      <c r="J37">
        <f t="shared" si="5"/>
        <v>-16.181340219999996</v>
      </c>
      <c r="L37">
        <f t="shared" si="6"/>
        <v>2841181.4208000004</v>
      </c>
      <c r="M37">
        <f t="shared" si="7"/>
        <v>2397246.8238000004</v>
      </c>
      <c r="N37">
        <f t="shared" si="8"/>
        <v>2042099.1461999998</v>
      </c>
      <c r="O37">
        <f t="shared" si="9"/>
        <v>-1411190.7263999989</v>
      </c>
      <c r="P37">
        <f t="shared" si="10"/>
        <v>-8079835.8483999986</v>
      </c>
      <c r="Q37">
        <f t="shared" si="11"/>
        <v>-12297818.567199996</v>
      </c>
      <c r="S37">
        <f t="shared" si="12"/>
        <v>3107542.179</v>
      </c>
      <c r="T37">
        <f t="shared" si="13"/>
        <v>2693203.2217999999</v>
      </c>
      <c r="U37">
        <f t="shared" si="14"/>
        <v>2234470.8048999999</v>
      </c>
      <c r="V37">
        <f t="shared" si="15"/>
        <v>-1480366.7423999987</v>
      </c>
      <c r="W37">
        <f t="shared" si="16"/>
        <v>-9397200.3888999987</v>
      </c>
      <c r="X37">
        <f t="shared" si="17"/>
        <v>-14077765.991399996</v>
      </c>
      <c r="Z37">
        <f t="shared" si="18"/>
        <v>3373902.9372000005</v>
      </c>
      <c r="AA37">
        <f t="shared" si="19"/>
        <v>2989159.6198</v>
      </c>
      <c r="AB37">
        <f t="shared" si="20"/>
        <v>2426842.4636000004</v>
      </c>
      <c r="AC37">
        <f t="shared" si="21"/>
        <v>-1881587.6351999983</v>
      </c>
      <c r="AD37">
        <f t="shared" si="22"/>
        <v>-10714564.929399999</v>
      </c>
      <c r="AE37">
        <f t="shared" si="23"/>
        <v>-15857713.415599994</v>
      </c>
    </row>
    <row r="38" spans="1:31" x14ac:dyDescent="0.25">
      <c r="A38">
        <v>20.51954211</v>
      </c>
      <c r="B38">
        <v>109.7548815</v>
      </c>
      <c r="C38">
        <v>50.543830870000001</v>
      </c>
      <c r="D38">
        <v>2.4486129299999999</v>
      </c>
      <c r="E38" t="b">
        <f t="shared" si="0"/>
        <v>0</v>
      </c>
      <c r="F38">
        <f t="shared" si="1"/>
        <v>-250.27054142</v>
      </c>
      <c r="G38">
        <f t="shared" si="2"/>
        <v>-502.98969576999997</v>
      </c>
      <c r="H38">
        <f t="shared" si="3"/>
        <v>-755.70885012000008</v>
      </c>
      <c r="I38">
        <f t="shared" si="4"/>
        <v>-1008.42800447</v>
      </c>
      <c r="J38">
        <f t="shared" si="5"/>
        <v>-1261.14715882</v>
      </c>
      <c r="L38">
        <f t="shared" si="6"/>
        <v>4701336.8256000001</v>
      </c>
      <c r="M38">
        <f t="shared" si="7"/>
        <v>-405438277.10040003</v>
      </c>
      <c r="N38">
        <f t="shared" si="8"/>
        <v>-694125780.16259992</v>
      </c>
      <c r="O38">
        <f t="shared" si="9"/>
        <v>-770823027.12240016</v>
      </c>
      <c r="P38">
        <f t="shared" si="10"/>
        <v>-927753764.11239994</v>
      </c>
      <c r="Q38">
        <f t="shared" si="11"/>
        <v>-958471840.70319998</v>
      </c>
      <c r="S38">
        <f t="shared" si="12"/>
        <v>5142087.1529999999</v>
      </c>
      <c r="T38">
        <f t="shared" si="13"/>
        <v>-455492385.38440001</v>
      </c>
      <c r="U38">
        <f t="shared" si="14"/>
        <v>-759514440.61269999</v>
      </c>
      <c r="V38">
        <f t="shared" si="15"/>
        <v>-808608469.62839997</v>
      </c>
      <c r="W38">
        <f t="shared" si="16"/>
        <v>-1079017964.7828999</v>
      </c>
      <c r="X38">
        <f t="shared" si="17"/>
        <v>-1097198028.1733999</v>
      </c>
      <c r="Z38">
        <f t="shared" si="18"/>
        <v>5582837.4803999998</v>
      </c>
      <c r="AA38">
        <f t="shared" si="19"/>
        <v>-505546493.66839999</v>
      </c>
      <c r="AB38">
        <f t="shared" si="20"/>
        <v>-824903101.06280005</v>
      </c>
      <c r="AC38">
        <f t="shared" si="21"/>
        <v>-1027764036.1632</v>
      </c>
      <c r="AD38">
        <f t="shared" si="22"/>
        <v>-1230282165.4533999</v>
      </c>
      <c r="AE38">
        <f t="shared" si="23"/>
        <v>-1235924215.6436</v>
      </c>
    </row>
    <row r="39" spans="1:31" x14ac:dyDescent="0.25">
      <c r="A39">
        <v>20.521251729999999</v>
      </c>
      <c r="B39">
        <v>109.7077972</v>
      </c>
      <c r="C39">
        <v>104.415947</v>
      </c>
      <c r="D39">
        <v>2.9383349399999998</v>
      </c>
      <c r="E39" t="b">
        <f t="shared" si="0"/>
        <v>0</v>
      </c>
      <c r="F39">
        <f t="shared" si="1"/>
        <v>-519.14140006000002</v>
      </c>
      <c r="G39">
        <f t="shared" si="2"/>
        <v>-1041.2211350600001</v>
      </c>
      <c r="H39">
        <f t="shared" si="3"/>
        <v>-1563.3008700600001</v>
      </c>
      <c r="I39">
        <f t="shared" si="4"/>
        <v>-2085.3806050600001</v>
      </c>
      <c r="J39">
        <f t="shared" si="5"/>
        <v>-2607.4603400599999</v>
      </c>
      <c r="L39">
        <f t="shared" si="6"/>
        <v>5641603.0848000003</v>
      </c>
      <c r="M39">
        <f t="shared" si="7"/>
        <v>-841009068.09720004</v>
      </c>
      <c r="N39">
        <f t="shared" si="8"/>
        <v>-1436885166.3827999</v>
      </c>
      <c r="O39">
        <f t="shared" si="9"/>
        <v>-1594566887.4612002</v>
      </c>
      <c r="P39">
        <f t="shared" si="10"/>
        <v>-1918550156.6552</v>
      </c>
      <c r="Q39">
        <f t="shared" si="11"/>
        <v>-1981669858.4456</v>
      </c>
      <c r="S39">
        <f t="shared" si="12"/>
        <v>6170503.3739999998</v>
      </c>
      <c r="T39">
        <f t="shared" si="13"/>
        <v>-944837348.1092</v>
      </c>
      <c r="U39">
        <f t="shared" si="14"/>
        <v>-1572243913.9406002</v>
      </c>
      <c r="V39">
        <f t="shared" si="15"/>
        <v>-1672731930.9642</v>
      </c>
      <c r="W39">
        <f t="shared" si="16"/>
        <v>-2231357247.4141998</v>
      </c>
      <c r="X39">
        <f t="shared" si="17"/>
        <v>-2268490495.8522</v>
      </c>
      <c r="Z39">
        <f t="shared" si="18"/>
        <v>6699403.6632000003</v>
      </c>
      <c r="AA39">
        <f t="shared" si="19"/>
        <v>-1048665628.1212</v>
      </c>
      <c r="AB39">
        <f t="shared" si="20"/>
        <v>-1707602661.4984002</v>
      </c>
      <c r="AC39">
        <f t="shared" si="21"/>
        <v>-2126089183.2816</v>
      </c>
      <c r="AD39">
        <f t="shared" si="22"/>
        <v>-2544164338.1732001</v>
      </c>
      <c r="AE39">
        <f t="shared" si="23"/>
        <v>-2555311133.2588</v>
      </c>
    </row>
    <row r="40" spans="1:31" x14ac:dyDescent="0.25">
      <c r="A40">
        <v>20.5229398</v>
      </c>
      <c r="B40">
        <v>109.6607111</v>
      </c>
      <c r="C40">
        <v>138.32167050000001</v>
      </c>
      <c r="D40">
        <v>2.95302701</v>
      </c>
      <c r="E40" t="b">
        <f t="shared" si="0"/>
        <v>0</v>
      </c>
      <c r="F40">
        <f t="shared" si="1"/>
        <v>-688.65532549</v>
      </c>
      <c r="G40">
        <f t="shared" si="2"/>
        <v>-1380.2636779900001</v>
      </c>
      <c r="H40">
        <f t="shared" si="3"/>
        <v>-2071.8720304900003</v>
      </c>
      <c r="I40">
        <f t="shared" si="4"/>
        <v>-2763.4803829900002</v>
      </c>
      <c r="J40">
        <f t="shared" si="5"/>
        <v>-3455.0887354900005</v>
      </c>
      <c r="L40">
        <f t="shared" si="6"/>
        <v>5669811.8591999998</v>
      </c>
      <c r="M40">
        <f t="shared" si="7"/>
        <v>-1115621627.2938001</v>
      </c>
      <c r="N40">
        <f t="shared" si="8"/>
        <v>-1904763875.6262002</v>
      </c>
      <c r="O40">
        <f t="shared" si="9"/>
        <v>-2113309471.0998003</v>
      </c>
      <c r="P40">
        <f t="shared" si="10"/>
        <v>-2542401952.3508</v>
      </c>
      <c r="Q40">
        <f t="shared" si="11"/>
        <v>-2625867438.9724007</v>
      </c>
      <c r="S40">
        <f t="shared" si="12"/>
        <v>6201356.7209999999</v>
      </c>
      <c r="T40">
        <f t="shared" si="13"/>
        <v>-1253352692.3918002</v>
      </c>
      <c r="U40">
        <f t="shared" si="14"/>
        <v>-2084198153.7649004</v>
      </c>
      <c r="V40">
        <f t="shared" si="15"/>
        <v>-2216903072.6243</v>
      </c>
      <c r="W40">
        <f t="shared" si="16"/>
        <v>-2956924009.7992997</v>
      </c>
      <c r="X40">
        <f t="shared" si="17"/>
        <v>-3005927199.8763008</v>
      </c>
      <c r="Z40">
        <f t="shared" si="18"/>
        <v>6732901.5828</v>
      </c>
      <c r="AA40">
        <f t="shared" si="19"/>
        <v>-1391083757.4898</v>
      </c>
      <c r="AB40">
        <f t="shared" si="20"/>
        <v>-2263632431.9036007</v>
      </c>
      <c r="AC40">
        <f t="shared" si="21"/>
        <v>-2817745961.4664001</v>
      </c>
      <c r="AD40">
        <f t="shared" si="22"/>
        <v>-3371446067.2478004</v>
      </c>
      <c r="AE40">
        <f t="shared" si="23"/>
        <v>-3385986960.7802005</v>
      </c>
    </row>
    <row r="41" spans="1:31" x14ac:dyDescent="0.25">
      <c r="A41">
        <v>20.524606309999999</v>
      </c>
      <c r="B41">
        <v>109.61362339999999</v>
      </c>
      <c r="C41">
        <v>100.2393112</v>
      </c>
      <c r="D41">
        <v>8.7537898999999992</v>
      </c>
      <c r="E41" t="b">
        <f t="shared" si="0"/>
        <v>0</v>
      </c>
      <c r="F41">
        <f t="shared" si="1"/>
        <v>-492.44276609999997</v>
      </c>
      <c r="G41">
        <f t="shared" si="2"/>
        <v>-993.63932209999996</v>
      </c>
      <c r="H41">
        <f t="shared" si="3"/>
        <v>-1494.8358781000002</v>
      </c>
      <c r="I41">
        <f t="shared" si="4"/>
        <v>-1996.0324341</v>
      </c>
      <c r="J41">
        <f t="shared" si="5"/>
        <v>-2497.2289901000004</v>
      </c>
      <c r="L41">
        <f t="shared" si="6"/>
        <v>16807276.607999999</v>
      </c>
      <c r="M41">
        <f t="shared" si="7"/>
        <v>-797757281.08200002</v>
      </c>
      <c r="N41">
        <f t="shared" si="8"/>
        <v>-1371222264.4979997</v>
      </c>
      <c r="O41">
        <f t="shared" si="9"/>
        <v>-1524732595.6620002</v>
      </c>
      <c r="P41">
        <f t="shared" si="10"/>
        <v>-1836349839.372</v>
      </c>
      <c r="Q41">
        <f t="shared" si="11"/>
        <v>-1897894032.4760003</v>
      </c>
      <c r="S41">
        <f t="shared" si="12"/>
        <v>18382958.789999999</v>
      </c>
      <c r="T41">
        <f t="shared" si="13"/>
        <v>-896245834.30199993</v>
      </c>
      <c r="U41">
        <f t="shared" si="14"/>
        <v>-1500395376.3709998</v>
      </c>
      <c r="V41">
        <f t="shared" si="15"/>
        <v>-1599474389.5669999</v>
      </c>
      <c r="W41">
        <f t="shared" si="16"/>
        <v>-2135754704.4869998</v>
      </c>
      <c r="X41">
        <f t="shared" si="17"/>
        <v>-2172589221.3870001</v>
      </c>
      <c r="Z41">
        <f t="shared" si="18"/>
        <v>19958640.971999999</v>
      </c>
      <c r="AA41">
        <f t="shared" si="19"/>
        <v>-994734387.52199996</v>
      </c>
      <c r="AB41">
        <f t="shared" si="20"/>
        <v>-1629568488.244</v>
      </c>
      <c r="AC41">
        <f t="shared" si="21"/>
        <v>-2032976794.2160001</v>
      </c>
      <c r="AD41">
        <f t="shared" si="22"/>
        <v>-2435159569.6020002</v>
      </c>
      <c r="AE41">
        <f t="shared" si="23"/>
        <v>-2447284410.2980003</v>
      </c>
    </row>
    <row r="42" spans="1:31" x14ac:dyDescent="0.25">
      <c r="A42">
        <v>20.538537080000001</v>
      </c>
      <c r="B42">
        <v>115.61445380000001</v>
      </c>
      <c r="C42">
        <v>0.84558999999999995</v>
      </c>
      <c r="D42">
        <v>6.8561158200000003</v>
      </c>
      <c r="E42" t="b">
        <f t="shared" si="0"/>
        <v>1</v>
      </c>
      <c r="F42">
        <f t="shared" si="1"/>
        <v>2.6281658200000004</v>
      </c>
      <c r="G42">
        <f t="shared" si="2"/>
        <v>-1.5997841799999994</v>
      </c>
      <c r="H42">
        <f t="shared" si="3"/>
        <v>-5.8277341799999993</v>
      </c>
      <c r="I42">
        <f t="shared" si="4"/>
        <v>-10.05568418</v>
      </c>
      <c r="J42">
        <f t="shared" si="5"/>
        <v>-14.28363418</v>
      </c>
      <c r="L42">
        <f t="shared" si="6"/>
        <v>1623532.8</v>
      </c>
      <c r="M42">
        <f t="shared" si="7"/>
        <v>1369855.8</v>
      </c>
      <c r="N42">
        <f t="shared" si="8"/>
        <v>-2207702.1683999989</v>
      </c>
      <c r="O42">
        <f t="shared" si="9"/>
        <v>-5944288.8635999998</v>
      </c>
      <c r="P42">
        <f t="shared" si="10"/>
        <v>-9251229.4455999993</v>
      </c>
      <c r="Q42">
        <f t="shared" si="11"/>
        <v>-10855561.9768</v>
      </c>
      <c r="S42">
        <f t="shared" si="12"/>
        <v>1775739</v>
      </c>
      <c r="T42">
        <f t="shared" si="13"/>
        <v>1538973.8</v>
      </c>
      <c r="U42">
        <f t="shared" si="14"/>
        <v>-2415674.1117999991</v>
      </c>
      <c r="V42">
        <f t="shared" si="15"/>
        <v>-6235675.5725999987</v>
      </c>
      <c r="W42">
        <f t="shared" si="16"/>
        <v>-10759582.072599998</v>
      </c>
      <c r="X42">
        <f t="shared" si="17"/>
        <v>-12426761.7366</v>
      </c>
      <c r="Z42">
        <f t="shared" si="18"/>
        <v>1927945.2000000002</v>
      </c>
      <c r="AA42">
        <f t="shared" si="19"/>
        <v>1708091.8</v>
      </c>
      <c r="AB42">
        <f t="shared" si="20"/>
        <v>-2623646.0551999994</v>
      </c>
      <c r="AC42">
        <f t="shared" si="21"/>
        <v>-7925718.4847999988</v>
      </c>
      <c r="AD42">
        <f t="shared" si="22"/>
        <v>-12267934.6996</v>
      </c>
      <c r="AE42">
        <f t="shared" si="23"/>
        <v>-13997961.496399999</v>
      </c>
    </row>
    <row r="43" spans="1:31" x14ac:dyDescent="0.25">
      <c r="A43">
        <v>20.543006760000001</v>
      </c>
      <c r="B43">
        <v>114.0058038</v>
      </c>
      <c r="C43">
        <v>1.9086029499999999</v>
      </c>
      <c r="D43">
        <v>6.1215319600000004</v>
      </c>
      <c r="E43" t="b">
        <f t="shared" si="0"/>
        <v>1</v>
      </c>
      <c r="F43">
        <f t="shared" si="1"/>
        <v>-3.4214827899999989</v>
      </c>
      <c r="G43">
        <f t="shared" si="2"/>
        <v>-12.964497539999998</v>
      </c>
      <c r="H43">
        <f t="shared" si="3"/>
        <v>-22.507512290000001</v>
      </c>
      <c r="I43">
        <f t="shared" si="4"/>
        <v>-32.050527039999999</v>
      </c>
      <c r="J43">
        <f t="shared" si="5"/>
        <v>-41.593541789999996</v>
      </c>
      <c r="L43">
        <f t="shared" si="6"/>
        <v>3664517.6640000003</v>
      </c>
      <c r="M43">
        <f t="shared" si="7"/>
        <v>-5542802.1197999986</v>
      </c>
      <c r="N43">
        <f t="shared" si="8"/>
        <v>-17891006.605199996</v>
      </c>
      <c r="O43">
        <f t="shared" si="9"/>
        <v>-22957662.535800003</v>
      </c>
      <c r="P43">
        <f t="shared" si="10"/>
        <v>-29486484.876799997</v>
      </c>
      <c r="Q43">
        <f t="shared" si="11"/>
        <v>-31611091.760400001</v>
      </c>
      <c r="S43">
        <f t="shared" si="12"/>
        <v>4008066.1950000003</v>
      </c>
      <c r="T43">
        <f t="shared" si="13"/>
        <v>-6227098.6777999988</v>
      </c>
      <c r="U43">
        <f t="shared" si="14"/>
        <v>-19576391.285399999</v>
      </c>
      <c r="V43">
        <f t="shared" si="15"/>
        <v>-24083038.1503</v>
      </c>
      <c r="W43">
        <f t="shared" si="16"/>
        <v>-34294063.932799995</v>
      </c>
      <c r="X43">
        <f t="shared" si="17"/>
        <v>-36186381.357299998</v>
      </c>
      <c r="Z43">
        <f t="shared" si="18"/>
        <v>4351614.7260000007</v>
      </c>
      <c r="AA43">
        <f t="shared" si="19"/>
        <v>-6911395.235799998</v>
      </c>
      <c r="AB43">
        <f t="shared" si="20"/>
        <v>-21261775.965599999</v>
      </c>
      <c r="AC43">
        <f t="shared" si="21"/>
        <v>-30610216.714400001</v>
      </c>
      <c r="AD43">
        <f t="shared" si="22"/>
        <v>-39101642.988799997</v>
      </c>
      <c r="AE43">
        <f t="shared" si="23"/>
        <v>-40761670.9542</v>
      </c>
    </row>
    <row r="44" spans="1:31" x14ac:dyDescent="0.25">
      <c r="A44">
        <v>20.565613930000001</v>
      </c>
      <c r="B44">
        <v>109.7096014</v>
      </c>
      <c r="C44">
        <v>91.886039729999993</v>
      </c>
      <c r="D44">
        <v>12.1402216</v>
      </c>
      <c r="E44" t="b">
        <f t="shared" si="0"/>
        <v>0</v>
      </c>
      <c r="F44">
        <f t="shared" si="1"/>
        <v>-447.28997704999995</v>
      </c>
      <c r="G44">
        <f t="shared" si="2"/>
        <v>-906.72017569999991</v>
      </c>
      <c r="H44">
        <f t="shared" si="3"/>
        <v>-1366.15037435</v>
      </c>
      <c r="I44">
        <f t="shared" si="4"/>
        <v>-1825.580573</v>
      </c>
      <c r="J44">
        <f t="shared" si="5"/>
        <v>-2285.0107716499997</v>
      </c>
      <c r="L44">
        <f t="shared" si="6"/>
        <v>23309225.472000003</v>
      </c>
      <c r="M44">
        <f t="shared" si="7"/>
        <v>-724609762.82099998</v>
      </c>
      <c r="N44">
        <f t="shared" si="8"/>
        <v>-1251273842.4659998</v>
      </c>
      <c r="O44">
        <f t="shared" si="9"/>
        <v>-1393473381.8369999</v>
      </c>
      <c r="P44">
        <f t="shared" si="10"/>
        <v>-1679534127.1599998</v>
      </c>
      <c r="Q44">
        <f t="shared" si="11"/>
        <v>-1736608186.4539998</v>
      </c>
      <c r="S44">
        <f t="shared" si="12"/>
        <v>25494465.359999999</v>
      </c>
      <c r="T44">
        <f t="shared" si="13"/>
        <v>-814067758.23099995</v>
      </c>
      <c r="U44">
        <f t="shared" si="14"/>
        <v>-1369147465.3069999</v>
      </c>
      <c r="V44">
        <f t="shared" si="15"/>
        <v>-1461780900.5544996</v>
      </c>
      <c r="W44">
        <f t="shared" si="16"/>
        <v>-1953371213.1099997</v>
      </c>
      <c r="X44">
        <f t="shared" si="17"/>
        <v>-1987959371.3354998</v>
      </c>
      <c r="Z44">
        <f t="shared" si="18"/>
        <v>27679705.248000003</v>
      </c>
      <c r="AA44">
        <f t="shared" si="19"/>
        <v>-903525753.64099991</v>
      </c>
      <c r="AB44">
        <f t="shared" si="20"/>
        <v>-1487021088.148</v>
      </c>
      <c r="AC44">
        <f t="shared" si="21"/>
        <v>-1857964509.1159997</v>
      </c>
      <c r="AD44">
        <f t="shared" si="22"/>
        <v>-2227208299.0599999</v>
      </c>
      <c r="AE44">
        <f t="shared" si="23"/>
        <v>-2239310556.2169995</v>
      </c>
    </row>
    <row r="45" spans="1:31" x14ac:dyDescent="0.25">
      <c r="A45">
        <v>20.570616869999998</v>
      </c>
      <c r="B45">
        <v>109.56826940000001</v>
      </c>
      <c r="C45">
        <v>116.9458618</v>
      </c>
      <c r="D45">
        <v>2.9628219599999999</v>
      </c>
      <c r="E45" t="b">
        <f t="shared" si="0"/>
        <v>0</v>
      </c>
      <c r="F45">
        <f t="shared" si="1"/>
        <v>-581.76648704000002</v>
      </c>
      <c r="G45">
        <f t="shared" si="2"/>
        <v>-1166.4957960400002</v>
      </c>
      <c r="H45">
        <f t="shared" si="3"/>
        <v>-1751.22510504</v>
      </c>
      <c r="I45">
        <f t="shared" si="4"/>
        <v>-2335.9544140400003</v>
      </c>
      <c r="J45">
        <f t="shared" si="5"/>
        <v>-2920.6837230400001</v>
      </c>
      <c r="L45">
        <f t="shared" si="6"/>
        <v>5688618.1632000003</v>
      </c>
      <c r="M45">
        <f t="shared" si="7"/>
        <v>-942461709.00479996</v>
      </c>
      <c r="N45">
        <f t="shared" si="8"/>
        <v>-1609764198.5352001</v>
      </c>
      <c r="O45">
        <f t="shared" si="9"/>
        <v>-1786249607.1408</v>
      </c>
      <c r="P45">
        <f t="shared" si="10"/>
        <v>-2149078060.9168</v>
      </c>
      <c r="Q45">
        <f t="shared" si="11"/>
        <v>-2219719629.5103998</v>
      </c>
      <c r="S45">
        <f t="shared" si="12"/>
        <v>6221926.1160000004</v>
      </c>
      <c r="T45">
        <f t="shared" si="13"/>
        <v>-1058815006.4128</v>
      </c>
      <c r="U45">
        <f t="shared" si="14"/>
        <v>-1761408652.0204003</v>
      </c>
      <c r="V45">
        <f t="shared" si="15"/>
        <v>-1873810862.3927996</v>
      </c>
      <c r="W45">
        <f t="shared" si="16"/>
        <v>-2499471223.0228</v>
      </c>
      <c r="X45">
        <f t="shared" si="17"/>
        <v>-2540994839.0447998</v>
      </c>
      <c r="Z45">
        <f t="shared" si="18"/>
        <v>6755234.0688000005</v>
      </c>
      <c r="AA45">
        <f t="shared" si="19"/>
        <v>-1175168303.8207998</v>
      </c>
      <c r="AB45">
        <f t="shared" si="20"/>
        <v>-1913053105.5056005</v>
      </c>
      <c r="AC45">
        <f t="shared" si="21"/>
        <v>-2381666142.8543997</v>
      </c>
      <c r="AD45">
        <f t="shared" si="22"/>
        <v>-2849864385.1288004</v>
      </c>
      <c r="AE45">
        <f t="shared" si="23"/>
        <v>-2862270048.5791998</v>
      </c>
    </row>
    <row r="46" spans="1:31" x14ac:dyDescent="0.25">
      <c r="A46">
        <v>20.58202846</v>
      </c>
      <c r="B46">
        <v>113.48890969999999</v>
      </c>
      <c r="C46">
        <v>1.05698705</v>
      </c>
      <c r="D46">
        <v>4.5617661500000004</v>
      </c>
      <c r="E46" t="b">
        <f t="shared" si="0"/>
        <v>1</v>
      </c>
      <c r="F46">
        <f t="shared" si="1"/>
        <v>-0.72316909999999979</v>
      </c>
      <c r="G46">
        <f t="shared" si="2"/>
        <v>-6.00810435</v>
      </c>
      <c r="H46">
        <f t="shared" si="3"/>
        <v>-11.2930396</v>
      </c>
      <c r="I46">
        <f t="shared" si="4"/>
        <v>-16.57797485</v>
      </c>
      <c r="J46">
        <f t="shared" si="5"/>
        <v>-21.862910100000001</v>
      </c>
      <c r="L46">
        <f t="shared" si="6"/>
        <v>2029415.1360000002</v>
      </c>
      <c r="M46">
        <f t="shared" si="7"/>
        <v>-1171533.9419999996</v>
      </c>
      <c r="N46">
        <f t="shared" si="8"/>
        <v>-8291184.0029999986</v>
      </c>
      <c r="O46">
        <f t="shared" si="9"/>
        <v>-11518900.391999999</v>
      </c>
      <c r="P46">
        <f t="shared" si="10"/>
        <v>-15251736.861999998</v>
      </c>
      <c r="Q46">
        <f t="shared" si="11"/>
        <v>-16615811.676000001</v>
      </c>
      <c r="S46">
        <f t="shared" si="12"/>
        <v>2219672.8050000002</v>
      </c>
      <c r="T46">
        <f t="shared" si="13"/>
        <v>-1316167.7619999996</v>
      </c>
      <c r="U46">
        <f t="shared" si="14"/>
        <v>-9072237.5684999991</v>
      </c>
      <c r="V46">
        <f t="shared" si="15"/>
        <v>-12083552.371999998</v>
      </c>
      <c r="W46">
        <f t="shared" si="16"/>
        <v>-17738433.089499995</v>
      </c>
      <c r="X46">
        <f t="shared" si="17"/>
        <v>-19020731.787</v>
      </c>
      <c r="Z46">
        <f t="shared" si="18"/>
        <v>2409930.4740000004</v>
      </c>
      <c r="AA46">
        <f t="shared" si="19"/>
        <v>-1460801.5819999995</v>
      </c>
      <c r="AB46">
        <f t="shared" si="20"/>
        <v>-9853291.1339999996</v>
      </c>
      <c r="AC46">
        <f t="shared" si="21"/>
        <v>-15358533.855999999</v>
      </c>
      <c r="AD46">
        <f t="shared" si="22"/>
        <v>-20225129.316999998</v>
      </c>
      <c r="AE46">
        <f t="shared" si="23"/>
        <v>-21425651.898000002</v>
      </c>
    </row>
    <row r="47" spans="1:31" x14ac:dyDescent="0.25">
      <c r="A47">
        <v>20.602520340000002</v>
      </c>
      <c r="B47">
        <v>108.48426360000001</v>
      </c>
      <c r="C47">
        <v>79.356124879999996</v>
      </c>
      <c r="D47">
        <v>1.95888996</v>
      </c>
      <c r="E47" t="b">
        <f t="shared" si="0"/>
        <v>0</v>
      </c>
      <c r="F47">
        <f t="shared" si="1"/>
        <v>-394.82173443999994</v>
      </c>
      <c r="G47">
        <f t="shared" si="2"/>
        <v>-791.60235883999997</v>
      </c>
      <c r="H47">
        <f t="shared" si="3"/>
        <v>-1188.3829832399999</v>
      </c>
      <c r="I47">
        <f t="shared" si="4"/>
        <v>-1585.1636076399998</v>
      </c>
      <c r="J47">
        <f t="shared" si="5"/>
        <v>-1981.9442320399999</v>
      </c>
      <c r="L47">
        <f t="shared" si="6"/>
        <v>3761068.7232000004</v>
      </c>
      <c r="M47">
        <f t="shared" si="7"/>
        <v>-639611209.79279995</v>
      </c>
      <c r="N47">
        <f t="shared" si="8"/>
        <v>-1092411255.1991999</v>
      </c>
      <c r="O47">
        <f t="shared" si="9"/>
        <v>-1212150642.9047999</v>
      </c>
      <c r="P47">
        <f t="shared" si="10"/>
        <v>-1458350519.0287998</v>
      </c>
      <c r="Q47">
        <f t="shared" si="11"/>
        <v>-1506277616.3504</v>
      </c>
      <c r="S47">
        <f t="shared" si="12"/>
        <v>4113668.9160000002</v>
      </c>
      <c r="T47">
        <f t="shared" si="13"/>
        <v>-718575556.68079996</v>
      </c>
      <c r="U47">
        <f t="shared" si="14"/>
        <v>-1195319561.8483999</v>
      </c>
      <c r="V47">
        <f t="shared" si="15"/>
        <v>-1271569792.0667999</v>
      </c>
      <c r="W47">
        <f t="shared" si="16"/>
        <v>-1696125060.1747997</v>
      </c>
      <c r="X47">
        <f t="shared" si="17"/>
        <v>-1724291481.8748</v>
      </c>
      <c r="Z47">
        <f t="shared" si="18"/>
        <v>4466269.1088000005</v>
      </c>
      <c r="AA47">
        <f t="shared" si="19"/>
        <v>-797539903.56879985</v>
      </c>
      <c r="AB47">
        <f t="shared" si="20"/>
        <v>-1298227868.4975998</v>
      </c>
      <c r="AC47">
        <f t="shared" si="21"/>
        <v>-1616200857.2063999</v>
      </c>
      <c r="AD47">
        <f t="shared" si="22"/>
        <v>-1933899601.3207998</v>
      </c>
      <c r="AE47">
        <f t="shared" si="23"/>
        <v>-1942305347.3992</v>
      </c>
    </row>
    <row r="48" spans="1:31" x14ac:dyDescent="0.25">
      <c r="A48">
        <v>20.626302160000002</v>
      </c>
      <c r="B48">
        <v>113.49255340000001</v>
      </c>
      <c r="C48">
        <v>0.77811300999999999</v>
      </c>
      <c r="D48">
        <v>0.93781899999999996</v>
      </c>
      <c r="E48" t="b">
        <f t="shared" si="0"/>
        <v>1</v>
      </c>
      <c r="F48">
        <f t="shared" si="1"/>
        <v>-2.95274605</v>
      </c>
      <c r="G48">
        <f t="shared" si="2"/>
        <v>-6.8433111000000002</v>
      </c>
      <c r="H48">
        <f t="shared" si="3"/>
        <v>-10.73387615</v>
      </c>
      <c r="I48">
        <f t="shared" si="4"/>
        <v>-14.624441200000001</v>
      </c>
      <c r="J48">
        <f t="shared" si="5"/>
        <v>-18.515006249999999</v>
      </c>
      <c r="L48">
        <f t="shared" si="6"/>
        <v>1493976.9792000002</v>
      </c>
      <c r="M48">
        <f t="shared" si="7"/>
        <v>-4783448.6009999998</v>
      </c>
      <c r="N48">
        <f t="shared" si="8"/>
        <v>-9443769.318</v>
      </c>
      <c r="O48">
        <f t="shared" si="9"/>
        <v>-10948553.673</v>
      </c>
      <c r="P48">
        <f t="shared" si="10"/>
        <v>-13454485.903999999</v>
      </c>
      <c r="Q48">
        <f t="shared" si="11"/>
        <v>-14071404.75</v>
      </c>
      <c r="S48">
        <f t="shared" si="12"/>
        <v>1634037.321</v>
      </c>
      <c r="T48">
        <f t="shared" si="13"/>
        <v>-5373997.8109999998</v>
      </c>
      <c r="U48">
        <f t="shared" si="14"/>
        <v>-10333399.761000002</v>
      </c>
      <c r="V48">
        <f t="shared" si="15"/>
        <v>-11485247.4805</v>
      </c>
      <c r="W48">
        <f t="shared" si="16"/>
        <v>-15648152.083999999</v>
      </c>
      <c r="X48">
        <f t="shared" si="17"/>
        <v>-16108055.4375</v>
      </c>
      <c r="Z48">
        <f t="shared" si="18"/>
        <v>1774097.6628000003</v>
      </c>
      <c r="AA48">
        <f t="shared" si="19"/>
        <v>-5964547.0209999997</v>
      </c>
      <c r="AB48">
        <f t="shared" si="20"/>
        <v>-11223030.204000002</v>
      </c>
      <c r="AC48">
        <f t="shared" si="21"/>
        <v>-14598071.563999999</v>
      </c>
      <c r="AD48">
        <f t="shared" si="22"/>
        <v>-17841818.264000002</v>
      </c>
      <c r="AE48">
        <f t="shared" si="23"/>
        <v>-18144706.125</v>
      </c>
    </row>
    <row r="49" spans="1:31" x14ac:dyDescent="0.25">
      <c r="A49">
        <v>20.648044859999999</v>
      </c>
      <c r="B49">
        <v>108.43830389999999</v>
      </c>
      <c r="C49">
        <v>104.415947</v>
      </c>
      <c r="D49">
        <v>2.9383349399999998</v>
      </c>
      <c r="E49" t="b">
        <f t="shared" si="0"/>
        <v>0</v>
      </c>
      <c r="F49">
        <f t="shared" si="1"/>
        <v>-519.14140006000002</v>
      </c>
      <c r="G49">
        <f t="shared" si="2"/>
        <v>-1041.2211350600001</v>
      </c>
      <c r="H49">
        <f t="shared" si="3"/>
        <v>-1563.3008700600001</v>
      </c>
      <c r="I49">
        <f t="shared" si="4"/>
        <v>-2085.3806050600001</v>
      </c>
      <c r="J49">
        <f t="shared" si="5"/>
        <v>-2607.4603400599999</v>
      </c>
      <c r="L49">
        <f t="shared" si="6"/>
        <v>5641603.0848000003</v>
      </c>
      <c r="M49">
        <f t="shared" si="7"/>
        <v>-841009068.09720004</v>
      </c>
      <c r="N49">
        <f t="shared" si="8"/>
        <v>-1436885166.3827999</v>
      </c>
      <c r="O49">
        <f t="shared" si="9"/>
        <v>-1594566887.4612002</v>
      </c>
      <c r="P49">
        <f t="shared" si="10"/>
        <v>-1918550156.6552</v>
      </c>
      <c r="Q49">
        <f t="shared" si="11"/>
        <v>-1981669858.4456</v>
      </c>
      <c r="S49">
        <f t="shared" si="12"/>
        <v>6170503.3739999998</v>
      </c>
      <c r="T49">
        <f t="shared" si="13"/>
        <v>-944837348.1092</v>
      </c>
      <c r="U49">
        <f t="shared" si="14"/>
        <v>-1572243913.9406002</v>
      </c>
      <c r="V49">
        <f t="shared" si="15"/>
        <v>-1672731930.9642</v>
      </c>
      <c r="W49">
        <f t="shared" si="16"/>
        <v>-2231357247.4141998</v>
      </c>
      <c r="X49">
        <f t="shared" si="17"/>
        <v>-2268490495.8522</v>
      </c>
      <c r="Z49">
        <f t="shared" si="18"/>
        <v>6699403.6632000003</v>
      </c>
      <c r="AA49">
        <f t="shared" si="19"/>
        <v>-1048665628.1212</v>
      </c>
      <c r="AB49">
        <f t="shared" si="20"/>
        <v>-1707602661.4984002</v>
      </c>
      <c r="AC49">
        <f t="shared" si="21"/>
        <v>-2126089183.2816</v>
      </c>
      <c r="AD49">
        <f t="shared" si="22"/>
        <v>-2544164338.1732001</v>
      </c>
      <c r="AE49">
        <f t="shared" si="23"/>
        <v>-2555311133.2588</v>
      </c>
    </row>
    <row r="50" spans="1:31" x14ac:dyDescent="0.25">
      <c r="A50">
        <v>20.68658593</v>
      </c>
      <c r="B50">
        <v>108.67544359999999</v>
      </c>
      <c r="C50">
        <v>13.42199707</v>
      </c>
      <c r="D50">
        <v>27.984041210000001</v>
      </c>
      <c r="E50" t="b">
        <f t="shared" si="0"/>
        <v>1</v>
      </c>
      <c r="F50">
        <f t="shared" si="1"/>
        <v>-39.125944140000001</v>
      </c>
      <c r="G50">
        <f t="shared" si="2"/>
        <v>-106.23592949</v>
      </c>
      <c r="H50">
        <f t="shared" si="3"/>
        <v>-173.34591483999998</v>
      </c>
      <c r="I50">
        <f t="shared" si="4"/>
        <v>-240.45590019000002</v>
      </c>
      <c r="J50">
        <f t="shared" si="5"/>
        <v>-307.56588554000001</v>
      </c>
      <c r="L50">
        <f t="shared" si="6"/>
        <v>25770234.374400001</v>
      </c>
      <c r="M50">
        <f t="shared" si="7"/>
        <v>-63384029.506800003</v>
      </c>
      <c r="N50">
        <f t="shared" si="8"/>
        <v>-146605582.69620001</v>
      </c>
      <c r="O50">
        <f t="shared" si="9"/>
        <v>-176812833.13679999</v>
      </c>
      <c r="P50">
        <f t="shared" si="10"/>
        <v>-221219428.17480001</v>
      </c>
      <c r="Q50">
        <f t="shared" si="11"/>
        <v>-233750073.01040003</v>
      </c>
      <c r="S50">
        <f t="shared" si="12"/>
        <v>28186193.847000003</v>
      </c>
      <c r="T50">
        <f t="shared" si="13"/>
        <v>-71209218.334800005</v>
      </c>
      <c r="U50">
        <f t="shared" si="14"/>
        <v>-160416253.52990001</v>
      </c>
      <c r="V50">
        <f t="shared" si="15"/>
        <v>-185480128.87879995</v>
      </c>
      <c r="W50">
        <f t="shared" si="16"/>
        <v>-257287813.2033</v>
      </c>
      <c r="X50">
        <f t="shared" si="17"/>
        <v>-267582320.41980001</v>
      </c>
      <c r="Z50">
        <f t="shared" si="18"/>
        <v>30602153.319600005</v>
      </c>
      <c r="AA50">
        <f t="shared" si="19"/>
        <v>-79034407.162799999</v>
      </c>
      <c r="AB50">
        <f t="shared" si="20"/>
        <v>-174226924.36360002</v>
      </c>
      <c r="AC50">
        <f t="shared" si="21"/>
        <v>-235750444.18239993</v>
      </c>
      <c r="AD50">
        <f t="shared" si="22"/>
        <v>-293356198.23180002</v>
      </c>
      <c r="AE50">
        <f t="shared" si="23"/>
        <v>-301414567.82920003</v>
      </c>
    </row>
    <row r="51" spans="1:31" x14ac:dyDescent="0.25">
      <c r="A51">
        <v>20.697423279999999</v>
      </c>
      <c r="B51">
        <v>113.7351985</v>
      </c>
      <c r="C51">
        <v>1.5077229700000001</v>
      </c>
      <c r="D51">
        <v>5.72975397</v>
      </c>
      <c r="E51" t="b">
        <f t="shared" si="0"/>
        <v>1</v>
      </c>
      <c r="F51">
        <f t="shared" si="1"/>
        <v>-1.8088608800000001</v>
      </c>
      <c r="G51">
        <f t="shared" si="2"/>
        <v>-9.3474757299999993</v>
      </c>
      <c r="H51">
        <f t="shared" si="3"/>
        <v>-16.886090580000001</v>
      </c>
      <c r="I51">
        <f t="shared" si="4"/>
        <v>-24.424705429999999</v>
      </c>
      <c r="J51">
        <f t="shared" si="5"/>
        <v>-31.963320280000001</v>
      </c>
      <c r="L51">
        <f t="shared" si="6"/>
        <v>2894828.1024000007</v>
      </c>
      <c r="M51">
        <f t="shared" si="7"/>
        <v>-2930354.6256000004</v>
      </c>
      <c r="N51">
        <f t="shared" si="8"/>
        <v>-12899516.507399997</v>
      </c>
      <c r="O51">
        <f t="shared" si="9"/>
        <v>-17223812.391600002</v>
      </c>
      <c r="P51">
        <f t="shared" si="10"/>
        <v>-22470728.995599996</v>
      </c>
      <c r="Q51">
        <f t="shared" si="11"/>
        <v>-24292123.412800003</v>
      </c>
      <c r="S51">
        <f t="shared" si="12"/>
        <v>3166218.2370000007</v>
      </c>
      <c r="T51">
        <f t="shared" si="13"/>
        <v>-3292126.8016000004</v>
      </c>
      <c r="U51">
        <f t="shared" si="14"/>
        <v>-14114688.352299998</v>
      </c>
      <c r="V51">
        <f t="shared" si="15"/>
        <v>-18068116.920600001</v>
      </c>
      <c r="W51">
        <f t="shared" si="16"/>
        <v>-26134434.810099997</v>
      </c>
      <c r="X51">
        <f t="shared" si="17"/>
        <v>-27808088.643600002</v>
      </c>
      <c r="Z51">
        <f t="shared" si="18"/>
        <v>3437608.3716000007</v>
      </c>
      <c r="AA51">
        <f t="shared" si="19"/>
        <v>-3653898.9776000003</v>
      </c>
      <c r="AB51">
        <f t="shared" si="20"/>
        <v>-15329860.197199998</v>
      </c>
      <c r="AC51">
        <f t="shared" si="21"/>
        <v>-22965083.1888</v>
      </c>
      <c r="AD51">
        <f t="shared" si="22"/>
        <v>-29798140.624600001</v>
      </c>
      <c r="AE51">
        <f t="shared" si="23"/>
        <v>-31324053.874400001</v>
      </c>
    </row>
    <row r="52" spans="1:31" x14ac:dyDescent="0.25">
      <c r="A52">
        <v>20.704468200000001</v>
      </c>
      <c r="B52">
        <v>113.6410705</v>
      </c>
      <c r="C52">
        <v>1.3314640499999999</v>
      </c>
      <c r="D52">
        <v>5.1420869800000002</v>
      </c>
      <c r="E52" t="b">
        <f t="shared" si="0"/>
        <v>1</v>
      </c>
      <c r="F52">
        <f t="shared" si="1"/>
        <v>-1.5152332699999995</v>
      </c>
      <c r="G52">
        <f t="shared" si="2"/>
        <v>-8.1725535199999992</v>
      </c>
      <c r="H52">
        <f t="shared" si="3"/>
        <v>-14.829873769999997</v>
      </c>
      <c r="I52">
        <f t="shared" si="4"/>
        <v>-21.487194019999997</v>
      </c>
      <c r="J52">
        <f t="shared" si="5"/>
        <v>-28.144514269999995</v>
      </c>
      <c r="L52">
        <f t="shared" si="6"/>
        <v>2556410.9759999998</v>
      </c>
      <c r="M52">
        <f t="shared" si="7"/>
        <v>-2454677.8973999997</v>
      </c>
      <c r="N52">
        <f t="shared" si="8"/>
        <v>-11278123.857599998</v>
      </c>
      <c r="O52">
        <f t="shared" si="9"/>
        <v>-15126471.245399999</v>
      </c>
      <c r="P52">
        <f t="shared" si="10"/>
        <v>-19768218.498399995</v>
      </c>
      <c r="Q52">
        <f t="shared" si="11"/>
        <v>-21389830.845199998</v>
      </c>
      <c r="S52">
        <f t="shared" si="12"/>
        <v>2796074.5049999999</v>
      </c>
      <c r="T52">
        <f t="shared" si="13"/>
        <v>-2757724.5513999993</v>
      </c>
      <c r="U52">
        <f t="shared" si="14"/>
        <v>-12340555.815199999</v>
      </c>
      <c r="V52">
        <f t="shared" si="15"/>
        <v>-15867964.933899995</v>
      </c>
      <c r="W52">
        <f t="shared" si="16"/>
        <v>-22991297.601399992</v>
      </c>
      <c r="X52">
        <f t="shared" si="17"/>
        <v>-24485727.414899997</v>
      </c>
      <c r="Z52">
        <f t="shared" si="18"/>
        <v>3035738.034</v>
      </c>
      <c r="AA52">
        <f t="shared" si="19"/>
        <v>-3060771.2053999989</v>
      </c>
      <c r="AB52">
        <f t="shared" si="20"/>
        <v>-13402987.7728</v>
      </c>
      <c r="AC52">
        <f t="shared" si="21"/>
        <v>-20168628.327199996</v>
      </c>
      <c r="AD52">
        <f t="shared" si="22"/>
        <v>-26214376.704399996</v>
      </c>
      <c r="AE52">
        <f t="shared" si="23"/>
        <v>-27581623.984599996</v>
      </c>
    </row>
    <row r="53" spans="1:31" x14ac:dyDescent="0.25">
      <c r="A53">
        <v>20.718650440000001</v>
      </c>
      <c r="B53">
        <v>114.5900276</v>
      </c>
      <c r="C53">
        <v>1.06402397</v>
      </c>
      <c r="D53">
        <v>1.57690704</v>
      </c>
      <c r="E53" t="b">
        <f t="shared" si="0"/>
        <v>1</v>
      </c>
      <c r="F53">
        <f t="shared" si="1"/>
        <v>-3.7432128100000002</v>
      </c>
      <c r="G53">
        <f t="shared" si="2"/>
        <v>-9.0633326600000004</v>
      </c>
      <c r="H53">
        <f t="shared" si="3"/>
        <v>-14.38345251</v>
      </c>
      <c r="I53">
        <f t="shared" si="4"/>
        <v>-19.703572360000003</v>
      </c>
      <c r="J53">
        <f t="shared" si="5"/>
        <v>-25.02369221</v>
      </c>
      <c r="L53">
        <f t="shared" si="6"/>
        <v>2042926.0224000001</v>
      </c>
      <c r="M53">
        <f t="shared" si="7"/>
        <v>-6064004.7522000009</v>
      </c>
      <c r="N53">
        <f t="shared" si="8"/>
        <v>-12507399.070799999</v>
      </c>
      <c r="O53">
        <f t="shared" si="9"/>
        <v>-14671121.5602</v>
      </c>
      <c r="P53">
        <f t="shared" si="10"/>
        <v>-18127286.571200002</v>
      </c>
      <c r="Q53">
        <f t="shared" si="11"/>
        <v>-19018006.079600003</v>
      </c>
      <c r="S53">
        <f t="shared" si="12"/>
        <v>2234450.3369999998</v>
      </c>
      <c r="T53">
        <f t="shared" si="13"/>
        <v>-6812647.3141999999</v>
      </c>
      <c r="U53">
        <f t="shared" si="14"/>
        <v>-13685632.3166</v>
      </c>
      <c r="V53">
        <f t="shared" si="15"/>
        <v>-15390294.185699997</v>
      </c>
      <c r="W53">
        <f t="shared" si="16"/>
        <v>-21082822.4252</v>
      </c>
      <c r="X53">
        <f t="shared" si="17"/>
        <v>-21770612.2227</v>
      </c>
      <c r="Z53">
        <f t="shared" si="18"/>
        <v>2425974.6516</v>
      </c>
      <c r="AA53">
        <f t="shared" si="19"/>
        <v>-7561289.8761999998</v>
      </c>
      <c r="AB53">
        <f t="shared" si="20"/>
        <v>-14863865.562400002</v>
      </c>
      <c r="AC53">
        <f t="shared" si="21"/>
        <v>-19561495.413599998</v>
      </c>
      <c r="AD53">
        <f t="shared" si="22"/>
        <v>-24038358.279200003</v>
      </c>
      <c r="AE53">
        <f t="shared" si="23"/>
        <v>-24523218.365800001</v>
      </c>
    </row>
    <row r="54" spans="1:31" x14ac:dyDescent="0.25">
      <c r="A54">
        <v>20.72187147</v>
      </c>
      <c r="B54">
        <v>109.0071868</v>
      </c>
      <c r="C54">
        <v>8.1980371499999993</v>
      </c>
      <c r="D54">
        <v>2.49793792</v>
      </c>
      <c r="E54" t="b">
        <f t="shared" si="0"/>
        <v>0</v>
      </c>
      <c r="F54">
        <f t="shared" si="1"/>
        <v>-38.492247829999997</v>
      </c>
      <c r="G54">
        <f t="shared" si="2"/>
        <v>-79.482433579999991</v>
      </c>
      <c r="H54">
        <f t="shared" si="3"/>
        <v>-120.47261932999999</v>
      </c>
      <c r="I54">
        <f t="shared" si="4"/>
        <v>-161.46280507999998</v>
      </c>
      <c r="J54">
        <f t="shared" si="5"/>
        <v>-202.45299082999998</v>
      </c>
      <c r="L54">
        <f t="shared" si="6"/>
        <v>4796040.8064000001</v>
      </c>
      <c r="M54">
        <f t="shared" si="7"/>
        <v>-62357441.4846</v>
      </c>
      <c r="N54">
        <f t="shared" si="8"/>
        <v>-109685758.3404</v>
      </c>
      <c r="O54">
        <f t="shared" si="9"/>
        <v>-122882071.71659999</v>
      </c>
      <c r="P54">
        <f t="shared" si="10"/>
        <v>-148545780.67359996</v>
      </c>
      <c r="Q54">
        <f t="shared" si="11"/>
        <v>-153864273.03079998</v>
      </c>
      <c r="S54">
        <f t="shared" si="12"/>
        <v>5245669.6320000002</v>
      </c>
      <c r="T54">
        <f t="shared" si="13"/>
        <v>-70055891.050599992</v>
      </c>
      <c r="U54">
        <f t="shared" si="14"/>
        <v>-120018474.7058</v>
      </c>
      <c r="V54">
        <f t="shared" si="15"/>
        <v>-128905702.68309997</v>
      </c>
      <c r="W54">
        <f t="shared" si="16"/>
        <v>-172765201.43559995</v>
      </c>
      <c r="X54">
        <f t="shared" si="17"/>
        <v>-176134102.02209997</v>
      </c>
      <c r="Z54">
        <f t="shared" si="18"/>
        <v>5695298.4576000003</v>
      </c>
      <c r="AA54">
        <f t="shared" si="19"/>
        <v>-77754340.616599992</v>
      </c>
      <c r="AB54">
        <f t="shared" si="20"/>
        <v>-130351191.07120001</v>
      </c>
      <c r="AC54">
        <f t="shared" si="21"/>
        <v>-163842762.28879997</v>
      </c>
      <c r="AD54">
        <f t="shared" si="22"/>
        <v>-196984622.19759998</v>
      </c>
      <c r="AE54">
        <f t="shared" si="23"/>
        <v>-198403931.01339999</v>
      </c>
    </row>
    <row r="55" spans="1:31" x14ac:dyDescent="0.25">
      <c r="A55">
        <v>20.723239800000002</v>
      </c>
      <c r="B55">
        <v>108.9599853</v>
      </c>
      <c r="C55">
        <v>48.680244450000004</v>
      </c>
      <c r="D55">
        <v>6.8943090400000004</v>
      </c>
      <c r="E55" t="b">
        <f t="shared" si="0"/>
        <v>0</v>
      </c>
      <c r="F55">
        <f t="shared" si="1"/>
        <v>-236.50691321000002</v>
      </c>
      <c r="G55">
        <f t="shared" si="2"/>
        <v>-479.90813546000004</v>
      </c>
      <c r="H55">
        <f t="shared" si="3"/>
        <v>-723.30935770999997</v>
      </c>
      <c r="I55">
        <f t="shared" si="4"/>
        <v>-966.71057996000002</v>
      </c>
      <c r="J55">
        <f t="shared" si="5"/>
        <v>-1210.11180221</v>
      </c>
      <c r="L55">
        <f t="shared" si="6"/>
        <v>13237073.356800001</v>
      </c>
      <c r="M55">
        <f t="shared" si="7"/>
        <v>-383141199.40020001</v>
      </c>
      <c r="N55">
        <f t="shared" si="8"/>
        <v>-662273226.93480003</v>
      </c>
      <c r="O55">
        <f t="shared" si="9"/>
        <v>-737775544.86419988</v>
      </c>
      <c r="P55">
        <f t="shared" si="10"/>
        <v>-889373733.5632</v>
      </c>
      <c r="Q55">
        <f t="shared" si="11"/>
        <v>-919684969.6796</v>
      </c>
      <c r="S55">
        <f t="shared" si="12"/>
        <v>14478048.984000001</v>
      </c>
      <c r="T55">
        <f t="shared" si="13"/>
        <v>-430442582.04220003</v>
      </c>
      <c r="U55">
        <f t="shared" si="14"/>
        <v>-724661284.54460001</v>
      </c>
      <c r="V55">
        <f t="shared" si="15"/>
        <v>-773941012.74969983</v>
      </c>
      <c r="W55">
        <f t="shared" si="16"/>
        <v>-1034380320.5571998</v>
      </c>
      <c r="X55">
        <f t="shared" si="17"/>
        <v>-1052797267.9227</v>
      </c>
      <c r="Z55">
        <f t="shared" si="18"/>
        <v>15719024.611200001</v>
      </c>
      <c r="AA55">
        <f t="shared" si="19"/>
        <v>-477743964.68420005</v>
      </c>
      <c r="AB55">
        <f t="shared" si="20"/>
        <v>-787049342.15440011</v>
      </c>
      <c r="AC55">
        <f t="shared" si="21"/>
        <v>-983700726.48559976</v>
      </c>
      <c r="AD55">
        <f t="shared" si="22"/>
        <v>-1179386907.5511999</v>
      </c>
      <c r="AE55">
        <f t="shared" si="23"/>
        <v>-1185909566.1658001</v>
      </c>
    </row>
    <row r="56" spans="1:31" x14ac:dyDescent="0.25">
      <c r="A56">
        <v>20.724586500000001</v>
      </c>
      <c r="B56">
        <v>108.91278250000001</v>
      </c>
      <c r="C56">
        <v>20.883190160000002</v>
      </c>
      <c r="D56">
        <v>4.6523637799999999</v>
      </c>
      <c r="E56" t="b">
        <f t="shared" si="0"/>
        <v>0</v>
      </c>
      <c r="F56">
        <f t="shared" si="1"/>
        <v>-99.763587020000003</v>
      </c>
      <c r="G56">
        <f t="shared" si="2"/>
        <v>-204.17953782000001</v>
      </c>
      <c r="H56">
        <f t="shared" si="3"/>
        <v>-308.59548862000003</v>
      </c>
      <c r="I56">
        <f t="shared" si="4"/>
        <v>-413.01143942000004</v>
      </c>
      <c r="J56">
        <f t="shared" si="5"/>
        <v>-517.42739022000012</v>
      </c>
      <c r="L56">
        <f t="shared" si="6"/>
        <v>8932538.4576000012</v>
      </c>
      <c r="M56">
        <f t="shared" si="7"/>
        <v>-161617010.97240001</v>
      </c>
      <c r="N56">
        <f t="shared" si="8"/>
        <v>-281767762.19159997</v>
      </c>
      <c r="O56">
        <f t="shared" si="9"/>
        <v>-314767398.39240003</v>
      </c>
      <c r="P56">
        <f t="shared" si="10"/>
        <v>-379970524.26639998</v>
      </c>
      <c r="Q56">
        <f t="shared" si="11"/>
        <v>-393244816.56720012</v>
      </c>
      <c r="S56">
        <f t="shared" si="12"/>
        <v>9769963.938000001</v>
      </c>
      <c r="T56">
        <f t="shared" si="13"/>
        <v>-181569728.37639999</v>
      </c>
      <c r="U56">
        <f t="shared" si="14"/>
        <v>-308311102.10820001</v>
      </c>
      <c r="V56">
        <f t="shared" si="15"/>
        <v>-330197172.82339996</v>
      </c>
      <c r="W56">
        <f t="shared" si="16"/>
        <v>-441922240.17939997</v>
      </c>
      <c r="X56">
        <f t="shared" si="17"/>
        <v>-450161829.49140012</v>
      </c>
      <c r="Z56">
        <f t="shared" si="18"/>
        <v>10607389.418400003</v>
      </c>
      <c r="AA56">
        <f t="shared" si="19"/>
        <v>-201522445.78040001</v>
      </c>
      <c r="AB56">
        <f t="shared" si="20"/>
        <v>-334854442.0248</v>
      </c>
      <c r="AC56">
        <f t="shared" si="21"/>
        <v>-419689864.52319998</v>
      </c>
      <c r="AD56">
        <f t="shared" si="22"/>
        <v>-503873956.09240001</v>
      </c>
      <c r="AE56">
        <f t="shared" si="23"/>
        <v>-507078842.41560012</v>
      </c>
    </row>
    <row r="57" spans="1:31" x14ac:dyDescent="0.25">
      <c r="A57">
        <v>20.72721499</v>
      </c>
      <c r="B57">
        <v>108.8183727</v>
      </c>
      <c r="C57">
        <v>100.2393112</v>
      </c>
      <c r="D57">
        <v>1.95888996</v>
      </c>
      <c r="E57" t="b">
        <f t="shared" si="0"/>
        <v>0</v>
      </c>
      <c r="F57">
        <f t="shared" si="1"/>
        <v>-499.23766603999997</v>
      </c>
      <c r="G57">
        <f t="shared" si="2"/>
        <v>-1000.43422204</v>
      </c>
      <c r="H57">
        <f t="shared" si="3"/>
        <v>-1501.63077804</v>
      </c>
      <c r="I57">
        <f t="shared" si="4"/>
        <v>-2002.8273340399999</v>
      </c>
      <c r="J57">
        <f t="shared" si="5"/>
        <v>-2504.0238900400004</v>
      </c>
      <c r="L57">
        <f t="shared" si="6"/>
        <v>3761068.7232000004</v>
      </c>
      <c r="M57">
        <f t="shared" si="7"/>
        <v>-808765018.98479998</v>
      </c>
      <c r="N57">
        <f t="shared" si="8"/>
        <v>-1380599226.4151998</v>
      </c>
      <c r="O57">
        <f t="shared" si="9"/>
        <v>-1531663393.6008</v>
      </c>
      <c r="P57">
        <f t="shared" si="10"/>
        <v>-1842601147.3167999</v>
      </c>
      <c r="Q57">
        <f t="shared" si="11"/>
        <v>-1903058156.4304004</v>
      </c>
      <c r="S57">
        <f t="shared" si="12"/>
        <v>4113668.9160000002</v>
      </c>
      <c r="T57">
        <f t="shared" si="13"/>
        <v>-908612552.19279993</v>
      </c>
      <c r="U57">
        <f t="shared" si="14"/>
        <v>-1510655675.2804</v>
      </c>
      <c r="V57">
        <f t="shared" si="15"/>
        <v>-1606744932.5027997</v>
      </c>
      <c r="W57">
        <f t="shared" si="16"/>
        <v>-2143025247.4227996</v>
      </c>
      <c r="X57">
        <f t="shared" si="17"/>
        <v>-2178500784.3348002</v>
      </c>
      <c r="Z57">
        <f t="shared" si="18"/>
        <v>4466269.1088000005</v>
      </c>
      <c r="AA57">
        <f t="shared" si="19"/>
        <v>-1008460085.4008</v>
      </c>
      <c r="AB57">
        <f t="shared" si="20"/>
        <v>-1640712124.1456001</v>
      </c>
      <c r="AC57">
        <f t="shared" si="21"/>
        <v>-2042217858.1343997</v>
      </c>
      <c r="AD57">
        <f t="shared" si="22"/>
        <v>-2443449347.5288</v>
      </c>
      <c r="AE57">
        <f t="shared" si="23"/>
        <v>-2453943412.2392006</v>
      </c>
    </row>
    <row r="58" spans="1:31" x14ac:dyDescent="0.25">
      <c r="A58">
        <v>20.729756930000001</v>
      </c>
      <c r="B58">
        <v>108.7239575</v>
      </c>
      <c r="C58">
        <v>100.2393112</v>
      </c>
      <c r="D58">
        <v>1.22430599</v>
      </c>
      <c r="E58" t="b">
        <f t="shared" si="0"/>
        <v>0</v>
      </c>
      <c r="F58">
        <f t="shared" si="1"/>
        <v>-499.97225000999998</v>
      </c>
      <c r="G58">
        <f t="shared" si="2"/>
        <v>-1001.16880601</v>
      </c>
      <c r="H58">
        <f t="shared" si="3"/>
        <v>-1502.3653620100001</v>
      </c>
      <c r="I58">
        <f t="shared" si="4"/>
        <v>-2003.56191801</v>
      </c>
      <c r="J58">
        <f t="shared" si="5"/>
        <v>-2504.7584740100001</v>
      </c>
      <c r="L58">
        <f t="shared" si="6"/>
        <v>2350667.5008</v>
      </c>
      <c r="M58">
        <f t="shared" si="7"/>
        <v>-809955045.01620007</v>
      </c>
      <c r="N58">
        <f t="shared" si="8"/>
        <v>-1381612952.2937999</v>
      </c>
      <c r="O58">
        <f t="shared" si="9"/>
        <v>-1532412669.2502003</v>
      </c>
      <c r="P58">
        <f t="shared" si="10"/>
        <v>-1843276964.5691998</v>
      </c>
      <c r="Q58">
        <f t="shared" si="11"/>
        <v>-1903616440.2476001</v>
      </c>
      <c r="S58">
        <f t="shared" si="12"/>
        <v>2571042.5789999999</v>
      </c>
      <c r="T58">
        <f t="shared" si="13"/>
        <v>-909949495.01820004</v>
      </c>
      <c r="U58">
        <f t="shared" si="14"/>
        <v>-1511764897.0750999</v>
      </c>
      <c r="V58">
        <f t="shared" si="15"/>
        <v>-1607530937.3506999</v>
      </c>
      <c r="W58">
        <f t="shared" si="16"/>
        <v>-2143811252.2706997</v>
      </c>
      <c r="X58">
        <f t="shared" si="17"/>
        <v>-2179139872.3887</v>
      </c>
      <c r="Z58">
        <f t="shared" si="18"/>
        <v>2791417.6572000002</v>
      </c>
      <c r="AA58">
        <f t="shared" si="19"/>
        <v>-1009943945.0202</v>
      </c>
      <c r="AB58">
        <f t="shared" si="20"/>
        <v>-1641916841.8564</v>
      </c>
      <c r="AC58">
        <f t="shared" si="21"/>
        <v>-2043216892.3336</v>
      </c>
      <c r="AD58">
        <f t="shared" si="22"/>
        <v>-2444345539.9721999</v>
      </c>
      <c r="AE58">
        <f t="shared" si="23"/>
        <v>-2454663304.5298004</v>
      </c>
    </row>
    <row r="59" spans="1:31" x14ac:dyDescent="0.25">
      <c r="A59">
        <v>20.746177490000001</v>
      </c>
      <c r="B59">
        <v>115.77886959999999</v>
      </c>
      <c r="C59">
        <v>0.13861599999999999</v>
      </c>
      <c r="D59">
        <v>2.3789880299999999</v>
      </c>
      <c r="E59" t="b">
        <f t="shared" si="0"/>
        <v>1</v>
      </c>
      <c r="F59">
        <f t="shared" si="1"/>
        <v>1.68590803</v>
      </c>
      <c r="G59">
        <f t="shared" si="2"/>
        <v>0.99282803000000008</v>
      </c>
      <c r="H59">
        <f t="shared" si="3"/>
        <v>0.29974802999999994</v>
      </c>
      <c r="I59">
        <f t="shared" si="4"/>
        <v>-0.39333196999999975</v>
      </c>
      <c r="J59">
        <f t="shared" si="5"/>
        <v>-1.0864119699999999</v>
      </c>
      <c r="L59">
        <f t="shared" si="6"/>
        <v>266142.72000000003</v>
      </c>
      <c r="M59">
        <f t="shared" si="7"/>
        <v>224557.92</v>
      </c>
      <c r="N59">
        <f t="shared" si="8"/>
        <v>191290.08</v>
      </c>
      <c r="O59">
        <f t="shared" si="9"/>
        <v>141388.32</v>
      </c>
      <c r="P59">
        <f t="shared" si="10"/>
        <v>-361865.41239999974</v>
      </c>
      <c r="Q59">
        <f t="shared" si="11"/>
        <v>-825673.09719999996</v>
      </c>
      <c r="S59">
        <f t="shared" si="12"/>
        <v>291093.60000000003</v>
      </c>
      <c r="T59">
        <f t="shared" si="13"/>
        <v>252281.12</v>
      </c>
      <c r="U59">
        <f t="shared" si="14"/>
        <v>209310.16</v>
      </c>
      <c r="V59">
        <f t="shared" si="15"/>
        <v>148319.11999999997</v>
      </c>
      <c r="W59">
        <f t="shared" si="16"/>
        <v>-420865.20789999963</v>
      </c>
      <c r="X59">
        <f t="shared" si="17"/>
        <v>-945178.41389999993</v>
      </c>
      <c r="Z59">
        <f t="shared" si="18"/>
        <v>316044.48000000004</v>
      </c>
      <c r="AA59">
        <f t="shared" si="19"/>
        <v>280004.32</v>
      </c>
      <c r="AB59">
        <f t="shared" si="20"/>
        <v>227330.24000000002</v>
      </c>
      <c r="AC59">
        <f t="shared" si="21"/>
        <v>188517.75999999998</v>
      </c>
      <c r="AD59">
        <f t="shared" si="22"/>
        <v>-479865.0033999997</v>
      </c>
      <c r="AE59">
        <f t="shared" si="23"/>
        <v>-1064683.7305999999</v>
      </c>
    </row>
    <row r="60" spans="1:31" x14ac:dyDescent="0.25">
      <c r="A60">
        <v>20.758959969999999</v>
      </c>
      <c r="B60">
        <v>114.64126880000001</v>
      </c>
      <c r="C60">
        <v>1.05698705</v>
      </c>
      <c r="D60">
        <v>0.51665698999999998</v>
      </c>
      <c r="E60" t="b">
        <f t="shared" si="0"/>
        <v>0</v>
      </c>
      <c r="F60">
        <f t="shared" si="1"/>
        <v>-4.7682782600000007</v>
      </c>
      <c r="G60">
        <f t="shared" si="2"/>
        <v>-10.053213510000001</v>
      </c>
      <c r="H60">
        <f t="shared" si="3"/>
        <v>-15.338148760000001</v>
      </c>
      <c r="I60">
        <f t="shared" si="4"/>
        <v>-20.623084009999999</v>
      </c>
      <c r="J60">
        <f t="shared" si="5"/>
        <v>-25.90801926</v>
      </c>
      <c r="L60">
        <f t="shared" si="6"/>
        <v>991981.42080000008</v>
      </c>
      <c r="M60">
        <f t="shared" si="7"/>
        <v>-7724610.7812000019</v>
      </c>
      <c r="N60">
        <f t="shared" si="8"/>
        <v>-13873434.643800002</v>
      </c>
      <c r="O60">
        <f t="shared" si="9"/>
        <v>-15644911.735200003</v>
      </c>
      <c r="P60">
        <f t="shared" si="10"/>
        <v>-18973237.289199997</v>
      </c>
      <c r="Q60">
        <f t="shared" si="11"/>
        <v>-19690094.637599997</v>
      </c>
      <c r="S60">
        <f t="shared" si="12"/>
        <v>1084979.679</v>
      </c>
      <c r="T60">
        <f t="shared" si="13"/>
        <v>-8678266.4332000017</v>
      </c>
      <c r="U60">
        <f t="shared" si="14"/>
        <v>-15180352.400100002</v>
      </c>
      <c r="V60">
        <f t="shared" si="15"/>
        <v>-16411819.1732</v>
      </c>
      <c r="W60">
        <f t="shared" si="16"/>
        <v>-22066699.890699994</v>
      </c>
      <c r="X60">
        <f t="shared" si="17"/>
        <v>-22539976.756199997</v>
      </c>
      <c r="Z60">
        <f t="shared" si="18"/>
        <v>1177977.9372</v>
      </c>
      <c r="AA60">
        <f t="shared" si="19"/>
        <v>-9631922.0852000024</v>
      </c>
      <c r="AB60">
        <f t="shared" si="20"/>
        <v>-16487270.156400004</v>
      </c>
      <c r="AC60">
        <f t="shared" si="21"/>
        <v>-20859882.3136</v>
      </c>
      <c r="AD60">
        <f t="shared" si="22"/>
        <v>-25160162.492199998</v>
      </c>
      <c r="AE60">
        <f t="shared" si="23"/>
        <v>-25389858.874799997</v>
      </c>
    </row>
    <row r="61" spans="1:31" x14ac:dyDescent="0.25">
      <c r="A61">
        <v>20.762908299999999</v>
      </c>
      <c r="B61">
        <v>114.594212</v>
      </c>
      <c r="C61">
        <v>1.69117999</v>
      </c>
      <c r="D61">
        <v>1.22430599</v>
      </c>
      <c r="E61" t="b">
        <f t="shared" si="0"/>
        <v>0</v>
      </c>
      <c r="F61">
        <f t="shared" si="1"/>
        <v>-7.2315939599999997</v>
      </c>
      <c r="G61">
        <f t="shared" si="2"/>
        <v>-15.687493909999999</v>
      </c>
      <c r="H61">
        <f t="shared" si="3"/>
        <v>-24.14339386</v>
      </c>
      <c r="I61">
        <f t="shared" si="4"/>
        <v>-32.599293809999999</v>
      </c>
      <c r="J61">
        <f t="shared" si="5"/>
        <v>-41.055193760000002</v>
      </c>
      <c r="L61">
        <f t="shared" si="6"/>
        <v>2350667.5008</v>
      </c>
      <c r="M61">
        <f t="shared" si="7"/>
        <v>-11715182.215200001</v>
      </c>
      <c r="N61">
        <f t="shared" si="8"/>
        <v>-21648741.595799997</v>
      </c>
      <c r="O61">
        <f t="shared" si="9"/>
        <v>-24626261.737199999</v>
      </c>
      <c r="P61">
        <f t="shared" si="10"/>
        <v>-29991350.305199996</v>
      </c>
      <c r="Q61">
        <f t="shared" si="11"/>
        <v>-31201947.257600006</v>
      </c>
      <c r="S61">
        <f t="shared" si="12"/>
        <v>2571042.5789999999</v>
      </c>
      <c r="T61">
        <f t="shared" si="13"/>
        <v>-13161501.007200001</v>
      </c>
      <c r="U61">
        <f t="shared" si="14"/>
        <v>-23688115.804099999</v>
      </c>
      <c r="V61">
        <f t="shared" si="15"/>
        <v>-25833431.430199996</v>
      </c>
      <c r="W61">
        <f t="shared" si="16"/>
        <v>-34881244.376699992</v>
      </c>
      <c r="X61">
        <f t="shared" si="17"/>
        <v>-35718018.571200006</v>
      </c>
      <c r="Z61">
        <f t="shared" si="18"/>
        <v>2791417.6572000002</v>
      </c>
      <c r="AA61">
        <f t="shared" si="19"/>
        <v>-14607819.7992</v>
      </c>
      <c r="AB61">
        <f t="shared" si="20"/>
        <v>-25727490.012399998</v>
      </c>
      <c r="AC61">
        <f t="shared" si="21"/>
        <v>-32835015.649599995</v>
      </c>
      <c r="AD61">
        <f t="shared" si="22"/>
        <v>-39771138.448199995</v>
      </c>
      <c r="AE61">
        <f t="shared" si="23"/>
        <v>-40234089.884800002</v>
      </c>
    </row>
    <row r="62" spans="1:31" x14ac:dyDescent="0.25">
      <c r="A62">
        <v>20.766283229999999</v>
      </c>
      <c r="B62">
        <v>109.0086534</v>
      </c>
      <c r="C62">
        <v>53.326988219999997</v>
      </c>
      <c r="D62">
        <v>2.9737360499999999</v>
      </c>
      <c r="E62" t="b">
        <f t="shared" si="0"/>
        <v>0</v>
      </c>
      <c r="F62">
        <f t="shared" si="1"/>
        <v>-263.66120504999998</v>
      </c>
      <c r="G62">
        <f t="shared" si="2"/>
        <v>-530.29614615000003</v>
      </c>
      <c r="H62">
        <f t="shared" si="3"/>
        <v>-796.93108725000002</v>
      </c>
      <c r="I62">
        <f t="shared" si="4"/>
        <v>-1063.5660283499999</v>
      </c>
      <c r="J62">
        <f t="shared" si="5"/>
        <v>-1330.2009694499998</v>
      </c>
      <c r="L62">
        <f t="shared" si="6"/>
        <v>5709573.216</v>
      </c>
      <c r="M62">
        <f t="shared" si="7"/>
        <v>-427131152.18099999</v>
      </c>
      <c r="N62">
        <f t="shared" si="8"/>
        <v>-731808681.68700004</v>
      </c>
      <c r="O62">
        <f t="shared" si="9"/>
        <v>-812869708.995</v>
      </c>
      <c r="P62">
        <f t="shared" si="10"/>
        <v>-978480746.08199978</v>
      </c>
      <c r="Q62">
        <f t="shared" si="11"/>
        <v>-1010952736.7819998</v>
      </c>
      <c r="S62">
        <f t="shared" si="12"/>
        <v>6244845.7050000001</v>
      </c>
      <c r="T62">
        <f t="shared" si="13"/>
        <v>-479863393.19099998</v>
      </c>
      <c r="U62">
        <f t="shared" si="14"/>
        <v>-800747180.68650007</v>
      </c>
      <c r="V62">
        <f t="shared" si="15"/>
        <v>-852716263.35749984</v>
      </c>
      <c r="W62">
        <f t="shared" si="16"/>
        <v>-1138015650.3344998</v>
      </c>
      <c r="X62">
        <f t="shared" si="17"/>
        <v>-1157274843.4214997</v>
      </c>
      <c r="Z62">
        <f t="shared" si="18"/>
        <v>6780118.1940000001</v>
      </c>
      <c r="AA62">
        <f t="shared" si="19"/>
        <v>-532595634.20099998</v>
      </c>
      <c r="AB62">
        <f t="shared" si="20"/>
        <v>-869685679.68600011</v>
      </c>
      <c r="AC62">
        <f t="shared" si="21"/>
        <v>-1083826278.6599998</v>
      </c>
      <c r="AD62">
        <f t="shared" si="22"/>
        <v>-1297550554.5869999</v>
      </c>
      <c r="AE62">
        <f t="shared" si="23"/>
        <v>-1303596950.0609999</v>
      </c>
    </row>
    <row r="63" spans="1:31" x14ac:dyDescent="0.25">
      <c r="A63">
        <v>20.76900011</v>
      </c>
      <c r="B63">
        <v>108.91420309999999</v>
      </c>
      <c r="C63">
        <v>42.338005070000001</v>
      </c>
      <c r="D63">
        <v>7.8282151200000003</v>
      </c>
      <c r="E63" t="b">
        <f t="shared" si="0"/>
        <v>0</v>
      </c>
      <c r="F63">
        <f t="shared" si="1"/>
        <v>-203.86181023</v>
      </c>
      <c r="G63">
        <f t="shared" si="2"/>
        <v>-415.55183558000004</v>
      </c>
      <c r="H63">
        <f t="shared" si="3"/>
        <v>-627.24186093000003</v>
      </c>
      <c r="I63">
        <f t="shared" si="4"/>
        <v>-838.93188628000007</v>
      </c>
      <c r="J63">
        <f t="shared" si="5"/>
        <v>-1050.6219116299999</v>
      </c>
      <c r="L63">
        <f t="shared" si="6"/>
        <v>15030173.030400001</v>
      </c>
      <c r="M63">
        <f t="shared" si="7"/>
        <v>-330256132.57260001</v>
      </c>
      <c r="N63">
        <f t="shared" si="8"/>
        <v>-573461533.10039997</v>
      </c>
      <c r="O63">
        <f t="shared" si="9"/>
        <v>-639786698.1486001</v>
      </c>
      <c r="P63">
        <f t="shared" si="10"/>
        <v>-771817335.37760007</v>
      </c>
      <c r="Q63">
        <f t="shared" si="11"/>
        <v>-798472652.83879995</v>
      </c>
      <c r="S63">
        <f t="shared" si="12"/>
        <v>16439251.752</v>
      </c>
      <c r="T63">
        <f t="shared" si="13"/>
        <v>-371028494.61860001</v>
      </c>
      <c r="U63">
        <f t="shared" si="14"/>
        <v>-627483271.72580004</v>
      </c>
      <c r="V63">
        <f t="shared" si="15"/>
        <v>-671148791.19509995</v>
      </c>
      <c r="W63">
        <f t="shared" si="16"/>
        <v>-897657118.31959999</v>
      </c>
      <c r="X63">
        <f t="shared" si="17"/>
        <v>-914041063.11809993</v>
      </c>
      <c r="Z63">
        <f t="shared" si="18"/>
        <v>17848330.473600004</v>
      </c>
      <c r="AA63">
        <f t="shared" si="19"/>
        <v>-411800856.66459996</v>
      </c>
      <c r="AB63">
        <f t="shared" si="20"/>
        <v>-681505010.3512001</v>
      </c>
      <c r="AC63">
        <f t="shared" si="21"/>
        <v>-853048930.86479998</v>
      </c>
      <c r="AD63">
        <f t="shared" si="22"/>
        <v>-1023496901.2616001</v>
      </c>
      <c r="AE63">
        <f t="shared" si="23"/>
        <v>-1029609473.3973999</v>
      </c>
    </row>
    <row r="64" spans="1:31" x14ac:dyDescent="0.25">
      <c r="A64">
        <v>20.770326069999999</v>
      </c>
      <c r="B64">
        <v>108.8669759</v>
      </c>
      <c r="C64">
        <v>79.356124879999996</v>
      </c>
      <c r="D64">
        <v>1.95888996</v>
      </c>
      <c r="E64" t="b">
        <f t="shared" si="0"/>
        <v>0</v>
      </c>
      <c r="F64">
        <f t="shared" si="1"/>
        <v>-394.82173443999994</v>
      </c>
      <c r="G64">
        <f t="shared" si="2"/>
        <v>-791.60235883999997</v>
      </c>
      <c r="H64">
        <f t="shared" si="3"/>
        <v>-1188.3829832399999</v>
      </c>
      <c r="I64">
        <f t="shared" si="4"/>
        <v>-1585.1636076399998</v>
      </c>
      <c r="J64">
        <f t="shared" si="5"/>
        <v>-1981.9442320399999</v>
      </c>
      <c r="L64">
        <f t="shared" si="6"/>
        <v>3761068.7232000004</v>
      </c>
      <c r="M64">
        <f t="shared" si="7"/>
        <v>-639611209.79279995</v>
      </c>
      <c r="N64">
        <f t="shared" si="8"/>
        <v>-1092411255.1991999</v>
      </c>
      <c r="O64">
        <f t="shared" si="9"/>
        <v>-1212150642.9047999</v>
      </c>
      <c r="P64">
        <f t="shared" si="10"/>
        <v>-1458350519.0287998</v>
      </c>
      <c r="Q64">
        <f t="shared" si="11"/>
        <v>-1506277616.3504</v>
      </c>
      <c r="S64">
        <f t="shared" si="12"/>
        <v>4113668.9160000002</v>
      </c>
      <c r="T64">
        <f t="shared" si="13"/>
        <v>-718575556.68079996</v>
      </c>
      <c r="U64">
        <f t="shared" si="14"/>
        <v>-1195319561.8483999</v>
      </c>
      <c r="V64">
        <f t="shared" si="15"/>
        <v>-1271569792.0667999</v>
      </c>
      <c r="W64">
        <f t="shared" si="16"/>
        <v>-1696125060.1747997</v>
      </c>
      <c r="X64">
        <f t="shared" si="17"/>
        <v>-1724291481.8748</v>
      </c>
      <c r="Z64">
        <f t="shared" si="18"/>
        <v>4466269.1088000005</v>
      </c>
      <c r="AA64">
        <f t="shared" si="19"/>
        <v>-797539903.56879985</v>
      </c>
      <c r="AB64">
        <f t="shared" si="20"/>
        <v>-1298227868.4975998</v>
      </c>
      <c r="AC64">
        <f t="shared" si="21"/>
        <v>-1616200857.2063999</v>
      </c>
      <c r="AD64">
        <f t="shared" si="22"/>
        <v>-1933899601.3207998</v>
      </c>
      <c r="AE64">
        <f t="shared" si="23"/>
        <v>-1942305347.3992</v>
      </c>
    </row>
    <row r="65" spans="1:31" x14ac:dyDescent="0.25">
      <c r="A65">
        <v>20.771630380000001</v>
      </c>
      <c r="B65">
        <v>108.8197473</v>
      </c>
      <c r="C65">
        <v>100.2393112</v>
      </c>
      <c r="D65">
        <v>2.44861197</v>
      </c>
      <c r="E65" t="b">
        <f t="shared" si="0"/>
        <v>0</v>
      </c>
      <c r="F65">
        <f t="shared" si="1"/>
        <v>-498.74794402999999</v>
      </c>
      <c r="G65">
        <f t="shared" si="2"/>
        <v>-999.94450002999997</v>
      </c>
      <c r="H65">
        <f t="shared" si="3"/>
        <v>-1501.1410560300001</v>
      </c>
      <c r="I65">
        <f t="shared" si="4"/>
        <v>-2002.3376120299999</v>
      </c>
      <c r="J65">
        <f t="shared" si="5"/>
        <v>-2503.5341680300003</v>
      </c>
      <c r="L65">
        <f t="shared" si="6"/>
        <v>4701334.9824000001</v>
      </c>
      <c r="M65">
        <f t="shared" si="7"/>
        <v>-807971669.32860005</v>
      </c>
      <c r="N65">
        <f t="shared" si="8"/>
        <v>-1379923410.0414</v>
      </c>
      <c r="O65">
        <f t="shared" si="9"/>
        <v>-1531163877.1506</v>
      </c>
      <c r="P65">
        <f t="shared" si="10"/>
        <v>-1842150603.0675998</v>
      </c>
      <c r="Q65">
        <f t="shared" si="11"/>
        <v>-1902685967.7028003</v>
      </c>
      <c r="S65">
        <f t="shared" si="12"/>
        <v>5142085.1370000001</v>
      </c>
      <c r="T65">
        <f t="shared" si="13"/>
        <v>-907721258.13459992</v>
      </c>
      <c r="U65">
        <f t="shared" si="14"/>
        <v>-1509916195.0453</v>
      </c>
      <c r="V65">
        <f t="shared" si="15"/>
        <v>-1606220929.9520998</v>
      </c>
      <c r="W65">
        <f t="shared" si="16"/>
        <v>-2142501244.8720996</v>
      </c>
      <c r="X65">
        <f t="shared" si="17"/>
        <v>-2178074726.1861</v>
      </c>
      <c r="Z65">
        <f t="shared" si="18"/>
        <v>5582835.2916000001</v>
      </c>
      <c r="AA65">
        <f t="shared" si="19"/>
        <v>-1007470846.9405999</v>
      </c>
      <c r="AB65">
        <f t="shared" si="20"/>
        <v>-1639908980.0492001</v>
      </c>
      <c r="AC65">
        <f t="shared" si="21"/>
        <v>-2041551836.2007997</v>
      </c>
      <c r="AD65">
        <f t="shared" si="22"/>
        <v>-2442851886.6766</v>
      </c>
      <c r="AE65">
        <f t="shared" si="23"/>
        <v>-2453463484.6694002</v>
      </c>
    </row>
    <row r="66" spans="1:31" x14ac:dyDescent="0.25">
      <c r="A66">
        <v>20.772913039999999</v>
      </c>
      <c r="B66">
        <v>108.7725174</v>
      </c>
      <c r="C66">
        <v>100.2393112</v>
      </c>
      <c r="D66">
        <v>16.315107350000002</v>
      </c>
      <c r="E66" t="b">
        <f t="shared" si="0"/>
        <v>0</v>
      </c>
      <c r="F66">
        <f t="shared" si="1"/>
        <v>-484.88144864999998</v>
      </c>
      <c r="G66">
        <f t="shared" si="2"/>
        <v>-986.07800465000003</v>
      </c>
      <c r="H66">
        <f t="shared" si="3"/>
        <v>-1487.27456065</v>
      </c>
      <c r="I66">
        <f t="shared" si="4"/>
        <v>-1988.4711166499999</v>
      </c>
      <c r="J66">
        <f t="shared" si="5"/>
        <v>-2489.6676726500004</v>
      </c>
      <c r="L66">
        <f t="shared" si="6"/>
        <v>31325006.112000007</v>
      </c>
      <c r="M66">
        <f t="shared" si="7"/>
        <v>-785507946.81299996</v>
      </c>
      <c r="N66">
        <f t="shared" si="8"/>
        <v>-1360787646.4169998</v>
      </c>
      <c r="O66">
        <f t="shared" si="9"/>
        <v>-1517020051.8630002</v>
      </c>
      <c r="P66">
        <f t="shared" si="10"/>
        <v>-1829393427.3179998</v>
      </c>
      <c r="Q66">
        <f t="shared" si="11"/>
        <v>-1892147431.2140005</v>
      </c>
      <c r="S66">
        <f t="shared" si="12"/>
        <v>34261725.435000002</v>
      </c>
      <c r="T66">
        <f t="shared" si="13"/>
        <v>-882484236.54299998</v>
      </c>
      <c r="U66">
        <f t="shared" si="14"/>
        <v>-1488977787.0214999</v>
      </c>
      <c r="V66">
        <f t="shared" si="15"/>
        <v>-1591383779.8954999</v>
      </c>
      <c r="W66">
        <f t="shared" si="16"/>
        <v>-2127664094.8154995</v>
      </c>
      <c r="X66">
        <f t="shared" si="17"/>
        <v>-2166010875.2055006</v>
      </c>
      <c r="Z66">
        <f t="shared" si="18"/>
        <v>37198444.758000009</v>
      </c>
      <c r="AA66">
        <f t="shared" si="19"/>
        <v>-979460526.273</v>
      </c>
      <c r="AB66">
        <f t="shared" si="20"/>
        <v>-1617167927.6260002</v>
      </c>
      <c r="AC66">
        <f t="shared" si="21"/>
        <v>-2022693402.484</v>
      </c>
      <c r="AD66">
        <f t="shared" si="22"/>
        <v>-2425934762.3129997</v>
      </c>
      <c r="AE66">
        <f t="shared" si="23"/>
        <v>-2439874319.1970005</v>
      </c>
    </row>
    <row r="67" spans="1:31" x14ac:dyDescent="0.25">
      <c r="A67">
        <v>20.774174049999999</v>
      </c>
      <c r="B67">
        <v>108.72528610000001</v>
      </c>
      <c r="C67">
        <v>14.30326176</v>
      </c>
      <c r="D67">
        <v>5.4750981300000001</v>
      </c>
      <c r="E67" t="b">
        <f t="shared" ref="E67:E130" si="24">D67&gt;C67</f>
        <v>0</v>
      </c>
      <c r="F67">
        <f t="shared" ref="F67:F130" si="25">D67-(C67*(2030-2025))</f>
        <v>-66.041210669999998</v>
      </c>
      <c r="G67">
        <f t="shared" ref="G67:G130" si="26">D67-(C67*(2035-2025))</f>
        <v>-137.55751947000002</v>
      </c>
      <c r="H67">
        <f t="shared" ref="H67:H130" si="27">D67-(C67*(2040-2025))</f>
        <v>-209.07382827000001</v>
      </c>
      <c r="I67">
        <f t="shared" ref="I67:I130" si="28">D67-(C67*(2045-2025))</f>
        <v>-280.59013707000003</v>
      </c>
      <c r="J67">
        <f t="shared" ref="J67:J130" si="29">D67-(C67*(2050-2025))</f>
        <v>-352.10644587000002</v>
      </c>
      <c r="L67">
        <f t="shared" ref="L67:L130" si="30">MIN(C67,D67)*1000000*((280/250)+0.8)</f>
        <v>10512188.409600001</v>
      </c>
      <c r="M67">
        <f t="shared" ref="M67:M130" si="31">MIN(F67,C67)*1000000*((230/250)+0.7)</f>
        <v>-106986761.2854</v>
      </c>
      <c r="N67">
        <f t="shared" ref="N67:N130" si="32">MIN(G67,C67)*1000000*((195/250)+0.6)</f>
        <v>-189829376.86860001</v>
      </c>
      <c r="O67">
        <f t="shared" ref="O67:O130" si="33">MIN(H67,C67)*1000000*((130/250)+0.5)</f>
        <v>-213255304.83540002</v>
      </c>
      <c r="P67">
        <f t="shared" ref="P67:P130" si="34">MIN(I67,C67)*1000000*((105/250)+0.5)</f>
        <v>-258142926.10440004</v>
      </c>
      <c r="Q67">
        <f t="shared" ref="Q67:Q130" si="35">MIN(J67,C67)*1000000*((90/250)+0.4)</f>
        <v>-267600898.8612</v>
      </c>
      <c r="S67">
        <f t="shared" ref="S67:S130" si="36">MIN(C67,D67)*1000000*((325/250)+0.8)</f>
        <v>11497706.073000001</v>
      </c>
      <c r="T67">
        <f t="shared" ref="T67:T130" si="37">MIN(F67,C67)*1000000*((280/250)+0.7)</f>
        <v>-120195003.41940001</v>
      </c>
      <c r="U67">
        <f t="shared" ref="U67:U130" si="38">MIN(G67,C67)*1000000*((227.5/250)+0.6)</f>
        <v>-207711854.39970005</v>
      </c>
      <c r="V67">
        <f t="shared" ref="V67:V130" si="39">MIN(H67,C67)*1000000*((142.5/250)+0.5)</f>
        <v>-223708996.24889997</v>
      </c>
      <c r="W67">
        <f t="shared" ref="W67:W130" si="40">MIN(I67,C67)*1000000*((142.5/250)+0.5)</f>
        <v>-300231446.6649</v>
      </c>
      <c r="X67">
        <f t="shared" ref="X67:X130" si="41">MIN(J67,C67)*1000000*( (117.5/250)+0.4)</f>
        <v>-306332607.90689999</v>
      </c>
      <c r="Z67">
        <f t="shared" ref="Z67:Z130" si="42">MIN(C67,D67)*1000000*((370/250)+0.8)</f>
        <v>12483223.736400001</v>
      </c>
      <c r="AA67">
        <f t="shared" ref="AA67:AA130" si="43">MIN(C67,F67)*1000000*((330/250)+0.7)</f>
        <v>-133403245.55340001</v>
      </c>
      <c r="AB67">
        <f t="shared" ref="AB67:AB130" si="44">MIN(C67,G67)*1000000*((260/250)+0.6)</f>
        <v>-225594331.93080005</v>
      </c>
      <c r="AC67">
        <f t="shared" ref="AC67:AC130" si="45">MIN(C67,H67)*1000000*((215/250)+0.5)</f>
        <v>-284340406.4472</v>
      </c>
      <c r="AD67">
        <f t="shared" ref="AD67:AD130" si="46">MIN(C67,I67)*1000000*((180/250)+0.5)</f>
        <v>-342319967.22540003</v>
      </c>
      <c r="AE67">
        <f t="shared" ref="AE67:AE130" si="47">MIN(C67,J67)*1000000*((145/250)+0.4)</f>
        <v>-345064316.9526</v>
      </c>
    </row>
    <row r="68" spans="1:31" x14ac:dyDescent="0.25">
      <c r="A68">
        <v>20.776631089999999</v>
      </c>
      <c r="B68">
        <v>108.6308198</v>
      </c>
      <c r="C68">
        <v>47.949611660000002</v>
      </c>
      <c r="D68">
        <v>2.4486129299999999</v>
      </c>
      <c r="E68" t="b">
        <f t="shared" si="24"/>
        <v>0</v>
      </c>
      <c r="F68">
        <f t="shared" si="25"/>
        <v>-237.29944537000003</v>
      </c>
      <c r="G68">
        <f t="shared" si="26"/>
        <v>-477.04750367000003</v>
      </c>
      <c r="H68">
        <f t="shared" si="27"/>
        <v>-716.79556197000011</v>
      </c>
      <c r="I68">
        <f t="shared" si="28"/>
        <v>-956.54362027000013</v>
      </c>
      <c r="J68">
        <f t="shared" si="29"/>
        <v>-1196.2916785699999</v>
      </c>
      <c r="L68">
        <f t="shared" si="30"/>
        <v>4701336.8256000001</v>
      </c>
      <c r="M68">
        <f t="shared" si="31"/>
        <v>-384425101.49940008</v>
      </c>
      <c r="N68">
        <f t="shared" si="32"/>
        <v>-658325555.06459999</v>
      </c>
      <c r="O68">
        <f t="shared" si="33"/>
        <v>-731131473.20940018</v>
      </c>
      <c r="P68">
        <f t="shared" si="34"/>
        <v>-880020130.64840007</v>
      </c>
      <c r="Q68">
        <f t="shared" si="35"/>
        <v>-909181675.71319997</v>
      </c>
      <c r="S68">
        <f t="shared" si="36"/>
        <v>5142087.1529999999</v>
      </c>
      <c r="T68">
        <f t="shared" si="37"/>
        <v>-431884990.57340008</v>
      </c>
      <c r="U68">
        <f t="shared" si="38"/>
        <v>-720341730.54170001</v>
      </c>
      <c r="V68">
        <f t="shared" si="39"/>
        <v>-766971251.30790007</v>
      </c>
      <c r="W68">
        <f t="shared" si="40"/>
        <v>-1023501673.6889</v>
      </c>
      <c r="X68">
        <f t="shared" si="41"/>
        <v>-1040773760.3558999</v>
      </c>
      <c r="Z68">
        <f t="shared" si="42"/>
        <v>5582837.4803999998</v>
      </c>
      <c r="AA68">
        <f t="shared" si="43"/>
        <v>-479344879.64740008</v>
      </c>
      <c r="AB68">
        <f t="shared" si="44"/>
        <v>-782357906.01880014</v>
      </c>
      <c r="AC68">
        <f t="shared" si="45"/>
        <v>-974841964.27920008</v>
      </c>
      <c r="AD68">
        <f t="shared" si="46"/>
        <v>-1166983216.7294002</v>
      </c>
      <c r="AE68">
        <f t="shared" si="47"/>
        <v>-1172365844.9986</v>
      </c>
    </row>
    <row r="69" spans="1:31" x14ac:dyDescent="0.25">
      <c r="A69">
        <v>20.78138345</v>
      </c>
      <c r="B69">
        <v>115.8776597</v>
      </c>
      <c r="C69">
        <v>0.133022</v>
      </c>
      <c r="D69">
        <v>2.3789880299999999</v>
      </c>
      <c r="E69" t="b">
        <f t="shared" si="24"/>
        <v>1</v>
      </c>
      <c r="F69">
        <f t="shared" si="25"/>
        <v>1.7138780300000001</v>
      </c>
      <c r="G69">
        <f t="shared" si="26"/>
        <v>1.04876803</v>
      </c>
      <c r="H69">
        <f t="shared" si="27"/>
        <v>0.38365802999999987</v>
      </c>
      <c r="I69">
        <f t="shared" si="28"/>
        <v>-0.28145197</v>
      </c>
      <c r="J69">
        <f t="shared" si="29"/>
        <v>-0.94656197000000031</v>
      </c>
      <c r="L69">
        <f t="shared" si="30"/>
        <v>255402.24000000002</v>
      </c>
      <c r="M69">
        <f t="shared" si="31"/>
        <v>215495.64</v>
      </c>
      <c r="N69">
        <f t="shared" si="32"/>
        <v>183570.36</v>
      </c>
      <c r="O69">
        <f t="shared" si="33"/>
        <v>135682.44</v>
      </c>
      <c r="P69">
        <f t="shared" si="34"/>
        <v>-258935.81239999997</v>
      </c>
      <c r="Q69">
        <f t="shared" si="35"/>
        <v>-719387.09720000031</v>
      </c>
      <c r="S69">
        <f t="shared" si="36"/>
        <v>279346.2</v>
      </c>
      <c r="T69">
        <f t="shared" si="37"/>
        <v>242100.04</v>
      </c>
      <c r="U69">
        <f t="shared" si="38"/>
        <v>200863.22</v>
      </c>
      <c r="V69">
        <f t="shared" si="39"/>
        <v>142333.53999999998</v>
      </c>
      <c r="W69">
        <f t="shared" si="40"/>
        <v>-301153.60789999994</v>
      </c>
      <c r="X69">
        <f t="shared" si="41"/>
        <v>-823508.91390000028</v>
      </c>
      <c r="Z69">
        <f t="shared" si="42"/>
        <v>303290.16000000003</v>
      </c>
      <c r="AA69">
        <f t="shared" si="43"/>
        <v>268704.44</v>
      </c>
      <c r="AB69">
        <f t="shared" si="44"/>
        <v>218156.08000000002</v>
      </c>
      <c r="AC69">
        <f t="shared" si="45"/>
        <v>180909.91999999998</v>
      </c>
      <c r="AD69">
        <f t="shared" si="46"/>
        <v>-343371.40339999995</v>
      </c>
      <c r="AE69">
        <f t="shared" si="47"/>
        <v>-927630.73060000024</v>
      </c>
    </row>
    <row r="70" spans="1:31" x14ac:dyDescent="0.25">
      <c r="A70">
        <v>20.79485957</v>
      </c>
      <c r="B70">
        <v>115.7366122</v>
      </c>
      <c r="C70">
        <v>0.26920399</v>
      </c>
      <c r="D70">
        <v>34.136104580000001</v>
      </c>
      <c r="E70" t="b">
        <f t="shared" si="24"/>
        <v>1</v>
      </c>
      <c r="F70">
        <f t="shared" si="25"/>
        <v>32.790084630000003</v>
      </c>
      <c r="G70">
        <f t="shared" si="26"/>
        <v>31.44406468</v>
      </c>
      <c r="H70">
        <f t="shared" si="27"/>
        <v>30.098044730000002</v>
      </c>
      <c r="I70">
        <f t="shared" si="28"/>
        <v>28.752024779999999</v>
      </c>
      <c r="J70">
        <f t="shared" si="29"/>
        <v>27.406004830000001</v>
      </c>
      <c r="L70">
        <f t="shared" si="30"/>
        <v>516871.66080000001</v>
      </c>
      <c r="M70">
        <f t="shared" si="31"/>
        <v>436110.46380000003</v>
      </c>
      <c r="N70">
        <f t="shared" si="32"/>
        <v>371501.50619999995</v>
      </c>
      <c r="O70">
        <f t="shared" si="33"/>
        <v>274588.0698</v>
      </c>
      <c r="P70">
        <f t="shared" si="34"/>
        <v>247667.67079999996</v>
      </c>
      <c r="Q70">
        <f t="shared" si="35"/>
        <v>204595.0324</v>
      </c>
      <c r="S70">
        <f t="shared" si="36"/>
        <v>565328.37899999996</v>
      </c>
      <c r="T70">
        <f t="shared" si="37"/>
        <v>489951.26179999998</v>
      </c>
      <c r="U70">
        <f t="shared" si="38"/>
        <v>406498.02489999996</v>
      </c>
      <c r="V70">
        <f t="shared" si="39"/>
        <v>288048.26929999993</v>
      </c>
      <c r="W70">
        <f t="shared" si="40"/>
        <v>288048.26929999993</v>
      </c>
      <c r="X70">
        <f t="shared" si="41"/>
        <v>234207.4713</v>
      </c>
      <c r="Z70">
        <f t="shared" si="42"/>
        <v>613785.09720000008</v>
      </c>
      <c r="AA70">
        <f t="shared" si="43"/>
        <v>543792.05979999993</v>
      </c>
      <c r="AB70">
        <f t="shared" si="44"/>
        <v>441494.54360000003</v>
      </c>
      <c r="AC70">
        <f t="shared" si="45"/>
        <v>366117.42639999994</v>
      </c>
      <c r="AD70">
        <f t="shared" si="46"/>
        <v>328428.86780000001</v>
      </c>
      <c r="AE70">
        <f t="shared" si="47"/>
        <v>263819.91019999998</v>
      </c>
    </row>
    <row r="71" spans="1:31" x14ac:dyDescent="0.25">
      <c r="A71">
        <v>20.807174379999999</v>
      </c>
      <c r="B71">
        <v>114.5984004</v>
      </c>
      <c r="C71">
        <v>1.47978199</v>
      </c>
      <c r="D71">
        <v>0.30117898999999998</v>
      </c>
      <c r="E71" t="b">
        <f t="shared" si="24"/>
        <v>0</v>
      </c>
      <c r="F71">
        <f t="shared" si="25"/>
        <v>-7.0977309599999998</v>
      </c>
      <c r="G71">
        <f t="shared" si="26"/>
        <v>-14.49664091</v>
      </c>
      <c r="H71">
        <f t="shared" si="27"/>
        <v>-21.89555086</v>
      </c>
      <c r="I71">
        <f t="shared" si="28"/>
        <v>-29.29446081</v>
      </c>
      <c r="J71">
        <f t="shared" si="29"/>
        <v>-36.693370760000001</v>
      </c>
      <c r="L71">
        <f t="shared" si="30"/>
        <v>578263.66080000007</v>
      </c>
      <c r="M71">
        <f t="shared" si="31"/>
        <v>-11498324.155200001</v>
      </c>
      <c r="N71">
        <f t="shared" si="32"/>
        <v>-20005364.455799997</v>
      </c>
      <c r="O71">
        <f t="shared" si="33"/>
        <v>-22333461.8772</v>
      </c>
      <c r="P71">
        <f t="shared" si="34"/>
        <v>-26950903.945199996</v>
      </c>
      <c r="Q71">
        <f t="shared" si="35"/>
        <v>-27886961.777599998</v>
      </c>
      <c r="S71">
        <f t="shared" si="36"/>
        <v>632475.87899999996</v>
      </c>
      <c r="T71">
        <f t="shared" si="37"/>
        <v>-12917870.347200001</v>
      </c>
      <c r="U71">
        <f t="shared" si="38"/>
        <v>-21889927.774100002</v>
      </c>
      <c r="V71">
        <f t="shared" si="39"/>
        <v>-23428239.420199998</v>
      </c>
      <c r="W71">
        <f t="shared" si="40"/>
        <v>-31345073.066699993</v>
      </c>
      <c r="X71">
        <f t="shared" si="41"/>
        <v>-31923232.561199997</v>
      </c>
      <c r="Z71">
        <f t="shared" si="42"/>
        <v>686688.09720000008</v>
      </c>
      <c r="AA71">
        <f t="shared" si="43"/>
        <v>-14337416.5392</v>
      </c>
      <c r="AB71">
        <f t="shared" si="44"/>
        <v>-23774491.092400003</v>
      </c>
      <c r="AC71">
        <f t="shared" si="45"/>
        <v>-29777949.169599995</v>
      </c>
      <c r="AD71">
        <f t="shared" si="46"/>
        <v>-35739242.188199997</v>
      </c>
      <c r="AE71">
        <f t="shared" si="47"/>
        <v>-35959503.344799995</v>
      </c>
    </row>
    <row r="72" spans="1:31" x14ac:dyDescent="0.25">
      <c r="A72">
        <v>20.811103930000002</v>
      </c>
      <c r="B72">
        <v>114.5513168</v>
      </c>
      <c r="C72">
        <v>1.05698705</v>
      </c>
      <c r="D72">
        <v>6.4643378299999998</v>
      </c>
      <c r="E72" t="b">
        <f t="shared" si="24"/>
        <v>1</v>
      </c>
      <c r="F72">
        <f t="shared" si="25"/>
        <v>1.1794025799999996</v>
      </c>
      <c r="G72">
        <f t="shared" si="26"/>
        <v>-4.1055326700000006</v>
      </c>
      <c r="H72">
        <f t="shared" si="27"/>
        <v>-9.3904679200000007</v>
      </c>
      <c r="I72">
        <f t="shared" si="28"/>
        <v>-14.675403170000001</v>
      </c>
      <c r="J72">
        <f t="shared" si="29"/>
        <v>-19.960338419999999</v>
      </c>
      <c r="L72">
        <f t="shared" si="30"/>
        <v>2029415.1360000002</v>
      </c>
      <c r="M72">
        <f t="shared" si="31"/>
        <v>1712319.0210000002</v>
      </c>
      <c r="N72">
        <f t="shared" si="32"/>
        <v>-5665635.0845999997</v>
      </c>
      <c r="O72">
        <f t="shared" si="33"/>
        <v>-9578277.2784000002</v>
      </c>
      <c r="P72">
        <f t="shared" si="34"/>
        <v>-13501370.9164</v>
      </c>
      <c r="Q72">
        <f t="shared" si="35"/>
        <v>-15169857.199199999</v>
      </c>
      <c r="S72">
        <f t="shared" si="36"/>
        <v>2219672.8050000002</v>
      </c>
      <c r="T72">
        <f t="shared" si="37"/>
        <v>1923716.4310000001</v>
      </c>
      <c r="U72">
        <f t="shared" si="38"/>
        <v>-6199354.3317000009</v>
      </c>
      <c r="V72">
        <f t="shared" si="39"/>
        <v>-10047800.674399998</v>
      </c>
      <c r="W72">
        <f t="shared" si="40"/>
        <v>-15702681.391899999</v>
      </c>
      <c r="X72">
        <f t="shared" si="41"/>
        <v>-17365494.4254</v>
      </c>
      <c r="Z72">
        <f t="shared" si="42"/>
        <v>2409930.4740000004</v>
      </c>
      <c r="AA72">
        <f t="shared" si="43"/>
        <v>2135113.841</v>
      </c>
      <c r="AB72">
        <f t="shared" si="44"/>
        <v>-6733073.5788000012</v>
      </c>
      <c r="AC72">
        <f t="shared" si="45"/>
        <v>-12771036.371199999</v>
      </c>
      <c r="AD72">
        <f t="shared" si="46"/>
        <v>-17903991.867400002</v>
      </c>
      <c r="AE72">
        <f t="shared" si="47"/>
        <v>-19561131.6516</v>
      </c>
    </row>
    <row r="73" spans="1:31" x14ac:dyDescent="0.25">
      <c r="A73">
        <v>20.81207362</v>
      </c>
      <c r="B73">
        <v>108.962874</v>
      </c>
      <c r="C73">
        <v>54.29629517</v>
      </c>
      <c r="D73">
        <v>3.1660559199999998</v>
      </c>
      <c r="E73" t="b">
        <f t="shared" si="24"/>
        <v>0</v>
      </c>
      <c r="F73">
        <f t="shared" si="25"/>
        <v>-268.31541992999996</v>
      </c>
      <c r="G73">
        <f t="shared" si="26"/>
        <v>-539.79689578</v>
      </c>
      <c r="H73">
        <f t="shared" si="27"/>
        <v>-811.27837163000004</v>
      </c>
      <c r="I73">
        <f t="shared" si="28"/>
        <v>-1082.75984748</v>
      </c>
      <c r="J73">
        <f t="shared" si="29"/>
        <v>-1354.2413233300001</v>
      </c>
      <c r="L73">
        <f t="shared" si="30"/>
        <v>6078827.3664000006</v>
      </c>
      <c r="M73">
        <f t="shared" si="31"/>
        <v>-434670980.28659993</v>
      </c>
      <c r="N73">
        <f t="shared" si="32"/>
        <v>-744919716.17639995</v>
      </c>
      <c r="O73">
        <f t="shared" si="33"/>
        <v>-827503939.06260002</v>
      </c>
      <c r="P73">
        <f t="shared" si="34"/>
        <v>-996139059.68159997</v>
      </c>
      <c r="Q73">
        <f t="shared" si="35"/>
        <v>-1029223405.7308002</v>
      </c>
      <c r="S73">
        <f t="shared" si="36"/>
        <v>6648717.432</v>
      </c>
      <c r="T73">
        <f t="shared" si="37"/>
        <v>-488334064.27259994</v>
      </c>
      <c r="U73">
        <f t="shared" si="38"/>
        <v>-815093312.62779999</v>
      </c>
      <c r="V73">
        <f t="shared" si="39"/>
        <v>-868067857.64409983</v>
      </c>
      <c r="W73">
        <f t="shared" si="40"/>
        <v>-1158553036.8035998</v>
      </c>
      <c r="X73">
        <f t="shared" si="41"/>
        <v>-1178189951.2971001</v>
      </c>
      <c r="Z73">
        <f t="shared" si="42"/>
        <v>7218607.4976000004</v>
      </c>
      <c r="AA73">
        <f t="shared" si="43"/>
        <v>-541997148.25859988</v>
      </c>
      <c r="AB73">
        <f t="shared" si="44"/>
        <v>-885266909.07920003</v>
      </c>
      <c r="AC73">
        <f t="shared" si="45"/>
        <v>-1103338585.4167998</v>
      </c>
      <c r="AD73">
        <f t="shared" si="46"/>
        <v>-1320967013.9256001</v>
      </c>
      <c r="AE73">
        <f t="shared" si="47"/>
        <v>-1327156496.8634002</v>
      </c>
    </row>
    <row r="74" spans="1:31" x14ac:dyDescent="0.25">
      <c r="A74">
        <v>20.81342214</v>
      </c>
      <c r="B74">
        <v>108.9156251</v>
      </c>
      <c r="C74">
        <v>112.03169250000001</v>
      </c>
      <c r="D74">
        <v>31.298168180000001</v>
      </c>
      <c r="E74" t="b">
        <f t="shared" si="24"/>
        <v>0</v>
      </c>
      <c r="F74">
        <f t="shared" si="25"/>
        <v>-528.86029432000009</v>
      </c>
      <c r="G74">
        <f t="shared" si="26"/>
        <v>-1089.0187568200001</v>
      </c>
      <c r="H74">
        <f t="shared" si="27"/>
        <v>-1649.1772193200002</v>
      </c>
      <c r="I74">
        <f t="shared" si="28"/>
        <v>-2209.33568182</v>
      </c>
      <c r="J74">
        <f t="shared" si="29"/>
        <v>-2769.49414432</v>
      </c>
      <c r="L74">
        <f t="shared" si="30"/>
        <v>60092482.905600004</v>
      </c>
      <c r="M74">
        <f t="shared" si="31"/>
        <v>-856753676.79840028</v>
      </c>
      <c r="N74">
        <f t="shared" si="32"/>
        <v>-1502845884.4116001</v>
      </c>
      <c r="O74">
        <f t="shared" si="33"/>
        <v>-1682160763.7064002</v>
      </c>
      <c r="P74">
        <f t="shared" si="34"/>
        <v>-2032588827.2744</v>
      </c>
      <c r="Q74">
        <f t="shared" si="35"/>
        <v>-2104815549.6832001</v>
      </c>
      <c r="S74">
        <f t="shared" si="36"/>
        <v>65726153.178000003</v>
      </c>
      <c r="T74">
        <f t="shared" si="37"/>
        <v>-962525735.66240025</v>
      </c>
      <c r="U74">
        <f t="shared" si="38"/>
        <v>-1644418322.7982004</v>
      </c>
      <c r="V74">
        <f t="shared" si="39"/>
        <v>-1764619624.6724</v>
      </c>
      <c r="W74">
        <f t="shared" si="40"/>
        <v>-2363989179.5474</v>
      </c>
      <c r="X74">
        <f t="shared" si="41"/>
        <v>-2409459905.5584002</v>
      </c>
      <c r="Z74">
        <f t="shared" si="42"/>
        <v>71359823.45040001</v>
      </c>
      <c r="AA74">
        <f t="shared" si="43"/>
        <v>-1068297794.5264002</v>
      </c>
      <c r="AB74">
        <f t="shared" si="44"/>
        <v>-1785990761.1848004</v>
      </c>
      <c r="AC74">
        <f t="shared" si="45"/>
        <v>-2242881018.2751999</v>
      </c>
      <c r="AD74">
        <f t="shared" si="46"/>
        <v>-2695389531.8204002</v>
      </c>
      <c r="AE74">
        <f t="shared" si="47"/>
        <v>-2714104261.4335999</v>
      </c>
    </row>
    <row r="75" spans="1:31" x14ac:dyDescent="0.25">
      <c r="A75">
        <v>20.814748999999999</v>
      </c>
      <c r="B75">
        <v>108.86837490000001</v>
      </c>
      <c r="C75">
        <v>100.2393112</v>
      </c>
      <c r="D75">
        <v>3.95205998</v>
      </c>
      <c r="E75" t="b">
        <f t="shared" si="24"/>
        <v>0</v>
      </c>
      <c r="F75">
        <f t="shared" si="25"/>
        <v>-497.24449601999999</v>
      </c>
      <c r="G75">
        <f t="shared" si="26"/>
        <v>-998.44105202000003</v>
      </c>
      <c r="H75">
        <f t="shared" si="27"/>
        <v>-1499.63760802</v>
      </c>
      <c r="I75">
        <f t="shared" si="28"/>
        <v>-2000.8341640199999</v>
      </c>
      <c r="J75">
        <f t="shared" si="29"/>
        <v>-2502.0307200200004</v>
      </c>
      <c r="L75">
        <f t="shared" si="30"/>
        <v>7587955.1616000002</v>
      </c>
      <c r="M75">
        <f t="shared" si="31"/>
        <v>-805536083.55239999</v>
      </c>
      <c r="N75">
        <f t="shared" si="32"/>
        <v>-1377848651.7875998</v>
      </c>
      <c r="O75">
        <f t="shared" si="33"/>
        <v>-1529630360.1803999</v>
      </c>
      <c r="P75">
        <f t="shared" si="34"/>
        <v>-1840767430.8983998</v>
      </c>
      <c r="Q75">
        <f t="shared" si="35"/>
        <v>-1901543347.2152004</v>
      </c>
      <c r="S75">
        <f t="shared" si="36"/>
        <v>8299325.9580000006</v>
      </c>
      <c r="T75">
        <f t="shared" si="37"/>
        <v>-904984982.75639999</v>
      </c>
      <c r="U75">
        <f t="shared" si="38"/>
        <v>-1507645988.5502</v>
      </c>
      <c r="V75">
        <f t="shared" si="39"/>
        <v>-1604612240.5813997</v>
      </c>
      <c r="W75">
        <f t="shared" si="40"/>
        <v>-2140892555.5013998</v>
      </c>
      <c r="X75">
        <f t="shared" si="41"/>
        <v>-2176766726.4174004</v>
      </c>
      <c r="Z75">
        <f t="shared" si="42"/>
        <v>9010696.7544000018</v>
      </c>
      <c r="AA75">
        <f t="shared" si="43"/>
        <v>-1004433881.9604</v>
      </c>
      <c r="AB75">
        <f t="shared" si="44"/>
        <v>-1637443325.3128002</v>
      </c>
      <c r="AC75">
        <f t="shared" si="45"/>
        <v>-2039507146.9071999</v>
      </c>
      <c r="AD75">
        <f t="shared" si="46"/>
        <v>-2441017680.1044002</v>
      </c>
      <c r="AE75">
        <f t="shared" si="47"/>
        <v>-2451990105.6196003</v>
      </c>
    </row>
    <row r="76" spans="1:31" x14ac:dyDescent="0.25">
      <c r="A76">
        <v>20.8160542</v>
      </c>
      <c r="B76">
        <v>108.8211233</v>
      </c>
      <c r="C76">
        <v>100.2393112</v>
      </c>
      <c r="D76">
        <v>8.4183301900000007</v>
      </c>
      <c r="E76" t="b">
        <f t="shared" si="24"/>
        <v>0</v>
      </c>
      <c r="F76">
        <f t="shared" si="25"/>
        <v>-492.77822580999998</v>
      </c>
      <c r="G76">
        <f t="shared" si="26"/>
        <v>-993.97478180999997</v>
      </c>
      <c r="H76">
        <f t="shared" si="27"/>
        <v>-1495.1713378100001</v>
      </c>
      <c r="I76">
        <f t="shared" si="28"/>
        <v>-1996.3678938099999</v>
      </c>
      <c r="J76">
        <f t="shared" si="29"/>
        <v>-2497.5644498100005</v>
      </c>
      <c r="L76">
        <f t="shared" si="30"/>
        <v>16163193.964800004</v>
      </c>
      <c r="M76">
        <f t="shared" si="31"/>
        <v>-798300725.81220007</v>
      </c>
      <c r="N76">
        <f t="shared" si="32"/>
        <v>-1371685198.8977997</v>
      </c>
      <c r="O76">
        <f t="shared" si="33"/>
        <v>-1525074764.5662003</v>
      </c>
      <c r="P76">
        <f t="shared" si="34"/>
        <v>-1836658462.3051999</v>
      </c>
      <c r="Q76">
        <f t="shared" si="35"/>
        <v>-1898148981.8556004</v>
      </c>
      <c r="S76">
        <f t="shared" si="36"/>
        <v>17678493.399000004</v>
      </c>
      <c r="T76">
        <f t="shared" si="37"/>
        <v>-896856370.97420001</v>
      </c>
      <c r="U76">
        <f t="shared" si="38"/>
        <v>-1500901920.5330999</v>
      </c>
      <c r="V76">
        <f t="shared" si="39"/>
        <v>-1599833331.4566998</v>
      </c>
      <c r="W76">
        <f t="shared" si="40"/>
        <v>-2136113646.3766997</v>
      </c>
      <c r="X76">
        <f t="shared" si="41"/>
        <v>-2172881071.3347006</v>
      </c>
      <c r="Z76">
        <f t="shared" si="42"/>
        <v>19193792.833200004</v>
      </c>
      <c r="AA76">
        <f t="shared" si="43"/>
        <v>-995412016.13620007</v>
      </c>
      <c r="AB76">
        <f t="shared" si="44"/>
        <v>-1630118642.1684</v>
      </c>
      <c r="AC76">
        <f t="shared" si="45"/>
        <v>-2033433019.4216001</v>
      </c>
      <c r="AD76">
        <f t="shared" si="46"/>
        <v>-2435568830.4481997</v>
      </c>
      <c r="AE76">
        <f t="shared" si="47"/>
        <v>-2447613160.8138003</v>
      </c>
    </row>
    <row r="77" spans="1:31" x14ac:dyDescent="0.25">
      <c r="A77">
        <v>20.817337729999998</v>
      </c>
      <c r="B77">
        <v>108.7738703</v>
      </c>
      <c r="C77">
        <v>29.236465450000001</v>
      </c>
      <c r="D77">
        <v>1.4691679499999999</v>
      </c>
      <c r="E77" t="b">
        <f t="shared" si="24"/>
        <v>0</v>
      </c>
      <c r="F77">
        <f t="shared" si="25"/>
        <v>-144.7131593</v>
      </c>
      <c r="G77">
        <f t="shared" si="26"/>
        <v>-290.89548655000004</v>
      </c>
      <c r="H77">
        <f t="shared" si="27"/>
        <v>-437.0778138</v>
      </c>
      <c r="I77">
        <f t="shared" si="28"/>
        <v>-583.26014105000002</v>
      </c>
      <c r="J77">
        <f t="shared" si="29"/>
        <v>-729.44246829999997</v>
      </c>
      <c r="L77">
        <f t="shared" si="30"/>
        <v>2820802.4640000002</v>
      </c>
      <c r="M77">
        <f t="shared" si="31"/>
        <v>-234435318.06600004</v>
      </c>
      <c r="N77">
        <f t="shared" si="32"/>
        <v>-401435771.43900007</v>
      </c>
      <c r="O77">
        <f t="shared" si="33"/>
        <v>-445819370.07600003</v>
      </c>
      <c r="P77">
        <f t="shared" si="34"/>
        <v>-536599329.76600003</v>
      </c>
      <c r="Q77">
        <f t="shared" si="35"/>
        <v>-554376275.90799999</v>
      </c>
      <c r="S77">
        <f t="shared" si="36"/>
        <v>3085252.6949999998</v>
      </c>
      <c r="T77">
        <f t="shared" si="37"/>
        <v>-263377949.92600003</v>
      </c>
      <c r="U77">
        <f t="shared" si="38"/>
        <v>-439252184.69050014</v>
      </c>
      <c r="V77">
        <f t="shared" si="39"/>
        <v>-467673260.76599991</v>
      </c>
      <c r="W77">
        <f t="shared" si="40"/>
        <v>-624088350.92349994</v>
      </c>
      <c r="X77">
        <f t="shared" si="41"/>
        <v>-634614947.421</v>
      </c>
      <c r="Z77">
        <f t="shared" si="42"/>
        <v>3349702.9260000004</v>
      </c>
      <c r="AA77">
        <f t="shared" si="43"/>
        <v>-292320581.78600001</v>
      </c>
      <c r="AB77">
        <f t="shared" si="44"/>
        <v>-477068597.94200015</v>
      </c>
      <c r="AC77">
        <f t="shared" si="45"/>
        <v>-594425826.76800001</v>
      </c>
      <c r="AD77">
        <f t="shared" si="46"/>
        <v>-711577372.08100009</v>
      </c>
      <c r="AE77">
        <f t="shared" si="47"/>
        <v>-714853618.9339999</v>
      </c>
    </row>
    <row r="78" spans="1:31" x14ac:dyDescent="0.25">
      <c r="A78">
        <v>20.818599590000002</v>
      </c>
      <c r="B78">
        <v>108.7266161</v>
      </c>
      <c r="C78">
        <v>51.804744720000002</v>
      </c>
      <c r="D78">
        <v>5.9134001700000001</v>
      </c>
      <c r="E78" t="b">
        <f t="shared" si="24"/>
        <v>0</v>
      </c>
      <c r="F78">
        <f t="shared" si="25"/>
        <v>-253.11032343000005</v>
      </c>
      <c r="G78">
        <f t="shared" si="26"/>
        <v>-512.13404703000003</v>
      </c>
      <c r="H78">
        <f t="shared" si="27"/>
        <v>-771.15777062999996</v>
      </c>
      <c r="I78">
        <f t="shared" si="28"/>
        <v>-1030.1814942300002</v>
      </c>
      <c r="J78">
        <f t="shared" si="29"/>
        <v>-1289.20521783</v>
      </c>
      <c r="L78">
        <f t="shared" si="30"/>
        <v>11353728.326400001</v>
      </c>
      <c r="M78">
        <f t="shared" si="31"/>
        <v>-410038723.95660007</v>
      </c>
      <c r="N78">
        <f t="shared" si="32"/>
        <v>-706744984.90139997</v>
      </c>
      <c r="O78">
        <f t="shared" si="33"/>
        <v>-786580926.04260004</v>
      </c>
      <c r="P78">
        <f t="shared" si="34"/>
        <v>-947766974.6916002</v>
      </c>
      <c r="Q78">
        <f t="shared" si="35"/>
        <v>-979795965.55079997</v>
      </c>
      <c r="S78">
        <f t="shared" si="36"/>
        <v>12418140.357000001</v>
      </c>
      <c r="T78">
        <f t="shared" si="37"/>
        <v>-460660788.64260006</v>
      </c>
      <c r="U78">
        <f t="shared" si="38"/>
        <v>-773322411.01530004</v>
      </c>
      <c r="V78">
        <f t="shared" si="39"/>
        <v>-825138814.5740999</v>
      </c>
      <c r="W78">
        <f t="shared" si="40"/>
        <v>-1102294198.8261001</v>
      </c>
      <c r="X78">
        <f t="shared" si="41"/>
        <v>-1121608539.5121</v>
      </c>
      <c r="Z78">
        <f t="shared" si="42"/>
        <v>13482552.387600001</v>
      </c>
      <c r="AA78">
        <f t="shared" si="43"/>
        <v>-511282853.32860011</v>
      </c>
      <c r="AB78">
        <f t="shared" si="44"/>
        <v>-839899837.1292001</v>
      </c>
      <c r="AC78">
        <f t="shared" si="45"/>
        <v>-1048774568.0567999</v>
      </c>
      <c r="AD78">
        <f t="shared" si="46"/>
        <v>-1256821422.9606004</v>
      </c>
      <c r="AE78">
        <f t="shared" si="47"/>
        <v>-1263421113.4733999</v>
      </c>
    </row>
    <row r="79" spans="1:31" x14ac:dyDescent="0.25">
      <c r="A79">
        <v>20.819839779999999</v>
      </c>
      <c r="B79">
        <v>108.6793605</v>
      </c>
      <c r="C79">
        <v>100.2393112</v>
      </c>
      <c r="D79">
        <v>2.44861197</v>
      </c>
      <c r="E79" t="b">
        <f t="shared" si="24"/>
        <v>0</v>
      </c>
      <c r="F79">
        <f t="shared" si="25"/>
        <v>-498.74794402999999</v>
      </c>
      <c r="G79">
        <f t="shared" si="26"/>
        <v>-999.94450002999997</v>
      </c>
      <c r="H79">
        <f t="shared" si="27"/>
        <v>-1501.1410560300001</v>
      </c>
      <c r="I79">
        <f t="shared" si="28"/>
        <v>-2002.3376120299999</v>
      </c>
      <c r="J79">
        <f t="shared" si="29"/>
        <v>-2503.5341680300003</v>
      </c>
      <c r="L79">
        <f t="shared" si="30"/>
        <v>4701334.9824000001</v>
      </c>
      <c r="M79">
        <f t="shared" si="31"/>
        <v>-807971669.32860005</v>
      </c>
      <c r="N79">
        <f t="shared" si="32"/>
        <v>-1379923410.0414</v>
      </c>
      <c r="O79">
        <f t="shared" si="33"/>
        <v>-1531163877.1506</v>
      </c>
      <c r="P79">
        <f t="shared" si="34"/>
        <v>-1842150603.0675998</v>
      </c>
      <c r="Q79">
        <f t="shared" si="35"/>
        <v>-1902685967.7028003</v>
      </c>
      <c r="S79">
        <f t="shared" si="36"/>
        <v>5142085.1370000001</v>
      </c>
      <c r="T79">
        <f t="shared" si="37"/>
        <v>-907721258.13459992</v>
      </c>
      <c r="U79">
        <f t="shared" si="38"/>
        <v>-1509916195.0453</v>
      </c>
      <c r="V79">
        <f t="shared" si="39"/>
        <v>-1606220929.9520998</v>
      </c>
      <c r="W79">
        <f t="shared" si="40"/>
        <v>-2142501244.8720996</v>
      </c>
      <c r="X79">
        <f t="shared" si="41"/>
        <v>-2178074726.1861</v>
      </c>
      <c r="Z79">
        <f t="shared" si="42"/>
        <v>5582835.2916000001</v>
      </c>
      <c r="AA79">
        <f t="shared" si="43"/>
        <v>-1007470846.9405999</v>
      </c>
      <c r="AB79">
        <f t="shared" si="44"/>
        <v>-1639908980.0492001</v>
      </c>
      <c r="AC79">
        <f t="shared" si="45"/>
        <v>-2041551836.2007997</v>
      </c>
      <c r="AD79">
        <f t="shared" si="46"/>
        <v>-2442851886.6766</v>
      </c>
      <c r="AE79">
        <f t="shared" si="47"/>
        <v>-2453463484.6694002</v>
      </c>
    </row>
    <row r="80" spans="1:31" x14ac:dyDescent="0.25">
      <c r="A80">
        <v>20.821058300000001</v>
      </c>
      <c r="B80">
        <v>108.63210359999999</v>
      </c>
      <c r="C80">
        <v>60.92937088</v>
      </c>
      <c r="D80">
        <v>9.0353813200000008</v>
      </c>
      <c r="E80" t="b">
        <f t="shared" si="24"/>
        <v>0</v>
      </c>
      <c r="F80">
        <f t="shared" si="25"/>
        <v>-295.61147308</v>
      </c>
      <c r="G80">
        <f t="shared" si="26"/>
        <v>-600.25832747999993</v>
      </c>
      <c r="H80">
        <f t="shared" si="27"/>
        <v>-904.90518187999999</v>
      </c>
      <c r="I80">
        <f t="shared" si="28"/>
        <v>-1209.55203628</v>
      </c>
      <c r="J80">
        <f t="shared" si="29"/>
        <v>-1514.19889068</v>
      </c>
      <c r="L80">
        <f t="shared" si="30"/>
        <v>17347932.134400003</v>
      </c>
      <c r="M80">
        <f t="shared" si="31"/>
        <v>-478890586.38959998</v>
      </c>
      <c r="N80">
        <f t="shared" si="32"/>
        <v>-828356491.92239976</v>
      </c>
      <c r="O80">
        <f t="shared" si="33"/>
        <v>-923003285.51760006</v>
      </c>
      <c r="P80">
        <f t="shared" si="34"/>
        <v>-1112787873.3776</v>
      </c>
      <c r="Q80">
        <f t="shared" si="35"/>
        <v>-1150791156.9168</v>
      </c>
      <c r="S80">
        <f t="shared" si="36"/>
        <v>18974300.772</v>
      </c>
      <c r="T80">
        <f t="shared" si="37"/>
        <v>-538012881.00559998</v>
      </c>
      <c r="U80">
        <f t="shared" si="38"/>
        <v>-906390074.49479985</v>
      </c>
      <c r="V80">
        <f t="shared" si="39"/>
        <v>-968248544.6115998</v>
      </c>
      <c r="W80">
        <f t="shared" si="40"/>
        <v>-1294220678.8195999</v>
      </c>
      <c r="X80">
        <f t="shared" si="41"/>
        <v>-1317353034.8916001</v>
      </c>
      <c r="Z80">
        <f t="shared" si="42"/>
        <v>20600669.409600005</v>
      </c>
      <c r="AA80">
        <f t="shared" si="43"/>
        <v>-597135175.62159991</v>
      </c>
      <c r="AB80">
        <f t="shared" si="44"/>
        <v>-984423657.06719995</v>
      </c>
      <c r="AC80">
        <f t="shared" si="45"/>
        <v>-1230671047.3567998</v>
      </c>
      <c r="AD80">
        <f t="shared" si="46"/>
        <v>-1475653484.2616</v>
      </c>
      <c r="AE80">
        <f t="shared" si="47"/>
        <v>-1483914912.8664</v>
      </c>
    </row>
    <row r="81" spans="1:31" x14ac:dyDescent="0.25">
      <c r="A81">
        <v>20.82225515</v>
      </c>
      <c r="B81">
        <v>108.5848455</v>
      </c>
      <c r="C81">
        <v>41.7955513</v>
      </c>
      <c r="D81">
        <v>1.866611</v>
      </c>
      <c r="E81" t="b">
        <f t="shared" si="24"/>
        <v>0</v>
      </c>
      <c r="F81">
        <f t="shared" si="25"/>
        <v>-207.11114549999999</v>
      </c>
      <c r="G81">
        <f t="shared" si="26"/>
        <v>-416.08890200000002</v>
      </c>
      <c r="H81">
        <f t="shared" si="27"/>
        <v>-625.06665850000002</v>
      </c>
      <c r="I81">
        <f t="shared" si="28"/>
        <v>-834.04441499999996</v>
      </c>
      <c r="J81">
        <f t="shared" si="29"/>
        <v>-1043.0221715</v>
      </c>
      <c r="L81">
        <f t="shared" si="30"/>
        <v>3583893.12</v>
      </c>
      <c r="M81">
        <f t="shared" si="31"/>
        <v>-335520055.71000004</v>
      </c>
      <c r="N81">
        <f t="shared" si="32"/>
        <v>-574202684.75999999</v>
      </c>
      <c r="O81">
        <f t="shared" si="33"/>
        <v>-637567991.66999996</v>
      </c>
      <c r="P81">
        <f t="shared" si="34"/>
        <v>-767320861.79999995</v>
      </c>
      <c r="Q81">
        <f t="shared" si="35"/>
        <v>-792696850.34000003</v>
      </c>
      <c r="S81">
        <f t="shared" si="36"/>
        <v>3919883.1</v>
      </c>
      <c r="T81">
        <f t="shared" si="37"/>
        <v>-376942284.81</v>
      </c>
      <c r="U81">
        <f t="shared" si="38"/>
        <v>-628294242.01999998</v>
      </c>
      <c r="V81">
        <f t="shared" si="39"/>
        <v>-668821324.59499991</v>
      </c>
      <c r="W81">
        <f t="shared" si="40"/>
        <v>-892427524.04999983</v>
      </c>
      <c r="X81">
        <f t="shared" si="41"/>
        <v>-907429289.20500004</v>
      </c>
      <c r="Z81">
        <f t="shared" si="42"/>
        <v>4255873.08</v>
      </c>
      <c r="AA81">
        <f t="shared" si="43"/>
        <v>-418364513.91000003</v>
      </c>
      <c r="AB81">
        <f t="shared" si="44"/>
        <v>-682385799.28000009</v>
      </c>
      <c r="AC81">
        <f t="shared" si="45"/>
        <v>-850090655.55999994</v>
      </c>
      <c r="AD81">
        <f t="shared" si="46"/>
        <v>-1017534186.3</v>
      </c>
      <c r="AE81">
        <f t="shared" si="47"/>
        <v>-1022161728.0699999</v>
      </c>
    </row>
    <row r="82" spans="1:31" x14ac:dyDescent="0.25">
      <c r="A82">
        <v>20.83146576</v>
      </c>
      <c r="B82">
        <v>114.8380631</v>
      </c>
      <c r="C82">
        <v>0.92556899999999998</v>
      </c>
      <c r="D82">
        <v>43.732223509999997</v>
      </c>
      <c r="E82" t="b">
        <f t="shared" si="24"/>
        <v>1</v>
      </c>
      <c r="F82">
        <f t="shared" si="25"/>
        <v>39.104378509999997</v>
      </c>
      <c r="G82">
        <f t="shared" si="26"/>
        <v>34.476533509999996</v>
      </c>
      <c r="H82">
        <f t="shared" si="27"/>
        <v>29.848688509999995</v>
      </c>
      <c r="I82">
        <f t="shared" si="28"/>
        <v>25.220843509999998</v>
      </c>
      <c r="J82">
        <f t="shared" si="29"/>
        <v>20.592998509999997</v>
      </c>
      <c r="L82">
        <f t="shared" si="30"/>
        <v>1777092.4800000002</v>
      </c>
      <c r="M82">
        <f t="shared" si="31"/>
        <v>1499421.78</v>
      </c>
      <c r="N82">
        <f t="shared" si="32"/>
        <v>1277285.22</v>
      </c>
      <c r="O82">
        <f t="shared" si="33"/>
        <v>944080.38</v>
      </c>
      <c r="P82">
        <f t="shared" si="34"/>
        <v>851523.48</v>
      </c>
      <c r="Q82">
        <f t="shared" si="35"/>
        <v>703432.44000000006</v>
      </c>
      <c r="S82">
        <f t="shared" si="36"/>
        <v>1943694.9000000001</v>
      </c>
      <c r="T82">
        <f t="shared" si="37"/>
        <v>1684535.58</v>
      </c>
      <c r="U82">
        <f t="shared" si="38"/>
        <v>1397609.19</v>
      </c>
      <c r="V82">
        <f t="shared" si="39"/>
        <v>990358.82999999984</v>
      </c>
      <c r="W82">
        <f t="shared" si="40"/>
        <v>990358.82999999984</v>
      </c>
      <c r="X82">
        <f t="shared" si="41"/>
        <v>805245.03</v>
      </c>
      <c r="Z82">
        <f t="shared" si="42"/>
        <v>2110297.3200000003</v>
      </c>
      <c r="AA82">
        <f t="shared" si="43"/>
        <v>1869649.3800000001</v>
      </c>
      <c r="AB82">
        <f t="shared" si="44"/>
        <v>1517933.1600000001</v>
      </c>
      <c r="AC82">
        <f t="shared" si="45"/>
        <v>1258773.8399999999</v>
      </c>
      <c r="AD82">
        <f t="shared" si="46"/>
        <v>1129194.18</v>
      </c>
      <c r="AE82">
        <f t="shared" si="47"/>
        <v>907057.62</v>
      </c>
    </row>
    <row r="83" spans="1:31" x14ac:dyDescent="0.25">
      <c r="A83">
        <v>20.835505250000001</v>
      </c>
      <c r="B83">
        <v>114.7909774</v>
      </c>
      <c r="C83">
        <v>0.73452300000000004</v>
      </c>
      <c r="D83">
        <v>3.3178698999999998</v>
      </c>
      <c r="E83" t="b">
        <f t="shared" si="24"/>
        <v>1</v>
      </c>
      <c r="F83">
        <f t="shared" si="25"/>
        <v>-0.35474510000000059</v>
      </c>
      <c r="G83">
        <f t="shared" si="26"/>
        <v>-4.027360100000001</v>
      </c>
      <c r="H83">
        <f t="shared" si="27"/>
        <v>-7.6999751000000014</v>
      </c>
      <c r="I83">
        <f t="shared" si="28"/>
        <v>-11.372590100000002</v>
      </c>
      <c r="J83">
        <f t="shared" si="29"/>
        <v>-15.045205100000002</v>
      </c>
      <c r="L83">
        <f t="shared" si="30"/>
        <v>1410284.1600000001</v>
      </c>
      <c r="M83">
        <f t="shared" si="31"/>
        <v>-574687.06200000108</v>
      </c>
      <c r="N83">
        <f t="shared" si="32"/>
        <v>-5557756.938000001</v>
      </c>
      <c r="O83">
        <f t="shared" si="33"/>
        <v>-7853974.6020000018</v>
      </c>
      <c r="P83">
        <f t="shared" si="34"/>
        <v>-10462782.892000001</v>
      </c>
      <c r="Q83">
        <f t="shared" si="35"/>
        <v>-11434355.876000002</v>
      </c>
      <c r="S83">
        <f t="shared" si="36"/>
        <v>1542498.3</v>
      </c>
      <c r="T83">
        <f t="shared" si="37"/>
        <v>-645636.0820000011</v>
      </c>
      <c r="U83">
        <f t="shared" si="38"/>
        <v>-6081313.751000002</v>
      </c>
      <c r="V83">
        <f t="shared" si="39"/>
        <v>-8238973.3570000008</v>
      </c>
      <c r="W83">
        <f t="shared" si="40"/>
        <v>-12168671.407</v>
      </c>
      <c r="X83">
        <f t="shared" si="41"/>
        <v>-13089328.437000001</v>
      </c>
      <c r="Z83">
        <f t="shared" si="42"/>
        <v>1674712.4400000002</v>
      </c>
      <c r="AA83">
        <f t="shared" si="43"/>
        <v>-716585.10200000124</v>
      </c>
      <c r="AB83">
        <f t="shared" si="44"/>
        <v>-6604870.5640000021</v>
      </c>
      <c r="AC83">
        <f t="shared" si="45"/>
        <v>-10471966.136000002</v>
      </c>
      <c r="AD83">
        <f t="shared" si="46"/>
        <v>-13874559.922000002</v>
      </c>
      <c r="AE83">
        <f t="shared" si="47"/>
        <v>-14744300.998000002</v>
      </c>
    </row>
    <row r="84" spans="1:31" x14ac:dyDescent="0.25">
      <c r="A84">
        <v>20.847494999999999</v>
      </c>
      <c r="B84">
        <v>114.6496952</v>
      </c>
      <c r="C84">
        <v>1.05465806</v>
      </c>
      <c r="D84">
        <v>38.546062470000003</v>
      </c>
      <c r="E84" t="b">
        <f t="shared" si="24"/>
        <v>1</v>
      </c>
      <c r="F84">
        <f t="shared" si="25"/>
        <v>33.272772170000003</v>
      </c>
      <c r="G84">
        <f t="shared" si="26"/>
        <v>27.999481870000004</v>
      </c>
      <c r="H84">
        <f t="shared" si="27"/>
        <v>22.726191570000005</v>
      </c>
      <c r="I84">
        <f t="shared" si="28"/>
        <v>17.452901270000005</v>
      </c>
      <c r="J84">
        <f t="shared" si="29"/>
        <v>12.179610970000002</v>
      </c>
      <c r="L84">
        <f t="shared" si="30"/>
        <v>2024943.4752000002</v>
      </c>
      <c r="M84">
        <f t="shared" si="31"/>
        <v>1708546.0572000002</v>
      </c>
      <c r="N84">
        <f t="shared" si="32"/>
        <v>1455428.1228</v>
      </c>
      <c r="O84">
        <f t="shared" si="33"/>
        <v>1075751.2212</v>
      </c>
      <c r="P84">
        <f t="shared" si="34"/>
        <v>970285.41519999993</v>
      </c>
      <c r="Q84">
        <f t="shared" si="35"/>
        <v>801540.12560000003</v>
      </c>
      <c r="S84">
        <f t="shared" si="36"/>
        <v>2214781.9260000004</v>
      </c>
      <c r="T84">
        <f t="shared" si="37"/>
        <v>1919477.6692000001</v>
      </c>
      <c r="U84">
        <f t="shared" si="38"/>
        <v>1592533.6706000001</v>
      </c>
      <c r="V84">
        <f t="shared" si="39"/>
        <v>1128484.1242</v>
      </c>
      <c r="W84">
        <f t="shared" si="40"/>
        <v>1128484.1242</v>
      </c>
      <c r="X84">
        <f t="shared" si="41"/>
        <v>917552.5122</v>
      </c>
      <c r="Z84">
        <f t="shared" si="42"/>
        <v>2404620.3768000002</v>
      </c>
      <c r="AA84">
        <f t="shared" si="43"/>
        <v>2130409.2812000001</v>
      </c>
      <c r="AB84">
        <f t="shared" si="44"/>
        <v>1729639.2184000001</v>
      </c>
      <c r="AC84">
        <f t="shared" si="45"/>
        <v>1434334.9616</v>
      </c>
      <c r="AD84">
        <f t="shared" si="46"/>
        <v>1286682.8332</v>
      </c>
      <c r="AE84">
        <f t="shared" si="47"/>
        <v>1033564.8988000001</v>
      </c>
    </row>
    <row r="85" spans="1:31" x14ac:dyDescent="0.25">
      <c r="A85">
        <v>20.851448659999999</v>
      </c>
      <c r="B85">
        <v>114.602593</v>
      </c>
      <c r="C85">
        <v>1.53848004</v>
      </c>
      <c r="D85">
        <v>0.26934701</v>
      </c>
      <c r="E85" t="b">
        <f t="shared" si="24"/>
        <v>0</v>
      </c>
      <c r="F85">
        <f t="shared" si="25"/>
        <v>-7.4230531900000001</v>
      </c>
      <c r="G85">
        <f t="shared" si="26"/>
        <v>-15.115453389999999</v>
      </c>
      <c r="H85">
        <f t="shared" si="27"/>
        <v>-22.807853590000001</v>
      </c>
      <c r="I85">
        <f t="shared" si="28"/>
        <v>-30.500253789999999</v>
      </c>
      <c r="J85">
        <f t="shared" si="29"/>
        <v>-38.192653990000004</v>
      </c>
      <c r="L85">
        <f t="shared" si="30"/>
        <v>517146.25920000003</v>
      </c>
      <c r="M85">
        <f t="shared" si="31"/>
        <v>-12025346.167800002</v>
      </c>
      <c r="N85">
        <f t="shared" si="32"/>
        <v>-20859325.678199995</v>
      </c>
      <c r="O85">
        <f t="shared" si="33"/>
        <v>-23264010.661800001</v>
      </c>
      <c r="P85">
        <f t="shared" si="34"/>
        <v>-28060233.486799996</v>
      </c>
      <c r="Q85">
        <f t="shared" si="35"/>
        <v>-29026417.032400001</v>
      </c>
      <c r="S85">
        <f t="shared" si="36"/>
        <v>565628.72100000002</v>
      </c>
      <c r="T85">
        <f t="shared" si="37"/>
        <v>-13509956.805800002</v>
      </c>
      <c r="U85">
        <f t="shared" si="38"/>
        <v>-22824334.618899997</v>
      </c>
      <c r="V85">
        <f t="shared" si="39"/>
        <v>-24404403.341299996</v>
      </c>
      <c r="W85">
        <f t="shared" si="40"/>
        <v>-32635271.555299994</v>
      </c>
      <c r="X85">
        <f t="shared" si="41"/>
        <v>-33227608.971300002</v>
      </c>
      <c r="Z85">
        <f t="shared" si="42"/>
        <v>614111.18280000007</v>
      </c>
      <c r="AA85">
        <f t="shared" si="43"/>
        <v>-14994567.4438</v>
      </c>
      <c r="AB85">
        <f t="shared" si="44"/>
        <v>-24789343.559599999</v>
      </c>
      <c r="AC85">
        <f t="shared" si="45"/>
        <v>-31018680.882399999</v>
      </c>
      <c r="AD85">
        <f t="shared" si="46"/>
        <v>-37210309.623799995</v>
      </c>
      <c r="AE85">
        <f t="shared" si="47"/>
        <v>-37428800.9102</v>
      </c>
    </row>
    <row r="86" spans="1:31" x14ac:dyDescent="0.25">
      <c r="A86">
        <v>20.852324769999999</v>
      </c>
      <c r="B86">
        <v>109.1061275</v>
      </c>
      <c r="C86">
        <v>29.236465450000001</v>
      </c>
      <c r="D86">
        <v>1.0161739599999999</v>
      </c>
      <c r="E86" t="b">
        <f t="shared" si="24"/>
        <v>0</v>
      </c>
      <c r="F86">
        <f t="shared" si="25"/>
        <v>-145.16615329000001</v>
      </c>
      <c r="G86">
        <f t="shared" si="26"/>
        <v>-291.34848054000003</v>
      </c>
      <c r="H86">
        <f t="shared" si="27"/>
        <v>-437.53080778999998</v>
      </c>
      <c r="I86">
        <f t="shared" si="28"/>
        <v>-583.71313504000011</v>
      </c>
      <c r="J86">
        <f t="shared" si="29"/>
        <v>-729.89546229000007</v>
      </c>
      <c r="L86">
        <f t="shared" si="30"/>
        <v>1951054.0032000002</v>
      </c>
      <c r="M86">
        <f t="shared" si="31"/>
        <v>-235169168.32980004</v>
      </c>
      <c r="N86">
        <f t="shared" si="32"/>
        <v>-402060903.14520001</v>
      </c>
      <c r="O86">
        <f t="shared" si="33"/>
        <v>-446281423.94579995</v>
      </c>
      <c r="P86">
        <f t="shared" si="34"/>
        <v>-537016084.23680007</v>
      </c>
      <c r="Q86">
        <f t="shared" si="35"/>
        <v>-554720551.3404001</v>
      </c>
      <c r="S86">
        <f t="shared" si="36"/>
        <v>2133965.3160000001</v>
      </c>
      <c r="T86">
        <f t="shared" si="37"/>
        <v>-264202398.98780006</v>
      </c>
      <c r="U86">
        <f t="shared" si="38"/>
        <v>-439936205.61540002</v>
      </c>
      <c r="V86">
        <f t="shared" si="39"/>
        <v>-468157964.33529991</v>
      </c>
      <c r="W86">
        <f t="shared" si="40"/>
        <v>-624573054.4928</v>
      </c>
      <c r="X86">
        <f t="shared" si="41"/>
        <v>-635009052.19230008</v>
      </c>
      <c r="Z86">
        <f t="shared" si="42"/>
        <v>2316876.6288000001</v>
      </c>
      <c r="AA86">
        <f t="shared" si="43"/>
        <v>-293235629.64580005</v>
      </c>
      <c r="AB86">
        <f t="shared" si="44"/>
        <v>-477811508.08560008</v>
      </c>
      <c r="AC86">
        <f t="shared" si="45"/>
        <v>-595041898.59439993</v>
      </c>
      <c r="AD86">
        <f t="shared" si="46"/>
        <v>-712130024.74880004</v>
      </c>
      <c r="AE86">
        <f t="shared" si="47"/>
        <v>-715297553.04420006</v>
      </c>
    </row>
    <row r="87" spans="1:31" x14ac:dyDescent="0.25">
      <c r="A87">
        <v>20.852374770000001</v>
      </c>
      <c r="B87">
        <v>115.60020059999999</v>
      </c>
      <c r="C87">
        <v>0.43123298999999998</v>
      </c>
      <c r="D87">
        <v>4.4891509999999997</v>
      </c>
      <c r="E87" t="b">
        <f t="shared" si="24"/>
        <v>1</v>
      </c>
      <c r="F87">
        <f t="shared" si="25"/>
        <v>2.3329860499999997</v>
      </c>
      <c r="G87">
        <f t="shared" si="26"/>
        <v>0.17682109999999973</v>
      </c>
      <c r="H87">
        <f t="shared" si="27"/>
        <v>-1.9793438500000002</v>
      </c>
      <c r="I87">
        <f t="shared" si="28"/>
        <v>-4.1355088000000002</v>
      </c>
      <c r="J87">
        <f t="shared" si="29"/>
        <v>-6.2916737499999993</v>
      </c>
      <c r="L87">
        <f t="shared" si="30"/>
        <v>827967.34080000001</v>
      </c>
      <c r="M87">
        <f t="shared" si="31"/>
        <v>698597.44380000001</v>
      </c>
      <c r="N87">
        <f t="shared" si="32"/>
        <v>244013.11799999964</v>
      </c>
      <c r="O87">
        <f t="shared" si="33"/>
        <v>-2018930.7270000004</v>
      </c>
      <c r="P87">
        <f t="shared" si="34"/>
        <v>-3804668.0959999999</v>
      </c>
      <c r="Q87">
        <f t="shared" si="35"/>
        <v>-4781672.0499999989</v>
      </c>
      <c r="S87">
        <f t="shared" si="36"/>
        <v>905589.27899999998</v>
      </c>
      <c r="T87">
        <f t="shared" si="37"/>
        <v>784844.04180000001</v>
      </c>
      <c r="U87">
        <f t="shared" si="38"/>
        <v>266999.86099999963</v>
      </c>
      <c r="V87">
        <f t="shared" si="39"/>
        <v>-2117897.9194999998</v>
      </c>
      <c r="W87">
        <f t="shared" si="40"/>
        <v>-4424994.4159999993</v>
      </c>
      <c r="X87">
        <f t="shared" si="41"/>
        <v>-5473756.1624999996</v>
      </c>
      <c r="Z87">
        <f t="shared" si="42"/>
        <v>983211.21720000007</v>
      </c>
      <c r="AA87">
        <f t="shared" si="43"/>
        <v>871090.6398</v>
      </c>
      <c r="AB87">
        <f t="shared" si="44"/>
        <v>289986.60399999958</v>
      </c>
      <c r="AC87">
        <f t="shared" si="45"/>
        <v>-2691907.6360000004</v>
      </c>
      <c r="AD87">
        <f t="shared" si="46"/>
        <v>-5045320.7360000005</v>
      </c>
      <c r="AE87">
        <f t="shared" si="47"/>
        <v>-6165840.2749999985</v>
      </c>
    </row>
    <row r="88" spans="1:31" x14ac:dyDescent="0.25">
      <c r="A88">
        <v>20.855132019999999</v>
      </c>
      <c r="B88">
        <v>109.0115909</v>
      </c>
      <c r="C88">
        <v>25.680141450000001</v>
      </c>
      <c r="D88">
        <v>3.5684831099999998</v>
      </c>
      <c r="E88" t="b">
        <f t="shared" si="24"/>
        <v>0</v>
      </c>
      <c r="F88">
        <f t="shared" si="25"/>
        <v>-124.83222414000001</v>
      </c>
      <c r="G88">
        <f t="shared" si="26"/>
        <v>-253.23293139000003</v>
      </c>
      <c r="H88">
        <f t="shared" si="27"/>
        <v>-381.63363864000002</v>
      </c>
      <c r="I88">
        <f t="shared" si="28"/>
        <v>-510.03434589000005</v>
      </c>
      <c r="J88">
        <f t="shared" si="29"/>
        <v>-638.43505314000004</v>
      </c>
      <c r="L88">
        <f t="shared" si="30"/>
        <v>6851487.5712000001</v>
      </c>
      <c r="M88">
        <f t="shared" si="31"/>
        <v>-202228203.10680005</v>
      </c>
      <c r="N88">
        <f t="shared" si="32"/>
        <v>-349461445.31820005</v>
      </c>
      <c r="O88">
        <f t="shared" si="33"/>
        <v>-389266311.41280001</v>
      </c>
      <c r="P88">
        <f t="shared" si="34"/>
        <v>-469231598.21880001</v>
      </c>
      <c r="Q88">
        <f t="shared" si="35"/>
        <v>-485210640.38639998</v>
      </c>
      <c r="S88">
        <f t="shared" si="36"/>
        <v>7493814.5310000004</v>
      </c>
      <c r="T88">
        <f t="shared" si="37"/>
        <v>-227194647.93480003</v>
      </c>
      <c r="U88">
        <f t="shared" si="38"/>
        <v>-382381726.39890009</v>
      </c>
      <c r="V88">
        <f t="shared" si="39"/>
        <v>-408347993.34479994</v>
      </c>
      <c r="W88">
        <f t="shared" si="40"/>
        <v>-545736750.10229993</v>
      </c>
      <c r="X88">
        <f t="shared" si="41"/>
        <v>-555438496.23179996</v>
      </c>
      <c r="Z88">
        <f t="shared" si="42"/>
        <v>8136141.4908000007</v>
      </c>
      <c r="AA88">
        <f t="shared" si="43"/>
        <v>-252161092.76280004</v>
      </c>
      <c r="AB88">
        <f t="shared" si="44"/>
        <v>-415302007.47960013</v>
      </c>
      <c r="AC88">
        <f t="shared" si="45"/>
        <v>-519021748.55039996</v>
      </c>
      <c r="AD88">
        <f t="shared" si="46"/>
        <v>-622241901.98580003</v>
      </c>
      <c r="AE88">
        <f t="shared" si="47"/>
        <v>-625666352.07719994</v>
      </c>
    </row>
    <row r="89" spans="1:31" x14ac:dyDescent="0.25">
      <c r="A89">
        <v>20.857852579999999</v>
      </c>
      <c r="B89">
        <v>108.91704850000001</v>
      </c>
      <c r="C89">
        <v>56.964576719999997</v>
      </c>
      <c r="D89">
        <v>1.88053501</v>
      </c>
      <c r="E89" t="b">
        <f t="shared" si="24"/>
        <v>0</v>
      </c>
      <c r="F89">
        <f t="shared" si="25"/>
        <v>-282.94234858999994</v>
      </c>
      <c r="G89">
        <f t="shared" si="26"/>
        <v>-567.76523218999989</v>
      </c>
      <c r="H89">
        <f t="shared" si="27"/>
        <v>-852.58811578999996</v>
      </c>
      <c r="I89">
        <f t="shared" si="28"/>
        <v>-1137.4109993899999</v>
      </c>
      <c r="J89">
        <f t="shared" si="29"/>
        <v>-1422.23388299</v>
      </c>
      <c r="L89">
        <f t="shared" si="30"/>
        <v>3610627.2192000002</v>
      </c>
      <c r="M89">
        <f t="shared" si="31"/>
        <v>-458366604.71579987</v>
      </c>
      <c r="N89">
        <f t="shared" si="32"/>
        <v>-783516020.42219985</v>
      </c>
      <c r="O89">
        <f t="shared" si="33"/>
        <v>-869639878.10580003</v>
      </c>
      <c r="P89">
        <f t="shared" si="34"/>
        <v>-1046418119.4387997</v>
      </c>
      <c r="Q89">
        <f t="shared" si="35"/>
        <v>-1080897751.0724001</v>
      </c>
      <c r="S89">
        <f t="shared" si="36"/>
        <v>3949123.5210000002</v>
      </c>
      <c r="T89">
        <f t="shared" si="37"/>
        <v>-514955074.43379986</v>
      </c>
      <c r="U89">
        <f t="shared" si="38"/>
        <v>-857325500.60689986</v>
      </c>
      <c r="V89">
        <f t="shared" si="39"/>
        <v>-912269283.89529979</v>
      </c>
      <c r="W89">
        <f t="shared" si="40"/>
        <v>-1217029769.3472996</v>
      </c>
      <c r="X89">
        <f t="shared" si="41"/>
        <v>-1237343478.2012999</v>
      </c>
      <c r="Z89">
        <f t="shared" si="42"/>
        <v>4287619.8228000002</v>
      </c>
      <c r="AA89">
        <f t="shared" si="43"/>
        <v>-571543544.1517998</v>
      </c>
      <c r="AB89">
        <f t="shared" si="44"/>
        <v>-931134980.79159999</v>
      </c>
      <c r="AC89">
        <f t="shared" si="45"/>
        <v>-1159519837.4743998</v>
      </c>
      <c r="AD89">
        <f t="shared" si="46"/>
        <v>-1387641419.2557998</v>
      </c>
      <c r="AE89">
        <f t="shared" si="47"/>
        <v>-1393789205.3302</v>
      </c>
    </row>
    <row r="90" spans="1:31" x14ac:dyDescent="0.25">
      <c r="A90">
        <v>20.859180340000002</v>
      </c>
      <c r="B90">
        <v>108.86977520000001</v>
      </c>
      <c r="C90">
        <v>129.47578429999999</v>
      </c>
      <c r="D90">
        <v>6.6430869100000001</v>
      </c>
      <c r="E90" t="b">
        <f t="shared" si="24"/>
        <v>0</v>
      </c>
      <c r="F90">
        <f t="shared" si="25"/>
        <v>-640.73583458999997</v>
      </c>
      <c r="G90">
        <f t="shared" si="26"/>
        <v>-1288.1147560899999</v>
      </c>
      <c r="H90">
        <f t="shared" si="27"/>
        <v>-1935.4936775899998</v>
      </c>
      <c r="I90">
        <f t="shared" si="28"/>
        <v>-2582.8725990899998</v>
      </c>
      <c r="J90">
        <f t="shared" si="29"/>
        <v>-3230.2515205899995</v>
      </c>
      <c r="L90">
        <f t="shared" si="30"/>
        <v>12754726.867200002</v>
      </c>
      <c r="M90">
        <f t="shared" si="31"/>
        <v>-1037992052.0358</v>
      </c>
      <c r="N90">
        <f t="shared" si="32"/>
        <v>-1777598363.4041998</v>
      </c>
      <c r="O90">
        <f t="shared" si="33"/>
        <v>-1974203551.1417999</v>
      </c>
      <c r="P90">
        <f t="shared" si="34"/>
        <v>-2376242791.1627994</v>
      </c>
      <c r="Q90">
        <f t="shared" si="35"/>
        <v>-2454991155.6483998</v>
      </c>
      <c r="S90">
        <f t="shared" si="36"/>
        <v>13950482.511000002</v>
      </c>
      <c r="T90">
        <f t="shared" si="37"/>
        <v>-1166139218.9538</v>
      </c>
      <c r="U90">
        <f t="shared" si="38"/>
        <v>-1945053281.6959</v>
      </c>
      <c r="V90">
        <f t="shared" si="39"/>
        <v>-2070978235.0212996</v>
      </c>
      <c r="W90">
        <f t="shared" si="40"/>
        <v>-2763673681.0262995</v>
      </c>
      <c r="X90">
        <f t="shared" si="41"/>
        <v>-2810318822.9132996</v>
      </c>
      <c r="Z90">
        <f t="shared" si="42"/>
        <v>15146238.154800002</v>
      </c>
      <c r="AA90">
        <f t="shared" si="43"/>
        <v>-1294286385.8717999</v>
      </c>
      <c r="AB90">
        <f t="shared" si="44"/>
        <v>-2112508199.9876001</v>
      </c>
      <c r="AC90">
        <f t="shared" si="45"/>
        <v>-2632271401.5223994</v>
      </c>
      <c r="AD90">
        <f t="shared" si="46"/>
        <v>-3151104570.8897996</v>
      </c>
      <c r="AE90">
        <f t="shared" si="47"/>
        <v>-3165646490.1781998</v>
      </c>
    </row>
    <row r="91" spans="1:31" x14ac:dyDescent="0.25">
      <c r="A91">
        <v>20.896759840000001</v>
      </c>
      <c r="B91">
        <v>109.1076446</v>
      </c>
      <c r="C91">
        <v>29.236465450000001</v>
      </c>
      <c r="D91">
        <v>1.0161739599999999</v>
      </c>
      <c r="E91" t="b">
        <f t="shared" si="24"/>
        <v>0</v>
      </c>
      <c r="F91">
        <f t="shared" si="25"/>
        <v>-145.16615329000001</v>
      </c>
      <c r="G91">
        <f t="shared" si="26"/>
        <v>-291.34848054000003</v>
      </c>
      <c r="H91">
        <f t="shared" si="27"/>
        <v>-437.53080778999998</v>
      </c>
      <c r="I91">
        <f t="shared" si="28"/>
        <v>-583.71313504000011</v>
      </c>
      <c r="J91">
        <f t="shared" si="29"/>
        <v>-729.89546229000007</v>
      </c>
      <c r="L91">
        <f t="shared" si="30"/>
        <v>1951054.0032000002</v>
      </c>
      <c r="M91">
        <f t="shared" si="31"/>
        <v>-235169168.32980004</v>
      </c>
      <c r="N91">
        <f t="shared" si="32"/>
        <v>-402060903.14520001</v>
      </c>
      <c r="O91">
        <f t="shared" si="33"/>
        <v>-446281423.94579995</v>
      </c>
      <c r="P91">
        <f t="shared" si="34"/>
        <v>-537016084.23680007</v>
      </c>
      <c r="Q91">
        <f t="shared" si="35"/>
        <v>-554720551.3404001</v>
      </c>
      <c r="S91">
        <f t="shared" si="36"/>
        <v>2133965.3160000001</v>
      </c>
      <c r="T91">
        <f t="shared" si="37"/>
        <v>-264202398.98780006</v>
      </c>
      <c r="U91">
        <f t="shared" si="38"/>
        <v>-439936205.61540002</v>
      </c>
      <c r="V91">
        <f t="shared" si="39"/>
        <v>-468157964.33529991</v>
      </c>
      <c r="W91">
        <f t="shared" si="40"/>
        <v>-624573054.4928</v>
      </c>
      <c r="X91">
        <f t="shared" si="41"/>
        <v>-635009052.19230008</v>
      </c>
      <c r="Z91">
        <f t="shared" si="42"/>
        <v>2316876.6288000001</v>
      </c>
      <c r="AA91">
        <f t="shared" si="43"/>
        <v>-293235629.64580005</v>
      </c>
      <c r="AB91">
        <f t="shared" si="44"/>
        <v>-477811508.08560008</v>
      </c>
      <c r="AC91">
        <f t="shared" si="45"/>
        <v>-595041898.59439993</v>
      </c>
      <c r="AD91">
        <f t="shared" si="46"/>
        <v>-712130024.74880004</v>
      </c>
      <c r="AE91">
        <f t="shared" si="47"/>
        <v>-715297553.04420006</v>
      </c>
    </row>
    <row r="92" spans="1:31" x14ac:dyDescent="0.25">
      <c r="A92">
        <v>20.898175269999999</v>
      </c>
      <c r="B92">
        <v>109.0603539</v>
      </c>
      <c r="C92">
        <v>29.236465450000001</v>
      </c>
      <c r="D92">
        <v>0.73458396999999998</v>
      </c>
      <c r="E92" t="b">
        <f t="shared" si="24"/>
        <v>0</v>
      </c>
      <c r="F92">
        <f t="shared" si="25"/>
        <v>-145.44774328000003</v>
      </c>
      <c r="G92">
        <f t="shared" si="26"/>
        <v>-291.63007053000001</v>
      </c>
      <c r="H92">
        <f t="shared" si="27"/>
        <v>-437.81239777999997</v>
      </c>
      <c r="I92">
        <f t="shared" si="28"/>
        <v>-583.99472503000004</v>
      </c>
      <c r="J92">
        <f t="shared" si="29"/>
        <v>-730.17705228</v>
      </c>
      <c r="L92">
        <f t="shared" si="30"/>
        <v>1410401.2224000001</v>
      </c>
      <c r="M92">
        <f t="shared" si="31"/>
        <v>-235625344.11360008</v>
      </c>
      <c r="N92">
        <f t="shared" si="32"/>
        <v>-402449497.33140004</v>
      </c>
      <c r="O92">
        <f t="shared" si="33"/>
        <v>-446568645.73559999</v>
      </c>
      <c r="P92">
        <f t="shared" si="34"/>
        <v>-537275147.02760005</v>
      </c>
      <c r="Q92">
        <f t="shared" si="35"/>
        <v>-554934559.73280001</v>
      </c>
      <c r="S92">
        <f t="shared" si="36"/>
        <v>1542626.3370000001</v>
      </c>
      <c r="T92">
        <f t="shared" si="37"/>
        <v>-264714892.76960006</v>
      </c>
      <c r="U92">
        <f t="shared" si="38"/>
        <v>-440361406.50030005</v>
      </c>
      <c r="V92">
        <f t="shared" si="39"/>
        <v>-468459265.62459987</v>
      </c>
      <c r="W92">
        <f t="shared" si="40"/>
        <v>-624874355.78209996</v>
      </c>
      <c r="X92">
        <f t="shared" si="41"/>
        <v>-635254035.48360002</v>
      </c>
      <c r="Z92">
        <f t="shared" si="42"/>
        <v>1674851.4516</v>
      </c>
      <c r="AA92">
        <f t="shared" si="43"/>
        <v>-293804441.42560005</v>
      </c>
      <c r="AB92">
        <f t="shared" si="44"/>
        <v>-478273315.66920006</v>
      </c>
      <c r="AC92">
        <f t="shared" si="45"/>
        <v>-595424860.98079991</v>
      </c>
      <c r="AD92">
        <f t="shared" si="46"/>
        <v>-712473564.53660011</v>
      </c>
      <c r="AE92">
        <f t="shared" si="47"/>
        <v>-715573511.23439991</v>
      </c>
    </row>
    <row r="93" spans="1:31" x14ac:dyDescent="0.25">
      <c r="A93">
        <v>20.90094105</v>
      </c>
      <c r="B93">
        <v>108.96576829999999</v>
      </c>
      <c r="C93">
        <v>100.2393112</v>
      </c>
      <c r="D93">
        <v>1.22430599</v>
      </c>
      <c r="E93" t="b">
        <f t="shared" si="24"/>
        <v>0</v>
      </c>
      <c r="F93">
        <f t="shared" si="25"/>
        <v>-499.97225000999998</v>
      </c>
      <c r="G93">
        <f t="shared" si="26"/>
        <v>-1001.16880601</v>
      </c>
      <c r="H93">
        <f t="shared" si="27"/>
        <v>-1502.3653620100001</v>
      </c>
      <c r="I93">
        <f t="shared" si="28"/>
        <v>-2003.56191801</v>
      </c>
      <c r="J93">
        <f t="shared" si="29"/>
        <v>-2504.7584740100001</v>
      </c>
      <c r="L93">
        <f t="shared" si="30"/>
        <v>2350667.5008</v>
      </c>
      <c r="M93">
        <f t="shared" si="31"/>
        <v>-809955045.01620007</v>
      </c>
      <c r="N93">
        <f t="shared" si="32"/>
        <v>-1381612952.2937999</v>
      </c>
      <c r="O93">
        <f t="shared" si="33"/>
        <v>-1532412669.2502003</v>
      </c>
      <c r="P93">
        <f t="shared" si="34"/>
        <v>-1843276964.5691998</v>
      </c>
      <c r="Q93">
        <f t="shared" si="35"/>
        <v>-1903616440.2476001</v>
      </c>
      <c r="S93">
        <f t="shared" si="36"/>
        <v>2571042.5789999999</v>
      </c>
      <c r="T93">
        <f t="shared" si="37"/>
        <v>-909949495.01820004</v>
      </c>
      <c r="U93">
        <f t="shared" si="38"/>
        <v>-1511764897.0750999</v>
      </c>
      <c r="V93">
        <f t="shared" si="39"/>
        <v>-1607530937.3506999</v>
      </c>
      <c r="W93">
        <f t="shared" si="40"/>
        <v>-2143811252.2706997</v>
      </c>
      <c r="X93">
        <f t="shared" si="41"/>
        <v>-2179139872.3887</v>
      </c>
      <c r="Z93">
        <f t="shared" si="42"/>
        <v>2791417.6572000002</v>
      </c>
      <c r="AA93">
        <f t="shared" si="43"/>
        <v>-1009943945.0202</v>
      </c>
      <c r="AB93">
        <f t="shared" si="44"/>
        <v>-1641916841.8564</v>
      </c>
      <c r="AC93">
        <f t="shared" si="45"/>
        <v>-2043216892.3336</v>
      </c>
      <c r="AD93">
        <f t="shared" si="46"/>
        <v>-2444345539.9721999</v>
      </c>
      <c r="AE93">
        <f t="shared" si="47"/>
        <v>-2454663304.5298004</v>
      </c>
    </row>
    <row r="94" spans="1:31" x14ac:dyDescent="0.25">
      <c r="A94">
        <v>20.902291399999999</v>
      </c>
      <c r="B94">
        <v>108.9184733</v>
      </c>
      <c r="C94">
        <v>54.29629517</v>
      </c>
      <c r="D94">
        <v>0.61215299000000001</v>
      </c>
      <c r="E94" t="b">
        <f t="shared" si="24"/>
        <v>0</v>
      </c>
      <c r="F94">
        <f t="shared" si="25"/>
        <v>-270.86932285999995</v>
      </c>
      <c r="G94">
        <f t="shared" si="26"/>
        <v>-542.35079870999994</v>
      </c>
      <c r="H94">
        <f t="shared" si="27"/>
        <v>-813.83227455999997</v>
      </c>
      <c r="I94">
        <f t="shared" si="28"/>
        <v>-1085.31375041</v>
      </c>
      <c r="J94">
        <f t="shared" si="29"/>
        <v>-1356.7952262600002</v>
      </c>
      <c r="L94">
        <f t="shared" si="30"/>
        <v>1175333.7408</v>
      </c>
      <c r="M94">
        <f t="shared" si="31"/>
        <v>-438808303.03319997</v>
      </c>
      <c r="N94">
        <f t="shared" si="32"/>
        <v>-748444102.21979988</v>
      </c>
      <c r="O94">
        <f t="shared" si="33"/>
        <v>-830108920.05119991</v>
      </c>
      <c r="P94">
        <f t="shared" si="34"/>
        <v>-998488650.37720001</v>
      </c>
      <c r="Q94">
        <f t="shared" si="35"/>
        <v>-1031164371.9576002</v>
      </c>
      <c r="S94">
        <f t="shared" si="36"/>
        <v>1285521.2790000001</v>
      </c>
      <c r="T94">
        <f t="shared" si="37"/>
        <v>-492982167.60519993</v>
      </c>
      <c r="U94">
        <f t="shared" si="38"/>
        <v>-818949706.05209982</v>
      </c>
      <c r="V94">
        <f t="shared" si="39"/>
        <v>-870800533.77919984</v>
      </c>
      <c r="W94">
        <f t="shared" si="40"/>
        <v>-1161285712.9387</v>
      </c>
      <c r="X94">
        <f t="shared" si="41"/>
        <v>-1180411846.8462002</v>
      </c>
      <c r="Z94">
        <f t="shared" si="42"/>
        <v>1395708.8172000002</v>
      </c>
      <c r="AA94">
        <f t="shared" si="43"/>
        <v>-547156032.17719996</v>
      </c>
      <c r="AB94">
        <f t="shared" si="44"/>
        <v>-889455309.88439989</v>
      </c>
      <c r="AC94">
        <f t="shared" si="45"/>
        <v>-1106811893.4015999</v>
      </c>
      <c r="AD94">
        <f t="shared" si="46"/>
        <v>-1324082775.5002</v>
      </c>
      <c r="AE94">
        <f t="shared" si="47"/>
        <v>-1329659321.7348001</v>
      </c>
    </row>
    <row r="95" spans="1:31" x14ac:dyDescent="0.25">
      <c r="A95">
        <v>20.903620060000002</v>
      </c>
      <c r="B95">
        <v>108.871177</v>
      </c>
      <c r="C95">
        <v>47.669376370000002</v>
      </c>
      <c r="D95">
        <v>2.85998011</v>
      </c>
      <c r="E95" t="b">
        <f t="shared" si="24"/>
        <v>0</v>
      </c>
      <c r="F95">
        <f t="shared" si="25"/>
        <v>-235.48690174000001</v>
      </c>
      <c r="G95">
        <f t="shared" si="26"/>
        <v>-473.83378359000005</v>
      </c>
      <c r="H95">
        <f t="shared" si="27"/>
        <v>-712.18066543999998</v>
      </c>
      <c r="I95">
        <f t="shared" si="28"/>
        <v>-950.52754729000003</v>
      </c>
      <c r="J95">
        <f t="shared" si="29"/>
        <v>-1188.8744291400001</v>
      </c>
      <c r="L95">
        <f t="shared" si="30"/>
        <v>5491161.8112000003</v>
      </c>
      <c r="M95">
        <f t="shared" si="31"/>
        <v>-381488780.81880003</v>
      </c>
      <c r="N95">
        <f t="shared" si="32"/>
        <v>-653890621.35420001</v>
      </c>
      <c r="O95">
        <f t="shared" si="33"/>
        <v>-726424278.74879992</v>
      </c>
      <c r="P95">
        <f t="shared" si="34"/>
        <v>-874485343.50680006</v>
      </c>
      <c r="Q95">
        <f t="shared" si="35"/>
        <v>-903544566.14640009</v>
      </c>
      <c r="S95">
        <f t="shared" si="36"/>
        <v>6005958.2309999997</v>
      </c>
      <c r="T95">
        <f t="shared" si="37"/>
        <v>-428586161.16680002</v>
      </c>
      <c r="U95">
        <f t="shared" si="38"/>
        <v>-715489013.22090006</v>
      </c>
      <c r="V95">
        <f t="shared" si="39"/>
        <v>-762033312.02079988</v>
      </c>
      <c r="W95">
        <f t="shared" si="40"/>
        <v>-1017064475.6003</v>
      </c>
      <c r="X95">
        <f t="shared" si="41"/>
        <v>-1034320753.3518001</v>
      </c>
      <c r="Z95">
        <f t="shared" si="42"/>
        <v>6520754.6508000009</v>
      </c>
      <c r="AA95">
        <f t="shared" si="43"/>
        <v>-475683541.51480001</v>
      </c>
      <c r="AB95">
        <f t="shared" si="44"/>
        <v>-777087405.08760011</v>
      </c>
      <c r="AC95">
        <f t="shared" si="45"/>
        <v>-968565704.99839985</v>
      </c>
      <c r="AD95">
        <f t="shared" si="46"/>
        <v>-1159643607.6938</v>
      </c>
      <c r="AE95">
        <f t="shared" si="47"/>
        <v>-1165096940.5572002</v>
      </c>
    </row>
    <row r="96" spans="1:31" x14ac:dyDescent="0.25">
      <c r="A96">
        <v>20.906212289999999</v>
      </c>
      <c r="B96">
        <v>108.7765802</v>
      </c>
      <c r="C96">
        <v>79.356124879999996</v>
      </c>
      <c r="D96">
        <v>0.68316299000000003</v>
      </c>
      <c r="E96" t="b">
        <f t="shared" si="24"/>
        <v>0</v>
      </c>
      <c r="F96">
        <f t="shared" si="25"/>
        <v>-396.09746140999994</v>
      </c>
      <c r="G96">
        <f t="shared" si="26"/>
        <v>-792.8780858099999</v>
      </c>
      <c r="H96">
        <f t="shared" si="27"/>
        <v>-1189.65871021</v>
      </c>
      <c r="I96">
        <f t="shared" si="28"/>
        <v>-1586.4393346099998</v>
      </c>
      <c r="J96">
        <f t="shared" si="29"/>
        <v>-1983.2199590099999</v>
      </c>
      <c r="L96">
        <f t="shared" si="30"/>
        <v>1311672.9408</v>
      </c>
      <c r="M96">
        <f t="shared" si="31"/>
        <v>-641677887.4842</v>
      </c>
      <c r="N96">
        <f t="shared" si="32"/>
        <v>-1094171758.4177999</v>
      </c>
      <c r="O96">
        <f t="shared" si="33"/>
        <v>-1213451884.4142001</v>
      </c>
      <c r="P96">
        <f t="shared" si="34"/>
        <v>-1459524187.8411999</v>
      </c>
      <c r="Q96">
        <f t="shared" si="35"/>
        <v>-1507247168.8476</v>
      </c>
      <c r="S96">
        <f t="shared" si="36"/>
        <v>1434642.2790000001</v>
      </c>
      <c r="T96">
        <f t="shared" si="37"/>
        <v>-720897379.76619995</v>
      </c>
      <c r="U96">
        <f t="shared" si="38"/>
        <v>-1197245909.5730999</v>
      </c>
      <c r="V96">
        <f t="shared" si="39"/>
        <v>-1272934819.9246998</v>
      </c>
      <c r="W96">
        <f t="shared" si="40"/>
        <v>-1697490088.0326996</v>
      </c>
      <c r="X96">
        <f t="shared" si="41"/>
        <v>-1725401364.3387001</v>
      </c>
      <c r="Z96">
        <f t="shared" si="42"/>
        <v>1557611.6172000002</v>
      </c>
      <c r="AA96">
        <f t="shared" si="43"/>
        <v>-800116872.04819989</v>
      </c>
      <c r="AB96">
        <f t="shared" si="44"/>
        <v>-1300320060.7284</v>
      </c>
      <c r="AC96">
        <f t="shared" si="45"/>
        <v>-1617935845.8855999</v>
      </c>
      <c r="AD96">
        <f t="shared" si="46"/>
        <v>-1935455988.2241998</v>
      </c>
      <c r="AE96">
        <f t="shared" si="47"/>
        <v>-1943555559.8297999</v>
      </c>
    </row>
    <row r="97" spans="1:31" x14ac:dyDescent="0.25">
      <c r="A97">
        <v>20.915945430000001</v>
      </c>
      <c r="B97">
        <v>114.89381469999999</v>
      </c>
      <c r="C97">
        <v>0.73606998000000001</v>
      </c>
      <c r="D97">
        <v>5.1665730500000002</v>
      </c>
      <c r="E97" t="b">
        <f t="shared" si="24"/>
        <v>1</v>
      </c>
      <c r="F97">
        <f t="shared" si="25"/>
        <v>1.4862231500000003</v>
      </c>
      <c r="G97">
        <f t="shared" si="26"/>
        <v>-2.1941267499999997</v>
      </c>
      <c r="H97">
        <f t="shared" si="27"/>
        <v>-5.8744766500000001</v>
      </c>
      <c r="I97">
        <f t="shared" si="28"/>
        <v>-9.5548265499999996</v>
      </c>
      <c r="J97">
        <f t="shared" si="29"/>
        <v>-13.235176450000001</v>
      </c>
      <c r="L97">
        <f t="shared" si="30"/>
        <v>1413254.3616000002</v>
      </c>
      <c r="M97">
        <f t="shared" si="31"/>
        <v>1192433.3676</v>
      </c>
      <c r="N97">
        <f t="shared" si="32"/>
        <v>-3027894.9149999991</v>
      </c>
      <c r="O97">
        <f t="shared" si="33"/>
        <v>-5991966.1830000002</v>
      </c>
      <c r="P97">
        <f t="shared" si="34"/>
        <v>-8790440.425999999</v>
      </c>
      <c r="Q97">
        <f t="shared" si="35"/>
        <v>-10058734.102000002</v>
      </c>
      <c r="S97">
        <f t="shared" si="36"/>
        <v>1545746.9580000001</v>
      </c>
      <c r="T97">
        <f t="shared" si="37"/>
        <v>1339647.3636</v>
      </c>
      <c r="U97">
        <f t="shared" si="38"/>
        <v>-3313131.3924999991</v>
      </c>
      <c r="V97">
        <f t="shared" si="39"/>
        <v>-6285690.0154999997</v>
      </c>
      <c r="W97">
        <f t="shared" si="40"/>
        <v>-10223664.408499997</v>
      </c>
      <c r="X97">
        <f t="shared" si="41"/>
        <v>-11514603.511500001</v>
      </c>
      <c r="Z97">
        <f t="shared" si="42"/>
        <v>1678239.5544000003</v>
      </c>
      <c r="AA97">
        <f t="shared" si="43"/>
        <v>1486861.3596000001</v>
      </c>
      <c r="AB97">
        <f t="shared" si="44"/>
        <v>-3598367.8699999996</v>
      </c>
      <c r="AC97">
        <f t="shared" si="45"/>
        <v>-7989288.2439999999</v>
      </c>
      <c r="AD97">
        <f t="shared" si="46"/>
        <v>-11656888.390999999</v>
      </c>
      <c r="AE97">
        <f t="shared" si="47"/>
        <v>-12970472.921</v>
      </c>
    </row>
    <row r="98" spans="1:31" x14ac:dyDescent="0.25">
      <c r="A98">
        <v>20.946738580000002</v>
      </c>
      <c r="B98">
        <v>108.9198995</v>
      </c>
      <c r="C98">
        <v>54.29629517</v>
      </c>
      <c r="D98">
        <v>0.61215299000000001</v>
      </c>
      <c r="E98" t="b">
        <f t="shared" si="24"/>
        <v>0</v>
      </c>
      <c r="F98">
        <f t="shared" si="25"/>
        <v>-270.86932285999995</v>
      </c>
      <c r="G98">
        <f t="shared" si="26"/>
        <v>-542.35079870999994</v>
      </c>
      <c r="H98">
        <f t="shared" si="27"/>
        <v>-813.83227455999997</v>
      </c>
      <c r="I98">
        <f t="shared" si="28"/>
        <v>-1085.31375041</v>
      </c>
      <c r="J98">
        <f t="shared" si="29"/>
        <v>-1356.7952262600002</v>
      </c>
      <c r="L98">
        <f t="shared" si="30"/>
        <v>1175333.7408</v>
      </c>
      <c r="M98">
        <f t="shared" si="31"/>
        <v>-438808303.03319997</v>
      </c>
      <c r="N98">
        <f t="shared" si="32"/>
        <v>-748444102.21979988</v>
      </c>
      <c r="O98">
        <f t="shared" si="33"/>
        <v>-830108920.05119991</v>
      </c>
      <c r="P98">
        <f t="shared" si="34"/>
        <v>-998488650.37720001</v>
      </c>
      <c r="Q98">
        <f t="shared" si="35"/>
        <v>-1031164371.9576002</v>
      </c>
      <c r="S98">
        <f t="shared" si="36"/>
        <v>1285521.2790000001</v>
      </c>
      <c r="T98">
        <f t="shared" si="37"/>
        <v>-492982167.60519993</v>
      </c>
      <c r="U98">
        <f t="shared" si="38"/>
        <v>-818949706.05209982</v>
      </c>
      <c r="V98">
        <f t="shared" si="39"/>
        <v>-870800533.77919984</v>
      </c>
      <c r="W98">
        <f t="shared" si="40"/>
        <v>-1161285712.9387</v>
      </c>
      <c r="X98">
        <f t="shared" si="41"/>
        <v>-1180411846.8462002</v>
      </c>
      <c r="Z98">
        <f t="shared" si="42"/>
        <v>1395708.8172000002</v>
      </c>
      <c r="AA98">
        <f t="shared" si="43"/>
        <v>-547156032.17719996</v>
      </c>
      <c r="AB98">
        <f t="shared" si="44"/>
        <v>-889455309.88439989</v>
      </c>
      <c r="AC98">
        <f t="shared" si="45"/>
        <v>-1106811893.4015999</v>
      </c>
      <c r="AD98">
        <f t="shared" si="46"/>
        <v>-1324082775.5002</v>
      </c>
      <c r="AE98">
        <f t="shared" si="47"/>
        <v>-1329659321.7348001</v>
      </c>
    </row>
    <row r="99" spans="1:31" x14ac:dyDescent="0.25">
      <c r="A99">
        <v>20.992179279999998</v>
      </c>
      <c r="B99">
        <v>114.52084170000001</v>
      </c>
      <c r="C99">
        <v>1.7711880200000001</v>
      </c>
      <c r="D99">
        <v>1.22430599</v>
      </c>
      <c r="E99" t="b">
        <f t="shared" si="24"/>
        <v>0</v>
      </c>
      <c r="F99">
        <f t="shared" si="25"/>
        <v>-7.6316341100000002</v>
      </c>
      <c r="G99">
        <f t="shared" si="26"/>
        <v>-16.487574209999998</v>
      </c>
      <c r="H99">
        <f t="shared" si="27"/>
        <v>-25.34351431</v>
      </c>
      <c r="I99">
        <f t="shared" si="28"/>
        <v>-34.199454410000001</v>
      </c>
      <c r="J99">
        <f t="shared" si="29"/>
        <v>-43.055394510000006</v>
      </c>
      <c r="L99">
        <f t="shared" si="30"/>
        <v>2350667.5008</v>
      </c>
      <c r="M99">
        <f t="shared" si="31"/>
        <v>-12363247.258200001</v>
      </c>
      <c r="N99">
        <f t="shared" si="32"/>
        <v>-22752852.409799997</v>
      </c>
      <c r="O99">
        <f t="shared" si="33"/>
        <v>-25850384.5962</v>
      </c>
      <c r="P99">
        <f t="shared" si="34"/>
        <v>-31463498.0572</v>
      </c>
      <c r="Q99">
        <f t="shared" si="35"/>
        <v>-32722099.827600006</v>
      </c>
      <c r="S99">
        <f t="shared" si="36"/>
        <v>2571042.5789999999</v>
      </c>
      <c r="T99">
        <f t="shared" si="37"/>
        <v>-13889574.080200002</v>
      </c>
      <c r="U99">
        <f t="shared" si="38"/>
        <v>-24896237.057099998</v>
      </c>
      <c r="V99">
        <f t="shared" si="39"/>
        <v>-27117560.311699994</v>
      </c>
      <c r="W99">
        <f t="shared" si="40"/>
        <v>-36593416.218699999</v>
      </c>
      <c r="X99">
        <f t="shared" si="41"/>
        <v>-37458193.223700002</v>
      </c>
      <c r="Z99">
        <f t="shared" si="42"/>
        <v>2791417.6572000002</v>
      </c>
      <c r="AA99">
        <f t="shared" si="43"/>
        <v>-15415900.9022</v>
      </c>
      <c r="AB99">
        <f t="shared" si="44"/>
        <v>-27039621.704399999</v>
      </c>
      <c r="AC99">
        <f t="shared" si="45"/>
        <v>-34467179.461599998</v>
      </c>
      <c r="AD99">
        <f t="shared" si="46"/>
        <v>-41723334.380200006</v>
      </c>
      <c r="AE99">
        <f t="shared" si="47"/>
        <v>-42194286.619800001</v>
      </c>
    </row>
    <row r="100" spans="1:31" x14ac:dyDescent="0.25">
      <c r="A100">
        <v>21.036491430000002</v>
      </c>
      <c r="B100">
        <v>114.52500499999999</v>
      </c>
      <c r="C100">
        <v>1.13198602</v>
      </c>
      <c r="D100">
        <v>2.5906319600000001</v>
      </c>
      <c r="E100" t="b">
        <f t="shared" si="24"/>
        <v>1</v>
      </c>
      <c r="F100">
        <f t="shared" si="25"/>
        <v>-3.0692981400000003</v>
      </c>
      <c r="G100">
        <f t="shared" si="26"/>
        <v>-8.7292282400000012</v>
      </c>
      <c r="H100">
        <f t="shared" si="27"/>
        <v>-14.389158340000002</v>
      </c>
      <c r="I100">
        <f t="shared" si="28"/>
        <v>-20.049088440000002</v>
      </c>
      <c r="J100">
        <f t="shared" si="29"/>
        <v>-25.709018540000002</v>
      </c>
      <c r="L100">
        <f t="shared" si="30"/>
        <v>2173413.1584000001</v>
      </c>
      <c r="M100">
        <f t="shared" si="31"/>
        <v>-4972262.986800001</v>
      </c>
      <c r="N100">
        <f t="shared" si="32"/>
        <v>-12046334.971200002</v>
      </c>
      <c r="O100">
        <f t="shared" si="33"/>
        <v>-14676941.506800001</v>
      </c>
      <c r="P100">
        <f t="shared" si="34"/>
        <v>-18445161.364799999</v>
      </c>
      <c r="Q100">
        <f t="shared" si="35"/>
        <v>-19538854.090400003</v>
      </c>
      <c r="S100">
        <f t="shared" si="36"/>
        <v>2377170.642</v>
      </c>
      <c r="T100">
        <f t="shared" si="37"/>
        <v>-5586122.6148000006</v>
      </c>
      <c r="U100">
        <f t="shared" si="38"/>
        <v>-13181134.642400004</v>
      </c>
      <c r="V100">
        <f t="shared" si="39"/>
        <v>-15396399.423799999</v>
      </c>
      <c r="W100">
        <f t="shared" si="40"/>
        <v>-21452524.630799998</v>
      </c>
      <c r="X100">
        <f t="shared" si="41"/>
        <v>-22366846.129800003</v>
      </c>
      <c r="Z100">
        <f t="shared" si="42"/>
        <v>2580928.1256000004</v>
      </c>
      <c r="AA100">
        <f t="shared" si="43"/>
        <v>-6199982.2428000001</v>
      </c>
      <c r="AB100">
        <f t="shared" si="44"/>
        <v>-14315934.313600004</v>
      </c>
      <c r="AC100">
        <f t="shared" si="45"/>
        <v>-19569255.342399999</v>
      </c>
      <c r="AD100">
        <f t="shared" si="46"/>
        <v>-24459887.8968</v>
      </c>
      <c r="AE100">
        <f t="shared" si="47"/>
        <v>-25194838.169200003</v>
      </c>
    </row>
    <row r="101" spans="1:31" x14ac:dyDescent="0.25">
      <c r="A101">
        <v>21.08859489</v>
      </c>
      <c r="B101">
        <v>114.43471150000001</v>
      </c>
      <c r="C101">
        <v>2.18444109</v>
      </c>
      <c r="D101">
        <v>1.4691679499999999</v>
      </c>
      <c r="E101" t="b">
        <f t="shared" si="24"/>
        <v>0</v>
      </c>
      <c r="F101">
        <f t="shared" si="25"/>
        <v>-9.4530375000000006</v>
      </c>
      <c r="G101">
        <f t="shared" si="26"/>
        <v>-20.375242950000001</v>
      </c>
      <c r="H101">
        <f t="shared" si="27"/>
        <v>-31.2974484</v>
      </c>
      <c r="I101">
        <f t="shared" si="28"/>
        <v>-42.21965385</v>
      </c>
      <c r="J101">
        <f t="shared" si="29"/>
        <v>-53.1418593</v>
      </c>
      <c r="L101">
        <f t="shared" si="30"/>
        <v>2820802.4640000002</v>
      </c>
      <c r="M101">
        <f t="shared" si="31"/>
        <v>-15313920.750000002</v>
      </c>
      <c r="N101">
        <f t="shared" si="32"/>
        <v>-28117835.270999998</v>
      </c>
      <c r="O101">
        <f t="shared" si="33"/>
        <v>-31923397.368000004</v>
      </c>
      <c r="P101">
        <f t="shared" si="34"/>
        <v>-38842081.541999996</v>
      </c>
      <c r="Q101">
        <f t="shared" si="35"/>
        <v>-40387813.067999996</v>
      </c>
      <c r="S101">
        <f t="shared" si="36"/>
        <v>3085252.6949999998</v>
      </c>
      <c r="T101">
        <f t="shared" si="37"/>
        <v>-17204528.25</v>
      </c>
      <c r="U101">
        <f t="shared" si="38"/>
        <v>-30766616.854499999</v>
      </c>
      <c r="V101">
        <f t="shared" si="39"/>
        <v>-33488269.787999999</v>
      </c>
      <c r="W101">
        <f t="shared" si="40"/>
        <v>-45175029.619499996</v>
      </c>
      <c r="X101">
        <f t="shared" si="41"/>
        <v>-46233417.590999998</v>
      </c>
      <c r="Z101">
        <f t="shared" si="42"/>
        <v>3349702.9260000004</v>
      </c>
      <c r="AA101">
        <f t="shared" si="43"/>
        <v>-19095135.75</v>
      </c>
      <c r="AB101">
        <f t="shared" si="44"/>
        <v>-33415398.438000001</v>
      </c>
      <c r="AC101">
        <f t="shared" si="45"/>
        <v>-42564529.824000001</v>
      </c>
      <c r="AD101">
        <f t="shared" si="46"/>
        <v>-51507977.697000004</v>
      </c>
      <c r="AE101">
        <f t="shared" si="47"/>
        <v>-52079022.113999993</v>
      </c>
    </row>
    <row r="102" spans="1:31" x14ac:dyDescent="0.25">
      <c r="A102">
        <v>21.13542795</v>
      </c>
      <c r="B102">
        <v>115.4395423</v>
      </c>
      <c r="C102">
        <v>1.4520239800000001</v>
      </c>
      <c r="D102">
        <v>1.22430599</v>
      </c>
      <c r="E102" t="b">
        <f t="shared" si="24"/>
        <v>0</v>
      </c>
      <c r="F102">
        <f t="shared" si="25"/>
        <v>-6.0358139099999999</v>
      </c>
      <c r="G102">
        <f t="shared" si="26"/>
        <v>-13.295933810000001</v>
      </c>
      <c r="H102">
        <f t="shared" si="27"/>
        <v>-20.55605371</v>
      </c>
      <c r="I102">
        <f t="shared" si="28"/>
        <v>-27.81617361</v>
      </c>
      <c r="J102">
        <f t="shared" si="29"/>
        <v>-35.076293510000006</v>
      </c>
      <c r="L102">
        <f t="shared" si="30"/>
        <v>2350667.5008</v>
      </c>
      <c r="M102">
        <f t="shared" si="31"/>
        <v>-9778018.5342000015</v>
      </c>
      <c r="N102">
        <f t="shared" si="32"/>
        <v>-18348388.6578</v>
      </c>
      <c r="O102">
        <f t="shared" si="33"/>
        <v>-20967174.784200002</v>
      </c>
      <c r="P102">
        <f t="shared" si="34"/>
        <v>-25590879.721199997</v>
      </c>
      <c r="Q102">
        <f t="shared" si="35"/>
        <v>-26657983.067600004</v>
      </c>
      <c r="S102">
        <f t="shared" si="36"/>
        <v>2571042.5789999999</v>
      </c>
      <c r="T102">
        <f t="shared" si="37"/>
        <v>-10985181.316200001</v>
      </c>
      <c r="U102">
        <f t="shared" si="38"/>
        <v>-20076860.053100001</v>
      </c>
      <c r="V102">
        <f t="shared" si="39"/>
        <v>-21994977.469699997</v>
      </c>
      <c r="W102">
        <f t="shared" si="40"/>
        <v>-29763305.762699995</v>
      </c>
      <c r="X102">
        <f t="shared" si="41"/>
        <v>-30516375.353700005</v>
      </c>
      <c r="Z102">
        <f t="shared" si="42"/>
        <v>2791417.6572000002</v>
      </c>
      <c r="AA102">
        <f t="shared" si="43"/>
        <v>-12192344.098200001</v>
      </c>
      <c r="AB102">
        <f t="shared" si="44"/>
        <v>-21805331.448400002</v>
      </c>
      <c r="AC102">
        <f t="shared" si="45"/>
        <v>-27956233.045599997</v>
      </c>
      <c r="AD102">
        <f t="shared" si="46"/>
        <v>-33935731.804200001</v>
      </c>
      <c r="AE102">
        <f t="shared" si="47"/>
        <v>-34374767.639800005</v>
      </c>
    </row>
    <row r="103" spans="1:31" x14ac:dyDescent="0.25">
      <c r="A103">
        <v>21.139747759999999</v>
      </c>
      <c r="B103">
        <v>115.3923265</v>
      </c>
      <c r="C103">
        <v>1.69117999</v>
      </c>
      <c r="D103">
        <v>4.6523637799999999</v>
      </c>
      <c r="E103" t="b">
        <f t="shared" si="24"/>
        <v>1</v>
      </c>
      <c r="F103">
        <f t="shared" si="25"/>
        <v>-3.8035361699999992</v>
      </c>
      <c r="G103">
        <f t="shared" si="26"/>
        <v>-12.259436119999998</v>
      </c>
      <c r="H103">
        <f t="shared" si="27"/>
        <v>-20.715336069999999</v>
      </c>
      <c r="I103">
        <f t="shared" si="28"/>
        <v>-29.171236019999995</v>
      </c>
      <c r="J103">
        <f t="shared" si="29"/>
        <v>-37.627135969999998</v>
      </c>
      <c r="L103">
        <f t="shared" si="30"/>
        <v>3247065.5808000001</v>
      </c>
      <c r="M103">
        <f t="shared" si="31"/>
        <v>-6161728.5953999991</v>
      </c>
      <c r="N103">
        <f t="shared" si="32"/>
        <v>-16918021.845599998</v>
      </c>
      <c r="O103">
        <f t="shared" si="33"/>
        <v>-21129642.7914</v>
      </c>
      <c r="P103">
        <f t="shared" si="34"/>
        <v>-26837537.138399996</v>
      </c>
      <c r="Q103">
        <f t="shared" si="35"/>
        <v>-28596623.337200001</v>
      </c>
      <c r="S103">
        <f t="shared" si="36"/>
        <v>3551477.9790000003</v>
      </c>
      <c r="T103">
        <f t="shared" si="37"/>
        <v>-6922435.8293999983</v>
      </c>
      <c r="U103">
        <f t="shared" si="38"/>
        <v>-18511748.541199997</v>
      </c>
      <c r="V103">
        <f t="shared" si="39"/>
        <v>-22165409.594899997</v>
      </c>
      <c r="W103">
        <f t="shared" si="40"/>
        <v>-31213222.541399989</v>
      </c>
      <c r="X103">
        <f t="shared" si="41"/>
        <v>-32735608.293899998</v>
      </c>
      <c r="Z103">
        <f t="shared" si="42"/>
        <v>3855890.3772000005</v>
      </c>
      <c r="AA103">
        <f t="shared" si="43"/>
        <v>-7683143.0633999985</v>
      </c>
      <c r="AB103">
        <f t="shared" si="44"/>
        <v>-20105475.2368</v>
      </c>
      <c r="AC103">
        <f t="shared" si="45"/>
        <v>-28172857.055199999</v>
      </c>
      <c r="AD103">
        <f t="shared" si="46"/>
        <v>-35588907.944399998</v>
      </c>
      <c r="AE103">
        <f t="shared" si="47"/>
        <v>-36874593.250599995</v>
      </c>
    </row>
    <row r="104" spans="1:31" x14ac:dyDescent="0.25">
      <c r="A104">
        <v>21.14832281</v>
      </c>
      <c r="B104">
        <v>115.2978816</v>
      </c>
      <c r="C104">
        <v>1.3305610400000001</v>
      </c>
      <c r="D104">
        <v>12.071661000000001</v>
      </c>
      <c r="E104" t="b">
        <f t="shared" si="24"/>
        <v>1</v>
      </c>
      <c r="F104">
        <f t="shared" si="25"/>
        <v>5.4188558000000002</v>
      </c>
      <c r="G104">
        <f t="shared" si="26"/>
        <v>-1.2339494000000002</v>
      </c>
      <c r="H104">
        <f t="shared" si="27"/>
        <v>-7.8867546000000015</v>
      </c>
      <c r="I104">
        <f t="shared" si="28"/>
        <v>-14.539559800000001</v>
      </c>
      <c r="J104">
        <f t="shared" si="29"/>
        <v>-21.192365000000002</v>
      </c>
      <c r="L104">
        <f t="shared" si="30"/>
        <v>2554677.1968000005</v>
      </c>
      <c r="M104">
        <f t="shared" si="31"/>
        <v>2155508.8848000001</v>
      </c>
      <c r="N104">
        <f t="shared" si="32"/>
        <v>-1702850.172</v>
      </c>
      <c r="O104">
        <f t="shared" si="33"/>
        <v>-8044489.6920000017</v>
      </c>
      <c r="P104">
        <f t="shared" si="34"/>
        <v>-13376395.015999999</v>
      </c>
      <c r="Q104">
        <f t="shared" si="35"/>
        <v>-16106197.400000002</v>
      </c>
      <c r="S104">
        <f t="shared" si="36"/>
        <v>2794178.1840000004</v>
      </c>
      <c r="T104">
        <f t="shared" si="37"/>
        <v>2421621.0928000002</v>
      </c>
      <c r="U104">
        <f t="shared" si="38"/>
        <v>-1863263.5940000003</v>
      </c>
      <c r="V104">
        <f t="shared" si="39"/>
        <v>-8438827.4220000003</v>
      </c>
      <c r="W104">
        <f t="shared" si="40"/>
        <v>-15557328.985999998</v>
      </c>
      <c r="X104">
        <f t="shared" si="41"/>
        <v>-18437357.550000004</v>
      </c>
      <c r="Z104">
        <f t="shared" si="42"/>
        <v>3033679.1712000002</v>
      </c>
      <c r="AA104">
        <f t="shared" si="43"/>
        <v>2687733.3008000003</v>
      </c>
      <c r="AB104">
        <f t="shared" si="44"/>
        <v>-2023677.0160000003</v>
      </c>
      <c r="AC104">
        <f t="shared" si="45"/>
        <v>-10725986.256000001</v>
      </c>
      <c r="AD104">
        <f t="shared" si="46"/>
        <v>-17738262.956</v>
      </c>
      <c r="AE104">
        <f t="shared" si="47"/>
        <v>-20768517.700000003</v>
      </c>
    </row>
    <row r="105" spans="1:31" x14ac:dyDescent="0.25">
      <c r="A105">
        <v>21.152578049999999</v>
      </c>
      <c r="B105">
        <v>115.2506525</v>
      </c>
      <c r="C105">
        <v>1.29669905</v>
      </c>
      <c r="D105">
        <v>37.67435837</v>
      </c>
      <c r="E105" t="b">
        <f t="shared" si="24"/>
        <v>1</v>
      </c>
      <c r="F105">
        <f t="shared" si="25"/>
        <v>31.190863119999999</v>
      </c>
      <c r="G105">
        <f t="shared" si="26"/>
        <v>24.707367869999999</v>
      </c>
      <c r="H105">
        <f t="shared" si="27"/>
        <v>18.223872620000002</v>
      </c>
      <c r="I105">
        <f t="shared" si="28"/>
        <v>11.740377370000001</v>
      </c>
      <c r="J105">
        <f t="shared" si="29"/>
        <v>5.2568821200000002</v>
      </c>
      <c r="L105">
        <f t="shared" si="30"/>
        <v>2489662.1760000004</v>
      </c>
      <c r="M105">
        <f t="shared" si="31"/>
        <v>2100652.4610000001</v>
      </c>
      <c r="N105">
        <f t="shared" si="32"/>
        <v>1789444.689</v>
      </c>
      <c r="O105">
        <f t="shared" si="33"/>
        <v>1322633.031</v>
      </c>
      <c r="P105">
        <f t="shared" si="34"/>
        <v>1192963.1259999999</v>
      </c>
      <c r="Q105">
        <f t="shared" si="35"/>
        <v>985491.27800000005</v>
      </c>
      <c r="S105">
        <f t="shared" si="36"/>
        <v>2723068.0050000004</v>
      </c>
      <c r="T105">
        <f t="shared" si="37"/>
        <v>2359992.2710000002</v>
      </c>
      <c r="U105">
        <f t="shared" si="38"/>
        <v>1958015.5655</v>
      </c>
      <c r="V105">
        <f t="shared" si="39"/>
        <v>1387467.9834999999</v>
      </c>
      <c r="W105">
        <f t="shared" si="40"/>
        <v>1387467.9834999999</v>
      </c>
      <c r="X105">
        <f t="shared" si="41"/>
        <v>1128128.1735</v>
      </c>
      <c r="Z105">
        <f t="shared" si="42"/>
        <v>2956473.8340000003</v>
      </c>
      <c r="AA105">
        <f t="shared" si="43"/>
        <v>2619332.0810000002</v>
      </c>
      <c r="AB105">
        <f t="shared" si="44"/>
        <v>2126586.4420000003</v>
      </c>
      <c r="AC105">
        <f t="shared" si="45"/>
        <v>1763510.7079999999</v>
      </c>
      <c r="AD105">
        <f t="shared" si="46"/>
        <v>1581972.841</v>
      </c>
      <c r="AE105">
        <f t="shared" si="47"/>
        <v>1270765.0690000001</v>
      </c>
    </row>
    <row r="106" spans="1:31" x14ac:dyDescent="0.25">
      <c r="A106">
        <v>21.15681176</v>
      </c>
      <c r="B106">
        <v>115.203419</v>
      </c>
      <c r="C106">
        <v>1.3427549599999999</v>
      </c>
      <c r="D106">
        <v>11.150982859999999</v>
      </c>
      <c r="E106" t="b">
        <f t="shared" si="24"/>
        <v>1</v>
      </c>
      <c r="F106">
        <f t="shared" si="25"/>
        <v>4.4372080599999997</v>
      </c>
      <c r="G106">
        <f t="shared" si="26"/>
        <v>-2.2765667399999998</v>
      </c>
      <c r="H106">
        <f t="shared" si="27"/>
        <v>-8.9903415399999993</v>
      </c>
      <c r="I106">
        <f t="shared" si="28"/>
        <v>-15.704116339999999</v>
      </c>
      <c r="J106">
        <f t="shared" si="29"/>
        <v>-22.417891140000002</v>
      </c>
      <c r="L106">
        <f t="shared" si="30"/>
        <v>2578089.5232000002</v>
      </c>
      <c r="M106">
        <f t="shared" si="31"/>
        <v>2175263.0352000003</v>
      </c>
      <c r="N106">
        <f t="shared" si="32"/>
        <v>-3141662.1011999995</v>
      </c>
      <c r="O106">
        <f t="shared" si="33"/>
        <v>-9170148.3707999997</v>
      </c>
      <c r="P106">
        <f t="shared" si="34"/>
        <v>-14447787.032799996</v>
      </c>
      <c r="Q106">
        <f t="shared" si="35"/>
        <v>-17037597.266400002</v>
      </c>
      <c r="S106">
        <f t="shared" si="36"/>
        <v>2819785.4160000002</v>
      </c>
      <c r="T106">
        <f t="shared" si="37"/>
        <v>2443814.0271999999</v>
      </c>
      <c r="U106">
        <f t="shared" si="38"/>
        <v>-3437615.7773999996</v>
      </c>
      <c r="V106">
        <f t="shared" si="39"/>
        <v>-9619665.4477999974</v>
      </c>
      <c r="W106">
        <f t="shared" si="40"/>
        <v>-16803404.483799994</v>
      </c>
      <c r="X106">
        <f t="shared" si="41"/>
        <v>-19503565.2918</v>
      </c>
      <c r="Z106">
        <f t="shared" si="42"/>
        <v>3061481.3088000002</v>
      </c>
      <c r="AA106">
        <f t="shared" si="43"/>
        <v>2712365.0192</v>
      </c>
      <c r="AB106">
        <f t="shared" si="44"/>
        <v>-3733569.4535999997</v>
      </c>
      <c r="AC106">
        <f t="shared" si="45"/>
        <v>-12226864.494399998</v>
      </c>
      <c r="AD106">
        <f t="shared" si="46"/>
        <v>-19159021.934799995</v>
      </c>
      <c r="AE106">
        <f t="shared" si="47"/>
        <v>-21969533.317200001</v>
      </c>
    </row>
    <row r="107" spans="1:31" x14ac:dyDescent="0.25">
      <c r="A107">
        <v>21.16102394</v>
      </c>
      <c r="B107">
        <v>115.1561811</v>
      </c>
      <c r="C107">
        <v>1.060794</v>
      </c>
      <c r="D107">
        <v>1.3026620099999999</v>
      </c>
      <c r="E107" t="b">
        <f t="shared" si="24"/>
        <v>1</v>
      </c>
      <c r="F107">
        <f t="shared" si="25"/>
        <v>-4.0013079899999999</v>
      </c>
      <c r="G107">
        <f t="shared" si="26"/>
        <v>-9.3052779899999987</v>
      </c>
      <c r="H107">
        <f t="shared" si="27"/>
        <v>-14.60924799</v>
      </c>
      <c r="I107">
        <f t="shared" si="28"/>
        <v>-19.91321799</v>
      </c>
      <c r="J107">
        <f t="shared" si="29"/>
        <v>-25.217187990000003</v>
      </c>
      <c r="L107">
        <f t="shared" si="30"/>
        <v>2036724.4800000002</v>
      </c>
      <c r="M107">
        <f t="shared" si="31"/>
        <v>-6482118.9438000005</v>
      </c>
      <c r="N107">
        <f t="shared" si="32"/>
        <v>-12841283.626199996</v>
      </c>
      <c r="O107">
        <f t="shared" si="33"/>
        <v>-14901432.9498</v>
      </c>
      <c r="P107">
        <f t="shared" si="34"/>
        <v>-18320160.550799996</v>
      </c>
      <c r="Q107">
        <f t="shared" si="35"/>
        <v>-19165062.872400001</v>
      </c>
      <c r="S107">
        <f t="shared" si="36"/>
        <v>2227667.4</v>
      </c>
      <c r="T107">
        <f t="shared" si="37"/>
        <v>-7282380.5417999998</v>
      </c>
      <c r="U107">
        <f t="shared" si="38"/>
        <v>-14050969.764899997</v>
      </c>
      <c r="V107">
        <f t="shared" si="39"/>
        <v>-15631895.349299997</v>
      </c>
      <c r="W107">
        <f t="shared" si="40"/>
        <v>-21307143.249299996</v>
      </c>
      <c r="X107">
        <f t="shared" si="41"/>
        <v>-21938953.5513</v>
      </c>
      <c r="Z107">
        <f t="shared" si="42"/>
        <v>2418610.3200000003</v>
      </c>
      <c r="AA107">
        <f t="shared" si="43"/>
        <v>-8082642.1398</v>
      </c>
      <c r="AB107">
        <f t="shared" si="44"/>
        <v>-15260655.903599998</v>
      </c>
      <c r="AC107">
        <f t="shared" si="45"/>
        <v>-19868577.266399998</v>
      </c>
      <c r="AD107">
        <f t="shared" si="46"/>
        <v>-24294125.947799999</v>
      </c>
      <c r="AE107">
        <f t="shared" si="47"/>
        <v>-24712844.2302</v>
      </c>
    </row>
    <row r="108" spans="1:31" x14ac:dyDescent="0.25">
      <c r="A108">
        <v>21.165214580000001</v>
      </c>
      <c r="B108">
        <v>115.1089389</v>
      </c>
      <c r="C108">
        <v>1.7065730100000001</v>
      </c>
      <c r="D108">
        <v>3.13422394</v>
      </c>
      <c r="E108" t="b">
        <f t="shared" si="24"/>
        <v>1</v>
      </c>
      <c r="F108">
        <f t="shared" si="25"/>
        <v>-5.3986411099999998</v>
      </c>
      <c r="G108">
        <f t="shared" si="26"/>
        <v>-13.93150616</v>
      </c>
      <c r="H108">
        <f t="shared" si="27"/>
        <v>-22.464371210000003</v>
      </c>
      <c r="I108">
        <f t="shared" si="28"/>
        <v>-30.997236260000001</v>
      </c>
      <c r="J108">
        <f t="shared" si="29"/>
        <v>-39.530101310000006</v>
      </c>
      <c r="L108">
        <f t="shared" si="30"/>
        <v>3276620.1792000001</v>
      </c>
      <c r="M108">
        <f t="shared" si="31"/>
        <v>-8745798.598199999</v>
      </c>
      <c r="N108">
        <f t="shared" si="32"/>
        <v>-19225478.500799999</v>
      </c>
      <c r="O108">
        <f t="shared" si="33"/>
        <v>-22913658.634200007</v>
      </c>
      <c r="P108">
        <f t="shared" si="34"/>
        <v>-28517457.359200001</v>
      </c>
      <c r="Q108">
        <f t="shared" si="35"/>
        <v>-30042876.995600007</v>
      </c>
      <c r="S108">
        <f t="shared" si="36"/>
        <v>3583803.321</v>
      </c>
      <c r="T108">
        <f t="shared" si="37"/>
        <v>-9825526.8202</v>
      </c>
      <c r="U108">
        <f t="shared" si="38"/>
        <v>-21036574.301600002</v>
      </c>
      <c r="V108">
        <f t="shared" si="39"/>
        <v>-24036877.194700003</v>
      </c>
      <c r="W108">
        <f t="shared" si="40"/>
        <v>-33167042.798199996</v>
      </c>
      <c r="X108">
        <f t="shared" si="41"/>
        <v>-34391188.13970001</v>
      </c>
      <c r="Z108">
        <f t="shared" si="42"/>
        <v>3890986.4628000003</v>
      </c>
      <c r="AA108">
        <f t="shared" si="43"/>
        <v>-10905255.042199999</v>
      </c>
      <c r="AB108">
        <f t="shared" si="44"/>
        <v>-22847670.102400001</v>
      </c>
      <c r="AC108">
        <f t="shared" si="45"/>
        <v>-30551544.845600005</v>
      </c>
      <c r="AD108">
        <f t="shared" si="46"/>
        <v>-37816628.237199999</v>
      </c>
      <c r="AE108">
        <f t="shared" si="47"/>
        <v>-38739499.283800006</v>
      </c>
    </row>
    <row r="109" spans="1:31" x14ac:dyDescent="0.25">
      <c r="A109">
        <v>21.169383669999998</v>
      </c>
      <c r="B109">
        <v>115.0616922</v>
      </c>
      <c r="C109">
        <v>1.05698705</v>
      </c>
      <c r="D109">
        <v>11.16077709</v>
      </c>
      <c r="E109" t="b">
        <f t="shared" si="24"/>
        <v>1</v>
      </c>
      <c r="F109">
        <f t="shared" si="25"/>
        <v>5.8758418399999996</v>
      </c>
      <c r="G109">
        <f t="shared" si="26"/>
        <v>0.59090658999999945</v>
      </c>
      <c r="H109">
        <f t="shared" si="27"/>
        <v>-4.6940286600000007</v>
      </c>
      <c r="I109">
        <f t="shared" si="28"/>
        <v>-9.9789639100000009</v>
      </c>
      <c r="J109">
        <f t="shared" si="29"/>
        <v>-15.263899160000001</v>
      </c>
      <c r="L109">
        <f t="shared" si="30"/>
        <v>2029415.1360000002</v>
      </c>
      <c r="M109">
        <f t="shared" si="31"/>
        <v>1712319.0210000002</v>
      </c>
      <c r="N109">
        <f t="shared" si="32"/>
        <v>815451.09419999924</v>
      </c>
      <c r="O109">
        <f t="shared" si="33"/>
        <v>-4787909.2332000015</v>
      </c>
      <c r="P109">
        <f t="shared" si="34"/>
        <v>-9180646.7971999999</v>
      </c>
      <c r="Q109">
        <f t="shared" si="35"/>
        <v>-11600563.361600002</v>
      </c>
      <c r="S109">
        <f t="shared" si="36"/>
        <v>2219672.8050000002</v>
      </c>
      <c r="T109">
        <f t="shared" si="37"/>
        <v>1923716.4310000001</v>
      </c>
      <c r="U109">
        <f t="shared" si="38"/>
        <v>892268.95089999924</v>
      </c>
      <c r="V109">
        <f t="shared" si="39"/>
        <v>-5022610.6662000008</v>
      </c>
      <c r="W109">
        <f t="shared" si="40"/>
        <v>-10677491.383699998</v>
      </c>
      <c r="X109">
        <f t="shared" si="41"/>
        <v>-13279592.269200001</v>
      </c>
      <c r="Z109">
        <f t="shared" si="42"/>
        <v>2409930.4740000004</v>
      </c>
      <c r="AA109">
        <f t="shared" si="43"/>
        <v>2135113.841</v>
      </c>
      <c r="AB109">
        <f t="shared" si="44"/>
        <v>969086.80759999924</v>
      </c>
      <c r="AC109">
        <f t="shared" si="45"/>
        <v>-6383878.9776000008</v>
      </c>
      <c r="AD109">
        <f t="shared" si="46"/>
        <v>-12174335.9702</v>
      </c>
      <c r="AE109">
        <f t="shared" si="47"/>
        <v>-14958621.176800001</v>
      </c>
    </row>
    <row r="110" spans="1:31" x14ac:dyDescent="0.25">
      <c r="A110">
        <v>21.196889259999999</v>
      </c>
      <c r="B110">
        <v>115.25517929999999</v>
      </c>
      <c r="C110">
        <v>1.25382602</v>
      </c>
      <c r="D110">
        <v>43.340446470000003</v>
      </c>
      <c r="E110" t="b">
        <f t="shared" si="24"/>
        <v>1</v>
      </c>
      <c r="F110">
        <f t="shared" si="25"/>
        <v>37.071316370000005</v>
      </c>
      <c r="G110">
        <f t="shared" si="26"/>
        <v>30.802186270000004</v>
      </c>
      <c r="H110">
        <f t="shared" si="27"/>
        <v>24.533056170000002</v>
      </c>
      <c r="I110">
        <f t="shared" si="28"/>
        <v>18.263926070000004</v>
      </c>
      <c r="J110">
        <f t="shared" si="29"/>
        <v>11.994795970000006</v>
      </c>
      <c r="L110">
        <f t="shared" si="30"/>
        <v>2407345.9584000004</v>
      </c>
      <c r="M110">
        <f t="shared" si="31"/>
        <v>2031198.1524000003</v>
      </c>
      <c r="N110">
        <f t="shared" si="32"/>
        <v>1730279.9075999998</v>
      </c>
      <c r="O110">
        <f t="shared" si="33"/>
        <v>1278902.5404000001</v>
      </c>
      <c r="P110">
        <f t="shared" si="34"/>
        <v>1153519.9383999999</v>
      </c>
      <c r="Q110">
        <f t="shared" si="35"/>
        <v>952907.77520000003</v>
      </c>
      <c r="S110">
        <f t="shared" si="36"/>
        <v>2633034.642</v>
      </c>
      <c r="T110">
        <f t="shared" si="37"/>
        <v>2281963.3563999999</v>
      </c>
      <c r="U110">
        <f t="shared" si="38"/>
        <v>1893277.2901999999</v>
      </c>
      <c r="V110">
        <f t="shared" si="39"/>
        <v>1341593.8413999998</v>
      </c>
      <c r="W110">
        <f t="shared" si="40"/>
        <v>1341593.8413999998</v>
      </c>
      <c r="X110">
        <f t="shared" si="41"/>
        <v>1090828.6374000001</v>
      </c>
      <c r="Z110">
        <f t="shared" si="42"/>
        <v>2858723.3256000006</v>
      </c>
      <c r="AA110">
        <f t="shared" si="43"/>
        <v>2532728.5603999998</v>
      </c>
      <c r="AB110">
        <f t="shared" si="44"/>
        <v>2056274.6728000003</v>
      </c>
      <c r="AC110">
        <f t="shared" si="45"/>
        <v>1705203.3871999998</v>
      </c>
      <c r="AD110">
        <f t="shared" si="46"/>
        <v>1529667.7444</v>
      </c>
      <c r="AE110">
        <f t="shared" si="47"/>
        <v>1228749.4996</v>
      </c>
    </row>
    <row r="111" spans="1:31" x14ac:dyDescent="0.25">
      <c r="A111">
        <v>21.22836088</v>
      </c>
      <c r="B111">
        <v>115.4015215</v>
      </c>
      <c r="C111">
        <v>1.1457630400000001</v>
      </c>
      <c r="D111">
        <v>0.61215299000000001</v>
      </c>
      <c r="E111" t="b">
        <f t="shared" si="24"/>
        <v>0</v>
      </c>
      <c r="F111">
        <f t="shared" si="25"/>
        <v>-5.1166622100000003</v>
      </c>
      <c r="G111">
        <f t="shared" si="26"/>
        <v>-10.845477410000001</v>
      </c>
      <c r="H111">
        <f t="shared" si="27"/>
        <v>-16.574292610000004</v>
      </c>
      <c r="I111">
        <f t="shared" si="28"/>
        <v>-22.303107810000004</v>
      </c>
      <c r="J111">
        <f t="shared" si="29"/>
        <v>-28.031923010000003</v>
      </c>
      <c r="L111">
        <f t="shared" si="30"/>
        <v>1175333.7408</v>
      </c>
      <c r="M111">
        <f t="shared" si="31"/>
        <v>-8288992.7802000009</v>
      </c>
      <c r="N111">
        <f t="shared" si="32"/>
        <v>-14966758.8258</v>
      </c>
      <c r="O111">
        <f t="shared" si="33"/>
        <v>-16905778.462200005</v>
      </c>
      <c r="P111">
        <f t="shared" si="34"/>
        <v>-20518859.185200002</v>
      </c>
      <c r="Q111">
        <f t="shared" si="35"/>
        <v>-21304261.487600002</v>
      </c>
      <c r="S111">
        <f t="shared" si="36"/>
        <v>1285521.2790000001</v>
      </c>
      <c r="T111">
        <f t="shared" si="37"/>
        <v>-9312325.2222000007</v>
      </c>
      <c r="U111">
        <f t="shared" si="38"/>
        <v>-16376670.8891</v>
      </c>
      <c r="V111">
        <f t="shared" si="39"/>
        <v>-17734493.092700001</v>
      </c>
      <c r="W111">
        <f t="shared" si="40"/>
        <v>-23864325.356699999</v>
      </c>
      <c r="X111">
        <f t="shared" si="41"/>
        <v>-24387773.0187</v>
      </c>
      <c r="Z111">
        <f t="shared" si="42"/>
        <v>1395708.8172000002</v>
      </c>
      <c r="AA111">
        <f t="shared" si="43"/>
        <v>-10335657.6642</v>
      </c>
      <c r="AB111">
        <f t="shared" si="44"/>
        <v>-17786582.952400003</v>
      </c>
      <c r="AC111">
        <f t="shared" si="45"/>
        <v>-22541037.949600004</v>
      </c>
      <c r="AD111">
        <f t="shared" si="46"/>
        <v>-27209791.528200001</v>
      </c>
      <c r="AE111">
        <f t="shared" si="47"/>
        <v>-27471284.549800001</v>
      </c>
    </row>
    <row r="112" spans="1:31" x14ac:dyDescent="0.25">
      <c r="A112">
        <v>21.23694747</v>
      </c>
      <c r="B112">
        <v>115.30698529999999</v>
      </c>
      <c r="C112">
        <v>2.2340700600000001</v>
      </c>
      <c r="D112">
        <v>7.3458380700000001</v>
      </c>
      <c r="E112" t="b">
        <f t="shared" si="24"/>
        <v>1</v>
      </c>
      <c r="F112">
        <f t="shared" si="25"/>
        <v>-3.8245122300000007</v>
      </c>
      <c r="G112">
        <f t="shared" si="26"/>
        <v>-14.994862530000002</v>
      </c>
      <c r="H112">
        <f t="shared" si="27"/>
        <v>-26.165212830000002</v>
      </c>
      <c r="I112">
        <f t="shared" si="28"/>
        <v>-37.335563130000004</v>
      </c>
      <c r="J112">
        <f t="shared" si="29"/>
        <v>-48.50591343</v>
      </c>
      <c r="L112">
        <f t="shared" si="30"/>
        <v>4289414.5152000003</v>
      </c>
      <c r="M112">
        <f t="shared" si="31"/>
        <v>-6195709.8126000017</v>
      </c>
      <c r="N112">
        <f t="shared" si="32"/>
        <v>-20692910.291400004</v>
      </c>
      <c r="O112">
        <f t="shared" si="33"/>
        <v>-26688517.086600002</v>
      </c>
      <c r="P112">
        <f t="shared" si="34"/>
        <v>-34348718.079599999</v>
      </c>
      <c r="Q112">
        <f t="shared" si="35"/>
        <v>-36864494.206799999</v>
      </c>
      <c r="S112">
        <f t="shared" si="36"/>
        <v>4691547.1260000002</v>
      </c>
      <c r="T112">
        <f t="shared" si="37"/>
        <v>-6960612.2586000022</v>
      </c>
      <c r="U112">
        <f t="shared" si="38"/>
        <v>-22642242.420300003</v>
      </c>
      <c r="V112">
        <f t="shared" si="39"/>
        <v>-27996777.728099998</v>
      </c>
      <c r="W112">
        <f t="shared" si="40"/>
        <v>-39949052.549099997</v>
      </c>
      <c r="X112">
        <f t="shared" si="41"/>
        <v>-42200144.684100002</v>
      </c>
      <c r="Z112">
        <f t="shared" si="42"/>
        <v>5093679.736800001</v>
      </c>
      <c r="AA112">
        <f t="shared" si="43"/>
        <v>-7725514.7046000017</v>
      </c>
      <c r="AB112">
        <f t="shared" si="44"/>
        <v>-24591574.549200006</v>
      </c>
      <c r="AC112">
        <f t="shared" si="45"/>
        <v>-35584689.448799998</v>
      </c>
      <c r="AD112">
        <f t="shared" si="46"/>
        <v>-45549387.018600002</v>
      </c>
      <c r="AE112">
        <f t="shared" si="47"/>
        <v>-47535795.161399998</v>
      </c>
    </row>
    <row r="113" spans="1:31" x14ac:dyDescent="0.25">
      <c r="A113">
        <v>21.24120843</v>
      </c>
      <c r="B113">
        <v>115.25971060000001</v>
      </c>
      <c r="C113">
        <v>1.16032004</v>
      </c>
      <c r="D113">
        <v>1.9613389999999999</v>
      </c>
      <c r="E113" t="b">
        <f t="shared" si="24"/>
        <v>1</v>
      </c>
      <c r="F113">
        <f t="shared" si="25"/>
        <v>-3.8402612000000005</v>
      </c>
      <c r="G113">
        <f t="shared" si="26"/>
        <v>-9.6418613999999998</v>
      </c>
      <c r="H113">
        <f t="shared" si="27"/>
        <v>-15.443461600000001</v>
      </c>
      <c r="I113">
        <f t="shared" si="28"/>
        <v>-21.245061800000002</v>
      </c>
      <c r="J113">
        <f t="shared" si="29"/>
        <v>-27.046662000000001</v>
      </c>
      <c r="L113">
        <f t="shared" si="30"/>
        <v>2227814.4768000003</v>
      </c>
      <c r="M113">
        <f t="shared" si="31"/>
        <v>-6221223.1440000013</v>
      </c>
      <c r="N113">
        <f t="shared" si="32"/>
        <v>-13305768.731999999</v>
      </c>
      <c r="O113">
        <f t="shared" si="33"/>
        <v>-15752330.832000002</v>
      </c>
      <c r="P113">
        <f t="shared" si="34"/>
        <v>-19545456.855999999</v>
      </c>
      <c r="Q113">
        <f t="shared" si="35"/>
        <v>-20555463.120000001</v>
      </c>
      <c r="S113">
        <f t="shared" si="36"/>
        <v>2436672.0840000003</v>
      </c>
      <c r="T113">
        <f t="shared" si="37"/>
        <v>-6989275.3840000015</v>
      </c>
      <c r="U113">
        <f t="shared" si="38"/>
        <v>-14559210.714000002</v>
      </c>
      <c r="V113">
        <f t="shared" si="39"/>
        <v>-16524503.911999999</v>
      </c>
      <c r="W113">
        <f t="shared" si="40"/>
        <v>-22732216.125999998</v>
      </c>
      <c r="X113">
        <f t="shared" si="41"/>
        <v>-23530595.940000001</v>
      </c>
      <c r="Z113">
        <f t="shared" si="42"/>
        <v>2645529.6912000002</v>
      </c>
      <c r="AA113">
        <f t="shared" si="43"/>
        <v>-7757327.6240000017</v>
      </c>
      <c r="AB113">
        <f t="shared" si="44"/>
        <v>-15812652.696000002</v>
      </c>
      <c r="AC113">
        <f t="shared" si="45"/>
        <v>-21003107.776000001</v>
      </c>
      <c r="AD113">
        <f t="shared" si="46"/>
        <v>-25918975.396000002</v>
      </c>
      <c r="AE113">
        <f t="shared" si="47"/>
        <v>-26505728.759999998</v>
      </c>
    </row>
    <row r="114" spans="1:31" x14ac:dyDescent="0.25">
      <c r="A114">
        <v>21.262189790000001</v>
      </c>
      <c r="B114">
        <v>115.0232707</v>
      </c>
      <c r="C114">
        <v>1.05698705</v>
      </c>
      <c r="D114">
        <v>11.50848103</v>
      </c>
      <c r="E114" t="b">
        <f t="shared" si="24"/>
        <v>1</v>
      </c>
      <c r="F114">
        <f t="shared" si="25"/>
        <v>6.2235457800000002</v>
      </c>
      <c r="G114">
        <f t="shared" si="26"/>
        <v>0.93861053000000005</v>
      </c>
      <c r="H114">
        <f t="shared" si="27"/>
        <v>-4.3463247200000001</v>
      </c>
      <c r="I114">
        <f t="shared" si="28"/>
        <v>-9.6312599700000003</v>
      </c>
      <c r="J114">
        <f t="shared" si="29"/>
        <v>-14.916195220000001</v>
      </c>
      <c r="L114">
        <f t="shared" si="30"/>
        <v>2029415.1360000002</v>
      </c>
      <c r="M114">
        <f t="shared" si="31"/>
        <v>1712319.0210000002</v>
      </c>
      <c r="N114">
        <f t="shared" si="32"/>
        <v>1295282.5314</v>
      </c>
      <c r="O114">
        <f t="shared" si="33"/>
        <v>-4433251.2143999999</v>
      </c>
      <c r="P114">
        <f t="shared" si="34"/>
        <v>-8860759.1723999996</v>
      </c>
      <c r="Q114">
        <f t="shared" si="35"/>
        <v>-11336308.3672</v>
      </c>
      <c r="S114">
        <f t="shared" si="36"/>
        <v>2219672.8050000002</v>
      </c>
      <c r="T114">
        <f t="shared" si="37"/>
        <v>1923716.4310000001</v>
      </c>
      <c r="U114">
        <f t="shared" si="38"/>
        <v>1417301.9003000001</v>
      </c>
      <c r="V114">
        <f t="shared" si="39"/>
        <v>-4650567.4503999986</v>
      </c>
      <c r="W114">
        <f t="shared" si="40"/>
        <v>-10305448.1679</v>
      </c>
      <c r="X114">
        <f t="shared" si="41"/>
        <v>-12977089.841400001</v>
      </c>
      <c r="Z114">
        <f t="shared" si="42"/>
        <v>2409930.4740000004</v>
      </c>
      <c r="AA114">
        <f t="shared" si="43"/>
        <v>2135113.841</v>
      </c>
      <c r="AB114">
        <f t="shared" si="44"/>
        <v>1539321.2692000002</v>
      </c>
      <c r="AC114">
        <f t="shared" si="45"/>
        <v>-5911001.6191999987</v>
      </c>
      <c r="AD114">
        <f t="shared" si="46"/>
        <v>-11750137.1634</v>
      </c>
      <c r="AE114">
        <f t="shared" si="47"/>
        <v>-14617871.3156</v>
      </c>
    </row>
    <row r="115" spans="1:31" x14ac:dyDescent="0.25">
      <c r="A115">
        <v>21.264000759999998</v>
      </c>
      <c r="B115">
        <v>115.5006897</v>
      </c>
      <c r="C115">
        <v>0.91557401000000005</v>
      </c>
      <c r="D115">
        <v>0.48972300000000002</v>
      </c>
      <c r="E115" t="b">
        <f t="shared" si="24"/>
        <v>0</v>
      </c>
      <c r="F115">
        <f t="shared" si="25"/>
        <v>-4.0881470500000008</v>
      </c>
      <c r="G115">
        <f t="shared" si="26"/>
        <v>-8.6660171000000012</v>
      </c>
      <c r="H115">
        <f t="shared" si="27"/>
        <v>-13.243887150000001</v>
      </c>
      <c r="I115">
        <f t="shared" si="28"/>
        <v>-17.8217572</v>
      </c>
      <c r="J115">
        <f t="shared" si="29"/>
        <v>-22.399627249999998</v>
      </c>
      <c r="L115">
        <f t="shared" si="30"/>
        <v>940268.16</v>
      </c>
      <c r="M115">
        <f t="shared" si="31"/>
        <v>-6622798.2210000018</v>
      </c>
      <c r="N115">
        <f t="shared" si="32"/>
        <v>-11959103.598000001</v>
      </c>
      <c r="O115">
        <f t="shared" si="33"/>
        <v>-13508764.893000001</v>
      </c>
      <c r="P115">
        <f t="shared" si="34"/>
        <v>-16396016.623999998</v>
      </c>
      <c r="Q115">
        <f t="shared" si="35"/>
        <v>-17023716.710000001</v>
      </c>
      <c r="S115">
        <f t="shared" si="36"/>
        <v>1028418.3</v>
      </c>
      <c r="T115">
        <f t="shared" si="37"/>
        <v>-7440427.6310000019</v>
      </c>
      <c r="U115">
        <f t="shared" si="38"/>
        <v>-13085685.821000002</v>
      </c>
      <c r="V115">
        <f t="shared" si="39"/>
        <v>-14170959.250499999</v>
      </c>
      <c r="W115">
        <f t="shared" si="40"/>
        <v>-19069280.203999996</v>
      </c>
      <c r="X115">
        <f t="shared" si="41"/>
        <v>-19487675.7075</v>
      </c>
      <c r="Z115">
        <f t="shared" si="42"/>
        <v>1116568.4400000002</v>
      </c>
      <c r="AA115">
        <f t="shared" si="43"/>
        <v>-8258057.0410000011</v>
      </c>
      <c r="AB115">
        <f t="shared" si="44"/>
        <v>-14212268.044000003</v>
      </c>
      <c r="AC115">
        <f t="shared" si="45"/>
        <v>-18011686.524</v>
      </c>
      <c r="AD115">
        <f t="shared" si="46"/>
        <v>-21742543.783999998</v>
      </c>
      <c r="AE115">
        <f t="shared" si="47"/>
        <v>-21951634.704999998</v>
      </c>
    </row>
    <row r="116" spans="1:31" x14ac:dyDescent="0.25">
      <c r="A116">
        <v>21.266321340000001</v>
      </c>
      <c r="B116">
        <v>114.97596969999999</v>
      </c>
      <c r="C116">
        <v>1.2528669800000001</v>
      </c>
      <c r="D116">
        <v>61.88134384</v>
      </c>
      <c r="E116" t="b">
        <f t="shared" si="24"/>
        <v>1</v>
      </c>
      <c r="F116">
        <f t="shared" si="25"/>
        <v>55.617008939999998</v>
      </c>
      <c r="G116">
        <f t="shared" si="26"/>
        <v>49.352674039999997</v>
      </c>
      <c r="H116">
        <f t="shared" si="27"/>
        <v>43.088339140000002</v>
      </c>
      <c r="I116">
        <f t="shared" si="28"/>
        <v>36.824004239999994</v>
      </c>
      <c r="J116">
        <f t="shared" si="29"/>
        <v>30.559669339999999</v>
      </c>
      <c r="L116">
        <f t="shared" si="30"/>
        <v>2405504.6016000002</v>
      </c>
      <c r="M116">
        <f t="shared" si="31"/>
        <v>2029644.5076000001</v>
      </c>
      <c r="N116">
        <f t="shared" si="32"/>
        <v>1728956.4323999998</v>
      </c>
      <c r="O116">
        <f t="shared" si="33"/>
        <v>1277924.3196</v>
      </c>
      <c r="P116">
        <f t="shared" si="34"/>
        <v>1152637.6216</v>
      </c>
      <c r="Q116">
        <f t="shared" si="35"/>
        <v>952178.90480000002</v>
      </c>
      <c r="S116">
        <f t="shared" si="36"/>
        <v>2631020.6580000003</v>
      </c>
      <c r="T116">
        <f t="shared" si="37"/>
        <v>2280217.9035999998</v>
      </c>
      <c r="U116">
        <f t="shared" si="38"/>
        <v>1891829.1398</v>
      </c>
      <c r="V116">
        <f t="shared" si="39"/>
        <v>1340567.6685999997</v>
      </c>
      <c r="W116">
        <f t="shared" si="40"/>
        <v>1340567.6685999997</v>
      </c>
      <c r="X116">
        <f t="shared" si="41"/>
        <v>1089994.2726</v>
      </c>
      <c r="Z116">
        <f t="shared" si="42"/>
        <v>2856536.7144000004</v>
      </c>
      <c r="AA116">
        <f t="shared" si="43"/>
        <v>2530791.2996</v>
      </c>
      <c r="AB116">
        <f t="shared" si="44"/>
        <v>2054701.8472000002</v>
      </c>
      <c r="AC116">
        <f t="shared" si="45"/>
        <v>1703899.0927999998</v>
      </c>
      <c r="AD116">
        <f t="shared" si="46"/>
        <v>1528497.7156</v>
      </c>
      <c r="AE116">
        <f t="shared" si="47"/>
        <v>1227809.6403999999</v>
      </c>
    </row>
    <row r="117" spans="1:31" x14ac:dyDescent="0.25">
      <c r="A117">
        <v>21.28127173</v>
      </c>
      <c r="B117">
        <v>115.3115439</v>
      </c>
      <c r="C117">
        <v>0.60637998999999998</v>
      </c>
      <c r="D117">
        <v>0.73458396999999998</v>
      </c>
      <c r="E117" t="b">
        <f t="shared" si="24"/>
        <v>1</v>
      </c>
      <c r="F117">
        <f t="shared" si="25"/>
        <v>-2.2973159799999996</v>
      </c>
      <c r="G117">
        <f t="shared" si="26"/>
        <v>-5.3292159299999993</v>
      </c>
      <c r="H117">
        <f t="shared" si="27"/>
        <v>-8.3611158799999998</v>
      </c>
      <c r="I117">
        <f t="shared" si="28"/>
        <v>-11.39301583</v>
      </c>
      <c r="J117">
        <f t="shared" si="29"/>
        <v>-14.424915780000001</v>
      </c>
      <c r="L117">
        <f t="shared" si="30"/>
        <v>1164249.5808000001</v>
      </c>
      <c r="M117">
        <f t="shared" si="31"/>
        <v>-3721651.8875999996</v>
      </c>
      <c r="N117">
        <f t="shared" si="32"/>
        <v>-7354317.9833999993</v>
      </c>
      <c r="O117">
        <f t="shared" si="33"/>
        <v>-8528338.1975999996</v>
      </c>
      <c r="P117">
        <f t="shared" si="34"/>
        <v>-10481574.5636</v>
      </c>
      <c r="Q117">
        <f t="shared" si="35"/>
        <v>-10962935.992800001</v>
      </c>
      <c r="S117">
        <f t="shared" si="36"/>
        <v>1273397.9790000001</v>
      </c>
      <c r="T117">
        <f t="shared" si="37"/>
        <v>-4181115.0835999991</v>
      </c>
      <c r="U117">
        <f t="shared" si="38"/>
        <v>-8047116.0543</v>
      </c>
      <c r="V117">
        <f t="shared" si="39"/>
        <v>-8946393.9915999994</v>
      </c>
      <c r="W117">
        <f t="shared" si="40"/>
        <v>-12190526.938099999</v>
      </c>
      <c r="X117">
        <f t="shared" si="41"/>
        <v>-12549676.728600001</v>
      </c>
      <c r="Z117">
        <f t="shared" si="42"/>
        <v>1382546.3772000002</v>
      </c>
      <c r="AA117">
        <f t="shared" si="43"/>
        <v>-4640578.2795999991</v>
      </c>
      <c r="AB117">
        <f t="shared" si="44"/>
        <v>-8739914.1251999997</v>
      </c>
      <c r="AC117">
        <f t="shared" si="45"/>
        <v>-11371117.596799999</v>
      </c>
      <c r="AD117">
        <f t="shared" si="46"/>
        <v>-13899479.3126</v>
      </c>
      <c r="AE117">
        <f t="shared" si="47"/>
        <v>-14136417.464400001</v>
      </c>
    </row>
    <row r="118" spans="1:31" x14ac:dyDescent="0.25">
      <c r="A118">
        <v>21.298197590000001</v>
      </c>
      <c r="B118">
        <v>115.1223268</v>
      </c>
      <c r="C118">
        <v>1.89791906</v>
      </c>
      <c r="D118">
        <v>8.0045146900000006</v>
      </c>
      <c r="E118" t="b">
        <f t="shared" si="24"/>
        <v>1</v>
      </c>
      <c r="F118">
        <f t="shared" si="25"/>
        <v>-1.4850806099999989</v>
      </c>
      <c r="G118">
        <f t="shared" si="26"/>
        <v>-10.974675909999998</v>
      </c>
      <c r="H118">
        <f t="shared" si="27"/>
        <v>-20.46427121</v>
      </c>
      <c r="I118">
        <f t="shared" si="28"/>
        <v>-29.953866509999997</v>
      </c>
      <c r="J118">
        <f t="shared" si="29"/>
        <v>-39.443461810000002</v>
      </c>
      <c r="L118">
        <f t="shared" si="30"/>
        <v>3644004.5952000003</v>
      </c>
      <c r="M118">
        <f t="shared" si="31"/>
        <v>-2405830.5881999983</v>
      </c>
      <c r="N118">
        <f t="shared" si="32"/>
        <v>-15145052.755799996</v>
      </c>
      <c r="O118">
        <f t="shared" si="33"/>
        <v>-20873556.634200003</v>
      </c>
      <c r="P118">
        <f t="shared" si="34"/>
        <v>-27557557.189199995</v>
      </c>
      <c r="Q118">
        <f t="shared" si="35"/>
        <v>-29977030.9756</v>
      </c>
      <c r="S118">
        <f t="shared" si="36"/>
        <v>3985630.0260000001</v>
      </c>
      <c r="T118">
        <f t="shared" si="37"/>
        <v>-2702846.7101999982</v>
      </c>
      <c r="U118">
        <f t="shared" si="38"/>
        <v>-16571760.624099998</v>
      </c>
      <c r="V118">
        <f t="shared" si="39"/>
        <v>-21896770.194699999</v>
      </c>
      <c r="W118">
        <f t="shared" si="40"/>
        <v>-32050637.165699992</v>
      </c>
      <c r="X118">
        <f t="shared" si="41"/>
        <v>-34315811.774700001</v>
      </c>
      <c r="Z118">
        <f t="shared" si="42"/>
        <v>4327255.4568000007</v>
      </c>
      <c r="AA118">
        <f t="shared" si="43"/>
        <v>-2999862.8321999977</v>
      </c>
      <c r="AB118">
        <f t="shared" si="44"/>
        <v>-17998468.492399998</v>
      </c>
      <c r="AC118">
        <f t="shared" si="45"/>
        <v>-27831408.845599998</v>
      </c>
      <c r="AD118">
        <f t="shared" si="46"/>
        <v>-36543717.142199993</v>
      </c>
      <c r="AE118">
        <f t="shared" si="47"/>
        <v>-38654592.573800005</v>
      </c>
    </row>
    <row r="119" spans="1:31" x14ac:dyDescent="0.25">
      <c r="A119">
        <v>21.302375099999999</v>
      </c>
      <c r="B119">
        <v>115.0750115</v>
      </c>
      <c r="C119">
        <v>1.88256001</v>
      </c>
      <c r="D119">
        <v>0.97944498000000002</v>
      </c>
      <c r="E119" t="b">
        <f t="shared" si="24"/>
        <v>0</v>
      </c>
      <c r="F119">
        <f t="shared" si="25"/>
        <v>-8.4333550699999993</v>
      </c>
      <c r="G119">
        <f t="shared" si="26"/>
        <v>-17.846155119999999</v>
      </c>
      <c r="H119">
        <f t="shared" si="27"/>
        <v>-27.25895517</v>
      </c>
      <c r="I119">
        <f t="shared" si="28"/>
        <v>-36.671755220000001</v>
      </c>
      <c r="J119">
        <f t="shared" si="29"/>
        <v>-46.084555270000003</v>
      </c>
      <c r="L119">
        <f t="shared" si="30"/>
        <v>1880534.3616000002</v>
      </c>
      <c r="M119">
        <f t="shared" si="31"/>
        <v>-13662035.213399999</v>
      </c>
      <c r="N119">
        <f t="shared" si="32"/>
        <v>-24627694.065599993</v>
      </c>
      <c r="O119">
        <f t="shared" si="33"/>
        <v>-27804134.273400001</v>
      </c>
      <c r="P119">
        <f t="shared" si="34"/>
        <v>-33738014.802399993</v>
      </c>
      <c r="Q119">
        <f t="shared" si="35"/>
        <v>-35024262.005200006</v>
      </c>
      <c r="S119">
        <f t="shared" si="36"/>
        <v>2056834.4580000001</v>
      </c>
      <c r="T119">
        <f t="shared" si="37"/>
        <v>-15348706.227399997</v>
      </c>
      <c r="U119">
        <f t="shared" si="38"/>
        <v>-26947694.231199995</v>
      </c>
      <c r="V119">
        <f t="shared" si="39"/>
        <v>-29167082.031899996</v>
      </c>
      <c r="W119">
        <f t="shared" si="40"/>
        <v>-39238778.085399993</v>
      </c>
      <c r="X119">
        <f t="shared" si="41"/>
        <v>-40093563.084899999</v>
      </c>
      <c r="Z119">
        <f t="shared" si="42"/>
        <v>2233134.5544000003</v>
      </c>
      <c r="AA119">
        <f t="shared" si="43"/>
        <v>-17035377.241399996</v>
      </c>
      <c r="AB119">
        <f t="shared" si="44"/>
        <v>-29267694.396799996</v>
      </c>
      <c r="AC119">
        <f t="shared" si="45"/>
        <v>-37072179.031199999</v>
      </c>
      <c r="AD119">
        <f t="shared" si="46"/>
        <v>-44739541.3684</v>
      </c>
      <c r="AE119">
        <f t="shared" si="47"/>
        <v>-45162864.1646</v>
      </c>
    </row>
    <row r="120" spans="1:31" x14ac:dyDescent="0.25">
      <c r="A120">
        <v>21.308321360000001</v>
      </c>
      <c r="B120">
        <v>115.5053442</v>
      </c>
      <c r="C120">
        <v>0.42741900999999999</v>
      </c>
      <c r="D120">
        <v>3.6729190300000001</v>
      </c>
      <c r="E120" t="b">
        <f t="shared" si="24"/>
        <v>1</v>
      </c>
      <c r="F120">
        <f t="shared" si="25"/>
        <v>1.53582398</v>
      </c>
      <c r="G120">
        <f t="shared" si="26"/>
        <v>-0.60127107000000013</v>
      </c>
      <c r="H120">
        <f t="shared" si="27"/>
        <v>-2.7383661199999993</v>
      </c>
      <c r="I120">
        <f t="shared" si="28"/>
        <v>-4.8754611700000003</v>
      </c>
      <c r="J120">
        <f t="shared" si="29"/>
        <v>-7.0125562199999996</v>
      </c>
      <c r="L120">
        <f t="shared" si="30"/>
        <v>820644.49920000008</v>
      </c>
      <c r="M120">
        <f t="shared" si="31"/>
        <v>692418.7962000001</v>
      </c>
      <c r="N120">
        <f t="shared" si="32"/>
        <v>-829754.07660000015</v>
      </c>
      <c r="O120">
        <f t="shared" si="33"/>
        <v>-2793133.4423999991</v>
      </c>
      <c r="P120">
        <f t="shared" si="34"/>
        <v>-4485424.2763999999</v>
      </c>
      <c r="Q120">
        <f t="shared" si="35"/>
        <v>-5329542.7271999996</v>
      </c>
      <c r="S120">
        <f t="shared" si="36"/>
        <v>897579.92100000009</v>
      </c>
      <c r="T120">
        <f t="shared" si="37"/>
        <v>777902.59820000001</v>
      </c>
      <c r="U120">
        <f t="shared" si="38"/>
        <v>-907919.31570000027</v>
      </c>
      <c r="V120">
        <f t="shared" si="39"/>
        <v>-2930051.7483999985</v>
      </c>
      <c r="W120">
        <f t="shared" si="40"/>
        <v>-5216743.4518999988</v>
      </c>
      <c r="X120">
        <f t="shared" si="41"/>
        <v>-6100923.9113999996</v>
      </c>
      <c r="Z120">
        <f t="shared" si="42"/>
        <v>974515.3428000001</v>
      </c>
      <c r="AA120">
        <f t="shared" si="43"/>
        <v>863386.40020000003</v>
      </c>
      <c r="AB120">
        <f t="shared" si="44"/>
        <v>-986084.55480000039</v>
      </c>
      <c r="AC120">
        <f t="shared" si="45"/>
        <v>-3724177.9231999987</v>
      </c>
      <c r="AD120">
        <f t="shared" si="46"/>
        <v>-5948062.6273999996</v>
      </c>
      <c r="AE120">
        <f t="shared" si="47"/>
        <v>-6872305.0955999997</v>
      </c>
    </row>
    <row r="121" spans="1:31" x14ac:dyDescent="0.25">
      <c r="A121">
        <v>21.312674359999999</v>
      </c>
      <c r="B121">
        <v>115.4580416</v>
      </c>
      <c r="C121">
        <v>1.05698705</v>
      </c>
      <c r="D121">
        <v>0.58766699</v>
      </c>
      <c r="E121" t="b">
        <f t="shared" si="24"/>
        <v>0</v>
      </c>
      <c r="F121">
        <f t="shared" si="25"/>
        <v>-4.6972682600000004</v>
      </c>
      <c r="G121">
        <f t="shared" si="26"/>
        <v>-9.9822035099999997</v>
      </c>
      <c r="H121">
        <f t="shared" si="27"/>
        <v>-15.26713876</v>
      </c>
      <c r="I121">
        <f t="shared" si="28"/>
        <v>-20.552074010000002</v>
      </c>
      <c r="J121">
        <f t="shared" si="29"/>
        <v>-25.837009260000002</v>
      </c>
      <c r="L121">
        <f t="shared" si="30"/>
        <v>1128320.6208000001</v>
      </c>
      <c r="M121">
        <f t="shared" si="31"/>
        <v>-7609574.5812000018</v>
      </c>
      <c r="N121">
        <f t="shared" si="32"/>
        <v>-13775440.843799999</v>
      </c>
      <c r="O121">
        <f t="shared" si="33"/>
        <v>-15572481.5352</v>
      </c>
      <c r="P121">
        <f t="shared" si="34"/>
        <v>-18907908.089200001</v>
      </c>
      <c r="Q121">
        <f t="shared" si="35"/>
        <v>-19636127.037600003</v>
      </c>
      <c r="S121">
        <f t="shared" si="36"/>
        <v>1234100.679</v>
      </c>
      <c r="T121">
        <f t="shared" si="37"/>
        <v>-8549028.2332000025</v>
      </c>
      <c r="U121">
        <f t="shared" si="38"/>
        <v>-15073127.300100001</v>
      </c>
      <c r="V121">
        <f t="shared" si="39"/>
        <v>-16335838.473199997</v>
      </c>
      <c r="W121">
        <f t="shared" si="40"/>
        <v>-21990719.190699998</v>
      </c>
      <c r="X121">
        <f t="shared" si="41"/>
        <v>-22478198.056200001</v>
      </c>
      <c r="Z121">
        <f t="shared" si="42"/>
        <v>1339880.7372000001</v>
      </c>
      <c r="AA121">
        <f t="shared" si="43"/>
        <v>-9488481.8852000013</v>
      </c>
      <c r="AB121">
        <f t="shared" si="44"/>
        <v>-16370813.7564</v>
      </c>
      <c r="AC121">
        <f t="shared" si="45"/>
        <v>-20763308.713599999</v>
      </c>
      <c r="AD121">
        <f t="shared" si="46"/>
        <v>-25073530.292200003</v>
      </c>
      <c r="AE121">
        <f t="shared" si="47"/>
        <v>-25320269.0748</v>
      </c>
    </row>
    <row r="122" spans="1:31" x14ac:dyDescent="0.25">
      <c r="A122">
        <v>21.331012919999999</v>
      </c>
      <c r="B122">
        <v>114.74368440000001</v>
      </c>
      <c r="C122">
        <v>0.95891702000000001</v>
      </c>
      <c r="D122">
        <v>18.320520399999999</v>
      </c>
      <c r="E122" t="b">
        <f t="shared" si="24"/>
        <v>1</v>
      </c>
      <c r="F122">
        <f t="shared" si="25"/>
        <v>13.5259353</v>
      </c>
      <c r="G122">
        <f t="shared" si="26"/>
        <v>8.7313501999999996</v>
      </c>
      <c r="H122">
        <f t="shared" si="27"/>
        <v>3.9367650999999988</v>
      </c>
      <c r="I122">
        <f t="shared" si="28"/>
        <v>-0.85782000000000025</v>
      </c>
      <c r="J122">
        <f t="shared" si="29"/>
        <v>-5.6524050999999993</v>
      </c>
      <c r="L122">
        <f t="shared" si="30"/>
        <v>1841120.6784000001</v>
      </c>
      <c r="M122">
        <f t="shared" si="31"/>
        <v>1553445.5724000002</v>
      </c>
      <c r="N122">
        <f t="shared" si="32"/>
        <v>1323305.4875999999</v>
      </c>
      <c r="O122">
        <f t="shared" si="33"/>
        <v>978095.36040000001</v>
      </c>
      <c r="P122">
        <f t="shared" si="34"/>
        <v>-789194.40000000014</v>
      </c>
      <c r="Q122">
        <f t="shared" si="35"/>
        <v>-4295827.8760000002</v>
      </c>
      <c r="S122">
        <f t="shared" si="36"/>
        <v>2013725.7420000001</v>
      </c>
      <c r="T122">
        <f t="shared" si="37"/>
        <v>1745228.9764</v>
      </c>
      <c r="U122">
        <f t="shared" si="38"/>
        <v>1447964.7002000001</v>
      </c>
      <c r="V122">
        <f t="shared" si="39"/>
        <v>1026041.2113999999</v>
      </c>
      <c r="W122">
        <f t="shared" si="40"/>
        <v>-917867.40000000014</v>
      </c>
      <c r="X122">
        <f t="shared" si="41"/>
        <v>-4917592.4369999999</v>
      </c>
      <c r="Z122">
        <f t="shared" si="42"/>
        <v>2186330.8056000001</v>
      </c>
      <c r="AA122">
        <f t="shared" si="43"/>
        <v>1937012.3804000001</v>
      </c>
      <c r="AB122">
        <f t="shared" si="44"/>
        <v>1572623.9128</v>
      </c>
      <c r="AC122">
        <f t="shared" si="45"/>
        <v>1304127.1472</v>
      </c>
      <c r="AD122">
        <f t="shared" si="46"/>
        <v>-1046540.4000000003</v>
      </c>
      <c r="AE122">
        <f t="shared" si="47"/>
        <v>-5539356.9979999997</v>
      </c>
    </row>
    <row r="123" spans="1:31" x14ac:dyDescent="0.25">
      <c r="A123">
        <v>21.342541149999999</v>
      </c>
      <c r="B123">
        <v>115.1267981</v>
      </c>
      <c r="C123">
        <v>1.5162529899999999</v>
      </c>
      <c r="D123">
        <v>0.49462</v>
      </c>
      <c r="E123" t="b">
        <f t="shared" si="24"/>
        <v>0</v>
      </c>
      <c r="F123">
        <f t="shared" si="25"/>
        <v>-7.0866449499999993</v>
      </c>
      <c r="G123">
        <f t="shared" si="26"/>
        <v>-14.6679099</v>
      </c>
      <c r="H123">
        <f t="shared" si="27"/>
        <v>-22.249174849999999</v>
      </c>
      <c r="I123">
        <f t="shared" si="28"/>
        <v>-29.830439799999997</v>
      </c>
      <c r="J123">
        <f t="shared" si="29"/>
        <v>-37.411704749999998</v>
      </c>
      <c r="L123">
        <f t="shared" si="30"/>
        <v>949670.40000000002</v>
      </c>
      <c r="M123">
        <f t="shared" si="31"/>
        <v>-11480364.819</v>
      </c>
      <c r="N123">
        <f t="shared" si="32"/>
        <v>-20241715.662</v>
      </c>
      <c r="O123">
        <f t="shared" si="33"/>
        <v>-22694158.346999999</v>
      </c>
      <c r="P123">
        <f t="shared" si="34"/>
        <v>-27444004.615999997</v>
      </c>
      <c r="Q123">
        <f t="shared" si="35"/>
        <v>-28432895.609999999</v>
      </c>
      <c r="S123">
        <f t="shared" si="36"/>
        <v>1038702</v>
      </c>
      <c r="T123">
        <f t="shared" si="37"/>
        <v>-12897693.808999998</v>
      </c>
      <c r="U123">
        <f t="shared" si="38"/>
        <v>-22148543.949000001</v>
      </c>
      <c r="V123">
        <f t="shared" si="39"/>
        <v>-23806617.089499995</v>
      </c>
      <c r="W123">
        <f t="shared" si="40"/>
        <v>-31918570.585999992</v>
      </c>
      <c r="X123">
        <f t="shared" si="41"/>
        <v>-32548183.1325</v>
      </c>
      <c r="Z123">
        <f t="shared" si="42"/>
        <v>1127733.6000000001</v>
      </c>
      <c r="AA123">
        <f t="shared" si="43"/>
        <v>-14315022.798999999</v>
      </c>
      <c r="AB123">
        <f t="shared" si="44"/>
        <v>-24055372.236000001</v>
      </c>
      <c r="AC123">
        <f t="shared" si="45"/>
        <v>-30258877.795999993</v>
      </c>
      <c r="AD123">
        <f t="shared" si="46"/>
        <v>-36393136.555999994</v>
      </c>
      <c r="AE123">
        <f t="shared" si="47"/>
        <v>-36663470.655000001</v>
      </c>
    </row>
    <row r="124" spans="1:31" x14ac:dyDescent="0.25">
      <c r="A124">
        <v>21.346721469999999</v>
      </c>
      <c r="B124">
        <v>115.07946</v>
      </c>
      <c r="C124">
        <v>1.47978199</v>
      </c>
      <c r="D124">
        <v>0.36729199000000001</v>
      </c>
      <c r="E124" t="b">
        <f t="shared" si="24"/>
        <v>0</v>
      </c>
      <c r="F124">
        <f t="shared" si="25"/>
        <v>-7.0316179600000002</v>
      </c>
      <c r="G124">
        <f t="shared" si="26"/>
        <v>-14.43052791</v>
      </c>
      <c r="H124">
        <f t="shared" si="27"/>
        <v>-21.829437859999999</v>
      </c>
      <c r="I124">
        <f t="shared" si="28"/>
        <v>-29.228347810000002</v>
      </c>
      <c r="J124">
        <f t="shared" si="29"/>
        <v>-36.627257759999999</v>
      </c>
      <c r="L124">
        <f t="shared" si="30"/>
        <v>705200.62080000003</v>
      </c>
      <c r="M124">
        <f t="shared" si="31"/>
        <v>-11391221.0952</v>
      </c>
      <c r="N124">
        <f t="shared" si="32"/>
        <v>-19914128.515799999</v>
      </c>
      <c r="O124">
        <f t="shared" si="33"/>
        <v>-22266026.617199998</v>
      </c>
      <c r="P124">
        <f t="shared" si="34"/>
        <v>-26890079.985199999</v>
      </c>
      <c r="Q124">
        <f t="shared" si="35"/>
        <v>-27836715.897599999</v>
      </c>
      <c r="S124">
        <f t="shared" si="36"/>
        <v>771313.179</v>
      </c>
      <c r="T124">
        <f t="shared" si="37"/>
        <v>-12797544.687200001</v>
      </c>
      <c r="U124">
        <f t="shared" si="38"/>
        <v>-21790097.144099999</v>
      </c>
      <c r="V124">
        <f t="shared" si="39"/>
        <v>-23357498.510199998</v>
      </c>
      <c r="W124">
        <f t="shared" si="40"/>
        <v>-31274332.156699996</v>
      </c>
      <c r="X124">
        <f t="shared" si="41"/>
        <v>-31865714.251199998</v>
      </c>
      <c r="Z124">
        <f t="shared" si="42"/>
        <v>837425.73720000009</v>
      </c>
      <c r="AA124">
        <f t="shared" si="43"/>
        <v>-14203868.279200001</v>
      </c>
      <c r="AB124">
        <f t="shared" si="44"/>
        <v>-23666065.772400003</v>
      </c>
      <c r="AC124">
        <f t="shared" si="45"/>
        <v>-29688035.489599995</v>
      </c>
      <c r="AD124">
        <f t="shared" si="46"/>
        <v>-35658584.328200005</v>
      </c>
      <c r="AE124">
        <f t="shared" si="47"/>
        <v>-35894712.604800001</v>
      </c>
    </row>
    <row r="125" spans="1:31" x14ac:dyDescent="0.25">
      <c r="A125">
        <v>21.350880180000001</v>
      </c>
      <c r="B125">
        <v>115.0321174</v>
      </c>
      <c r="C125">
        <v>1.62173295</v>
      </c>
      <c r="D125">
        <v>5.1420869800000002</v>
      </c>
      <c r="E125" t="b">
        <f t="shared" si="24"/>
        <v>1</v>
      </c>
      <c r="F125">
        <f t="shared" si="25"/>
        <v>-2.9665777699999989</v>
      </c>
      <c r="G125">
        <f t="shared" si="26"/>
        <v>-11.075242519999998</v>
      </c>
      <c r="H125">
        <f t="shared" si="27"/>
        <v>-19.183907269999999</v>
      </c>
      <c r="I125">
        <f t="shared" si="28"/>
        <v>-27.292572019999994</v>
      </c>
      <c r="J125">
        <f t="shared" si="29"/>
        <v>-35.401236769999997</v>
      </c>
      <c r="L125">
        <f t="shared" si="30"/>
        <v>3113727.264</v>
      </c>
      <c r="M125">
        <f t="shared" si="31"/>
        <v>-4805855.9873999991</v>
      </c>
      <c r="N125">
        <f t="shared" si="32"/>
        <v>-15283834.677599996</v>
      </c>
      <c r="O125">
        <f t="shared" si="33"/>
        <v>-19567585.415399998</v>
      </c>
      <c r="P125">
        <f t="shared" si="34"/>
        <v>-25109166.258399993</v>
      </c>
      <c r="Q125">
        <f t="shared" si="35"/>
        <v>-26904939.945199996</v>
      </c>
      <c r="S125">
        <f t="shared" si="36"/>
        <v>3405639.1949999998</v>
      </c>
      <c r="T125">
        <f t="shared" si="37"/>
        <v>-5399171.5413999986</v>
      </c>
      <c r="U125">
        <f t="shared" si="38"/>
        <v>-16723616.205199996</v>
      </c>
      <c r="V125">
        <f t="shared" si="39"/>
        <v>-20526780.778899997</v>
      </c>
      <c r="W125">
        <f t="shared" si="40"/>
        <v>-29203052.061399993</v>
      </c>
      <c r="X125">
        <f t="shared" si="41"/>
        <v>-30799075.989899997</v>
      </c>
      <c r="Z125">
        <f t="shared" si="42"/>
        <v>3697551.1260000002</v>
      </c>
      <c r="AA125">
        <f t="shared" si="43"/>
        <v>-5992487.0953999981</v>
      </c>
      <c r="AB125">
        <f t="shared" si="44"/>
        <v>-18163397.732799999</v>
      </c>
      <c r="AC125">
        <f t="shared" si="45"/>
        <v>-26090113.887199998</v>
      </c>
      <c r="AD125">
        <f t="shared" si="46"/>
        <v>-33296937.864399996</v>
      </c>
      <c r="AE125">
        <f t="shared" si="47"/>
        <v>-34693212.034599997</v>
      </c>
    </row>
    <row r="126" spans="1:31" x14ac:dyDescent="0.25">
      <c r="A126">
        <v>21.355017289999999</v>
      </c>
      <c r="B126">
        <v>114.9847706</v>
      </c>
      <c r="C126">
        <v>1.3230379800000001</v>
      </c>
      <c r="D126">
        <v>17.353319169999999</v>
      </c>
      <c r="E126" t="b">
        <f t="shared" si="24"/>
        <v>1</v>
      </c>
      <c r="F126">
        <f t="shared" si="25"/>
        <v>10.738129269999998</v>
      </c>
      <c r="G126">
        <f t="shared" si="26"/>
        <v>4.1229393699999974</v>
      </c>
      <c r="H126">
        <f t="shared" si="27"/>
        <v>-2.4922505300000033</v>
      </c>
      <c r="I126">
        <f t="shared" si="28"/>
        <v>-9.107440430000004</v>
      </c>
      <c r="J126">
        <f t="shared" si="29"/>
        <v>-15.722630330000001</v>
      </c>
      <c r="L126">
        <f t="shared" si="30"/>
        <v>2540232.9216</v>
      </c>
      <c r="M126">
        <f t="shared" si="31"/>
        <v>2143321.5276000001</v>
      </c>
      <c r="N126">
        <f t="shared" si="32"/>
        <v>1825792.4123999998</v>
      </c>
      <c r="O126">
        <f t="shared" si="33"/>
        <v>-2542095.5406000037</v>
      </c>
      <c r="P126">
        <f t="shared" si="34"/>
        <v>-8378845.1956000021</v>
      </c>
      <c r="Q126">
        <f t="shared" si="35"/>
        <v>-11949199.050800001</v>
      </c>
      <c r="S126">
        <f t="shared" si="36"/>
        <v>2778379.7579999999</v>
      </c>
      <c r="T126">
        <f t="shared" si="37"/>
        <v>2407929.1236</v>
      </c>
      <c r="U126">
        <f t="shared" si="38"/>
        <v>1997787.3498</v>
      </c>
      <c r="V126">
        <f t="shared" si="39"/>
        <v>-2666708.0671000034</v>
      </c>
      <c r="W126">
        <f t="shared" si="40"/>
        <v>-9744961.2601000015</v>
      </c>
      <c r="X126">
        <f t="shared" si="41"/>
        <v>-13678688.387100002</v>
      </c>
      <c r="Z126">
        <f t="shared" si="42"/>
        <v>3016526.5944000003</v>
      </c>
      <c r="AA126">
        <f t="shared" si="43"/>
        <v>2672536.7196</v>
      </c>
      <c r="AB126">
        <f t="shared" si="44"/>
        <v>2169782.2872000001</v>
      </c>
      <c r="AC126">
        <f t="shared" si="45"/>
        <v>-3389460.7208000044</v>
      </c>
      <c r="AD126">
        <f t="shared" si="46"/>
        <v>-11111077.324600004</v>
      </c>
      <c r="AE126">
        <f t="shared" si="47"/>
        <v>-15408177.723400002</v>
      </c>
    </row>
    <row r="127" spans="1:31" x14ac:dyDescent="0.25">
      <c r="A127">
        <v>21.357005780000001</v>
      </c>
      <c r="B127">
        <v>115.4626777</v>
      </c>
      <c r="C127">
        <v>1.5959169900000001</v>
      </c>
      <c r="D127">
        <v>15.915983199999999</v>
      </c>
      <c r="E127" t="b">
        <f t="shared" si="24"/>
        <v>1</v>
      </c>
      <c r="F127">
        <f t="shared" si="25"/>
        <v>7.936398249999999</v>
      </c>
      <c r="G127">
        <f t="shared" si="26"/>
        <v>-4.3186700000001466E-2</v>
      </c>
      <c r="H127">
        <f t="shared" si="27"/>
        <v>-8.0227716500000028</v>
      </c>
      <c r="I127">
        <f t="shared" si="28"/>
        <v>-16.002356600000002</v>
      </c>
      <c r="J127">
        <f t="shared" si="29"/>
        <v>-23.981941550000002</v>
      </c>
      <c r="L127">
        <f t="shared" si="30"/>
        <v>3064160.6208000001</v>
      </c>
      <c r="M127">
        <f t="shared" si="31"/>
        <v>2585385.5238000001</v>
      </c>
      <c r="N127">
        <f t="shared" si="32"/>
        <v>-59597.646000002016</v>
      </c>
      <c r="O127">
        <f t="shared" si="33"/>
        <v>-8183227.0830000034</v>
      </c>
      <c r="P127">
        <f t="shared" si="34"/>
        <v>-14722168.072000001</v>
      </c>
      <c r="Q127">
        <f t="shared" si="35"/>
        <v>-18226275.578000002</v>
      </c>
      <c r="S127">
        <f t="shared" si="36"/>
        <v>3351425.679</v>
      </c>
      <c r="T127">
        <f t="shared" si="37"/>
        <v>2904568.9218000001</v>
      </c>
      <c r="U127">
        <f t="shared" si="38"/>
        <v>-65211.917000002213</v>
      </c>
      <c r="V127">
        <f t="shared" si="39"/>
        <v>-8584365.665500002</v>
      </c>
      <c r="W127">
        <f t="shared" si="40"/>
        <v>-17122521.561999999</v>
      </c>
      <c r="X127">
        <f t="shared" si="41"/>
        <v>-20864289.148499999</v>
      </c>
      <c r="Z127">
        <f t="shared" si="42"/>
        <v>3638690.7372000003</v>
      </c>
      <c r="AA127">
        <f t="shared" si="43"/>
        <v>3223752.3198000002</v>
      </c>
      <c r="AB127">
        <f t="shared" si="44"/>
        <v>-70826.18800000241</v>
      </c>
      <c r="AC127">
        <f t="shared" si="45"/>
        <v>-10910969.444000004</v>
      </c>
      <c r="AD127">
        <f t="shared" si="46"/>
        <v>-19522875.052000001</v>
      </c>
      <c r="AE127">
        <f t="shared" si="47"/>
        <v>-23502302.719000001</v>
      </c>
    </row>
    <row r="128" spans="1:31" x14ac:dyDescent="0.25">
      <c r="A128">
        <v>21.359132779999999</v>
      </c>
      <c r="B128">
        <v>114.9374195</v>
      </c>
      <c r="C128">
        <v>1.4738689700000001</v>
      </c>
      <c r="D128">
        <v>63.663932799999998</v>
      </c>
      <c r="E128" t="b">
        <f t="shared" si="24"/>
        <v>1</v>
      </c>
      <c r="F128">
        <f t="shared" si="25"/>
        <v>56.29458795</v>
      </c>
      <c r="G128">
        <f t="shared" si="26"/>
        <v>48.925243099999996</v>
      </c>
      <c r="H128">
        <f t="shared" si="27"/>
        <v>41.555898249999998</v>
      </c>
      <c r="I128">
        <f t="shared" si="28"/>
        <v>34.186553399999994</v>
      </c>
      <c r="J128">
        <f t="shared" si="29"/>
        <v>26.817208549999997</v>
      </c>
      <c r="L128">
        <f t="shared" si="30"/>
        <v>2829828.4224</v>
      </c>
      <c r="M128">
        <f t="shared" si="31"/>
        <v>2387667.7313999999</v>
      </c>
      <c r="N128">
        <f t="shared" si="32"/>
        <v>2033939.1785999998</v>
      </c>
      <c r="O128">
        <f t="shared" si="33"/>
        <v>1503346.3493999999</v>
      </c>
      <c r="P128">
        <f t="shared" si="34"/>
        <v>1355959.4523999998</v>
      </c>
      <c r="Q128">
        <f t="shared" si="35"/>
        <v>1120140.4172</v>
      </c>
      <c r="S128">
        <f t="shared" si="36"/>
        <v>3095124.8370000003</v>
      </c>
      <c r="T128">
        <f t="shared" si="37"/>
        <v>2682441.5254000002</v>
      </c>
      <c r="U128">
        <f t="shared" si="38"/>
        <v>2225542.1447000001</v>
      </c>
      <c r="V128">
        <f t="shared" si="39"/>
        <v>1577039.7978999997</v>
      </c>
      <c r="W128">
        <f t="shared" si="40"/>
        <v>1577039.7978999997</v>
      </c>
      <c r="X128">
        <f t="shared" si="41"/>
        <v>1282266.0038999999</v>
      </c>
      <c r="Z128">
        <f t="shared" si="42"/>
        <v>3360421.2516000001</v>
      </c>
      <c r="AA128">
        <f t="shared" si="43"/>
        <v>2977215.3193999999</v>
      </c>
      <c r="AB128">
        <f t="shared" si="44"/>
        <v>2417145.1107999999</v>
      </c>
      <c r="AC128">
        <f t="shared" si="45"/>
        <v>2004461.7991999998</v>
      </c>
      <c r="AD128">
        <f t="shared" si="46"/>
        <v>1798120.1433999999</v>
      </c>
      <c r="AE128">
        <f t="shared" si="47"/>
        <v>1444391.5906</v>
      </c>
    </row>
    <row r="129" spans="1:31" x14ac:dyDescent="0.25">
      <c r="A129">
        <v>21.386892629999998</v>
      </c>
      <c r="B129">
        <v>115.1312739</v>
      </c>
      <c r="C129">
        <v>0.49326101</v>
      </c>
      <c r="D129">
        <v>0.73458396999999998</v>
      </c>
      <c r="E129" t="b">
        <f t="shared" si="24"/>
        <v>1</v>
      </c>
      <c r="F129">
        <f t="shared" si="25"/>
        <v>-1.7317210799999998</v>
      </c>
      <c r="G129">
        <f t="shared" si="26"/>
        <v>-4.1980261299999997</v>
      </c>
      <c r="H129">
        <f t="shared" si="27"/>
        <v>-6.6643311799999996</v>
      </c>
      <c r="I129">
        <f t="shared" si="28"/>
        <v>-9.1306362300000004</v>
      </c>
      <c r="J129">
        <f t="shared" si="29"/>
        <v>-11.596941280000001</v>
      </c>
      <c r="L129">
        <f t="shared" si="30"/>
        <v>947061.13920000009</v>
      </c>
      <c r="M129">
        <f t="shared" si="31"/>
        <v>-2805388.1496000001</v>
      </c>
      <c r="N129">
        <f t="shared" si="32"/>
        <v>-5793276.0593999997</v>
      </c>
      <c r="O129">
        <f t="shared" si="33"/>
        <v>-6797617.8036000002</v>
      </c>
      <c r="P129">
        <f t="shared" si="34"/>
        <v>-8400185.3315999992</v>
      </c>
      <c r="Q129">
        <f t="shared" si="35"/>
        <v>-8813675.3728000019</v>
      </c>
      <c r="S129">
        <f t="shared" si="36"/>
        <v>1035848.121</v>
      </c>
      <c r="T129">
        <f t="shared" si="37"/>
        <v>-3151732.3655999997</v>
      </c>
      <c r="U129">
        <f t="shared" si="38"/>
        <v>-6339019.4562999997</v>
      </c>
      <c r="V129">
        <f t="shared" si="39"/>
        <v>-7130834.3625999987</v>
      </c>
      <c r="W129">
        <f t="shared" si="40"/>
        <v>-9769780.7660999987</v>
      </c>
      <c r="X129">
        <f t="shared" si="41"/>
        <v>-10089338.913600001</v>
      </c>
      <c r="Z129">
        <f t="shared" si="42"/>
        <v>1124635.1028000002</v>
      </c>
      <c r="AA129">
        <f t="shared" si="43"/>
        <v>-3498076.5815999997</v>
      </c>
      <c r="AB129">
        <f t="shared" si="44"/>
        <v>-6884762.8532000007</v>
      </c>
      <c r="AC129">
        <f t="shared" si="45"/>
        <v>-9063490.4047999997</v>
      </c>
      <c r="AD129">
        <f t="shared" si="46"/>
        <v>-11139376.2006</v>
      </c>
      <c r="AE129">
        <f t="shared" si="47"/>
        <v>-11365002.454400001</v>
      </c>
    </row>
    <row r="130" spans="1:31" x14ac:dyDescent="0.25">
      <c r="A130">
        <v>21.39107576</v>
      </c>
      <c r="B130">
        <v>115.08391279999999</v>
      </c>
      <c r="C130">
        <v>2.3942239299999999</v>
      </c>
      <c r="D130">
        <v>1.52058899</v>
      </c>
      <c r="E130" t="b">
        <f t="shared" si="24"/>
        <v>0</v>
      </c>
      <c r="F130">
        <f t="shared" si="25"/>
        <v>-10.450530659999998</v>
      </c>
      <c r="G130">
        <f t="shared" si="26"/>
        <v>-22.421650309999997</v>
      </c>
      <c r="H130">
        <f t="shared" si="27"/>
        <v>-34.392769959999995</v>
      </c>
      <c r="I130">
        <f t="shared" si="28"/>
        <v>-46.363889609999994</v>
      </c>
      <c r="J130">
        <f t="shared" si="29"/>
        <v>-58.33500926</v>
      </c>
      <c r="L130">
        <f t="shared" si="30"/>
        <v>2919530.8608000004</v>
      </c>
      <c r="M130">
        <f t="shared" si="31"/>
        <v>-16929859.669199999</v>
      </c>
      <c r="N130">
        <f t="shared" si="32"/>
        <v>-30941877.427799996</v>
      </c>
      <c r="O130">
        <f t="shared" si="33"/>
        <v>-35080625.359199993</v>
      </c>
      <c r="P130">
        <f t="shared" si="34"/>
        <v>-42654778.441199988</v>
      </c>
      <c r="Q130">
        <f t="shared" si="35"/>
        <v>-44334607.037599996</v>
      </c>
      <c r="S130">
        <f t="shared" si="36"/>
        <v>3193236.8790000002</v>
      </c>
      <c r="T130">
        <f t="shared" si="37"/>
        <v>-19019965.801199999</v>
      </c>
      <c r="U130">
        <f t="shared" si="38"/>
        <v>-33856691.968099996</v>
      </c>
      <c r="V130">
        <f t="shared" si="39"/>
        <v>-36800263.857199989</v>
      </c>
      <c r="W130">
        <f t="shared" si="40"/>
        <v>-49609361.882699981</v>
      </c>
      <c r="X130">
        <f t="shared" si="41"/>
        <v>-50751458.056199998</v>
      </c>
      <c r="Z130">
        <f t="shared" si="42"/>
        <v>3466942.8972000005</v>
      </c>
      <c r="AA130">
        <f t="shared" si="43"/>
        <v>-21110071.933199998</v>
      </c>
      <c r="AB130">
        <f t="shared" si="44"/>
        <v>-36771506.508400001</v>
      </c>
      <c r="AC130">
        <f t="shared" si="45"/>
        <v>-46774167.145599984</v>
      </c>
      <c r="AD130">
        <f t="shared" si="46"/>
        <v>-56563945.324199989</v>
      </c>
      <c r="AE130">
        <f t="shared" si="47"/>
        <v>-57168309.0748</v>
      </c>
    </row>
    <row r="131" spans="1:31" x14ac:dyDescent="0.25">
      <c r="A131">
        <v>21.399377139999999</v>
      </c>
      <c r="B131">
        <v>114.9891775</v>
      </c>
      <c r="C131">
        <v>1.3388509799999999</v>
      </c>
      <c r="D131">
        <v>4.4075031300000003</v>
      </c>
      <c r="E131" t="b">
        <f t="shared" ref="E131:E194" si="48">D131&gt;C131</f>
        <v>1</v>
      </c>
      <c r="F131">
        <f t="shared" ref="F131:F194" si="49">D131-(C131*(2030-2025))</f>
        <v>-2.2867517699999995</v>
      </c>
      <c r="G131">
        <f t="shared" ref="G131:G194" si="50">D131-(C131*(2035-2025))</f>
        <v>-8.9810066699999993</v>
      </c>
      <c r="H131">
        <f t="shared" ref="H131:H194" si="51">D131-(C131*(2040-2025))</f>
        <v>-15.675261569999998</v>
      </c>
      <c r="I131">
        <f t="shared" ref="I131:I194" si="52">D131-(C131*(2045-2025))</f>
        <v>-22.369516470000001</v>
      </c>
      <c r="J131">
        <f t="shared" ref="J131:J194" si="53">D131-(C131*(2050-2025))</f>
        <v>-29.063771369999998</v>
      </c>
      <c r="L131">
        <f t="shared" ref="L131:L194" si="54">MIN(C131,D131)*1000000*((280/250)+0.8)</f>
        <v>2570593.8816</v>
      </c>
      <c r="M131">
        <f t="shared" ref="M131:M194" si="55">MIN(F131,C131)*1000000*((230/250)+0.7)</f>
        <v>-3704537.8673999994</v>
      </c>
      <c r="N131">
        <f t="shared" ref="N131:N194" si="56">MIN(G131,C131)*1000000*((195/250)+0.6)</f>
        <v>-12393789.204599999</v>
      </c>
      <c r="O131">
        <f t="shared" ref="O131:O194" si="57">MIN(H131,C131)*1000000*((130/250)+0.5)</f>
        <v>-15988766.801399998</v>
      </c>
      <c r="P131">
        <f t="shared" ref="P131:P194" si="58">MIN(I131,C131)*1000000*((105/250)+0.5)</f>
        <v>-20579955.152399998</v>
      </c>
      <c r="Q131">
        <f t="shared" ref="Q131:Q194" si="59">MIN(J131,C131)*1000000*((90/250)+0.4)</f>
        <v>-22088466.2412</v>
      </c>
      <c r="S131">
        <f t="shared" ref="S131:S194" si="60">MIN(C131,D131)*1000000*((325/250)+0.8)</f>
        <v>2811587.0580000002</v>
      </c>
      <c r="T131">
        <f t="shared" ref="T131:T194" si="61">MIN(F131,C131)*1000000*((280/250)+0.7)</f>
        <v>-4161888.2213999992</v>
      </c>
      <c r="U131">
        <f t="shared" ref="U131:U194" si="62">MIN(G131,C131)*1000000*((227.5/250)+0.6)</f>
        <v>-13561320.071699999</v>
      </c>
      <c r="V131">
        <f t="shared" ref="V131:V194" si="63">MIN(H131,C131)*1000000*((142.5/250)+0.5)</f>
        <v>-16772529.879899995</v>
      </c>
      <c r="W131">
        <f t="shared" ref="W131:W194" si="64">MIN(I131,C131)*1000000*((142.5/250)+0.5)</f>
        <v>-23935382.622899994</v>
      </c>
      <c r="X131">
        <f t="shared" ref="X131:X194" si="65">MIN(J131,C131)*1000000*( (117.5/250)+0.4)</f>
        <v>-25285481.091899998</v>
      </c>
      <c r="Z131">
        <f t="shared" ref="Z131:Z194" si="66">MIN(C131,D131)*1000000*((370/250)+0.8)</f>
        <v>3052580.2344000004</v>
      </c>
      <c r="AA131">
        <f t="shared" ref="AA131:AA194" si="67">MIN(C131,F131)*1000000*((330/250)+0.7)</f>
        <v>-4619238.5753999995</v>
      </c>
      <c r="AB131">
        <f t="shared" ref="AB131:AB194" si="68">MIN(C131,G131)*1000000*((260/250)+0.6)</f>
        <v>-14728850.938800002</v>
      </c>
      <c r="AC131">
        <f t="shared" ref="AC131:AC194" si="69">MIN(C131,H131)*1000000*((215/250)+0.5)</f>
        <v>-21318355.735199995</v>
      </c>
      <c r="AD131">
        <f t="shared" ref="AD131:AD194" si="70">MIN(C131,I131)*1000000*((180/250)+0.5)</f>
        <v>-27290810.093399998</v>
      </c>
      <c r="AE131">
        <f t="shared" ref="AE131:AE194" si="71">MIN(C131,J131)*1000000*((145/250)+0.4)</f>
        <v>-28482495.942599997</v>
      </c>
    </row>
    <row r="132" spans="1:31" x14ac:dyDescent="0.25">
      <c r="A132">
        <v>21.463031139999998</v>
      </c>
      <c r="B132">
        <v>116.6705053</v>
      </c>
      <c r="C132">
        <v>0.37805501000000002</v>
      </c>
      <c r="D132">
        <v>15.68229198</v>
      </c>
      <c r="E132" t="b">
        <f t="shared" si="48"/>
        <v>1</v>
      </c>
      <c r="F132">
        <f t="shared" si="49"/>
        <v>13.792016930000001</v>
      </c>
      <c r="G132">
        <f t="shared" si="50"/>
        <v>11.901741879999999</v>
      </c>
      <c r="H132">
        <f t="shared" si="51"/>
        <v>10.01146683</v>
      </c>
      <c r="I132">
        <f t="shared" si="52"/>
        <v>8.1211917800000002</v>
      </c>
      <c r="J132">
        <f t="shared" si="53"/>
        <v>6.2309167300000006</v>
      </c>
      <c r="L132">
        <f t="shared" si="54"/>
        <v>725865.61920000007</v>
      </c>
      <c r="M132">
        <f t="shared" si="55"/>
        <v>612449.11620000005</v>
      </c>
      <c r="N132">
        <f t="shared" si="56"/>
        <v>521715.91379999998</v>
      </c>
      <c r="O132">
        <f t="shared" si="57"/>
        <v>385616.1102</v>
      </c>
      <c r="P132">
        <f t="shared" si="58"/>
        <v>347810.60920000001</v>
      </c>
      <c r="Q132">
        <f t="shared" si="59"/>
        <v>287321.8076</v>
      </c>
      <c r="S132">
        <f t="shared" si="60"/>
        <v>793915.52100000007</v>
      </c>
      <c r="T132">
        <f t="shared" si="61"/>
        <v>688060.11820000003</v>
      </c>
      <c r="U132">
        <f t="shared" si="62"/>
        <v>570863.06510000001</v>
      </c>
      <c r="V132">
        <f t="shared" si="63"/>
        <v>404518.86069999996</v>
      </c>
      <c r="W132">
        <f t="shared" si="64"/>
        <v>404518.86069999996</v>
      </c>
      <c r="X132">
        <f t="shared" si="65"/>
        <v>328907.85869999998</v>
      </c>
      <c r="Z132">
        <f t="shared" si="66"/>
        <v>861965.42280000006</v>
      </c>
      <c r="AA132">
        <f t="shared" si="67"/>
        <v>763671.1202</v>
      </c>
      <c r="AB132">
        <f t="shared" si="68"/>
        <v>620010.21640000003</v>
      </c>
      <c r="AC132">
        <f t="shared" si="69"/>
        <v>514154.81359999999</v>
      </c>
      <c r="AD132">
        <f t="shared" si="70"/>
        <v>461227.11219999997</v>
      </c>
      <c r="AE132">
        <f t="shared" si="71"/>
        <v>370493.90980000002</v>
      </c>
    </row>
    <row r="133" spans="1:31" x14ac:dyDescent="0.25">
      <c r="A133">
        <v>21.482457799999999</v>
      </c>
      <c r="B133">
        <v>116.48117860000001</v>
      </c>
      <c r="C133">
        <v>0.46879600999999999</v>
      </c>
      <c r="D133">
        <v>5.9158492100000002</v>
      </c>
      <c r="E133" t="b">
        <f t="shared" si="48"/>
        <v>1</v>
      </c>
      <c r="F133">
        <f t="shared" si="49"/>
        <v>3.5718691600000003</v>
      </c>
      <c r="G133">
        <f t="shared" si="50"/>
        <v>1.2278891100000004</v>
      </c>
      <c r="H133">
        <f t="shared" si="51"/>
        <v>-1.1160909399999994</v>
      </c>
      <c r="I133">
        <f t="shared" si="52"/>
        <v>-3.4600709899999993</v>
      </c>
      <c r="J133">
        <f t="shared" si="53"/>
        <v>-5.8040510400000001</v>
      </c>
      <c r="L133">
        <f t="shared" si="54"/>
        <v>900088.33920000005</v>
      </c>
      <c r="M133">
        <f t="shared" si="55"/>
        <v>759449.53620000009</v>
      </c>
      <c r="N133">
        <f t="shared" si="56"/>
        <v>646938.49379999994</v>
      </c>
      <c r="O133">
        <f t="shared" si="57"/>
        <v>-1138412.7587999995</v>
      </c>
      <c r="P133">
        <f t="shared" si="58"/>
        <v>-3183265.3107999992</v>
      </c>
      <c r="Q133">
        <f t="shared" si="59"/>
        <v>-4411078.7904000003</v>
      </c>
      <c r="S133">
        <f t="shared" si="60"/>
        <v>984471.62100000004</v>
      </c>
      <c r="T133">
        <f t="shared" si="61"/>
        <v>853208.73820000002</v>
      </c>
      <c r="U133">
        <f t="shared" si="62"/>
        <v>707881.97510000004</v>
      </c>
      <c r="V133">
        <f t="shared" si="63"/>
        <v>-1194217.3057999993</v>
      </c>
      <c r="W133">
        <f t="shared" si="64"/>
        <v>-3702275.9592999988</v>
      </c>
      <c r="X133">
        <f t="shared" si="65"/>
        <v>-5049524.4047999997</v>
      </c>
      <c r="Z133">
        <f t="shared" si="66"/>
        <v>1068854.9028</v>
      </c>
      <c r="AA133">
        <f t="shared" si="67"/>
        <v>946967.94020000007</v>
      </c>
      <c r="AB133">
        <f t="shared" si="68"/>
        <v>768825.45640000002</v>
      </c>
      <c r="AC133">
        <f t="shared" si="69"/>
        <v>-1517883.6783999992</v>
      </c>
      <c r="AD133">
        <f t="shared" si="70"/>
        <v>-4221286.6077999994</v>
      </c>
      <c r="AE133">
        <f t="shared" si="71"/>
        <v>-5687970.0192</v>
      </c>
    </row>
    <row r="134" spans="1:31" x14ac:dyDescent="0.25">
      <c r="A134">
        <v>21.60430405</v>
      </c>
      <c r="B134">
        <v>116.15963929999999</v>
      </c>
      <c r="C134">
        <v>1.11991799</v>
      </c>
      <c r="D134">
        <v>25.54637718</v>
      </c>
      <c r="E134" t="b">
        <f t="shared" si="48"/>
        <v>1</v>
      </c>
      <c r="F134">
        <f t="shared" si="49"/>
        <v>19.946787229999998</v>
      </c>
      <c r="G134">
        <f t="shared" si="50"/>
        <v>14.34719728</v>
      </c>
      <c r="H134">
        <f t="shared" si="51"/>
        <v>8.747607330000001</v>
      </c>
      <c r="I134">
        <f t="shared" si="52"/>
        <v>3.1480173799999989</v>
      </c>
      <c r="J134">
        <f t="shared" si="53"/>
        <v>-2.4515725699999997</v>
      </c>
      <c r="L134">
        <f t="shared" si="54"/>
        <v>2150242.5408000001</v>
      </c>
      <c r="M134">
        <f t="shared" si="55"/>
        <v>1814267.1438000002</v>
      </c>
      <c r="N134">
        <f t="shared" si="56"/>
        <v>1545486.8261999998</v>
      </c>
      <c r="O134">
        <f t="shared" si="57"/>
        <v>1142316.3498</v>
      </c>
      <c r="P134">
        <f t="shared" si="58"/>
        <v>1030324.5508</v>
      </c>
      <c r="Q134">
        <f t="shared" si="59"/>
        <v>-1863195.1531999998</v>
      </c>
      <c r="S134">
        <f t="shared" si="60"/>
        <v>2351827.7790000001</v>
      </c>
      <c r="T134">
        <f t="shared" si="61"/>
        <v>2038250.7418</v>
      </c>
      <c r="U134">
        <f t="shared" si="62"/>
        <v>1691076.1649</v>
      </c>
      <c r="V134">
        <f t="shared" si="63"/>
        <v>1198312.2492999998</v>
      </c>
      <c r="W134">
        <f t="shared" si="64"/>
        <v>1198312.2492999998</v>
      </c>
      <c r="X134">
        <f t="shared" si="65"/>
        <v>-2132868.1358999996</v>
      </c>
      <c r="Z134">
        <f t="shared" si="66"/>
        <v>2553413.0172000001</v>
      </c>
      <c r="AA134">
        <f t="shared" si="67"/>
        <v>2262234.3398000002</v>
      </c>
      <c r="AB134">
        <f t="shared" si="68"/>
        <v>1836665.5036000002</v>
      </c>
      <c r="AC134">
        <f t="shared" si="69"/>
        <v>1523088.4663999998</v>
      </c>
      <c r="AD134">
        <f t="shared" si="70"/>
        <v>1366299.9478</v>
      </c>
      <c r="AE134">
        <f t="shared" si="71"/>
        <v>-2402541.1185999997</v>
      </c>
    </row>
    <row r="135" spans="1:31" x14ac:dyDescent="0.25">
      <c r="A135">
        <v>21.613598289999999</v>
      </c>
      <c r="B135">
        <v>116.064785</v>
      </c>
      <c r="C135">
        <v>1.13769305</v>
      </c>
      <c r="D135">
        <v>17.549207689999999</v>
      </c>
      <c r="E135" t="b">
        <f t="shared" si="48"/>
        <v>1</v>
      </c>
      <c r="F135">
        <f t="shared" si="49"/>
        <v>11.860742439999999</v>
      </c>
      <c r="G135">
        <f t="shared" si="50"/>
        <v>6.1722771899999991</v>
      </c>
      <c r="H135">
        <f t="shared" si="51"/>
        <v>0.48381193999999894</v>
      </c>
      <c r="I135">
        <f t="shared" si="52"/>
        <v>-5.2046533100000012</v>
      </c>
      <c r="J135">
        <f t="shared" si="53"/>
        <v>-10.893118560000001</v>
      </c>
      <c r="L135">
        <f t="shared" si="54"/>
        <v>2184370.6560000004</v>
      </c>
      <c r="M135">
        <f t="shared" si="55"/>
        <v>1843062.7410000002</v>
      </c>
      <c r="N135">
        <f t="shared" si="56"/>
        <v>1570016.409</v>
      </c>
      <c r="O135">
        <f t="shared" si="57"/>
        <v>493488.17879999895</v>
      </c>
      <c r="P135">
        <f t="shared" si="58"/>
        <v>-4788281.0452000005</v>
      </c>
      <c r="Q135">
        <f t="shared" si="59"/>
        <v>-8278770.1056000004</v>
      </c>
      <c r="S135">
        <f t="shared" si="60"/>
        <v>2389155.4050000003</v>
      </c>
      <c r="T135">
        <f t="shared" si="61"/>
        <v>2070601.3510000003</v>
      </c>
      <c r="U135">
        <f t="shared" si="62"/>
        <v>1717916.5055</v>
      </c>
      <c r="V135">
        <f t="shared" si="63"/>
        <v>517678.77579999878</v>
      </c>
      <c r="W135">
        <f t="shared" si="64"/>
        <v>-5568979.0417000009</v>
      </c>
      <c r="X135">
        <f t="shared" si="65"/>
        <v>-9477013.1471999995</v>
      </c>
      <c r="Z135">
        <f t="shared" si="66"/>
        <v>2593940.1540000006</v>
      </c>
      <c r="AA135">
        <f t="shared" si="67"/>
        <v>2298139.9610000001</v>
      </c>
      <c r="AB135">
        <f t="shared" si="68"/>
        <v>1865816.6020000002</v>
      </c>
      <c r="AC135">
        <f t="shared" si="69"/>
        <v>657984.23839999852</v>
      </c>
      <c r="AD135">
        <f t="shared" si="70"/>
        <v>-6349677.0382000012</v>
      </c>
      <c r="AE135">
        <f t="shared" si="71"/>
        <v>-10675256.1888</v>
      </c>
    </row>
    <row r="136" spans="1:31" x14ac:dyDescent="0.25">
      <c r="A136">
        <v>21.63454265</v>
      </c>
      <c r="B136">
        <v>116.3069479</v>
      </c>
      <c r="C136">
        <v>0.56091796999999999</v>
      </c>
      <c r="D136">
        <v>9.6573286100000004</v>
      </c>
      <c r="E136" t="b">
        <f t="shared" si="48"/>
        <v>1</v>
      </c>
      <c r="F136">
        <f t="shared" si="49"/>
        <v>6.8527387600000003</v>
      </c>
      <c r="G136">
        <f t="shared" si="50"/>
        <v>4.0481489100000001</v>
      </c>
      <c r="H136">
        <f t="shared" si="51"/>
        <v>1.2435590600000008</v>
      </c>
      <c r="I136">
        <f t="shared" si="52"/>
        <v>-1.5610307900000002</v>
      </c>
      <c r="J136">
        <f t="shared" si="53"/>
        <v>-4.3656206399999995</v>
      </c>
      <c r="L136">
        <f t="shared" si="54"/>
        <v>1076962.5024000001</v>
      </c>
      <c r="M136">
        <f t="shared" si="55"/>
        <v>908687.11140000005</v>
      </c>
      <c r="N136">
        <f t="shared" si="56"/>
        <v>774066.79859999986</v>
      </c>
      <c r="O136">
        <f t="shared" si="57"/>
        <v>572136.32939999993</v>
      </c>
      <c r="P136">
        <f t="shared" si="58"/>
        <v>-1436148.3268000002</v>
      </c>
      <c r="Q136">
        <f t="shared" si="59"/>
        <v>-3317871.6864</v>
      </c>
      <c r="S136">
        <f t="shared" si="60"/>
        <v>1177927.737</v>
      </c>
      <c r="T136">
        <f t="shared" si="61"/>
        <v>1020870.7054</v>
      </c>
      <c r="U136">
        <f t="shared" si="62"/>
        <v>846986.13469999994</v>
      </c>
      <c r="V136">
        <f t="shared" si="63"/>
        <v>600182.22789999982</v>
      </c>
      <c r="W136">
        <f t="shared" si="64"/>
        <v>-1670302.9453</v>
      </c>
      <c r="X136">
        <f t="shared" si="65"/>
        <v>-3798089.9567999998</v>
      </c>
      <c r="Z136">
        <f t="shared" si="66"/>
        <v>1278892.9716</v>
      </c>
      <c r="AA136">
        <f t="shared" si="67"/>
        <v>1133054.2993999999</v>
      </c>
      <c r="AB136">
        <f t="shared" si="68"/>
        <v>919905.47080000001</v>
      </c>
      <c r="AC136">
        <f t="shared" si="69"/>
        <v>762848.43919999991</v>
      </c>
      <c r="AD136">
        <f t="shared" si="70"/>
        <v>-1904457.5638000004</v>
      </c>
      <c r="AE136">
        <f t="shared" si="71"/>
        <v>-4278308.2271999996</v>
      </c>
    </row>
    <row r="137" spans="1:31" x14ac:dyDescent="0.25">
      <c r="A137">
        <v>21.657956070000001</v>
      </c>
      <c r="B137">
        <v>116.0697339</v>
      </c>
      <c r="C137">
        <v>1.69117999</v>
      </c>
      <c r="D137">
        <v>1.22430599</v>
      </c>
      <c r="E137" t="b">
        <f t="shared" si="48"/>
        <v>0</v>
      </c>
      <c r="F137">
        <f t="shared" si="49"/>
        <v>-7.2315939599999997</v>
      </c>
      <c r="G137">
        <f t="shared" si="50"/>
        <v>-15.687493909999999</v>
      </c>
      <c r="H137">
        <f t="shared" si="51"/>
        <v>-24.14339386</v>
      </c>
      <c r="I137">
        <f t="shared" si="52"/>
        <v>-32.599293809999999</v>
      </c>
      <c r="J137">
        <f t="shared" si="53"/>
        <v>-41.055193760000002</v>
      </c>
      <c r="L137">
        <f t="shared" si="54"/>
        <v>2350667.5008</v>
      </c>
      <c r="M137">
        <f t="shared" si="55"/>
        <v>-11715182.215200001</v>
      </c>
      <c r="N137">
        <f t="shared" si="56"/>
        <v>-21648741.595799997</v>
      </c>
      <c r="O137">
        <f t="shared" si="57"/>
        <v>-24626261.737199999</v>
      </c>
      <c r="P137">
        <f t="shared" si="58"/>
        <v>-29991350.305199996</v>
      </c>
      <c r="Q137">
        <f t="shared" si="59"/>
        <v>-31201947.257600006</v>
      </c>
      <c r="S137">
        <f t="shared" si="60"/>
        <v>2571042.5789999999</v>
      </c>
      <c r="T137">
        <f t="shared" si="61"/>
        <v>-13161501.007200001</v>
      </c>
      <c r="U137">
        <f t="shared" si="62"/>
        <v>-23688115.804099999</v>
      </c>
      <c r="V137">
        <f t="shared" si="63"/>
        <v>-25833431.430199996</v>
      </c>
      <c r="W137">
        <f t="shared" si="64"/>
        <v>-34881244.376699992</v>
      </c>
      <c r="X137">
        <f t="shared" si="65"/>
        <v>-35718018.571200006</v>
      </c>
      <c r="Z137">
        <f t="shared" si="66"/>
        <v>2791417.6572000002</v>
      </c>
      <c r="AA137">
        <f t="shared" si="67"/>
        <v>-14607819.7992</v>
      </c>
      <c r="AB137">
        <f t="shared" si="68"/>
        <v>-25727490.012399998</v>
      </c>
      <c r="AC137">
        <f t="shared" si="69"/>
        <v>-32835015.649599995</v>
      </c>
      <c r="AD137">
        <f t="shared" si="70"/>
        <v>-39771138.448199995</v>
      </c>
      <c r="AE137">
        <f t="shared" si="71"/>
        <v>-40234089.884800002</v>
      </c>
    </row>
    <row r="138" spans="1:31" x14ac:dyDescent="0.25">
      <c r="A138">
        <v>21.669369329999999</v>
      </c>
      <c r="B138">
        <v>116.4069136</v>
      </c>
      <c r="C138">
        <v>2.18444109</v>
      </c>
      <c r="D138">
        <v>1.4691679499999999</v>
      </c>
      <c r="E138" t="b">
        <f t="shared" si="48"/>
        <v>0</v>
      </c>
      <c r="F138">
        <f t="shared" si="49"/>
        <v>-9.4530375000000006</v>
      </c>
      <c r="G138">
        <f t="shared" si="50"/>
        <v>-20.375242950000001</v>
      </c>
      <c r="H138">
        <f t="shared" si="51"/>
        <v>-31.2974484</v>
      </c>
      <c r="I138">
        <f t="shared" si="52"/>
        <v>-42.21965385</v>
      </c>
      <c r="J138">
        <f t="shared" si="53"/>
        <v>-53.1418593</v>
      </c>
      <c r="L138">
        <f t="shared" si="54"/>
        <v>2820802.4640000002</v>
      </c>
      <c r="M138">
        <f t="shared" si="55"/>
        <v>-15313920.750000002</v>
      </c>
      <c r="N138">
        <f t="shared" si="56"/>
        <v>-28117835.270999998</v>
      </c>
      <c r="O138">
        <f t="shared" si="57"/>
        <v>-31923397.368000004</v>
      </c>
      <c r="P138">
        <f t="shared" si="58"/>
        <v>-38842081.541999996</v>
      </c>
      <c r="Q138">
        <f t="shared" si="59"/>
        <v>-40387813.067999996</v>
      </c>
      <c r="S138">
        <f t="shared" si="60"/>
        <v>3085252.6949999998</v>
      </c>
      <c r="T138">
        <f t="shared" si="61"/>
        <v>-17204528.25</v>
      </c>
      <c r="U138">
        <f t="shared" si="62"/>
        <v>-30766616.854499999</v>
      </c>
      <c r="V138">
        <f t="shared" si="63"/>
        <v>-33488269.787999999</v>
      </c>
      <c r="W138">
        <f t="shared" si="64"/>
        <v>-45175029.619499996</v>
      </c>
      <c r="X138">
        <f t="shared" si="65"/>
        <v>-46233417.590999998</v>
      </c>
      <c r="Z138">
        <f t="shared" si="66"/>
        <v>3349702.9260000004</v>
      </c>
      <c r="AA138">
        <f t="shared" si="67"/>
        <v>-19095135.75</v>
      </c>
      <c r="AB138">
        <f t="shared" si="68"/>
        <v>-33415398.438000001</v>
      </c>
      <c r="AC138">
        <f t="shared" si="69"/>
        <v>-42564529.824000001</v>
      </c>
      <c r="AD138">
        <f t="shared" si="70"/>
        <v>-51507977.697000004</v>
      </c>
      <c r="AE138">
        <f t="shared" si="71"/>
        <v>-52079022.113999993</v>
      </c>
    </row>
    <row r="139" spans="1:31" x14ac:dyDescent="0.25">
      <c r="A139">
        <v>21.671899979999999</v>
      </c>
      <c r="B139">
        <v>115.44776709999999</v>
      </c>
      <c r="C139">
        <v>1.31524003</v>
      </c>
      <c r="D139">
        <v>5.8276982300000002</v>
      </c>
      <c r="E139" t="b">
        <f t="shared" si="48"/>
        <v>1</v>
      </c>
      <c r="F139">
        <f t="shared" si="49"/>
        <v>-0.74850191999999982</v>
      </c>
      <c r="G139">
        <f t="shared" si="50"/>
        <v>-7.3247020699999998</v>
      </c>
      <c r="H139">
        <f t="shared" si="51"/>
        <v>-13.900902220000003</v>
      </c>
      <c r="I139">
        <f t="shared" si="52"/>
        <v>-20.477102370000001</v>
      </c>
      <c r="J139">
        <f t="shared" si="53"/>
        <v>-27.053302519999999</v>
      </c>
      <c r="L139">
        <f t="shared" si="54"/>
        <v>2525260.8576000002</v>
      </c>
      <c r="M139">
        <f t="shared" si="55"/>
        <v>-1212573.1103999997</v>
      </c>
      <c r="N139">
        <f t="shared" si="56"/>
        <v>-10108088.8566</v>
      </c>
      <c r="O139">
        <f t="shared" si="57"/>
        <v>-14178920.264400003</v>
      </c>
      <c r="P139">
        <f t="shared" si="58"/>
        <v>-18838934.180399999</v>
      </c>
      <c r="Q139">
        <f t="shared" si="59"/>
        <v>-20560509.915199999</v>
      </c>
      <c r="S139">
        <f t="shared" si="60"/>
        <v>2762004.0630000001</v>
      </c>
      <c r="T139">
        <f t="shared" si="61"/>
        <v>-1362273.4943999997</v>
      </c>
      <c r="U139">
        <f t="shared" si="62"/>
        <v>-11060300.125700001</v>
      </c>
      <c r="V139">
        <f t="shared" si="63"/>
        <v>-14873965.375400001</v>
      </c>
      <c r="W139">
        <f t="shared" si="64"/>
        <v>-21910499.535899997</v>
      </c>
      <c r="X139">
        <f t="shared" si="65"/>
        <v>-23536373.192400001</v>
      </c>
      <c r="Z139">
        <f t="shared" si="66"/>
        <v>2998747.2684000004</v>
      </c>
      <c r="AA139">
        <f t="shared" si="67"/>
        <v>-1511973.8783999996</v>
      </c>
      <c r="AB139">
        <f t="shared" si="68"/>
        <v>-12012511.394800002</v>
      </c>
      <c r="AC139">
        <f t="shared" si="69"/>
        <v>-18905227.019200001</v>
      </c>
      <c r="AD139">
        <f t="shared" si="70"/>
        <v>-24982064.891400002</v>
      </c>
      <c r="AE139">
        <f t="shared" si="71"/>
        <v>-26512236.469599999</v>
      </c>
    </row>
    <row r="140" spans="1:31" x14ac:dyDescent="0.25">
      <c r="A140">
        <v>21.676297179999999</v>
      </c>
      <c r="B140">
        <v>115.8798752</v>
      </c>
      <c r="C140">
        <v>1.69117999</v>
      </c>
      <c r="D140">
        <v>6.1215319600000004</v>
      </c>
      <c r="E140" t="b">
        <f t="shared" si="48"/>
        <v>1</v>
      </c>
      <c r="F140">
        <f t="shared" si="49"/>
        <v>-2.3343679899999987</v>
      </c>
      <c r="G140">
        <f t="shared" si="50"/>
        <v>-10.790267939999998</v>
      </c>
      <c r="H140">
        <f t="shared" si="51"/>
        <v>-19.246167890000002</v>
      </c>
      <c r="I140">
        <f t="shared" si="52"/>
        <v>-27.702067839999998</v>
      </c>
      <c r="J140">
        <f t="shared" si="53"/>
        <v>-36.157967790000001</v>
      </c>
      <c r="L140">
        <f t="shared" si="54"/>
        <v>3247065.5808000001</v>
      </c>
      <c r="M140">
        <f t="shared" si="55"/>
        <v>-3781676.1437999983</v>
      </c>
      <c r="N140">
        <f t="shared" si="56"/>
        <v>-14890569.757199995</v>
      </c>
      <c r="O140">
        <f t="shared" si="57"/>
        <v>-19631091.2478</v>
      </c>
      <c r="P140">
        <f t="shared" si="58"/>
        <v>-25485902.412799999</v>
      </c>
      <c r="Q140">
        <f t="shared" si="59"/>
        <v>-27480055.520399999</v>
      </c>
      <c r="S140">
        <f t="shared" si="60"/>
        <v>3551477.9790000003</v>
      </c>
      <c r="T140">
        <f t="shared" si="61"/>
        <v>-4248549.7417999981</v>
      </c>
      <c r="U140">
        <f t="shared" si="62"/>
        <v>-16293304.589399997</v>
      </c>
      <c r="V140">
        <f t="shared" si="63"/>
        <v>-20593399.642299999</v>
      </c>
      <c r="W140">
        <f t="shared" si="64"/>
        <v>-29641212.588799994</v>
      </c>
      <c r="X140">
        <f t="shared" si="65"/>
        <v>-31457431.977299999</v>
      </c>
      <c r="Z140">
        <f t="shared" si="66"/>
        <v>3855890.3772000005</v>
      </c>
      <c r="AA140">
        <f t="shared" si="67"/>
        <v>-4715423.3397999974</v>
      </c>
      <c r="AB140">
        <f t="shared" si="68"/>
        <v>-17696039.421599999</v>
      </c>
      <c r="AC140">
        <f t="shared" si="69"/>
        <v>-26174788.330399998</v>
      </c>
      <c r="AD140">
        <f t="shared" si="70"/>
        <v>-33796522.764799997</v>
      </c>
      <c r="AE140">
        <f t="shared" si="71"/>
        <v>-35434808.434199996</v>
      </c>
    </row>
    <row r="141" spans="1:31" x14ac:dyDescent="0.25">
      <c r="A141">
        <v>21.678892470000001</v>
      </c>
      <c r="B141">
        <v>116.31201660000001</v>
      </c>
      <c r="C141">
        <v>2.18444109</v>
      </c>
      <c r="D141">
        <v>4.4075031300000003</v>
      </c>
      <c r="E141" t="b">
        <f t="shared" si="48"/>
        <v>1</v>
      </c>
      <c r="F141">
        <f t="shared" si="49"/>
        <v>-6.5147023199999996</v>
      </c>
      <c r="G141">
        <f t="shared" si="50"/>
        <v>-17.436907769999998</v>
      </c>
      <c r="H141">
        <f t="shared" si="51"/>
        <v>-28.359113219999998</v>
      </c>
      <c r="I141">
        <f t="shared" si="52"/>
        <v>-39.281318669999997</v>
      </c>
      <c r="J141">
        <f t="shared" si="53"/>
        <v>-50.203524119999997</v>
      </c>
      <c r="L141">
        <f t="shared" si="54"/>
        <v>4194126.8928</v>
      </c>
      <c r="M141">
        <f t="shared" si="55"/>
        <v>-10553817.758399999</v>
      </c>
      <c r="N141">
        <f t="shared" si="56"/>
        <v>-24062932.722599998</v>
      </c>
      <c r="O141">
        <f t="shared" si="57"/>
        <v>-28926295.4844</v>
      </c>
      <c r="P141">
        <f t="shared" si="58"/>
        <v>-36138813.176399991</v>
      </c>
      <c r="Q141">
        <f t="shared" si="59"/>
        <v>-38154678.331199996</v>
      </c>
      <c r="S141">
        <f t="shared" si="60"/>
        <v>4587326.2889999999</v>
      </c>
      <c r="T141">
        <f t="shared" si="61"/>
        <v>-11856758.222399998</v>
      </c>
      <c r="U141">
        <f t="shared" si="62"/>
        <v>-26329730.732699998</v>
      </c>
      <c r="V141">
        <f t="shared" si="63"/>
        <v>-30344251.145399995</v>
      </c>
      <c r="W141">
        <f t="shared" si="64"/>
        <v>-42031010.976899989</v>
      </c>
      <c r="X141">
        <f t="shared" si="65"/>
        <v>-43677065.984399997</v>
      </c>
      <c r="Z141">
        <f t="shared" si="66"/>
        <v>4980525.6852000002</v>
      </c>
      <c r="AA141">
        <f t="shared" si="67"/>
        <v>-13159698.686399998</v>
      </c>
      <c r="AB141">
        <f t="shared" si="68"/>
        <v>-28596528.742800001</v>
      </c>
      <c r="AC141">
        <f t="shared" si="69"/>
        <v>-38568393.979199998</v>
      </c>
      <c r="AD141">
        <f t="shared" si="70"/>
        <v>-47923208.777399994</v>
      </c>
      <c r="AE141">
        <f t="shared" si="71"/>
        <v>-49199453.637599997</v>
      </c>
    </row>
    <row r="142" spans="1:31" x14ac:dyDescent="0.25">
      <c r="A142">
        <v>21.679685639999999</v>
      </c>
      <c r="B142">
        <v>116.7441743</v>
      </c>
      <c r="C142">
        <v>0.437776</v>
      </c>
      <c r="D142">
        <v>16.650566099999999</v>
      </c>
      <c r="E142" t="b">
        <f t="shared" si="48"/>
        <v>1</v>
      </c>
      <c r="F142">
        <f t="shared" si="49"/>
        <v>14.461686099999998</v>
      </c>
      <c r="G142">
        <f t="shared" si="50"/>
        <v>12.272806099999999</v>
      </c>
      <c r="H142">
        <f t="shared" si="51"/>
        <v>10.083926099999999</v>
      </c>
      <c r="I142">
        <f t="shared" si="52"/>
        <v>7.8950460999999983</v>
      </c>
      <c r="J142">
        <f t="shared" si="53"/>
        <v>5.706166099999999</v>
      </c>
      <c r="L142">
        <f t="shared" si="54"/>
        <v>840529.92000000004</v>
      </c>
      <c r="M142">
        <f t="shared" si="55"/>
        <v>709197.12</v>
      </c>
      <c r="N142">
        <f t="shared" si="56"/>
        <v>604130.88</v>
      </c>
      <c r="O142">
        <f t="shared" si="57"/>
        <v>446531.52</v>
      </c>
      <c r="P142">
        <f t="shared" si="58"/>
        <v>402753.92</v>
      </c>
      <c r="Q142">
        <f t="shared" si="59"/>
        <v>332709.76000000001</v>
      </c>
      <c r="S142">
        <f t="shared" si="60"/>
        <v>919329.60000000009</v>
      </c>
      <c r="T142">
        <f t="shared" si="61"/>
        <v>796752.32000000007</v>
      </c>
      <c r="U142">
        <f t="shared" si="62"/>
        <v>661041.76</v>
      </c>
      <c r="V142">
        <f t="shared" si="63"/>
        <v>468420.31999999995</v>
      </c>
      <c r="W142">
        <f t="shared" si="64"/>
        <v>468420.31999999995</v>
      </c>
      <c r="X142">
        <f t="shared" si="65"/>
        <v>380865.12</v>
      </c>
      <c r="Z142">
        <f t="shared" si="66"/>
        <v>998129.28000000014</v>
      </c>
      <c r="AA142">
        <f t="shared" si="67"/>
        <v>884307.52</v>
      </c>
      <c r="AB142">
        <f t="shared" si="68"/>
        <v>717952.64</v>
      </c>
      <c r="AC142">
        <f t="shared" si="69"/>
        <v>595375.35999999999</v>
      </c>
      <c r="AD142">
        <f t="shared" si="70"/>
        <v>534086.72</v>
      </c>
      <c r="AE142">
        <f t="shared" si="71"/>
        <v>429020.48</v>
      </c>
    </row>
    <row r="143" spans="1:31" x14ac:dyDescent="0.25">
      <c r="A143">
        <v>21.72324996</v>
      </c>
      <c r="B143">
        <v>116.3170903</v>
      </c>
      <c r="C143">
        <v>2.18444109</v>
      </c>
      <c r="D143">
        <v>1.4691679499999999</v>
      </c>
      <c r="E143" t="b">
        <f t="shared" si="48"/>
        <v>0</v>
      </c>
      <c r="F143">
        <f t="shared" si="49"/>
        <v>-9.4530375000000006</v>
      </c>
      <c r="G143">
        <f t="shared" si="50"/>
        <v>-20.375242950000001</v>
      </c>
      <c r="H143">
        <f t="shared" si="51"/>
        <v>-31.2974484</v>
      </c>
      <c r="I143">
        <f t="shared" si="52"/>
        <v>-42.21965385</v>
      </c>
      <c r="J143">
        <f t="shared" si="53"/>
        <v>-53.1418593</v>
      </c>
      <c r="L143">
        <f t="shared" si="54"/>
        <v>2820802.4640000002</v>
      </c>
      <c r="M143">
        <f t="shared" si="55"/>
        <v>-15313920.750000002</v>
      </c>
      <c r="N143">
        <f t="shared" si="56"/>
        <v>-28117835.270999998</v>
      </c>
      <c r="O143">
        <f t="shared" si="57"/>
        <v>-31923397.368000004</v>
      </c>
      <c r="P143">
        <f t="shared" si="58"/>
        <v>-38842081.541999996</v>
      </c>
      <c r="Q143">
        <f t="shared" si="59"/>
        <v>-40387813.067999996</v>
      </c>
      <c r="S143">
        <f t="shared" si="60"/>
        <v>3085252.6949999998</v>
      </c>
      <c r="T143">
        <f t="shared" si="61"/>
        <v>-17204528.25</v>
      </c>
      <c r="U143">
        <f t="shared" si="62"/>
        <v>-30766616.854499999</v>
      </c>
      <c r="V143">
        <f t="shared" si="63"/>
        <v>-33488269.787999999</v>
      </c>
      <c r="W143">
        <f t="shared" si="64"/>
        <v>-45175029.619499996</v>
      </c>
      <c r="X143">
        <f t="shared" si="65"/>
        <v>-46233417.590999998</v>
      </c>
      <c r="Z143">
        <f t="shared" si="66"/>
        <v>3349702.9260000004</v>
      </c>
      <c r="AA143">
        <f t="shared" si="67"/>
        <v>-19095135.75</v>
      </c>
      <c r="AB143">
        <f t="shared" si="68"/>
        <v>-33415398.438000001</v>
      </c>
      <c r="AC143">
        <f t="shared" si="69"/>
        <v>-42564529.824000001</v>
      </c>
      <c r="AD143">
        <f t="shared" si="70"/>
        <v>-51507977.697000004</v>
      </c>
      <c r="AE143">
        <f t="shared" si="71"/>
        <v>-52079022.113999993</v>
      </c>
    </row>
    <row r="144" spans="1:31" x14ac:dyDescent="0.25">
      <c r="A144">
        <v>21.74669471</v>
      </c>
      <c r="B144">
        <v>116.07964629999999</v>
      </c>
      <c r="C144">
        <v>0.84558999999999995</v>
      </c>
      <c r="D144">
        <v>6.8561158200000003</v>
      </c>
      <c r="E144" t="b">
        <f t="shared" si="48"/>
        <v>1</v>
      </c>
      <c r="F144">
        <f t="shared" si="49"/>
        <v>2.6281658200000004</v>
      </c>
      <c r="G144">
        <f t="shared" si="50"/>
        <v>-1.5997841799999994</v>
      </c>
      <c r="H144">
        <f t="shared" si="51"/>
        <v>-5.8277341799999993</v>
      </c>
      <c r="I144">
        <f t="shared" si="52"/>
        <v>-10.05568418</v>
      </c>
      <c r="J144">
        <f t="shared" si="53"/>
        <v>-14.28363418</v>
      </c>
      <c r="L144">
        <f t="shared" si="54"/>
        <v>1623532.8</v>
      </c>
      <c r="M144">
        <f t="shared" si="55"/>
        <v>1369855.8</v>
      </c>
      <c r="N144">
        <f t="shared" si="56"/>
        <v>-2207702.1683999989</v>
      </c>
      <c r="O144">
        <f t="shared" si="57"/>
        <v>-5944288.8635999998</v>
      </c>
      <c r="P144">
        <f t="shared" si="58"/>
        <v>-9251229.4455999993</v>
      </c>
      <c r="Q144">
        <f t="shared" si="59"/>
        <v>-10855561.9768</v>
      </c>
      <c r="S144">
        <f t="shared" si="60"/>
        <v>1775739</v>
      </c>
      <c r="T144">
        <f t="shared" si="61"/>
        <v>1538973.8</v>
      </c>
      <c r="U144">
        <f t="shared" si="62"/>
        <v>-2415674.1117999991</v>
      </c>
      <c r="V144">
        <f t="shared" si="63"/>
        <v>-6235675.5725999987</v>
      </c>
      <c r="W144">
        <f t="shared" si="64"/>
        <v>-10759582.072599998</v>
      </c>
      <c r="X144">
        <f t="shared" si="65"/>
        <v>-12426761.7366</v>
      </c>
      <c r="Z144">
        <f t="shared" si="66"/>
        <v>1927945.2000000002</v>
      </c>
      <c r="AA144">
        <f t="shared" si="67"/>
        <v>1708091.8</v>
      </c>
      <c r="AB144">
        <f t="shared" si="68"/>
        <v>-2623646.0551999994</v>
      </c>
      <c r="AC144">
        <f t="shared" si="69"/>
        <v>-7925718.4847999988</v>
      </c>
      <c r="AD144">
        <f t="shared" si="70"/>
        <v>-12267934.6996</v>
      </c>
      <c r="AE144">
        <f t="shared" si="71"/>
        <v>-13997961.496399999</v>
      </c>
    </row>
    <row r="145" spans="1:31" x14ac:dyDescent="0.25">
      <c r="A145">
        <v>27.06280005</v>
      </c>
      <c r="B145">
        <v>121.9788602</v>
      </c>
      <c r="C145">
        <v>6.4116277699999999</v>
      </c>
      <c r="D145">
        <v>0.83252800000000005</v>
      </c>
      <c r="E145" t="b">
        <f t="shared" si="48"/>
        <v>0</v>
      </c>
      <c r="F145">
        <f t="shared" si="49"/>
        <v>-31.225610849999999</v>
      </c>
      <c r="G145">
        <f t="shared" si="50"/>
        <v>-63.283749699999994</v>
      </c>
      <c r="H145">
        <f t="shared" si="51"/>
        <v>-95.341888550000007</v>
      </c>
      <c r="I145">
        <f t="shared" si="52"/>
        <v>-127.4000274</v>
      </c>
      <c r="J145">
        <f t="shared" si="53"/>
        <v>-159.45816625</v>
      </c>
      <c r="L145">
        <f t="shared" si="54"/>
        <v>1598453.7600000002</v>
      </c>
      <c r="M145">
        <f t="shared" si="55"/>
        <v>-50585489.577</v>
      </c>
      <c r="N145">
        <f t="shared" si="56"/>
        <v>-87331574.585999981</v>
      </c>
      <c r="O145">
        <f t="shared" si="57"/>
        <v>-97248726.32100001</v>
      </c>
      <c r="P145">
        <f t="shared" si="58"/>
        <v>-117208025.20799999</v>
      </c>
      <c r="Q145">
        <f t="shared" si="59"/>
        <v>-121188206.34999999</v>
      </c>
      <c r="S145">
        <f t="shared" si="60"/>
        <v>1748308.8</v>
      </c>
      <c r="T145">
        <f t="shared" si="61"/>
        <v>-56830611.747000001</v>
      </c>
      <c r="U145">
        <f t="shared" si="62"/>
        <v>-95558462.046999991</v>
      </c>
      <c r="V145">
        <f t="shared" si="63"/>
        <v>-102015820.7485</v>
      </c>
      <c r="W145">
        <f t="shared" si="64"/>
        <v>-136318029.31799999</v>
      </c>
      <c r="X145">
        <f t="shared" si="65"/>
        <v>-138728604.63749999</v>
      </c>
      <c r="Z145">
        <f t="shared" si="66"/>
        <v>1898163.8400000003</v>
      </c>
      <c r="AA145">
        <f t="shared" si="67"/>
        <v>-63075733.916999996</v>
      </c>
      <c r="AB145">
        <f t="shared" si="68"/>
        <v>-103785349.508</v>
      </c>
      <c r="AC145">
        <f t="shared" si="69"/>
        <v>-129664968.428</v>
      </c>
      <c r="AD145">
        <f t="shared" si="70"/>
        <v>-155428033.428</v>
      </c>
      <c r="AE145">
        <f t="shared" si="71"/>
        <v>-156269002.92500001</v>
      </c>
    </row>
    <row r="146" spans="1:31" x14ac:dyDescent="0.25">
      <c r="A146">
        <v>28.338897320000001</v>
      </c>
      <c r="B146">
        <v>124.9404548</v>
      </c>
      <c r="C146">
        <v>6.4015440899999998</v>
      </c>
      <c r="D146">
        <v>2.4486129299999999</v>
      </c>
      <c r="E146" t="b">
        <f t="shared" si="48"/>
        <v>0</v>
      </c>
      <c r="F146">
        <f t="shared" si="49"/>
        <v>-29.559107520000001</v>
      </c>
      <c r="G146">
        <f t="shared" si="50"/>
        <v>-61.566827969999999</v>
      </c>
      <c r="H146">
        <f t="shared" si="51"/>
        <v>-93.574548419999999</v>
      </c>
      <c r="I146">
        <f t="shared" si="52"/>
        <v>-125.58226887000001</v>
      </c>
      <c r="J146">
        <f t="shared" si="53"/>
        <v>-157.58998932</v>
      </c>
      <c r="L146">
        <f t="shared" si="54"/>
        <v>4701336.8256000001</v>
      </c>
      <c r="M146">
        <f t="shared" si="55"/>
        <v>-47885754.182400003</v>
      </c>
      <c r="N146">
        <f t="shared" si="56"/>
        <v>-84962222.598599985</v>
      </c>
      <c r="O146">
        <f t="shared" si="57"/>
        <v>-95446039.388400003</v>
      </c>
      <c r="P146">
        <f t="shared" si="58"/>
        <v>-115535687.36039999</v>
      </c>
      <c r="Q146">
        <f t="shared" si="59"/>
        <v>-119768391.88319999</v>
      </c>
      <c r="S146">
        <f t="shared" si="60"/>
        <v>5142087.1529999999</v>
      </c>
      <c r="T146">
        <f t="shared" si="61"/>
        <v>-53797575.686400004</v>
      </c>
      <c r="U146">
        <f t="shared" si="62"/>
        <v>-92965910.234699994</v>
      </c>
      <c r="V146">
        <f t="shared" si="63"/>
        <v>-100124766.80939999</v>
      </c>
      <c r="W146">
        <f t="shared" si="64"/>
        <v>-134373027.6909</v>
      </c>
      <c r="X146">
        <f t="shared" si="65"/>
        <v>-137103290.70839998</v>
      </c>
      <c r="Z146">
        <f t="shared" si="66"/>
        <v>5582837.4803999998</v>
      </c>
      <c r="AA146">
        <f t="shared" si="67"/>
        <v>-59709397.190399997</v>
      </c>
      <c r="AB146">
        <f t="shared" si="68"/>
        <v>-100969597.8708</v>
      </c>
      <c r="AC146">
        <f t="shared" si="69"/>
        <v>-127261385.85119998</v>
      </c>
      <c r="AD146">
        <f t="shared" si="70"/>
        <v>-153210368.0214</v>
      </c>
      <c r="AE146">
        <f t="shared" si="71"/>
        <v>-154438189.5336</v>
      </c>
    </row>
    <row r="147" spans="1:31" x14ac:dyDescent="0.25">
      <c r="A147">
        <v>28.60607933</v>
      </c>
      <c r="B147">
        <v>106.0862017</v>
      </c>
      <c r="C147">
        <v>7.7793899999999997E-3</v>
      </c>
      <c r="D147">
        <v>0.107243</v>
      </c>
      <c r="E147" t="b">
        <f t="shared" si="48"/>
        <v>1</v>
      </c>
      <c r="F147">
        <f t="shared" si="49"/>
        <v>6.8346050000000005E-2</v>
      </c>
      <c r="G147">
        <f t="shared" si="50"/>
        <v>2.9449100000000006E-2</v>
      </c>
      <c r="H147">
        <f t="shared" si="51"/>
        <v>-9.4478499999999938E-3</v>
      </c>
      <c r="I147">
        <f t="shared" si="52"/>
        <v>-4.8344799999999993E-2</v>
      </c>
      <c r="J147">
        <f t="shared" si="53"/>
        <v>-8.7241749999999979E-2</v>
      </c>
      <c r="L147">
        <f t="shared" si="54"/>
        <v>14936.4288</v>
      </c>
      <c r="M147">
        <f t="shared" si="55"/>
        <v>12602.611800000001</v>
      </c>
      <c r="N147">
        <f t="shared" si="56"/>
        <v>10735.558199999998</v>
      </c>
      <c r="O147">
        <f t="shared" si="57"/>
        <v>-9636.8069999999934</v>
      </c>
      <c r="P147">
        <f t="shared" si="58"/>
        <v>-44477.215999999993</v>
      </c>
      <c r="Q147">
        <f t="shared" si="59"/>
        <v>-66303.73</v>
      </c>
      <c r="S147">
        <f t="shared" si="60"/>
        <v>16336.718999999999</v>
      </c>
      <c r="T147">
        <f t="shared" si="61"/>
        <v>14158.489799999999</v>
      </c>
      <c r="U147">
        <f t="shared" si="62"/>
        <v>11746.8789</v>
      </c>
      <c r="V147">
        <f t="shared" si="63"/>
        <v>-10109.199499999992</v>
      </c>
      <c r="W147">
        <f t="shared" si="64"/>
        <v>-51728.935999999987</v>
      </c>
      <c r="X147">
        <f t="shared" si="65"/>
        <v>-75900.32249999998</v>
      </c>
      <c r="Z147">
        <f t="shared" si="66"/>
        <v>17737.0092</v>
      </c>
      <c r="AA147">
        <f t="shared" si="67"/>
        <v>15714.367799999998</v>
      </c>
      <c r="AB147">
        <f t="shared" si="68"/>
        <v>12758.1996</v>
      </c>
      <c r="AC147">
        <f t="shared" si="69"/>
        <v>-12849.07599999999</v>
      </c>
      <c r="AD147">
        <f t="shared" si="70"/>
        <v>-58980.655999999995</v>
      </c>
      <c r="AE147">
        <f t="shared" si="71"/>
        <v>-85496.914999999979</v>
      </c>
    </row>
    <row r="148" spans="1:31" x14ac:dyDescent="0.25">
      <c r="A148">
        <v>28.615924450000001</v>
      </c>
      <c r="B148">
        <v>125.2132826</v>
      </c>
      <c r="C148">
        <v>38.936824799999997</v>
      </c>
      <c r="D148">
        <v>0.112636</v>
      </c>
      <c r="E148" t="b">
        <f t="shared" si="48"/>
        <v>0</v>
      </c>
      <c r="F148">
        <f t="shared" si="49"/>
        <v>-194.57148799999999</v>
      </c>
      <c r="G148">
        <f t="shared" si="50"/>
        <v>-389.25561199999999</v>
      </c>
      <c r="H148">
        <f t="shared" si="51"/>
        <v>-583.93973600000004</v>
      </c>
      <c r="I148">
        <f t="shared" si="52"/>
        <v>-778.62386000000004</v>
      </c>
      <c r="J148">
        <f t="shared" si="53"/>
        <v>-973.30798399999992</v>
      </c>
      <c r="L148">
        <f t="shared" si="54"/>
        <v>216261.12000000002</v>
      </c>
      <c r="M148">
        <f t="shared" si="55"/>
        <v>-315205810.56</v>
      </c>
      <c r="N148">
        <f t="shared" si="56"/>
        <v>-537172744.55999994</v>
      </c>
      <c r="O148">
        <f t="shared" si="57"/>
        <v>-595618530.72000003</v>
      </c>
      <c r="P148">
        <f t="shared" si="58"/>
        <v>-716333951.19999993</v>
      </c>
      <c r="Q148">
        <f t="shared" si="59"/>
        <v>-739714067.83999991</v>
      </c>
      <c r="S148">
        <f t="shared" si="60"/>
        <v>236535.6</v>
      </c>
      <c r="T148">
        <f t="shared" si="61"/>
        <v>-354120108.16000003</v>
      </c>
      <c r="U148">
        <f t="shared" si="62"/>
        <v>-587775974.12</v>
      </c>
      <c r="V148">
        <f t="shared" si="63"/>
        <v>-624815517.51999986</v>
      </c>
      <c r="W148">
        <f t="shared" si="64"/>
        <v>-833127530.19999993</v>
      </c>
      <c r="X148">
        <f t="shared" si="65"/>
        <v>-846777946.07999992</v>
      </c>
      <c r="Z148">
        <f t="shared" si="66"/>
        <v>256810.08000000002</v>
      </c>
      <c r="AA148">
        <f t="shared" si="67"/>
        <v>-393034405.75999999</v>
      </c>
      <c r="AB148">
        <f t="shared" si="68"/>
        <v>-638379203.68000007</v>
      </c>
      <c r="AC148">
        <f t="shared" si="69"/>
        <v>-794158040.95999992</v>
      </c>
      <c r="AD148">
        <f t="shared" si="70"/>
        <v>-949921109.19999993</v>
      </c>
      <c r="AE148">
        <f t="shared" si="71"/>
        <v>-953841824.31999981</v>
      </c>
    </row>
    <row r="149" spans="1:31" x14ac:dyDescent="0.25">
      <c r="A149">
        <v>28.72320156</v>
      </c>
      <c r="B149">
        <v>125.1322882</v>
      </c>
      <c r="C149">
        <v>36.828468319999999</v>
      </c>
      <c r="D149">
        <v>2.2600700900000001</v>
      </c>
      <c r="E149" t="b">
        <f t="shared" si="48"/>
        <v>0</v>
      </c>
      <c r="F149">
        <f t="shared" si="49"/>
        <v>-181.88227151000001</v>
      </c>
      <c r="G149">
        <f t="shared" si="50"/>
        <v>-366.02461311000002</v>
      </c>
      <c r="H149">
        <f t="shared" si="51"/>
        <v>-550.16695471000003</v>
      </c>
      <c r="I149">
        <f t="shared" si="52"/>
        <v>-734.30929631000004</v>
      </c>
      <c r="J149">
        <f t="shared" si="53"/>
        <v>-918.45163790999993</v>
      </c>
      <c r="L149">
        <f t="shared" si="54"/>
        <v>4339334.5728000011</v>
      </c>
      <c r="M149">
        <f t="shared" si="55"/>
        <v>-294649279.84620005</v>
      </c>
      <c r="N149">
        <f t="shared" si="56"/>
        <v>-505113966.09179997</v>
      </c>
      <c r="O149">
        <f t="shared" si="57"/>
        <v>-561170293.80420005</v>
      </c>
      <c r="P149">
        <f t="shared" si="58"/>
        <v>-675564552.60520005</v>
      </c>
      <c r="Q149">
        <f t="shared" si="59"/>
        <v>-698023244.81159997</v>
      </c>
      <c r="S149">
        <f t="shared" si="60"/>
        <v>4746147.1890000012</v>
      </c>
      <c r="T149">
        <f t="shared" si="61"/>
        <v>-331025734.14820004</v>
      </c>
      <c r="U149">
        <f t="shared" si="62"/>
        <v>-552697165.79610002</v>
      </c>
      <c r="V149">
        <f t="shared" si="63"/>
        <v>-588678641.53969991</v>
      </c>
      <c r="W149">
        <f t="shared" si="64"/>
        <v>-785710947.0517</v>
      </c>
      <c r="X149">
        <f t="shared" si="65"/>
        <v>-799052924.98169994</v>
      </c>
      <c r="Z149">
        <f t="shared" si="66"/>
        <v>5152959.8052000012</v>
      </c>
      <c r="AA149">
        <f t="shared" si="67"/>
        <v>-367402188.45020002</v>
      </c>
      <c r="AB149">
        <f t="shared" si="68"/>
        <v>-600280365.50040007</v>
      </c>
      <c r="AC149">
        <f t="shared" si="69"/>
        <v>-748227058.40559995</v>
      </c>
      <c r="AD149">
        <f t="shared" si="70"/>
        <v>-895857341.49820006</v>
      </c>
      <c r="AE149">
        <f t="shared" si="71"/>
        <v>-900082605.15179992</v>
      </c>
    </row>
    <row r="150" spans="1:31" x14ac:dyDescent="0.25">
      <c r="A150">
        <v>28.758788670000001</v>
      </c>
      <c r="B150">
        <v>124.9294289</v>
      </c>
      <c r="C150">
        <v>38.395996089999997</v>
      </c>
      <c r="D150">
        <v>0.24486100999999999</v>
      </c>
      <c r="E150" t="b">
        <f t="shared" si="48"/>
        <v>0</v>
      </c>
      <c r="F150">
        <f t="shared" si="49"/>
        <v>-191.73511943999998</v>
      </c>
      <c r="G150">
        <f t="shared" si="50"/>
        <v>-383.71509988999992</v>
      </c>
      <c r="H150">
        <f t="shared" si="51"/>
        <v>-575.69508033999989</v>
      </c>
      <c r="I150">
        <f t="shared" si="52"/>
        <v>-767.67506078999986</v>
      </c>
      <c r="J150">
        <f t="shared" si="53"/>
        <v>-959.65504123999995</v>
      </c>
      <c r="L150">
        <f t="shared" si="54"/>
        <v>470133.13919999998</v>
      </c>
      <c r="M150">
        <f t="shared" si="55"/>
        <v>-310610893.4928</v>
      </c>
      <c r="N150">
        <f t="shared" si="56"/>
        <v>-529526837.84819984</v>
      </c>
      <c r="O150">
        <f t="shared" si="57"/>
        <v>-587208981.94679987</v>
      </c>
      <c r="P150">
        <f t="shared" si="58"/>
        <v>-706261055.92679977</v>
      </c>
      <c r="Q150">
        <f t="shared" si="59"/>
        <v>-729337831.34239995</v>
      </c>
      <c r="S150">
        <f t="shared" si="60"/>
        <v>514208.12099999998</v>
      </c>
      <c r="T150">
        <f t="shared" si="61"/>
        <v>-348957917.38079995</v>
      </c>
      <c r="U150">
        <f t="shared" si="62"/>
        <v>-579409800.83389986</v>
      </c>
      <c r="V150">
        <f t="shared" si="63"/>
        <v>-615993735.96379983</v>
      </c>
      <c r="W150">
        <f t="shared" si="64"/>
        <v>-821412315.04529977</v>
      </c>
      <c r="X150">
        <f t="shared" si="65"/>
        <v>-834899885.87879992</v>
      </c>
      <c r="Z150">
        <f t="shared" si="66"/>
        <v>558283.10279999999</v>
      </c>
      <c r="AA150">
        <f t="shared" si="67"/>
        <v>-387304941.26879996</v>
      </c>
      <c r="AB150">
        <f t="shared" si="68"/>
        <v>-629292763.81959999</v>
      </c>
      <c r="AC150">
        <f t="shared" si="69"/>
        <v>-782945309.26239979</v>
      </c>
      <c r="AD150">
        <f t="shared" si="70"/>
        <v>-936563574.16379976</v>
      </c>
      <c r="AE150">
        <f t="shared" si="71"/>
        <v>-940461940.41519988</v>
      </c>
    </row>
    <row r="151" spans="1:31" x14ac:dyDescent="0.25">
      <c r="A151">
        <v>28.782323359999999</v>
      </c>
      <c r="B151">
        <v>104.8447189</v>
      </c>
      <c r="C151">
        <v>1.096317E-2</v>
      </c>
      <c r="D151">
        <v>1.1370999799999999</v>
      </c>
      <c r="E151" t="b">
        <f t="shared" si="48"/>
        <v>1</v>
      </c>
      <c r="F151">
        <f t="shared" si="49"/>
        <v>1.0822841299999999</v>
      </c>
      <c r="G151">
        <f t="shared" si="50"/>
        <v>1.0274682799999999</v>
      </c>
      <c r="H151">
        <f t="shared" si="51"/>
        <v>0.9726524299999999</v>
      </c>
      <c r="I151">
        <f t="shared" si="52"/>
        <v>0.9178365799999999</v>
      </c>
      <c r="J151">
        <f t="shared" si="53"/>
        <v>0.8630207299999999</v>
      </c>
      <c r="L151">
        <f t="shared" si="54"/>
        <v>21049.286400000001</v>
      </c>
      <c r="M151">
        <f t="shared" si="55"/>
        <v>17760.3354</v>
      </c>
      <c r="N151">
        <f t="shared" si="56"/>
        <v>15129.174599999998</v>
      </c>
      <c r="O151">
        <f t="shared" si="57"/>
        <v>11182.4334</v>
      </c>
      <c r="P151">
        <f t="shared" si="58"/>
        <v>10086.116399999999</v>
      </c>
      <c r="Q151">
        <f t="shared" si="59"/>
        <v>8332.0092000000004</v>
      </c>
      <c r="S151">
        <f t="shared" si="60"/>
        <v>23022.657000000003</v>
      </c>
      <c r="T151">
        <f t="shared" si="61"/>
        <v>19952.969400000002</v>
      </c>
      <c r="U151">
        <f t="shared" si="62"/>
        <v>16554.386699999999</v>
      </c>
      <c r="V151">
        <f t="shared" si="63"/>
        <v>11730.591899999998</v>
      </c>
      <c r="W151">
        <f t="shared" si="64"/>
        <v>11730.591899999998</v>
      </c>
      <c r="X151">
        <f t="shared" si="65"/>
        <v>9537.9578999999994</v>
      </c>
      <c r="Z151">
        <f t="shared" si="66"/>
        <v>24996.027600000001</v>
      </c>
      <c r="AA151">
        <f t="shared" si="67"/>
        <v>22145.6034</v>
      </c>
      <c r="AB151">
        <f t="shared" si="68"/>
        <v>17979.5988</v>
      </c>
      <c r="AC151">
        <f t="shared" si="69"/>
        <v>14909.911199999999</v>
      </c>
      <c r="AD151">
        <f t="shared" si="70"/>
        <v>13375.0674</v>
      </c>
      <c r="AE151">
        <f t="shared" si="71"/>
        <v>10743.9066</v>
      </c>
    </row>
    <row r="152" spans="1:31" x14ac:dyDescent="0.25">
      <c r="A152">
        <v>28.865887050000001</v>
      </c>
      <c r="B152">
        <v>124.8479419</v>
      </c>
      <c r="C152">
        <v>2.75962591</v>
      </c>
      <c r="D152">
        <v>3.6729190300000001</v>
      </c>
      <c r="E152" t="b">
        <f t="shared" si="48"/>
        <v>1</v>
      </c>
      <c r="F152">
        <f t="shared" si="49"/>
        <v>-10.12521052</v>
      </c>
      <c r="G152">
        <f t="shared" si="50"/>
        <v>-23.923340070000002</v>
      </c>
      <c r="H152">
        <f t="shared" si="51"/>
        <v>-37.721469620000001</v>
      </c>
      <c r="I152">
        <f t="shared" si="52"/>
        <v>-51.519599169999999</v>
      </c>
      <c r="J152">
        <f t="shared" si="53"/>
        <v>-65.317728719999991</v>
      </c>
      <c r="L152">
        <f t="shared" si="54"/>
        <v>5298481.747200001</v>
      </c>
      <c r="M152">
        <f t="shared" si="55"/>
        <v>-16402841.042400001</v>
      </c>
      <c r="N152">
        <f t="shared" si="56"/>
        <v>-33014209.296599999</v>
      </c>
      <c r="O152">
        <f t="shared" si="57"/>
        <v>-38475899.012400001</v>
      </c>
      <c r="P152">
        <f t="shared" si="58"/>
        <v>-47398031.236400001</v>
      </c>
      <c r="Q152">
        <f t="shared" si="59"/>
        <v>-49641473.827199996</v>
      </c>
      <c r="S152">
        <f t="shared" si="60"/>
        <v>5795214.4110000003</v>
      </c>
      <c r="T152">
        <f t="shared" si="61"/>
        <v>-18427883.146400001</v>
      </c>
      <c r="U152">
        <f t="shared" si="62"/>
        <v>-36124243.5057</v>
      </c>
      <c r="V152">
        <f t="shared" si="63"/>
        <v>-40361972.493399993</v>
      </c>
      <c r="W152">
        <f t="shared" si="64"/>
        <v>-55125971.111899994</v>
      </c>
      <c r="X152">
        <f t="shared" si="65"/>
        <v>-56826423.986399993</v>
      </c>
      <c r="Z152">
        <f t="shared" si="66"/>
        <v>6291947.0748000015</v>
      </c>
      <c r="AA152">
        <f t="shared" si="67"/>
        <v>-20452925.250399999</v>
      </c>
      <c r="AB152">
        <f t="shared" si="68"/>
        <v>-39234277.7148</v>
      </c>
      <c r="AC152">
        <f t="shared" si="69"/>
        <v>-51301198.683199994</v>
      </c>
      <c r="AD152">
        <f t="shared" si="70"/>
        <v>-62853910.987400003</v>
      </c>
      <c r="AE152">
        <f t="shared" si="71"/>
        <v>-64011374.145599991</v>
      </c>
    </row>
    <row r="153" spans="1:31" x14ac:dyDescent="0.25">
      <c r="A153">
        <v>28.877602020000001</v>
      </c>
      <c r="B153">
        <v>106.65619940000001</v>
      </c>
      <c r="C153">
        <v>7.7793899999999997E-3</v>
      </c>
      <c r="D153">
        <v>1.0635230499999999</v>
      </c>
      <c r="E153" t="b">
        <f t="shared" si="48"/>
        <v>1</v>
      </c>
      <c r="F153">
        <f t="shared" si="49"/>
        <v>1.0246260999999999</v>
      </c>
      <c r="G153">
        <f t="shared" si="50"/>
        <v>0.98572914999999994</v>
      </c>
      <c r="H153">
        <f t="shared" si="51"/>
        <v>0.9468321999999999</v>
      </c>
      <c r="I153">
        <f t="shared" si="52"/>
        <v>0.90793524999999997</v>
      </c>
      <c r="J153">
        <f t="shared" si="53"/>
        <v>0.86903829999999993</v>
      </c>
      <c r="L153">
        <f t="shared" si="54"/>
        <v>14936.4288</v>
      </c>
      <c r="M153">
        <f t="shared" si="55"/>
        <v>12602.611800000001</v>
      </c>
      <c r="N153">
        <f t="shared" si="56"/>
        <v>10735.558199999998</v>
      </c>
      <c r="O153">
        <f t="shared" si="57"/>
        <v>7934.9777999999997</v>
      </c>
      <c r="P153">
        <f t="shared" si="58"/>
        <v>7157.0387999999994</v>
      </c>
      <c r="Q153">
        <f t="shared" si="59"/>
        <v>5912.3363999999992</v>
      </c>
      <c r="S153">
        <f t="shared" si="60"/>
        <v>16336.718999999999</v>
      </c>
      <c r="T153">
        <f t="shared" si="61"/>
        <v>14158.489799999999</v>
      </c>
      <c r="U153">
        <f t="shared" si="62"/>
        <v>11746.8789</v>
      </c>
      <c r="V153">
        <f t="shared" si="63"/>
        <v>8323.947299999998</v>
      </c>
      <c r="W153">
        <f t="shared" si="64"/>
        <v>8323.947299999998</v>
      </c>
      <c r="X153">
        <f t="shared" si="65"/>
        <v>6768.0692999999992</v>
      </c>
      <c r="Z153">
        <f t="shared" si="66"/>
        <v>17737.0092</v>
      </c>
      <c r="AA153">
        <f t="shared" si="67"/>
        <v>15714.367799999998</v>
      </c>
      <c r="AB153">
        <f t="shared" si="68"/>
        <v>12758.1996</v>
      </c>
      <c r="AC153">
        <f t="shared" si="69"/>
        <v>10579.970399999998</v>
      </c>
      <c r="AD153">
        <f t="shared" si="70"/>
        <v>9490.8557999999994</v>
      </c>
      <c r="AE153">
        <f t="shared" si="71"/>
        <v>7623.8021999999992</v>
      </c>
    </row>
    <row r="154" spans="1:31" x14ac:dyDescent="0.25">
      <c r="A154">
        <v>28.955630970000001</v>
      </c>
      <c r="B154">
        <v>125.1323223</v>
      </c>
      <c r="C154">
        <v>13.43220043</v>
      </c>
      <c r="D154">
        <v>1.4691679499999999</v>
      </c>
      <c r="E154" t="b">
        <f t="shared" si="48"/>
        <v>0</v>
      </c>
      <c r="F154">
        <f t="shared" si="49"/>
        <v>-65.691834200000002</v>
      </c>
      <c r="G154">
        <f t="shared" si="50"/>
        <v>-132.85283634999999</v>
      </c>
      <c r="H154">
        <f t="shared" si="51"/>
        <v>-200.01383849999999</v>
      </c>
      <c r="I154">
        <f t="shared" si="52"/>
        <v>-267.17484065000002</v>
      </c>
      <c r="J154">
        <f t="shared" si="53"/>
        <v>-334.33584280000002</v>
      </c>
      <c r="L154">
        <f t="shared" si="54"/>
        <v>2820802.4640000002</v>
      </c>
      <c r="M154">
        <f t="shared" si="55"/>
        <v>-106420771.40400001</v>
      </c>
      <c r="N154">
        <f t="shared" si="56"/>
        <v>-183336914.16299999</v>
      </c>
      <c r="O154">
        <f t="shared" si="57"/>
        <v>-204014115.27000001</v>
      </c>
      <c r="P154">
        <f t="shared" si="58"/>
        <v>-245800853.398</v>
      </c>
      <c r="Q154">
        <f t="shared" si="59"/>
        <v>-254095240.528</v>
      </c>
      <c r="S154">
        <f t="shared" si="60"/>
        <v>3085252.6949999998</v>
      </c>
      <c r="T154">
        <f t="shared" si="61"/>
        <v>-119559138.244</v>
      </c>
      <c r="U154">
        <f t="shared" si="62"/>
        <v>-200607782.88850001</v>
      </c>
      <c r="V154">
        <f t="shared" si="63"/>
        <v>-214014807.19499996</v>
      </c>
      <c r="W154">
        <f t="shared" si="64"/>
        <v>-285877079.49549997</v>
      </c>
      <c r="X154">
        <f t="shared" si="65"/>
        <v>-290872183.236</v>
      </c>
      <c r="Z154">
        <f t="shared" si="66"/>
        <v>3349702.9260000004</v>
      </c>
      <c r="AA154">
        <f t="shared" si="67"/>
        <v>-132697505.08400001</v>
      </c>
      <c r="AB154">
        <f t="shared" si="68"/>
        <v>-217878651.61399999</v>
      </c>
      <c r="AC154">
        <f t="shared" si="69"/>
        <v>-272018820.35999995</v>
      </c>
      <c r="AD154">
        <f t="shared" si="70"/>
        <v>-325953305.59300005</v>
      </c>
      <c r="AE154">
        <f t="shared" si="71"/>
        <v>-327649125.94400001</v>
      </c>
    </row>
    <row r="155" spans="1:31" x14ac:dyDescent="0.25">
      <c r="A155">
        <v>28.969173860000001</v>
      </c>
      <c r="B155">
        <v>105.4125386</v>
      </c>
      <c r="C155">
        <v>1.99775696</v>
      </c>
      <c r="D155">
        <v>1.418E-2</v>
      </c>
      <c r="E155" t="b">
        <f t="shared" si="48"/>
        <v>0</v>
      </c>
      <c r="F155">
        <f t="shared" si="49"/>
        <v>-9.9746047999999998</v>
      </c>
      <c r="G155">
        <f t="shared" si="50"/>
        <v>-19.963389599999999</v>
      </c>
      <c r="H155">
        <f t="shared" si="51"/>
        <v>-29.952174400000001</v>
      </c>
      <c r="I155">
        <f t="shared" si="52"/>
        <v>-39.940959199999995</v>
      </c>
      <c r="J155">
        <f t="shared" si="53"/>
        <v>-49.929743999999999</v>
      </c>
      <c r="L155">
        <f t="shared" si="54"/>
        <v>27225.600000000002</v>
      </c>
      <c r="M155">
        <f t="shared" si="55"/>
        <v>-16158859.776000002</v>
      </c>
      <c r="N155">
        <f t="shared" si="56"/>
        <v>-27549477.647999994</v>
      </c>
      <c r="O155">
        <f t="shared" si="57"/>
        <v>-30551217.888000004</v>
      </c>
      <c r="P155">
        <f t="shared" si="58"/>
        <v>-36745682.463999994</v>
      </c>
      <c r="Q155">
        <f t="shared" si="59"/>
        <v>-37946605.439999998</v>
      </c>
      <c r="S155">
        <f t="shared" si="60"/>
        <v>29778</v>
      </c>
      <c r="T155">
        <f t="shared" si="61"/>
        <v>-18153780.736000001</v>
      </c>
      <c r="U155">
        <f t="shared" si="62"/>
        <v>-30144718.295999996</v>
      </c>
      <c r="V155">
        <f t="shared" si="63"/>
        <v>-32048826.607999999</v>
      </c>
      <c r="W155">
        <f t="shared" si="64"/>
        <v>-42736826.343999989</v>
      </c>
      <c r="X155">
        <f t="shared" si="65"/>
        <v>-43438877.280000001</v>
      </c>
      <c r="Z155">
        <f t="shared" si="66"/>
        <v>32330.400000000005</v>
      </c>
      <c r="AA155">
        <f t="shared" si="67"/>
        <v>-20148701.696000002</v>
      </c>
      <c r="AB155">
        <f t="shared" si="68"/>
        <v>-32739958.943999998</v>
      </c>
      <c r="AC155">
        <f t="shared" si="69"/>
        <v>-40734957.184</v>
      </c>
      <c r="AD155">
        <f t="shared" si="70"/>
        <v>-48727970.223999992</v>
      </c>
      <c r="AE155">
        <f t="shared" si="71"/>
        <v>-48931149.119999997</v>
      </c>
    </row>
    <row r="156" spans="1:31" x14ac:dyDescent="0.25">
      <c r="A156">
        <v>28.99123427</v>
      </c>
      <c r="B156">
        <v>124.92890920000001</v>
      </c>
      <c r="C156">
        <v>30.951210020000001</v>
      </c>
      <c r="D156">
        <v>0.24595800000000001</v>
      </c>
      <c r="E156" t="b">
        <f t="shared" si="48"/>
        <v>0</v>
      </c>
      <c r="F156">
        <f t="shared" si="49"/>
        <v>-154.51009210000001</v>
      </c>
      <c r="G156">
        <f t="shared" si="50"/>
        <v>-309.26614220000005</v>
      </c>
      <c r="H156">
        <f t="shared" si="51"/>
        <v>-464.02219230000003</v>
      </c>
      <c r="I156">
        <f t="shared" si="52"/>
        <v>-618.77824240000007</v>
      </c>
      <c r="J156">
        <f t="shared" si="53"/>
        <v>-773.53429250000011</v>
      </c>
      <c r="L156">
        <f t="shared" si="54"/>
        <v>472239.36000000004</v>
      </c>
      <c r="M156">
        <f t="shared" si="55"/>
        <v>-250306349.20199999</v>
      </c>
      <c r="N156">
        <f t="shared" si="56"/>
        <v>-426787276.23600006</v>
      </c>
      <c r="O156">
        <f t="shared" si="57"/>
        <v>-473302636.14600003</v>
      </c>
      <c r="P156">
        <f t="shared" si="58"/>
        <v>-569275983.00800002</v>
      </c>
      <c r="Q156">
        <f t="shared" si="59"/>
        <v>-587886062.30000007</v>
      </c>
      <c r="S156">
        <f t="shared" si="60"/>
        <v>516511.80000000005</v>
      </c>
      <c r="T156">
        <f t="shared" si="61"/>
        <v>-281208367.62199998</v>
      </c>
      <c r="U156">
        <f t="shared" si="62"/>
        <v>-466991874.72200006</v>
      </c>
      <c r="V156">
        <f t="shared" si="63"/>
        <v>-496503745.76099992</v>
      </c>
      <c r="W156">
        <f t="shared" si="64"/>
        <v>-662092719.36800003</v>
      </c>
      <c r="X156">
        <f t="shared" si="65"/>
        <v>-672974834.47500014</v>
      </c>
      <c r="Z156">
        <f t="shared" si="66"/>
        <v>560784.24000000011</v>
      </c>
      <c r="AA156">
        <f t="shared" si="67"/>
        <v>-312110386.042</v>
      </c>
      <c r="AB156">
        <f t="shared" si="68"/>
        <v>-507196473.20800012</v>
      </c>
      <c r="AC156">
        <f t="shared" si="69"/>
        <v>-631070181.528</v>
      </c>
      <c r="AD156">
        <f t="shared" si="70"/>
        <v>-754909455.72800004</v>
      </c>
      <c r="AE156">
        <f t="shared" si="71"/>
        <v>-758063606.6500001</v>
      </c>
    </row>
    <row r="157" spans="1:31" x14ac:dyDescent="0.25">
      <c r="A157">
        <v>29.06087526</v>
      </c>
      <c r="B157">
        <v>105.5157154</v>
      </c>
      <c r="C157">
        <v>6.5144250000000001E-2</v>
      </c>
      <c r="D157">
        <v>0.489622</v>
      </c>
      <c r="E157" t="b">
        <f t="shared" si="48"/>
        <v>1</v>
      </c>
      <c r="F157">
        <f t="shared" si="49"/>
        <v>0.16390074999999998</v>
      </c>
      <c r="G157">
        <f t="shared" si="50"/>
        <v>-0.16182050000000003</v>
      </c>
      <c r="H157">
        <f t="shared" si="51"/>
        <v>-0.48754175</v>
      </c>
      <c r="I157">
        <f t="shared" si="52"/>
        <v>-0.81326300000000007</v>
      </c>
      <c r="J157">
        <f t="shared" si="53"/>
        <v>-1.13898425</v>
      </c>
      <c r="L157">
        <f t="shared" si="54"/>
        <v>125076.96</v>
      </c>
      <c r="M157">
        <f t="shared" si="55"/>
        <v>105533.68500000001</v>
      </c>
      <c r="N157">
        <f t="shared" si="56"/>
        <v>-223312.29000000004</v>
      </c>
      <c r="O157">
        <f t="shared" si="57"/>
        <v>-497292.58500000002</v>
      </c>
      <c r="P157">
        <f t="shared" si="58"/>
        <v>-748201.96000000008</v>
      </c>
      <c r="Q157">
        <f t="shared" si="59"/>
        <v>-865628.03</v>
      </c>
      <c r="S157">
        <f t="shared" si="60"/>
        <v>136802.92500000002</v>
      </c>
      <c r="T157">
        <f t="shared" si="61"/>
        <v>118562.535</v>
      </c>
      <c r="U157">
        <f t="shared" si="62"/>
        <v>-244348.95500000005</v>
      </c>
      <c r="V157">
        <f t="shared" si="63"/>
        <v>-521669.67249999993</v>
      </c>
      <c r="W157">
        <f t="shared" si="64"/>
        <v>-870191.41</v>
      </c>
      <c r="X157">
        <f t="shared" si="65"/>
        <v>-990916.29749999999</v>
      </c>
      <c r="Z157">
        <f t="shared" si="66"/>
        <v>148528.89000000001</v>
      </c>
      <c r="AA157">
        <f t="shared" si="67"/>
        <v>131591.38500000001</v>
      </c>
      <c r="AB157">
        <f t="shared" si="68"/>
        <v>-265385.62000000005</v>
      </c>
      <c r="AC157">
        <f t="shared" si="69"/>
        <v>-663056.77999999991</v>
      </c>
      <c r="AD157">
        <f t="shared" si="70"/>
        <v>-992180.8600000001</v>
      </c>
      <c r="AE157">
        <f t="shared" si="71"/>
        <v>-1116204.5649999999</v>
      </c>
    </row>
    <row r="158" spans="1:31" x14ac:dyDescent="0.25">
      <c r="A158">
        <v>29.08069841</v>
      </c>
      <c r="B158">
        <v>124.9490717</v>
      </c>
      <c r="C158">
        <v>46.301853180000002</v>
      </c>
      <c r="D158">
        <v>7.4144000999999999</v>
      </c>
      <c r="E158" t="b">
        <f t="shared" si="48"/>
        <v>0</v>
      </c>
      <c r="F158">
        <f t="shared" si="49"/>
        <v>-224.09486580000001</v>
      </c>
      <c r="G158">
        <f t="shared" si="50"/>
        <v>-455.60413169999998</v>
      </c>
      <c r="H158">
        <f t="shared" si="51"/>
        <v>-687.1133976000001</v>
      </c>
      <c r="I158">
        <f t="shared" si="52"/>
        <v>-918.62266350000004</v>
      </c>
      <c r="J158">
        <f t="shared" si="53"/>
        <v>-1150.1319294</v>
      </c>
      <c r="L158">
        <f t="shared" si="54"/>
        <v>14235648.192</v>
      </c>
      <c r="M158">
        <f t="shared" si="55"/>
        <v>-363033682.59600002</v>
      </c>
      <c r="N158">
        <f t="shared" si="56"/>
        <v>-628733701.74599993</v>
      </c>
      <c r="O158">
        <f t="shared" si="57"/>
        <v>-700855665.55200016</v>
      </c>
      <c r="P158">
        <f t="shared" si="58"/>
        <v>-845132850.41999996</v>
      </c>
      <c r="Q158">
        <f t="shared" si="59"/>
        <v>-874100266.3440001</v>
      </c>
      <c r="S158">
        <f t="shared" si="60"/>
        <v>15570240.209999999</v>
      </c>
      <c r="T158">
        <f t="shared" si="61"/>
        <v>-407852655.75600004</v>
      </c>
      <c r="U158">
        <f t="shared" si="62"/>
        <v>-687962238.86699998</v>
      </c>
      <c r="V158">
        <f t="shared" si="63"/>
        <v>-735211335.43200004</v>
      </c>
      <c r="W158">
        <f t="shared" si="64"/>
        <v>-982926249.94499981</v>
      </c>
      <c r="X158">
        <f t="shared" si="65"/>
        <v>-1000614778.5780001</v>
      </c>
      <c r="Z158">
        <f t="shared" si="66"/>
        <v>16904832.228</v>
      </c>
      <c r="AA158">
        <f t="shared" si="67"/>
        <v>-452671628.91600001</v>
      </c>
      <c r="AB158">
        <f t="shared" si="68"/>
        <v>-747190775.98800004</v>
      </c>
      <c r="AC158">
        <f t="shared" si="69"/>
        <v>-934474220.73600006</v>
      </c>
      <c r="AD158">
        <f t="shared" si="70"/>
        <v>-1120719649.47</v>
      </c>
      <c r="AE158">
        <f t="shared" si="71"/>
        <v>-1127129290.812</v>
      </c>
    </row>
    <row r="159" spans="1:31" x14ac:dyDescent="0.25">
      <c r="A159">
        <v>29.214916850000002</v>
      </c>
      <c r="B159">
        <v>124.9793951</v>
      </c>
      <c r="C159">
        <v>22.05966759</v>
      </c>
      <c r="D159">
        <v>0.25710400999999999</v>
      </c>
      <c r="E159" t="b">
        <f t="shared" si="48"/>
        <v>0</v>
      </c>
      <c r="F159">
        <f t="shared" si="49"/>
        <v>-110.04123394</v>
      </c>
      <c r="G159">
        <f t="shared" si="50"/>
        <v>-220.33957189</v>
      </c>
      <c r="H159">
        <f t="shared" si="51"/>
        <v>-330.63790984000002</v>
      </c>
      <c r="I159">
        <f t="shared" si="52"/>
        <v>-440.93624779000004</v>
      </c>
      <c r="J159">
        <f t="shared" si="53"/>
        <v>-551.23458573999994</v>
      </c>
      <c r="L159">
        <f t="shared" si="54"/>
        <v>493639.69919999997</v>
      </c>
      <c r="M159">
        <f t="shared" si="55"/>
        <v>-178266798.98280001</v>
      </c>
      <c r="N159">
        <f t="shared" si="56"/>
        <v>-304068609.20819998</v>
      </c>
      <c r="O159">
        <f t="shared" si="57"/>
        <v>-337250668.03680003</v>
      </c>
      <c r="P159">
        <f t="shared" si="58"/>
        <v>-405661347.96679997</v>
      </c>
      <c r="Q159">
        <f t="shared" si="59"/>
        <v>-418938285.16239995</v>
      </c>
      <c r="S159">
        <f t="shared" si="60"/>
        <v>539918.42099999997</v>
      </c>
      <c r="T159">
        <f t="shared" si="61"/>
        <v>-200275045.77079999</v>
      </c>
      <c r="U159">
        <f t="shared" si="62"/>
        <v>-332712753.5539</v>
      </c>
      <c r="V159">
        <f t="shared" si="63"/>
        <v>-353782563.52880001</v>
      </c>
      <c r="W159">
        <f t="shared" si="64"/>
        <v>-471801785.13529998</v>
      </c>
      <c r="X159">
        <f t="shared" si="65"/>
        <v>-479574089.59379989</v>
      </c>
      <c r="Z159">
        <f t="shared" si="66"/>
        <v>586197.14280000003</v>
      </c>
      <c r="AA159">
        <f t="shared" si="67"/>
        <v>-222283292.55880001</v>
      </c>
      <c r="AB159">
        <f t="shared" si="68"/>
        <v>-361356897.89960003</v>
      </c>
      <c r="AC159">
        <f t="shared" si="69"/>
        <v>-449667557.38239998</v>
      </c>
      <c r="AD159">
        <f t="shared" si="70"/>
        <v>-537942222.30379999</v>
      </c>
      <c r="AE159">
        <f t="shared" si="71"/>
        <v>-540209894.02519989</v>
      </c>
    </row>
    <row r="160" spans="1:31" x14ac:dyDescent="0.25">
      <c r="A160">
        <v>29.331319130000001</v>
      </c>
      <c r="B160">
        <v>125.1119544</v>
      </c>
      <c r="C160">
        <v>13.775258060000001</v>
      </c>
      <c r="D160">
        <v>0.74927597999999995</v>
      </c>
      <c r="E160" t="b">
        <f t="shared" si="48"/>
        <v>0</v>
      </c>
      <c r="F160">
        <f t="shared" si="49"/>
        <v>-68.127014320000015</v>
      </c>
      <c r="G160">
        <f t="shared" si="50"/>
        <v>-137.00330462000002</v>
      </c>
      <c r="H160">
        <f t="shared" si="51"/>
        <v>-205.87959492000002</v>
      </c>
      <c r="I160">
        <f t="shared" si="52"/>
        <v>-274.75588522000004</v>
      </c>
      <c r="J160">
        <f t="shared" si="53"/>
        <v>-343.63217552000003</v>
      </c>
      <c r="L160">
        <f t="shared" si="54"/>
        <v>1438609.8816</v>
      </c>
      <c r="M160">
        <f t="shared" si="55"/>
        <v>-110365763.19840002</v>
      </c>
      <c r="N160">
        <f t="shared" si="56"/>
        <v>-189064560.37560004</v>
      </c>
      <c r="O160">
        <f t="shared" si="57"/>
        <v>-209997186.81840003</v>
      </c>
      <c r="P160">
        <f t="shared" si="58"/>
        <v>-252775414.40240002</v>
      </c>
      <c r="Q160">
        <f t="shared" si="59"/>
        <v>-261160453.39520004</v>
      </c>
      <c r="S160">
        <f t="shared" si="60"/>
        <v>1573479.558</v>
      </c>
      <c r="T160">
        <f t="shared" si="61"/>
        <v>-123991166.06240001</v>
      </c>
      <c r="U160">
        <f t="shared" si="62"/>
        <v>-206874989.97620004</v>
      </c>
      <c r="V160">
        <f t="shared" si="63"/>
        <v>-220291166.56439999</v>
      </c>
      <c r="W160">
        <f t="shared" si="64"/>
        <v>-293988797.18540001</v>
      </c>
      <c r="X160">
        <f t="shared" si="65"/>
        <v>-298959992.70240003</v>
      </c>
      <c r="Z160">
        <f t="shared" si="66"/>
        <v>1708349.2344000002</v>
      </c>
      <c r="AA160">
        <f t="shared" si="67"/>
        <v>-137616568.92640001</v>
      </c>
      <c r="AB160">
        <f t="shared" si="68"/>
        <v>-224685419.57680008</v>
      </c>
      <c r="AC160">
        <f t="shared" si="69"/>
        <v>-279996249.09119999</v>
      </c>
      <c r="AD160">
        <f t="shared" si="70"/>
        <v>-335202179.9684</v>
      </c>
      <c r="AE160">
        <f t="shared" si="71"/>
        <v>-336759532.00960004</v>
      </c>
    </row>
    <row r="161" spans="1:31" x14ac:dyDescent="0.25">
      <c r="A161">
        <v>29.376062050000002</v>
      </c>
      <c r="B161">
        <v>125.1221673</v>
      </c>
      <c r="C161">
        <v>2.8661129500000002</v>
      </c>
      <c r="D161">
        <v>3.6729190300000001</v>
      </c>
      <c r="E161" t="b">
        <f t="shared" si="48"/>
        <v>1</v>
      </c>
      <c r="F161">
        <f t="shared" si="49"/>
        <v>-10.657645720000001</v>
      </c>
      <c r="G161">
        <f t="shared" si="50"/>
        <v>-24.988210470000002</v>
      </c>
      <c r="H161">
        <f t="shared" si="51"/>
        <v>-39.318775219999999</v>
      </c>
      <c r="I161">
        <f t="shared" si="52"/>
        <v>-53.64933997</v>
      </c>
      <c r="J161">
        <f t="shared" si="53"/>
        <v>-67.979904720000008</v>
      </c>
      <c r="L161">
        <f t="shared" si="54"/>
        <v>5502936.864000001</v>
      </c>
      <c r="M161">
        <f t="shared" si="55"/>
        <v>-17265386.066400003</v>
      </c>
      <c r="N161">
        <f t="shared" si="56"/>
        <v>-34483730.448600002</v>
      </c>
      <c r="O161">
        <f t="shared" si="57"/>
        <v>-40105150.724399999</v>
      </c>
      <c r="P161">
        <f t="shared" si="58"/>
        <v>-49357392.772399992</v>
      </c>
      <c r="Q161">
        <f t="shared" si="59"/>
        <v>-51664727.587200008</v>
      </c>
      <c r="S161">
        <f t="shared" si="60"/>
        <v>6018837.1950000003</v>
      </c>
      <c r="T161">
        <f t="shared" si="61"/>
        <v>-19396915.2104</v>
      </c>
      <c r="U161">
        <f t="shared" si="62"/>
        <v>-37732197.809700005</v>
      </c>
      <c r="V161">
        <f t="shared" si="63"/>
        <v>-42071089.485399991</v>
      </c>
      <c r="W161">
        <f t="shared" si="64"/>
        <v>-57404793.76789999</v>
      </c>
      <c r="X161">
        <f t="shared" si="65"/>
        <v>-59142517.106400013</v>
      </c>
      <c r="Z161">
        <f t="shared" si="66"/>
        <v>6534737.5260000015</v>
      </c>
      <c r="AA161">
        <f t="shared" si="67"/>
        <v>-21528444.354400001</v>
      </c>
      <c r="AB161">
        <f t="shared" si="68"/>
        <v>-40980665.170800008</v>
      </c>
      <c r="AC161">
        <f t="shared" si="69"/>
        <v>-53473534.299199991</v>
      </c>
      <c r="AD161">
        <f t="shared" si="70"/>
        <v>-65452194.763399996</v>
      </c>
      <c r="AE161">
        <f t="shared" si="71"/>
        <v>-66620306.62560001</v>
      </c>
    </row>
    <row r="162" spans="1:31" x14ac:dyDescent="0.25">
      <c r="A162">
        <v>29.564021390000001</v>
      </c>
      <c r="B162">
        <v>125.11193280000001</v>
      </c>
      <c r="C162">
        <v>10.458072659999999</v>
      </c>
      <c r="D162">
        <v>1.22430599</v>
      </c>
      <c r="E162" t="b">
        <f t="shared" si="48"/>
        <v>0</v>
      </c>
      <c r="F162">
        <f t="shared" si="49"/>
        <v>-51.066057309999998</v>
      </c>
      <c r="G162">
        <f t="shared" si="50"/>
        <v>-103.35642060999999</v>
      </c>
      <c r="H162">
        <f t="shared" si="51"/>
        <v>-155.64678390999998</v>
      </c>
      <c r="I162">
        <f t="shared" si="52"/>
        <v>-207.93714720999998</v>
      </c>
      <c r="J162">
        <f t="shared" si="53"/>
        <v>-260.22751050999995</v>
      </c>
      <c r="L162">
        <f t="shared" si="54"/>
        <v>2350667.5008</v>
      </c>
      <c r="M162">
        <f t="shared" si="55"/>
        <v>-82727012.842199996</v>
      </c>
      <c r="N162">
        <f t="shared" si="56"/>
        <v>-142631860.44179997</v>
      </c>
      <c r="O162">
        <f t="shared" si="57"/>
        <v>-158759719.5882</v>
      </c>
      <c r="P162">
        <f t="shared" si="58"/>
        <v>-191302175.43319997</v>
      </c>
      <c r="Q162">
        <f t="shared" si="59"/>
        <v>-197772907.98759994</v>
      </c>
      <c r="S162">
        <f t="shared" si="60"/>
        <v>2571042.5789999999</v>
      </c>
      <c r="T162">
        <f t="shared" si="61"/>
        <v>-92940224.304199994</v>
      </c>
      <c r="U162">
        <f t="shared" si="62"/>
        <v>-156068195.12109998</v>
      </c>
      <c r="V162">
        <f t="shared" si="63"/>
        <v>-166542058.78369996</v>
      </c>
      <c r="W162">
        <f t="shared" si="64"/>
        <v>-222492747.51469994</v>
      </c>
      <c r="X162">
        <f t="shared" si="65"/>
        <v>-226397934.14369994</v>
      </c>
      <c r="Z162">
        <f t="shared" si="66"/>
        <v>2791417.6572000002</v>
      </c>
      <c r="AA162">
        <f t="shared" si="67"/>
        <v>-103153435.76619999</v>
      </c>
      <c r="AB162">
        <f t="shared" si="68"/>
        <v>-169504529.80039999</v>
      </c>
      <c r="AC162">
        <f t="shared" si="69"/>
        <v>-211679626.11759996</v>
      </c>
      <c r="AD162">
        <f t="shared" si="70"/>
        <v>-253683319.59619996</v>
      </c>
      <c r="AE162">
        <f t="shared" si="71"/>
        <v>-255022960.29979992</v>
      </c>
    </row>
    <row r="163" spans="1:31" x14ac:dyDescent="0.25">
      <c r="A163">
        <v>29.599817850000001</v>
      </c>
      <c r="B163">
        <v>125.17339389999999</v>
      </c>
      <c r="C163">
        <v>14.96850014</v>
      </c>
      <c r="D163">
        <v>0.28159001</v>
      </c>
      <c r="E163" t="b">
        <f t="shared" si="48"/>
        <v>0</v>
      </c>
      <c r="F163">
        <f t="shared" si="49"/>
        <v>-74.56091069</v>
      </c>
      <c r="G163">
        <f t="shared" si="50"/>
        <v>-149.40341139</v>
      </c>
      <c r="H163">
        <f t="shared" si="51"/>
        <v>-224.24591208999999</v>
      </c>
      <c r="I163">
        <f t="shared" si="52"/>
        <v>-299.08841279000001</v>
      </c>
      <c r="J163">
        <f t="shared" si="53"/>
        <v>-373.93091348999997</v>
      </c>
      <c r="L163">
        <f t="shared" si="54"/>
        <v>540652.81920000003</v>
      </c>
      <c r="M163">
        <f t="shared" si="55"/>
        <v>-120788675.3178</v>
      </c>
      <c r="N163">
        <f t="shared" si="56"/>
        <v>-206176707.7182</v>
      </c>
      <c r="O163">
        <f t="shared" si="57"/>
        <v>-228730830.33180001</v>
      </c>
      <c r="P163">
        <f t="shared" si="58"/>
        <v>-275161339.76679999</v>
      </c>
      <c r="Q163">
        <f t="shared" si="59"/>
        <v>-284187494.25239998</v>
      </c>
      <c r="S163">
        <f t="shared" si="60"/>
        <v>591339.02100000007</v>
      </c>
      <c r="T163">
        <f t="shared" si="61"/>
        <v>-135700857.4558</v>
      </c>
      <c r="U163">
        <f t="shared" si="62"/>
        <v>-225599151.19890001</v>
      </c>
      <c r="V163">
        <f t="shared" si="63"/>
        <v>-239943125.93629998</v>
      </c>
      <c r="W163">
        <f t="shared" si="64"/>
        <v>-320024601.68529999</v>
      </c>
      <c r="X163">
        <f t="shared" si="65"/>
        <v>-325319894.73629993</v>
      </c>
      <c r="Z163">
        <f t="shared" si="66"/>
        <v>642025.22280000011</v>
      </c>
      <c r="AA163">
        <f t="shared" si="67"/>
        <v>-150613039.59380001</v>
      </c>
      <c r="AB163">
        <f t="shared" si="68"/>
        <v>-245021594.67960003</v>
      </c>
      <c r="AC163">
        <f t="shared" si="69"/>
        <v>-304974440.44239998</v>
      </c>
      <c r="AD163">
        <f t="shared" si="70"/>
        <v>-364887863.6038</v>
      </c>
      <c r="AE163">
        <f t="shared" si="71"/>
        <v>-366452295.22019994</v>
      </c>
    </row>
    <row r="164" spans="1:31" x14ac:dyDescent="0.25">
      <c r="A164">
        <v>30.045660460000001</v>
      </c>
      <c r="B164">
        <v>113.4465783</v>
      </c>
      <c r="C164">
        <v>1.350644E-2</v>
      </c>
      <c r="D164">
        <v>9.6518999999999994E-2</v>
      </c>
      <c r="E164" t="b">
        <f t="shared" si="48"/>
        <v>1</v>
      </c>
      <c r="F164">
        <f t="shared" si="49"/>
        <v>2.8986799999999993E-2</v>
      </c>
      <c r="G164">
        <f t="shared" si="50"/>
        <v>-3.8545400000000007E-2</v>
      </c>
      <c r="H164">
        <f t="shared" si="51"/>
        <v>-0.10607759999999999</v>
      </c>
      <c r="I164">
        <f t="shared" si="52"/>
        <v>-0.17360980000000001</v>
      </c>
      <c r="J164">
        <f t="shared" si="53"/>
        <v>-0.241142</v>
      </c>
      <c r="L164">
        <f t="shared" si="54"/>
        <v>25932.364800000003</v>
      </c>
      <c r="M164">
        <f t="shared" si="55"/>
        <v>21880.432800000002</v>
      </c>
      <c r="N164">
        <f t="shared" si="56"/>
        <v>-53192.652000000009</v>
      </c>
      <c r="O164">
        <f t="shared" si="57"/>
        <v>-108199.15199999999</v>
      </c>
      <c r="P164">
        <f t="shared" si="58"/>
        <v>-159721.016</v>
      </c>
      <c r="Q164">
        <f t="shared" si="59"/>
        <v>-183267.92</v>
      </c>
      <c r="S164">
        <f t="shared" si="60"/>
        <v>28363.524000000001</v>
      </c>
      <c r="T164">
        <f t="shared" si="61"/>
        <v>24581.720800000003</v>
      </c>
      <c r="U164">
        <f t="shared" si="62"/>
        <v>-58203.554000000011</v>
      </c>
      <c r="V164">
        <f t="shared" si="63"/>
        <v>-113503.03199999998</v>
      </c>
      <c r="W164">
        <f t="shared" si="64"/>
        <v>-185762.486</v>
      </c>
      <c r="X164">
        <f t="shared" si="65"/>
        <v>-209793.54</v>
      </c>
      <c r="Z164">
        <f t="shared" si="66"/>
        <v>30794.683200000003</v>
      </c>
      <c r="AA164">
        <f t="shared" si="67"/>
        <v>27283.0088</v>
      </c>
      <c r="AB164">
        <f t="shared" si="68"/>
        <v>-63214.45600000002</v>
      </c>
      <c r="AC164">
        <f t="shared" si="69"/>
        <v>-144265.53599999996</v>
      </c>
      <c r="AD164">
        <f t="shared" si="70"/>
        <v>-211803.95600000001</v>
      </c>
      <c r="AE164">
        <f t="shared" si="71"/>
        <v>-236319.16</v>
      </c>
    </row>
    <row r="165" spans="1:31" x14ac:dyDescent="0.25">
      <c r="A165">
        <v>30.111668380000001</v>
      </c>
      <c r="B165">
        <v>106.1928498</v>
      </c>
      <c r="C165">
        <v>6.0797200000000003E-3</v>
      </c>
      <c r="D165">
        <v>2.2008910199999998</v>
      </c>
      <c r="E165" t="b">
        <f t="shared" si="48"/>
        <v>1</v>
      </c>
      <c r="F165">
        <f t="shared" si="49"/>
        <v>2.17049242</v>
      </c>
      <c r="G165">
        <f t="shared" si="50"/>
        <v>2.1400938199999997</v>
      </c>
      <c r="H165">
        <f t="shared" si="51"/>
        <v>2.1096952199999999</v>
      </c>
      <c r="I165">
        <f t="shared" si="52"/>
        <v>2.0792966199999996</v>
      </c>
      <c r="J165">
        <f t="shared" si="53"/>
        <v>2.0488980199999998</v>
      </c>
      <c r="L165">
        <f t="shared" si="54"/>
        <v>11673.062400000001</v>
      </c>
      <c r="M165">
        <f t="shared" si="55"/>
        <v>9849.1464000000014</v>
      </c>
      <c r="N165">
        <f t="shared" si="56"/>
        <v>8390.0136000000002</v>
      </c>
      <c r="O165">
        <f t="shared" si="57"/>
        <v>6201.3144000000002</v>
      </c>
      <c r="P165">
        <f t="shared" si="58"/>
        <v>5593.3423999999995</v>
      </c>
      <c r="Q165">
        <f t="shared" si="59"/>
        <v>4620.5871999999999</v>
      </c>
      <c r="S165">
        <f t="shared" si="60"/>
        <v>12767.412</v>
      </c>
      <c r="T165">
        <f t="shared" si="61"/>
        <v>11065.090400000001</v>
      </c>
      <c r="U165">
        <f t="shared" si="62"/>
        <v>9180.3772000000008</v>
      </c>
      <c r="V165">
        <f t="shared" si="63"/>
        <v>6505.3003999999992</v>
      </c>
      <c r="W165">
        <f t="shared" si="64"/>
        <v>6505.3003999999992</v>
      </c>
      <c r="X165">
        <f t="shared" si="65"/>
        <v>5289.3564000000006</v>
      </c>
      <c r="Z165">
        <f t="shared" si="66"/>
        <v>13861.761600000002</v>
      </c>
      <c r="AA165">
        <f t="shared" si="67"/>
        <v>12281.0344</v>
      </c>
      <c r="AB165">
        <f t="shared" si="68"/>
        <v>9970.7408000000014</v>
      </c>
      <c r="AC165">
        <f t="shared" si="69"/>
        <v>8268.4192000000003</v>
      </c>
      <c r="AD165">
        <f t="shared" si="70"/>
        <v>7417.2583999999997</v>
      </c>
      <c r="AE165">
        <f t="shared" si="71"/>
        <v>5958.1256000000003</v>
      </c>
    </row>
    <row r="166" spans="1:31" x14ac:dyDescent="0.25">
      <c r="A166">
        <v>30.11176798</v>
      </c>
      <c r="B166">
        <v>105.87753530000001</v>
      </c>
      <c r="C166">
        <v>9.7242300000000004E-3</v>
      </c>
      <c r="D166">
        <v>2.8427510300000001</v>
      </c>
      <c r="E166" t="b">
        <f t="shared" si="48"/>
        <v>1</v>
      </c>
      <c r="F166">
        <f t="shared" si="49"/>
        <v>2.7941298799999998</v>
      </c>
      <c r="G166">
        <f t="shared" si="50"/>
        <v>2.7455087300000001</v>
      </c>
      <c r="H166">
        <f t="shared" si="51"/>
        <v>2.6968875800000003</v>
      </c>
      <c r="I166">
        <f t="shared" si="52"/>
        <v>2.6482664300000001</v>
      </c>
      <c r="J166">
        <f t="shared" si="53"/>
        <v>2.5996452799999998</v>
      </c>
      <c r="L166">
        <f t="shared" si="54"/>
        <v>18670.5216</v>
      </c>
      <c r="M166">
        <f t="shared" si="55"/>
        <v>15753.2526</v>
      </c>
      <c r="N166">
        <f t="shared" si="56"/>
        <v>13419.437399999999</v>
      </c>
      <c r="O166">
        <f t="shared" si="57"/>
        <v>9918.7145999999993</v>
      </c>
      <c r="P166">
        <f t="shared" si="58"/>
        <v>8946.2915999999987</v>
      </c>
      <c r="Q166">
        <f t="shared" si="59"/>
        <v>7390.4147999999996</v>
      </c>
      <c r="S166">
        <f t="shared" si="60"/>
        <v>20420.883000000002</v>
      </c>
      <c r="T166">
        <f t="shared" si="61"/>
        <v>17698.098600000001</v>
      </c>
      <c r="U166">
        <f t="shared" si="62"/>
        <v>14683.587299999999</v>
      </c>
      <c r="V166">
        <f t="shared" si="63"/>
        <v>10404.926099999999</v>
      </c>
      <c r="W166">
        <f t="shared" si="64"/>
        <v>10404.926099999999</v>
      </c>
      <c r="X166">
        <f t="shared" si="65"/>
        <v>8460.0800999999992</v>
      </c>
      <c r="Z166">
        <f t="shared" si="66"/>
        <v>22171.244400000003</v>
      </c>
      <c r="AA166">
        <f t="shared" si="67"/>
        <v>19642.944599999999</v>
      </c>
      <c r="AB166">
        <f t="shared" si="68"/>
        <v>15947.737200000001</v>
      </c>
      <c r="AC166">
        <f t="shared" si="69"/>
        <v>13224.952799999997</v>
      </c>
      <c r="AD166">
        <f t="shared" si="70"/>
        <v>11863.560599999999</v>
      </c>
      <c r="AE166">
        <f t="shared" si="71"/>
        <v>9529.7453999999998</v>
      </c>
    </row>
    <row r="167" spans="1:31" x14ac:dyDescent="0.25">
      <c r="A167">
        <v>30.113914690000001</v>
      </c>
      <c r="B167">
        <v>112.3461853</v>
      </c>
      <c r="C167">
        <v>4.0519319999999998E-2</v>
      </c>
      <c r="D167">
        <v>0.393868</v>
      </c>
      <c r="E167" t="b">
        <f t="shared" si="48"/>
        <v>1</v>
      </c>
      <c r="F167">
        <f t="shared" si="49"/>
        <v>0.19127140000000001</v>
      </c>
      <c r="G167">
        <f t="shared" si="50"/>
        <v>-1.132519999999998E-2</v>
      </c>
      <c r="H167">
        <f t="shared" si="51"/>
        <v>-0.21392179999999994</v>
      </c>
      <c r="I167">
        <f t="shared" si="52"/>
        <v>-0.41651839999999996</v>
      </c>
      <c r="J167">
        <f t="shared" si="53"/>
        <v>-0.61911499999999997</v>
      </c>
      <c r="L167">
        <f t="shared" si="54"/>
        <v>77797.094400000002</v>
      </c>
      <c r="M167">
        <f t="shared" si="55"/>
        <v>65641.2984</v>
      </c>
      <c r="N167">
        <f t="shared" si="56"/>
        <v>-15628.775999999969</v>
      </c>
      <c r="O167">
        <f t="shared" si="57"/>
        <v>-218200.23599999995</v>
      </c>
      <c r="P167">
        <f t="shared" si="58"/>
        <v>-383196.92799999996</v>
      </c>
      <c r="Q167">
        <f t="shared" si="59"/>
        <v>-470527.4</v>
      </c>
      <c r="S167">
        <f t="shared" si="60"/>
        <v>85090.572</v>
      </c>
      <c r="T167">
        <f t="shared" si="61"/>
        <v>73745.162400000001</v>
      </c>
      <c r="U167">
        <f t="shared" si="62"/>
        <v>-17101.051999999967</v>
      </c>
      <c r="V167">
        <f t="shared" si="63"/>
        <v>-228896.32599999988</v>
      </c>
      <c r="W167">
        <f t="shared" si="64"/>
        <v>-445674.68799999991</v>
      </c>
      <c r="X167">
        <f t="shared" si="65"/>
        <v>-538630.05000000005</v>
      </c>
      <c r="Z167">
        <f t="shared" si="66"/>
        <v>92384.049600000013</v>
      </c>
      <c r="AA167">
        <f t="shared" si="67"/>
        <v>81849.026400000002</v>
      </c>
      <c r="AB167">
        <f t="shared" si="68"/>
        <v>-18573.327999999969</v>
      </c>
      <c r="AC167">
        <f t="shared" si="69"/>
        <v>-290933.64799999987</v>
      </c>
      <c r="AD167">
        <f t="shared" si="70"/>
        <v>-508152.44799999997</v>
      </c>
      <c r="AE167">
        <f t="shared" si="71"/>
        <v>-606732.69999999995</v>
      </c>
    </row>
    <row r="168" spans="1:31" x14ac:dyDescent="0.25">
      <c r="A168">
        <v>30.12508965</v>
      </c>
      <c r="B168">
        <v>112.9265577</v>
      </c>
      <c r="C168">
        <v>9.988785E-2</v>
      </c>
      <c r="D168">
        <v>7.2388999999999995E-2</v>
      </c>
      <c r="E168" t="b">
        <f t="shared" si="48"/>
        <v>0</v>
      </c>
      <c r="F168">
        <f t="shared" si="49"/>
        <v>-0.42705025000000002</v>
      </c>
      <c r="G168">
        <f t="shared" si="50"/>
        <v>-0.92648949999999997</v>
      </c>
      <c r="H168">
        <f t="shared" si="51"/>
        <v>-1.42592875</v>
      </c>
      <c r="I168">
        <f t="shared" si="52"/>
        <v>-1.925368</v>
      </c>
      <c r="J168">
        <f t="shared" si="53"/>
        <v>-2.4248072500000002</v>
      </c>
      <c r="L168">
        <f t="shared" si="54"/>
        <v>138986.88</v>
      </c>
      <c r="M168">
        <f t="shared" si="55"/>
        <v>-691821.40500000003</v>
      </c>
      <c r="N168">
        <f t="shared" si="56"/>
        <v>-1278555.51</v>
      </c>
      <c r="O168">
        <f t="shared" si="57"/>
        <v>-1454447.325</v>
      </c>
      <c r="P168">
        <f t="shared" si="58"/>
        <v>-1771338.5599999998</v>
      </c>
      <c r="Q168">
        <f t="shared" si="59"/>
        <v>-1842853.51</v>
      </c>
      <c r="S168">
        <f t="shared" si="60"/>
        <v>152016.9</v>
      </c>
      <c r="T168">
        <f t="shared" si="61"/>
        <v>-777231.45500000007</v>
      </c>
      <c r="U168">
        <f t="shared" si="62"/>
        <v>-1398999.145</v>
      </c>
      <c r="V168">
        <f t="shared" si="63"/>
        <v>-1525743.7624999997</v>
      </c>
      <c r="W168">
        <f t="shared" si="64"/>
        <v>-2060143.7599999998</v>
      </c>
      <c r="X168">
        <f t="shared" si="65"/>
        <v>-2109582.3075000001</v>
      </c>
      <c r="Z168">
        <f t="shared" si="66"/>
        <v>165046.92000000001</v>
      </c>
      <c r="AA168">
        <f t="shared" si="67"/>
        <v>-862641.505</v>
      </c>
      <c r="AB168">
        <f t="shared" si="68"/>
        <v>-1519442.78</v>
      </c>
      <c r="AC168">
        <f t="shared" si="69"/>
        <v>-1939263.0999999999</v>
      </c>
      <c r="AD168">
        <f t="shared" si="70"/>
        <v>-2348948.96</v>
      </c>
      <c r="AE168">
        <f t="shared" si="71"/>
        <v>-2376311.105</v>
      </c>
    </row>
    <row r="169" spans="1:31" x14ac:dyDescent="0.25">
      <c r="A169">
        <v>30.139929800000001</v>
      </c>
      <c r="B169">
        <v>107.9804328</v>
      </c>
      <c r="C169">
        <v>7.7793899999999997E-3</v>
      </c>
      <c r="D169">
        <v>5.2515788099999998</v>
      </c>
      <c r="E169" t="b">
        <f t="shared" si="48"/>
        <v>1</v>
      </c>
      <c r="F169">
        <f t="shared" si="49"/>
        <v>5.21268186</v>
      </c>
      <c r="G169">
        <f t="shared" si="50"/>
        <v>5.1737849100000002</v>
      </c>
      <c r="H169">
        <f t="shared" si="51"/>
        <v>5.1348879599999995</v>
      </c>
      <c r="I169">
        <f t="shared" si="52"/>
        <v>5.0959910099999997</v>
      </c>
      <c r="J169">
        <f t="shared" si="53"/>
        <v>5.0570940599999998</v>
      </c>
      <c r="L169">
        <f t="shared" si="54"/>
        <v>14936.4288</v>
      </c>
      <c r="M169">
        <f t="shared" si="55"/>
        <v>12602.611800000001</v>
      </c>
      <c r="N169">
        <f t="shared" si="56"/>
        <v>10735.558199999998</v>
      </c>
      <c r="O169">
        <f t="shared" si="57"/>
        <v>7934.9777999999997</v>
      </c>
      <c r="P169">
        <f t="shared" si="58"/>
        <v>7157.0387999999994</v>
      </c>
      <c r="Q169">
        <f t="shared" si="59"/>
        <v>5912.3363999999992</v>
      </c>
      <c r="S169">
        <f t="shared" si="60"/>
        <v>16336.718999999999</v>
      </c>
      <c r="T169">
        <f t="shared" si="61"/>
        <v>14158.489799999999</v>
      </c>
      <c r="U169">
        <f t="shared" si="62"/>
        <v>11746.8789</v>
      </c>
      <c r="V169">
        <f t="shared" si="63"/>
        <v>8323.947299999998</v>
      </c>
      <c r="W169">
        <f t="shared" si="64"/>
        <v>8323.947299999998</v>
      </c>
      <c r="X169">
        <f t="shared" si="65"/>
        <v>6768.0692999999992</v>
      </c>
      <c r="Z169">
        <f t="shared" si="66"/>
        <v>17737.0092</v>
      </c>
      <c r="AA169">
        <f t="shared" si="67"/>
        <v>15714.367799999998</v>
      </c>
      <c r="AB169">
        <f t="shared" si="68"/>
        <v>12758.1996</v>
      </c>
      <c r="AC169">
        <f t="shared" si="69"/>
        <v>10579.970399999998</v>
      </c>
      <c r="AD169">
        <f t="shared" si="70"/>
        <v>9490.8557999999994</v>
      </c>
      <c r="AE169">
        <f t="shared" si="71"/>
        <v>7623.8021999999992</v>
      </c>
    </row>
    <row r="170" spans="1:31" x14ac:dyDescent="0.25">
      <c r="A170">
        <v>30.147194859999999</v>
      </c>
      <c r="B170">
        <v>113.2973963</v>
      </c>
      <c r="C170">
        <v>1.350644E-2</v>
      </c>
      <c r="D170">
        <v>0.119646</v>
      </c>
      <c r="E170" t="b">
        <f t="shared" si="48"/>
        <v>1</v>
      </c>
      <c r="F170">
        <f t="shared" si="49"/>
        <v>5.2113800000000002E-2</v>
      </c>
      <c r="G170">
        <f t="shared" si="50"/>
        <v>-1.5418399999999999E-2</v>
      </c>
      <c r="H170">
        <f t="shared" si="51"/>
        <v>-8.2950599999999985E-2</v>
      </c>
      <c r="I170">
        <f t="shared" si="52"/>
        <v>-0.1504828</v>
      </c>
      <c r="J170">
        <f t="shared" si="53"/>
        <v>-0.21801499999999999</v>
      </c>
      <c r="L170">
        <f t="shared" si="54"/>
        <v>25932.364800000003</v>
      </c>
      <c r="M170">
        <f t="shared" si="55"/>
        <v>21880.432800000002</v>
      </c>
      <c r="N170">
        <f t="shared" si="56"/>
        <v>-21277.391999999996</v>
      </c>
      <c r="O170">
        <f t="shared" si="57"/>
        <v>-84609.611999999994</v>
      </c>
      <c r="P170">
        <f t="shared" si="58"/>
        <v>-138444.17599999998</v>
      </c>
      <c r="Q170">
        <f t="shared" si="59"/>
        <v>-165691.4</v>
      </c>
      <c r="S170">
        <f t="shared" si="60"/>
        <v>28363.524000000001</v>
      </c>
      <c r="T170">
        <f t="shared" si="61"/>
        <v>24581.720800000003</v>
      </c>
      <c r="U170">
        <f t="shared" si="62"/>
        <v>-23281.784</v>
      </c>
      <c r="V170">
        <f t="shared" si="63"/>
        <v>-88757.141999999978</v>
      </c>
      <c r="W170">
        <f t="shared" si="64"/>
        <v>-161016.59599999996</v>
      </c>
      <c r="X170">
        <f t="shared" si="65"/>
        <v>-189673.05</v>
      </c>
      <c r="Z170">
        <f t="shared" si="66"/>
        <v>30794.683200000003</v>
      </c>
      <c r="AA170">
        <f t="shared" si="67"/>
        <v>27283.0088</v>
      </c>
      <c r="AB170">
        <f t="shared" si="68"/>
        <v>-25286.176000000003</v>
      </c>
      <c r="AC170">
        <f t="shared" si="69"/>
        <v>-112812.81599999998</v>
      </c>
      <c r="AD170">
        <f t="shared" si="70"/>
        <v>-183589.01599999997</v>
      </c>
      <c r="AE170">
        <f t="shared" si="71"/>
        <v>-213654.69999999998</v>
      </c>
    </row>
    <row r="171" spans="1:31" x14ac:dyDescent="0.25">
      <c r="A171">
        <v>30.155641079999999</v>
      </c>
      <c r="B171">
        <v>105.3516685</v>
      </c>
      <c r="C171">
        <v>1.302885E-2</v>
      </c>
      <c r="D171">
        <v>0.21246301000000001</v>
      </c>
      <c r="E171" t="b">
        <f t="shared" si="48"/>
        <v>1</v>
      </c>
      <c r="F171">
        <f t="shared" si="49"/>
        <v>0.14731875999999999</v>
      </c>
      <c r="G171">
        <f t="shared" si="50"/>
        <v>8.2174510000000006E-2</v>
      </c>
      <c r="H171">
        <f t="shared" si="51"/>
        <v>1.7030260000000019E-2</v>
      </c>
      <c r="I171">
        <f t="shared" si="52"/>
        <v>-4.8113989999999995E-2</v>
      </c>
      <c r="J171">
        <f t="shared" si="53"/>
        <v>-0.11325824000000001</v>
      </c>
      <c r="L171">
        <f t="shared" si="54"/>
        <v>25015.392000000003</v>
      </c>
      <c r="M171">
        <f t="shared" si="55"/>
        <v>21106.737000000001</v>
      </c>
      <c r="N171">
        <f t="shared" si="56"/>
        <v>17979.812999999998</v>
      </c>
      <c r="O171">
        <f t="shared" si="57"/>
        <v>13289.427000000001</v>
      </c>
      <c r="P171">
        <f t="shared" si="58"/>
        <v>-44264.870799999997</v>
      </c>
      <c r="Q171">
        <f t="shared" si="59"/>
        <v>-86076.262400000007</v>
      </c>
      <c r="S171">
        <f t="shared" si="60"/>
        <v>27360.585000000003</v>
      </c>
      <c r="T171">
        <f t="shared" si="61"/>
        <v>23712.507000000001</v>
      </c>
      <c r="U171">
        <f t="shared" si="62"/>
        <v>19673.5635</v>
      </c>
      <c r="V171">
        <f t="shared" si="63"/>
        <v>13940.869499999999</v>
      </c>
      <c r="W171">
        <f t="shared" si="64"/>
        <v>-51481.96929999999</v>
      </c>
      <c r="X171">
        <f t="shared" si="65"/>
        <v>-98534.668799999999</v>
      </c>
      <c r="Z171">
        <f t="shared" si="66"/>
        <v>29705.778000000006</v>
      </c>
      <c r="AA171">
        <f t="shared" si="67"/>
        <v>26318.277000000002</v>
      </c>
      <c r="AB171">
        <f t="shared" si="68"/>
        <v>21367.314000000002</v>
      </c>
      <c r="AC171">
        <f t="shared" si="69"/>
        <v>17719.235999999997</v>
      </c>
      <c r="AD171">
        <f t="shared" si="70"/>
        <v>-58699.067799999997</v>
      </c>
      <c r="AE171">
        <f t="shared" si="71"/>
        <v>-110993.07520000001</v>
      </c>
    </row>
    <row r="172" spans="1:31" x14ac:dyDescent="0.25">
      <c r="A172">
        <v>30.185827310000001</v>
      </c>
      <c r="B172">
        <v>113.4062543</v>
      </c>
      <c r="C172">
        <v>1.350644E-2</v>
      </c>
      <c r="D172">
        <v>0.40750101</v>
      </c>
      <c r="E172" t="b">
        <f t="shared" si="48"/>
        <v>1</v>
      </c>
      <c r="F172">
        <f t="shared" si="49"/>
        <v>0.33996881000000001</v>
      </c>
      <c r="G172">
        <f t="shared" si="50"/>
        <v>0.27243660999999997</v>
      </c>
      <c r="H172">
        <f t="shared" si="51"/>
        <v>0.20490441000000001</v>
      </c>
      <c r="I172">
        <f t="shared" si="52"/>
        <v>0.13737220999999999</v>
      </c>
      <c r="J172">
        <f t="shared" si="53"/>
        <v>6.9840010000000008E-2</v>
      </c>
      <c r="L172">
        <f t="shared" si="54"/>
        <v>25932.364800000003</v>
      </c>
      <c r="M172">
        <f t="shared" si="55"/>
        <v>21880.432800000002</v>
      </c>
      <c r="N172">
        <f t="shared" si="56"/>
        <v>18638.887200000001</v>
      </c>
      <c r="O172">
        <f t="shared" si="57"/>
        <v>13776.568800000001</v>
      </c>
      <c r="P172">
        <f t="shared" si="58"/>
        <v>12425.924799999999</v>
      </c>
      <c r="Q172">
        <f t="shared" si="59"/>
        <v>10264.894400000001</v>
      </c>
      <c r="S172">
        <f t="shared" si="60"/>
        <v>28363.524000000001</v>
      </c>
      <c r="T172">
        <f t="shared" si="61"/>
        <v>24581.720800000003</v>
      </c>
      <c r="U172">
        <f t="shared" si="62"/>
        <v>20394.724399999999</v>
      </c>
      <c r="V172">
        <f t="shared" si="63"/>
        <v>14451.890799999999</v>
      </c>
      <c r="W172">
        <f t="shared" si="64"/>
        <v>14451.890799999999</v>
      </c>
      <c r="X172">
        <f t="shared" si="65"/>
        <v>11750.602800000001</v>
      </c>
      <c r="Z172">
        <f t="shared" si="66"/>
        <v>30794.683200000003</v>
      </c>
      <c r="AA172">
        <f t="shared" si="67"/>
        <v>27283.0088</v>
      </c>
      <c r="AB172">
        <f t="shared" si="68"/>
        <v>22150.561600000001</v>
      </c>
      <c r="AC172">
        <f t="shared" si="69"/>
        <v>18368.758399999999</v>
      </c>
      <c r="AD172">
        <f t="shared" si="70"/>
        <v>16477.856800000001</v>
      </c>
      <c r="AE172">
        <f t="shared" si="71"/>
        <v>13236.3112</v>
      </c>
    </row>
    <row r="173" spans="1:31" x14ac:dyDescent="0.25">
      <c r="A173">
        <v>30.202972119999998</v>
      </c>
      <c r="B173">
        <v>113.1439755</v>
      </c>
      <c r="C173">
        <v>69.886749269999996</v>
      </c>
      <c r="D173">
        <v>5.2516E-2</v>
      </c>
      <c r="E173" t="b">
        <f t="shared" si="48"/>
        <v>0</v>
      </c>
      <c r="F173">
        <f t="shared" si="49"/>
        <v>-349.38123034999995</v>
      </c>
      <c r="G173">
        <f t="shared" si="50"/>
        <v>-698.81497669999999</v>
      </c>
      <c r="H173">
        <f t="shared" si="51"/>
        <v>-1048.2487230499999</v>
      </c>
      <c r="I173">
        <f t="shared" si="52"/>
        <v>-1397.6824693999999</v>
      </c>
      <c r="J173">
        <f t="shared" si="53"/>
        <v>-1747.11621575</v>
      </c>
      <c r="L173">
        <f t="shared" si="54"/>
        <v>100830.72</v>
      </c>
      <c r="M173">
        <f t="shared" si="55"/>
        <v>-565997593.16699994</v>
      </c>
      <c r="N173">
        <f t="shared" si="56"/>
        <v>-964364667.84599996</v>
      </c>
      <c r="O173">
        <f t="shared" si="57"/>
        <v>-1069213697.5109998</v>
      </c>
      <c r="P173">
        <f t="shared" si="58"/>
        <v>-1285867871.8479998</v>
      </c>
      <c r="Q173">
        <f t="shared" si="59"/>
        <v>-1327808323.97</v>
      </c>
      <c r="S173">
        <f t="shared" si="60"/>
        <v>110283.6</v>
      </c>
      <c r="T173">
        <f t="shared" si="61"/>
        <v>-635873839.23699999</v>
      </c>
      <c r="U173">
        <f t="shared" si="62"/>
        <v>-1055210614.817</v>
      </c>
      <c r="V173">
        <f t="shared" si="63"/>
        <v>-1121626133.6634996</v>
      </c>
      <c r="W173">
        <f t="shared" si="64"/>
        <v>-1495520242.2579997</v>
      </c>
      <c r="X173">
        <f t="shared" si="65"/>
        <v>-1519991107.7025001</v>
      </c>
      <c r="Z173">
        <f t="shared" si="66"/>
        <v>119736.48000000001</v>
      </c>
      <c r="AA173">
        <f t="shared" si="67"/>
        <v>-705750085.30699992</v>
      </c>
      <c r="AB173">
        <f t="shared" si="68"/>
        <v>-1146056561.7880001</v>
      </c>
      <c r="AC173">
        <f t="shared" si="69"/>
        <v>-1425618263.3479996</v>
      </c>
      <c r="AD173">
        <f t="shared" si="70"/>
        <v>-1705172612.6679997</v>
      </c>
      <c r="AE173">
        <f t="shared" si="71"/>
        <v>-1712173891.4349999</v>
      </c>
    </row>
    <row r="174" spans="1:31" x14ac:dyDescent="0.25">
      <c r="A174">
        <v>30.222731849999999</v>
      </c>
      <c r="B174">
        <v>112.8291028</v>
      </c>
      <c r="C174">
        <v>5.3114275900000001</v>
      </c>
      <c r="D174">
        <v>1.7802849999999999</v>
      </c>
      <c r="E174" t="b">
        <f t="shared" si="48"/>
        <v>0</v>
      </c>
      <c r="F174">
        <f t="shared" si="49"/>
        <v>-24.776852950000002</v>
      </c>
      <c r="G174">
        <f t="shared" si="50"/>
        <v>-51.333990900000003</v>
      </c>
      <c r="H174">
        <f t="shared" si="51"/>
        <v>-77.891128850000001</v>
      </c>
      <c r="I174">
        <f t="shared" si="52"/>
        <v>-104.4482668</v>
      </c>
      <c r="J174">
        <f t="shared" si="53"/>
        <v>-131.00540475</v>
      </c>
      <c r="L174">
        <f t="shared" si="54"/>
        <v>3418147.2</v>
      </c>
      <c r="M174">
        <f t="shared" si="55"/>
        <v>-40138501.779000007</v>
      </c>
      <c r="N174">
        <f t="shared" si="56"/>
        <v>-70840907.442000002</v>
      </c>
      <c r="O174">
        <f t="shared" si="57"/>
        <v>-79448951.427000001</v>
      </c>
      <c r="P174">
        <f t="shared" si="58"/>
        <v>-96092405.455999985</v>
      </c>
      <c r="Q174">
        <f t="shared" si="59"/>
        <v>-99564107.609999999</v>
      </c>
      <c r="S174">
        <f t="shared" si="60"/>
        <v>3738598.5</v>
      </c>
      <c r="T174">
        <f t="shared" si="61"/>
        <v>-45093872.36900001</v>
      </c>
      <c r="U174">
        <f t="shared" si="62"/>
        <v>-77514326.259000003</v>
      </c>
      <c r="V174">
        <f t="shared" si="63"/>
        <v>-83343507.869499981</v>
      </c>
      <c r="W174">
        <f t="shared" si="64"/>
        <v>-111759645.47599998</v>
      </c>
      <c r="X174">
        <f t="shared" si="65"/>
        <v>-113974702.13249999</v>
      </c>
      <c r="Z174">
        <f t="shared" si="66"/>
        <v>4059049.8000000003</v>
      </c>
      <c r="AA174">
        <f t="shared" si="67"/>
        <v>-50049242.959000006</v>
      </c>
      <c r="AB174">
        <f t="shared" si="68"/>
        <v>-84187745.07600002</v>
      </c>
      <c r="AC174">
        <f t="shared" si="69"/>
        <v>-105931935.23599999</v>
      </c>
      <c r="AD174">
        <f t="shared" si="70"/>
        <v>-127426885.49599999</v>
      </c>
      <c r="AE174">
        <f t="shared" si="71"/>
        <v>-128385296.655</v>
      </c>
    </row>
    <row r="175" spans="1:31" x14ac:dyDescent="0.25">
      <c r="A175">
        <v>30.294123330000001</v>
      </c>
      <c r="B175">
        <v>105.6666031</v>
      </c>
      <c r="C175">
        <v>1.302885E-2</v>
      </c>
      <c r="D175">
        <v>1.1370999799999999</v>
      </c>
      <c r="E175" t="b">
        <f t="shared" si="48"/>
        <v>1</v>
      </c>
      <c r="F175">
        <f t="shared" si="49"/>
        <v>1.07195573</v>
      </c>
      <c r="G175">
        <f t="shared" si="50"/>
        <v>1.0068114799999999</v>
      </c>
      <c r="H175">
        <f t="shared" si="51"/>
        <v>0.94166722999999997</v>
      </c>
      <c r="I175">
        <f t="shared" si="52"/>
        <v>0.87652297999999984</v>
      </c>
      <c r="J175">
        <f t="shared" si="53"/>
        <v>0.81137872999999994</v>
      </c>
      <c r="L175">
        <f t="shared" si="54"/>
        <v>25015.392000000003</v>
      </c>
      <c r="M175">
        <f t="shared" si="55"/>
        <v>21106.737000000001</v>
      </c>
      <c r="N175">
        <f t="shared" si="56"/>
        <v>17979.812999999998</v>
      </c>
      <c r="O175">
        <f t="shared" si="57"/>
        <v>13289.427000000001</v>
      </c>
      <c r="P175">
        <f t="shared" si="58"/>
        <v>11986.541999999999</v>
      </c>
      <c r="Q175">
        <f t="shared" si="59"/>
        <v>9901.9260000000013</v>
      </c>
      <c r="S175">
        <f t="shared" si="60"/>
        <v>27360.585000000003</v>
      </c>
      <c r="T175">
        <f t="shared" si="61"/>
        <v>23712.507000000001</v>
      </c>
      <c r="U175">
        <f t="shared" si="62"/>
        <v>19673.5635</v>
      </c>
      <c r="V175">
        <f t="shared" si="63"/>
        <v>13940.869499999999</v>
      </c>
      <c r="W175">
        <f t="shared" si="64"/>
        <v>13940.869499999999</v>
      </c>
      <c r="X175">
        <f t="shared" si="65"/>
        <v>11335.0995</v>
      </c>
      <c r="Z175">
        <f t="shared" si="66"/>
        <v>29705.778000000006</v>
      </c>
      <c r="AA175">
        <f t="shared" si="67"/>
        <v>26318.277000000002</v>
      </c>
      <c r="AB175">
        <f t="shared" si="68"/>
        <v>21367.314000000002</v>
      </c>
      <c r="AC175">
        <f t="shared" si="69"/>
        <v>17719.235999999997</v>
      </c>
      <c r="AD175">
        <f t="shared" si="70"/>
        <v>15895.197</v>
      </c>
      <c r="AE175">
        <f t="shared" si="71"/>
        <v>12768.272999999999</v>
      </c>
    </row>
    <row r="176" spans="1:31" x14ac:dyDescent="0.25">
      <c r="A176">
        <v>30.302256280000002</v>
      </c>
      <c r="B176">
        <v>112.2548623</v>
      </c>
      <c r="C176">
        <v>8.0388002400000005</v>
      </c>
      <c r="D176">
        <v>0.55082500000000001</v>
      </c>
      <c r="E176" t="b">
        <f t="shared" si="48"/>
        <v>0</v>
      </c>
      <c r="F176">
        <f t="shared" si="49"/>
        <v>-39.643176199999999</v>
      </c>
      <c r="G176">
        <f t="shared" si="50"/>
        <v>-79.837177400000002</v>
      </c>
      <c r="H176">
        <f t="shared" si="51"/>
        <v>-120.0311786</v>
      </c>
      <c r="I176">
        <f t="shared" si="52"/>
        <v>-160.22517980000001</v>
      </c>
      <c r="J176">
        <f t="shared" si="53"/>
        <v>-200.41918100000001</v>
      </c>
      <c r="L176">
        <f t="shared" si="54"/>
        <v>1057584</v>
      </c>
      <c r="M176">
        <f t="shared" si="55"/>
        <v>-64221945.443999998</v>
      </c>
      <c r="N176">
        <f t="shared" si="56"/>
        <v>-110175304.81200001</v>
      </c>
      <c r="O176">
        <f t="shared" si="57"/>
        <v>-122431802.17200001</v>
      </c>
      <c r="P176">
        <f t="shared" si="58"/>
        <v>-147407165.41600001</v>
      </c>
      <c r="Q176">
        <f t="shared" si="59"/>
        <v>-152318577.56</v>
      </c>
      <c r="S176">
        <f t="shared" si="60"/>
        <v>1156732.5</v>
      </c>
      <c r="T176">
        <f t="shared" si="61"/>
        <v>-72150580.684</v>
      </c>
      <c r="U176">
        <f t="shared" si="62"/>
        <v>-120554137.87400001</v>
      </c>
      <c r="V176">
        <f t="shared" si="63"/>
        <v>-128433361.10199998</v>
      </c>
      <c r="W176">
        <f t="shared" si="64"/>
        <v>-171440942.38599998</v>
      </c>
      <c r="X176">
        <f t="shared" si="65"/>
        <v>-174364687.47</v>
      </c>
      <c r="Z176">
        <f t="shared" si="66"/>
        <v>1255881.0000000002</v>
      </c>
      <c r="AA176">
        <f t="shared" si="67"/>
        <v>-80079215.923999995</v>
      </c>
      <c r="AB176">
        <f t="shared" si="68"/>
        <v>-130932970.93600002</v>
      </c>
      <c r="AC176">
        <f t="shared" si="69"/>
        <v>-163242402.896</v>
      </c>
      <c r="AD176">
        <f t="shared" si="70"/>
        <v>-195474719.35600001</v>
      </c>
      <c r="AE176">
        <f t="shared" si="71"/>
        <v>-196410797.38</v>
      </c>
    </row>
    <row r="177" spans="1:31" x14ac:dyDescent="0.25">
      <c r="A177">
        <v>30.30519323</v>
      </c>
      <c r="B177">
        <v>112.2022987</v>
      </c>
      <c r="C177">
        <v>8.0388002400000005</v>
      </c>
      <c r="D177">
        <v>0.110165</v>
      </c>
      <c r="E177" t="b">
        <f t="shared" si="48"/>
        <v>0</v>
      </c>
      <c r="F177">
        <f t="shared" si="49"/>
        <v>-40.0838362</v>
      </c>
      <c r="G177">
        <f t="shared" si="50"/>
        <v>-80.27783740000001</v>
      </c>
      <c r="H177">
        <f t="shared" si="51"/>
        <v>-120.47183860000001</v>
      </c>
      <c r="I177">
        <f t="shared" si="52"/>
        <v>-160.66583980000001</v>
      </c>
      <c r="J177">
        <f t="shared" si="53"/>
        <v>-200.85984100000002</v>
      </c>
      <c r="L177">
        <f t="shared" si="54"/>
        <v>211516.80000000002</v>
      </c>
      <c r="M177">
        <f t="shared" si="55"/>
        <v>-64935814.644000009</v>
      </c>
      <c r="N177">
        <f t="shared" si="56"/>
        <v>-110783415.612</v>
      </c>
      <c r="O177">
        <f t="shared" si="57"/>
        <v>-122881275.37200001</v>
      </c>
      <c r="P177">
        <f t="shared" si="58"/>
        <v>-147812572.616</v>
      </c>
      <c r="Q177">
        <f t="shared" si="59"/>
        <v>-152653479.16000003</v>
      </c>
      <c r="S177">
        <f t="shared" si="60"/>
        <v>231346.5</v>
      </c>
      <c r="T177">
        <f t="shared" si="61"/>
        <v>-72952581.884000003</v>
      </c>
      <c r="U177">
        <f t="shared" si="62"/>
        <v>-121219534.47400001</v>
      </c>
      <c r="V177">
        <f t="shared" si="63"/>
        <v>-128904867.30199999</v>
      </c>
      <c r="W177">
        <f t="shared" si="64"/>
        <v>-171912448.586</v>
      </c>
      <c r="X177">
        <f t="shared" si="65"/>
        <v>-174748061.67000002</v>
      </c>
      <c r="Z177">
        <f t="shared" si="66"/>
        <v>251176.20000000004</v>
      </c>
      <c r="AA177">
        <f t="shared" si="67"/>
        <v>-80969349.124000013</v>
      </c>
      <c r="AB177">
        <f t="shared" si="68"/>
        <v>-131655653.33600003</v>
      </c>
      <c r="AC177">
        <f t="shared" si="69"/>
        <v>-163841700.49599999</v>
      </c>
      <c r="AD177">
        <f t="shared" si="70"/>
        <v>-196012324.55600002</v>
      </c>
      <c r="AE177">
        <f t="shared" si="71"/>
        <v>-196842644.18000004</v>
      </c>
    </row>
    <row r="178" spans="1:31" x14ac:dyDescent="0.25">
      <c r="A178">
        <v>30.31669363</v>
      </c>
      <c r="B178">
        <v>111.9920079</v>
      </c>
      <c r="C178">
        <v>8.0388002400000005</v>
      </c>
      <c r="D178">
        <v>0.15458</v>
      </c>
      <c r="E178" t="b">
        <f t="shared" si="48"/>
        <v>0</v>
      </c>
      <c r="F178">
        <f t="shared" si="49"/>
        <v>-40.0394212</v>
      </c>
      <c r="G178">
        <f t="shared" si="50"/>
        <v>-80.233422400000009</v>
      </c>
      <c r="H178">
        <f t="shared" si="51"/>
        <v>-120.42742360000001</v>
      </c>
      <c r="I178">
        <f t="shared" si="52"/>
        <v>-160.6214248</v>
      </c>
      <c r="J178">
        <f t="shared" si="53"/>
        <v>-200.815426</v>
      </c>
      <c r="L178">
        <f t="shared" si="54"/>
        <v>296793.60000000003</v>
      </c>
      <c r="M178">
        <f t="shared" si="55"/>
        <v>-64863862.344000012</v>
      </c>
      <c r="N178">
        <f t="shared" si="56"/>
        <v>-110722122.912</v>
      </c>
      <c r="O178">
        <f t="shared" si="57"/>
        <v>-122835972.07200001</v>
      </c>
      <c r="P178">
        <f t="shared" si="58"/>
        <v>-147771710.81599998</v>
      </c>
      <c r="Q178">
        <f t="shared" si="59"/>
        <v>-152619723.75999999</v>
      </c>
      <c r="S178">
        <f t="shared" si="60"/>
        <v>324618</v>
      </c>
      <c r="T178">
        <f t="shared" si="61"/>
        <v>-72871746.584000006</v>
      </c>
      <c r="U178">
        <f t="shared" si="62"/>
        <v>-121152467.82400002</v>
      </c>
      <c r="V178">
        <f t="shared" si="63"/>
        <v>-128857343.25199999</v>
      </c>
      <c r="W178">
        <f t="shared" si="64"/>
        <v>-171864924.53599998</v>
      </c>
      <c r="X178">
        <f t="shared" si="65"/>
        <v>-174709420.62</v>
      </c>
      <c r="Z178">
        <f t="shared" si="66"/>
        <v>352442.4</v>
      </c>
      <c r="AA178">
        <f t="shared" si="67"/>
        <v>-80879630.824000001</v>
      </c>
      <c r="AB178">
        <f t="shared" si="68"/>
        <v>-131582812.73600002</v>
      </c>
      <c r="AC178">
        <f t="shared" si="69"/>
        <v>-163781296.09599999</v>
      </c>
      <c r="AD178">
        <f t="shared" si="70"/>
        <v>-195958138.25600001</v>
      </c>
      <c r="AE178">
        <f t="shared" si="71"/>
        <v>-196799117.47999999</v>
      </c>
    </row>
    <row r="179" spans="1:31" x14ac:dyDescent="0.25">
      <c r="A179">
        <v>30.319506860000001</v>
      </c>
      <c r="B179">
        <v>111.93942629999999</v>
      </c>
      <c r="C179">
        <v>8.0388002400000005</v>
      </c>
      <c r="D179">
        <v>0.53763002000000004</v>
      </c>
      <c r="E179" t="b">
        <f t="shared" si="48"/>
        <v>0</v>
      </c>
      <c r="F179">
        <f t="shared" si="49"/>
        <v>-39.656371180000001</v>
      </c>
      <c r="G179">
        <f t="shared" si="50"/>
        <v>-79.85037238000001</v>
      </c>
      <c r="H179">
        <f t="shared" si="51"/>
        <v>-120.04437358000001</v>
      </c>
      <c r="I179">
        <f t="shared" si="52"/>
        <v>-160.23837478000002</v>
      </c>
      <c r="J179">
        <f t="shared" si="53"/>
        <v>-200.43237598000002</v>
      </c>
      <c r="L179">
        <f t="shared" si="54"/>
        <v>1032249.6384000002</v>
      </c>
      <c r="M179">
        <f t="shared" si="55"/>
        <v>-64243321.311600007</v>
      </c>
      <c r="N179">
        <f t="shared" si="56"/>
        <v>-110193513.88440001</v>
      </c>
      <c r="O179">
        <f t="shared" si="57"/>
        <v>-122445261.05160001</v>
      </c>
      <c r="P179">
        <f t="shared" si="58"/>
        <v>-147419304.7976</v>
      </c>
      <c r="Q179">
        <f t="shared" si="59"/>
        <v>-152328605.7448</v>
      </c>
      <c r="S179">
        <f t="shared" si="60"/>
        <v>1129023.0420000001</v>
      </c>
      <c r="T179">
        <f t="shared" si="61"/>
        <v>-72174595.547600001</v>
      </c>
      <c r="U179">
        <f t="shared" si="62"/>
        <v>-120574062.29380001</v>
      </c>
      <c r="V179">
        <f t="shared" si="63"/>
        <v>-128447479.7306</v>
      </c>
      <c r="W179">
        <f t="shared" si="64"/>
        <v>-171455061.01459998</v>
      </c>
      <c r="X179">
        <f t="shared" si="65"/>
        <v>-174376167.10260001</v>
      </c>
      <c r="Z179">
        <f t="shared" si="66"/>
        <v>1225796.4456000002</v>
      </c>
      <c r="AA179">
        <f t="shared" si="67"/>
        <v>-80105869.783600003</v>
      </c>
      <c r="AB179">
        <f t="shared" si="68"/>
        <v>-130954610.70320003</v>
      </c>
      <c r="AC179">
        <f t="shared" si="69"/>
        <v>-163260348.0688</v>
      </c>
      <c r="AD179">
        <f t="shared" si="70"/>
        <v>-195490817.23159999</v>
      </c>
      <c r="AE179">
        <f t="shared" si="71"/>
        <v>-196423728.46040002</v>
      </c>
    </row>
    <row r="180" spans="1:31" x14ac:dyDescent="0.25">
      <c r="A180">
        <v>30.32971418</v>
      </c>
      <c r="B180">
        <v>112.5737366</v>
      </c>
      <c r="C180">
        <v>5.3114275900000001</v>
      </c>
      <c r="D180">
        <v>4.2951000000000003E-2</v>
      </c>
      <c r="E180" t="b">
        <f t="shared" si="48"/>
        <v>0</v>
      </c>
      <c r="F180">
        <f t="shared" si="49"/>
        <v>-26.514186950000003</v>
      </c>
      <c r="G180">
        <f t="shared" si="50"/>
        <v>-53.0713249</v>
      </c>
      <c r="H180">
        <f t="shared" si="51"/>
        <v>-79.628462850000005</v>
      </c>
      <c r="I180">
        <f t="shared" si="52"/>
        <v>-106.1856008</v>
      </c>
      <c r="J180">
        <f t="shared" si="53"/>
        <v>-132.74273875</v>
      </c>
      <c r="L180">
        <f t="shared" si="54"/>
        <v>82465.920000000013</v>
      </c>
      <c r="M180">
        <f t="shared" si="55"/>
        <v>-42952982.859000005</v>
      </c>
      <c r="N180">
        <f t="shared" si="56"/>
        <v>-73238428.361999989</v>
      </c>
      <c r="O180">
        <f t="shared" si="57"/>
        <v>-81221032.107000008</v>
      </c>
      <c r="P180">
        <f t="shared" si="58"/>
        <v>-97690752.735999987</v>
      </c>
      <c r="Q180">
        <f t="shared" si="59"/>
        <v>-100884481.45</v>
      </c>
      <c r="S180">
        <f t="shared" si="60"/>
        <v>90197.1</v>
      </c>
      <c r="T180">
        <f t="shared" si="61"/>
        <v>-48255820.249000005</v>
      </c>
      <c r="U180">
        <f t="shared" si="62"/>
        <v>-80137700.598999992</v>
      </c>
      <c r="V180">
        <f t="shared" si="63"/>
        <v>-85202455.249499992</v>
      </c>
      <c r="W180">
        <f t="shared" si="64"/>
        <v>-113618592.85599998</v>
      </c>
      <c r="X180">
        <f t="shared" si="65"/>
        <v>-115486182.71250001</v>
      </c>
      <c r="Z180">
        <f t="shared" si="66"/>
        <v>97928.280000000013</v>
      </c>
      <c r="AA180">
        <f t="shared" si="67"/>
        <v>-53558657.639000006</v>
      </c>
      <c r="AB180">
        <f t="shared" si="68"/>
        <v>-87036972.83600001</v>
      </c>
      <c r="AC180">
        <f t="shared" si="69"/>
        <v>-108294709.476</v>
      </c>
      <c r="AD180">
        <f t="shared" si="70"/>
        <v>-129546432.976</v>
      </c>
      <c r="AE180">
        <f t="shared" si="71"/>
        <v>-130087883.97499999</v>
      </c>
    </row>
    <row r="181" spans="1:31" x14ac:dyDescent="0.25">
      <c r="A181">
        <v>30.35371919</v>
      </c>
      <c r="B181">
        <v>112.1530753</v>
      </c>
      <c r="C181">
        <v>8.0388002400000005</v>
      </c>
      <c r="D181">
        <v>0.42826598999999999</v>
      </c>
      <c r="E181" t="b">
        <f t="shared" si="48"/>
        <v>0</v>
      </c>
      <c r="F181">
        <f t="shared" si="49"/>
        <v>-39.765735210000003</v>
      </c>
      <c r="G181">
        <f t="shared" si="50"/>
        <v>-79.959736410000005</v>
      </c>
      <c r="H181">
        <f t="shared" si="51"/>
        <v>-120.15373761000001</v>
      </c>
      <c r="I181">
        <f t="shared" si="52"/>
        <v>-160.34773881000001</v>
      </c>
      <c r="J181">
        <f t="shared" si="53"/>
        <v>-200.54174001000001</v>
      </c>
      <c r="L181">
        <f t="shared" si="54"/>
        <v>822270.70079999999</v>
      </c>
      <c r="M181">
        <f t="shared" si="55"/>
        <v>-64420491.040200002</v>
      </c>
      <c r="N181">
        <f t="shared" si="56"/>
        <v>-110344436.2458</v>
      </c>
      <c r="O181">
        <f t="shared" si="57"/>
        <v>-122556812.36220002</v>
      </c>
      <c r="P181">
        <f t="shared" si="58"/>
        <v>-147519919.70519999</v>
      </c>
      <c r="Q181">
        <f t="shared" si="59"/>
        <v>-152411722.40760002</v>
      </c>
      <c r="S181">
        <f t="shared" si="60"/>
        <v>899358.57900000003</v>
      </c>
      <c r="T181">
        <f t="shared" si="61"/>
        <v>-72373638.082200006</v>
      </c>
      <c r="U181">
        <f t="shared" si="62"/>
        <v>-120739201.97910002</v>
      </c>
      <c r="V181">
        <f t="shared" si="63"/>
        <v>-128564499.2427</v>
      </c>
      <c r="W181">
        <f t="shared" si="64"/>
        <v>-171572080.52669999</v>
      </c>
      <c r="X181">
        <f t="shared" si="65"/>
        <v>-174471313.80870003</v>
      </c>
      <c r="Z181">
        <f t="shared" si="66"/>
        <v>976446.45720000006</v>
      </c>
      <c r="AA181">
        <f t="shared" si="67"/>
        <v>-80326785.124200001</v>
      </c>
      <c r="AB181">
        <f t="shared" si="68"/>
        <v>-131133967.71240003</v>
      </c>
      <c r="AC181">
        <f t="shared" si="69"/>
        <v>-163409083.1496</v>
      </c>
      <c r="AD181">
        <f t="shared" si="70"/>
        <v>-195624241.34819999</v>
      </c>
      <c r="AE181">
        <f t="shared" si="71"/>
        <v>-196530905.2098</v>
      </c>
    </row>
    <row r="182" spans="1:31" x14ac:dyDescent="0.25">
      <c r="A182">
        <v>30.356608439999999</v>
      </c>
      <c r="B182">
        <v>112.100476</v>
      </c>
      <c r="C182">
        <v>8.0388002400000005</v>
      </c>
      <c r="D182">
        <v>0.68853098000000001</v>
      </c>
      <c r="E182" t="b">
        <f t="shared" si="48"/>
        <v>0</v>
      </c>
      <c r="F182">
        <f t="shared" si="49"/>
        <v>-39.505470219999999</v>
      </c>
      <c r="G182">
        <f t="shared" si="50"/>
        <v>-79.699471420000009</v>
      </c>
      <c r="H182">
        <f t="shared" si="51"/>
        <v>-119.89347262000001</v>
      </c>
      <c r="I182">
        <f t="shared" si="52"/>
        <v>-160.08747382000001</v>
      </c>
      <c r="J182">
        <f t="shared" si="53"/>
        <v>-200.28147502000002</v>
      </c>
      <c r="L182">
        <f t="shared" si="54"/>
        <v>1321979.4816000001</v>
      </c>
      <c r="M182">
        <f t="shared" si="55"/>
        <v>-63998861.756400004</v>
      </c>
      <c r="N182">
        <f t="shared" si="56"/>
        <v>-109985270.5596</v>
      </c>
      <c r="O182">
        <f t="shared" si="57"/>
        <v>-122291342.0724</v>
      </c>
      <c r="P182">
        <f t="shared" si="58"/>
        <v>-147280475.91440001</v>
      </c>
      <c r="Q182">
        <f t="shared" si="59"/>
        <v>-152213921.01520002</v>
      </c>
      <c r="S182">
        <f t="shared" si="60"/>
        <v>1445915.058</v>
      </c>
      <c r="T182">
        <f t="shared" si="61"/>
        <v>-71899955.800400004</v>
      </c>
      <c r="U182">
        <f t="shared" si="62"/>
        <v>-120346201.8442</v>
      </c>
      <c r="V182">
        <f t="shared" si="63"/>
        <v>-128286015.70339999</v>
      </c>
      <c r="W182">
        <f t="shared" si="64"/>
        <v>-171293596.9874</v>
      </c>
      <c r="X182">
        <f t="shared" si="65"/>
        <v>-174244883.2674</v>
      </c>
      <c r="Z182">
        <f t="shared" si="66"/>
        <v>1569850.6344000001</v>
      </c>
      <c r="AA182">
        <f t="shared" si="67"/>
        <v>-79801049.844400004</v>
      </c>
      <c r="AB182">
        <f t="shared" si="68"/>
        <v>-130707133.12880002</v>
      </c>
      <c r="AC182">
        <f t="shared" si="69"/>
        <v>-163055122.76319999</v>
      </c>
      <c r="AD182">
        <f t="shared" si="70"/>
        <v>-195306718.06040001</v>
      </c>
      <c r="AE182">
        <f t="shared" si="71"/>
        <v>-196275845.5196</v>
      </c>
    </row>
    <row r="183" spans="1:31" x14ac:dyDescent="0.25">
      <c r="A183">
        <v>30.365127619999999</v>
      </c>
      <c r="B183">
        <v>111.9426565</v>
      </c>
      <c r="C183">
        <v>8.0388002400000005</v>
      </c>
      <c r="D183">
        <v>0.19942900999999999</v>
      </c>
      <c r="E183" t="b">
        <f t="shared" si="48"/>
        <v>0</v>
      </c>
      <c r="F183">
        <f t="shared" si="49"/>
        <v>-39.99457219</v>
      </c>
      <c r="G183">
        <f t="shared" si="50"/>
        <v>-80.188573390000002</v>
      </c>
      <c r="H183">
        <f t="shared" si="51"/>
        <v>-120.38257459</v>
      </c>
      <c r="I183">
        <f t="shared" si="52"/>
        <v>-160.57657579000002</v>
      </c>
      <c r="J183">
        <f t="shared" si="53"/>
        <v>-200.77057699000002</v>
      </c>
      <c r="L183">
        <f t="shared" si="54"/>
        <v>382903.69919999997</v>
      </c>
      <c r="M183">
        <f t="shared" si="55"/>
        <v>-64791206.947800003</v>
      </c>
      <c r="N183">
        <f t="shared" si="56"/>
        <v>-110660231.27819999</v>
      </c>
      <c r="O183">
        <f t="shared" si="57"/>
        <v>-122790226.0818</v>
      </c>
      <c r="P183">
        <f t="shared" si="58"/>
        <v>-147730449.72679999</v>
      </c>
      <c r="Q183">
        <f t="shared" si="59"/>
        <v>-152585638.5124</v>
      </c>
      <c r="S183">
        <f t="shared" si="60"/>
        <v>418800.92099999997</v>
      </c>
      <c r="T183">
        <f t="shared" si="61"/>
        <v>-72790121.385800004</v>
      </c>
      <c r="U183">
        <f t="shared" si="62"/>
        <v>-121084745.8189</v>
      </c>
      <c r="V183">
        <f t="shared" si="63"/>
        <v>-128809354.81129998</v>
      </c>
      <c r="W183">
        <f t="shared" si="64"/>
        <v>-171816936.09529999</v>
      </c>
      <c r="X183">
        <f t="shared" si="65"/>
        <v>-174670401.9813</v>
      </c>
      <c r="Z183">
        <f t="shared" si="66"/>
        <v>454698.14280000003</v>
      </c>
      <c r="AA183">
        <f t="shared" si="67"/>
        <v>-80789035.823799998</v>
      </c>
      <c r="AB183">
        <f t="shared" si="68"/>
        <v>-131509260.35960001</v>
      </c>
      <c r="AC183">
        <f t="shared" si="69"/>
        <v>-163720301.44239998</v>
      </c>
      <c r="AD183">
        <f t="shared" si="70"/>
        <v>-195903422.46380001</v>
      </c>
      <c r="AE183">
        <f t="shared" si="71"/>
        <v>-196755165.45019999</v>
      </c>
    </row>
    <row r="184" spans="1:31" x14ac:dyDescent="0.25">
      <c r="A184">
        <v>30.369063860000001</v>
      </c>
      <c r="B184">
        <v>112.6824956</v>
      </c>
      <c r="C184">
        <v>5.3114275900000001</v>
      </c>
      <c r="D184">
        <v>0.31947800999999998</v>
      </c>
      <c r="E184" t="b">
        <f t="shared" si="48"/>
        <v>0</v>
      </c>
      <c r="F184">
        <f t="shared" si="49"/>
        <v>-26.23765994</v>
      </c>
      <c r="G184">
        <f t="shared" si="50"/>
        <v>-52.794797890000005</v>
      </c>
      <c r="H184">
        <f t="shared" si="51"/>
        <v>-79.35193584000001</v>
      </c>
      <c r="I184">
        <f t="shared" si="52"/>
        <v>-105.90907379000001</v>
      </c>
      <c r="J184">
        <f t="shared" si="53"/>
        <v>-132.46621173999998</v>
      </c>
      <c r="L184">
        <f t="shared" si="54"/>
        <v>613397.77919999999</v>
      </c>
      <c r="M184">
        <f t="shared" si="55"/>
        <v>-42505009.102800004</v>
      </c>
      <c r="N184">
        <f t="shared" si="56"/>
        <v>-72856821.088200003</v>
      </c>
      <c r="O184">
        <f t="shared" si="57"/>
        <v>-80938974.556800008</v>
      </c>
      <c r="P184">
        <f t="shared" si="58"/>
        <v>-97436347.886799991</v>
      </c>
      <c r="Q184">
        <f t="shared" si="59"/>
        <v>-100674320.92239998</v>
      </c>
      <c r="S184">
        <f t="shared" si="60"/>
        <v>670903.82099999988</v>
      </c>
      <c r="T184">
        <f t="shared" si="61"/>
        <v>-47752541.090800002</v>
      </c>
      <c r="U184">
        <f t="shared" si="62"/>
        <v>-79720144.813900009</v>
      </c>
      <c r="V184">
        <f t="shared" si="63"/>
        <v>-84906571.348799989</v>
      </c>
      <c r="W184">
        <f t="shared" si="64"/>
        <v>-113322708.95529999</v>
      </c>
      <c r="X184">
        <f t="shared" si="65"/>
        <v>-115245604.21379998</v>
      </c>
      <c r="Z184">
        <f t="shared" si="66"/>
        <v>728409.8628</v>
      </c>
      <c r="AA184">
        <f t="shared" si="67"/>
        <v>-53000073.0788</v>
      </c>
      <c r="AB184">
        <f t="shared" si="68"/>
        <v>-86583468.539600015</v>
      </c>
      <c r="AC184">
        <f t="shared" si="69"/>
        <v>-107918632.74239999</v>
      </c>
      <c r="AD184">
        <f t="shared" si="70"/>
        <v>-129209070.0238</v>
      </c>
      <c r="AE184">
        <f t="shared" si="71"/>
        <v>-129816887.50519998</v>
      </c>
    </row>
    <row r="185" spans="1:31" x14ac:dyDescent="0.25">
      <c r="A185">
        <v>30.375316349999999</v>
      </c>
      <c r="B185">
        <v>112.5773117</v>
      </c>
      <c r="C185">
        <v>5.3114275900000001</v>
      </c>
      <c r="D185">
        <v>0.17269000000000001</v>
      </c>
      <c r="E185" t="b">
        <f t="shared" si="48"/>
        <v>0</v>
      </c>
      <c r="F185">
        <f t="shared" si="49"/>
        <v>-26.384447950000002</v>
      </c>
      <c r="G185">
        <f t="shared" si="50"/>
        <v>-52.9415859</v>
      </c>
      <c r="H185">
        <f t="shared" si="51"/>
        <v>-79.498723850000005</v>
      </c>
      <c r="I185">
        <f t="shared" si="52"/>
        <v>-106.0558618</v>
      </c>
      <c r="J185">
        <f t="shared" si="53"/>
        <v>-132.61299975</v>
      </c>
      <c r="L185">
        <f t="shared" si="54"/>
        <v>331564.80000000005</v>
      </c>
      <c r="M185">
        <f t="shared" si="55"/>
        <v>-42742805.679000005</v>
      </c>
      <c r="N185">
        <f t="shared" si="56"/>
        <v>-73059388.541999996</v>
      </c>
      <c r="O185">
        <f t="shared" si="57"/>
        <v>-81088698.327000007</v>
      </c>
      <c r="P185">
        <f t="shared" si="58"/>
        <v>-97571392.855999991</v>
      </c>
      <c r="Q185">
        <f t="shared" si="59"/>
        <v>-100785879.81</v>
      </c>
      <c r="S185">
        <f t="shared" si="60"/>
        <v>362649</v>
      </c>
      <c r="T185">
        <f t="shared" si="61"/>
        <v>-48019695.269000009</v>
      </c>
      <c r="U185">
        <f t="shared" si="62"/>
        <v>-79941794.708999991</v>
      </c>
      <c r="V185">
        <f t="shared" si="63"/>
        <v>-85063634.519500002</v>
      </c>
      <c r="W185">
        <f t="shared" si="64"/>
        <v>-113479772.12599999</v>
      </c>
      <c r="X185">
        <f t="shared" si="65"/>
        <v>-115373309.7825</v>
      </c>
      <c r="Z185">
        <f t="shared" si="66"/>
        <v>393733.20000000007</v>
      </c>
      <c r="AA185">
        <f t="shared" si="67"/>
        <v>-53296584.859000005</v>
      </c>
      <c r="AB185">
        <f t="shared" si="68"/>
        <v>-86824200.876000002</v>
      </c>
      <c r="AC185">
        <f t="shared" si="69"/>
        <v>-108118264.436</v>
      </c>
      <c r="AD185">
        <f t="shared" si="70"/>
        <v>-129388151.396</v>
      </c>
      <c r="AE185">
        <f t="shared" si="71"/>
        <v>-129960739.755</v>
      </c>
    </row>
    <row r="186" spans="1:31" x14ac:dyDescent="0.25">
      <c r="A186">
        <v>30.381469840000001</v>
      </c>
      <c r="B186">
        <v>112.4721122</v>
      </c>
      <c r="C186">
        <v>5.3114275900000001</v>
      </c>
      <c r="D186">
        <v>0.83457499999999996</v>
      </c>
      <c r="E186" t="b">
        <f t="shared" si="48"/>
        <v>0</v>
      </c>
      <c r="F186">
        <f t="shared" si="49"/>
        <v>-25.72256295</v>
      </c>
      <c r="G186">
        <f t="shared" si="50"/>
        <v>-52.279700900000002</v>
      </c>
      <c r="H186">
        <f t="shared" si="51"/>
        <v>-78.836838850000007</v>
      </c>
      <c r="I186">
        <f t="shared" si="52"/>
        <v>-105.3939768</v>
      </c>
      <c r="J186">
        <f t="shared" si="53"/>
        <v>-131.95111474999999</v>
      </c>
      <c r="L186">
        <f t="shared" si="54"/>
        <v>1602384.0000000002</v>
      </c>
      <c r="M186">
        <f t="shared" si="55"/>
        <v>-41670551.979000002</v>
      </c>
      <c r="N186">
        <f t="shared" si="56"/>
        <v>-72145987.241999999</v>
      </c>
      <c r="O186">
        <f t="shared" si="57"/>
        <v>-80413575.627000004</v>
      </c>
      <c r="P186">
        <f t="shared" si="58"/>
        <v>-96962458.655999988</v>
      </c>
      <c r="Q186">
        <f t="shared" si="59"/>
        <v>-100282847.20999999</v>
      </c>
      <c r="S186">
        <f t="shared" si="60"/>
        <v>1752607.5</v>
      </c>
      <c r="T186">
        <f t="shared" si="61"/>
        <v>-46815064.568999998</v>
      </c>
      <c r="U186">
        <f t="shared" si="62"/>
        <v>-78942348.358999997</v>
      </c>
      <c r="V186">
        <f t="shared" si="63"/>
        <v>-84355417.569499999</v>
      </c>
      <c r="W186">
        <f t="shared" si="64"/>
        <v>-112771555.17599998</v>
      </c>
      <c r="X186">
        <f t="shared" si="65"/>
        <v>-114797469.83249998</v>
      </c>
      <c r="Z186">
        <f t="shared" si="66"/>
        <v>1902831.0000000002</v>
      </c>
      <c r="AA186">
        <f t="shared" si="67"/>
        <v>-51959577.159000002</v>
      </c>
      <c r="AB186">
        <f t="shared" si="68"/>
        <v>-85738709.476000011</v>
      </c>
      <c r="AC186">
        <f t="shared" si="69"/>
        <v>-107218100.836</v>
      </c>
      <c r="AD186">
        <f t="shared" si="70"/>
        <v>-128580651.69599999</v>
      </c>
      <c r="AE186">
        <f t="shared" si="71"/>
        <v>-129312092.45499998</v>
      </c>
    </row>
    <row r="187" spans="1:31" x14ac:dyDescent="0.25">
      <c r="A187">
        <v>30.3843402</v>
      </c>
      <c r="B187">
        <v>106.61526449999999</v>
      </c>
      <c r="C187">
        <v>6.0797200000000003E-3</v>
      </c>
      <c r="D187">
        <v>0.27166699999999999</v>
      </c>
      <c r="E187" t="b">
        <f t="shared" si="48"/>
        <v>1</v>
      </c>
      <c r="F187">
        <f t="shared" si="49"/>
        <v>0.24126839999999999</v>
      </c>
      <c r="G187">
        <f t="shared" si="50"/>
        <v>0.2108698</v>
      </c>
      <c r="H187">
        <f t="shared" si="51"/>
        <v>0.1804712</v>
      </c>
      <c r="I187">
        <f t="shared" si="52"/>
        <v>0.1500726</v>
      </c>
      <c r="J187">
        <f t="shared" si="53"/>
        <v>0.11967399999999997</v>
      </c>
      <c r="L187">
        <f t="shared" si="54"/>
        <v>11673.062400000001</v>
      </c>
      <c r="M187">
        <f t="shared" si="55"/>
        <v>9849.1464000000014</v>
      </c>
      <c r="N187">
        <f t="shared" si="56"/>
        <v>8390.0136000000002</v>
      </c>
      <c r="O187">
        <f t="shared" si="57"/>
        <v>6201.3144000000002</v>
      </c>
      <c r="P187">
        <f t="shared" si="58"/>
        <v>5593.3423999999995</v>
      </c>
      <c r="Q187">
        <f t="shared" si="59"/>
        <v>4620.5871999999999</v>
      </c>
      <c r="S187">
        <f t="shared" si="60"/>
        <v>12767.412</v>
      </c>
      <c r="T187">
        <f t="shared" si="61"/>
        <v>11065.090400000001</v>
      </c>
      <c r="U187">
        <f t="shared" si="62"/>
        <v>9180.3772000000008</v>
      </c>
      <c r="V187">
        <f t="shared" si="63"/>
        <v>6505.3003999999992</v>
      </c>
      <c r="W187">
        <f t="shared" si="64"/>
        <v>6505.3003999999992</v>
      </c>
      <c r="X187">
        <f t="shared" si="65"/>
        <v>5289.3564000000006</v>
      </c>
      <c r="Z187">
        <f t="shared" si="66"/>
        <v>13861.761600000002</v>
      </c>
      <c r="AA187">
        <f t="shared" si="67"/>
        <v>12281.0344</v>
      </c>
      <c r="AB187">
        <f t="shared" si="68"/>
        <v>9970.7408000000014</v>
      </c>
      <c r="AC187">
        <f t="shared" si="69"/>
        <v>8268.4192000000003</v>
      </c>
      <c r="AD187">
        <f t="shared" si="70"/>
        <v>7417.2583999999997</v>
      </c>
      <c r="AE187">
        <f t="shared" si="71"/>
        <v>5958.1256000000003</v>
      </c>
    </row>
    <row r="188" spans="1:31" x14ac:dyDescent="0.25">
      <c r="A188">
        <v>30.399336120000001</v>
      </c>
      <c r="B188">
        <v>112.1564229</v>
      </c>
      <c r="C188">
        <v>8.0388002400000005</v>
      </c>
      <c r="D188">
        <v>0.33875701000000003</v>
      </c>
      <c r="E188" t="b">
        <f t="shared" si="48"/>
        <v>0</v>
      </c>
      <c r="F188">
        <f t="shared" si="49"/>
        <v>-39.855244190000001</v>
      </c>
      <c r="G188">
        <f t="shared" si="50"/>
        <v>-80.04924539000001</v>
      </c>
      <c r="H188">
        <f t="shared" si="51"/>
        <v>-120.24324659000001</v>
      </c>
      <c r="I188">
        <f t="shared" si="52"/>
        <v>-160.43724779000001</v>
      </c>
      <c r="J188">
        <f t="shared" si="53"/>
        <v>-200.63124899000002</v>
      </c>
      <c r="L188">
        <f t="shared" si="54"/>
        <v>650413.45920000004</v>
      </c>
      <c r="M188">
        <f t="shared" si="55"/>
        <v>-64565495.587800004</v>
      </c>
      <c r="N188">
        <f t="shared" si="56"/>
        <v>-110467958.63820001</v>
      </c>
      <c r="O188">
        <f t="shared" si="57"/>
        <v>-122648111.52180003</v>
      </c>
      <c r="P188">
        <f t="shared" si="58"/>
        <v>-147602267.9668</v>
      </c>
      <c r="Q188">
        <f t="shared" si="59"/>
        <v>-152479749.2324</v>
      </c>
      <c r="S188">
        <f t="shared" si="60"/>
        <v>711389.72100000002</v>
      </c>
      <c r="T188">
        <f t="shared" si="61"/>
        <v>-72536544.425799996</v>
      </c>
      <c r="U188">
        <f t="shared" si="62"/>
        <v>-120874360.53890002</v>
      </c>
      <c r="V188">
        <f t="shared" si="63"/>
        <v>-128660273.8513</v>
      </c>
      <c r="W188">
        <f t="shared" si="64"/>
        <v>-171667855.13530001</v>
      </c>
      <c r="X188">
        <f t="shared" si="65"/>
        <v>-174549186.62130001</v>
      </c>
      <c r="Z188">
        <f t="shared" si="66"/>
        <v>772365.98280000011</v>
      </c>
      <c r="AA188">
        <f t="shared" si="67"/>
        <v>-80507593.263799995</v>
      </c>
      <c r="AB188">
        <f t="shared" si="68"/>
        <v>-131280762.43960004</v>
      </c>
      <c r="AC188">
        <f t="shared" si="69"/>
        <v>-163530815.3624</v>
      </c>
      <c r="AD188">
        <f t="shared" si="70"/>
        <v>-195733442.30380002</v>
      </c>
      <c r="AE188">
        <f t="shared" si="71"/>
        <v>-196618624.01019999</v>
      </c>
    </row>
    <row r="189" spans="1:31" x14ac:dyDescent="0.25">
      <c r="A189">
        <v>30.402227150000002</v>
      </c>
      <c r="B189">
        <v>112.1037951</v>
      </c>
      <c r="C189">
        <v>8.0388002400000005</v>
      </c>
      <c r="D189">
        <v>0.36033100000000001</v>
      </c>
      <c r="E189" t="b">
        <f t="shared" si="48"/>
        <v>0</v>
      </c>
      <c r="F189">
        <f t="shared" si="49"/>
        <v>-39.8336702</v>
      </c>
      <c r="G189">
        <f t="shared" si="50"/>
        <v>-80.027671400000003</v>
      </c>
      <c r="H189">
        <f t="shared" si="51"/>
        <v>-120.22167260000001</v>
      </c>
      <c r="I189">
        <f t="shared" si="52"/>
        <v>-160.41567380000001</v>
      </c>
      <c r="J189">
        <f t="shared" si="53"/>
        <v>-200.60967500000001</v>
      </c>
      <c r="L189">
        <f t="shared" si="54"/>
        <v>691835.52</v>
      </c>
      <c r="M189">
        <f t="shared" si="55"/>
        <v>-64530545.724000007</v>
      </c>
      <c r="N189">
        <f t="shared" si="56"/>
        <v>-110438186.53200001</v>
      </c>
      <c r="O189">
        <f t="shared" si="57"/>
        <v>-122626106.05200002</v>
      </c>
      <c r="P189">
        <f t="shared" si="58"/>
        <v>-147582419.896</v>
      </c>
      <c r="Q189">
        <f t="shared" si="59"/>
        <v>-152463353</v>
      </c>
      <c r="S189">
        <f t="shared" si="60"/>
        <v>756695.1</v>
      </c>
      <c r="T189">
        <f t="shared" si="61"/>
        <v>-72497279.764000013</v>
      </c>
      <c r="U189">
        <f t="shared" si="62"/>
        <v>-120841783.81400001</v>
      </c>
      <c r="V189">
        <f t="shared" si="63"/>
        <v>-128637189.682</v>
      </c>
      <c r="W189">
        <f t="shared" si="64"/>
        <v>-171644770.96599999</v>
      </c>
      <c r="X189">
        <f t="shared" si="65"/>
        <v>-174530417.25</v>
      </c>
      <c r="Z189">
        <f t="shared" si="66"/>
        <v>821554.68</v>
      </c>
      <c r="AA189">
        <f t="shared" si="67"/>
        <v>-80464013.804000005</v>
      </c>
      <c r="AB189">
        <f t="shared" si="68"/>
        <v>-131245381.09600002</v>
      </c>
      <c r="AC189">
        <f t="shared" si="69"/>
        <v>-163501474.736</v>
      </c>
      <c r="AD189">
        <f t="shared" si="70"/>
        <v>-195707122.03600001</v>
      </c>
      <c r="AE189">
        <f t="shared" si="71"/>
        <v>-196597481.5</v>
      </c>
    </row>
    <row r="190" spans="1:31" x14ac:dyDescent="0.25">
      <c r="A190">
        <v>30.40509518</v>
      </c>
      <c r="B190">
        <v>112.843963</v>
      </c>
      <c r="C190">
        <v>5.3114275900000001</v>
      </c>
      <c r="D190">
        <v>6.1289000000000003E-2</v>
      </c>
      <c r="E190" t="b">
        <f t="shared" si="48"/>
        <v>0</v>
      </c>
      <c r="F190">
        <f t="shared" si="49"/>
        <v>-26.495848950000003</v>
      </c>
      <c r="G190">
        <f t="shared" si="50"/>
        <v>-53.052986900000001</v>
      </c>
      <c r="H190">
        <f t="shared" si="51"/>
        <v>-79.610124850000005</v>
      </c>
      <c r="I190">
        <f t="shared" si="52"/>
        <v>-106.1672628</v>
      </c>
      <c r="J190">
        <f t="shared" si="53"/>
        <v>-132.72440075</v>
      </c>
      <c r="L190">
        <f t="shared" si="54"/>
        <v>117674.88</v>
      </c>
      <c r="M190">
        <f t="shared" si="55"/>
        <v>-42923275.29900001</v>
      </c>
      <c r="N190">
        <f t="shared" si="56"/>
        <v>-73213121.921999991</v>
      </c>
      <c r="O190">
        <f t="shared" si="57"/>
        <v>-81202327.347000018</v>
      </c>
      <c r="P190">
        <f t="shared" si="58"/>
        <v>-97673881.775999993</v>
      </c>
      <c r="Q190">
        <f t="shared" si="59"/>
        <v>-100870544.57000001</v>
      </c>
      <c r="S190">
        <f t="shared" si="60"/>
        <v>128706.90000000001</v>
      </c>
      <c r="T190">
        <f t="shared" si="61"/>
        <v>-48222445.089000009</v>
      </c>
      <c r="U190">
        <f t="shared" si="62"/>
        <v>-80110010.218999997</v>
      </c>
      <c r="V190">
        <f t="shared" si="63"/>
        <v>-85182833.589499995</v>
      </c>
      <c r="W190">
        <f t="shared" si="64"/>
        <v>-113598971.19599998</v>
      </c>
      <c r="X190">
        <f t="shared" si="65"/>
        <v>-115470228.6525</v>
      </c>
      <c r="Z190">
        <f t="shared" si="66"/>
        <v>139738.92000000001</v>
      </c>
      <c r="AA190">
        <f t="shared" si="67"/>
        <v>-53521614.879000008</v>
      </c>
      <c r="AB190">
        <f t="shared" si="68"/>
        <v>-87006898.516000003</v>
      </c>
      <c r="AC190">
        <f t="shared" si="69"/>
        <v>-108269769.796</v>
      </c>
      <c r="AD190">
        <f t="shared" si="70"/>
        <v>-129524060.616</v>
      </c>
      <c r="AE190">
        <f t="shared" si="71"/>
        <v>-130069912.735</v>
      </c>
    </row>
    <row r="191" spans="1:31" x14ac:dyDescent="0.25">
      <c r="A191">
        <v>30.408309979999999</v>
      </c>
      <c r="B191">
        <v>112.79135650000001</v>
      </c>
      <c r="C191">
        <v>5.3114275900000001</v>
      </c>
      <c r="D191">
        <v>0.80768901000000004</v>
      </c>
      <c r="E191" t="b">
        <f t="shared" si="48"/>
        <v>0</v>
      </c>
      <c r="F191">
        <f t="shared" si="49"/>
        <v>-25.749448940000001</v>
      </c>
      <c r="G191">
        <f t="shared" si="50"/>
        <v>-52.306586890000005</v>
      </c>
      <c r="H191">
        <f t="shared" si="51"/>
        <v>-78.863724840000003</v>
      </c>
      <c r="I191">
        <f t="shared" si="52"/>
        <v>-105.42086279</v>
      </c>
      <c r="J191">
        <f t="shared" si="53"/>
        <v>-131.97800074</v>
      </c>
      <c r="L191">
        <f t="shared" si="54"/>
        <v>1550762.8992000001</v>
      </c>
      <c r="M191">
        <f t="shared" si="55"/>
        <v>-41714107.282800004</v>
      </c>
      <c r="N191">
        <f t="shared" si="56"/>
        <v>-72183089.908200011</v>
      </c>
      <c r="O191">
        <f t="shared" si="57"/>
        <v>-80440999.336800009</v>
      </c>
      <c r="P191">
        <f t="shared" si="58"/>
        <v>-96987193.766800001</v>
      </c>
      <c r="Q191">
        <f t="shared" si="59"/>
        <v>-100303280.5624</v>
      </c>
      <c r="S191">
        <f t="shared" si="60"/>
        <v>1696146.9210000001</v>
      </c>
      <c r="T191">
        <f t="shared" si="61"/>
        <v>-46863997.070800006</v>
      </c>
      <c r="U191">
        <f t="shared" si="62"/>
        <v>-78982946.203900009</v>
      </c>
      <c r="V191">
        <f t="shared" si="63"/>
        <v>-84384185.578799993</v>
      </c>
      <c r="W191">
        <f t="shared" si="64"/>
        <v>-112800323.18529999</v>
      </c>
      <c r="X191">
        <f t="shared" si="65"/>
        <v>-114820860.64379999</v>
      </c>
      <c r="Z191">
        <f t="shared" si="66"/>
        <v>1841530.9428000003</v>
      </c>
      <c r="AA191">
        <f t="shared" si="67"/>
        <v>-52013886.858800001</v>
      </c>
      <c r="AB191">
        <f t="shared" si="68"/>
        <v>-85782802.499600023</v>
      </c>
      <c r="AC191">
        <f t="shared" si="69"/>
        <v>-107254665.7824</v>
      </c>
      <c r="AD191">
        <f t="shared" si="70"/>
        <v>-128613452.6038</v>
      </c>
      <c r="AE191">
        <f t="shared" si="71"/>
        <v>-129338440.7252</v>
      </c>
    </row>
    <row r="192" spans="1:31" x14ac:dyDescent="0.25">
      <c r="A192">
        <v>30.41780589</v>
      </c>
      <c r="B192">
        <v>112.63351299999999</v>
      </c>
      <c r="C192">
        <v>5.3114275900000001</v>
      </c>
      <c r="D192">
        <v>0.48452499999999998</v>
      </c>
      <c r="E192" t="b">
        <f t="shared" si="48"/>
        <v>0</v>
      </c>
      <c r="F192">
        <f t="shared" si="49"/>
        <v>-26.07261295</v>
      </c>
      <c r="G192">
        <f t="shared" si="50"/>
        <v>-52.629750900000005</v>
      </c>
      <c r="H192">
        <f t="shared" si="51"/>
        <v>-79.186888850000003</v>
      </c>
      <c r="I192">
        <f t="shared" si="52"/>
        <v>-105.7440268</v>
      </c>
      <c r="J192">
        <f t="shared" si="53"/>
        <v>-132.30116475</v>
      </c>
      <c r="L192">
        <f t="shared" si="54"/>
        <v>930288.00000000012</v>
      </c>
      <c r="M192">
        <f t="shared" si="55"/>
        <v>-42237632.979000002</v>
      </c>
      <c r="N192">
        <f t="shared" si="56"/>
        <v>-72629056.241999999</v>
      </c>
      <c r="O192">
        <f t="shared" si="57"/>
        <v>-80770626.627000004</v>
      </c>
      <c r="P192">
        <f t="shared" si="58"/>
        <v>-97284504.655999988</v>
      </c>
      <c r="Q192">
        <f t="shared" si="59"/>
        <v>-100548885.21000001</v>
      </c>
      <c r="S192">
        <f t="shared" si="60"/>
        <v>1017502.5</v>
      </c>
      <c r="T192">
        <f t="shared" si="61"/>
        <v>-47452155.568999998</v>
      </c>
      <c r="U192">
        <f t="shared" si="62"/>
        <v>-79470923.859000012</v>
      </c>
      <c r="V192">
        <f t="shared" si="63"/>
        <v>-84729971.069499999</v>
      </c>
      <c r="W192">
        <f t="shared" si="64"/>
        <v>-113146108.67599998</v>
      </c>
      <c r="X192">
        <f t="shared" si="65"/>
        <v>-115102013.3325</v>
      </c>
      <c r="Z192">
        <f t="shared" si="66"/>
        <v>1104717.0000000002</v>
      </c>
      <c r="AA192">
        <f t="shared" si="67"/>
        <v>-52666678.159000002</v>
      </c>
      <c r="AB192">
        <f t="shared" si="68"/>
        <v>-86312791.476000011</v>
      </c>
      <c r="AC192">
        <f t="shared" si="69"/>
        <v>-107694168.836</v>
      </c>
      <c r="AD192">
        <f t="shared" si="70"/>
        <v>-129007712.69599999</v>
      </c>
      <c r="AE192">
        <f t="shared" si="71"/>
        <v>-129655141.455</v>
      </c>
    </row>
    <row r="193" spans="1:31" x14ac:dyDescent="0.25">
      <c r="A193">
        <v>30.43087332</v>
      </c>
      <c r="B193">
        <v>113.1634117</v>
      </c>
      <c r="C193">
        <v>0.33875009</v>
      </c>
      <c r="D193">
        <v>2.2386660599999999</v>
      </c>
      <c r="E193" t="b">
        <f t="shared" si="48"/>
        <v>1</v>
      </c>
      <c r="F193">
        <f t="shared" si="49"/>
        <v>0.54491560999999988</v>
      </c>
      <c r="G193">
        <f t="shared" si="50"/>
        <v>-1.1488348400000001</v>
      </c>
      <c r="H193">
        <f t="shared" si="51"/>
        <v>-2.8425852900000006</v>
      </c>
      <c r="I193">
        <f t="shared" si="52"/>
        <v>-4.5363357400000002</v>
      </c>
      <c r="J193">
        <f t="shared" si="53"/>
        <v>-6.2300861899999997</v>
      </c>
      <c r="L193">
        <f t="shared" si="54"/>
        <v>650400.17280000006</v>
      </c>
      <c r="M193">
        <f t="shared" si="55"/>
        <v>548775.14580000006</v>
      </c>
      <c r="N193">
        <f t="shared" si="56"/>
        <v>-1585392.0792</v>
      </c>
      <c r="O193">
        <f t="shared" si="57"/>
        <v>-2899436.9958000006</v>
      </c>
      <c r="P193">
        <f t="shared" si="58"/>
        <v>-4173428.8807999999</v>
      </c>
      <c r="Q193">
        <f t="shared" si="59"/>
        <v>-4734865.5044</v>
      </c>
      <c r="S193">
        <f t="shared" si="60"/>
        <v>711375.18900000013</v>
      </c>
      <c r="T193">
        <f t="shared" si="61"/>
        <v>616525.1638000001</v>
      </c>
      <c r="U193">
        <f t="shared" si="62"/>
        <v>-1734740.6084</v>
      </c>
      <c r="V193">
        <f t="shared" si="63"/>
        <v>-3041566.2603000002</v>
      </c>
      <c r="W193">
        <f t="shared" si="64"/>
        <v>-4853879.2418</v>
      </c>
      <c r="X193">
        <f t="shared" si="65"/>
        <v>-5420174.9852999998</v>
      </c>
      <c r="Z193">
        <f t="shared" si="66"/>
        <v>772350.2052000002</v>
      </c>
      <c r="AA193">
        <f t="shared" si="67"/>
        <v>684275.18180000002</v>
      </c>
      <c r="AB193">
        <f t="shared" si="68"/>
        <v>-1884089.1376000002</v>
      </c>
      <c r="AC193">
        <f t="shared" si="69"/>
        <v>-3865915.9944000002</v>
      </c>
      <c r="AD193">
        <f t="shared" si="70"/>
        <v>-5534329.6028000005</v>
      </c>
      <c r="AE193">
        <f t="shared" si="71"/>
        <v>-6105484.4661999997</v>
      </c>
    </row>
    <row r="194" spans="1:31" x14ac:dyDescent="0.25">
      <c r="A194">
        <v>30.431076969999999</v>
      </c>
      <c r="B194">
        <v>105.6133063</v>
      </c>
      <c r="C194">
        <v>3.4743599999999999E-2</v>
      </c>
      <c r="D194">
        <v>0.85282499</v>
      </c>
      <c r="E194" t="b">
        <f t="shared" si="48"/>
        <v>1</v>
      </c>
      <c r="F194">
        <f t="shared" si="49"/>
        <v>0.67910698999999997</v>
      </c>
      <c r="G194">
        <f t="shared" si="50"/>
        <v>0.50538899000000004</v>
      </c>
      <c r="H194">
        <f t="shared" si="51"/>
        <v>0.33167099</v>
      </c>
      <c r="I194">
        <f t="shared" si="52"/>
        <v>0.15795299000000007</v>
      </c>
      <c r="J194">
        <f t="shared" si="53"/>
        <v>-1.5765009999999968E-2</v>
      </c>
      <c r="L194">
        <f t="shared" si="54"/>
        <v>66707.712</v>
      </c>
      <c r="M194">
        <f t="shared" si="55"/>
        <v>56284.631999999998</v>
      </c>
      <c r="N194">
        <f t="shared" si="56"/>
        <v>47946.167999999998</v>
      </c>
      <c r="O194">
        <f t="shared" si="57"/>
        <v>35438.472000000002</v>
      </c>
      <c r="P194">
        <f t="shared" si="58"/>
        <v>31964.111999999997</v>
      </c>
      <c r="Q194">
        <f t="shared" si="59"/>
        <v>-11981.407599999975</v>
      </c>
      <c r="S194">
        <f t="shared" si="60"/>
        <v>72961.56</v>
      </c>
      <c r="T194">
        <f t="shared" si="61"/>
        <v>63233.351999999999</v>
      </c>
      <c r="U194">
        <f t="shared" si="62"/>
        <v>52462.835999999996</v>
      </c>
      <c r="V194">
        <f t="shared" si="63"/>
        <v>37175.651999999995</v>
      </c>
      <c r="W194">
        <f t="shared" si="64"/>
        <v>37175.651999999995</v>
      </c>
      <c r="X194">
        <f t="shared" si="65"/>
        <v>-13715.558699999972</v>
      </c>
      <c r="Z194">
        <f t="shared" si="66"/>
        <v>79215.40800000001</v>
      </c>
      <c r="AA194">
        <f t="shared" si="67"/>
        <v>70182.072</v>
      </c>
      <c r="AB194">
        <f t="shared" si="68"/>
        <v>56979.504000000001</v>
      </c>
      <c r="AC194">
        <f t="shared" si="69"/>
        <v>47251.295999999995</v>
      </c>
      <c r="AD194">
        <f t="shared" si="70"/>
        <v>42387.191999999995</v>
      </c>
      <c r="AE194">
        <f t="shared" si="71"/>
        <v>-15449.709799999968</v>
      </c>
    </row>
    <row r="195" spans="1:31" x14ac:dyDescent="0.25">
      <c r="A195">
        <v>30.43157823</v>
      </c>
      <c r="B195">
        <v>106.19358510000001</v>
      </c>
      <c r="C195">
        <v>6.0797200000000003E-3</v>
      </c>
      <c r="D195">
        <v>4.2841999999999998E-2</v>
      </c>
      <c r="E195" t="b">
        <f t="shared" ref="E195:E258" si="72">D195&gt;C195</f>
        <v>1</v>
      </c>
      <c r="F195">
        <f t="shared" ref="F195:F258" si="73">D195-(C195*(2030-2025))</f>
        <v>1.2443399999999997E-2</v>
      </c>
      <c r="G195">
        <f t="shared" ref="G195:G258" si="74">D195-(C195*(2035-2025))</f>
        <v>-1.7955200000000004E-2</v>
      </c>
      <c r="H195">
        <f t="shared" ref="H195:H258" si="75">D195-(C195*(2040-2025))</f>
        <v>-4.8353800000000009E-2</v>
      </c>
      <c r="I195">
        <f t="shared" ref="I195:I258" si="76">D195-(C195*(2045-2025))</f>
        <v>-7.87524E-2</v>
      </c>
      <c r="J195">
        <f t="shared" ref="J195:J258" si="77">D195-(C195*(2050-2025))</f>
        <v>-0.10915100000000003</v>
      </c>
      <c r="L195">
        <f t="shared" ref="L195:L258" si="78">MIN(C195,D195)*1000000*((280/250)+0.8)</f>
        <v>11673.062400000001</v>
      </c>
      <c r="M195">
        <f t="shared" ref="M195:M258" si="79">MIN(F195,C195)*1000000*((230/250)+0.7)</f>
        <v>9849.1464000000014</v>
      </c>
      <c r="N195">
        <f t="shared" ref="N195:N258" si="80">MIN(G195,C195)*1000000*((195/250)+0.6)</f>
        <v>-24778.176000000003</v>
      </c>
      <c r="O195">
        <f t="shared" ref="O195:O258" si="81">MIN(H195,C195)*1000000*((130/250)+0.5)</f>
        <v>-49320.876000000011</v>
      </c>
      <c r="P195">
        <f t="shared" ref="P195:P258" si="82">MIN(I195,C195)*1000000*((105/250)+0.5)</f>
        <v>-72452.207999999984</v>
      </c>
      <c r="Q195">
        <f t="shared" ref="Q195:Q258" si="83">MIN(J195,C195)*1000000*((90/250)+0.4)</f>
        <v>-82954.760000000024</v>
      </c>
      <c r="S195">
        <f t="shared" ref="S195:S258" si="84">MIN(C195,D195)*1000000*((325/250)+0.8)</f>
        <v>12767.412</v>
      </c>
      <c r="T195">
        <f t="shared" ref="T195:T258" si="85">MIN(F195,C195)*1000000*((280/250)+0.7)</f>
        <v>11065.090400000001</v>
      </c>
      <c r="U195">
        <f t="shared" ref="U195:U258" si="86">MIN(G195,C195)*1000000*((227.5/250)+0.6)</f>
        <v>-27112.352000000006</v>
      </c>
      <c r="V195">
        <f t="shared" ref="V195:V258" si="87">MIN(H195,C195)*1000000*((142.5/250)+0.5)</f>
        <v>-51738.566000000006</v>
      </c>
      <c r="W195">
        <f t="shared" ref="W195:W258" si="88">MIN(I195,C195)*1000000*((142.5/250)+0.5)</f>
        <v>-84265.067999999985</v>
      </c>
      <c r="X195">
        <f t="shared" ref="X195:X258" si="89">MIN(J195,C195)*1000000*( (117.5/250)+0.4)</f>
        <v>-94961.370000000024</v>
      </c>
      <c r="Z195">
        <f t="shared" ref="Z195:Z258" si="90">MIN(C195,D195)*1000000*((370/250)+0.8)</f>
        <v>13861.761600000002</v>
      </c>
      <c r="AA195">
        <f t="shared" ref="AA195:AA258" si="91">MIN(C195,F195)*1000000*((330/250)+0.7)</f>
        <v>12281.0344</v>
      </c>
      <c r="AB195">
        <f t="shared" ref="AB195:AB258" si="92">MIN(C195,G195)*1000000*((260/250)+0.6)</f>
        <v>-29446.528000000009</v>
      </c>
      <c r="AC195">
        <f t="shared" ref="AC195:AC258" si="93">MIN(C195,H195)*1000000*((215/250)+0.5)</f>
        <v>-65761.168000000005</v>
      </c>
      <c r="AD195">
        <f t="shared" ref="AD195:AD258" si="94">MIN(C195,I195)*1000000*((180/250)+0.5)</f>
        <v>-96077.927999999985</v>
      </c>
      <c r="AE195">
        <f t="shared" ref="AE195:AE258" si="95">MIN(C195,J195)*1000000*((145/250)+0.4)</f>
        <v>-106967.98000000003</v>
      </c>
    </row>
    <row r="196" spans="1:31" x14ac:dyDescent="0.25">
      <c r="A196">
        <v>30.453910690000001</v>
      </c>
      <c r="B196">
        <v>112.7950532</v>
      </c>
      <c r="C196">
        <v>5.3114275900000001</v>
      </c>
      <c r="D196">
        <v>14.07820034</v>
      </c>
      <c r="E196" t="b">
        <f t="shared" si="72"/>
        <v>1</v>
      </c>
      <c r="F196">
        <f t="shared" si="73"/>
        <v>-12.478937610000001</v>
      </c>
      <c r="G196">
        <f t="shared" si="74"/>
        <v>-39.03607556</v>
      </c>
      <c r="H196">
        <f t="shared" si="75"/>
        <v>-65.593213510000012</v>
      </c>
      <c r="I196">
        <f t="shared" si="76"/>
        <v>-92.15035146000001</v>
      </c>
      <c r="J196">
        <f t="shared" si="77"/>
        <v>-118.70748940999999</v>
      </c>
      <c r="L196">
        <f t="shared" si="78"/>
        <v>10197940.9728</v>
      </c>
      <c r="M196">
        <f t="shared" si="79"/>
        <v>-20215878.928200003</v>
      </c>
      <c r="N196">
        <f t="shared" si="80"/>
        <v>-53869784.272799999</v>
      </c>
      <c r="O196">
        <f t="shared" si="81"/>
        <v>-66905077.780200012</v>
      </c>
      <c r="P196">
        <f t="shared" si="82"/>
        <v>-84778323.343199998</v>
      </c>
      <c r="Q196">
        <f t="shared" si="83"/>
        <v>-90217691.9516</v>
      </c>
      <c r="S196">
        <f t="shared" si="84"/>
        <v>11153997.938999999</v>
      </c>
      <c r="T196">
        <f t="shared" si="85"/>
        <v>-22711666.450200003</v>
      </c>
      <c r="U196">
        <f t="shared" si="86"/>
        <v>-58944474.095600002</v>
      </c>
      <c r="V196">
        <f t="shared" si="87"/>
        <v>-70184738.45570001</v>
      </c>
      <c r="W196">
        <f t="shared" si="88"/>
        <v>-98600876.062199995</v>
      </c>
      <c r="X196">
        <f t="shared" si="89"/>
        <v>-103275515.7867</v>
      </c>
      <c r="Z196">
        <f t="shared" si="90"/>
        <v>12110054.905200001</v>
      </c>
      <c r="AA196">
        <f t="shared" si="91"/>
        <v>-25207453.972200003</v>
      </c>
      <c r="AB196">
        <f t="shared" si="92"/>
        <v>-64019163.918400012</v>
      </c>
      <c r="AC196">
        <f t="shared" si="93"/>
        <v>-89206770.373600006</v>
      </c>
      <c r="AD196">
        <f t="shared" si="94"/>
        <v>-112423428.78120001</v>
      </c>
      <c r="AE196">
        <f t="shared" si="95"/>
        <v>-116333339.62179999</v>
      </c>
    </row>
    <row r="197" spans="1:31" x14ac:dyDescent="0.25">
      <c r="A197">
        <v>30.457102710000001</v>
      </c>
      <c r="B197">
        <v>112.74241429999999</v>
      </c>
      <c r="C197">
        <v>5.3114275900000001</v>
      </c>
      <c r="D197">
        <v>1.814152</v>
      </c>
      <c r="E197" t="b">
        <f t="shared" si="72"/>
        <v>0</v>
      </c>
      <c r="F197">
        <f t="shared" si="73"/>
        <v>-24.742985950000001</v>
      </c>
      <c r="G197">
        <f t="shared" si="74"/>
        <v>-51.300123900000003</v>
      </c>
      <c r="H197">
        <f t="shared" si="75"/>
        <v>-77.857261850000015</v>
      </c>
      <c r="I197">
        <f t="shared" si="76"/>
        <v>-104.41439980000001</v>
      </c>
      <c r="J197">
        <f t="shared" si="77"/>
        <v>-130.97153774999998</v>
      </c>
      <c r="L197">
        <f t="shared" si="78"/>
        <v>3483171.8400000003</v>
      </c>
      <c r="M197">
        <f t="shared" si="79"/>
        <v>-40083637.239000008</v>
      </c>
      <c r="N197">
        <f t="shared" si="80"/>
        <v>-70794170.982000008</v>
      </c>
      <c r="O197">
        <f t="shared" si="81"/>
        <v>-79414407.087000012</v>
      </c>
      <c r="P197">
        <f t="shared" si="82"/>
        <v>-96061247.816</v>
      </c>
      <c r="Q197">
        <f t="shared" si="83"/>
        <v>-99538368.689999983</v>
      </c>
      <c r="S197">
        <f t="shared" si="84"/>
        <v>3809719.2</v>
      </c>
      <c r="T197">
        <f t="shared" si="85"/>
        <v>-45032234.429000005</v>
      </c>
      <c r="U197">
        <f t="shared" si="86"/>
        <v>-77463187.089000016</v>
      </c>
      <c r="V197">
        <f t="shared" si="87"/>
        <v>-83307270.179499999</v>
      </c>
      <c r="W197">
        <f t="shared" si="88"/>
        <v>-111723407.786</v>
      </c>
      <c r="X197">
        <f t="shared" si="89"/>
        <v>-113945237.84249999</v>
      </c>
      <c r="Z197">
        <f t="shared" si="90"/>
        <v>4136266.5600000005</v>
      </c>
      <c r="AA197">
        <f t="shared" si="91"/>
        <v>-49980831.619000003</v>
      </c>
      <c r="AB197">
        <f t="shared" si="92"/>
        <v>-84132203.19600001</v>
      </c>
      <c r="AC197">
        <f t="shared" si="93"/>
        <v>-105885876.116</v>
      </c>
      <c r="AD197">
        <f t="shared" si="94"/>
        <v>-127385567.75600001</v>
      </c>
      <c r="AE197">
        <f t="shared" si="95"/>
        <v>-128352106.99499999</v>
      </c>
    </row>
    <row r="198" spans="1:31" x14ac:dyDescent="0.25">
      <c r="A198">
        <v>30.493052209999998</v>
      </c>
      <c r="B198">
        <v>112.9040767</v>
      </c>
      <c r="C198">
        <v>5.3114275900000001</v>
      </c>
      <c r="D198">
        <v>0.49288300000000002</v>
      </c>
      <c r="E198" t="b">
        <f t="shared" si="72"/>
        <v>0</v>
      </c>
      <c r="F198">
        <f t="shared" si="73"/>
        <v>-26.064254950000002</v>
      </c>
      <c r="G198">
        <f t="shared" si="74"/>
        <v>-52.621392900000004</v>
      </c>
      <c r="H198">
        <f t="shared" si="75"/>
        <v>-79.178530850000001</v>
      </c>
      <c r="I198">
        <f t="shared" si="76"/>
        <v>-105.7356688</v>
      </c>
      <c r="J198">
        <f t="shared" si="77"/>
        <v>-132.29280674999998</v>
      </c>
      <c r="L198">
        <f t="shared" si="78"/>
        <v>946335.3600000001</v>
      </c>
      <c r="M198">
        <f t="shared" si="79"/>
        <v>-42224093.019000009</v>
      </c>
      <c r="N198">
        <f t="shared" si="80"/>
        <v>-72617522.202000007</v>
      </c>
      <c r="O198">
        <f t="shared" si="81"/>
        <v>-80762101.466999993</v>
      </c>
      <c r="P198">
        <f t="shared" si="82"/>
        <v>-97276815.295999989</v>
      </c>
      <c r="Q198">
        <f t="shared" si="83"/>
        <v>-100542533.13</v>
      </c>
      <c r="S198">
        <f t="shared" si="84"/>
        <v>1035054.3</v>
      </c>
      <c r="T198">
        <f t="shared" si="85"/>
        <v>-47436944.009000003</v>
      </c>
      <c r="U198">
        <f t="shared" si="86"/>
        <v>-79458303.279000014</v>
      </c>
      <c r="V198">
        <f t="shared" si="87"/>
        <v>-84721028.009499982</v>
      </c>
      <c r="W198">
        <f t="shared" si="88"/>
        <v>-113137165.61599998</v>
      </c>
      <c r="X198">
        <f t="shared" si="89"/>
        <v>-115094741.87249999</v>
      </c>
      <c r="Z198">
        <f t="shared" si="90"/>
        <v>1123773.2400000002</v>
      </c>
      <c r="AA198">
        <f t="shared" si="91"/>
        <v>-52649794.999000005</v>
      </c>
      <c r="AB198">
        <f t="shared" si="92"/>
        <v>-86299084.356000021</v>
      </c>
      <c r="AC198">
        <f t="shared" si="93"/>
        <v>-107682801.95599999</v>
      </c>
      <c r="AD198">
        <f t="shared" si="94"/>
        <v>-128997515.93599999</v>
      </c>
      <c r="AE198">
        <f t="shared" si="95"/>
        <v>-129646950.61499998</v>
      </c>
    </row>
    <row r="199" spans="1:31" x14ac:dyDescent="0.25">
      <c r="A199">
        <v>30.496295750000002</v>
      </c>
      <c r="B199">
        <v>112.8514174</v>
      </c>
      <c r="C199">
        <v>5.3114275900000001</v>
      </c>
      <c r="D199">
        <v>1.9049520499999999</v>
      </c>
      <c r="E199" t="b">
        <f t="shared" si="72"/>
        <v>0</v>
      </c>
      <c r="F199">
        <f t="shared" si="73"/>
        <v>-24.652185900000003</v>
      </c>
      <c r="G199">
        <f t="shared" si="74"/>
        <v>-51.209323850000004</v>
      </c>
      <c r="H199">
        <f t="shared" si="75"/>
        <v>-77.766461800000002</v>
      </c>
      <c r="I199">
        <f t="shared" si="76"/>
        <v>-104.32359975</v>
      </c>
      <c r="J199">
        <f t="shared" si="77"/>
        <v>-130.8807377</v>
      </c>
      <c r="L199">
        <f t="shared" si="78"/>
        <v>3657507.9359999998</v>
      </c>
      <c r="M199">
        <f t="shared" si="79"/>
        <v>-39936541.158000007</v>
      </c>
      <c r="N199">
        <f t="shared" si="80"/>
        <v>-70668866.913000003</v>
      </c>
      <c r="O199">
        <f t="shared" si="81"/>
        <v>-79321791.035999998</v>
      </c>
      <c r="P199">
        <f t="shared" si="82"/>
        <v>-95977711.769999996</v>
      </c>
      <c r="Q199">
        <f t="shared" si="83"/>
        <v>-99469360.65200001</v>
      </c>
      <c r="S199">
        <f t="shared" si="84"/>
        <v>4000399.3049999997</v>
      </c>
      <c r="T199">
        <f t="shared" si="85"/>
        <v>-44866978.338000007</v>
      </c>
      <c r="U199">
        <f t="shared" si="86"/>
        <v>-77326079.013500005</v>
      </c>
      <c r="V199">
        <f t="shared" si="87"/>
        <v>-83210114.125999987</v>
      </c>
      <c r="W199">
        <f t="shared" si="88"/>
        <v>-111626251.73249999</v>
      </c>
      <c r="X199">
        <f t="shared" si="89"/>
        <v>-113866241.79899999</v>
      </c>
      <c r="Z199">
        <f t="shared" si="90"/>
        <v>4343290.6739999996</v>
      </c>
      <c r="AA199">
        <f t="shared" si="91"/>
        <v>-49797415.518000007</v>
      </c>
      <c r="AB199">
        <f t="shared" si="92"/>
        <v>-83983291.114000008</v>
      </c>
      <c r="AC199">
        <f t="shared" si="93"/>
        <v>-105762388.04799999</v>
      </c>
      <c r="AD199">
        <f t="shared" si="94"/>
        <v>-127274791.69499999</v>
      </c>
      <c r="AE199">
        <f t="shared" si="95"/>
        <v>-128263122.94599999</v>
      </c>
    </row>
    <row r="200" spans="1:31" x14ac:dyDescent="0.25">
      <c r="A200">
        <v>30.50587767</v>
      </c>
      <c r="B200">
        <v>112.693415</v>
      </c>
      <c r="C200">
        <v>5.3114275900000001</v>
      </c>
      <c r="D200">
        <v>0.31648999</v>
      </c>
      <c r="E200" t="b">
        <f t="shared" si="72"/>
        <v>0</v>
      </c>
      <c r="F200">
        <f t="shared" si="73"/>
        <v>-26.24064796</v>
      </c>
      <c r="G200">
        <f t="shared" si="74"/>
        <v>-52.797785910000002</v>
      </c>
      <c r="H200">
        <f t="shared" si="75"/>
        <v>-79.354923860000014</v>
      </c>
      <c r="I200">
        <f t="shared" si="76"/>
        <v>-105.91206181000001</v>
      </c>
      <c r="J200">
        <f t="shared" si="77"/>
        <v>-132.46919975999998</v>
      </c>
      <c r="L200">
        <f t="shared" si="78"/>
        <v>607660.78080000007</v>
      </c>
      <c r="M200">
        <f t="shared" si="79"/>
        <v>-42509849.695200004</v>
      </c>
      <c r="N200">
        <f t="shared" si="80"/>
        <v>-72860944.555800006</v>
      </c>
      <c r="O200">
        <f t="shared" si="81"/>
        <v>-80942022.337200016</v>
      </c>
      <c r="P200">
        <f t="shared" si="82"/>
        <v>-97439096.865200013</v>
      </c>
      <c r="Q200">
        <f t="shared" si="83"/>
        <v>-100676591.81759998</v>
      </c>
      <c r="S200">
        <f t="shared" si="84"/>
        <v>664628.97900000005</v>
      </c>
      <c r="T200">
        <f t="shared" si="85"/>
        <v>-47757979.287200004</v>
      </c>
      <c r="U200">
        <f t="shared" si="86"/>
        <v>-79724656.724100009</v>
      </c>
      <c r="V200">
        <f t="shared" si="87"/>
        <v>-84909768.530200005</v>
      </c>
      <c r="W200">
        <f t="shared" si="88"/>
        <v>-113325906.1367</v>
      </c>
      <c r="X200">
        <f t="shared" si="89"/>
        <v>-115248203.79119998</v>
      </c>
      <c r="Z200">
        <f t="shared" si="90"/>
        <v>721597.17720000003</v>
      </c>
      <c r="AA200">
        <f t="shared" si="91"/>
        <v>-53006108.879200004</v>
      </c>
      <c r="AB200">
        <f t="shared" si="92"/>
        <v>-86588368.892400011</v>
      </c>
      <c r="AC200">
        <f t="shared" si="93"/>
        <v>-107922696.44960001</v>
      </c>
      <c r="AD200">
        <f t="shared" si="94"/>
        <v>-129212715.40820003</v>
      </c>
      <c r="AE200">
        <f t="shared" si="95"/>
        <v>-129819815.76479997</v>
      </c>
    </row>
    <row r="201" spans="1:31" x14ac:dyDescent="0.25">
      <c r="A201">
        <v>30.509022080000001</v>
      </c>
      <c r="B201">
        <v>112.6407396</v>
      </c>
      <c r="C201">
        <v>5.3114275900000001</v>
      </c>
      <c r="D201">
        <v>1.9303779599999999</v>
      </c>
      <c r="E201" t="b">
        <f t="shared" si="72"/>
        <v>0</v>
      </c>
      <c r="F201">
        <f t="shared" si="73"/>
        <v>-24.62675999</v>
      </c>
      <c r="G201">
        <f t="shared" si="74"/>
        <v>-51.183897940000001</v>
      </c>
      <c r="H201">
        <f t="shared" si="75"/>
        <v>-77.741035890000006</v>
      </c>
      <c r="I201">
        <f t="shared" si="76"/>
        <v>-104.29817384</v>
      </c>
      <c r="J201">
        <f t="shared" si="77"/>
        <v>-130.85531179</v>
      </c>
      <c r="L201">
        <f t="shared" si="78"/>
        <v>3706325.6832000003</v>
      </c>
      <c r="M201">
        <f t="shared" si="79"/>
        <v>-39895351.183799997</v>
      </c>
      <c r="N201">
        <f t="shared" si="80"/>
        <v>-70633779.157200009</v>
      </c>
      <c r="O201">
        <f t="shared" si="81"/>
        <v>-79295856.607800007</v>
      </c>
      <c r="P201">
        <f t="shared" si="82"/>
        <v>-95954319.932799995</v>
      </c>
      <c r="Q201">
        <f t="shared" si="83"/>
        <v>-99450036.9604</v>
      </c>
      <c r="S201">
        <f t="shared" si="84"/>
        <v>4053793.716</v>
      </c>
      <c r="T201">
        <f t="shared" si="85"/>
        <v>-44820703.1818</v>
      </c>
      <c r="U201">
        <f t="shared" si="86"/>
        <v>-77287685.889400005</v>
      </c>
      <c r="V201">
        <f t="shared" si="87"/>
        <v>-83182908.402299985</v>
      </c>
      <c r="W201">
        <f t="shared" si="88"/>
        <v>-111599046.00879999</v>
      </c>
      <c r="X201">
        <f t="shared" si="89"/>
        <v>-113844121.2573</v>
      </c>
      <c r="Z201">
        <f t="shared" si="90"/>
        <v>4401261.7488000002</v>
      </c>
      <c r="AA201">
        <f t="shared" si="91"/>
        <v>-49746055.179799996</v>
      </c>
      <c r="AB201">
        <f t="shared" si="92"/>
        <v>-83941592.621600017</v>
      </c>
      <c r="AC201">
        <f t="shared" si="93"/>
        <v>-105727808.81039999</v>
      </c>
      <c r="AD201">
        <f t="shared" si="94"/>
        <v>-127243772.0848</v>
      </c>
      <c r="AE201">
        <f t="shared" si="95"/>
        <v>-128238205.55420001</v>
      </c>
    </row>
    <row r="202" spans="1:31" x14ac:dyDescent="0.25">
      <c r="A202">
        <v>30.522624180000001</v>
      </c>
      <c r="B202">
        <v>106.35222589999999</v>
      </c>
      <c r="C202">
        <v>6.0797200000000003E-3</v>
      </c>
      <c r="D202">
        <v>2.1416270700000002</v>
      </c>
      <c r="E202" t="b">
        <f t="shared" si="72"/>
        <v>1</v>
      </c>
      <c r="F202">
        <f t="shared" si="73"/>
        <v>2.1112284700000004</v>
      </c>
      <c r="G202">
        <f t="shared" si="74"/>
        <v>2.0808298700000001</v>
      </c>
      <c r="H202">
        <f t="shared" si="75"/>
        <v>2.0504312700000003</v>
      </c>
      <c r="I202">
        <f t="shared" si="76"/>
        <v>2.02003267</v>
      </c>
      <c r="J202">
        <f t="shared" si="77"/>
        <v>1.9896340700000001</v>
      </c>
      <c r="L202">
        <f t="shared" si="78"/>
        <v>11673.062400000001</v>
      </c>
      <c r="M202">
        <f t="shared" si="79"/>
        <v>9849.1464000000014</v>
      </c>
      <c r="N202">
        <f t="shared" si="80"/>
        <v>8390.0136000000002</v>
      </c>
      <c r="O202">
        <f t="shared" si="81"/>
        <v>6201.3144000000002</v>
      </c>
      <c r="P202">
        <f t="shared" si="82"/>
        <v>5593.3423999999995</v>
      </c>
      <c r="Q202">
        <f t="shared" si="83"/>
        <v>4620.5871999999999</v>
      </c>
      <c r="S202">
        <f t="shared" si="84"/>
        <v>12767.412</v>
      </c>
      <c r="T202">
        <f t="shared" si="85"/>
        <v>11065.090400000001</v>
      </c>
      <c r="U202">
        <f t="shared" si="86"/>
        <v>9180.3772000000008</v>
      </c>
      <c r="V202">
        <f t="shared" si="87"/>
        <v>6505.3003999999992</v>
      </c>
      <c r="W202">
        <f t="shared" si="88"/>
        <v>6505.3003999999992</v>
      </c>
      <c r="X202">
        <f t="shared" si="89"/>
        <v>5289.3564000000006</v>
      </c>
      <c r="Z202">
        <f t="shared" si="90"/>
        <v>13861.761600000002</v>
      </c>
      <c r="AA202">
        <f t="shared" si="91"/>
        <v>12281.0344</v>
      </c>
      <c r="AB202">
        <f t="shared" si="92"/>
        <v>9970.7408000000014</v>
      </c>
      <c r="AC202">
        <f t="shared" si="93"/>
        <v>8268.4192000000003</v>
      </c>
      <c r="AD202">
        <f t="shared" si="94"/>
        <v>7417.2583999999997</v>
      </c>
      <c r="AE202">
        <f t="shared" si="95"/>
        <v>5958.1256000000003</v>
      </c>
    </row>
    <row r="203" spans="1:31" x14ac:dyDescent="0.25">
      <c r="A203">
        <v>30.54190067</v>
      </c>
      <c r="B203">
        <v>112.8551506</v>
      </c>
      <c r="C203">
        <v>5.3114275900000001</v>
      </c>
      <c r="D203">
        <v>0.43227198999999999</v>
      </c>
      <c r="E203" t="b">
        <f t="shared" si="72"/>
        <v>0</v>
      </c>
      <c r="F203">
        <f t="shared" si="73"/>
        <v>-26.124865960000001</v>
      </c>
      <c r="G203">
        <f t="shared" si="74"/>
        <v>-52.682003910000006</v>
      </c>
      <c r="H203">
        <f t="shared" si="75"/>
        <v>-79.239141860000004</v>
      </c>
      <c r="I203">
        <f t="shared" si="76"/>
        <v>-105.79627981</v>
      </c>
      <c r="J203">
        <f t="shared" si="77"/>
        <v>-132.35341775999999</v>
      </c>
      <c r="L203">
        <f t="shared" si="78"/>
        <v>829962.22080000001</v>
      </c>
      <c r="M203">
        <f t="shared" si="79"/>
        <v>-42322282.855200008</v>
      </c>
      <c r="N203">
        <f t="shared" si="80"/>
        <v>-72701165.395799994</v>
      </c>
      <c r="O203">
        <f t="shared" si="81"/>
        <v>-80823924.6972</v>
      </c>
      <c r="P203">
        <f t="shared" si="82"/>
        <v>-97332577.4252</v>
      </c>
      <c r="Q203">
        <f t="shared" si="83"/>
        <v>-100588597.49759999</v>
      </c>
      <c r="S203">
        <f t="shared" si="84"/>
        <v>907771.179</v>
      </c>
      <c r="T203">
        <f t="shared" si="85"/>
        <v>-47547256.047200002</v>
      </c>
      <c r="U203">
        <f t="shared" si="86"/>
        <v>-79549825.904100001</v>
      </c>
      <c r="V203">
        <f t="shared" si="87"/>
        <v>-84785881.79019998</v>
      </c>
      <c r="W203">
        <f t="shared" si="88"/>
        <v>-113202019.39669998</v>
      </c>
      <c r="X203">
        <f t="shared" si="89"/>
        <v>-115147473.45119999</v>
      </c>
      <c r="Z203">
        <f t="shared" si="90"/>
        <v>985580.13720000011</v>
      </c>
      <c r="AA203">
        <f t="shared" si="91"/>
        <v>-52772229.239200003</v>
      </c>
      <c r="AB203">
        <f t="shared" si="92"/>
        <v>-86398486.412400007</v>
      </c>
      <c r="AC203">
        <f t="shared" si="93"/>
        <v>-107765232.92959999</v>
      </c>
      <c r="AD203">
        <f t="shared" si="94"/>
        <v>-129071461.3682</v>
      </c>
      <c r="AE203">
        <f t="shared" si="95"/>
        <v>-129706349.40479998</v>
      </c>
    </row>
    <row r="204" spans="1:31" x14ac:dyDescent="0.25">
      <c r="A204">
        <v>30.545121399999999</v>
      </c>
      <c r="B204">
        <v>112.8024587</v>
      </c>
      <c r="C204">
        <v>5.3114275900000001</v>
      </c>
      <c r="D204">
        <v>6.9975999999999997E-2</v>
      </c>
      <c r="E204" t="b">
        <f t="shared" si="72"/>
        <v>0</v>
      </c>
      <c r="F204">
        <f t="shared" si="73"/>
        <v>-26.487161950000001</v>
      </c>
      <c r="G204">
        <f t="shared" si="74"/>
        <v>-53.044299900000006</v>
      </c>
      <c r="H204">
        <f t="shared" si="75"/>
        <v>-79.601437850000011</v>
      </c>
      <c r="I204">
        <f t="shared" si="76"/>
        <v>-106.15857580000001</v>
      </c>
      <c r="J204">
        <f t="shared" si="77"/>
        <v>-132.71571374999999</v>
      </c>
      <c r="L204">
        <f t="shared" si="78"/>
        <v>134353.92000000001</v>
      </c>
      <c r="M204">
        <f t="shared" si="79"/>
        <v>-42909202.359000005</v>
      </c>
      <c r="N204">
        <f t="shared" si="80"/>
        <v>-73201133.862000003</v>
      </c>
      <c r="O204">
        <f t="shared" si="81"/>
        <v>-81193466.607000008</v>
      </c>
      <c r="P204">
        <f t="shared" si="82"/>
        <v>-97665889.736000001</v>
      </c>
      <c r="Q204">
        <f t="shared" si="83"/>
        <v>-100863942.44999999</v>
      </c>
      <c r="S204">
        <f t="shared" si="84"/>
        <v>146949.6</v>
      </c>
      <c r="T204">
        <f t="shared" si="85"/>
        <v>-48206634.748999998</v>
      </c>
      <c r="U204">
        <f t="shared" si="86"/>
        <v>-80096892.849000007</v>
      </c>
      <c r="V204">
        <f t="shared" si="87"/>
        <v>-85173538.499499992</v>
      </c>
      <c r="W204">
        <f t="shared" si="88"/>
        <v>-113589676.10599999</v>
      </c>
      <c r="X204">
        <f t="shared" si="89"/>
        <v>-115462670.96249999</v>
      </c>
      <c r="Z204">
        <f t="shared" si="90"/>
        <v>159545.28000000003</v>
      </c>
      <c r="AA204">
        <f t="shared" si="91"/>
        <v>-53504067.138999999</v>
      </c>
      <c r="AB204">
        <f t="shared" si="92"/>
        <v>-86992651.83600001</v>
      </c>
      <c r="AC204">
        <f t="shared" si="93"/>
        <v>-108257955.476</v>
      </c>
      <c r="AD204">
        <f t="shared" si="94"/>
        <v>-129513462.47600001</v>
      </c>
      <c r="AE204">
        <f t="shared" si="95"/>
        <v>-130061399.47499998</v>
      </c>
    </row>
    <row r="205" spans="1:31" x14ac:dyDescent="0.25">
      <c r="A205">
        <v>30.548317340000001</v>
      </c>
      <c r="B205">
        <v>112.74976270000001</v>
      </c>
      <c r="C205">
        <v>5.3114275900000001</v>
      </c>
      <c r="D205">
        <v>4.8260000000000004E-3</v>
      </c>
      <c r="E205" t="b">
        <f t="shared" si="72"/>
        <v>0</v>
      </c>
      <c r="F205">
        <f t="shared" si="73"/>
        <v>-26.55231195</v>
      </c>
      <c r="G205">
        <f t="shared" si="74"/>
        <v>-53.109449900000001</v>
      </c>
      <c r="H205">
        <f t="shared" si="75"/>
        <v>-79.666587850000013</v>
      </c>
      <c r="I205">
        <f t="shared" si="76"/>
        <v>-106.22372580000001</v>
      </c>
      <c r="J205">
        <f t="shared" si="77"/>
        <v>-132.78086374999998</v>
      </c>
      <c r="L205">
        <f t="shared" si="78"/>
        <v>9265.92</v>
      </c>
      <c r="M205">
        <f t="shared" si="79"/>
        <v>-43014745.359000005</v>
      </c>
      <c r="N205">
        <f t="shared" si="80"/>
        <v>-73291040.861999989</v>
      </c>
      <c r="O205">
        <f t="shared" si="81"/>
        <v>-81259919.607000008</v>
      </c>
      <c r="P205">
        <f t="shared" si="82"/>
        <v>-97725827.736000001</v>
      </c>
      <c r="Q205">
        <f t="shared" si="83"/>
        <v>-100913456.44999999</v>
      </c>
      <c r="S205">
        <f t="shared" si="84"/>
        <v>10134.6</v>
      </c>
      <c r="T205">
        <f t="shared" si="85"/>
        <v>-48325207.748999998</v>
      </c>
      <c r="U205">
        <f t="shared" si="86"/>
        <v>-80195269.348999992</v>
      </c>
      <c r="V205">
        <f t="shared" si="87"/>
        <v>-85243248.999499992</v>
      </c>
      <c r="W205">
        <f t="shared" si="88"/>
        <v>-113659386.60599999</v>
      </c>
      <c r="X205">
        <f t="shared" si="89"/>
        <v>-115519351.46249999</v>
      </c>
      <c r="Z205">
        <f t="shared" si="90"/>
        <v>11003.28</v>
      </c>
      <c r="AA205">
        <f t="shared" si="91"/>
        <v>-53635670.138999999</v>
      </c>
      <c r="AB205">
        <f t="shared" si="92"/>
        <v>-87099497.83600001</v>
      </c>
      <c r="AC205">
        <f t="shared" si="93"/>
        <v>-108346559.476</v>
      </c>
      <c r="AD205">
        <f t="shared" si="94"/>
        <v>-129592945.47600001</v>
      </c>
      <c r="AE205">
        <f t="shared" si="95"/>
        <v>-130125246.47499998</v>
      </c>
    </row>
    <row r="206" spans="1:31" x14ac:dyDescent="0.25">
      <c r="A206">
        <v>30.566569449999999</v>
      </c>
      <c r="B206">
        <v>106.72228029999999</v>
      </c>
      <c r="C206">
        <v>6.0797200000000003E-3</v>
      </c>
      <c r="D206">
        <v>3.85811496</v>
      </c>
      <c r="E206" t="b">
        <f t="shared" si="72"/>
        <v>1</v>
      </c>
      <c r="F206">
        <f t="shared" si="73"/>
        <v>3.8277163600000002</v>
      </c>
      <c r="G206">
        <f t="shared" si="74"/>
        <v>3.7973177599999999</v>
      </c>
      <c r="H206">
        <f t="shared" si="75"/>
        <v>3.76691916</v>
      </c>
      <c r="I206">
        <f t="shared" si="76"/>
        <v>3.7365205599999998</v>
      </c>
      <c r="J206">
        <f t="shared" si="77"/>
        <v>3.7061219599999999</v>
      </c>
      <c r="L206">
        <f t="shared" si="78"/>
        <v>11673.062400000001</v>
      </c>
      <c r="M206">
        <f t="shared" si="79"/>
        <v>9849.1464000000014</v>
      </c>
      <c r="N206">
        <f t="shared" si="80"/>
        <v>8390.0136000000002</v>
      </c>
      <c r="O206">
        <f t="shared" si="81"/>
        <v>6201.3144000000002</v>
      </c>
      <c r="P206">
        <f t="shared" si="82"/>
        <v>5593.3423999999995</v>
      </c>
      <c r="Q206">
        <f t="shared" si="83"/>
        <v>4620.5871999999999</v>
      </c>
      <c r="S206">
        <f t="shared" si="84"/>
        <v>12767.412</v>
      </c>
      <c r="T206">
        <f t="shared" si="85"/>
        <v>11065.090400000001</v>
      </c>
      <c r="U206">
        <f t="shared" si="86"/>
        <v>9180.3772000000008</v>
      </c>
      <c r="V206">
        <f t="shared" si="87"/>
        <v>6505.3003999999992</v>
      </c>
      <c r="W206">
        <f t="shared" si="88"/>
        <v>6505.3003999999992</v>
      </c>
      <c r="X206">
        <f t="shared" si="89"/>
        <v>5289.3564000000006</v>
      </c>
      <c r="Z206">
        <f t="shared" si="90"/>
        <v>13861.761600000002</v>
      </c>
      <c r="AA206">
        <f t="shared" si="91"/>
        <v>12281.0344</v>
      </c>
      <c r="AB206">
        <f t="shared" si="92"/>
        <v>9970.7408000000014</v>
      </c>
      <c r="AC206">
        <f t="shared" si="93"/>
        <v>8268.4192000000003</v>
      </c>
      <c r="AD206">
        <f t="shared" si="94"/>
        <v>7417.2583999999997</v>
      </c>
      <c r="AE206">
        <f t="shared" si="95"/>
        <v>5958.1256000000003</v>
      </c>
    </row>
    <row r="207" spans="1:31" x14ac:dyDescent="0.25">
      <c r="A207">
        <v>30.609851949999999</v>
      </c>
      <c r="B207">
        <v>113.23175670000001</v>
      </c>
      <c r="C207">
        <v>0.33875009</v>
      </c>
      <c r="D207">
        <v>1.2064999999999999E-2</v>
      </c>
      <c r="E207" t="b">
        <f t="shared" si="72"/>
        <v>0</v>
      </c>
      <c r="F207">
        <f t="shared" si="73"/>
        <v>-1.68168545</v>
      </c>
      <c r="G207">
        <f t="shared" si="74"/>
        <v>-3.3754358999999998</v>
      </c>
      <c r="H207">
        <f t="shared" si="75"/>
        <v>-5.0691863500000007</v>
      </c>
      <c r="I207">
        <f t="shared" si="76"/>
        <v>-6.7629368000000003</v>
      </c>
      <c r="J207">
        <f t="shared" si="77"/>
        <v>-8.4566872499999999</v>
      </c>
      <c r="L207">
        <f t="shared" si="78"/>
        <v>23164.800000000003</v>
      </c>
      <c r="M207">
        <f t="shared" si="79"/>
        <v>-2724330.429</v>
      </c>
      <c r="N207">
        <f t="shared" si="80"/>
        <v>-4658101.5419999994</v>
      </c>
      <c r="O207">
        <f t="shared" si="81"/>
        <v>-5170570.0770000005</v>
      </c>
      <c r="P207">
        <f t="shared" si="82"/>
        <v>-6221901.8560000006</v>
      </c>
      <c r="Q207">
        <f t="shared" si="83"/>
        <v>-6427082.3100000005</v>
      </c>
      <c r="S207">
        <f t="shared" si="84"/>
        <v>25336.5</v>
      </c>
      <c r="T207">
        <f t="shared" si="85"/>
        <v>-3060667.5189999999</v>
      </c>
      <c r="U207">
        <f t="shared" si="86"/>
        <v>-5096908.2089999998</v>
      </c>
      <c r="V207">
        <f t="shared" si="87"/>
        <v>-5424029.3944999995</v>
      </c>
      <c r="W207">
        <f t="shared" si="88"/>
        <v>-7236342.3760000002</v>
      </c>
      <c r="X207">
        <f t="shared" si="89"/>
        <v>-7357317.9074999997</v>
      </c>
      <c r="Z207">
        <f t="shared" si="90"/>
        <v>27508.200000000004</v>
      </c>
      <c r="AA207">
        <f t="shared" si="91"/>
        <v>-3397004.6089999997</v>
      </c>
      <c r="AB207">
        <f t="shared" si="92"/>
        <v>-5535714.8760000002</v>
      </c>
      <c r="AC207">
        <f t="shared" si="93"/>
        <v>-6894093.4359999998</v>
      </c>
      <c r="AD207">
        <f t="shared" si="94"/>
        <v>-8250782.8960000006</v>
      </c>
      <c r="AE207">
        <f t="shared" si="95"/>
        <v>-8287553.5049999999</v>
      </c>
    </row>
    <row r="208" spans="1:31" x14ac:dyDescent="0.25">
      <c r="A208">
        <v>30.613022189999999</v>
      </c>
      <c r="B208">
        <v>105.4009957</v>
      </c>
      <c r="C208">
        <v>4.3429500000000003E-2</v>
      </c>
      <c r="D208">
        <v>13.893025400000001</v>
      </c>
      <c r="E208" t="b">
        <f t="shared" si="72"/>
        <v>1</v>
      </c>
      <c r="F208">
        <f t="shared" si="73"/>
        <v>13.675877900000001</v>
      </c>
      <c r="G208">
        <f t="shared" si="74"/>
        <v>13.4587304</v>
      </c>
      <c r="H208">
        <f t="shared" si="75"/>
        <v>13.241582900000001</v>
      </c>
      <c r="I208">
        <f t="shared" si="76"/>
        <v>13.024435400000002</v>
      </c>
      <c r="J208">
        <f t="shared" si="77"/>
        <v>12.8072879</v>
      </c>
      <c r="L208">
        <f t="shared" si="78"/>
        <v>83384.639999999999</v>
      </c>
      <c r="M208">
        <f t="shared" si="79"/>
        <v>70355.790000000008</v>
      </c>
      <c r="N208">
        <f t="shared" si="80"/>
        <v>59932.709999999992</v>
      </c>
      <c r="O208">
        <f t="shared" si="81"/>
        <v>44298.090000000004</v>
      </c>
      <c r="P208">
        <f t="shared" si="82"/>
        <v>39955.14</v>
      </c>
      <c r="Q208">
        <f t="shared" si="83"/>
        <v>33006.42</v>
      </c>
      <c r="S208">
        <f t="shared" si="84"/>
        <v>91201.95</v>
      </c>
      <c r="T208">
        <f t="shared" si="85"/>
        <v>79041.69</v>
      </c>
      <c r="U208">
        <f t="shared" si="86"/>
        <v>65578.544999999998</v>
      </c>
      <c r="V208">
        <f t="shared" si="87"/>
        <v>46469.564999999995</v>
      </c>
      <c r="W208">
        <f t="shared" si="88"/>
        <v>46469.564999999995</v>
      </c>
      <c r="X208">
        <f t="shared" si="89"/>
        <v>37783.665000000001</v>
      </c>
      <c r="Z208">
        <f t="shared" si="90"/>
        <v>99019.260000000009</v>
      </c>
      <c r="AA208">
        <f t="shared" si="91"/>
        <v>87727.59</v>
      </c>
      <c r="AB208">
        <f t="shared" si="92"/>
        <v>71224.38</v>
      </c>
      <c r="AC208">
        <f t="shared" si="93"/>
        <v>59064.119999999995</v>
      </c>
      <c r="AD208">
        <f t="shared" si="94"/>
        <v>52983.99</v>
      </c>
      <c r="AE208">
        <f t="shared" si="95"/>
        <v>42560.909999999996</v>
      </c>
    </row>
    <row r="209" spans="1:31" x14ac:dyDescent="0.25">
      <c r="A209">
        <v>30.79738442</v>
      </c>
      <c r="B209">
        <v>106.19443219999999</v>
      </c>
      <c r="C209">
        <v>1.302885E-2</v>
      </c>
      <c r="D209">
        <v>2.8570809399999999</v>
      </c>
      <c r="E209" t="b">
        <f t="shared" si="72"/>
        <v>1</v>
      </c>
      <c r="F209">
        <f t="shared" si="73"/>
        <v>2.79193669</v>
      </c>
      <c r="G209">
        <f t="shared" si="74"/>
        <v>2.7267924400000001</v>
      </c>
      <c r="H209">
        <f t="shared" si="75"/>
        <v>2.6616481899999997</v>
      </c>
      <c r="I209">
        <f t="shared" si="76"/>
        <v>2.5965039399999998</v>
      </c>
      <c r="J209">
        <f t="shared" si="77"/>
        <v>2.5313596899999999</v>
      </c>
      <c r="L209">
        <f t="shared" si="78"/>
        <v>25015.392000000003</v>
      </c>
      <c r="M209">
        <f t="shared" si="79"/>
        <v>21106.737000000001</v>
      </c>
      <c r="N209">
        <f t="shared" si="80"/>
        <v>17979.812999999998</v>
      </c>
      <c r="O209">
        <f t="shared" si="81"/>
        <v>13289.427000000001</v>
      </c>
      <c r="P209">
        <f t="shared" si="82"/>
        <v>11986.541999999999</v>
      </c>
      <c r="Q209">
        <f t="shared" si="83"/>
        <v>9901.9260000000013</v>
      </c>
      <c r="S209">
        <f t="shared" si="84"/>
        <v>27360.585000000003</v>
      </c>
      <c r="T209">
        <f t="shared" si="85"/>
        <v>23712.507000000001</v>
      </c>
      <c r="U209">
        <f t="shared" si="86"/>
        <v>19673.5635</v>
      </c>
      <c r="V209">
        <f t="shared" si="87"/>
        <v>13940.869499999999</v>
      </c>
      <c r="W209">
        <f t="shared" si="88"/>
        <v>13940.869499999999</v>
      </c>
      <c r="X209">
        <f t="shared" si="89"/>
        <v>11335.0995</v>
      </c>
      <c r="Z209">
        <f t="shared" si="90"/>
        <v>29705.778000000006</v>
      </c>
      <c r="AA209">
        <f t="shared" si="91"/>
        <v>26318.277000000002</v>
      </c>
      <c r="AB209">
        <f t="shared" si="92"/>
        <v>21367.314000000002</v>
      </c>
      <c r="AC209">
        <f t="shared" si="93"/>
        <v>17719.235999999997</v>
      </c>
      <c r="AD209">
        <f t="shared" si="94"/>
        <v>15895.197</v>
      </c>
      <c r="AE209">
        <f t="shared" si="95"/>
        <v>12768.272999999999</v>
      </c>
    </row>
    <row r="210" spans="1:31" x14ac:dyDescent="0.25">
      <c r="A210">
        <v>30.934546409999999</v>
      </c>
      <c r="B210">
        <v>105.7701864</v>
      </c>
      <c r="C210">
        <v>6.0797200000000003E-3</v>
      </c>
      <c r="D210">
        <v>3.1332199599999999</v>
      </c>
      <c r="E210" t="b">
        <f t="shared" si="72"/>
        <v>1</v>
      </c>
      <c r="F210">
        <f t="shared" si="73"/>
        <v>3.1028213600000001</v>
      </c>
      <c r="G210">
        <f t="shared" si="74"/>
        <v>3.0724227599999998</v>
      </c>
      <c r="H210">
        <f t="shared" si="75"/>
        <v>3.04202416</v>
      </c>
      <c r="I210">
        <f t="shared" si="76"/>
        <v>3.0116255599999997</v>
      </c>
      <c r="J210">
        <f t="shared" si="77"/>
        <v>2.9812269599999999</v>
      </c>
      <c r="L210">
        <f t="shared" si="78"/>
        <v>11673.062400000001</v>
      </c>
      <c r="M210">
        <f t="shared" si="79"/>
        <v>9849.1464000000014</v>
      </c>
      <c r="N210">
        <f t="shared" si="80"/>
        <v>8390.0136000000002</v>
      </c>
      <c r="O210">
        <f t="shared" si="81"/>
        <v>6201.3144000000002</v>
      </c>
      <c r="P210">
        <f t="shared" si="82"/>
        <v>5593.3423999999995</v>
      </c>
      <c r="Q210">
        <f t="shared" si="83"/>
        <v>4620.5871999999999</v>
      </c>
      <c r="S210">
        <f t="shared" si="84"/>
        <v>12767.412</v>
      </c>
      <c r="T210">
        <f t="shared" si="85"/>
        <v>11065.090400000001</v>
      </c>
      <c r="U210">
        <f t="shared" si="86"/>
        <v>9180.3772000000008</v>
      </c>
      <c r="V210">
        <f t="shared" si="87"/>
        <v>6505.3003999999992</v>
      </c>
      <c r="W210">
        <f t="shared" si="88"/>
        <v>6505.3003999999992</v>
      </c>
      <c r="X210">
        <f t="shared" si="89"/>
        <v>5289.3564000000006</v>
      </c>
      <c r="Z210">
        <f t="shared" si="90"/>
        <v>13861.761600000002</v>
      </c>
      <c r="AA210">
        <f t="shared" si="91"/>
        <v>12281.0344</v>
      </c>
      <c r="AB210">
        <f t="shared" si="92"/>
        <v>9970.7408000000014</v>
      </c>
      <c r="AC210">
        <f t="shared" si="93"/>
        <v>8268.4192000000003</v>
      </c>
      <c r="AD210">
        <f t="shared" si="94"/>
        <v>7417.2583999999997</v>
      </c>
      <c r="AE210">
        <f t="shared" si="95"/>
        <v>5958.1256000000003</v>
      </c>
    </row>
    <row r="211" spans="1:31" x14ac:dyDescent="0.25">
      <c r="A211">
        <v>31.070607240000001</v>
      </c>
      <c r="B211">
        <v>106.5671732</v>
      </c>
      <c r="C211">
        <v>0.43863794</v>
      </c>
      <c r="D211">
        <v>0.23318900000000001</v>
      </c>
      <c r="E211" t="b">
        <f t="shared" si="72"/>
        <v>0</v>
      </c>
      <c r="F211">
        <f t="shared" si="73"/>
        <v>-1.9600006999999999</v>
      </c>
      <c r="G211">
        <f t="shared" si="74"/>
        <v>-4.1531903999999997</v>
      </c>
      <c r="H211">
        <f t="shared" si="75"/>
        <v>-6.3463801000000002</v>
      </c>
      <c r="I211">
        <f t="shared" si="76"/>
        <v>-8.5395698000000007</v>
      </c>
      <c r="J211">
        <f t="shared" si="77"/>
        <v>-10.7327595</v>
      </c>
      <c r="L211">
        <f t="shared" si="78"/>
        <v>447722.88000000006</v>
      </c>
      <c r="M211">
        <f t="shared" si="79"/>
        <v>-3175201.1340000001</v>
      </c>
      <c r="N211">
        <f t="shared" si="80"/>
        <v>-5731402.7519999994</v>
      </c>
      <c r="O211">
        <f t="shared" si="81"/>
        <v>-6473307.7020000005</v>
      </c>
      <c r="P211">
        <f t="shared" si="82"/>
        <v>-7856404.216</v>
      </c>
      <c r="Q211">
        <f t="shared" si="83"/>
        <v>-8156897.2199999997</v>
      </c>
      <c r="S211">
        <f t="shared" si="84"/>
        <v>489696.9</v>
      </c>
      <c r="T211">
        <f t="shared" si="85"/>
        <v>-3567201.2740000002</v>
      </c>
      <c r="U211">
        <f t="shared" si="86"/>
        <v>-6271317.5039999997</v>
      </c>
      <c r="V211">
        <f t="shared" si="87"/>
        <v>-6790626.7069999995</v>
      </c>
      <c r="W211">
        <f t="shared" si="88"/>
        <v>-9137339.6859999988</v>
      </c>
      <c r="X211">
        <f t="shared" si="89"/>
        <v>-9337500.7650000006</v>
      </c>
      <c r="Z211">
        <f t="shared" si="90"/>
        <v>531670.92000000004</v>
      </c>
      <c r="AA211">
        <f t="shared" si="91"/>
        <v>-3959201.4139999999</v>
      </c>
      <c r="AB211">
        <f t="shared" si="92"/>
        <v>-6811232.2560000001</v>
      </c>
      <c r="AC211">
        <f t="shared" si="93"/>
        <v>-8631076.9360000007</v>
      </c>
      <c r="AD211">
        <f t="shared" si="94"/>
        <v>-10418275.156000001</v>
      </c>
      <c r="AE211">
        <f t="shared" si="95"/>
        <v>-10518104.310000001</v>
      </c>
    </row>
    <row r="212" spans="1:31" x14ac:dyDescent="0.25">
      <c r="A212">
        <v>31.206734539999999</v>
      </c>
      <c r="B212">
        <v>105.2369856</v>
      </c>
      <c r="C212">
        <v>2.7577731600000002</v>
      </c>
      <c r="D212">
        <v>1.7725000000000001E-2</v>
      </c>
      <c r="E212" t="b">
        <f t="shared" si="72"/>
        <v>0</v>
      </c>
      <c r="F212">
        <f t="shared" si="73"/>
        <v>-13.7711408</v>
      </c>
      <c r="G212">
        <f t="shared" si="74"/>
        <v>-27.560006600000001</v>
      </c>
      <c r="H212">
        <f t="shared" si="75"/>
        <v>-41.348872400000005</v>
      </c>
      <c r="I212">
        <f t="shared" si="76"/>
        <v>-55.137738200000001</v>
      </c>
      <c r="J212">
        <f t="shared" si="77"/>
        <v>-68.926604000000012</v>
      </c>
      <c r="L212">
        <f t="shared" si="78"/>
        <v>34032</v>
      </c>
      <c r="M212">
        <f t="shared" si="79"/>
        <v>-22309248.096000001</v>
      </c>
      <c r="N212">
        <f t="shared" si="80"/>
        <v>-38032809.108000003</v>
      </c>
      <c r="O212">
        <f t="shared" si="81"/>
        <v>-42175849.848000005</v>
      </c>
      <c r="P212">
        <f t="shared" si="82"/>
        <v>-50726719.144000001</v>
      </c>
      <c r="Q212">
        <f t="shared" si="83"/>
        <v>-52384219.040000014</v>
      </c>
      <c r="S212">
        <f t="shared" si="84"/>
        <v>37222.5</v>
      </c>
      <c r="T212">
        <f t="shared" si="85"/>
        <v>-25063476.255999997</v>
      </c>
      <c r="U212">
        <f t="shared" si="86"/>
        <v>-41615609.966000006</v>
      </c>
      <c r="V212">
        <f t="shared" si="87"/>
        <v>-44243293.468000002</v>
      </c>
      <c r="W212">
        <f t="shared" si="88"/>
        <v>-58997379.873999998</v>
      </c>
      <c r="X212">
        <f t="shared" si="89"/>
        <v>-59966145.480000012</v>
      </c>
      <c r="Z212">
        <f t="shared" si="90"/>
        <v>40413.000000000007</v>
      </c>
      <c r="AA212">
        <f t="shared" si="91"/>
        <v>-27817704.415999997</v>
      </c>
      <c r="AB212">
        <f t="shared" si="92"/>
        <v>-45198410.824000008</v>
      </c>
      <c r="AC212">
        <f t="shared" si="93"/>
        <v>-56234466.464000002</v>
      </c>
      <c r="AD212">
        <f t="shared" si="94"/>
        <v>-67268040.604000002</v>
      </c>
      <c r="AE212">
        <f t="shared" si="95"/>
        <v>-67548071.920000017</v>
      </c>
    </row>
    <row r="213" spans="1:31" x14ac:dyDescent="0.25">
      <c r="A213">
        <v>31.209148259999999</v>
      </c>
      <c r="B213">
        <v>106.1953941</v>
      </c>
      <c r="C213">
        <v>4.3429500000000003E-2</v>
      </c>
      <c r="D213">
        <v>2.564044</v>
      </c>
      <c r="E213" t="b">
        <f t="shared" si="72"/>
        <v>1</v>
      </c>
      <c r="F213">
        <f t="shared" si="73"/>
        <v>2.3468965000000002</v>
      </c>
      <c r="G213">
        <f t="shared" si="74"/>
        <v>2.1297489999999999</v>
      </c>
      <c r="H213">
        <f t="shared" si="75"/>
        <v>1.9126015000000001</v>
      </c>
      <c r="I213">
        <f t="shared" si="76"/>
        <v>1.6954539999999998</v>
      </c>
      <c r="J213">
        <f t="shared" si="77"/>
        <v>1.4783065</v>
      </c>
      <c r="L213">
        <f t="shared" si="78"/>
        <v>83384.639999999999</v>
      </c>
      <c r="M213">
        <f t="shared" si="79"/>
        <v>70355.790000000008</v>
      </c>
      <c r="N213">
        <f t="shared" si="80"/>
        <v>59932.709999999992</v>
      </c>
      <c r="O213">
        <f t="shared" si="81"/>
        <v>44298.090000000004</v>
      </c>
      <c r="P213">
        <f t="shared" si="82"/>
        <v>39955.14</v>
      </c>
      <c r="Q213">
        <f t="shared" si="83"/>
        <v>33006.42</v>
      </c>
      <c r="S213">
        <f t="shared" si="84"/>
        <v>91201.95</v>
      </c>
      <c r="T213">
        <f t="shared" si="85"/>
        <v>79041.69</v>
      </c>
      <c r="U213">
        <f t="shared" si="86"/>
        <v>65578.544999999998</v>
      </c>
      <c r="V213">
        <f t="shared" si="87"/>
        <v>46469.564999999995</v>
      </c>
      <c r="W213">
        <f t="shared" si="88"/>
        <v>46469.564999999995</v>
      </c>
      <c r="X213">
        <f t="shared" si="89"/>
        <v>37783.665000000001</v>
      </c>
      <c r="Z213">
        <f t="shared" si="90"/>
        <v>99019.260000000009</v>
      </c>
      <c r="AA213">
        <f t="shared" si="91"/>
        <v>87727.59</v>
      </c>
      <c r="AB213">
        <f t="shared" si="92"/>
        <v>71224.38</v>
      </c>
      <c r="AC213">
        <f t="shared" si="93"/>
        <v>59064.119999999995</v>
      </c>
      <c r="AD213">
        <f t="shared" si="94"/>
        <v>52983.99</v>
      </c>
      <c r="AE213">
        <f t="shared" si="95"/>
        <v>42560.909999999996</v>
      </c>
    </row>
    <row r="214" spans="1:31" x14ac:dyDescent="0.25">
      <c r="A214">
        <v>31.249173580000001</v>
      </c>
      <c r="B214">
        <v>107.1543989</v>
      </c>
      <c r="C214">
        <v>4.3429500000000003E-2</v>
      </c>
      <c r="D214">
        <v>2.7884039899999999</v>
      </c>
      <c r="E214" t="b">
        <f t="shared" si="72"/>
        <v>1</v>
      </c>
      <c r="F214">
        <f t="shared" si="73"/>
        <v>2.5712564900000001</v>
      </c>
      <c r="G214">
        <f t="shared" si="74"/>
        <v>2.3541089899999998</v>
      </c>
      <c r="H214">
        <f t="shared" si="75"/>
        <v>2.13696149</v>
      </c>
      <c r="I214">
        <f t="shared" si="76"/>
        <v>1.9198139899999997</v>
      </c>
      <c r="J214">
        <f t="shared" si="77"/>
        <v>1.7026664899999999</v>
      </c>
      <c r="L214">
        <f t="shared" si="78"/>
        <v>83384.639999999999</v>
      </c>
      <c r="M214">
        <f t="shared" si="79"/>
        <v>70355.790000000008</v>
      </c>
      <c r="N214">
        <f t="shared" si="80"/>
        <v>59932.709999999992</v>
      </c>
      <c r="O214">
        <f t="shared" si="81"/>
        <v>44298.090000000004</v>
      </c>
      <c r="P214">
        <f t="shared" si="82"/>
        <v>39955.14</v>
      </c>
      <c r="Q214">
        <f t="shared" si="83"/>
        <v>33006.42</v>
      </c>
      <c r="S214">
        <f t="shared" si="84"/>
        <v>91201.95</v>
      </c>
      <c r="T214">
        <f t="shared" si="85"/>
        <v>79041.69</v>
      </c>
      <c r="U214">
        <f t="shared" si="86"/>
        <v>65578.544999999998</v>
      </c>
      <c r="V214">
        <f t="shared" si="87"/>
        <v>46469.564999999995</v>
      </c>
      <c r="W214">
        <f t="shared" si="88"/>
        <v>46469.564999999995</v>
      </c>
      <c r="X214">
        <f t="shared" si="89"/>
        <v>37783.665000000001</v>
      </c>
      <c r="Z214">
        <f t="shared" si="90"/>
        <v>99019.260000000009</v>
      </c>
      <c r="AA214">
        <f t="shared" si="91"/>
        <v>87727.59</v>
      </c>
      <c r="AB214">
        <f t="shared" si="92"/>
        <v>71224.38</v>
      </c>
      <c r="AC214">
        <f t="shared" si="93"/>
        <v>59064.119999999995</v>
      </c>
      <c r="AD214">
        <f t="shared" si="94"/>
        <v>52983.99</v>
      </c>
      <c r="AE214">
        <f t="shared" si="95"/>
        <v>42560.909999999996</v>
      </c>
    </row>
    <row r="215" spans="1:31" x14ac:dyDescent="0.25">
      <c r="A215">
        <v>31.25457926</v>
      </c>
      <c r="B215">
        <v>105.66275229999999</v>
      </c>
      <c r="C215">
        <v>6.8396799999999999E-3</v>
      </c>
      <c r="D215">
        <v>0.35450800999999998</v>
      </c>
      <c r="E215" t="b">
        <f t="shared" si="72"/>
        <v>1</v>
      </c>
      <c r="F215">
        <f t="shared" si="73"/>
        <v>0.32030960999999997</v>
      </c>
      <c r="G215">
        <f t="shared" si="74"/>
        <v>0.28611121</v>
      </c>
      <c r="H215">
        <f t="shared" si="75"/>
        <v>0.25191280999999999</v>
      </c>
      <c r="I215">
        <f t="shared" si="76"/>
        <v>0.21771441</v>
      </c>
      <c r="J215">
        <f t="shared" si="77"/>
        <v>0.18351600999999998</v>
      </c>
      <c r="L215">
        <f t="shared" si="78"/>
        <v>13132.185600000001</v>
      </c>
      <c r="M215">
        <f t="shared" si="79"/>
        <v>11080.281600000002</v>
      </c>
      <c r="N215">
        <f t="shared" si="80"/>
        <v>9438.7583999999988</v>
      </c>
      <c r="O215">
        <f t="shared" si="81"/>
        <v>6976.4736000000003</v>
      </c>
      <c r="P215">
        <f t="shared" si="82"/>
        <v>6292.5055999999995</v>
      </c>
      <c r="Q215">
        <f t="shared" si="83"/>
        <v>5198.1568000000007</v>
      </c>
      <c r="S215">
        <f t="shared" si="84"/>
        <v>14363.328000000001</v>
      </c>
      <c r="T215">
        <f t="shared" si="85"/>
        <v>12448.217600000002</v>
      </c>
      <c r="U215">
        <f t="shared" si="86"/>
        <v>10327.916800000001</v>
      </c>
      <c r="V215">
        <f t="shared" si="87"/>
        <v>7318.4575999999988</v>
      </c>
      <c r="W215">
        <f t="shared" si="88"/>
        <v>7318.4575999999988</v>
      </c>
      <c r="X215">
        <f t="shared" si="89"/>
        <v>5950.5216</v>
      </c>
      <c r="Z215">
        <f t="shared" si="90"/>
        <v>15594.470400000002</v>
      </c>
      <c r="AA215">
        <f t="shared" si="91"/>
        <v>13816.153600000001</v>
      </c>
      <c r="AB215">
        <f t="shared" si="92"/>
        <v>11217.075200000001</v>
      </c>
      <c r="AC215">
        <f t="shared" si="93"/>
        <v>9301.9647999999997</v>
      </c>
      <c r="AD215">
        <f t="shared" si="94"/>
        <v>8344.4096000000009</v>
      </c>
      <c r="AE215">
        <f t="shared" si="95"/>
        <v>6702.8864000000003</v>
      </c>
    </row>
    <row r="216" spans="1:31" x14ac:dyDescent="0.25">
      <c r="A216">
        <v>31.435459770000001</v>
      </c>
      <c r="B216">
        <v>106.7832341</v>
      </c>
      <c r="C216">
        <v>6.8396799999999999E-3</v>
      </c>
      <c r="D216">
        <v>0.53176199999999996</v>
      </c>
      <c r="E216" t="b">
        <f t="shared" si="72"/>
        <v>1</v>
      </c>
      <c r="F216">
        <f t="shared" si="73"/>
        <v>0.49756359999999994</v>
      </c>
      <c r="G216">
        <f t="shared" si="74"/>
        <v>0.46336519999999998</v>
      </c>
      <c r="H216">
        <f t="shared" si="75"/>
        <v>0.42916679999999996</v>
      </c>
      <c r="I216">
        <f t="shared" si="76"/>
        <v>0.3949684</v>
      </c>
      <c r="J216">
        <f t="shared" si="77"/>
        <v>0.36076999999999992</v>
      </c>
      <c r="L216">
        <f t="shared" si="78"/>
        <v>13132.185600000001</v>
      </c>
      <c r="M216">
        <f t="shared" si="79"/>
        <v>11080.281600000002</v>
      </c>
      <c r="N216">
        <f t="shared" si="80"/>
        <v>9438.7583999999988</v>
      </c>
      <c r="O216">
        <f t="shared" si="81"/>
        <v>6976.4736000000003</v>
      </c>
      <c r="P216">
        <f t="shared" si="82"/>
        <v>6292.5055999999995</v>
      </c>
      <c r="Q216">
        <f t="shared" si="83"/>
        <v>5198.1568000000007</v>
      </c>
      <c r="S216">
        <f t="shared" si="84"/>
        <v>14363.328000000001</v>
      </c>
      <c r="T216">
        <f t="shared" si="85"/>
        <v>12448.217600000002</v>
      </c>
      <c r="U216">
        <f t="shared" si="86"/>
        <v>10327.916800000001</v>
      </c>
      <c r="V216">
        <f t="shared" si="87"/>
        <v>7318.4575999999988</v>
      </c>
      <c r="W216">
        <f t="shared" si="88"/>
        <v>7318.4575999999988</v>
      </c>
      <c r="X216">
        <f t="shared" si="89"/>
        <v>5950.5216</v>
      </c>
      <c r="Z216">
        <f t="shared" si="90"/>
        <v>15594.470400000002</v>
      </c>
      <c r="AA216">
        <f t="shared" si="91"/>
        <v>13816.153600000001</v>
      </c>
      <c r="AB216">
        <f t="shared" si="92"/>
        <v>11217.075200000001</v>
      </c>
      <c r="AC216">
        <f t="shared" si="93"/>
        <v>9301.9647999999997</v>
      </c>
      <c r="AD216">
        <f t="shared" si="94"/>
        <v>8344.4096000000009</v>
      </c>
      <c r="AE216">
        <f t="shared" si="95"/>
        <v>6702.8864000000003</v>
      </c>
    </row>
    <row r="217" spans="1:31" x14ac:dyDescent="0.25">
      <c r="A217">
        <v>31.529735259999999</v>
      </c>
      <c r="B217">
        <v>105.9823432</v>
      </c>
      <c r="C217">
        <v>6.8396799999999999E-3</v>
      </c>
      <c r="D217">
        <v>1.21962905</v>
      </c>
      <c r="E217" t="b">
        <f t="shared" si="72"/>
        <v>1</v>
      </c>
      <c r="F217">
        <f t="shared" si="73"/>
        <v>1.18543065</v>
      </c>
      <c r="G217">
        <f t="shared" si="74"/>
        <v>1.1512322500000001</v>
      </c>
      <c r="H217">
        <f t="shared" si="75"/>
        <v>1.1170338499999999</v>
      </c>
      <c r="I217">
        <f t="shared" si="76"/>
        <v>1.0828354499999999</v>
      </c>
      <c r="J217">
        <f t="shared" si="77"/>
        <v>1.04863705</v>
      </c>
      <c r="L217">
        <f t="shared" si="78"/>
        <v>13132.185600000001</v>
      </c>
      <c r="M217">
        <f t="shared" si="79"/>
        <v>11080.281600000002</v>
      </c>
      <c r="N217">
        <f t="shared" si="80"/>
        <v>9438.7583999999988</v>
      </c>
      <c r="O217">
        <f t="shared" si="81"/>
        <v>6976.4736000000003</v>
      </c>
      <c r="P217">
        <f t="shared" si="82"/>
        <v>6292.5055999999995</v>
      </c>
      <c r="Q217">
        <f t="shared" si="83"/>
        <v>5198.1568000000007</v>
      </c>
      <c r="S217">
        <f t="shared" si="84"/>
        <v>14363.328000000001</v>
      </c>
      <c r="T217">
        <f t="shared" si="85"/>
        <v>12448.217600000002</v>
      </c>
      <c r="U217">
        <f t="shared" si="86"/>
        <v>10327.916800000001</v>
      </c>
      <c r="V217">
        <f t="shared" si="87"/>
        <v>7318.4575999999988</v>
      </c>
      <c r="W217">
        <f t="shared" si="88"/>
        <v>7318.4575999999988</v>
      </c>
      <c r="X217">
        <f t="shared" si="89"/>
        <v>5950.5216</v>
      </c>
      <c r="Z217">
        <f t="shared" si="90"/>
        <v>15594.470400000002</v>
      </c>
      <c r="AA217">
        <f t="shared" si="91"/>
        <v>13816.153600000001</v>
      </c>
      <c r="AB217">
        <f t="shared" si="92"/>
        <v>11217.075200000001</v>
      </c>
      <c r="AC217">
        <f t="shared" si="93"/>
        <v>9301.9647999999997</v>
      </c>
      <c r="AD217">
        <f t="shared" si="94"/>
        <v>8344.4096000000009</v>
      </c>
      <c r="AE217">
        <f t="shared" si="95"/>
        <v>6702.8864000000003</v>
      </c>
    </row>
    <row r="218" spans="1:31" s="1" customFormat="1" x14ac:dyDescent="0.25">
      <c r="A218" s="1">
        <v>32.209861930000002</v>
      </c>
      <c r="B218" s="1">
        <v>120.1524965</v>
      </c>
      <c r="C218" s="1">
        <v>0</v>
      </c>
      <c r="D218" s="1">
        <v>3.9371000000000003E-2</v>
      </c>
      <c r="E218" s="1" t="b">
        <f t="shared" si="72"/>
        <v>1</v>
      </c>
      <c r="F218">
        <f t="shared" si="73"/>
        <v>3.9371000000000003E-2</v>
      </c>
      <c r="G218">
        <f t="shared" si="74"/>
        <v>3.9371000000000003E-2</v>
      </c>
      <c r="H218">
        <f t="shared" si="75"/>
        <v>3.9371000000000003E-2</v>
      </c>
      <c r="I218">
        <f t="shared" si="76"/>
        <v>3.9371000000000003E-2</v>
      </c>
      <c r="J218">
        <f t="shared" si="77"/>
        <v>3.9371000000000003E-2</v>
      </c>
      <c r="L218">
        <f t="shared" si="78"/>
        <v>0</v>
      </c>
      <c r="M218">
        <f t="shared" si="79"/>
        <v>0</v>
      </c>
      <c r="N218">
        <f t="shared" si="80"/>
        <v>0</v>
      </c>
      <c r="O218">
        <f t="shared" si="81"/>
        <v>0</v>
      </c>
      <c r="P218">
        <f t="shared" si="82"/>
        <v>0</v>
      </c>
      <c r="Q218">
        <f t="shared" si="83"/>
        <v>0</v>
      </c>
      <c r="S218">
        <f t="shared" si="84"/>
        <v>0</v>
      </c>
      <c r="T218">
        <f t="shared" si="85"/>
        <v>0</v>
      </c>
      <c r="U218">
        <f t="shared" si="86"/>
        <v>0</v>
      </c>
      <c r="V218">
        <f t="shared" si="87"/>
        <v>0</v>
      </c>
      <c r="W218">
        <f t="shared" si="88"/>
        <v>0</v>
      </c>
      <c r="X218">
        <f t="shared" si="89"/>
        <v>0</v>
      </c>
      <c r="Z218">
        <f t="shared" si="90"/>
        <v>0</v>
      </c>
      <c r="AA218">
        <f t="shared" si="91"/>
        <v>0</v>
      </c>
      <c r="AB218">
        <f t="shared" si="92"/>
        <v>0</v>
      </c>
      <c r="AC218">
        <f t="shared" si="93"/>
        <v>0</v>
      </c>
      <c r="AD218">
        <f t="shared" si="94"/>
        <v>0</v>
      </c>
      <c r="AE218">
        <f t="shared" si="95"/>
        <v>0</v>
      </c>
    </row>
    <row r="219" spans="1:31" x14ac:dyDescent="0.25">
      <c r="A219">
        <v>32.354232230000001</v>
      </c>
      <c r="B219">
        <v>105.9821661</v>
      </c>
      <c r="C219">
        <v>6.8396799999999999E-3</v>
      </c>
      <c r="D219">
        <v>1.7730000000000001E-3</v>
      </c>
      <c r="E219" t="b">
        <f t="shared" si="72"/>
        <v>0</v>
      </c>
      <c r="F219">
        <f t="shared" si="73"/>
        <v>-3.24254E-2</v>
      </c>
      <c r="G219">
        <f t="shared" si="74"/>
        <v>-6.6623799999999997E-2</v>
      </c>
      <c r="H219">
        <f t="shared" si="75"/>
        <v>-0.1008222</v>
      </c>
      <c r="I219">
        <f t="shared" si="76"/>
        <v>-0.13502059999999999</v>
      </c>
      <c r="J219">
        <f t="shared" si="77"/>
        <v>-0.16921900000000001</v>
      </c>
      <c r="L219">
        <f t="shared" si="78"/>
        <v>3404.1600000000003</v>
      </c>
      <c r="M219">
        <f t="shared" si="79"/>
        <v>-52529.148000000008</v>
      </c>
      <c r="N219">
        <f t="shared" si="80"/>
        <v>-91940.843999999997</v>
      </c>
      <c r="O219">
        <f t="shared" si="81"/>
        <v>-102838.644</v>
      </c>
      <c r="P219">
        <f t="shared" si="82"/>
        <v>-124218.95199999998</v>
      </c>
      <c r="Q219">
        <f t="shared" si="83"/>
        <v>-128606.44</v>
      </c>
      <c r="S219">
        <f t="shared" si="84"/>
        <v>3723.3</v>
      </c>
      <c r="T219">
        <f t="shared" si="85"/>
        <v>-59014.228000000003</v>
      </c>
      <c r="U219">
        <f t="shared" si="86"/>
        <v>-100601.93800000001</v>
      </c>
      <c r="V219">
        <f t="shared" si="87"/>
        <v>-107879.75399999999</v>
      </c>
      <c r="W219">
        <f t="shared" si="88"/>
        <v>-144472.04199999996</v>
      </c>
      <c r="X219">
        <f t="shared" si="89"/>
        <v>-147220.53</v>
      </c>
      <c r="Z219">
        <f t="shared" si="90"/>
        <v>4042.4400000000005</v>
      </c>
      <c r="AA219">
        <f t="shared" si="91"/>
        <v>-65499.308000000005</v>
      </c>
      <c r="AB219">
        <f t="shared" si="92"/>
        <v>-109263.03200000001</v>
      </c>
      <c r="AC219">
        <f t="shared" si="93"/>
        <v>-137118.19199999998</v>
      </c>
      <c r="AD219">
        <f t="shared" si="94"/>
        <v>-164725.13199999995</v>
      </c>
      <c r="AE219">
        <f t="shared" si="95"/>
        <v>-165834.62</v>
      </c>
    </row>
    <row r="220" spans="1:31" x14ac:dyDescent="0.25">
      <c r="A220">
        <v>32.501261820000003</v>
      </c>
      <c r="B220">
        <v>119.27434270000001</v>
      </c>
      <c r="C220">
        <v>40.306919100000002</v>
      </c>
      <c r="D220">
        <v>1.197824</v>
      </c>
      <c r="E220" t="b">
        <f t="shared" si="72"/>
        <v>0</v>
      </c>
      <c r="F220">
        <f t="shared" si="73"/>
        <v>-200.33677150000003</v>
      </c>
      <c r="G220">
        <f t="shared" si="74"/>
        <v>-401.87136700000002</v>
      </c>
      <c r="H220">
        <f t="shared" si="75"/>
        <v>-603.4059625000001</v>
      </c>
      <c r="I220">
        <f t="shared" si="76"/>
        <v>-804.94055800000012</v>
      </c>
      <c r="J220">
        <f t="shared" si="77"/>
        <v>-1006.4751535</v>
      </c>
      <c r="L220">
        <f t="shared" si="78"/>
        <v>2299822.0800000001</v>
      </c>
      <c r="M220">
        <f t="shared" si="79"/>
        <v>-324545569.83000004</v>
      </c>
      <c r="N220">
        <f t="shared" si="80"/>
        <v>-554582486.45999992</v>
      </c>
      <c r="O220">
        <f t="shared" si="81"/>
        <v>-615474081.75000012</v>
      </c>
      <c r="P220">
        <f t="shared" si="82"/>
        <v>-740545313.36000001</v>
      </c>
      <c r="Q220">
        <f t="shared" si="83"/>
        <v>-764921116.65999997</v>
      </c>
      <c r="S220">
        <f t="shared" si="84"/>
        <v>2515430.3999999999</v>
      </c>
      <c r="T220">
        <f t="shared" si="85"/>
        <v>-364612924.13000005</v>
      </c>
      <c r="U220">
        <f t="shared" si="86"/>
        <v>-606825764.16999996</v>
      </c>
      <c r="V220">
        <f t="shared" si="87"/>
        <v>-645644379.875</v>
      </c>
      <c r="W220">
        <f t="shared" si="88"/>
        <v>-861286397.05999994</v>
      </c>
      <c r="X220">
        <f t="shared" si="89"/>
        <v>-875633383.54499996</v>
      </c>
      <c r="Z220">
        <f t="shared" si="90"/>
        <v>2731038.7200000002</v>
      </c>
      <c r="AA220">
        <f t="shared" si="91"/>
        <v>-404680278.43000007</v>
      </c>
      <c r="AB220">
        <f t="shared" si="92"/>
        <v>-659069041.88</v>
      </c>
      <c r="AC220">
        <f t="shared" si="93"/>
        <v>-820632109.00000012</v>
      </c>
      <c r="AD220">
        <f t="shared" si="94"/>
        <v>-982027480.76000011</v>
      </c>
      <c r="AE220">
        <f t="shared" si="95"/>
        <v>-986345650.42999995</v>
      </c>
    </row>
    <row r="221" spans="1:31" x14ac:dyDescent="0.25">
      <c r="A221">
        <v>32.508454129999997</v>
      </c>
      <c r="B221">
        <v>119.98569500000001</v>
      </c>
      <c r="C221">
        <v>56.601669309999998</v>
      </c>
      <c r="D221">
        <v>0.168845</v>
      </c>
      <c r="E221" t="b">
        <f t="shared" si="72"/>
        <v>0</v>
      </c>
      <c r="F221">
        <f t="shared" si="73"/>
        <v>-282.83950155000002</v>
      </c>
      <c r="G221">
        <f t="shared" si="74"/>
        <v>-565.84784809999996</v>
      </c>
      <c r="H221">
        <f t="shared" si="75"/>
        <v>-848.85619464999991</v>
      </c>
      <c r="I221">
        <f t="shared" si="76"/>
        <v>-1131.8645412000001</v>
      </c>
      <c r="J221">
        <f t="shared" si="77"/>
        <v>-1414.87288775</v>
      </c>
      <c r="L221">
        <f t="shared" si="78"/>
        <v>324182.40000000002</v>
      </c>
      <c r="M221">
        <f t="shared" si="79"/>
        <v>-458199992.51100004</v>
      </c>
      <c r="N221">
        <f t="shared" si="80"/>
        <v>-780870030.37800002</v>
      </c>
      <c r="O221">
        <f t="shared" si="81"/>
        <v>-865833318.54299986</v>
      </c>
      <c r="P221">
        <f t="shared" si="82"/>
        <v>-1041315377.9039999</v>
      </c>
      <c r="Q221">
        <f t="shared" si="83"/>
        <v>-1075303394.6900001</v>
      </c>
      <c r="S221">
        <f t="shared" si="84"/>
        <v>354574.5</v>
      </c>
      <c r="T221">
        <f t="shared" si="85"/>
        <v>-514767892.82100004</v>
      </c>
      <c r="U221">
        <f t="shared" si="86"/>
        <v>-854430250.63100004</v>
      </c>
      <c r="V221">
        <f t="shared" si="87"/>
        <v>-908276128.2754997</v>
      </c>
      <c r="W221">
        <f t="shared" si="88"/>
        <v>-1211095059.0839999</v>
      </c>
      <c r="X221">
        <f t="shared" si="89"/>
        <v>-1230939412.3425</v>
      </c>
      <c r="Z221">
        <f t="shared" si="90"/>
        <v>384966.60000000003</v>
      </c>
      <c r="AA221">
        <f t="shared" si="91"/>
        <v>-571335793.13100004</v>
      </c>
      <c r="AB221">
        <f t="shared" si="92"/>
        <v>-927990470.88400006</v>
      </c>
      <c r="AC221">
        <f t="shared" si="93"/>
        <v>-1154444424.7239997</v>
      </c>
      <c r="AD221">
        <f t="shared" si="94"/>
        <v>-1380874740.2639999</v>
      </c>
      <c r="AE221">
        <f t="shared" si="95"/>
        <v>-1386575429.9949999</v>
      </c>
    </row>
    <row r="222" spans="1:31" x14ac:dyDescent="0.25">
      <c r="A222">
        <v>32.527756599999996</v>
      </c>
      <c r="B222">
        <v>119.4425181</v>
      </c>
      <c r="C222">
        <v>56.601669309999998</v>
      </c>
      <c r="D222">
        <v>7.2896108599999998</v>
      </c>
      <c r="E222" t="b">
        <f t="shared" si="72"/>
        <v>0</v>
      </c>
      <c r="F222">
        <f t="shared" si="73"/>
        <v>-275.71873569000002</v>
      </c>
      <c r="G222">
        <f t="shared" si="74"/>
        <v>-558.72708223999996</v>
      </c>
      <c r="H222">
        <f t="shared" si="75"/>
        <v>-841.7354287899999</v>
      </c>
      <c r="I222">
        <f t="shared" si="76"/>
        <v>-1124.74377534</v>
      </c>
      <c r="J222">
        <f t="shared" si="77"/>
        <v>-1407.7521218899999</v>
      </c>
      <c r="L222">
        <f t="shared" si="78"/>
        <v>13996052.851199999</v>
      </c>
      <c r="M222">
        <f t="shared" si="79"/>
        <v>-446664351.81780005</v>
      </c>
      <c r="N222">
        <f t="shared" si="80"/>
        <v>-771043373.49119997</v>
      </c>
      <c r="O222">
        <f t="shared" si="81"/>
        <v>-858570137.3657999</v>
      </c>
      <c r="P222">
        <f t="shared" si="82"/>
        <v>-1034764273.3127998</v>
      </c>
      <c r="Q222">
        <f t="shared" si="83"/>
        <v>-1069891612.6363999</v>
      </c>
      <c r="S222">
        <f t="shared" si="84"/>
        <v>15308182.806</v>
      </c>
      <c r="T222">
        <f t="shared" si="85"/>
        <v>-501808098.9558</v>
      </c>
      <c r="U222">
        <f t="shared" si="86"/>
        <v>-843677894.18239999</v>
      </c>
      <c r="V222">
        <f t="shared" si="87"/>
        <v>-900656908.80529964</v>
      </c>
      <c r="W222">
        <f t="shared" si="88"/>
        <v>-1203475839.6137998</v>
      </c>
      <c r="X222">
        <f t="shared" si="89"/>
        <v>-1224744346.0442998</v>
      </c>
      <c r="Z222">
        <f t="shared" si="90"/>
        <v>16620312.7608</v>
      </c>
      <c r="AA222">
        <f t="shared" si="91"/>
        <v>-556951846.09379995</v>
      </c>
      <c r="AB222">
        <f t="shared" si="92"/>
        <v>-916312414.87360013</v>
      </c>
      <c r="AC222">
        <f t="shared" si="93"/>
        <v>-1144760183.1543996</v>
      </c>
      <c r="AD222">
        <f t="shared" si="94"/>
        <v>-1372187405.9147999</v>
      </c>
      <c r="AE222">
        <f t="shared" si="95"/>
        <v>-1379597079.4521999</v>
      </c>
    </row>
    <row r="223" spans="1:31" x14ac:dyDescent="0.25">
      <c r="A223">
        <v>32.544457289999997</v>
      </c>
      <c r="B223">
        <v>113.13147499999999</v>
      </c>
      <c r="C223">
        <v>42.111118320000003</v>
      </c>
      <c r="D223">
        <v>6.3680000000000004E-3</v>
      </c>
      <c r="E223" t="b">
        <f t="shared" si="72"/>
        <v>0</v>
      </c>
      <c r="F223">
        <f t="shared" si="73"/>
        <v>-210.5492236</v>
      </c>
      <c r="G223">
        <f t="shared" si="74"/>
        <v>-421.10481520000002</v>
      </c>
      <c r="H223">
        <f t="shared" si="75"/>
        <v>-631.66040680000003</v>
      </c>
      <c r="I223">
        <f t="shared" si="76"/>
        <v>-842.2159984000001</v>
      </c>
      <c r="J223">
        <f t="shared" si="77"/>
        <v>-1052.7715900000001</v>
      </c>
      <c r="L223">
        <f t="shared" si="78"/>
        <v>12226.560000000001</v>
      </c>
      <c r="M223">
        <f t="shared" si="79"/>
        <v>-341089742.23199999</v>
      </c>
      <c r="N223">
        <f t="shared" si="80"/>
        <v>-581124644.97600007</v>
      </c>
      <c r="O223">
        <f t="shared" si="81"/>
        <v>-644293614.93600011</v>
      </c>
      <c r="P223">
        <f t="shared" si="82"/>
        <v>-774838718.528</v>
      </c>
      <c r="Q223">
        <f t="shared" si="83"/>
        <v>-800106408.4000001</v>
      </c>
      <c r="S223">
        <f t="shared" si="84"/>
        <v>13372.800000000001</v>
      </c>
      <c r="T223">
        <f t="shared" si="85"/>
        <v>-383199586.95200002</v>
      </c>
      <c r="U223">
        <f t="shared" si="86"/>
        <v>-635868270.95200002</v>
      </c>
      <c r="V223">
        <f t="shared" si="87"/>
        <v>-675876635.27600002</v>
      </c>
      <c r="W223">
        <f t="shared" si="88"/>
        <v>-901171118.28799999</v>
      </c>
      <c r="X223">
        <f t="shared" si="89"/>
        <v>-915911283.30000007</v>
      </c>
      <c r="Z223">
        <f t="shared" si="90"/>
        <v>14519.04</v>
      </c>
      <c r="AA223">
        <f t="shared" si="91"/>
        <v>-425309431.67199999</v>
      </c>
      <c r="AB223">
        <f t="shared" si="92"/>
        <v>-690611896.92800009</v>
      </c>
      <c r="AC223">
        <f t="shared" si="93"/>
        <v>-859058153.24800003</v>
      </c>
      <c r="AD223">
        <f t="shared" si="94"/>
        <v>-1027503518.0480001</v>
      </c>
      <c r="AE223">
        <f t="shared" si="95"/>
        <v>-1031716158.2</v>
      </c>
    </row>
    <row r="224" spans="1:31" x14ac:dyDescent="0.25">
      <c r="A224">
        <v>32.551149500000001</v>
      </c>
      <c r="B224">
        <v>113.0235335</v>
      </c>
      <c r="C224">
        <v>48.126995090000001</v>
      </c>
      <c r="D224">
        <v>26.350034709999999</v>
      </c>
      <c r="E224" t="b">
        <f t="shared" si="72"/>
        <v>0</v>
      </c>
      <c r="F224">
        <f t="shared" si="73"/>
        <v>-214.28494074000002</v>
      </c>
      <c r="G224">
        <f t="shared" si="74"/>
        <v>-454.91991619000004</v>
      </c>
      <c r="H224">
        <f t="shared" si="75"/>
        <v>-695.55489163999994</v>
      </c>
      <c r="I224">
        <f t="shared" si="76"/>
        <v>-936.18986709000001</v>
      </c>
      <c r="J224">
        <f t="shared" si="77"/>
        <v>-1176.82484254</v>
      </c>
      <c r="L224">
        <f t="shared" si="78"/>
        <v>50592066.643200003</v>
      </c>
      <c r="M224">
        <f t="shared" si="79"/>
        <v>-347141603.9988001</v>
      </c>
      <c r="N224">
        <f t="shared" si="80"/>
        <v>-627789484.34220004</v>
      </c>
      <c r="O224">
        <f t="shared" si="81"/>
        <v>-709465989.47280002</v>
      </c>
      <c r="P224">
        <f t="shared" si="82"/>
        <v>-861294677.72280002</v>
      </c>
      <c r="Q224">
        <f t="shared" si="83"/>
        <v>-894386880.33039999</v>
      </c>
      <c r="S224">
        <f t="shared" si="84"/>
        <v>55335072.891000003</v>
      </c>
      <c r="T224">
        <f t="shared" si="85"/>
        <v>-389998592.1468001</v>
      </c>
      <c r="U224">
        <f t="shared" si="86"/>
        <v>-686929073.44690013</v>
      </c>
      <c r="V224">
        <f t="shared" si="87"/>
        <v>-744243734.05479991</v>
      </c>
      <c r="W224">
        <f t="shared" si="88"/>
        <v>-1001723157.7862999</v>
      </c>
      <c r="X224">
        <f t="shared" si="89"/>
        <v>-1023837613.0098</v>
      </c>
      <c r="Z224">
        <f t="shared" si="90"/>
        <v>60078079.13880001</v>
      </c>
      <c r="AA224">
        <f t="shared" si="91"/>
        <v>-432855580.2948001</v>
      </c>
      <c r="AB224">
        <f t="shared" si="92"/>
        <v>-746068662.5516001</v>
      </c>
      <c r="AC224">
        <f t="shared" si="93"/>
        <v>-945954652.63039994</v>
      </c>
      <c r="AD224">
        <f t="shared" si="94"/>
        <v>-1142151637.8498001</v>
      </c>
      <c r="AE224">
        <f t="shared" si="95"/>
        <v>-1153288345.6891999</v>
      </c>
    </row>
    <row r="225" spans="1:31" x14ac:dyDescent="0.25">
      <c r="A225">
        <v>32.560411479999999</v>
      </c>
      <c r="B225">
        <v>119.5572116</v>
      </c>
      <c r="C225">
        <v>56.601669309999998</v>
      </c>
      <c r="D225">
        <v>3.8825030300000001</v>
      </c>
      <c r="E225" t="b">
        <f t="shared" si="72"/>
        <v>0</v>
      </c>
      <c r="F225">
        <f t="shared" si="73"/>
        <v>-279.12584351999999</v>
      </c>
      <c r="G225">
        <f t="shared" si="74"/>
        <v>-562.13419007000005</v>
      </c>
      <c r="H225">
        <f t="shared" si="75"/>
        <v>-845.14253661999999</v>
      </c>
      <c r="I225">
        <f t="shared" si="76"/>
        <v>-1128.15088317</v>
      </c>
      <c r="J225">
        <f t="shared" si="77"/>
        <v>-1411.15922972</v>
      </c>
      <c r="L225">
        <f t="shared" si="78"/>
        <v>7454405.8176000006</v>
      </c>
      <c r="M225">
        <f t="shared" si="79"/>
        <v>-452183866.50239998</v>
      </c>
      <c r="N225">
        <f t="shared" si="80"/>
        <v>-775745182.29659998</v>
      </c>
      <c r="O225">
        <f t="shared" si="81"/>
        <v>-862045387.35240006</v>
      </c>
      <c r="P225">
        <f t="shared" si="82"/>
        <v>-1037898812.5164</v>
      </c>
      <c r="Q225">
        <f t="shared" si="83"/>
        <v>-1072481014.5872</v>
      </c>
      <c r="S225">
        <f t="shared" si="84"/>
        <v>8153256.3630000008</v>
      </c>
      <c r="T225">
        <f t="shared" si="85"/>
        <v>-508009035.20639998</v>
      </c>
      <c r="U225">
        <f t="shared" si="86"/>
        <v>-848822627.00570011</v>
      </c>
      <c r="V225">
        <f t="shared" si="87"/>
        <v>-904302514.18339992</v>
      </c>
      <c r="W225">
        <f t="shared" si="88"/>
        <v>-1207121444.9919</v>
      </c>
      <c r="X225">
        <f t="shared" si="89"/>
        <v>-1227708529.8564</v>
      </c>
      <c r="Z225">
        <f t="shared" si="90"/>
        <v>8852106.908400001</v>
      </c>
      <c r="AA225">
        <f t="shared" si="91"/>
        <v>-563834203.91039991</v>
      </c>
      <c r="AB225">
        <f t="shared" si="92"/>
        <v>-921900071.71480012</v>
      </c>
      <c r="AC225">
        <f t="shared" si="93"/>
        <v>-1149393849.8032</v>
      </c>
      <c r="AD225">
        <f t="shared" si="94"/>
        <v>-1376344077.4674001</v>
      </c>
      <c r="AE225">
        <f t="shared" si="95"/>
        <v>-1382936045.1256001</v>
      </c>
    </row>
    <row r="226" spans="1:31" x14ac:dyDescent="0.25">
      <c r="A226">
        <v>32.565842029999999</v>
      </c>
      <c r="B226">
        <v>120.269091</v>
      </c>
      <c r="C226">
        <v>17.774396899999999</v>
      </c>
      <c r="D226">
        <v>2.0024959999999998</v>
      </c>
      <c r="E226" t="b">
        <f t="shared" si="72"/>
        <v>0</v>
      </c>
      <c r="F226">
        <f t="shared" si="73"/>
        <v>-86.869488500000003</v>
      </c>
      <c r="G226">
        <f t="shared" si="74"/>
        <v>-175.74147299999998</v>
      </c>
      <c r="H226">
        <f t="shared" si="75"/>
        <v>-264.61345749999998</v>
      </c>
      <c r="I226">
        <f t="shared" si="76"/>
        <v>-353.48544199999998</v>
      </c>
      <c r="J226">
        <f t="shared" si="77"/>
        <v>-442.35742649999997</v>
      </c>
      <c r="L226">
        <f t="shared" si="78"/>
        <v>3844792.3199999998</v>
      </c>
      <c r="M226">
        <f t="shared" si="79"/>
        <v>-140728571.37</v>
      </c>
      <c r="N226">
        <f t="shared" si="80"/>
        <v>-242523232.73999995</v>
      </c>
      <c r="O226">
        <f t="shared" si="81"/>
        <v>-269905726.64999998</v>
      </c>
      <c r="P226">
        <f t="shared" si="82"/>
        <v>-325206606.63999999</v>
      </c>
      <c r="Q226">
        <f t="shared" si="83"/>
        <v>-336191644.13999999</v>
      </c>
      <c r="S226">
        <f t="shared" si="84"/>
        <v>4205241.5999999996</v>
      </c>
      <c r="T226">
        <f t="shared" si="85"/>
        <v>-158102469.06999999</v>
      </c>
      <c r="U226">
        <f t="shared" si="86"/>
        <v>-265369624.22999996</v>
      </c>
      <c r="V226">
        <f t="shared" si="87"/>
        <v>-283136399.52499992</v>
      </c>
      <c r="W226">
        <f t="shared" si="88"/>
        <v>-378229422.93999994</v>
      </c>
      <c r="X226">
        <f t="shared" si="89"/>
        <v>-384850961.05500001</v>
      </c>
      <c r="Z226">
        <f t="shared" si="90"/>
        <v>4565690.88</v>
      </c>
      <c r="AA226">
        <f t="shared" si="91"/>
        <v>-175476366.77000001</v>
      </c>
      <c r="AB226">
        <f t="shared" si="92"/>
        <v>-288216015.71999997</v>
      </c>
      <c r="AC226">
        <f t="shared" si="93"/>
        <v>-359874302.19999993</v>
      </c>
      <c r="AD226">
        <f t="shared" si="94"/>
        <v>-431252239.24000001</v>
      </c>
      <c r="AE226">
        <f t="shared" si="95"/>
        <v>-433510277.96999997</v>
      </c>
    </row>
    <row r="227" spans="1:31" x14ac:dyDescent="0.25">
      <c r="A227">
        <v>32.579481940000001</v>
      </c>
      <c r="B227">
        <v>119.3963916</v>
      </c>
      <c r="C227">
        <v>40.306919100000002</v>
      </c>
      <c r="D227">
        <v>3.77709699</v>
      </c>
      <c r="E227" t="b">
        <f t="shared" si="72"/>
        <v>0</v>
      </c>
      <c r="F227">
        <f t="shared" si="73"/>
        <v>-197.75749851000003</v>
      </c>
      <c r="G227">
        <f t="shared" si="74"/>
        <v>-399.29209401000003</v>
      </c>
      <c r="H227">
        <f t="shared" si="75"/>
        <v>-600.82668951000005</v>
      </c>
      <c r="I227">
        <f t="shared" si="76"/>
        <v>-802.36128501000007</v>
      </c>
      <c r="J227">
        <f t="shared" si="77"/>
        <v>-1003.89588051</v>
      </c>
      <c r="L227">
        <f t="shared" si="78"/>
        <v>7252026.2208000002</v>
      </c>
      <c r="M227">
        <f t="shared" si="79"/>
        <v>-320367147.58620006</v>
      </c>
      <c r="N227">
        <f t="shared" si="80"/>
        <v>-551023089.73380005</v>
      </c>
      <c r="O227">
        <f t="shared" si="81"/>
        <v>-612843223.3002001</v>
      </c>
      <c r="P227">
        <f t="shared" si="82"/>
        <v>-738172382.20920002</v>
      </c>
      <c r="Q227">
        <f t="shared" si="83"/>
        <v>-762960869.18760002</v>
      </c>
      <c r="S227">
        <f t="shared" si="84"/>
        <v>7931903.6789999995</v>
      </c>
      <c r="T227">
        <f t="shared" si="85"/>
        <v>-359918647.28820002</v>
      </c>
      <c r="U227">
        <f t="shared" si="86"/>
        <v>-602931061.95510006</v>
      </c>
      <c r="V227">
        <f t="shared" si="87"/>
        <v>-642884557.77569997</v>
      </c>
      <c r="W227">
        <f t="shared" si="88"/>
        <v>-858526574.96070004</v>
      </c>
      <c r="X227">
        <f t="shared" si="89"/>
        <v>-873389416.04369998</v>
      </c>
      <c r="Z227">
        <f t="shared" si="90"/>
        <v>8611781.1371999998</v>
      </c>
      <c r="AA227">
        <f t="shared" si="91"/>
        <v>-399470146.99020004</v>
      </c>
      <c r="AB227">
        <f t="shared" si="92"/>
        <v>-654839034.17640018</v>
      </c>
      <c r="AC227">
        <f t="shared" si="93"/>
        <v>-817124297.73360002</v>
      </c>
      <c r="AD227">
        <f t="shared" si="94"/>
        <v>-978880767.71220016</v>
      </c>
      <c r="AE227">
        <f t="shared" si="95"/>
        <v>-983817962.89979994</v>
      </c>
    </row>
    <row r="228" spans="1:31" x14ac:dyDescent="0.25">
      <c r="A228">
        <v>32.580003619999999</v>
      </c>
      <c r="B228">
        <v>112.5375842</v>
      </c>
      <c r="C228">
        <v>52.400897980000003</v>
      </c>
      <c r="D228">
        <v>0.23480599999999999</v>
      </c>
      <c r="E228" t="b">
        <f t="shared" si="72"/>
        <v>0</v>
      </c>
      <c r="F228">
        <f t="shared" si="73"/>
        <v>-261.76968390000002</v>
      </c>
      <c r="G228">
        <f t="shared" si="74"/>
        <v>-523.77417379999997</v>
      </c>
      <c r="H228">
        <f t="shared" si="75"/>
        <v>-785.77866370000004</v>
      </c>
      <c r="I228">
        <f t="shared" si="76"/>
        <v>-1047.7831536000001</v>
      </c>
      <c r="J228">
        <f t="shared" si="77"/>
        <v>-1309.7876435000001</v>
      </c>
      <c r="L228">
        <f t="shared" si="78"/>
        <v>450827.52000000002</v>
      </c>
      <c r="M228">
        <f t="shared" si="79"/>
        <v>-424066887.91800004</v>
      </c>
      <c r="N228">
        <f t="shared" si="80"/>
        <v>-722808359.84399986</v>
      </c>
      <c r="O228">
        <f t="shared" si="81"/>
        <v>-801494236.9740001</v>
      </c>
      <c r="P228">
        <f t="shared" si="82"/>
        <v>-963960501.31200004</v>
      </c>
      <c r="Q228">
        <f t="shared" si="83"/>
        <v>-995438609.06000006</v>
      </c>
      <c r="S228">
        <f t="shared" si="84"/>
        <v>493092.60000000003</v>
      </c>
      <c r="T228">
        <f t="shared" si="85"/>
        <v>-476420824.69800001</v>
      </c>
      <c r="U228">
        <f t="shared" si="86"/>
        <v>-790899002.43799996</v>
      </c>
      <c r="V228">
        <f t="shared" si="87"/>
        <v>-840783170.15899992</v>
      </c>
      <c r="W228">
        <f t="shared" si="88"/>
        <v>-1121127974.352</v>
      </c>
      <c r="X228">
        <f t="shared" si="89"/>
        <v>-1139515249.845</v>
      </c>
      <c r="Z228">
        <f t="shared" si="90"/>
        <v>535357.68000000005</v>
      </c>
      <c r="AA228">
        <f t="shared" si="91"/>
        <v>-528774761.47800004</v>
      </c>
      <c r="AB228">
        <f t="shared" si="92"/>
        <v>-858989645.03199995</v>
      </c>
      <c r="AC228">
        <f t="shared" si="93"/>
        <v>-1068658982.632</v>
      </c>
      <c r="AD228">
        <f t="shared" si="94"/>
        <v>-1278295447.3920002</v>
      </c>
      <c r="AE228">
        <f t="shared" si="95"/>
        <v>-1283591890.6299999</v>
      </c>
    </row>
    <row r="229" spans="1:31" x14ac:dyDescent="0.25">
      <c r="A229">
        <v>32.585788569999998</v>
      </c>
      <c r="B229">
        <v>119.3427684</v>
      </c>
      <c r="C229">
        <v>40.306919100000002</v>
      </c>
      <c r="D229">
        <v>2.0930991200000002</v>
      </c>
      <c r="E229" t="b">
        <f t="shared" si="72"/>
        <v>0</v>
      </c>
      <c r="F229">
        <f t="shared" si="73"/>
        <v>-199.44149638000002</v>
      </c>
      <c r="G229">
        <f t="shared" si="74"/>
        <v>-400.97609188000007</v>
      </c>
      <c r="H229">
        <f t="shared" si="75"/>
        <v>-602.51068738000004</v>
      </c>
      <c r="I229">
        <f t="shared" si="76"/>
        <v>-804.04528288000006</v>
      </c>
      <c r="J229">
        <f t="shared" si="77"/>
        <v>-1005.57987838</v>
      </c>
      <c r="L229">
        <f t="shared" si="78"/>
        <v>4018750.3104000003</v>
      </c>
      <c r="M229">
        <f t="shared" si="79"/>
        <v>-323095224.13560009</v>
      </c>
      <c r="N229">
        <f t="shared" si="80"/>
        <v>-553347006.79439998</v>
      </c>
      <c r="O229">
        <f t="shared" si="81"/>
        <v>-614560901.12759995</v>
      </c>
      <c r="P229">
        <f t="shared" si="82"/>
        <v>-739721660.24960005</v>
      </c>
      <c r="Q229">
        <f t="shared" si="83"/>
        <v>-764240707.56879997</v>
      </c>
      <c r="S229">
        <f t="shared" si="84"/>
        <v>4395508.1520000007</v>
      </c>
      <c r="T229">
        <f t="shared" si="85"/>
        <v>-362983523.41160005</v>
      </c>
      <c r="U229">
        <f t="shared" si="86"/>
        <v>-605473898.73880005</v>
      </c>
      <c r="V229">
        <f t="shared" si="87"/>
        <v>-644686435.49659991</v>
      </c>
      <c r="W229">
        <f t="shared" si="88"/>
        <v>-860328452.68159997</v>
      </c>
      <c r="X229">
        <f t="shared" si="89"/>
        <v>-874854494.19060004</v>
      </c>
      <c r="Z229">
        <f t="shared" si="90"/>
        <v>4772265.9936000006</v>
      </c>
      <c r="AA229">
        <f t="shared" si="91"/>
        <v>-402871822.68760008</v>
      </c>
      <c r="AB229">
        <f t="shared" si="92"/>
        <v>-657600790.68320012</v>
      </c>
      <c r="AC229">
        <f t="shared" si="93"/>
        <v>-819414534.83679986</v>
      </c>
      <c r="AD229">
        <f t="shared" si="94"/>
        <v>-980935245.11360013</v>
      </c>
      <c r="AE229">
        <f t="shared" si="95"/>
        <v>-985468280.81239998</v>
      </c>
    </row>
    <row r="230" spans="1:31" x14ac:dyDescent="0.25">
      <c r="A230">
        <v>32.599168499999998</v>
      </c>
      <c r="B230">
        <v>120.00127790000001</v>
      </c>
      <c r="C230">
        <v>56.601669309999998</v>
      </c>
      <c r="D230">
        <v>0.106533</v>
      </c>
      <c r="E230" t="b">
        <f t="shared" si="72"/>
        <v>0</v>
      </c>
      <c r="F230">
        <f t="shared" si="73"/>
        <v>-282.90181354999999</v>
      </c>
      <c r="G230">
        <f t="shared" si="74"/>
        <v>-565.91016009999998</v>
      </c>
      <c r="H230">
        <f t="shared" si="75"/>
        <v>-848.91850664999993</v>
      </c>
      <c r="I230">
        <f t="shared" si="76"/>
        <v>-1131.9268532000001</v>
      </c>
      <c r="J230">
        <f t="shared" si="77"/>
        <v>-1414.93519975</v>
      </c>
      <c r="L230">
        <f t="shared" si="78"/>
        <v>204543.36000000002</v>
      </c>
      <c r="M230">
        <f t="shared" si="79"/>
        <v>-458300937.95100003</v>
      </c>
      <c r="N230">
        <f t="shared" si="80"/>
        <v>-780956020.93799996</v>
      </c>
      <c r="O230">
        <f t="shared" si="81"/>
        <v>-865896876.78299999</v>
      </c>
      <c r="P230">
        <f t="shared" si="82"/>
        <v>-1041372704.944</v>
      </c>
      <c r="Q230">
        <f t="shared" si="83"/>
        <v>-1075350751.8099999</v>
      </c>
      <c r="S230">
        <f t="shared" si="84"/>
        <v>223719.30000000002</v>
      </c>
      <c r="T230">
        <f t="shared" si="85"/>
        <v>-514881300.66100001</v>
      </c>
      <c r="U230">
        <f t="shared" si="86"/>
        <v>-854524341.75100005</v>
      </c>
      <c r="V230">
        <f t="shared" si="87"/>
        <v>-908342802.11549985</v>
      </c>
      <c r="W230">
        <f t="shared" si="88"/>
        <v>-1211161732.9239998</v>
      </c>
      <c r="X230">
        <f t="shared" si="89"/>
        <v>-1230993623.7825</v>
      </c>
      <c r="Z230">
        <f t="shared" si="90"/>
        <v>242895.24000000002</v>
      </c>
      <c r="AA230">
        <f t="shared" si="91"/>
        <v>-571461663.37100005</v>
      </c>
      <c r="AB230">
        <f t="shared" si="92"/>
        <v>-928092662.56400013</v>
      </c>
      <c r="AC230">
        <f t="shared" si="93"/>
        <v>-1154529169.0439999</v>
      </c>
      <c r="AD230">
        <f t="shared" si="94"/>
        <v>-1380950760.904</v>
      </c>
      <c r="AE230">
        <f t="shared" si="95"/>
        <v>-1386636495.7549999</v>
      </c>
    </row>
    <row r="231" spans="1:31" x14ac:dyDescent="0.25">
      <c r="A231">
        <v>32.599388140000002</v>
      </c>
      <c r="B231">
        <v>119.6183856</v>
      </c>
      <c r="C231">
        <v>56.601669309999998</v>
      </c>
      <c r="D231">
        <v>0.54075300999999998</v>
      </c>
      <c r="E231" t="b">
        <f t="shared" si="72"/>
        <v>0</v>
      </c>
      <c r="F231">
        <f t="shared" si="73"/>
        <v>-282.46759354</v>
      </c>
      <c r="G231">
        <f t="shared" si="74"/>
        <v>-565.47594008999999</v>
      </c>
      <c r="H231">
        <f t="shared" si="75"/>
        <v>-848.48428663999994</v>
      </c>
      <c r="I231">
        <f t="shared" si="76"/>
        <v>-1131.4926331900001</v>
      </c>
      <c r="J231">
        <f t="shared" si="77"/>
        <v>-1414.50097974</v>
      </c>
      <c r="L231">
        <f t="shared" si="78"/>
        <v>1038245.7792000001</v>
      </c>
      <c r="M231">
        <f t="shared" si="79"/>
        <v>-457597501.53480005</v>
      </c>
      <c r="N231">
        <f t="shared" si="80"/>
        <v>-780356797.32420003</v>
      </c>
      <c r="O231">
        <f t="shared" si="81"/>
        <v>-865453972.37279999</v>
      </c>
      <c r="P231">
        <f t="shared" si="82"/>
        <v>-1040973222.5347999</v>
      </c>
      <c r="Q231">
        <f t="shared" si="83"/>
        <v>-1075020744.6024001</v>
      </c>
      <c r="S231">
        <f t="shared" si="84"/>
        <v>1135581.321</v>
      </c>
      <c r="T231">
        <f t="shared" si="85"/>
        <v>-514091020.24280006</v>
      </c>
      <c r="U231">
        <f t="shared" si="86"/>
        <v>-853868669.5359</v>
      </c>
      <c r="V231">
        <f t="shared" si="87"/>
        <v>-907878186.70479989</v>
      </c>
      <c r="W231">
        <f t="shared" si="88"/>
        <v>-1210697117.5132999</v>
      </c>
      <c r="X231">
        <f t="shared" si="89"/>
        <v>-1230615852.3738</v>
      </c>
      <c r="Z231">
        <f t="shared" si="90"/>
        <v>1232916.8628000002</v>
      </c>
      <c r="AA231">
        <f t="shared" si="91"/>
        <v>-570584538.95080006</v>
      </c>
      <c r="AB231">
        <f t="shared" si="92"/>
        <v>-927380541.74760008</v>
      </c>
      <c r="AC231">
        <f t="shared" si="93"/>
        <v>-1153938629.8304</v>
      </c>
      <c r="AD231">
        <f t="shared" si="94"/>
        <v>-1380421012.4918001</v>
      </c>
      <c r="AE231">
        <f t="shared" si="95"/>
        <v>-1386210960.1452</v>
      </c>
    </row>
    <row r="232" spans="1:31" x14ac:dyDescent="0.25">
      <c r="A232">
        <v>32.60183421</v>
      </c>
      <c r="B232">
        <v>120.7135038</v>
      </c>
      <c r="C232">
        <v>17.774396899999999</v>
      </c>
      <c r="D232">
        <v>0.50822197999999996</v>
      </c>
      <c r="E232" t="b">
        <f t="shared" si="72"/>
        <v>0</v>
      </c>
      <c r="F232">
        <f t="shared" si="73"/>
        <v>-88.363762519999995</v>
      </c>
      <c r="G232">
        <f t="shared" si="74"/>
        <v>-177.23574701999999</v>
      </c>
      <c r="H232">
        <f t="shared" si="75"/>
        <v>-266.10773152000002</v>
      </c>
      <c r="I232">
        <f t="shared" si="76"/>
        <v>-354.97971602000001</v>
      </c>
      <c r="J232">
        <f t="shared" si="77"/>
        <v>-443.85170052000001</v>
      </c>
      <c r="L232">
        <f t="shared" si="78"/>
        <v>975786.20160000003</v>
      </c>
      <c r="M232">
        <f t="shared" si="79"/>
        <v>-143149295.28240001</v>
      </c>
      <c r="N232">
        <f t="shared" si="80"/>
        <v>-244585330.88759995</v>
      </c>
      <c r="O232">
        <f t="shared" si="81"/>
        <v>-271429886.15040004</v>
      </c>
      <c r="P232">
        <f t="shared" si="82"/>
        <v>-326581338.73839998</v>
      </c>
      <c r="Q232">
        <f t="shared" si="83"/>
        <v>-337327292.39520001</v>
      </c>
      <c r="S232">
        <f t="shared" si="84"/>
        <v>1067266.1580000001</v>
      </c>
      <c r="T232">
        <f t="shared" si="85"/>
        <v>-160822047.78639999</v>
      </c>
      <c r="U232">
        <f t="shared" si="86"/>
        <v>-267625978.00019997</v>
      </c>
      <c r="V232">
        <f t="shared" si="87"/>
        <v>-284735272.72639996</v>
      </c>
      <c r="W232">
        <f t="shared" si="88"/>
        <v>-379828296.14139998</v>
      </c>
      <c r="X232">
        <f t="shared" si="89"/>
        <v>-386150979.45239997</v>
      </c>
      <c r="Z232">
        <f t="shared" si="90"/>
        <v>1158746.1144000001</v>
      </c>
      <c r="AA232">
        <f t="shared" si="91"/>
        <v>-178494800.2904</v>
      </c>
      <c r="AB232">
        <f t="shared" si="92"/>
        <v>-290666625.1128</v>
      </c>
      <c r="AC232">
        <f t="shared" si="93"/>
        <v>-361906514.86719996</v>
      </c>
      <c r="AD232">
        <f t="shared" si="94"/>
        <v>-433075253.54440004</v>
      </c>
      <c r="AE232">
        <f t="shared" si="95"/>
        <v>-434974666.50959998</v>
      </c>
    </row>
    <row r="233" spans="1:31" x14ac:dyDescent="0.25">
      <c r="A233">
        <v>32.622630030000003</v>
      </c>
      <c r="B233">
        <v>112.59527850000001</v>
      </c>
      <c r="C233">
        <v>52.400897980000003</v>
      </c>
      <c r="D233">
        <v>8.5823999999999998E-2</v>
      </c>
      <c r="E233" t="b">
        <f t="shared" si="72"/>
        <v>0</v>
      </c>
      <c r="F233">
        <f t="shared" si="73"/>
        <v>-261.91866590000001</v>
      </c>
      <c r="G233">
        <f t="shared" si="74"/>
        <v>-523.92315580000002</v>
      </c>
      <c r="H233">
        <f t="shared" si="75"/>
        <v>-785.92764570000008</v>
      </c>
      <c r="I233">
        <f t="shared" si="76"/>
        <v>-1047.9321356</v>
      </c>
      <c r="J233">
        <f t="shared" si="77"/>
        <v>-1309.9366255</v>
      </c>
      <c r="L233">
        <f t="shared" si="78"/>
        <v>164782.08000000002</v>
      </c>
      <c r="M233">
        <f t="shared" si="79"/>
        <v>-424308238.75800002</v>
      </c>
      <c r="N233">
        <f t="shared" si="80"/>
        <v>-723013955.00399995</v>
      </c>
      <c r="O233">
        <f t="shared" si="81"/>
        <v>-801646198.61400008</v>
      </c>
      <c r="P233">
        <f t="shared" si="82"/>
        <v>-964097564.75199997</v>
      </c>
      <c r="Q233">
        <f t="shared" si="83"/>
        <v>-995551835.38</v>
      </c>
      <c r="S233">
        <f t="shared" si="84"/>
        <v>180230.39999999999</v>
      </c>
      <c r="T233">
        <f t="shared" si="85"/>
        <v>-476691971.93800002</v>
      </c>
      <c r="U233">
        <f t="shared" si="86"/>
        <v>-791123965.25800002</v>
      </c>
      <c r="V233">
        <f t="shared" si="87"/>
        <v>-840942580.89899993</v>
      </c>
      <c r="W233">
        <f t="shared" si="88"/>
        <v>-1121287385.0919998</v>
      </c>
      <c r="X233">
        <f t="shared" si="89"/>
        <v>-1139644864.1849999</v>
      </c>
      <c r="Z233">
        <f t="shared" si="90"/>
        <v>195678.72000000003</v>
      </c>
      <c r="AA233">
        <f t="shared" si="91"/>
        <v>-529075705.11800003</v>
      </c>
      <c r="AB233">
        <f t="shared" si="92"/>
        <v>-859233975.51200008</v>
      </c>
      <c r="AC233">
        <f t="shared" si="93"/>
        <v>-1068861598.152</v>
      </c>
      <c r="AD233">
        <f t="shared" si="94"/>
        <v>-1278477205.4319999</v>
      </c>
      <c r="AE233">
        <f t="shared" si="95"/>
        <v>-1283737892.99</v>
      </c>
    </row>
    <row r="234" spans="1:31" x14ac:dyDescent="0.25">
      <c r="A234">
        <v>32.631868670000003</v>
      </c>
      <c r="B234">
        <v>119.73324909999999</v>
      </c>
      <c r="C234">
        <v>56.601669309999998</v>
      </c>
      <c r="D234">
        <v>0.78846799999999995</v>
      </c>
      <c r="E234" t="b">
        <f t="shared" si="72"/>
        <v>0</v>
      </c>
      <c r="F234">
        <f t="shared" si="73"/>
        <v>-282.21987854999998</v>
      </c>
      <c r="G234">
        <f t="shared" si="74"/>
        <v>-565.22822510000003</v>
      </c>
      <c r="H234">
        <f t="shared" si="75"/>
        <v>-848.23657164999997</v>
      </c>
      <c r="I234">
        <f t="shared" si="76"/>
        <v>-1131.2449182</v>
      </c>
      <c r="J234">
        <f t="shared" si="77"/>
        <v>-1414.25326475</v>
      </c>
      <c r="L234">
        <f t="shared" si="78"/>
        <v>1513858.56</v>
      </c>
      <c r="M234">
        <f t="shared" si="79"/>
        <v>-457196203.25099993</v>
      </c>
      <c r="N234">
        <f t="shared" si="80"/>
        <v>-780014950.63800001</v>
      </c>
      <c r="O234">
        <f t="shared" si="81"/>
        <v>-865201303.08299994</v>
      </c>
      <c r="P234">
        <f t="shared" si="82"/>
        <v>-1040745324.744</v>
      </c>
      <c r="Q234">
        <f t="shared" si="83"/>
        <v>-1074832481.21</v>
      </c>
      <c r="S234">
        <f t="shared" si="84"/>
        <v>1655782.8</v>
      </c>
      <c r="T234">
        <f t="shared" si="85"/>
        <v>-513640178.96099991</v>
      </c>
      <c r="U234">
        <f t="shared" si="86"/>
        <v>-853494619.90100002</v>
      </c>
      <c r="V234">
        <f t="shared" si="87"/>
        <v>-907613131.66549981</v>
      </c>
      <c r="W234">
        <f t="shared" si="88"/>
        <v>-1210432062.474</v>
      </c>
      <c r="X234">
        <f t="shared" si="89"/>
        <v>-1230400340.3325</v>
      </c>
      <c r="Z234">
        <f t="shared" si="90"/>
        <v>1797707.0400000003</v>
      </c>
      <c r="AA234">
        <f t="shared" si="91"/>
        <v>-570084154.67099988</v>
      </c>
      <c r="AB234">
        <f t="shared" si="92"/>
        <v>-926974289.16400015</v>
      </c>
      <c r="AC234">
        <f t="shared" si="93"/>
        <v>-1153601737.4439998</v>
      </c>
      <c r="AD234">
        <f t="shared" si="94"/>
        <v>-1380118800.204</v>
      </c>
      <c r="AE234">
        <f t="shared" si="95"/>
        <v>-1385968199.4549999</v>
      </c>
    </row>
    <row r="235" spans="1:31" x14ac:dyDescent="0.25">
      <c r="A235">
        <v>32.635881140000002</v>
      </c>
      <c r="B235">
        <v>113.13944499999999</v>
      </c>
      <c r="C235">
        <v>42.111118320000003</v>
      </c>
      <c r="D235">
        <v>9.8403000000000004E-2</v>
      </c>
      <c r="E235" t="b">
        <f t="shared" si="72"/>
        <v>0</v>
      </c>
      <c r="F235">
        <f t="shared" si="73"/>
        <v>-210.45718860000002</v>
      </c>
      <c r="G235">
        <f t="shared" si="74"/>
        <v>-421.01278020000001</v>
      </c>
      <c r="H235">
        <f t="shared" si="75"/>
        <v>-631.56837180000002</v>
      </c>
      <c r="I235">
        <f t="shared" si="76"/>
        <v>-842.12396340000009</v>
      </c>
      <c r="J235">
        <f t="shared" si="77"/>
        <v>-1052.6795550000002</v>
      </c>
      <c r="L235">
        <f t="shared" si="78"/>
        <v>188933.76000000001</v>
      </c>
      <c r="M235">
        <f t="shared" si="79"/>
        <v>-340940645.53200006</v>
      </c>
      <c r="N235">
        <f t="shared" si="80"/>
        <v>-580997636.67599988</v>
      </c>
      <c r="O235">
        <f t="shared" si="81"/>
        <v>-644199739.23600006</v>
      </c>
      <c r="P235">
        <f t="shared" si="82"/>
        <v>-774754046.32800007</v>
      </c>
      <c r="Q235">
        <f t="shared" si="83"/>
        <v>-800036461.80000007</v>
      </c>
      <c r="S235">
        <f t="shared" si="84"/>
        <v>206646.30000000002</v>
      </c>
      <c r="T235">
        <f t="shared" si="85"/>
        <v>-383032083.25200003</v>
      </c>
      <c r="U235">
        <f t="shared" si="86"/>
        <v>-635729298.102</v>
      </c>
      <c r="V235">
        <f t="shared" si="87"/>
        <v>-675778157.82599998</v>
      </c>
      <c r="W235">
        <f t="shared" si="88"/>
        <v>-901072640.83799994</v>
      </c>
      <c r="X235">
        <f t="shared" si="89"/>
        <v>-915831212.85000014</v>
      </c>
      <c r="Z235">
        <f t="shared" si="90"/>
        <v>224358.84000000003</v>
      </c>
      <c r="AA235">
        <f t="shared" si="91"/>
        <v>-425123520.97200006</v>
      </c>
      <c r="AB235">
        <f t="shared" si="92"/>
        <v>-690460959.528</v>
      </c>
      <c r="AC235">
        <f t="shared" si="93"/>
        <v>-858932985.648</v>
      </c>
      <c r="AD235">
        <f t="shared" si="94"/>
        <v>-1027391235.348</v>
      </c>
      <c r="AE235">
        <f t="shared" si="95"/>
        <v>-1031625963.9000001</v>
      </c>
    </row>
    <row r="236" spans="1:31" x14ac:dyDescent="0.25">
      <c r="A236">
        <v>32.637908619999997</v>
      </c>
      <c r="B236">
        <v>120.0626913</v>
      </c>
      <c r="C236">
        <v>134.76608279999999</v>
      </c>
      <c r="D236">
        <v>0.72323501000000001</v>
      </c>
      <c r="E236" t="b">
        <f t="shared" si="72"/>
        <v>0</v>
      </c>
      <c r="F236">
        <f t="shared" si="73"/>
        <v>-673.10717898999997</v>
      </c>
      <c r="G236">
        <f t="shared" si="74"/>
        <v>-1346.93759299</v>
      </c>
      <c r="H236">
        <f t="shared" si="75"/>
        <v>-2020.7680069899998</v>
      </c>
      <c r="I236">
        <f t="shared" si="76"/>
        <v>-2694.5984209900002</v>
      </c>
      <c r="J236">
        <f t="shared" si="77"/>
        <v>-3368.4288349899998</v>
      </c>
      <c r="L236">
        <f t="shared" si="78"/>
        <v>1388611.2192000002</v>
      </c>
      <c r="M236">
        <f t="shared" si="79"/>
        <v>-1090433629.9638002</v>
      </c>
      <c r="N236">
        <f t="shared" si="80"/>
        <v>-1858773878.3261998</v>
      </c>
      <c r="O236">
        <f t="shared" si="81"/>
        <v>-2061183367.1297998</v>
      </c>
      <c r="P236">
        <f t="shared" si="82"/>
        <v>-2479030547.3108001</v>
      </c>
      <c r="Q236">
        <f t="shared" si="83"/>
        <v>-2560005914.5924001</v>
      </c>
      <c r="S236">
        <f t="shared" si="84"/>
        <v>1518793.5210000002</v>
      </c>
      <c r="T236">
        <f t="shared" si="85"/>
        <v>-1225055065.7618001</v>
      </c>
      <c r="U236">
        <f t="shared" si="86"/>
        <v>-2033875765.4149001</v>
      </c>
      <c r="V236">
        <f t="shared" si="87"/>
        <v>-2162221767.4792995</v>
      </c>
      <c r="W236">
        <f t="shared" si="88"/>
        <v>-2883220310.4593</v>
      </c>
      <c r="X236">
        <f t="shared" si="89"/>
        <v>-2930533086.4412999</v>
      </c>
      <c r="Z236">
        <f t="shared" si="90"/>
        <v>1648975.8228000002</v>
      </c>
      <c r="AA236">
        <f t="shared" si="91"/>
        <v>-1359676501.5598001</v>
      </c>
      <c r="AB236">
        <f t="shared" si="92"/>
        <v>-2208977652.5036001</v>
      </c>
      <c r="AC236">
        <f t="shared" si="93"/>
        <v>-2748244489.5063996</v>
      </c>
      <c r="AD236">
        <f t="shared" si="94"/>
        <v>-3287410073.6078</v>
      </c>
      <c r="AE236">
        <f t="shared" si="95"/>
        <v>-3301060258.2901998</v>
      </c>
    </row>
    <row r="237" spans="1:31" x14ac:dyDescent="0.25">
      <c r="A237">
        <v>32.638333469999999</v>
      </c>
      <c r="B237">
        <v>119.6796178</v>
      </c>
      <c r="C237">
        <v>56.601669309999998</v>
      </c>
      <c r="D237">
        <v>0.15893800999999999</v>
      </c>
      <c r="E237" t="b">
        <f t="shared" si="72"/>
        <v>0</v>
      </c>
      <c r="F237">
        <f t="shared" si="73"/>
        <v>-282.84940854000001</v>
      </c>
      <c r="G237">
        <f t="shared" si="74"/>
        <v>-565.85775508999996</v>
      </c>
      <c r="H237">
        <f t="shared" si="75"/>
        <v>-848.8661016399999</v>
      </c>
      <c r="I237">
        <f t="shared" si="76"/>
        <v>-1131.8744481900001</v>
      </c>
      <c r="J237">
        <f t="shared" si="77"/>
        <v>-1414.88279474</v>
      </c>
      <c r="L237">
        <f t="shared" si="78"/>
        <v>305160.9792</v>
      </c>
      <c r="M237">
        <f t="shared" si="79"/>
        <v>-458216041.83480006</v>
      </c>
      <c r="N237">
        <f t="shared" si="80"/>
        <v>-780883702.02419984</v>
      </c>
      <c r="O237">
        <f t="shared" si="81"/>
        <v>-865843423.67279983</v>
      </c>
      <c r="P237">
        <f t="shared" si="82"/>
        <v>-1041324492.3348</v>
      </c>
      <c r="Q237">
        <f t="shared" si="83"/>
        <v>-1075310924.0023999</v>
      </c>
      <c r="S237">
        <f t="shared" si="84"/>
        <v>333769.821</v>
      </c>
      <c r="T237">
        <f t="shared" si="85"/>
        <v>-514785923.54280007</v>
      </c>
      <c r="U237">
        <f t="shared" si="86"/>
        <v>-854445210.18589985</v>
      </c>
      <c r="V237">
        <f t="shared" si="87"/>
        <v>-908286728.75479972</v>
      </c>
      <c r="W237">
        <f t="shared" si="88"/>
        <v>-1211105659.5632999</v>
      </c>
      <c r="X237">
        <f t="shared" si="89"/>
        <v>-1230948031.4238</v>
      </c>
      <c r="Z237">
        <f t="shared" si="90"/>
        <v>362378.66279999999</v>
      </c>
      <c r="AA237">
        <f t="shared" si="91"/>
        <v>-571355805.25080001</v>
      </c>
      <c r="AB237">
        <f t="shared" si="92"/>
        <v>-928006718.34759998</v>
      </c>
      <c r="AC237">
        <f t="shared" si="93"/>
        <v>-1154457898.2303996</v>
      </c>
      <c r="AD237">
        <f t="shared" si="94"/>
        <v>-1380886826.7918</v>
      </c>
      <c r="AE237">
        <f t="shared" si="95"/>
        <v>-1386585138.8452001</v>
      </c>
    </row>
    <row r="238" spans="1:31" x14ac:dyDescent="0.25">
      <c r="A238">
        <v>32.639244009999999</v>
      </c>
      <c r="B238">
        <v>113.0854166</v>
      </c>
      <c r="C238">
        <v>48.126995090000001</v>
      </c>
      <c r="D238">
        <v>0.70592999000000001</v>
      </c>
      <c r="E238" t="b">
        <f t="shared" si="72"/>
        <v>0</v>
      </c>
      <c r="F238">
        <f t="shared" si="73"/>
        <v>-239.92904546000003</v>
      </c>
      <c r="G238">
        <f t="shared" si="74"/>
        <v>-480.56402091000001</v>
      </c>
      <c r="H238">
        <f t="shared" si="75"/>
        <v>-721.19899636000002</v>
      </c>
      <c r="I238">
        <f t="shared" si="76"/>
        <v>-961.83397181000009</v>
      </c>
      <c r="J238">
        <f t="shared" si="77"/>
        <v>-1202.46894726</v>
      </c>
      <c r="L238">
        <f t="shared" si="78"/>
        <v>1355385.5808000001</v>
      </c>
      <c r="M238">
        <f t="shared" si="79"/>
        <v>-388685053.64520007</v>
      </c>
      <c r="N238">
        <f t="shared" si="80"/>
        <v>-663178348.85580003</v>
      </c>
      <c r="O238">
        <f t="shared" si="81"/>
        <v>-735622976.28719997</v>
      </c>
      <c r="P238">
        <f t="shared" si="82"/>
        <v>-884887254.06519997</v>
      </c>
      <c r="Q238">
        <f t="shared" si="83"/>
        <v>-913876399.91760004</v>
      </c>
      <c r="S238">
        <f t="shared" si="84"/>
        <v>1482452.9790000001</v>
      </c>
      <c r="T238">
        <f t="shared" si="85"/>
        <v>-436670862.73720008</v>
      </c>
      <c r="U238">
        <f t="shared" si="86"/>
        <v>-725651671.57410002</v>
      </c>
      <c r="V238">
        <f t="shared" si="87"/>
        <v>-771682926.10519993</v>
      </c>
      <c r="W238">
        <f t="shared" si="88"/>
        <v>-1029162349.8367</v>
      </c>
      <c r="X238">
        <f t="shared" si="89"/>
        <v>-1046147984.1162</v>
      </c>
      <c r="Z238">
        <f t="shared" si="90"/>
        <v>1609520.3772000002</v>
      </c>
      <c r="AA238">
        <f t="shared" si="91"/>
        <v>-484656671.82920009</v>
      </c>
      <c r="AB238">
        <f t="shared" si="92"/>
        <v>-788124994.29240012</v>
      </c>
      <c r="AC238">
        <f t="shared" si="93"/>
        <v>-980830635.04959989</v>
      </c>
      <c r="AD238">
        <f t="shared" si="94"/>
        <v>-1173437445.6082001</v>
      </c>
      <c r="AE238">
        <f t="shared" si="95"/>
        <v>-1178419568.3148</v>
      </c>
    </row>
    <row r="239" spans="1:31" x14ac:dyDescent="0.25">
      <c r="A239">
        <v>32.642581389999997</v>
      </c>
      <c r="B239">
        <v>113.03138370000001</v>
      </c>
      <c r="C239">
        <v>48.126995090000001</v>
      </c>
      <c r="D239">
        <v>1.2503E-2</v>
      </c>
      <c r="E239" t="b">
        <f t="shared" si="72"/>
        <v>0</v>
      </c>
      <c r="F239">
        <f t="shared" si="73"/>
        <v>-240.62247245</v>
      </c>
      <c r="G239">
        <f t="shared" si="74"/>
        <v>-481.25744790000005</v>
      </c>
      <c r="H239">
        <f t="shared" si="75"/>
        <v>-721.89242334999994</v>
      </c>
      <c r="I239">
        <f t="shared" si="76"/>
        <v>-962.52739880000001</v>
      </c>
      <c r="J239">
        <f t="shared" si="77"/>
        <v>-1203.1623742500001</v>
      </c>
      <c r="L239">
        <f t="shared" si="78"/>
        <v>24005.760000000002</v>
      </c>
      <c r="M239">
        <f t="shared" si="79"/>
        <v>-389808405.36900008</v>
      </c>
      <c r="N239">
        <f t="shared" si="80"/>
        <v>-664135278.102</v>
      </c>
      <c r="O239">
        <f t="shared" si="81"/>
        <v>-736330271.81699991</v>
      </c>
      <c r="P239">
        <f t="shared" si="82"/>
        <v>-885525206.89600003</v>
      </c>
      <c r="Q239">
        <f t="shared" si="83"/>
        <v>-914403404.43000007</v>
      </c>
      <c r="S239">
        <f t="shared" si="84"/>
        <v>26256.300000000003</v>
      </c>
      <c r="T239">
        <f t="shared" si="85"/>
        <v>-437932899.85900003</v>
      </c>
      <c r="U239">
        <f t="shared" si="86"/>
        <v>-726698746.32900012</v>
      </c>
      <c r="V239">
        <f t="shared" si="87"/>
        <v>-772424892.98449981</v>
      </c>
      <c r="W239">
        <f t="shared" si="88"/>
        <v>-1029904316.716</v>
      </c>
      <c r="X239">
        <f t="shared" si="89"/>
        <v>-1046751265.5975</v>
      </c>
      <c r="Z239">
        <f t="shared" si="90"/>
        <v>28506.840000000004</v>
      </c>
      <c r="AA239">
        <f t="shared" si="91"/>
        <v>-486057394.34900004</v>
      </c>
      <c r="AB239">
        <f t="shared" si="92"/>
        <v>-789262214.55600011</v>
      </c>
      <c r="AC239">
        <f t="shared" si="93"/>
        <v>-981773695.7559998</v>
      </c>
      <c r="AD239">
        <f t="shared" si="94"/>
        <v>-1174283426.536</v>
      </c>
      <c r="AE239">
        <f t="shared" si="95"/>
        <v>-1179099126.7649999</v>
      </c>
    </row>
    <row r="240" spans="1:31" x14ac:dyDescent="0.25">
      <c r="A240">
        <v>32.644527770000003</v>
      </c>
      <c r="B240">
        <v>120.0090823</v>
      </c>
      <c r="C240">
        <v>134.76608279999999</v>
      </c>
      <c r="D240">
        <v>0.38364699000000002</v>
      </c>
      <c r="E240" t="b">
        <f t="shared" si="72"/>
        <v>0</v>
      </c>
      <c r="F240">
        <f t="shared" si="73"/>
        <v>-673.44676701000003</v>
      </c>
      <c r="G240">
        <f t="shared" si="74"/>
        <v>-1347.27718101</v>
      </c>
      <c r="H240">
        <f t="shared" si="75"/>
        <v>-2021.1075950099998</v>
      </c>
      <c r="I240">
        <f t="shared" si="76"/>
        <v>-2694.9380090099999</v>
      </c>
      <c r="J240">
        <f t="shared" si="77"/>
        <v>-3368.7684230099994</v>
      </c>
      <c r="L240">
        <f t="shared" si="78"/>
        <v>736602.22080000013</v>
      </c>
      <c r="M240">
        <f t="shared" si="79"/>
        <v>-1090983762.5562</v>
      </c>
      <c r="N240">
        <f t="shared" si="80"/>
        <v>-1859242509.7937999</v>
      </c>
      <c r="O240">
        <f t="shared" si="81"/>
        <v>-2061529746.9101999</v>
      </c>
      <c r="P240">
        <f t="shared" si="82"/>
        <v>-2479342968.2891994</v>
      </c>
      <c r="Q240">
        <f t="shared" si="83"/>
        <v>-2560264001.4875994</v>
      </c>
      <c r="S240">
        <f t="shared" si="84"/>
        <v>805658.67900000012</v>
      </c>
      <c r="T240">
        <f t="shared" si="85"/>
        <v>-1225673115.9582</v>
      </c>
      <c r="U240">
        <f t="shared" si="86"/>
        <v>-2034388543.3250999</v>
      </c>
      <c r="V240">
        <f t="shared" si="87"/>
        <v>-2162585126.6606994</v>
      </c>
      <c r="W240">
        <f t="shared" si="88"/>
        <v>-2883583669.6406994</v>
      </c>
      <c r="X240">
        <f t="shared" si="89"/>
        <v>-2930828528.0186992</v>
      </c>
      <c r="Z240">
        <f t="shared" si="90"/>
        <v>874715.13720000023</v>
      </c>
      <c r="AA240">
        <f t="shared" si="91"/>
        <v>-1360362469.3601999</v>
      </c>
      <c r="AB240">
        <f t="shared" si="92"/>
        <v>-2209534576.8564</v>
      </c>
      <c r="AC240">
        <f t="shared" si="93"/>
        <v>-2748706329.2135992</v>
      </c>
      <c r="AD240">
        <f t="shared" si="94"/>
        <v>-3287824370.9921994</v>
      </c>
      <c r="AE240">
        <f t="shared" si="95"/>
        <v>-3301393054.5497994</v>
      </c>
    </row>
    <row r="241" spans="1:31" x14ac:dyDescent="0.25">
      <c r="A241">
        <v>32.645893270000002</v>
      </c>
      <c r="B241">
        <v>112.9773465</v>
      </c>
      <c r="C241">
        <v>48.126995090000001</v>
      </c>
      <c r="D241">
        <v>1.39840996</v>
      </c>
      <c r="E241" t="b">
        <f t="shared" si="72"/>
        <v>0</v>
      </c>
      <c r="F241">
        <f t="shared" si="73"/>
        <v>-239.23656549</v>
      </c>
      <c r="G241">
        <f t="shared" si="74"/>
        <v>-479.87154094000005</v>
      </c>
      <c r="H241">
        <f t="shared" si="75"/>
        <v>-720.50651639</v>
      </c>
      <c r="I241">
        <f t="shared" si="76"/>
        <v>-961.14149184000007</v>
      </c>
      <c r="J241">
        <f t="shared" si="77"/>
        <v>-1201.77646729</v>
      </c>
      <c r="L241">
        <f t="shared" si="78"/>
        <v>2684947.1232000003</v>
      </c>
      <c r="M241">
        <f t="shared" si="79"/>
        <v>-387563236.09380007</v>
      </c>
      <c r="N241">
        <f t="shared" si="80"/>
        <v>-662222726.49720001</v>
      </c>
      <c r="O241">
        <f t="shared" si="81"/>
        <v>-734916646.71780002</v>
      </c>
      <c r="P241">
        <f t="shared" si="82"/>
        <v>-884250172.4928</v>
      </c>
      <c r="Q241">
        <f t="shared" si="83"/>
        <v>-913350115.14039993</v>
      </c>
      <c r="S241">
        <f t="shared" si="84"/>
        <v>2936660.9160000002</v>
      </c>
      <c r="T241">
        <f t="shared" si="85"/>
        <v>-435410549.19180006</v>
      </c>
      <c r="U241">
        <f t="shared" si="86"/>
        <v>-724606026.81940007</v>
      </c>
      <c r="V241">
        <f t="shared" si="87"/>
        <v>-770941972.53729987</v>
      </c>
      <c r="W241">
        <f t="shared" si="88"/>
        <v>-1028421396.2687999</v>
      </c>
      <c r="X241">
        <f t="shared" si="89"/>
        <v>-1045545526.5423</v>
      </c>
      <c r="Z241">
        <f t="shared" si="90"/>
        <v>3188374.7088000001</v>
      </c>
      <c r="AA241">
        <f t="shared" si="91"/>
        <v>-483257862.28980005</v>
      </c>
      <c r="AB241">
        <f t="shared" si="92"/>
        <v>-786989327.14160013</v>
      </c>
      <c r="AC241">
        <f t="shared" si="93"/>
        <v>-979888862.29039991</v>
      </c>
      <c r="AD241">
        <f t="shared" si="94"/>
        <v>-1172592620.0448</v>
      </c>
      <c r="AE241">
        <f t="shared" si="95"/>
        <v>-1177740937.9442</v>
      </c>
    </row>
    <row r="242" spans="1:31" x14ac:dyDescent="0.25">
      <c r="A242">
        <v>32.651121860000003</v>
      </c>
      <c r="B242">
        <v>119.95546469999999</v>
      </c>
      <c r="C242">
        <v>134.76608279999999</v>
      </c>
      <c r="D242">
        <v>1.05021298</v>
      </c>
      <c r="E242" t="b">
        <f t="shared" si="72"/>
        <v>0</v>
      </c>
      <c r="F242">
        <f t="shared" si="73"/>
        <v>-672.78020102000005</v>
      </c>
      <c r="G242">
        <f t="shared" si="74"/>
        <v>-1346.6106150200001</v>
      </c>
      <c r="H242">
        <f t="shared" si="75"/>
        <v>-2020.4410290199999</v>
      </c>
      <c r="I242">
        <f t="shared" si="76"/>
        <v>-2694.2714430199999</v>
      </c>
      <c r="J242">
        <f t="shared" si="77"/>
        <v>-3368.1018570199994</v>
      </c>
      <c r="L242">
        <f t="shared" si="78"/>
        <v>2016408.9216000002</v>
      </c>
      <c r="M242">
        <f t="shared" si="79"/>
        <v>-1089903925.6524003</v>
      </c>
      <c r="N242">
        <f t="shared" si="80"/>
        <v>-1858322648.7275999</v>
      </c>
      <c r="O242">
        <f t="shared" si="81"/>
        <v>-2060849849.6003997</v>
      </c>
      <c r="P242">
        <f t="shared" si="82"/>
        <v>-2478729727.5783997</v>
      </c>
      <c r="Q242">
        <f t="shared" si="83"/>
        <v>-2559757411.3351998</v>
      </c>
      <c r="S242">
        <f t="shared" si="84"/>
        <v>2205447.2579999999</v>
      </c>
      <c r="T242">
        <f t="shared" si="85"/>
        <v>-1224459965.8564003</v>
      </c>
      <c r="U242">
        <f t="shared" si="86"/>
        <v>-2033382028.6802001</v>
      </c>
      <c r="V242">
        <f t="shared" si="87"/>
        <v>-2161871901.0513992</v>
      </c>
      <c r="W242">
        <f t="shared" si="88"/>
        <v>-2882870444.0313997</v>
      </c>
      <c r="X242">
        <f t="shared" si="89"/>
        <v>-2930248615.6073995</v>
      </c>
      <c r="Z242">
        <f t="shared" si="90"/>
        <v>2394485.5944000003</v>
      </c>
      <c r="AA242">
        <f t="shared" si="91"/>
        <v>-1359016006.0604002</v>
      </c>
      <c r="AB242">
        <f t="shared" si="92"/>
        <v>-2208441408.6328001</v>
      </c>
      <c r="AC242">
        <f t="shared" si="93"/>
        <v>-2747799799.4671993</v>
      </c>
      <c r="AD242">
        <f t="shared" si="94"/>
        <v>-3287011160.4843998</v>
      </c>
      <c r="AE242">
        <f t="shared" si="95"/>
        <v>-3300739819.8795996</v>
      </c>
    </row>
    <row r="243" spans="1:31" x14ac:dyDescent="0.25">
      <c r="A243">
        <v>32.651187790000002</v>
      </c>
      <c r="B243">
        <v>119.5723299</v>
      </c>
      <c r="C243">
        <v>56.601669309999998</v>
      </c>
      <c r="D243">
        <v>1.07919097</v>
      </c>
      <c r="E243" t="b">
        <f t="shared" si="72"/>
        <v>0</v>
      </c>
      <c r="F243">
        <f t="shared" si="73"/>
        <v>-281.92915557999999</v>
      </c>
      <c r="G243">
        <f t="shared" si="74"/>
        <v>-564.93750212999998</v>
      </c>
      <c r="H243">
        <f t="shared" si="75"/>
        <v>-847.94584867999993</v>
      </c>
      <c r="I243">
        <f t="shared" si="76"/>
        <v>-1130.9541952300001</v>
      </c>
      <c r="J243">
        <f t="shared" si="77"/>
        <v>-1413.96254178</v>
      </c>
      <c r="L243">
        <f t="shared" si="78"/>
        <v>2072046.6624</v>
      </c>
      <c r="M243">
        <f t="shared" si="79"/>
        <v>-456725232.03960001</v>
      </c>
      <c r="N243">
        <f t="shared" si="80"/>
        <v>-779613752.93939996</v>
      </c>
      <c r="O243">
        <f t="shared" si="81"/>
        <v>-864904765.65359998</v>
      </c>
      <c r="P243">
        <f t="shared" si="82"/>
        <v>-1040477859.6115999</v>
      </c>
      <c r="Q243">
        <f t="shared" si="83"/>
        <v>-1074611531.7528</v>
      </c>
      <c r="S243">
        <f t="shared" si="84"/>
        <v>2266301.037</v>
      </c>
      <c r="T243">
        <f t="shared" si="85"/>
        <v>-513111063.15560001</v>
      </c>
      <c r="U243">
        <f t="shared" si="86"/>
        <v>-853055628.21630001</v>
      </c>
      <c r="V243">
        <f t="shared" si="87"/>
        <v>-907302058.08759975</v>
      </c>
      <c r="W243">
        <f t="shared" si="88"/>
        <v>-1210120988.8960998</v>
      </c>
      <c r="X243">
        <f t="shared" si="89"/>
        <v>-1230147411.3485999</v>
      </c>
      <c r="Z243">
        <f t="shared" si="90"/>
        <v>2460555.4116000002</v>
      </c>
      <c r="AA243">
        <f t="shared" si="91"/>
        <v>-569496894.27160001</v>
      </c>
      <c r="AB243">
        <f t="shared" si="92"/>
        <v>-926497503.49320006</v>
      </c>
      <c r="AC243">
        <f t="shared" si="93"/>
        <v>-1153206354.2047999</v>
      </c>
      <c r="AD243">
        <f t="shared" si="94"/>
        <v>-1379764118.1805999</v>
      </c>
      <c r="AE243">
        <f t="shared" si="95"/>
        <v>-1385683290.9443998</v>
      </c>
    </row>
    <row r="244" spans="1:31" x14ac:dyDescent="0.25">
      <c r="A244">
        <v>32.662070159999999</v>
      </c>
      <c r="B244">
        <v>112.7070957</v>
      </c>
      <c r="C244">
        <v>42.111118320000003</v>
      </c>
      <c r="D244">
        <v>0.58289301000000004</v>
      </c>
      <c r="E244" t="b">
        <f t="shared" si="72"/>
        <v>0</v>
      </c>
      <c r="F244">
        <f t="shared" si="73"/>
        <v>-209.97269859000002</v>
      </c>
      <c r="G244">
        <f t="shared" si="74"/>
        <v>-420.52829019000001</v>
      </c>
      <c r="H244">
        <f t="shared" si="75"/>
        <v>-631.08388178999996</v>
      </c>
      <c r="I244">
        <f t="shared" si="76"/>
        <v>-841.63947339000003</v>
      </c>
      <c r="J244">
        <f t="shared" si="77"/>
        <v>-1052.1950649900002</v>
      </c>
      <c r="L244">
        <f t="shared" si="78"/>
        <v>1119154.5792</v>
      </c>
      <c r="M244">
        <f t="shared" si="79"/>
        <v>-340155771.71580005</v>
      </c>
      <c r="N244">
        <f t="shared" si="80"/>
        <v>-580329040.46219993</v>
      </c>
      <c r="O244">
        <f t="shared" si="81"/>
        <v>-643705559.42579997</v>
      </c>
      <c r="P244">
        <f t="shared" si="82"/>
        <v>-774308315.5187999</v>
      </c>
      <c r="Q244">
        <f t="shared" si="83"/>
        <v>-799668249.39240015</v>
      </c>
      <c r="S244">
        <f t="shared" si="84"/>
        <v>1224075.321</v>
      </c>
      <c r="T244">
        <f t="shared" si="85"/>
        <v>-382150311.4338001</v>
      </c>
      <c r="U244">
        <f t="shared" si="86"/>
        <v>-634997718.18690002</v>
      </c>
      <c r="V244">
        <f t="shared" si="87"/>
        <v>-675259753.51529992</v>
      </c>
      <c r="W244">
        <f t="shared" si="88"/>
        <v>-900554236.52729988</v>
      </c>
      <c r="X244">
        <f t="shared" si="89"/>
        <v>-915409706.54130018</v>
      </c>
      <c r="Z244">
        <f t="shared" si="90"/>
        <v>1328996.0628000002</v>
      </c>
      <c r="AA244">
        <f t="shared" si="91"/>
        <v>-424144851.1518001</v>
      </c>
      <c r="AB244">
        <f t="shared" si="92"/>
        <v>-689666395.91159999</v>
      </c>
      <c r="AC244">
        <f t="shared" si="93"/>
        <v>-858274079.23439991</v>
      </c>
      <c r="AD244">
        <f t="shared" si="94"/>
        <v>-1026800157.5358</v>
      </c>
      <c r="AE244">
        <f t="shared" si="95"/>
        <v>-1031151163.6902002</v>
      </c>
    </row>
    <row r="245" spans="1:31" x14ac:dyDescent="0.25">
      <c r="A245">
        <v>32.664234810000004</v>
      </c>
      <c r="B245">
        <v>119.8482035</v>
      </c>
      <c r="C245">
        <v>134.76608279999999</v>
      </c>
      <c r="D245">
        <v>0.147872</v>
      </c>
      <c r="E245" t="b">
        <f t="shared" si="72"/>
        <v>0</v>
      </c>
      <c r="F245">
        <f t="shared" si="73"/>
        <v>-673.68254200000001</v>
      </c>
      <c r="G245">
        <f t="shared" si="74"/>
        <v>-1347.512956</v>
      </c>
      <c r="H245">
        <f t="shared" si="75"/>
        <v>-2021.3433699999998</v>
      </c>
      <c r="I245">
        <f t="shared" si="76"/>
        <v>-2695.1737840000001</v>
      </c>
      <c r="J245">
        <f t="shared" si="77"/>
        <v>-3369.0041979999996</v>
      </c>
      <c r="L245">
        <f t="shared" si="78"/>
        <v>283914.24000000005</v>
      </c>
      <c r="M245">
        <f t="shared" si="79"/>
        <v>-1091365718.04</v>
      </c>
      <c r="N245">
        <f t="shared" si="80"/>
        <v>-1859567879.28</v>
      </c>
      <c r="O245">
        <f t="shared" si="81"/>
        <v>-2061770237.3999999</v>
      </c>
      <c r="P245">
        <f t="shared" si="82"/>
        <v>-2479559881.2799997</v>
      </c>
      <c r="Q245">
        <f t="shared" si="83"/>
        <v>-2560443190.4799995</v>
      </c>
      <c r="S245">
        <f t="shared" si="84"/>
        <v>310531.20000000001</v>
      </c>
      <c r="T245">
        <f t="shared" si="85"/>
        <v>-1226102226.4400001</v>
      </c>
      <c r="U245">
        <f t="shared" si="86"/>
        <v>-2034744563.5599999</v>
      </c>
      <c r="V245">
        <f t="shared" si="87"/>
        <v>-2162837405.8999996</v>
      </c>
      <c r="W245">
        <f t="shared" si="88"/>
        <v>-2883835948.8799996</v>
      </c>
      <c r="X245">
        <f t="shared" si="89"/>
        <v>-2931033652.2599998</v>
      </c>
      <c r="Z245">
        <f t="shared" si="90"/>
        <v>337148.16000000003</v>
      </c>
      <c r="AA245">
        <f t="shared" si="91"/>
        <v>-1360838734.8399999</v>
      </c>
      <c r="AB245">
        <f t="shared" si="92"/>
        <v>-2209921247.8400002</v>
      </c>
      <c r="AC245">
        <f t="shared" si="93"/>
        <v>-2749026983.1999993</v>
      </c>
      <c r="AD245">
        <f t="shared" si="94"/>
        <v>-3288112016.48</v>
      </c>
      <c r="AE245">
        <f t="shared" si="95"/>
        <v>-3301624114.0399995</v>
      </c>
    </row>
    <row r="246" spans="1:31" x14ac:dyDescent="0.25">
      <c r="A246">
        <v>32.667851749999997</v>
      </c>
      <c r="B246">
        <v>120.56099330000001</v>
      </c>
      <c r="C246">
        <v>17.774396899999999</v>
      </c>
      <c r="D246">
        <v>0.12398199999999999</v>
      </c>
      <c r="E246" t="b">
        <f t="shared" si="72"/>
        <v>0</v>
      </c>
      <c r="F246">
        <f t="shared" si="73"/>
        <v>-88.748002499999998</v>
      </c>
      <c r="G246">
        <f t="shared" si="74"/>
        <v>-177.61998699999998</v>
      </c>
      <c r="H246">
        <f t="shared" si="75"/>
        <v>-266.49197149999998</v>
      </c>
      <c r="I246">
        <f t="shared" si="76"/>
        <v>-355.36395599999997</v>
      </c>
      <c r="J246">
        <f t="shared" si="77"/>
        <v>-444.23594049999997</v>
      </c>
      <c r="L246">
        <f t="shared" si="78"/>
        <v>238045.44000000003</v>
      </c>
      <c r="M246">
        <f t="shared" si="79"/>
        <v>-143771764.05000001</v>
      </c>
      <c r="N246">
        <f t="shared" si="80"/>
        <v>-245115582.05999994</v>
      </c>
      <c r="O246">
        <f t="shared" si="81"/>
        <v>-271821810.92999995</v>
      </c>
      <c r="P246">
        <f t="shared" si="82"/>
        <v>-326934839.51999998</v>
      </c>
      <c r="Q246">
        <f t="shared" si="83"/>
        <v>-337619314.77999997</v>
      </c>
      <c r="S246">
        <f t="shared" si="84"/>
        <v>260362.2</v>
      </c>
      <c r="T246">
        <f t="shared" si="85"/>
        <v>-161521364.55000001</v>
      </c>
      <c r="U246">
        <f t="shared" si="86"/>
        <v>-268206180.36999995</v>
      </c>
      <c r="V246">
        <f t="shared" si="87"/>
        <v>-285146409.50499994</v>
      </c>
      <c r="W246">
        <f t="shared" si="88"/>
        <v>-380239432.91999996</v>
      </c>
      <c r="X246">
        <f t="shared" si="89"/>
        <v>-386485268.23499995</v>
      </c>
      <c r="Z246">
        <f t="shared" si="90"/>
        <v>282678.96000000002</v>
      </c>
      <c r="AA246">
        <f t="shared" si="91"/>
        <v>-179270965.05000001</v>
      </c>
      <c r="AB246">
        <f t="shared" si="92"/>
        <v>-291296778.67999995</v>
      </c>
      <c r="AC246">
        <f t="shared" si="93"/>
        <v>-362429081.23999995</v>
      </c>
      <c r="AD246">
        <f t="shared" si="94"/>
        <v>-433544026.31999999</v>
      </c>
      <c r="AE246">
        <f t="shared" si="95"/>
        <v>-435351221.68999994</v>
      </c>
    </row>
    <row r="247" spans="1:31" x14ac:dyDescent="0.25">
      <c r="A247">
        <v>32.668362340000002</v>
      </c>
      <c r="B247">
        <v>112.5989658</v>
      </c>
      <c r="C247">
        <v>52.400897980000003</v>
      </c>
      <c r="D247">
        <v>1.3590209499999999</v>
      </c>
      <c r="E247" t="b">
        <f t="shared" si="72"/>
        <v>0</v>
      </c>
      <c r="F247">
        <f t="shared" si="73"/>
        <v>-260.64546895000001</v>
      </c>
      <c r="G247">
        <f t="shared" si="74"/>
        <v>-522.64995885000008</v>
      </c>
      <c r="H247">
        <f t="shared" si="75"/>
        <v>-784.65444875000014</v>
      </c>
      <c r="I247">
        <f t="shared" si="76"/>
        <v>-1046.65893865</v>
      </c>
      <c r="J247">
        <f t="shared" si="77"/>
        <v>-1308.6634285499999</v>
      </c>
      <c r="L247">
        <f t="shared" si="78"/>
        <v>2609320.2239999999</v>
      </c>
      <c r="M247">
        <f t="shared" si="79"/>
        <v>-422245659.69900006</v>
      </c>
      <c r="N247">
        <f t="shared" si="80"/>
        <v>-721256943.21300006</v>
      </c>
      <c r="O247">
        <f t="shared" si="81"/>
        <v>-800347537.72500014</v>
      </c>
      <c r="P247">
        <f t="shared" si="82"/>
        <v>-962926223.55799985</v>
      </c>
      <c r="Q247">
        <f t="shared" si="83"/>
        <v>-994584205.69799995</v>
      </c>
      <c r="S247">
        <f t="shared" si="84"/>
        <v>2853943.9950000001</v>
      </c>
      <c r="T247">
        <f t="shared" si="85"/>
        <v>-474374753.48900002</v>
      </c>
      <c r="U247">
        <f t="shared" si="86"/>
        <v>-789201437.86350012</v>
      </c>
      <c r="V247">
        <f t="shared" si="87"/>
        <v>-839580260.16250002</v>
      </c>
      <c r="W247">
        <f t="shared" si="88"/>
        <v>-1119925064.3554997</v>
      </c>
      <c r="X247">
        <f t="shared" si="89"/>
        <v>-1138537182.8385</v>
      </c>
      <c r="Z247">
        <f t="shared" si="90"/>
        <v>3098567.7660000003</v>
      </c>
      <c r="AA247">
        <f t="shared" si="91"/>
        <v>-526503847.27900004</v>
      </c>
      <c r="AB247">
        <f t="shared" si="92"/>
        <v>-857145932.51400018</v>
      </c>
      <c r="AC247">
        <f t="shared" si="93"/>
        <v>-1067130050.3000001</v>
      </c>
      <c r="AD247">
        <f t="shared" si="94"/>
        <v>-1276923905.1529999</v>
      </c>
      <c r="AE247">
        <f t="shared" si="95"/>
        <v>-1282490159.9789999</v>
      </c>
    </row>
    <row r="248" spans="1:31" x14ac:dyDescent="0.25">
      <c r="A248">
        <v>32.6699439</v>
      </c>
      <c r="B248">
        <v>120.1777835</v>
      </c>
      <c r="C248">
        <v>134.76608279999999</v>
      </c>
      <c r="D248">
        <v>0.22456300000000001</v>
      </c>
      <c r="E248" t="b">
        <f t="shared" si="72"/>
        <v>0</v>
      </c>
      <c r="F248">
        <f t="shared" si="73"/>
        <v>-673.60585100000003</v>
      </c>
      <c r="G248">
        <f t="shared" si="74"/>
        <v>-1347.436265</v>
      </c>
      <c r="H248">
        <f t="shared" si="75"/>
        <v>-2021.2666789999998</v>
      </c>
      <c r="I248">
        <f t="shared" si="76"/>
        <v>-2695.0970929999999</v>
      </c>
      <c r="J248">
        <f t="shared" si="77"/>
        <v>-3368.9275069999994</v>
      </c>
      <c r="L248">
        <f t="shared" si="78"/>
        <v>431160.96</v>
      </c>
      <c r="M248">
        <f t="shared" si="79"/>
        <v>-1091241478.6200001</v>
      </c>
      <c r="N248">
        <f t="shared" si="80"/>
        <v>-1859462045.6999998</v>
      </c>
      <c r="O248">
        <f t="shared" si="81"/>
        <v>-2061692012.5799997</v>
      </c>
      <c r="P248">
        <f t="shared" si="82"/>
        <v>-2479489325.5599999</v>
      </c>
      <c r="Q248">
        <f t="shared" si="83"/>
        <v>-2560384905.3199997</v>
      </c>
      <c r="S248">
        <f t="shared" si="84"/>
        <v>471582.30000000005</v>
      </c>
      <c r="T248">
        <f t="shared" si="85"/>
        <v>-1225962648.8199999</v>
      </c>
      <c r="U248">
        <f t="shared" si="86"/>
        <v>-2034628760.1500001</v>
      </c>
      <c r="V248">
        <f t="shared" si="87"/>
        <v>-2162755346.5299993</v>
      </c>
      <c r="W248">
        <f t="shared" si="88"/>
        <v>-2883753889.5099998</v>
      </c>
      <c r="X248">
        <f t="shared" si="89"/>
        <v>-2930966931.0899997</v>
      </c>
      <c r="Z248">
        <f t="shared" si="90"/>
        <v>512003.64000000007</v>
      </c>
      <c r="AA248">
        <f t="shared" si="91"/>
        <v>-1360683819.02</v>
      </c>
      <c r="AB248">
        <f t="shared" si="92"/>
        <v>-2209795474.6000004</v>
      </c>
      <c r="AC248">
        <f t="shared" si="93"/>
        <v>-2748922683.4399996</v>
      </c>
      <c r="AD248">
        <f t="shared" si="94"/>
        <v>-3288018453.46</v>
      </c>
      <c r="AE248">
        <f t="shared" si="95"/>
        <v>-3301548956.8599997</v>
      </c>
    </row>
    <row r="249" spans="1:31" x14ac:dyDescent="0.25">
      <c r="A249">
        <v>32.67478947</v>
      </c>
      <c r="B249">
        <v>113.2515401</v>
      </c>
      <c r="C249">
        <v>42.111118320000003</v>
      </c>
      <c r="D249">
        <v>3.3510620599999998</v>
      </c>
      <c r="E249" t="b">
        <f t="shared" si="72"/>
        <v>0</v>
      </c>
      <c r="F249">
        <f t="shared" si="73"/>
        <v>-207.20452954000001</v>
      </c>
      <c r="G249">
        <f t="shared" si="74"/>
        <v>-417.76012114000002</v>
      </c>
      <c r="H249">
        <f t="shared" si="75"/>
        <v>-628.31571273999998</v>
      </c>
      <c r="I249">
        <f t="shared" si="76"/>
        <v>-838.87130434000005</v>
      </c>
      <c r="J249">
        <f t="shared" si="77"/>
        <v>-1049.4268959400001</v>
      </c>
      <c r="L249">
        <f t="shared" si="78"/>
        <v>6434039.1552000009</v>
      </c>
      <c r="M249">
        <f t="shared" si="79"/>
        <v>-335671337.85480005</v>
      </c>
      <c r="N249">
        <f t="shared" si="80"/>
        <v>-576508967.17320001</v>
      </c>
      <c r="O249">
        <f t="shared" si="81"/>
        <v>-640882026.99479997</v>
      </c>
      <c r="P249">
        <f t="shared" si="82"/>
        <v>-771761599.9928</v>
      </c>
      <c r="Q249">
        <f t="shared" si="83"/>
        <v>-797564440.9144001</v>
      </c>
      <c r="S249">
        <f t="shared" si="84"/>
        <v>7037230.3260000004</v>
      </c>
      <c r="T249">
        <f t="shared" si="85"/>
        <v>-377112243.76280004</v>
      </c>
      <c r="U249">
        <f t="shared" si="86"/>
        <v>-630817782.92140007</v>
      </c>
      <c r="V249">
        <f t="shared" si="87"/>
        <v>-672297812.63179994</v>
      </c>
      <c r="W249">
        <f t="shared" si="88"/>
        <v>-897592295.6437999</v>
      </c>
      <c r="X249">
        <f t="shared" si="89"/>
        <v>-913001399.46780014</v>
      </c>
      <c r="Z249">
        <f t="shared" si="90"/>
        <v>7640421.4968000008</v>
      </c>
      <c r="AA249">
        <f t="shared" si="91"/>
        <v>-418553149.67080003</v>
      </c>
      <c r="AB249">
        <f t="shared" si="92"/>
        <v>-685126598.66960013</v>
      </c>
      <c r="AC249">
        <f t="shared" si="93"/>
        <v>-854509369.32639992</v>
      </c>
      <c r="AD249">
        <f t="shared" si="94"/>
        <v>-1023422991.2948</v>
      </c>
      <c r="AE249">
        <f t="shared" si="95"/>
        <v>-1028438358.0212002</v>
      </c>
    </row>
    <row r="250" spans="1:31" x14ac:dyDescent="0.25">
      <c r="A250">
        <v>32.676595140000003</v>
      </c>
      <c r="B250">
        <v>119.35765360000001</v>
      </c>
      <c r="C250">
        <v>40.306919100000002</v>
      </c>
      <c r="D250">
        <v>0.687388</v>
      </c>
      <c r="E250" t="b">
        <f t="shared" si="72"/>
        <v>0</v>
      </c>
      <c r="F250">
        <f t="shared" si="73"/>
        <v>-200.84720750000002</v>
      </c>
      <c r="G250">
        <f t="shared" si="74"/>
        <v>-402.38180300000005</v>
      </c>
      <c r="H250">
        <f t="shared" si="75"/>
        <v>-603.91639850000001</v>
      </c>
      <c r="I250">
        <f t="shared" si="76"/>
        <v>-805.45099400000004</v>
      </c>
      <c r="J250">
        <f t="shared" si="77"/>
        <v>-1006.9855894999999</v>
      </c>
      <c r="L250">
        <f t="shared" si="78"/>
        <v>1319784.9600000002</v>
      </c>
      <c r="M250">
        <f t="shared" si="79"/>
        <v>-325372476.1500001</v>
      </c>
      <c r="N250">
        <f t="shared" si="80"/>
        <v>-555286888.13999999</v>
      </c>
      <c r="O250">
        <f t="shared" si="81"/>
        <v>-615994726.47000003</v>
      </c>
      <c r="P250">
        <f t="shared" si="82"/>
        <v>-741014914.4799999</v>
      </c>
      <c r="Q250">
        <f t="shared" si="83"/>
        <v>-765309048.01999998</v>
      </c>
      <c r="S250">
        <f t="shared" si="84"/>
        <v>1443514.8</v>
      </c>
      <c r="T250">
        <f t="shared" si="85"/>
        <v>-365541917.6500001</v>
      </c>
      <c r="U250">
        <f t="shared" si="86"/>
        <v>-607596522.53000009</v>
      </c>
      <c r="V250">
        <f t="shared" si="87"/>
        <v>-646190546.39499986</v>
      </c>
      <c r="W250">
        <f t="shared" si="88"/>
        <v>-861832563.57999992</v>
      </c>
      <c r="X250">
        <f t="shared" si="89"/>
        <v>-876077462.86500001</v>
      </c>
      <c r="Z250">
        <f t="shared" si="90"/>
        <v>1567244.6400000001</v>
      </c>
      <c r="AA250">
        <f t="shared" si="91"/>
        <v>-405711359.15000004</v>
      </c>
      <c r="AB250">
        <f t="shared" si="92"/>
        <v>-659906156.9200002</v>
      </c>
      <c r="AC250">
        <f t="shared" si="93"/>
        <v>-821326301.95999992</v>
      </c>
      <c r="AD250">
        <f t="shared" si="94"/>
        <v>-982650212.67999995</v>
      </c>
      <c r="AE250">
        <f t="shared" si="95"/>
        <v>-986845877.71000004</v>
      </c>
    </row>
    <row r="251" spans="1:31" x14ac:dyDescent="0.25">
      <c r="A251">
        <v>32.677247399999999</v>
      </c>
      <c r="B251">
        <v>119.74090820000001</v>
      </c>
      <c r="C251">
        <v>134.76608279999999</v>
      </c>
      <c r="D251">
        <v>1.2693690099999999</v>
      </c>
      <c r="E251" t="b">
        <f t="shared" si="72"/>
        <v>0</v>
      </c>
      <c r="F251">
        <f t="shared" si="73"/>
        <v>-672.56104499000003</v>
      </c>
      <c r="G251">
        <f t="shared" si="74"/>
        <v>-1346.39145899</v>
      </c>
      <c r="H251">
        <f t="shared" si="75"/>
        <v>-2020.2218729899998</v>
      </c>
      <c r="I251">
        <f t="shared" si="76"/>
        <v>-2694.0522869900001</v>
      </c>
      <c r="J251">
        <f t="shared" si="77"/>
        <v>-3367.8827009899996</v>
      </c>
      <c r="L251">
        <f t="shared" si="78"/>
        <v>2437188.4992000004</v>
      </c>
      <c r="M251">
        <f t="shared" si="79"/>
        <v>-1089548892.8838</v>
      </c>
      <c r="N251">
        <f t="shared" si="80"/>
        <v>-1858020213.4061999</v>
      </c>
      <c r="O251">
        <f t="shared" si="81"/>
        <v>-2060626310.4497998</v>
      </c>
      <c r="P251">
        <f t="shared" si="82"/>
        <v>-2478528104.0307999</v>
      </c>
      <c r="Q251">
        <f t="shared" si="83"/>
        <v>-2559590852.7523999</v>
      </c>
      <c r="S251">
        <f t="shared" si="84"/>
        <v>2665674.9210000001</v>
      </c>
      <c r="T251">
        <f t="shared" si="85"/>
        <v>-1224061101.8818002</v>
      </c>
      <c r="U251">
        <f t="shared" si="86"/>
        <v>-2033051103.0748999</v>
      </c>
      <c r="V251">
        <f t="shared" si="87"/>
        <v>-2161637404.0992994</v>
      </c>
      <c r="W251">
        <f t="shared" si="88"/>
        <v>-2882635947.0792999</v>
      </c>
      <c r="X251">
        <f t="shared" si="89"/>
        <v>-2930057949.8613</v>
      </c>
      <c r="Z251">
        <f t="shared" si="90"/>
        <v>2894161.3428000002</v>
      </c>
      <c r="AA251">
        <f t="shared" si="91"/>
        <v>-1358573310.8798001</v>
      </c>
      <c r="AB251">
        <f t="shared" si="92"/>
        <v>-2208081992.7436004</v>
      </c>
      <c r="AC251">
        <f t="shared" si="93"/>
        <v>-2747501747.2663994</v>
      </c>
      <c r="AD251">
        <f t="shared" si="94"/>
        <v>-3286743790.1278005</v>
      </c>
      <c r="AE251">
        <f t="shared" si="95"/>
        <v>-3300525046.9701996</v>
      </c>
    </row>
    <row r="252" spans="1:31" x14ac:dyDescent="0.25">
      <c r="A252">
        <v>32.68159575</v>
      </c>
      <c r="B252">
        <v>113.1434367</v>
      </c>
      <c r="C252">
        <v>42.111118320000003</v>
      </c>
      <c r="D252">
        <v>0.11136799999999999</v>
      </c>
      <c r="E252" t="b">
        <f t="shared" si="72"/>
        <v>0</v>
      </c>
      <c r="F252">
        <f t="shared" si="73"/>
        <v>-210.44422360000002</v>
      </c>
      <c r="G252">
        <f t="shared" si="74"/>
        <v>-420.9998152</v>
      </c>
      <c r="H252">
        <f t="shared" si="75"/>
        <v>-631.55540680000001</v>
      </c>
      <c r="I252">
        <f t="shared" si="76"/>
        <v>-842.11099840000008</v>
      </c>
      <c r="J252">
        <f t="shared" si="77"/>
        <v>-1052.66659</v>
      </c>
      <c r="L252">
        <f t="shared" si="78"/>
        <v>213826.56000000003</v>
      </c>
      <c r="M252">
        <f t="shared" si="79"/>
        <v>-340919642.23200005</v>
      </c>
      <c r="N252">
        <f t="shared" si="80"/>
        <v>-580979744.97599995</v>
      </c>
      <c r="O252">
        <f t="shared" si="81"/>
        <v>-644186514.93600011</v>
      </c>
      <c r="P252">
        <f t="shared" si="82"/>
        <v>-774742118.528</v>
      </c>
      <c r="Q252">
        <f t="shared" si="83"/>
        <v>-800026608.39999998</v>
      </c>
      <c r="S252">
        <f t="shared" si="84"/>
        <v>233872.80000000002</v>
      </c>
      <c r="T252">
        <f t="shared" si="85"/>
        <v>-383008486.95200008</v>
      </c>
      <c r="U252">
        <f t="shared" si="86"/>
        <v>-635709720.95200002</v>
      </c>
      <c r="V252">
        <f t="shared" si="87"/>
        <v>-675764285.27600002</v>
      </c>
      <c r="W252">
        <f t="shared" si="88"/>
        <v>-901058768.28799999</v>
      </c>
      <c r="X252">
        <f t="shared" si="89"/>
        <v>-915819933.29999995</v>
      </c>
      <c r="Z252">
        <f t="shared" si="90"/>
        <v>253919.04000000004</v>
      </c>
      <c r="AA252">
        <f t="shared" si="91"/>
        <v>-425097331.67200005</v>
      </c>
      <c r="AB252">
        <f t="shared" si="92"/>
        <v>-690439696.92799997</v>
      </c>
      <c r="AC252">
        <f t="shared" si="93"/>
        <v>-858915353.24800003</v>
      </c>
      <c r="AD252">
        <f t="shared" si="94"/>
        <v>-1027375418.0480001</v>
      </c>
      <c r="AE252">
        <f t="shared" si="95"/>
        <v>-1031613258.1999999</v>
      </c>
    </row>
    <row r="253" spans="1:31" x14ac:dyDescent="0.25">
      <c r="A253">
        <v>32.683265300000002</v>
      </c>
      <c r="B253">
        <v>120.0705334</v>
      </c>
      <c r="C253">
        <v>134.76608279999999</v>
      </c>
      <c r="D253">
        <v>1.3656350399999999</v>
      </c>
      <c r="E253" t="b">
        <f t="shared" si="72"/>
        <v>0</v>
      </c>
      <c r="F253">
        <f t="shared" si="73"/>
        <v>-672.46477895999999</v>
      </c>
      <c r="G253">
        <f t="shared" si="74"/>
        <v>-1346.2951929600001</v>
      </c>
      <c r="H253">
        <f t="shared" si="75"/>
        <v>-2020.1256069599999</v>
      </c>
      <c r="I253">
        <f t="shared" si="76"/>
        <v>-2693.9560209599999</v>
      </c>
      <c r="J253">
        <f t="shared" si="77"/>
        <v>-3367.7864349599995</v>
      </c>
      <c r="L253">
        <f t="shared" si="78"/>
        <v>2622019.2767999996</v>
      </c>
      <c r="M253">
        <f t="shared" si="79"/>
        <v>-1089392941.9152002</v>
      </c>
      <c r="N253">
        <f t="shared" si="80"/>
        <v>-1857887366.2847998</v>
      </c>
      <c r="O253">
        <f t="shared" si="81"/>
        <v>-2060528119.0991998</v>
      </c>
      <c r="P253">
        <f t="shared" si="82"/>
        <v>-2478439539.2831998</v>
      </c>
      <c r="Q253">
        <f t="shared" si="83"/>
        <v>-2559517690.5695996</v>
      </c>
      <c r="S253">
        <f t="shared" si="84"/>
        <v>2867833.5839999998</v>
      </c>
      <c r="T253">
        <f t="shared" si="85"/>
        <v>-1223885897.7072001</v>
      </c>
      <c r="U253">
        <f t="shared" si="86"/>
        <v>-2032905741.3696001</v>
      </c>
      <c r="V253">
        <f t="shared" si="87"/>
        <v>-2161534399.4471993</v>
      </c>
      <c r="W253">
        <f t="shared" si="88"/>
        <v>-2882532942.4271998</v>
      </c>
      <c r="X253">
        <f t="shared" si="89"/>
        <v>-2929974198.4151998</v>
      </c>
      <c r="Z253">
        <f t="shared" si="90"/>
        <v>3113647.8912</v>
      </c>
      <c r="AA253">
        <f t="shared" si="91"/>
        <v>-1358378853.4992001</v>
      </c>
      <c r="AB253">
        <f t="shared" si="92"/>
        <v>-2207924116.4544001</v>
      </c>
      <c r="AC253">
        <f t="shared" si="93"/>
        <v>-2747370825.4655995</v>
      </c>
      <c r="AD253">
        <f t="shared" si="94"/>
        <v>-3286626345.5711999</v>
      </c>
      <c r="AE253">
        <f t="shared" si="95"/>
        <v>-3300430706.2607994</v>
      </c>
    </row>
    <row r="254" spans="1:31" x14ac:dyDescent="0.25">
      <c r="A254">
        <v>32.684960629999999</v>
      </c>
      <c r="B254">
        <v>113.0893782</v>
      </c>
      <c r="C254">
        <v>42.111118320000003</v>
      </c>
      <c r="D254">
        <v>5.1857371299999997</v>
      </c>
      <c r="E254" t="b">
        <f t="shared" si="72"/>
        <v>0</v>
      </c>
      <c r="F254">
        <f t="shared" si="73"/>
        <v>-205.36985447000001</v>
      </c>
      <c r="G254">
        <f t="shared" si="74"/>
        <v>-415.92544607000002</v>
      </c>
      <c r="H254">
        <f t="shared" si="75"/>
        <v>-626.48103766999998</v>
      </c>
      <c r="I254">
        <f t="shared" si="76"/>
        <v>-837.03662927000005</v>
      </c>
      <c r="J254">
        <f t="shared" si="77"/>
        <v>-1047.5922208700001</v>
      </c>
      <c r="L254">
        <f t="shared" si="78"/>
        <v>9956615.2895999998</v>
      </c>
      <c r="M254">
        <f t="shared" si="79"/>
        <v>-332699164.2414</v>
      </c>
      <c r="N254">
        <f t="shared" si="80"/>
        <v>-573977115.57659996</v>
      </c>
      <c r="O254">
        <f t="shared" si="81"/>
        <v>-639010658.42339993</v>
      </c>
      <c r="P254">
        <f t="shared" si="82"/>
        <v>-770073698.92840004</v>
      </c>
      <c r="Q254">
        <f t="shared" si="83"/>
        <v>-796170087.86120009</v>
      </c>
      <c r="S254">
        <f t="shared" si="84"/>
        <v>10890047.972999999</v>
      </c>
      <c r="T254">
        <f t="shared" si="85"/>
        <v>-373773135.1354</v>
      </c>
      <c r="U254">
        <f t="shared" si="86"/>
        <v>-628047423.56569993</v>
      </c>
      <c r="V254">
        <f t="shared" si="87"/>
        <v>-670334710.30689991</v>
      </c>
      <c r="W254">
        <f t="shared" si="88"/>
        <v>-895629193.31889999</v>
      </c>
      <c r="X254">
        <f t="shared" si="89"/>
        <v>-911405232.15690005</v>
      </c>
      <c r="Z254">
        <f t="shared" si="90"/>
        <v>11823480.656400001</v>
      </c>
      <c r="AA254">
        <f t="shared" si="91"/>
        <v>-414847106.02939999</v>
      </c>
      <c r="AB254">
        <f t="shared" si="92"/>
        <v>-682117731.55480003</v>
      </c>
      <c r="AC254">
        <f t="shared" si="93"/>
        <v>-852014211.23119986</v>
      </c>
      <c r="AD254">
        <f t="shared" si="94"/>
        <v>-1021184687.7094001</v>
      </c>
      <c r="AE254">
        <f t="shared" si="95"/>
        <v>-1026640376.4526001</v>
      </c>
    </row>
    <row r="255" spans="1:31" x14ac:dyDescent="0.25">
      <c r="A255">
        <v>32.696578029999998</v>
      </c>
      <c r="B255">
        <v>119.5799016</v>
      </c>
      <c r="C255">
        <v>17.315341950000001</v>
      </c>
      <c r="D255">
        <v>5.2894067800000002</v>
      </c>
      <c r="E255" t="b">
        <f t="shared" si="72"/>
        <v>0</v>
      </c>
      <c r="F255">
        <f t="shared" si="73"/>
        <v>-81.287302970000013</v>
      </c>
      <c r="G255">
        <f t="shared" si="74"/>
        <v>-167.86401272000001</v>
      </c>
      <c r="H255">
        <f t="shared" si="75"/>
        <v>-254.44072247</v>
      </c>
      <c r="I255">
        <f t="shared" si="76"/>
        <v>-341.01743222000005</v>
      </c>
      <c r="J255">
        <f t="shared" si="77"/>
        <v>-427.59414197000001</v>
      </c>
      <c r="L255">
        <f t="shared" si="78"/>
        <v>10155661.017600002</v>
      </c>
      <c r="M255">
        <f t="shared" si="79"/>
        <v>-131685430.81140003</v>
      </c>
      <c r="N255">
        <f t="shared" si="80"/>
        <v>-231652337.55359998</v>
      </c>
      <c r="O255">
        <f t="shared" si="81"/>
        <v>-259529536.91940001</v>
      </c>
      <c r="P255">
        <f t="shared" si="82"/>
        <v>-313736037.64240003</v>
      </c>
      <c r="Q255">
        <f t="shared" si="83"/>
        <v>-324971547.89720005</v>
      </c>
      <c r="S255">
        <f t="shared" si="84"/>
        <v>11107754.238000002</v>
      </c>
      <c r="T255">
        <f t="shared" si="85"/>
        <v>-147942891.40540004</v>
      </c>
      <c r="U255">
        <f t="shared" si="86"/>
        <v>-253474659.20719999</v>
      </c>
      <c r="V255">
        <f t="shared" si="87"/>
        <v>-272251573.04289997</v>
      </c>
      <c r="W255">
        <f t="shared" si="88"/>
        <v>-364888652.47539997</v>
      </c>
      <c r="X255">
        <f t="shared" si="89"/>
        <v>-372006903.51390004</v>
      </c>
      <c r="Z255">
        <f t="shared" si="90"/>
        <v>12059847.458400002</v>
      </c>
      <c r="AA255">
        <f t="shared" si="91"/>
        <v>-164200351.99940002</v>
      </c>
      <c r="AB255">
        <f t="shared" si="92"/>
        <v>-275296980.86080003</v>
      </c>
      <c r="AC255">
        <f t="shared" si="93"/>
        <v>-346039382.55919999</v>
      </c>
      <c r="AD255">
        <f t="shared" si="94"/>
        <v>-416041267.30840003</v>
      </c>
      <c r="AE255">
        <f t="shared" si="95"/>
        <v>-419042259.13060004</v>
      </c>
    </row>
    <row r="256" spans="1:31" x14ac:dyDescent="0.25">
      <c r="A256">
        <v>32.708591689999999</v>
      </c>
      <c r="B256">
        <v>120.23933340000001</v>
      </c>
      <c r="C256">
        <v>134.76608279999999</v>
      </c>
      <c r="D256">
        <v>0.110794</v>
      </c>
      <c r="E256" t="b">
        <f t="shared" si="72"/>
        <v>0</v>
      </c>
      <c r="F256">
        <f t="shared" si="73"/>
        <v>-673.71961999999996</v>
      </c>
      <c r="G256">
        <f t="shared" si="74"/>
        <v>-1347.5500340000001</v>
      </c>
      <c r="H256">
        <f t="shared" si="75"/>
        <v>-2021.3804479999999</v>
      </c>
      <c r="I256">
        <f t="shared" si="76"/>
        <v>-2695.2108619999999</v>
      </c>
      <c r="J256">
        <f t="shared" si="77"/>
        <v>-3369.0412759999995</v>
      </c>
      <c r="L256">
        <f t="shared" si="78"/>
        <v>212724.48000000001</v>
      </c>
      <c r="M256">
        <f t="shared" si="79"/>
        <v>-1091425784.4000001</v>
      </c>
      <c r="N256">
        <f t="shared" si="80"/>
        <v>-1859619046.9199998</v>
      </c>
      <c r="O256">
        <f t="shared" si="81"/>
        <v>-2061808056.96</v>
      </c>
      <c r="P256">
        <f t="shared" si="82"/>
        <v>-2479593993.04</v>
      </c>
      <c r="Q256">
        <f t="shared" si="83"/>
        <v>-2560471369.7599998</v>
      </c>
      <c r="S256">
        <f t="shared" si="84"/>
        <v>232667.40000000002</v>
      </c>
      <c r="T256">
        <f t="shared" si="85"/>
        <v>-1226169708.4000001</v>
      </c>
      <c r="U256">
        <f t="shared" si="86"/>
        <v>-2034800551.3399999</v>
      </c>
      <c r="V256">
        <f t="shared" si="87"/>
        <v>-2162877079.3599997</v>
      </c>
      <c r="W256">
        <f t="shared" si="88"/>
        <v>-2883875622.3399997</v>
      </c>
      <c r="X256">
        <f t="shared" si="89"/>
        <v>-2931065910.1199994</v>
      </c>
      <c r="Z256">
        <f t="shared" si="90"/>
        <v>252610.32000000004</v>
      </c>
      <c r="AA256">
        <f t="shared" si="91"/>
        <v>-1360913632.4000001</v>
      </c>
      <c r="AB256">
        <f t="shared" si="92"/>
        <v>-2209982055.7600002</v>
      </c>
      <c r="AC256">
        <f t="shared" si="93"/>
        <v>-2749077409.2799997</v>
      </c>
      <c r="AD256">
        <f t="shared" si="94"/>
        <v>-3288157251.6399999</v>
      </c>
      <c r="AE256">
        <f t="shared" si="95"/>
        <v>-3301660450.4799995</v>
      </c>
    </row>
    <row r="257" spans="1:31" x14ac:dyDescent="0.25">
      <c r="A257">
        <v>32.728623310000003</v>
      </c>
      <c r="B257">
        <v>120.0783842</v>
      </c>
      <c r="C257">
        <v>134.76608279999999</v>
      </c>
      <c r="D257">
        <v>0.84422302000000005</v>
      </c>
      <c r="E257" t="b">
        <f t="shared" si="72"/>
        <v>0</v>
      </c>
      <c r="F257">
        <f t="shared" si="73"/>
        <v>-672.98619098000006</v>
      </c>
      <c r="G257">
        <f t="shared" si="74"/>
        <v>-1346.81660498</v>
      </c>
      <c r="H257">
        <f t="shared" si="75"/>
        <v>-2020.6470189799998</v>
      </c>
      <c r="I257">
        <f t="shared" si="76"/>
        <v>-2694.4774329800002</v>
      </c>
      <c r="J257">
        <f t="shared" si="77"/>
        <v>-3368.3078469799998</v>
      </c>
      <c r="L257">
        <f t="shared" si="78"/>
        <v>1620908.1984000001</v>
      </c>
      <c r="M257">
        <f t="shared" si="79"/>
        <v>-1090237629.3876002</v>
      </c>
      <c r="N257">
        <f t="shared" si="80"/>
        <v>-1858606914.8723998</v>
      </c>
      <c r="O257">
        <f t="shared" si="81"/>
        <v>-2061059959.3595998</v>
      </c>
      <c r="P257">
        <f t="shared" si="82"/>
        <v>-2478919238.3415999</v>
      </c>
      <c r="Q257">
        <f t="shared" si="83"/>
        <v>-2559913963.7048001</v>
      </c>
      <c r="S257">
        <f t="shared" si="84"/>
        <v>1772868.3420000002</v>
      </c>
      <c r="T257">
        <f t="shared" si="85"/>
        <v>-1224834867.5836</v>
      </c>
      <c r="U257">
        <f t="shared" si="86"/>
        <v>-2033693073.5197999</v>
      </c>
      <c r="V257">
        <f t="shared" si="87"/>
        <v>-2162092310.3085995</v>
      </c>
      <c r="W257">
        <f t="shared" si="88"/>
        <v>-2883090853.2885995</v>
      </c>
      <c r="X257">
        <f t="shared" si="89"/>
        <v>-2930427826.8726001</v>
      </c>
      <c r="Z257">
        <f t="shared" si="90"/>
        <v>1924828.4856000002</v>
      </c>
      <c r="AA257">
        <f t="shared" si="91"/>
        <v>-1359432105.7796001</v>
      </c>
      <c r="AB257">
        <f t="shared" si="92"/>
        <v>-2208779232.1672001</v>
      </c>
      <c r="AC257">
        <f t="shared" si="93"/>
        <v>-2748079945.8127995</v>
      </c>
      <c r="AD257">
        <f t="shared" si="94"/>
        <v>-3287262468.2356</v>
      </c>
      <c r="AE257">
        <f t="shared" si="95"/>
        <v>-3300941690.0404</v>
      </c>
    </row>
    <row r="258" spans="1:31" x14ac:dyDescent="0.25">
      <c r="A258">
        <v>32.733669800000001</v>
      </c>
      <c r="B258">
        <v>120.4082372</v>
      </c>
      <c r="C258">
        <v>17.774396899999999</v>
      </c>
      <c r="D258">
        <v>0.10226200000000001</v>
      </c>
      <c r="E258" t="b">
        <f t="shared" si="72"/>
        <v>0</v>
      </c>
      <c r="F258">
        <f t="shared" si="73"/>
        <v>-88.7697225</v>
      </c>
      <c r="G258">
        <f t="shared" si="74"/>
        <v>-177.641707</v>
      </c>
      <c r="H258">
        <f t="shared" si="75"/>
        <v>-266.51369149999999</v>
      </c>
      <c r="I258">
        <f t="shared" si="76"/>
        <v>-355.38567599999999</v>
      </c>
      <c r="J258">
        <f t="shared" si="77"/>
        <v>-444.25766049999999</v>
      </c>
      <c r="L258">
        <f t="shared" si="78"/>
        <v>196343.04000000001</v>
      </c>
      <c r="M258">
        <f t="shared" si="79"/>
        <v>-143806950.45000002</v>
      </c>
      <c r="N258">
        <f t="shared" si="80"/>
        <v>-245145555.65999997</v>
      </c>
      <c r="O258">
        <f t="shared" si="81"/>
        <v>-271843965.32999998</v>
      </c>
      <c r="P258">
        <f t="shared" si="82"/>
        <v>-326954821.91999996</v>
      </c>
      <c r="Q258">
        <f t="shared" si="83"/>
        <v>-337635821.98000002</v>
      </c>
      <c r="S258">
        <f t="shared" si="84"/>
        <v>214750.2</v>
      </c>
      <c r="T258">
        <f t="shared" si="85"/>
        <v>-161560894.95000002</v>
      </c>
      <c r="U258">
        <f t="shared" si="86"/>
        <v>-268238977.56999999</v>
      </c>
      <c r="V258">
        <f t="shared" si="87"/>
        <v>-285169649.90499997</v>
      </c>
      <c r="W258">
        <f t="shared" si="88"/>
        <v>-380262673.31999993</v>
      </c>
      <c r="X258">
        <f t="shared" si="89"/>
        <v>-386504164.63499999</v>
      </c>
      <c r="Z258">
        <f t="shared" si="90"/>
        <v>233157.36000000002</v>
      </c>
      <c r="AA258">
        <f t="shared" si="91"/>
        <v>-179314839.44999999</v>
      </c>
      <c r="AB258">
        <f t="shared" si="92"/>
        <v>-291332399.48000002</v>
      </c>
      <c r="AC258">
        <f t="shared" si="93"/>
        <v>-362458620.43999994</v>
      </c>
      <c r="AD258">
        <f t="shared" si="94"/>
        <v>-433570524.71999997</v>
      </c>
      <c r="AE258">
        <f t="shared" si="95"/>
        <v>-435372507.29000002</v>
      </c>
    </row>
    <row r="259" spans="1:31" x14ac:dyDescent="0.25">
      <c r="A259">
        <v>32.740451299999997</v>
      </c>
      <c r="B259">
        <v>120.3545937</v>
      </c>
      <c r="C259">
        <v>17.774396899999999</v>
      </c>
      <c r="D259">
        <v>0.49175598999999998</v>
      </c>
      <c r="E259" t="b">
        <f t="shared" ref="E259:E322" si="96">D259&gt;C259</f>
        <v>0</v>
      </c>
      <c r="F259">
        <f t="shared" ref="F259:F322" si="97">D259-(C259*(2030-2025))</f>
        <v>-88.380228509999995</v>
      </c>
      <c r="G259">
        <f t="shared" ref="G259:G322" si="98">D259-(C259*(2035-2025))</f>
        <v>-177.25221300999999</v>
      </c>
      <c r="H259">
        <f t="shared" ref="H259:H322" si="99">D259-(C259*(2040-2025))</f>
        <v>-266.12419750999999</v>
      </c>
      <c r="I259">
        <f t="shared" ref="I259:I322" si="100">D259-(C259*(2045-2025))</f>
        <v>-354.99618200999998</v>
      </c>
      <c r="J259">
        <f t="shared" ref="J259:J322" si="101">D259-(C259*(2050-2025))</f>
        <v>-443.86816650999998</v>
      </c>
      <c r="L259">
        <f t="shared" ref="L259:L322" si="102">MIN(C259,D259)*1000000*((280/250)+0.8)</f>
        <v>944171.50080000004</v>
      </c>
      <c r="M259">
        <f t="shared" ref="M259:M322" si="103">MIN(F259,C259)*1000000*((230/250)+0.7)</f>
        <v>-143175970.18619999</v>
      </c>
      <c r="N259">
        <f t="shared" ref="N259:N322" si="104">MIN(G259,C259)*1000000*((195/250)+0.6)</f>
        <v>-244608053.95379996</v>
      </c>
      <c r="O259">
        <f t="shared" ref="O259:O322" si="105">MIN(H259,C259)*1000000*((130/250)+0.5)</f>
        <v>-271446681.46020001</v>
      </c>
      <c r="P259">
        <f t="shared" ref="P259:P322" si="106">MIN(I259,C259)*1000000*((105/250)+0.5)</f>
        <v>-326596487.44919997</v>
      </c>
      <c r="Q259">
        <f t="shared" ref="Q259:Q322" si="107">MIN(J259,C259)*1000000*((90/250)+0.4)</f>
        <v>-337339806.54759997</v>
      </c>
      <c r="S259">
        <f t="shared" ref="S259:S322" si="108">MIN(C259,D259)*1000000*((325/250)+0.8)</f>
        <v>1032687.579</v>
      </c>
      <c r="T259">
        <f t="shared" ref="T259:T322" si="109">MIN(F259,C259)*1000000*((280/250)+0.7)</f>
        <v>-160852015.88819999</v>
      </c>
      <c r="U259">
        <f t="shared" ref="U259:U322" si="110">MIN(G259,C259)*1000000*((227.5/250)+0.6)</f>
        <v>-267650841.6451</v>
      </c>
      <c r="V259">
        <f t="shared" ref="V259:V322" si="111">MIN(H259,C259)*1000000*((142.5/250)+0.5)</f>
        <v>-284752891.33569998</v>
      </c>
      <c r="W259">
        <f t="shared" ref="W259:W322" si="112">MIN(I259,C259)*1000000*((142.5/250)+0.5)</f>
        <v>-379845914.75069994</v>
      </c>
      <c r="X259">
        <f t="shared" ref="X259:X322" si="113">MIN(J259,C259)*1000000*( (117.5/250)+0.4)</f>
        <v>-386165304.86369997</v>
      </c>
      <c r="Z259">
        <f t="shared" ref="Z259:Z322" si="114">MIN(C259,D259)*1000000*((370/250)+0.8)</f>
        <v>1121203.6572</v>
      </c>
      <c r="AA259">
        <f t="shared" ref="AA259:AA322" si="115">MIN(C259,F259)*1000000*((330/250)+0.7)</f>
        <v>-178528061.59019998</v>
      </c>
      <c r="AB259">
        <f t="shared" ref="AB259:AB322" si="116">MIN(C259,G259)*1000000*((260/250)+0.6)</f>
        <v>-290693629.33640003</v>
      </c>
      <c r="AC259">
        <f t="shared" ref="AC259:AC322" si="117">MIN(C259,H259)*1000000*((215/250)+0.5)</f>
        <v>-361928908.61359996</v>
      </c>
      <c r="AD259">
        <f t="shared" ref="AD259:AD322" si="118">MIN(C259,I259)*1000000*((180/250)+0.5)</f>
        <v>-433095342.05219996</v>
      </c>
      <c r="AE259">
        <f t="shared" ref="AE259:AE322" si="119">MIN(C259,J259)*1000000*((145/250)+0.4)</f>
        <v>-434990803.17979997</v>
      </c>
    </row>
    <row r="260" spans="1:31" x14ac:dyDescent="0.25">
      <c r="A260">
        <v>32.741852270000003</v>
      </c>
      <c r="B260">
        <v>119.9710412</v>
      </c>
      <c r="C260">
        <v>134.76608279999999</v>
      </c>
      <c r="D260">
        <v>0.54874498000000005</v>
      </c>
      <c r="E260" t="b">
        <f t="shared" si="96"/>
        <v>0</v>
      </c>
      <c r="F260">
        <f t="shared" si="97"/>
        <v>-673.28166901999998</v>
      </c>
      <c r="G260">
        <f t="shared" si="98"/>
        <v>-1347.11208302</v>
      </c>
      <c r="H260">
        <f t="shared" si="99"/>
        <v>-2020.9424970199998</v>
      </c>
      <c r="I260">
        <f t="shared" si="100"/>
        <v>-2694.7729110200003</v>
      </c>
      <c r="J260">
        <f t="shared" si="101"/>
        <v>-3368.6033250199998</v>
      </c>
      <c r="L260">
        <f t="shared" si="102"/>
        <v>1053590.3616000002</v>
      </c>
      <c r="M260">
        <f t="shared" si="103"/>
        <v>-1090716303.8124001</v>
      </c>
      <c r="N260">
        <f t="shared" si="104"/>
        <v>-1859014674.5675998</v>
      </c>
      <c r="O260">
        <f t="shared" si="105"/>
        <v>-2061361346.9603999</v>
      </c>
      <c r="P260">
        <f t="shared" si="106"/>
        <v>-2479191078.1384001</v>
      </c>
      <c r="Q260">
        <f t="shared" si="107"/>
        <v>-2560138527.0152001</v>
      </c>
      <c r="S260">
        <f t="shared" si="108"/>
        <v>1152364.4580000003</v>
      </c>
      <c r="T260">
        <f t="shared" si="109"/>
        <v>-1225372637.6164</v>
      </c>
      <c r="U260">
        <f t="shared" si="110"/>
        <v>-2034139245.3601999</v>
      </c>
      <c r="V260">
        <f t="shared" si="111"/>
        <v>-2162408471.8113995</v>
      </c>
      <c r="W260">
        <f t="shared" si="112"/>
        <v>-2883407014.7914</v>
      </c>
      <c r="X260">
        <f t="shared" si="113"/>
        <v>-2930684892.7673998</v>
      </c>
      <c r="Z260">
        <f t="shared" si="114"/>
        <v>1251138.5544000003</v>
      </c>
      <c r="AA260">
        <f t="shared" si="115"/>
        <v>-1360028971.4203999</v>
      </c>
      <c r="AB260">
        <f t="shared" si="116"/>
        <v>-2209263816.1528001</v>
      </c>
      <c r="AC260">
        <f t="shared" si="117"/>
        <v>-2748481795.9471993</v>
      </c>
      <c r="AD260">
        <f t="shared" si="118"/>
        <v>-3287622951.4444003</v>
      </c>
      <c r="AE260">
        <f t="shared" si="119"/>
        <v>-3301231258.5195999</v>
      </c>
    </row>
    <row r="261" spans="1:31" x14ac:dyDescent="0.25">
      <c r="A261">
        <v>32.74439091</v>
      </c>
      <c r="B261">
        <v>118.7666186</v>
      </c>
      <c r="C261">
        <v>13.949555399999999</v>
      </c>
      <c r="D261">
        <v>0.18561300999999999</v>
      </c>
      <c r="E261" t="b">
        <f t="shared" si="96"/>
        <v>0</v>
      </c>
      <c r="F261">
        <f t="shared" si="97"/>
        <v>-69.562163990000002</v>
      </c>
      <c r="G261">
        <f t="shared" si="98"/>
        <v>-139.30994099</v>
      </c>
      <c r="H261">
        <f t="shared" si="99"/>
        <v>-209.05771798999999</v>
      </c>
      <c r="I261">
        <f t="shared" si="100"/>
        <v>-278.80549499</v>
      </c>
      <c r="J261">
        <f t="shared" si="101"/>
        <v>-348.55327198999998</v>
      </c>
      <c r="L261">
        <f t="shared" si="102"/>
        <v>356376.97920000006</v>
      </c>
      <c r="M261">
        <f t="shared" si="103"/>
        <v>-112690705.6638</v>
      </c>
      <c r="N261">
        <f t="shared" si="104"/>
        <v>-192247718.56619999</v>
      </c>
      <c r="O261">
        <f t="shared" si="105"/>
        <v>-213238872.34979999</v>
      </c>
      <c r="P261">
        <f t="shared" si="106"/>
        <v>-256501055.3908</v>
      </c>
      <c r="Q261">
        <f t="shared" si="107"/>
        <v>-264900486.71240002</v>
      </c>
      <c r="S261">
        <f t="shared" si="108"/>
        <v>389787.32100000005</v>
      </c>
      <c r="T261">
        <f t="shared" si="109"/>
        <v>-126603138.46179999</v>
      </c>
      <c r="U261">
        <f t="shared" si="110"/>
        <v>-210358010.89490002</v>
      </c>
      <c r="V261">
        <f t="shared" si="111"/>
        <v>-223691758.24929994</v>
      </c>
      <c r="W261">
        <f t="shared" si="112"/>
        <v>-298321879.63929999</v>
      </c>
      <c r="X261">
        <f t="shared" si="113"/>
        <v>-303241346.63130003</v>
      </c>
      <c r="Z261">
        <f t="shared" si="114"/>
        <v>423197.66280000005</v>
      </c>
      <c r="AA261">
        <f t="shared" si="115"/>
        <v>-140515571.25979999</v>
      </c>
      <c r="AB261">
        <f t="shared" si="116"/>
        <v>-228468303.22360003</v>
      </c>
      <c r="AC261">
        <f t="shared" si="117"/>
        <v>-284318496.46639997</v>
      </c>
      <c r="AD261">
        <f t="shared" si="118"/>
        <v>-340142703.88779998</v>
      </c>
      <c r="AE261">
        <f t="shared" si="119"/>
        <v>-341582206.55019999</v>
      </c>
    </row>
    <row r="262" spans="1:31" x14ac:dyDescent="0.25">
      <c r="A262">
        <v>32.74720773</v>
      </c>
      <c r="B262">
        <v>120.30094130000001</v>
      </c>
      <c r="C262">
        <v>17.774396899999999</v>
      </c>
      <c r="D262">
        <v>0.79345697000000004</v>
      </c>
      <c r="E262" t="b">
        <f t="shared" si="96"/>
        <v>0</v>
      </c>
      <c r="F262">
        <f t="shared" si="97"/>
        <v>-88.078527530000002</v>
      </c>
      <c r="G262">
        <f t="shared" si="98"/>
        <v>-176.95051203</v>
      </c>
      <c r="H262">
        <f t="shared" si="99"/>
        <v>-265.82249652999997</v>
      </c>
      <c r="I262">
        <f t="shared" si="100"/>
        <v>-354.69448102999996</v>
      </c>
      <c r="J262">
        <f t="shared" si="101"/>
        <v>-443.56646552999996</v>
      </c>
      <c r="L262">
        <f t="shared" si="102"/>
        <v>1523437.3824000002</v>
      </c>
      <c r="M262">
        <f t="shared" si="103"/>
        <v>-142687214.5986</v>
      </c>
      <c r="N262">
        <f t="shared" si="104"/>
        <v>-244191706.60139999</v>
      </c>
      <c r="O262">
        <f t="shared" si="105"/>
        <v>-271138946.46059996</v>
      </c>
      <c r="P262">
        <f t="shared" si="106"/>
        <v>-326318922.54759997</v>
      </c>
      <c r="Q262">
        <f t="shared" si="107"/>
        <v>-337110513.8028</v>
      </c>
      <c r="S262">
        <f t="shared" si="108"/>
        <v>1666259.6370000003</v>
      </c>
      <c r="T262">
        <f t="shared" si="109"/>
        <v>-160302920.10460001</v>
      </c>
      <c r="U262">
        <f t="shared" si="110"/>
        <v>-267195273.16530001</v>
      </c>
      <c r="V262">
        <f t="shared" si="111"/>
        <v>-284430071.2870999</v>
      </c>
      <c r="W262">
        <f t="shared" si="112"/>
        <v>-379523094.70209992</v>
      </c>
      <c r="X262">
        <f t="shared" si="113"/>
        <v>-385902825.01109999</v>
      </c>
      <c r="Z262">
        <f t="shared" si="114"/>
        <v>1809081.8916000004</v>
      </c>
      <c r="AA262">
        <f t="shared" si="115"/>
        <v>-177918625.61059999</v>
      </c>
      <c r="AB262">
        <f t="shared" si="116"/>
        <v>-290198839.72920001</v>
      </c>
      <c r="AC262">
        <f t="shared" si="117"/>
        <v>-361518595.28079993</v>
      </c>
      <c r="AD262">
        <f t="shared" si="118"/>
        <v>-432727266.85659993</v>
      </c>
      <c r="AE262">
        <f t="shared" si="119"/>
        <v>-434695136.21939999</v>
      </c>
    </row>
    <row r="263" spans="1:31" x14ac:dyDescent="0.25">
      <c r="A263">
        <v>32.753939090000003</v>
      </c>
      <c r="B263">
        <v>120.2472801</v>
      </c>
      <c r="C263">
        <v>134.76608279999999</v>
      </c>
      <c r="D263">
        <v>0.27352800999999999</v>
      </c>
      <c r="E263" t="b">
        <f t="shared" si="96"/>
        <v>0</v>
      </c>
      <c r="F263">
        <f t="shared" si="97"/>
        <v>-673.55688599000007</v>
      </c>
      <c r="G263">
        <f t="shared" si="98"/>
        <v>-1347.38729999</v>
      </c>
      <c r="H263">
        <f t="shared" si="99"/>
        <v>-2021.2177139899998</v>
      </c>
      <c r="I263">
        <f t="shared" si="100"/>
        <v>-2695.04812799</v>
      </c>
      <c r="J263">
        <f t="shared" si="101"/>
        <v>-3368.8785419899996</v>
      </c>
      <c r="L263">
        <f t="shared" si="102"/>
        <v>525173.77920000011</v>
      </c>
      <c r="M263">
        <f t="shared" si="103"/>
        <v>-1091162155.3038001</v>
      </c>
      <c r="N263">
        <f t="shared" si="104"/>
        <v>-1859394473.9861999</v>
      </c>
      <c r="O263">
        <f t="shared" si="105"/>
        <v>-2061642068.2697997</v>
      </c>
      <c r="P263">
        <f t="shared" si="106"/>
        <v>-2479444277.7508001</v>
      </c>
      <c r="Q263">
        <f t="shared" si="107"/>
        <v>-2560347691.9123998</v>
      </c>
      <c r="S263">
        <f t="shared" si="108"/>
        <v>574408.821</v>
      </c>
      <c r="T263">
        <f t="shared" si="109"/>
        <v>-1225873532.5018001</v>
      </c>
      <c r="U263">
        <f t="shared" si="110"/>
        <v>-2034554822.9849</v>
      </c>
      <c r="V263">
        <f t="shared" si="111"/>
        <v>-2162702953.9692993</v>
      </c>
      <c r="W263">
        <f t="shared" si="112"/>
        <v>-2883701496.9492998</v>
      </c>
      <c r="X263">
        <f t="shared" si="113"/>
        <v>-2930924331.5312996</v>
      </c>
      <c r="Z263">
        <f t="shared" si="114"/>
        <v>623643.86280000012</v>
      </c>
      <c r="AA263">
        <f t="shared" si="115"/>
        <v>-1360584909.6998</v>
      </c>
      <c r="AB263">
        <f t="shared" si="116"/>
        <v>-2209715171.9836001</v>
      </c>
      <c r="AC263">
        <f t="shared" si="117"/>
        <v>-2748856091.0263996</v>
      </c>
      <c r="AD263">
        <f t="shared" si="118"/>
        <v>-3287958716.1478004</v>
      </c>
      <c r="AE263">
        <f t="shared" si="119"/>
        <v>-3301500971.1501999</v>
      </c>
    </row>
    <row r="264" spans="1:31" x14ac:dyDescent="0.25">
      <c r="A264">
        <v>32.754980830000001</v>
      </c>
      <c r="B264">
        <v>119.8636637</v>
      </c>
      <c r="C264">
        <v>134.76608279999999</v>
      </c>
      <c r="D264">
        <v>0.92546998999999996</v>
      </c>
      <c r="E264" t="b">
        <f t="shared" si="96"/>
        <v>0</v>
      </c>
      <c r="F264">
        <f t="shared" si="97"/>
        <v>-672.90494401000001</v>
      </c>
      <c r="G264">
        <f t="shared" si="98"/>
        <v>-1346.73535801</v>
      </c>
      <c r="H264">
        <f t="shared" si="99"/>
        <v>-2020.5657720099998</v>
      </c>
      <c r="I264">
        <f t="shared" si="100"/>
        <v>-2694.3961860100003</v>
      </c>
      <c r="J264">
        <f t="shared" si="101"/>
        <v>-3368.2266000099999</v>
      </c>
      <c r="L264">
        <f t="shared" si="102"/>
        <v>1776902.3808000002</v>
      </c>
      <c r="M264">
        <f t="shared" si="103"/>
        <v>-1090106009.2962</v>
      </c>
      <c r="N264">
        <f t="shared" si="104"/>
        <v>-1858494794.0537999</v>
      </c>
      <c r="O264">
        <f t="shared" si="105"/>
        <v>-2060977087.4501998</v>
      </c>
      <c r="P264">
        <f t="shared" si="106"/>
        <v>-2478844491.1292</v>
      </c>
      <c r="Q264">
        <f t="shared" si="107"/>
        <v>-2559852216.0075998</v>
      </c>
      <c r="S264">
        <f t="shared" si="108"/>
        <v>1943486.9790000001</v>
      </c>
      <c r="T264">
        <f t="shared" si="109"/>
        <v>-1224686998.0982001</v>
      </c>
      <c r="U264">
        <f t="shared" si="110"/>
        <v>-2033570390.5950999</v>
      </c>
      <c r="V264">
        <f t="shared" si="111"/>
        <v>-2162005376.0506992</v>
      </c>
      <c r="W264">
        <f t="shared" si="112"/>
        <v>-2883003919.0306997</v>
      </c>
      <c r="X264">
        <f t="shared" si="113"/>
        <v>-2930357142.0086999</v>
      </c>
      <c r="Z264">
        <f t="shared" si="114"/>
        <v>2110071.5772000002</v>
      </c>
      <c r="AA264">
        <f t="shared" si="115"/>
        <v>-1359267986.9001999</v>
      </c>
      <c r="AB264">
        <f t="shared" si="116"/>
        <v>-2208645987.1364002</v>
      </c>
      <c r="AC264">
        <f t="shared" si="117"/>
        <v>-2747969449.9335995</v>
      </c>
      <c r="AD264">
        <f t="shared" si="118"/>
        <v>-3287163346.9322004</v>
      </c>
      <c r="AE264">
        <f t="shared" si="119"/>
        <v>-3300862068.0097995</v>
      </c>
    </row>
    <row r="265" spans="1:31" x14ac:dyDescent="0.25">
      <c r="A265">
        <v>32.761507430000002</v>
      </c>
      <c r="B265">
        <v>119.809962</v>
      </c>
      <c r="C265">
        <v>134.76608279999999</v>
      </c>
      <c r="D265">
        <v>3.3305249200000002</v>
      </c>
      <c r="E265" t="b">
        <f t="shared" si="96"/>
        <v>0</v>
      </c>
      <c r="F265">
        <f t="shared" si="97"/>
        <v>-670.49988908</v>
      </c>
      <c r="G265">
        <f t="shared" si="98"/>
        <v>-1344.33030308</v>
      </c>
      <c r="H265">
        <f t="shared" si="99"/>
        <v>-2018.1607170799998</v>
      </c>
      <c r="I265">
        <f t="shared" si="100"/>
        <v>-2691.9911310800003</v>
      </c>
      <c r="J265">
        <f t="shared" si="101"/>
        <v>-3365.8215450799999</v>
      </c>
      <c r="L265">
        <f t="shared" si="102"/>
        <v>6394607.8464000011</v>
      </c>
      <c r="M265">
        <f t="shared" si="103"/>
        <v>-1086209820.3096001</v>
      </c>
      <c r="N265">
        <f t="shared" si="104"/>
        <v>-1855175818.2503998</v>
      </c>
      <c r="O265">
        <f t="shared" si="105"/>
        <v>-2058523931.4215999</v>
      </c>
      <c r="P265">
        <f t="shared" si="106"/>
        <v>-2476631840.5936003</v>
      </c>
      <c r="Q265">
        <f t="shared" si="107"/>
        <v>-2558024374.2607999</v>
      </c>
      <c r="S265">
        <f t="shared" si="108"/>
        <v>6994102.3320000013</v>
      </c>
      <c r="T265">
        <f t="shared" si="109"/>
        <v>-1220309798.1256001</v>
      </c>
      <c r="U265">
        <f t="shared" si="110"/>
        <v>-2029938757.6508</v>
      </c>
      <c r="V265">
        <f t="shared" si="111"/>
        <v>-2159431967.2755995</v>
      </c>
      <c r="W265">
        <f t="shared" si="112"/>
        <v>-2880430510.2556</v>
      </c>
      <c r="X265">
        <f t="shared" si="113"/>
        <v>-2928264744.2195997</v>
      </c>
      <c r="Z265">
        <f t="shared" si="114"/>
        <v>7593596.8176000016</v>
      </c>
      <c r="AA265">
        <f t="shared" si="115"/>
        <v>-1354409775.9416001</v>
      </c>
      <c r="AB265">
        <f t="shared" si="116"/>
        <v>-2204701697.0511999</v>
      </c>
      <c r="AC265">
        <f t="shared" si="117"/>
        <v>-2744698575.2287998</v>
      </c>
      <c r="AD265">
        <f t="shared" si="118"/>
        <v>-3284229179.9176006</v>
      </c>
      <c r="AE265">
        <f t="shared" si="119"/>
        <v>-3298505114.1784</v>
      </c>
    </row>
    <row r="266" spans="1:31" x14ac:dyDescent="0.25">
      <c r="A266">
        <v>32.765360110000003</v>
      </c>
      <c r="B266">
        <v>120.5235983</v>
      </c>
      <c r="C266">
        <v>17.774396899999999</v>
      </c>
      <c r="D266">
        <v>0.28209900999999998</v>
      </c>
      <c r="E266" t="b">
        <f t="shared" si="96"/>
        <v>0</v>
      </c>
      <c r="F266">
        <f t="shared" si="97"/>
        <v>-88.58988549</v>
      </c>
      <c r="G266">
        <f t="shared" si="98"/>
        <v>-177.46186999</v>
      </c>
      <c r="H266">
        <f t="shared" si="99"/>
        <v>-266.33385448999996</v>
      </c>
      <c r="I266">
        <f t="shared" si="100"/>
        <v>-355.20583898999996</v>
      </c>
      <c r="J266">
        <f t="shared" si="101"/>
        <v>-444.07782348999996</v>
      </c>
      <c r="L266">
        <f t="shared" si="102"/>
        <v>541630.09920000006</v>
      </c>
      <c r="M266">
        <f t="shared" si="103"/>
        <v>-143515614.49380001</v>
      </c>
      <c r="N266">
        <f t="shared" si="104"/>
        <v>-244897380.5862</v>
      </c>
      <c r="O266">
        <f t="shared" si="105"/>
        <v>-271660531.57979995</v>
      </c>
      <c r="P266">
        <f t="shared" si="106"/>
        <v>-326789371.8707999</v>
      </c>
      <c r="Q266">
        <f t="shared" si="107"/>
        <v>-337499145.85239995</v>
      </c>
      <c r="S266">
        <f t="shared" si="108"/>
        <v>592407.92100000009</v>
      </c>
      <c r="T266">
        <f t="shared" si="109"/>
        <v>-161233591.5918</v>
      </c>
      <c r="U266">
        <f t="shared" si="110"/>
        <v>-267967423.68490002</v>
      </c>
      <c r="V266">
        <f t="shared" si="111"/>
        <v>-284977224.30429989</v>
      </c>
      <c r="W266">
        <f t="shared" si="112"/>
        <v>-380070247.71929991</v>
      </c>
      <c r="X266">
        <f t="shared" si="113"/>
        <v>-386347706.43629998</v>
      </c>
      <c r="Z266">
        <f t="shared" si="114"/>
        <v>643185.74280000012</v>
      </c>
      <c r="AA266">
        <f t="shared" si="115"/>
        <v>-178951568.68979999</v>
      </c>
      <c r="AB266">
        <f t="shared" si="116"/>
        <v>-291037466.78360003</v>
      </c>
      <c r="AC266">
        <f t="shared" si="117"/>
        <v>-362214042.10639989</v>
      </c>
      <c r="AD266">
        <f t="shared" si="118"/>
        <v>-433351123.56779993</v>
      </c>
      <c r="AE266">
        <f t="shared" si="119"/>
        <v>-435196267.02019995</v>
      </c>
    </row>
    <row r="267" spans="1:31" x14ac:dyDescent="0.25">
      <c r="A267">
        <v>32.780936480000001</v>
      </c>
      <c r="B267">
        <v>119.64880580000001</v>
      </c>
      <c r="C267">
        <v>17.315341950000001</v>
      </c>
      <c r="D267">
        <v>9.8554229699999993</v>
      </c>
      <c r="E267" t="b">
        <f t="shared" si="96"/>
        <v>0</v>
      </c>
      <c r="F267">
        <f t="shared" si="97"/>
        <v>-76.721286780000014</v>
      </c>
      <c r="G267">
        <f t="shared" si="98"/>
        <v>-163.29799653000001</v>
      </c>
      <c r="H267">
        <f t="shared" si="99"/>
        <v>-249.87470628</v>
      </c>
      <c r="I267">
        <f t="shared" si="100"/>
        <v>-336.45141603000002</v>
      </c>
      <c r="J267">
        <f t="shared" si="101"/>
        <v>-423.02812577999998</v>
      </c>
      <c r="L267">
        <f t="shared" si="102"/>
        <v>18922412.102399997</v>
      </c>
      <c r="M267">
        <f t="shared" si="103"/>
        <v>-124288484.58360003</v>
      </c>
      <c r="N267">
        <f t="shared" si="104"/>
        <v>-225351235.21139997</v>
      </c>
      <c r="O267">
        <f t="shared" si="105"/>
        <v>-254872200.40560001</v>
      </c>
      <c r="P267">
        <f t="shared" si="106"/>
        <v>-309535302.74760002</v>
      </c>
      <c r="Q267">
        <f t="shared" si="107"/>
        <v>-321501375.59279996</v>
      </c>
      <c r="S267">
        <f t="shared" si="108"/>
        <v>20696388.237</v>
      </c>
      <c r="T267">
        <f t="shared" si="109"/>
        <v>-139632741.93960002</v>
      </c>
      <c r="U267">
        <f t="shared" si="110"/>
        <v>-246579974.76030001</v>
      </c>
      <c r="V267">
        <f t="shared" si="111"/>
        <v>-267365935.71959996</v>
      </c>
      <c r="W267">
        <f t="shared" si="112"/>
        <v>-360003015.15209997</v>
      </c>
      <c r="X267">
        <f t="shared" si="113"/>
        <v>-368034469.42859995</v>
      </c>
      <c r="Z267">
        <f t="shared" si="114"/>
        <v>22470364.371599998</v>
      </c>
      <c r="AA267">
        <f t="shared" si="115"/>
        <v>-154976999.29560003</v>
      </c>
      <c r="AB267">
        <f t="shared" si="116"/>
        <v>-267808714.30920002</v>
      </c>
      <c r="AC267">
        <f t="shared" si="117"/>
        <v>-339829600.54079998</v>
      </c>
      <c r="AD267">
        <f t="shared" si="118"/>
        <v>-410470727.55660003</v>
      </c>
      <c r="AE267">
        <f t="shared" si="119"/>
        <v>-414567563.26439995</v>
      </c>
    </row>
    <row r="268" spans="1:31" x14ac:dyDescent="0.25">
      <c r="A268">
        <v>32.783795670000003</v>
      </c>
      <c r="B268">
        <v>118.82755160000001</v>
      </c>
      <c r="C268">
        <v>13.949555399999999</v>
      </c>
      <c r="D268">
        <v>1.4663449500000001</v>
      </c>
      <c r="E268" t="b">
        <f t="shared" si="96"/>
        <v>0</v>
      </c>
      <c r="F268">
        <f t="shared" si="97"/>
        <v>-68.281432049999992</v>
      </c>
      <c r="G268">
        <f t="shared" si="98"/>
        <v>-138.02920904999999</v>
      </c>
      <c r="H268">
        <f t="shared" si="99"/>
        <v>-207.77698604999998</v>
      </c>
      <c r="I268">
        <f t="shared" si="100"/>
        <v>-277.52476304999999</v>
      </c>
      <c r="J268">
        <f t="shared" si="101"/>
        <v>-347.27254004999998</v>
      </c>
      <c r="L268">
        <f t="shared" si="102"/>
        <v>2815382.3040000005</v>
      </c>
      <c r="M268">
        <f t="shared" si="103"/>
        <v>-110615919.921</v>
      </c>
      <c r="N268">
        <f t="shared" si="104"/>
        <v>-190480308.48899996</v>
      </c>
      <c r="O268">
        <f t="shared" si="105"/>
        <v>-211932525.771</v>
      </c>
      <c r="P268">
        <f t="shared" si="106"/>
        <v>-255322782.00599998</v>
      </c>
      <c r="Q268">
        <f t="shared" si="107"/>
        <v>-263927130.43799996</v>
      </c>
      <c r="S268">
        <f t="shared" si="108"/>
        <v>3079324.3950000005</v>
      </c>
      <c r="T268">
        <f t="shared" si="109"/>
        <v>-124272206.331</v>
      </c>
      <c r="U268">
        <f t="shared" si="110"/>
        <v>-208424105.66549999</v>
      </c>
      <c r="V268">
        <f t="shared" si="111"/>
        <v>-222321375.07349995</v>
      </c>
      <c r="W268">
        <f t="shared" si="112"/>
        <v>-296951496.46349996</v>
      </c>
      <c r="X268">
        <f t="shared" si="113"/>
        <v>-302127109.84349996</v>
      </c>
      <c r="Z268">
        <f t="shared" si="114"/>
        <v>3343266.486000001</v>
      </c>
      <c r="AA268">
        <f t="shared" si="115"/>
        <v>-137928492.741</v>
      </c>
      <c r="AB268">
        <f t="shared" si="116"/>
        <v>-226367902.84199998</v>
      </c>
      <c r="AC268">
        <f t="shared" si="117"/>
        <v>-282576701.02799994</v>
      </c>
      <c r="AD268">
        <f t="shared" si="118"/>
        <v>-338580210.921</v>
      </c>
      <c r="AE268">
        <f t="shared" si="119"/>
        <v>-340327089.24899995</v>
      </c>
    </row>
    <row r="269" spans="1:31" x14ac:dyDescent="0.25">
      <c r="A269">
        <v>32.785791940000003</v>
      </c>
      <c r="B269">
        <v>120.3626074</v>
      </c>
      <c r="C269">
        <v>17.774396899999999</v>
      </c>
      <c r="D269">
        <v>8.3521999999999999E-2</v>
      </c>
      <c r="E269" t="b">
        <f t="shared" si="96"/>
        <v>0</v>
      </c>
      <c r="F269">
        <f t="shared" si="97"/>
        <v>-88.788462499999994</v>
      </c>
      <c r="G269">
        <f t="shared" si="98"/>
        <v>-177.660447</v>
      </c>
      <c r="H269">
        <f t="shared" si="99"/>
        <v>-266.53243149999997</v>
      </c>
      <c r="I269">
        <f t="shared" si="100"/>
        <v>-355.40441599999997</v>
      </c>
      <c r="J269">
        <f t="shared" si="101"/>
        <v>-444.27640049999997</v>
      </c>
      <c r="L269">
        <f t="shared" si="102"/>
        <v>160362.24000000002</v>
      </c>
      <c r="M269">
        <f t="shared" si="103"/>
        <v>-143837309.25</v>
      </c>
      <c r="N269">
        <f t="shared" si="104"/>
        <v>-245171416.85999998</v>
      </c>
      <c r="O269">
        <f t="shared" si="105"/>
        <v>-271863080.13</v>
      </c>
      <c r="P269">
        <f t="shared" si="106"/>
        <v>-326972062.71999991</v>
      </c>
      <c r="Q269">
        <f t="shared" si="107"/>
        <v>-337650064.37999994</v>
      </c>
      <c r="S269">
        <f t="shared" si="108"/>
        <v>175396.2</v>
      </c>
      <c r="T269">
        <f t="shared" si="109"/>
        <v>-161595001.75</v>
      </c>
      <c r="U269">
        <f t="shared" si="110"/>
        <v>-268267274.97</v>
      </c>
      <c r="V269">
        <f t="shared" si="111"/>
        <v>-285189701.70499992</v>
      </c>
      <c r="W269">
        <f t="shared" si="112"/>
        <v>-380282725.11999989</v>
      </c>
      <c r="X269">
        <f t="shared" si="113"/>
        <v>-386520468.43499994</v>
      </c>
      <c r="Z269">
        <f t="shared" si="114"/>
        <v>190430.16000000003</v>
      </c>
      <c r="AA269">
        <f t="shared" si="115"/>
        <v>-179352694.25</v>
      </c>
      <c r="AB269">
        <f t="shared" si="116"/>
        <v>-291363133.08000004</v>
      </c>
      <c r="AC269">
        <f t="shared" si="117"/>
        <v>-362484106.83999991</v>
      </c>
      <c r="AD269">
        <f t="shared" si="118"/>
        <v>-433593387.51999992</v>
      </c>
      <c r="AE269">
        <f t="shared" si="119"/>
        <v>-435390872.48999995</v>
      </c>
    </row>
    <row r="270" spans="1:31" x14ac:dyDescent="0.25">
      <c r="A270">
        <v>32.789836639999997</v>
      </c>
      <c r="B270">
        <v>118.7737516</v>
      </c>
      <c r="C270">
        <v>13.949555399999999</v>
      </c>
      <c r="D270">
        <v>0.94662701999999999</v>
      </c>
      <c r="E270" t="b">
        <f t="shared" si="96"/>
        <v>0</v>
      </c>
      <c r="F270">
        <f t="shared" si="97"/>
        <v>-68.801149980000005</v>
      </c>
      <c r="G270">
        <f t="shared" si="98"/>
        <v>-138.54892698</v>
      </c>
      <c r="H270">
        <f t="shared" si="99"/>
        <v>-208.29670397999999</v>
      </c>
      <c r="I270">
        <f t="shared" si="100"/>
        <v>-278.04448098</v>
      </c>
      <c r="J270">
        <f t="shared" si="101"/>
        <v>-347.79225797999999</v>
      </c>
      <c r="L270">
        <f t="shared" si="102"/>
        <v>1817523.8784000003</v>
      </c>
      <c r="M270">
        <f t="shared" si="103"/>
        <v>-111457862.96760002</v>
      </c>
      <c r="N270">
        <f t="shared" si="104"/>
        <v>-191197519.2324</v>
      </c>
      <c r="O270">
        <f t="shared" si="105"/>
        <v>-212462638.0596</v>
      </c>
      <c r="P270">
        <f t="shared" si="106"/>
        <v>-255800922.5016</v>
      </c>
      <c r="Q270">
        <f t="shared" si="107"/>
        <v>-264322116.06479996</v>
      </c>
      <c r="S270">
        <f t="shared" si="108"/>
        <v>1987916.7420000001</v>
      </c>
      <c r="T270">
        <f t="shared" si="109"/>
        <v>-125218092.96360001</v>
      </c>
      <c r="U270">
        <f t="shared" si="110"/>
        <v>-209208879.73980004</v>
      </c>
      <c r="V270">
        <f t="shared" si="111"/>
        <v>-222877473.25859997</v>
      </c>
      <c r="W270">
        <f t="shared" si="112"/>
        <v>-297507594.64859998</v>
      </c>
      <c r="X270">
        <f t="shared" si="113"/>
        <v>-302579264.44259995</v>
      </c>
      <c r="Z270">
        <f t="shared" si="114"/>
        <v>2158309.6056000004</v>
      </c>
      <c r="AA270">
        <f t="shared" si="115"/>
        <v>-138978322.9596</v>
      </c>
      <c r="AB270">
        <f t="shared" si="116"/>
        <v>-227220240.24720004</v>
      </c>
      <c r="AC270">
        <f t="shared" si="117"/>
        <v>-283283517.41279995</v>
      </c>
      <c r="AD270">
        <f t="shared" si="118"/>
        <v>-339214266.7956</v>
      </c>
      <c r="AE270">
        <f t="shared" si="119"/>
        <v>-340836412.82039994</v>
      </c>
    </row>
    <row r="271" spans="1:31" x14ac:dyDescent="0.25">
      <c r="A271">
        <v>32.793800179999998</v>
      </c>
      <c r="B271">
        <v>119.9251289</v>
      </c>
      <c r="C271">
        <v>134.76608279999999</v>
      </c>
      <c r="D271">
        <v>2.9357829099999999</v>
      </c>
      <c r="E271" t="b">
        <f t="shared" si="96"/>
        <v>0</v>
      </c>
      <c r="F271">
        <f t="shared" si="97"/>
        <v>-670.89463109000008</v>
      </c>
      <c r="G271">
        <f t="shared" si="98"/>
        <v>-1344.7250450900001</v>
      </c>
      <c r="H271">
        <f t="shared" si="99"/>
        <v>-2018.5554590899999</v>
      </c>
      <c r="I271">
        <f t="shared" si="100"/>
        <v>-2692.3858730900001</v>
      </c>
      <c r="J271">
        <f t="shared" si="101"/>
        <v>-3366.2162870899997</v>
      </c>
      <c r="L271">
        <f t="shared" si="102"/>
        <v>5636703.1871999996</v>
      </c>
      <c r="M271">
        <f t="shared" si="103"/>
        <v>-1086849302.3658001</v>
      </c>
      <c r="N271">
        <f t="shared" si="104"/>
        <v>-1855720562.2242</v>
      </c>
      <c r="O271">
        <f t="shared" si="105"/>
        <v>-2058926568.2718</v>
      </c>
      <c r="P271">
        <f t="shared" si="106"/>
        <v>-2476995003.2427998</v>
      </c>
      <c r="Q271">
        <f t="shared" si="107"/>
        <v>-2558324378.1883998</v>
      </c>
      <c r="S271">
        <f t="shared" si="108"/>
        <v>6165144.1109999996</v>
      </c>
      <c r="T271">
        <f t="shared" si="109"/>
        <v>-1221028228.5838001</v>
      </c>
      <c r="U271">
        <f t="shared" si="110"/>
        <v>-2030534818.0859003</v>
      </c>
      <c r="V271">
        <f t="shared" si="111"/>
        <v>-2159854341.2262998</v>
      </c>
      <c r="W271">
        <f t="shared" si="112"/>
        <v>-2880852884.2062998</v>
      </c>
      <c r="X271">
        <f t="shared" si="113"/>
        <v>-2928608169.7682996</v>
      </c>
      <c r="Z271">
        <f t="shared" si="114"/>
        <v>6693585.0347999996</v>
      </c>
      <c r="AA271">
        <f t="shared" si="115"/>
        <v>-1355207154.8018</v>
      </c>
      <c r="AB271">
        <f t="shared" si="116"/>
        <v>-2205349073.9476004</v>
      </c>
      <c r="AC271">
        <f t="shared" si="117"/>
        <v>-2745235424.3623996</v>
      </c>
      <c r="AD271">
        <f t="shared" si="118"/>
        <v>-3284710765.1698003</v>
      </c>
      <c r="AE271">
        <f t="shared" si="119"/>
        <v>-3298891961.3481998</v>
      </c>
    </row>
    <row r="272" spans="1:31" x14ac:dyDescent="0.25">
      <c r="A272">
        <v>32.806886280000001</v>
      </c>
      <c r="B272">
        <v>119.8176758</v>
      </c>
      <c r="C272">
        <v>134.76608279999999</v>
      </c>
      <c r="D272">
        <v>1.0994189999999999</v>
      </c>
      <c r="E272" t="b">
        <f t="shared" si="96"/>
        <v>0</v>
      </c>
      <c r="F272">
        <f t="shared" si="97"/>
        <v>-672.73099500000001</v>
      </c>
      <c r="G272">
        <f t="shared" si="98"/>
        <v>-1346.5614090000001</v>
      </c>
      <c r="H272">
        <f t="shared" si="99"/>
        <v>-2020.3918229999999</v>
      </c>
      <c r="I272">
        <f t="shared" si="100"/>
        <v>-2694.222237</v>
      </c>
      <c r="J272">
        <f t="shared" si="101"/>
        <v>-3368.0526509999995</v>
      </c>
      <c r="L272">
        <f t="shared" si="102"/>
        <v>2110884.48</v>
      </c>
      <c r="M272">
        <f t="shared" si="103"/>
        <v>-1089824211.9000001</v>
      </c>
      <c r="N272">
        <f t="shared" si="104"/>
        <v>-1858254744.4200001</v>
      </c>
      <c r="O272">
        <f t="shared" si="105"/>
        <v>-2060799659.46</v>
      </c>
      <c r="P272">
        <f t="shared" si="106"/>
        <v>-2478684458.04</v>
      </c>
      <c r="Q272">
        <f t="shared" si="107"/>
        <v>-2559720014.7599998</v>
      </c>
      <c r="S272">
        <f t="shared" si="108"/>
        <v>2308779.9</v>
      </c>
      <c r="T272">
        <f t="shared" si="109"/>
        <v>-1224370410.9000001</v>
      </c>
      <c r="U272">
        <f t="shared" si="110"/>
        <v>-2033307727.5900004</v>
      </c>
      <c r="V272">
        <f t="shared" si="111"/>
        <v>-2161819250.6099997</v>
      </c>
      <c r="W272">
        <f t="shared" si="112"/>
        <v>-2882817793.5899997</v>
      </c>
      <c r="X272">
        <f t="shared" si="113"/>
        <v>-2930205806.3699994</v>
      </c>
      <c r="Z272">
        <f t="shared" si="114"/>
        <v>2506675.3200000003</v>
      </c>
      <c r="AA272">
        <f t="shared" si="115"/>
        <v>-1358916609.9000001</v>
      </c>
      <c r="AB272">
        <f t="shared" si="116"/>
        <v>-2208360710.7600007</v>
      </c>
      <c r="AC272">
        <f t="shared" si="117"/>
        <v>-2747732879.2799997</v>
      </c>
      <c r="AD272">
        <f t="shared" si="118"/>
        <v>-3286951129.1399999</v>
      </c>
      <c r="AE272">
        <f t="shared" si="119"/>
        <v>-3300691597.9799995</v>
      </c>
    </row>
    <row r="273" spans="1:31" x14ac:dyDescent="0.25">
      <c r="A273">
        <v>32.817074359999999</v>
      </c>
      <c r="B273">
        <v>118.9423567</v>
      </c>
      <c r="C273">
        <v>13.949555399999999</v>
      </c>
      <c r="D273">
        <v>1.6332730099999999</v>
      </c>
      <c r="E273" t="b">
        <f t="shared" si="96"/>
        <v>0</v>
      </c>
      <c r="F273">
        <f t="shared" si="97"/>
        <v>-68.114503990000003</v>
      </c>
      <c r="G273">
        <f t="shared" si="98"/>
        <v>-137.86228098999999</v>
      </c>
      <c r="H273">
        <f t="shared" si="99"/>
        <v>-207.61005798999997</v>
      </c>
      <c r="I273">
        <f t="shared" si="100"/>
        <v>-277.35783499000001</v>
      </c>
      <c r="J273">
        <f t="shared" si="101"/>
        <v>-347.10561199</v>
      </c>
      <c r="L273">
        <f t="shared" si="102"/>
        <v>3135884.1792000001</v>
      </c>
      <c r="M273">
        <f t="shared" si="103"/>
        <v>-110345496.46380003</v>
      </c>
      <c r="N273">
        <f t="shared" si="104"/>
        <v>-190249947.76619995</v>
      </c>
      <c r="O273">
        <f t="shared" si="105"/>
        <v>-211762259.14979997</v>
      </c>
      <c r="P273">
        <f t="shared" si="106"/>
        <v>-255169208.19079998</v>
      </c>
      <c r="Q273">
        <f t="shared" si="107"/>
        <v>-263800265.11240003</v>
      </c>
      <c r="S273">
        <f t="shared" si="108"/>
        <v>3429873.321</v>
      </c>
      <c r="T273">
        <f t="shared" si="109"/>
        <v>-123968397.26180002</v>
      </c>
      <c r="U273">
        <f t="shared" si="110"/>
        <v>-208172044.29489997</v>
      </c>
      <c r="V273">
        <f t="shared" si="111"/>
        <v>-222142762.04929996</v>
      </c>
      <c r="W273">
        <f t="shared" si="112"/>
        <v>-296772883.43929994</v>
      </c>
      <c r="X273">
        <f t="shared" si="113"/>
        <v>-301981882.43129998</v>
      </c>
      <c r="Z273">
        <f t="shared" si="114"/>
        <v>3723862.4628000003</v>
      </c>
      <c r="AA273">
        <f t="shared" si="115"/>
        <v>-137591298.05980003</v>
      </c>
      <c r="AB273">
        <f t="shared" si="116"/>
        <v>-226094140.82359999</v>
      </c>
      <c r="AC273">
        <f t="shared" si="117"/>
        <v>-282349678.86639994</v>
      </c>
      <c r="AD273">
        <f t="shared" si="118"/>
        <v>-338376558.68779999</v>
      </c>
      <c r="AE273">
        <f t="shared" si="119"/>
        <v>-340163499.75019997</v>
      </c>
    </row>
    <row r="274" spans="1:31" x14ac:dyDescent="0.25">
      <c r="A274">
        <v>32.818749969999999</v>
      </c>
      <c r="B274">
        <v>113.15543839999999</v>
      </c>
      <c r="C274">
        <v>42.111118320000003</v>
      </c>
      <c r="D274">
        <v>1.0643060200000001</v>
      </c>
      <c r="E274" t="b">
        <f t="shared" si="96"/>
        <v>0</v>
      </c>
      <c r="F274">
        <f t="shared" si="97"/>
        <v>-209.49128558000001</v>
      </c>
      <c r="G274">
        <f t="shared" si="98"/>
        <v>-420.04687718000002</v>
      </c>
      <c r="H274">
        <f t="shared" si="99"/>
        <v>-630.60246877999998</v>
      </c>
      <c r="I274">
        <f t="shared" si="100"/>
        <v>-841.15806038000005</v>
      </c>
      <c r="J274">
        <f t="shared" si="101"/>
        <v>-1051.7136519800001</v>
      </c>
      <c r="L274">
        <f t="shared" si="102"/>
        <v>2043467.5584000002</v>
      </c>
      <c r="M274">
        <f t="shared" si="103"/>
        <v>-339375882.63960004</v>
      </c>
      <c r="N274">
        <f t="shared" si="104"/>
        <v>-579664690.50839996</v>
      </c>
      <c r="O274">
        <f t="shared" si="105"/>
        <v>-643214518.15559995</v>
      </c>
      <c r="P274">
        <f t="shared" si="106"/>
        <v>-773865415.54959989</v>
      </c>
      <c r="Q274">
        <f t="shared" si="107"/>
        <v>-799302375.50480008</v>
      </c>
      <c r="S274">
        <f t="shared" si="108"/>
        <v>2235042.642</v>
      </c>
      <c r="T274">
        <f t="shared" si="109"/>
        <v>-381274139.75560004</v>
      </c>
      <c r="U274">
        <f t="shared" si="110"/>
        <v>-634270784.54180002</v>
      </c>
      <c r="V274">
        <f t="shared" si="111"/>
        <v>-674744641.59459984</v>
      </c>
      <c r="W274">
        <f t="shared" si="112"/>
        <v>-900039124.60659981</v>
      </c>
      <c r="X274">
        <f t="shared" si="113"/>
        <v>-914990877.2226001</v>
      </c>
      <c r="Z274">
        <f t="shared" si="114"/>
        <v>2426617.7256000005</v>
      </c>
      <c r="AA274">
        <f t="shared" si="115"/>
        <v>-423172396.87160003</v>
      </c>
      <c r="AB274">
        <f t="shared" si="116"/>
        <v>-688876878.57520008</v>
      </c>
      <c r="AC274">
        <f t="shared" si="117"/>
        <v>-857619357.54079986</v>
      </c>
      <c r="AD274">
        <f t="shared" si="118"/>
        <v>-1026212833.6636</v>
      </c>
      <c r="AE274">
        <f t="shared" si="119"/>
        <v>-1030679378.9404001</v>
      </c>
    </row>
    <row r="275" spans="1:31" x14ac:dyDescent="0.25">
      <c r="A275">
        <v>32.826326870000003</v>
      </c>
      <c r="B275">
        <v>119.656432</v>
      </c>
      <c r="C275">
        <v>134.76608279999999</v>
      </c>
      <c r="D275">
        <v>2.3453999999999999E-2</v>
      </c>
      <c r="E275" t="b">
        <f t="shared" si="96"/>
        <v>0</v>
      </c>
      <c r="F275">
        <f t="shared" si="97"/>
        <v>-673.80696</v>
      </c>
      <c r="G275">
        <f t="shared" si="98"/>
        <v>-1347.6373740000001</v>
      </c>
      <c r="H275">
        <f t="shared" si="99"/>
        <v>-2021.4677879999999</v>
      </c>
      <c r="I275">
        <f t="shared" si="100"/>
        <v>-2695.2982019999999</v>
      </c>
      <c r="J275">
        <f t="shared" si="101"/>
        <v>-3369.1286159999995</v>
      </c>
      <c r="L275">
        <f t="shared" si="102"/>
        <v>45031.68</v>
      </c>
      <c r="M275">
        <f t="shared" si="103"/>
        <v>-1091567275.2</v>
      </c>
      <c r="N275">
        <f t="shared" si="104"/>
        <v>-1859739576.1200001</v>
      </c>
      <c r="O275">
        <f t="shared" si="105"/>
        <v>-2061897143.76</v>
      </c>
      <c r="P275">
        <f t="shared" si="106"/>
        <v>-2479674345.8399997</v>
      </c>
      <c r="Q275">
        <f t="shared" si="107"/>
        <v>-2560537748.1599998</v>
      </c>
      <c r="S275">
        <f t="shared" si="108"/>
        <v>49253.4</v>
      </c>
      <c r="T275">
        <f t="shared" si="109"/>
        <v>-1226328667.2</v>
      </c>
      <c r="U275">
        <f t="shared" si="110"/>
        <v>-2034932434.7400005</v>
      </c>
      <c r="V275">
        <f t="shared" si="111"/>
        <v>-2162970533.1599998</v>
      </c>
      <c r="W275">
        <f t="shared" si="112"/>
        <v>-2883969076.1399994</v>
      </c>
      <c r="X275">
        <f t="shared" si="113"/>
        <v>-2931141895.9199996</v>
      </c>
      <c r="Z275">
        <f t="shared" si="114"/>
        <v>53475.12</v>
      </c>
      <c r="AA275">
        <f t="shared" si="115"/>
        <v>-1361090059.2</v>
      </c>
      <c r="AB275">
        <f t="shared" si="116"/>
        <v>-2210125293.3600006</v>
      </c>
      <c r="AC275">
        <f t="shared" si="117"/>
        <v>-2749196191.6799998</v>
      </c>
      <c r="AD275">
        <f t="shared" si="118"/>
        <v>-3288263806.4400001</v>
      </c>
      <c r="AE275">
        <f t="shared" si="119"/>
        <v>-3301746043.6799994</v>
      </c>
    </row>
    <row r="276" spans="1:31" x14ac:dyDescent="0.25">
      <c r="A276">
        <v>32.837865209999997</v>
      </c>
      <c r="B276">
        <v>119.16488409999999</v>
      </c>
      <c r="C276">
        <v>13.185196879999999</v>
      </c>
      <c r="D276">
        <v>0.25119701</v>
      </c>
      <c r="E276" t="b">
        <f t="shared" si="96"/>
        <v>0</v>
      </c>
      <c r="F276">
        <f t="shared" si="97"/>
        <v>-65.674787390000006</v>
      </c>
      <c r="G276">
        <f t="shared" si="98"/>
        <v>-131.60077179000001</v>
      </c>
      <c r="H276">
        <f t="shared" si="99"/>
        <v>-197.52675618999999</v>
      </c>
      <c r="I276">
        <f t="shared" si="100"/>
        <v>-263.45274059000002</v>
      </c>
      <c r="J276">
        <f t="shared" si="101"/>
        <v>-329.37872498999997</v>
      </c>
      <c r="L276">
        <f t="shared" si="102"/>
        <v>482298.25920000003</v>
      </c>
      <c r="M276">
        <f t="shared" si="103"/>
        <v>-106393155.57180002</v>
      </c>
      <c r="N276">
        <f t="shared" si="104"/>
        <v>-181609065.0702</v>
      </c>
      <c r="O276">
        <f t="shared" si="105"/>
        <v>-201477291.31380001</v>
      </c>
      <c r="P276">
        <f t="shared" si="106"/>
        <v>-242376521.34280002</v>
      </c>
      <c r="Q276">
        <f t="shared" si="107"/>
        <v>-250327830.99239996</v>
      </c>
      <c r="S276">
        <f t="shared" si="108"/>
        <v>527513.72100000002</v>
      </c>
      <c r="T276">
        <f t="shared" si="109"/>
        <v>-119528113.04980002</v>
      </c>
      <c r="U276">
        <f t="shared" si="110"/>
        <v>-198717165.40290001</v>
      </c>
      <c r="V276">
        <f t="shared" si="111"/>
        <v>-211353629.12329996</v>
      </c>
      <c r="W276">
        <f t="shared" si="112"/>
        <v>-281894432.43129998</v>
      </c>
      <c r="X276">
        <f t="shared" si="113"/>
        <v>-286559490.74129993</v>
      </c>
      <c r="Z276">
        <f t="shared" si="114"/>
        <v>572729.18280000007</v>
      </c>
      <c r="AA276">
        <f t="shared" si="115"/>
        <v>-132663070.52780002</v>
      </c>
      <c r="AB276">
        <f t="shared" si="116"/>
        <v>-215825265.73560002</v>
      </c>
      <c r="AC276">
        <f t="shared" si="117"/>
        <v>-268636388.41839999</v>
      </c>
      <c r="AD276">
        <f t="shared" si="118"/>
        <v>-321412343.51980001</v>
      </c>
      <c r="AE276">
        <f t="shared" si="119"/>
        <v>-322791150.49019992</v>
      </c>
    </row>
    <row r="277" spans="1:31" x14ac:dyDescent="0.25">
      <c r="A277">
        <v>32.844064709999998</v>
      </c>
      <c r="B277">
        <v>119.11107370000001</v>
      </c>
      <c r="C277">
        <v>13.185196879999999</v>
      </c>
      <c r="D277">
        <v>0.49432999</v>
      </c>
      <c r="E277" t="b">
        <f t="shared" si="96"/>
        <v>0</v>
      </c>
      <c r="F277">
        <f t="shared" si="97"/>
        <v>-65.431654410000007</v>
      </c>
      <c r="G277">
        <f t="shared" si="98"/>
        <v>-131.35763881</v>
      </c>
      <c r="H277">
        <f t="shared" si="99"/>
        <v>-197.28362320999997</v>
      </c>
      <c r="I277">
        <f t="shared" si="100"/>
        <v>-263.20960761000003</v>
      </c>
      <c r="J277">
        <f t="shared" si="101"/>
        <v>-329.13559200999998</v>
      </c>
      <c r="L277">
        <f t="shared" si="102"/>
        <v>949113.58080000011</v>
      </c>
      <c r="M277">
        <f t="shared" si="103"/>
        <v>-105999280.14420001</v>
      </c>
      <c r="N277">
        <f t="shared" si="104"/>
        <v>-181273541.55779999</v>
      </c>
      <c r="O277">
        <f t="shared" si="105"/>
        <v>-201229295.67419997</v>
      </c>
      <c r="P277">
        <f t="shared" si="106"/>
        <v>-242152839.00120002</v>
      </c>
      <c r="Q277">
        <f t="shared" si="107"/>
        <v>-250143049.9276</v>
      </c>
      <c r="S277">
        <f t="shared" si="108"/>
        <v>1038092.9790000001</v>
      </c>
      <c r="T277">
        <f t="shared" si="109"/>
        <v>-119085611.02620001</v>
      </c>
      <c r="U277">
        <f t="shared" si="110"/>
        <v>-198350034.6031</v>
      </c>
      <c r="V277">
        <f t="shared" si="111"/>
        <v>-211093476.83469996</v>
      </c>
      <c r="W277">
        <f t="shared" si="112"/>
        <v>-281634280.14270002</v>
      </c>
      <c r="X277">
        <f t="shared" si="113"/>
        <v>-286347965.04869998</v>
      </c>
      <c r="Z277">
        <f t="shared" si="114"/>
        <v>1127072.3772</v>
      </c>
      <c r="AA277">
        <f t="shared" si="115"/>
        <v>-132171941.90820001</v>
      </c>
      <c r="AB277">
        <f t="shared" si="116"/>
        <v>-215426527.64840001</v>
      </c>
      <c r="AC277">
        <f t="shared" si="117"/>
        <v>-268305727.56559995</v>
      </c>
      <c r="AD277">
        <f t="shared" si="118"/>
        <v>-321115721.28420007</v>
      </c>
      <c r="AE277">
        <f t="shared" si="119"/>
        <v>-322552880.16979998</v>
      </c>
    </row>
    <row r="278" spans="1:31" x14ac:dyDescent="0.25">
      <c r="A278">
        <v>32.877061050000002</v>
      </c>
      <c r="B278">
        <v>119.2260782</v>
      </c>
      <c r="C278">
        <v>13.185196879999999</v>
      </c>
      <c r="D278">
        <v>0.95962000000000003</v>
      </c>
      <c r="E278" t="b">
        <f t="shared" si="96"/>
        <v>0</v>
      </c>
      <c r="F278">
        <f t="shared" si="97"/>
        <v>-64.966364400000003</v>
      </c>
      <c r="G278">
        <f t="shared" si="98"/>
        <v>-130.89234880000001</v>
      </c>
      <c r="H278">
        <f t="shared" si="99"/>
        <v>-196.81833319999998</v>
      </c>
      <c r="I278">
        <f t="shared" si="100"/>
        <v>-262.74431760000004</v>
      </c>
      <c r="J278">
        <f t="shared" si="101"/>
        <v>-328.67030199999999</v>
      </c>
      <c r="L278">
        <f t="shared" si="102"/>
        <v>1842470.4000000001</v>
      </c>
      <c r="M278">
        <f t="shared" si="103"/>
        <v>-105245510.32800002</v>
      </c>
      <c r="N278">
        <f t="shared" si="104"/>
        <v>-180631441.34400001</v>
      </c>
      <c r="O278">
        <f t="shared" si="105"/>
        <v>-200754699.86399999</v>
      </c>
      <c r="P278">
        <f t="shared" si="106"/>
        <v>-241724772.19200003</v>
      </c>
      <c r="Q278">
        <f t="shared" si="107"/>
        <v>-249789429.52000001</v>
      </c>
      <c r="S278">
        <f t="shared" si="108"/>
        <v>2015202</v>
      </c>
      <c r="T278">
        <f t="shared" si="109"/>
        <v>-118238783.20800002</v>
      </c>
      <c r="U278">
        <f t="shared" si="110"/>
        <v>-197647446.68800002</v>
      </c>
      <c r="V278">
        <f t="shared" si="111"/>
        <v>-210595616.52399996</v>
      </c>
      <c r="W278">
        <f t="shared" si="112"/>
        <v>-281136419.83200002</v>
      </c>
      <c r="X278">
        <f t="shared" si="113"/>
        <v>-285943162.74000001</v>
      </c>
      <c r="Z278">
        <f t="shared" si="114"/>
        <v>2187933.6</v>
      </c>
      <c r="AA278">
        <f t="shared" si="115"/>
        <v>-131232056.08800001</v>
      </c>
      <c r="AB278">
        <f t="shared" si="116"/>
        <v>-214663452.03200004</v>
      </c>
      <c r="AC278">
        <f t="shared" si="117"/>
        <v>-267672933.15199995</v>
      </c>
      <c r="AD278">
        <f t="shared" si="118"/>
        <v>-320548067.47200006</v>
      </c>
      <c r="AE278">
        <f t="shared" si="119"/>
        <v>-322096895.95999998</v>
      </c>
    </row>
    <row r="279" spans="1:31" x14ac:dyDescent="0.25">
      <c r="A279">
        <v>32.883289449999999</v>
      </c>
      <c r="B279">
        <v>119.1722467</v>
      </c>
      <c r="C279">
        <v>13.185196879999999</v>
      </c>
      <c r="D279">
        <v>1.1769339999999999</v>
      </c>
      <c r="E279" t="b">
        <f t="shared" si="96"/>
        <v>0</v>
      </c>
      <c r="F279">
        <f t="shared" si="97"/>
        <v>-64.749050400000002</v>
      </c>
      <c r="G279">
        <f t="shared" si="98"/>
        <v>-130.67503480000002</v>
      </c>
      <c r="H279">
        <f t="shared" si="99"/>
        <v>-196.6010192</v>
      </c>
      <c r="I279">
        <f t="shared" si="100"/>
        <v>-262.5270036</v>
      </c>
      <c r="J279">
        <f t="shared" si="101"/>
        <v>-328.45298799999995</v>
      </c>
      <c r="L279">
        <f t="shared" si="102"/>
        <v>2259713.2800000003</v>
      </c>
      <c r="M279">
        <f t="shared" si="103"/>
        <v>-104893461.648</v>
      </c>
      <c r="N279">
        <f t="shared" si="104"/>
        <v>-180331548.02400002</v>
      </c>
      <c r="O279">
        <f t="shared" si="105"/>
        <v>-200533039.58399999</v>
      </c>
      <c r="P279">
        <f t="shared" si="106"/>
        <v>-241524843.31199998</v>
      </c>
      <c r="Q279">
        <f t="shared" si="107"/>
        <v>-249624270.87999997</v>
      </c>
      <c r="S279">
        <f t="shared" si="108"/>
        <v>2471561.4</v>
      </c>
      <c r="T279">
        <f t="shared" si="109"/>
        <v>-117843271.728</v>
      </c>
      <c r="U279">
        <f t="shared" si="110"/>
        <v>-197319302.54800004</v>
      </c>
      <c r="V279">
        <f t="shared" si="111"/>
        <v>-210363090.54399997</v>
      </c>
      <c r="W279">
        <f t="shared" si="112"/>
        <v>-280903893.85199994</v>
      </c>
      <c r="X279">
        <f t="shared" si="113"/>
        <v>-285754099.55999994</v>
      </c>
      <c r="Z279">
        <f t="shared" si="114"/>
        <v>2683409.5200000005</v>
      </c>
      <c r="AA279">
        <f t="shared" si="115"/>
        <v>-130793081.808</v>
      </c>
      <c r="AB279">
        <f t="shared" si="116"/>
        <v>-214307057.07200006</v>
      </c>
      <c r="AC279">
        <f t="shared" si="117"/>
        <v>-267377386.11199996</v>
      </c>
      <c r="AD279">
        <f t="shared" si="118"/>
        <v>-320282944.39199996</v>
      </c>
      <c r="AE279">
        <f t="shared" si="119"/>
        <v>-321883928.23999995</v>
      </c>
    </row>
    <row r="280" spans="1:31" x14ac:dyDescent="0.25">
      <c r="A280">
        <v>32.920130129999997</v>
      </c>
      <c r="B280">
        <v>118.8490865</v>
      </c>
      <c r="C280">
        <v>13.949555399999999</v>
      </c>
      <c r="D280">
        <v>0.76259398</v>
      </c>
      <c r="E280" t="b">
        <f t="shared" si="96"/>
        <v>0</v>
      </c>
      <c r="F280">
        <f t="shared" si="97"/>
        <v>-68.985183019999994</v>
      </c>
      <c r="G280">
        <f t="shared" si="98"/>
        <v>-138.73296002000001</v>
      </c>
      <c r="H280">
        <f t="shared" si="99"/>
        <v>-208.48073701999999</v>
      </c>
      <c r="I280">
        <f t="shared" si="100"/>
        <v>-278.22851401999998</v>
      </c>
      <c r="J280">
        <f t="shared" si="101"/>
        <v>-347.97629101999996</v>
      </c>
      <c r="L280">
        <f t="shared" si="102"/>
        <v>1464180.4416</v>
      </c>
      <c r="M280">
        <f t="shared" si="103"/>
        <v>-111755996.49240001</v>
      </c>
      <c r="N280">
        <f t="shared" si="104"/>
        <v>-191451484.8276</v>
      </c>
      <c r="O280">
        <f t="shared" si="105"/>
        <v>-212650351.7604</v>
      </c>
      <c r="P280">
        <f t="shared" si="106"/>
        <v>-255970232.89839995</v>
      </c>
      <c r="Q280">
        <f t="shared" si="107"/>
        <v>-264461981.17519999</v>
      </c>
      <c r="S280">
        <f t="shared" si="108"/>
        <v>1601447.358</v>
      </c>
      <c r="T280">
        <f t="shared" si="109"/>
        <v>-125553033.09639999</v>
      </c>
      <c r="U280">
        <f t="shared" si="110"/>
        <v>-209486769.63020003</v>
      </c>
      <c r="V280">
        <f t="shared" si="111"/>
        <v>-223074388.61139995</v>
      </c>
      <c r="W280">
        <f t="shared" si="112"/>
        <v>-297704510.00139993</v>
      </c>
      <c r="X280">
        <f t="shared" si="113"/>
        <v>-302739373.18739998</v>
      </c>
      <c r="Z280">
        <f t="shared" si="114"/>
        <v>1738714.2744000002</v>
      </c>
      <c r="AA280">
        <f t="shared" si="115"/>
        <v>-139350069.70039999</v>
      </c>
      <c r="AB280">
        <f t="shared" si="116"/>
        <v>-227522054.43280002</v>
      </c>
      <c r="AC280">
        <f t="shared" si="117"/>
        <v>-283533802.34719998</v>
      </c>
      <c r="AD280">
        <f t="shared" si="118"/>
        <v>-339438787.10439998</v>
      </c>
      <c r="AE280">
        <f t="shared" si="119"/>
        <v>-341016765.19959998</v>
      </c>
    </row>
    <row r="281" spans="1:31" x14ac:dyDescent="0.25">
      <c r="A281">
        <v>32.934921840000001</v>
      </c>
      <c r="B281">
        <v>119.1257483</v>
      </c>
      <c r="C281">
        <v>13.185196879999999</v>
      </c>
      <c r="D281">
        <v>2.2273999999999999E-2</v>
      </c>
      <c r="E281" t="b">
        <f t="shared" si="96"/>
        <v>0</v>
      </c>
      <c r="F281">
        <f t="shared" si="97"/>
        <v>-65.903710400000008</v>
      </c>
      <c r="G281">
        <f t="shared" si="98"/>
        <v>-131.8296948</v>
      </c>
      <c r="H281">
        <f t="shared" si="99"/>
        <v>-197.75567919999997</v>
      </c>
      <c r="I281">
        <f t="shared" si="100"/>
        <v>-263.68166360000004</v>
      </c>
      <c r="J281">
        <f t="shared" si="101"/>
        <v>-329.60764799999998</v>
      </c>
      <c r="L281">
        <f t="shared" si="102"/>
        <v>42766.080000000002</v>
      </c>
      <c r="M281">
        <f t="shared" si="103"/>
        <v>-106764010.84800002</v>
      </c>
      <c r="N281">
        <f t="shared" si="104"/>
        <v>-181924978.82399997</v>
      </c>
      <c r="O281">
        <f t="shared" si="105"/>
        <v>-201710792.78399998</v>
      </c>
      <c r="P281">
        <f t="shared" si="106"/>
        <v>-242587130.51199999</v>
      </c>
      <c r="Q281">
        <f t="shared" si="107"/>
        <v>-250501812.47999999</v>
      </c>
      <c r="S281">
        <f t="shared" si="108"/>
        <v>46775.4</v>
      </c>
      <c r="T281">
        <f t="shared" si="109"/>
        <v>-119944752.92800002</v>
      </c>
      <c r="U281">
        <f t="shared" si="110"/>
        <v>-199062839.148</v>
      </c>
      <c r="V281">
        <f t="shared" si="111"/>
        <v>-211598576.74399996</v>
      </c>
      <c r="W281">
        <f t="shared" si="112"/>
        <v>-282139380.05199999</v>
      </c>
      <c r="X281">
        <f t="shared" si="113"/>
        <v>-286758653.75999999</v>
      </c>
      <c r="Z281">
        <f t="shared" si="114"/>
        <v>50784.720000000008</v>
      </c>
      <c r="AA281">
        <f t="shared" si="115"/>
        <v>-133125495.00800002</v>
      </c>
      <c r="AB281">
        <f t="shared" si="116"/>
        <v>-216200699.472</v>
      </c>
      <c r="AC281">
        <f t="shared" si="117"/>
        <v>-268947723.71199995</v>
      </c>
      <c r="AD281">
        <f t="shared" si="118"/>
        <v>-321691629.59200001</v>
      </c>
      <c r="AE281">
        <f t="shared" si="119"/>
        <v>-323015495.04000002</v>
      </c>
    </row>
    <row r="282" spans="1:31" x14ac:dyDescent="0.25">
      <c r="A282">
        <v>32.971632890000002</v>
      </c>
      <c r="B282">
        <v>118.80236309999999</v>
      </c>
      <c r="C282">
        <v>13.185196879999999</v>
      </c>
      <c r="D282">
        <v>0.44052198999999997</v>
      </c>
      <c r="E282" t="b">
        <f t="shared" si="96"/>
        <v>0</v>
      </c>
      <c r="F282">
        <f t="shared" si="97"/>
        <v>-65.485462410000011</v>
      </c>
      <c r="G282">
        <f t="shared" si="98"/>
        <v>-131.41144681</v>
      </c>
      <c r="H282">
        <f t="shared" si="99"/>
        <v>-197.33743120999998</v>
      </c>
      <c r="I282">
        <f t="shared" si="100"/>
        <v>-263.26341561000004</v>
      </c>
      <c r="J282">
        <f t="shared" si="101"/>
        <v>-329.18940000999999</v>
      </c>
      <c r="L282">
        <f t="shared" si="102"/>
        <v>845802.22080000001</v>
      </c>
      <c r="M282">
        <f t="shared" si="103"/>
        <v>-106086449.10420002</v>
      </c>
      <c r="N282">
        <f t="shared" si="104"/>
        <v>-181347796.59779999</v>
      </c>
      <c r="O282">
        <f t="shared" si="105"/>
        <v>-201284179.83419999</v>
      </c>
      <c r="P282">
        <f t="shared" si="106"/>
        <v>-242202342.36120003</v>
      </c>
      <c r="Q282">
        <f t="shared" si="107"/>
        <v>-250183944.00760001</v>
      </c>
      <c r="S282">
        <f t="shared" si="108"/>
        <v>925096.179</v>
      </c>
      <c r="T282">
        <f t="shared" si="109"/>
        <v>-119183541.58620003</v>
      </c>
      <c r="U282">
        <f t="shared" si="110"/>
        <v>-198431284.68310001</v>
      </c>
      <c r="V282">
        <f t="shared" si="111"/>
        <v>-211151051.39469993</v>
      </c>
      <c r="W282">
        <f t="shared" si="112"/>
        <v>-281691854.70270002</v>
      </c>
      <c r="X282">
        <f t="shared" si="113"/>
        <v>-286394778.00870001</v>
      </c>
      <c r="Z282">
        <f t="shared" si="114"/>
        <v>1004390.1372000001</v>
      </c>
      <c r="AA282">
        <f t="shared" si="115"/>
        <v>-132280634.06820002</v>
      </c>
      <c r="AB282">
        <f t="shared" si="116"/>
        <v>-215514772.76840001</v>
      </c>
      <c r="AC282">
        <f t="shared" si="117"/>
        <v>-268378906.44559994</v>
      </c>
      <c r="AD282">
        <f t="shared" si="118"/>
        <v>-321181367.04420006</v>
      </c>
      <c r="AE282">
        <f t="shared" si="119"/>
        <v>-322605612.00979996</v>
      </c>
    </row>
    <row r="283" spans="1:31" x14ac:dyDescent="0.25">
      <c r="A283">
        <v>32.986537579999997</v>
      </c>
      <c r="B283">
        <v>119.0791912</v>
      </c>
      <c r="C283">
        <v>13.185196879999999</v>
      </c>
      <c r="D283">
        <v>0.28646298999999997</v>
      </c>
      <c r="E283" t="b">
        <f t="shared" si="96"/>
        <v>0</v>
      </c>
      <c r="F283">
        <f t="shared" si="97"/>
        <v>-65.63952141</v>
      </c>
      <c r="G283">
        <f t="shared" si="98"/>
        <v>-131.56550581000002</v>
      </c>
      <c r="H283">
        <f t="shared" si="99"/>
        <v>-197.49149020999999</v>
      </c>
      <c r="I283">
        <f t="shared" si="100"/>
        <v>-263.41747461</v>
      </c>
      <c r="J283">
        <f t="shared" si="101"/>
        <v>-329.34345900999995</v>
      </c>
      <c r="L283">
        <f t="shared" si="102"/>
        <v>550008.94079999998</v>
      </c>
      <c r="M283">
        <f t="shared" si="103"/>
        <v>-106336024.68420002</v>
      </c>
      <c r="N283">
        <f t="shared" si="104"/>
        <v>-181560398.0178</v>
      </c>
      <c r="O283">
        <f t="shared" si="105"/>
        <v>-201441320.0142</v>
      </c>
      <c r="P283">
        <f t="shared" si="106"/>
        <v>-242344076.64119998</v>
      </c>
      <c r="Q283">
        <f t="shared" si="107"/>
        <v>-250301028.84759995</v>
      </c>
      <c r="S283">
        <f t="shared" si="108"/>
        <v>601572.27899999998</v>
      </c>
      <c r="T283">
        <f t="shared" si="109"/>
        <v>-119463928.96620001</v>
      </c>
      <c r="U283">
        <f t="shared" si="110"/>
        <v>-198663913.77310002</v>
      </c>
      <c r="V283">
        <f t="shared" si="111"/>
        <v>-211315894.52469999</v>
      </c>
      <c r="W283">
        <f t="shared" si="112"/>
        <v>-281856697.83269995</v>
      </c>
      <c r="X283">
        <f t="shared" si="113"/>
        <v>-286528809.33869994</v>
      </c>
      <c r="Z283">
        <f t="shared" si="114"/>
        <v>653135.6172000001</v>
      </c>
      <c r="AA283">
        <f t="shared" si="115"/>
        <v>-132591833.24820001</v>
      </c>
      <c r="AB283">
        <f t="shared" si="116"/>
        <v>-215767429.52840003</v>
      </c>
      <c r="AC283">
        <f t="shared" si="117"/>
        <v>-268588426.68559998</v>
      </c>
      <c r="AD283">
        <f t="shared" si="118"/>
        <v>-321369319.02419996</v>
      </c>
      <c r="AE283">
        <f t="shared" si="119"/>
        <v>-322756589.82979995</v>
      </c>
    </row>
    <row r="284" spans="1:31" x14ac:dyDescent="0.25">
      <c r="A284">
        <v>32.992697630000002</v>
      </c>
      <c r="B284">
        <v>119.0252763</v>
      </c>
      <c r="C284">
        <v>13.185196879999999</v>
      </c>
      <c r="D284">
        <v>6.6470000000000001E-2</v>
      </c>
      <c r="E284" t="b">
        <f t="shared" si="96"/>
        <v>0</v>
      </c>
      <c r="F284">
        <f t="shared" si="97"/>
        <v>-65.859514400000009</v>
      </c>
      <c r="G284">
        <f t="shared" si="98"/>
        <v>-131.7854988</v>
      </c>
      <c r="H284">
        <f t="shared" si="99"/>
        <v>-197.71148319999998</v>
      </c>
      <c r="I284">
        <f t="shared" si="100"/>
        <v>-263.63746760000004</v>
      </c>
      <c r="J284">
        <f t="shared" si="101"/>
        <v>-329.56345199999998</v>
      </c>
      <c r="L284">
        <f t="shared" si="102"/>
        <v>127622.40000000001</v>
      </c>
      <c r="M284">
        <f t="shared" si="103"/>
        <v>-106692413.32800002</v>
      </c>
      <c r="N284">
        <f t="shared" si="104"/>
        <v>-181863988.34399998</v>
      </c>
      <c r="O284">
        <f t="shared" si="105"/>
        <v>-201665712.86399999</v>
      </c>
      <c r="P284">
        <f t="shared" si="106"/>
        <v>-242546470.192</v>
      </c>
      <c r="Q284">
        <f t="shared" si="107"/>
        <v>-250468223.52000001</v>
      </c>
      <c r="S284">
        <f t="shared" si="108"/>
        <v>139587</v>
      </c>
      <c r="T284">
        <f t="shared" si="109"/>
        <v>-119864316.20800002</v>
      </c>
      <c r="U284">
        <f t="shared" si="110"/>
        <v>-198996103.18799999</v>
      </c>
      <c r="V284">
        <f t="shared" si="111"/>
        <v>-211551287.02399996</v>
      </c>
      <c r="W284">
        <f t="shared" si="112"/>
        <v>-282092090.33199996</v>
      </c>
      <c r="X284">
        <f t="shared" si="113"/>
        <v>-286720203.24000001</v>
      </c>
      <c r="Z284">
        <f t="shared" si="114"/>
        <v>151551.6</v>
      </c>
      <c r="AA284">
        <f t="shared" si="115"/>
        <v>-133036219.08800001</v>
      </c>
      <c r="AB284">
        <f t="shared" si="116"/>
        <v>-216128218.03200001</v>
      </c>
      <c r="AC284">
        <f t="shared" si="117"/>
        <v>-268887617.15199995</v>
      </c>
      <c r="AD284">
        <f t="shared" si="118"/>
        <v>-321637710.472</v>
      </c>
      <c r="AE284">
        <f t="shared" si="119"/>
        <v>-322972182.95999998</v>
      </c>
    </row>
    <row r="285" spans="1:31" x14ac:dyDescent="0.25">
      <c r="A285">
        <v>33.004941940000002</v>
      </c>
      <c r="B285">
        <v>118.9174222</v>
      </c>
      <c r="C285">
        <v>13.185196879999999</v>
      </c>
      <c r="D285">
        <v>1.3682639599999999</v>
      </c>
      <c r="E285" t="b">
        <f t="shared" si="96"/>
        <v>0</v>
      </c>
      <c r="F285">
        <f t="shared" si="97"/>
        <v>-64.557720440000011</v>
      </c>
      <c r="G285">
        <f t="shared" si="98"/>
        <v>-130.48370484</v>
      </c>
      <c r="H285">
        <f t="shared" si="99"/>
        <v>-196.40968923999998</v>
      </c>
      <c r="I285">
        <f t="shared" si="100"/>
        <v>-262.33567364000004</v>
      </c>
      <c r="J285">
        <f t="shared" si="101"/>
        <v>-328.26165803999999</v>
      </c>
      <c r="L285">
        <f t="shared" si="102"/>
        <v>2627066.8032</v>
      </c>
      <c r="M285">
        <f t="shared" si="103"/>
        <v>-104583507.11280003</v>
      </c>
      <c r="N285">
        <f t="shared" si="104"/>
        <v>-180067512.67919999</v>
      </c>
      <c r="O285">
        <f t="shared" si="105"/>
        <v>-200337883.02479997</v>
      </c>
      <c r="P285">
        <f t="shared" si="106"/>
        <v>-241348819.74880001</v>
      </c>
      <c r="Q285">
        <f t="shared" si="107"/>
        <v>-249478860.11039996</v>
      </c>
      <c r="S285">
        <f t="shared" si="108"/>
        <v>2873354.3160000001</v>
      </c>
      <c r="T285">
        <f t="shared" si="109"/>
        <v>-117495051.20080003</v>
      </c>
      <c r="U285">
        <f t="shared" si="110"/>
        <v>-197030394.30840001</v>
      </c>
      <c r="V285">
        <f t="shared" si="111"/>
        <v>-210158367.48679996</v>
      </c>
      <c r="W285">
        <f t="shared" si="112"/>
        <v>-280699170.79479998</v>
      </c>
      <c r="X285">
        <f t="shared" si="113"/>
        <v>-285587642.49479997</v>
      </c>
      <c r="Z285">
        <f t="shared" si="114"/>
        <v>3119641.8288000003</v>
      </c>
      <c r="AA285">
        <f t="shared" si="115"/>
        <v>-130406595.28880003</v>
      </c>
      <c r="AB285">
        <f t="shared" si="116"/>
        <v>-213993275.93760002</v>
      </c>
      <c r="AC285">
        <f t="shared" si="117"/>
        <v>-267117177.36639994</v>
      </c>
      <c r="AD285">
        <f t="shared" si="118"/>
        <v>-320049521.84080005</v>
      </c>
      <c r="AE285">
        <f t="shared" si="119"/>
        <v>-321696424.87919998</v>
      </c>
    </row>
    <row r="286" spans="1:31" x14ac:dyDescent="0.25">
      <c r="A286">
        <v>33.026049</v>
      </c>
      <c r="B286">
        <v>120.2951462</v>
      </c>
      <c r="C286">
        <v>134.76608279999999</v>
      </c>
      <c r="D286">
        <v>4.8578999999999997E-2</v>
      </c>
      <c r="E286" t="b">
        <f t="shared" si="96"/>
        <v>0</v>
      </c>
      <c r="F286">
        <f t="shared" si="97"/>
        <v>-673.781835</v>
      </c>
      <c r="G286">
        <f t="shared" si="98"/>
        <v>-1347.612249</v>
      </c>
      <c r="H286">
        <f t="shared" si="99"/>
        <v>-2021.4426629999998</v>
      </c>
      <c r="I286">
        <f t="shared" si="100"/>
        <v>-2695.2730770000003</v>
      </c>
      <c r="J286">
        <f t="shared" si="101"/>
        <v>-3369.1034909999998</v>
      </c>
      <c r="L286">
        <f t="shared" si="102"/>
        <v>93271.680000000008</v>
      </c>
      <c r="M286">
        <f t="shared" si="103"/>
        <v>-1091526572.7</v>
      </c>
      <c r="N286">
        <f t="shared" si="104"/>
        <v>-1859704903.6199999</v>
      </c>
      <c r="O286">
        <f t="shared" si="105"/>
        <v>-2061871516.2599998</v>
      </c>
      <c r="P286">
        <f t="shared" si="106"/>
        <v>-2479651230.8400002</v>
      </c>
      <c r="Q286">
        <f t="shared" si="107"/>
        <v>-2560518653.1599998</v>
      </c>
      <c r="S286">
        <f t="shared" si="108"/>
        <v>102015.90000000001</v>
      </c>
      <c r="T286">
        <f t="shared" si="109"/>
        <v>-1226282939.7</v>
      </c>
      <c r="U286">
        <f t="shared" si="110"/>
        <v>-2034894495.99</v>
      </c>
      <c r="V286">
        <f t="shared" si="111"/>
        <v>-2162943649.4099994</v>
      </c>
      <c r="W286">
        <f t="shared" si="112"/>
        <v>-2883942192.3899999</v>
      </c>
      <c r="X286">
        <f t="shared" si="113"/>
        <v>-2931120037.1700001</v>
      </c>
      <c r="Z286">
        <f t="shared" si="114"/>
        <v>110760.12000000001</v>
      </c>
      <c r="AA286">
        <f t="shared" si="115"/>
        <v>-1361039306.7</v>
      </c>
      <c r="AB286">
        <f t="shared" si="116"/>
        <v>-2210084088.3600001</v>
      </c>
      <c r="AC286">
        <f t="shared" si="117"/>
        <v>-2749162021.6799994</v>
      </c>
      <c r="AD286">
        <f t="shared" si="118"/>
        <v>-3288233153.9400005</v>
      </c>
      <c r="AE286">
        <f t="shared" si="119"/>
        <v>-3301721421.1799998</v>
      </c>
    </row>
    <row r="287" spans="1:31" x14ac:dyDescent="0.25">
      <c r="A287">
        <v>33.03197291</v>
      </c>
      <c r="B287">
        <v>119.08651949999999</v>
      </c>
      <c r="C287">
        <v>13.185196879999999</v>
      </c>
      <c r="D287">
        <v>9.7149999999999997E-3</v>
      </c>
      <c r="E287" t="b">
        <f t="shared" si="96"/>
        <v>0</v>
      </c>
      <c r="F287">
        <f t="shared" si="97"/>
        <v>-65.916269400000004</v>
      </c>
      <c r="G287">
        <f t="shared" si="98"/>
        <v>-131.84225380000001</v>
      </c>
      <c r="H287">
        <f t="shared" si="99"/>
        <v>-197.76823819999998</v>
      </c>
      <c r="I287">
        <f t="shared" si="100"/>
        <v>-263.69422259999999</v>
      </c>
      <c r="J287">
        <f t="shared" si="101"/>
        <v>-329.62020699999994</v>
      </c>
      <c r="L287">
        <f t="shared" si="102"/>
        <v>18652.800000000003</v>
      </c>
      <c r="M287">
        <f t="shared" si="103"/>
        <v>-106784356.42800002</v>
      </c>
      <c r="N287">
        <f t="shared" si="104"/>
        <v>-181942310.24399999</v>
      </c>
      <c r="O287">
        <f t="shared" si="105"/>
        <v>-201723602.96399999</v>
      </c>
      <c r="P287">
        <f t="shared" si="106"/>
        <v>-242598684.79199997</v>
      </c>
      <c r="Q287">
        <f t="shared" si="107"/>
        <v>-250511357.31999996</v>
      </c>
      <c r="S287">
        <f t="shared" si="108"/>
        <v>20401.5</v>
      </c>
      <c r="T287">
        <f t="shared" si="109"/>
        <v>-119967610.30800001</v>
      </c>
      <c r="U287">
        <f t="shared" si="110"/>
        <v>-199081803.23800001</v>
      </c>
      <c r="V287">
        <f t="shared" si="111"/>
        <v>-211612014.87399995</v>
      </c>
      <c r="W287">
        <f t="shared" si="112"/>
        <v>-282152818.18199992</v>
      </c>
      <c r="X287">
        <f t="shared" si="113"/>
        <v>-286769580.08999997</v>
      </c>
      <c r="Z287">
        <f t="shared" si="114"/>
        <v>22150.2</v>
      </c>
      <c r="AA287">
        <f t="shared" si="115"/>
        <v>-133150864.18800001</v>
      </c>
      <c r="AB287">
        <f t="shared" si="116"/>
        <v>-216221296.23200002</v>
      </c>
      <c r="AC287">
        <f t="shared" si="117"/>
        <v>-268964803.95199996</v>
      </c>
      <c r="AD287">
        <f t="shared" si="118"/>
        <v>-321706951.57199997</v>
      </c>
      <c r="AE287">
        <f t="shared" si="119"/>
        <v>-323027802.85999995</v>
      </c>
    </row>
    <row r="288" spans="1:31" x14ac:dyDescent="0.25">
      <c r="A288">
        <v>33.05038819</v>
      </c>
      <c r="B288">
        <v>118.92466210000001</v>
      </c>
      <c r="C288">
        <v>13.185196879999999</v>
      </c>
      <c r="D288">
        <v>0.47516998999999999</v>
      </c>
      <c r="E288" t="b">
        <f t="shared" si="96"/>
        <v>0</v>
      </c>
      <c r="F288">
        <f t="shared" si="97"/>
        <v>-65.450814410000007</v>
      </c>
      <c r="G288">
        <f t="shared" si="98"/>
        <v>-131.37679881</v>
      </c>
      <c r="H288">
        <f t="shared" si="99"/>
        <v>-197.30278320999997</v>
      </c>
      <c r="I288">
        <f t="shared" si="100"/>
        <v>-263.22876761000003</v>
      </c>
      <c r="J288">
        <f t="shared" si="101"/>
        <v>-329.15475200999998</v>
      </c>
      <c r="L288">
        <f t="shared" si="102"/>
        <v>912326.38080000004</v>
      </c>
      <c r="M288">
        <f t="shared" si="103"/>
        <v>-106030319.34420002</v>
      </c>
      <c r="N288">
        <f t="shared" si="104"/>
        <v>-181299982.35779998</v>
      </c>
      <c r="O288">
        <f t="shared" si="105"/>
        <v>-201248838.87419999</v>
      </c>
      <c r="P288">
        <f t="shared" si="106"/>
        <v>-242170466.20120001</v>
      </c>
      <c r="Q288">
        <f t="shared" si="107"/>
        <v>-250157611.52759999</v>
      </c>
      <c r="S288">
        <f t="shared" si="108"/>
        <v>997856.97900000005</v>
      </c>
      <c r="T288">
        <f t="shared" si="109"/>
        <v>-119120482.22620001</v>
      </c>
      <c r="U288">
        <f t="shared" si="110"/>
        <v>-198378966.2031</v>
      </c>
      <c r="V288">
        <f t="shared" si="111"/>
        <v>-211113978.03469995</v>
      </c>
      <c r="W288">
        <f t="shared" si="112"/>
        <v>-281654781.3427</v>
      </c>
      <c r="X288">
        <f t="shared" si="113"/>
        <v>-286364634.24869996</v>
      </c>
      <c r="Z288">
        <f t="shared" si="114"/>
        <v>1083387.5772000002</v>
      </c>
      <c r="AA288">
        <f t="shared" si="115"/>
        <v>-132210645.10820001</v>
      </c>
      <c r="AB288">
        <f t="shared" si="116"/>
        <v>-215457950.04840001</v>
      </c>
      <c r="AC288">
        <f t="shared" si="117"/>
        <v>-268331785.16559994</v>
      </c>
      <c r="AD288">
        <f t="shared" si="118"/>
        <v>-321139096.48420006</v>
      </c>
      <c r="AE288">
        <f t="shared" si="119"/>
        <v>-322571656.9698</v>
      </c>
    </row>
    <row r="289" spans="1:31" x14ac:dyDescent="0.25">
      <c r="A289">
        <v>33.064645949999999</v>
      </c>
      <c r="B289">
        <v>118.37767340000001</v>
      </c>
      <c r="C289">
        <v>4.5904979700000004</v>
      </c>
      <c r="D289">
        <v>0.34090501000000001</v>
      </c>
      <c r="E289" t="b">
        <f t="shared" si="96"/>
        <v>0</v>
      </c>
      <c r="F289">
        <f t="shared" si="97"/>
        <v>-22.611584840000003</v>
      </c>
      <c r="G289">
        <f t="shared" si="98"/>
        <v>-45.564074690000005</v>
      </c>
      <c r="H289">
        <f t="shared" si="99"/>
        <v>-68.516564540000005</v>
      </c>
      <c r="I289">
        <f t="shared" si="100"/>
        <v>-91.469054390000011</v>
      </c>
      <c r="J289">
        <f t="shared" si="101"/>
        <v>-114.42154424</v>
      </c>
      <c r="L289">
        <f t="shared" si="102"/>
        <v>654537.61920000007</v>
      </c>
      <c r="M289">
        <f t="shared" si="103"/>
        <v>-36630767.440800011</v>
      </c>
      <c r="N289">
        <f t="shared" si="104"/>
        <v>-62878423.0722</v>
      </c>
      <c r="O289">
        <f t="shared" si="105"/>
        <v>-69886895.830800012</v>
      </c>
      <c r="P289">
        <f t="shared" si="106"/>
        <v>-84151530.038800001</v>
      </c>
      <c r="Q289">
        <f t="shared" si="107"/>
        <v>-86960373.622400016</v>
      </c>
      <c r="S289">
        <f t="shared" si="108"/>
        <v>715900.52100000007</v>
      </c>
      <c r="T289">
        <f t="shared" si="109"/>
        <v>-41153084.408800006</v>
      </c>
      <c r="U289">
        <f t="shared" si="110"/>
        <v>-68801752.781900004</v>
      </c>
      <c r="V289">
        <f t="shared" si="111"/>
        <v>-73312724.057799995</v>
      </c>
      <c r="W289">
        <f t="shared" si="112"/>
        <v>-97871888.197300002</v>
      </c>
      <c r="X289">
        <f t="shared" si="113"/>
        <v>-99546743.488800004</v>
      </c>
      <c r="Z289">
        <f t="shared" si="114"/>
        <v>777263.42280000006</v>
      </c>
      <c r="AA289">
        <f t="shared" si="115"/>
        <v>-45675401.376800008</v>
      </c>
      <c r="AB289">
        <f t="shared" si="116"/>
        <v>-74725082.491600007</v>
      </c>
      <c r="AC289">
        <f t="shared" si="117"/>
        <v>-93182527.774399996</v>
      </c>
      <c r="AD289">
        <f t="shared" si="118"/>
        <v>-111592246.35580002</v>
      </c>
      <c r="AE289">
        <f t="shared" si="119"/>
        <v>-112133113.35520001</v>
      </c>
    </row>
    <row r="290" spans="1:31" x14ac:dyDescent="0.25">
      <c r="A290">
        <v>33.068575860000003</v>
      </c>
      <c r="B290">
        <v>118.762732</v>
      </c>
      <c r="C290">
        <v>4.5904979700000004</v>
      </c>
      <c r="D290">
        <v>0.12783900000000001</v>
      </c>
      <c r="E290" t="b">
        <f t="shared" si="96"/>
        <v>0</v>
      </c>
      <c r="F290">
        <f t="shared" si="97"/>
        <v>-22.824650850000001</v>
      </c>
      <c r="G290">
        <f t="shared" si="98"/>
        <v>-45.777140700000004</v>
      </c>
      <c r="H290">
        <f t="shared" si="99"/>
        <v>-68.72963055000001</v>
      </c>
      <c r="I290">
        <f t="shared" si="100"/>
        <v>-91.682120400000017</v>
      </c>
      <c r="J290">
        <f t="shared" si="101"/>
        <v>-114.63461025000001</v>
      </c>
      <c r="L290">
        <f t="shared" si="102"/>
        <v>245450.88000000003</v>
      </c>
      <c r="M290">
        <f t="shared" si="103"/>
        <v>-36975934.377000004</v>
      </c>
      <c r="N290">
        <f t="shared" si="104"/>
        <v>-63172454.166000001</v>
      </c>
      <c r="O290">
        <f t="shared" si="105"/>
        <v>-70104223.161000013</v>
      </c>
      <c r="P290">
        <f t="shared" si="106"/>
        <v>-84347550.768000007</v>
      </c>
      <c r="Q290">
        <f t="shared" si="107"/>
        <v>-87122303.790000007</v>
      </c>
      <c r="S290">
        <f t="shared" si="108"/>
        <v>268461.90000000002</v>
      </c>
      <c r="T290">
        <f t="shared" si="109"/>
        <v>-41540864.547000006</v>
      </c>
      <c r="U290">
        <f t="shared" si="110"/>
        <v>-69123482.457000002</v>
      </c>
      <c r="V290">
        <f t="shared" si="111"/>
        <v>-73540704.688500002</v>
      </c>
      <c r="W290">
        <f t="shared" si="112"/>
        <v>-98099868.828000009</v>
      </c>
      <c r="X290">
        <f t="shared" si="113"/>
        <v>-99732110.917500019</v>
      </c>
      <c r="Z290">
        <f t="shared" si="114"/>
        <v>291472.92000000004</v>
      </c>
      <c r="AA290">
        <f t="shared" si="115"/>
        <v>-46105794.717</v>
      </c>
      <c r="AB290">
        <f t="shared" si="116"/>
        <v>-75074510.748000011</v>
      </c>
      <c r="AC290">
        <f t="shared" si="117"/>
        <v>-93472297.548000008</v>
      </c>
      <c r="AD290">
        <f t="shared" si="118"/>
        <v>-111852186.88800003</v>
      </c>
      <c r="AE290">
        <f t="shared" si="119"/>
        <v>-112341918.04500002</v>
      </c>
    </row>
    <row r="291" spans="1:31" x14ac:dyDescent="0.25">
      <c r="A291">
        <v>33.07121678</v>
      </c>
      <c r="B291">
        <v>119.1478216</v>
      </c>
      <c r="C291">
        <v>13.185196879999999</v>
      </c>
      <c r="D291">
        <v>0.70388596999999997</v>
      </c>
      <c r="E291" t="b">
        <f t="shared" si="96"/>
        <v>0</v>
      </c>
      <c r="F291">
        <f t="shared" si="97"/>
        <v>-65.222098430000003</v>
      </c>
      <c r="G291">
        <f t="shared" si="98"/>
        <v>-131.14808283000002</v>
      </c>
      <c r="H291">
        <f t="shared" si="99"/>
        <v>-197.07406723</v>
      </c>
      <c r="I291">
        <f t="shared" si="100"/>
        <v>-263.00005163000003</v>
      </c>
      <c r="J291">
        <f t="shared" si="101"/>
        <v>-328.92603602999998</v>
      </c>
      <c r="L291">
        <f t="shared" si="102"/>
        <v>1351461.0623999999</v>
      </c>
      <c r="M291">
        <f t="shared" si="103"/>
        <v>-105659799.45660001</v>
      </c>
      <c r="N291">
        <f t="shared" si="104"/>
        <v>-180984354.30540001</v>
      </c>
      <c r="O291">
        <f t="shared" si="105"/>
        <v>-201015548.57459998</v>
      </c>
      <c r="P291">
        <f t="shared" si="106"/>
        <v>-241960047.49959999</v>
      </c>
      <c r="Q291">
        <f t="shared" si="107"/>
        <v>-249983787.38279998</v>
      </c>
      <c r="S291">
        <f t="shared" si="108"/>
        <v>1478160.537</v>
      </c>
      <c r="T291">
        <f t="shared" si="109"/>
        <v>-118704219.1426</v>
      </c>
      <c r="U291">
        <f t="shared" si="110"/>
        <v>-198033605.07330003</v>
      </c>
      <c r="V291">
        <f t="shared" si="111"/>
        <v>-210869251.93609995</v>
      </c>
      <c r="W291">
        <f t="shared" si="112"/>
        <v>-281410055.24409997</v>
      </c>
      <c r="X291">
        <f t="shared" si="113"/>
        <v>-286165651.34609997</v>
      </c>
      <c r="Z291">
        <f t="shared" si="114"/>
        <v>1604860.0116000001</v>
      </c>
      <c r="AA291">
        <f t="shared" si="115"/>
        <v>-131748638.8286</v>
      </c>
      <c r="AB291">
        <f t="shared" si="116"/>
        <v>-215082855.84120005</v>
      </c>
      <c r="AC291">
        <f t="shared" si="117"/>
        <v>-268020731.43279997</v>
      </c>
      <c r="AD291">
        <f t="shared" si="118"/>
        <v>-320860062.98860002</v>
      </c>
      <c r="AE291">
        <f t="shared" si="119"/>
        <v>-322347515.30939996</v>
      </c>
    </row>
    <row r="292" spans="1:31" x14ac:dyDescent="0.25">
      <c r="A292">
        <v>33.089718859999998</v>
      </c>
      <c r="B292">
        <v>118.98590009999999</v>
      </c>
      <c r="C292">
        <v>13.185196879999999</v>
      </c>
      <c r="D292">
        <v>4.1453999999999998E-2</v>
      </c>
      <c r="E292" t="b">
        <f t="shared" si="96"/>
        <v>0</v>
      </c>
      <c r="F292">
        <f t="shared" si="97"/>
        <v>-65.884530400000003</v>
      </c>
      <c r="G292">
        <f t="shared" si="98"/>
        <v>-131.81051480000002</v>
      </c>
      <c r="H292">
        <f t="shared" si="99"/>
        <v>-197.7364992</v>
      </c>
      <c r="I292">
        <f t="shared" si="100"/>
        <v>-263.66248360000003</v>
      </c>
      <c r="J292">
        <f t="shared" si="101"/>
        <v>-329.58846799999998</v>
      </c>
      <c r="L292">
        <f t="shared" si="102"/>
        <v>79591.680000000008</v>
      </c>
      <c r="M292">
        <f t="shared" si="103"/>
        <v>-106732939.24800001</v>
      </c>
      <c r="N292">
        <f t="shared" si="104"/>
        <v>-181898510.42400002</v>
      </c>
      <c r="O292">
        <f t="shared" si="105"/>
        <v>-201691229.18399999</v>
      </c>
      <c r="P292">
        <f t="shared" si="106"/>
        <v>-242569484.912</v>
      </c>
      <c r="Q292">
        <f t="shared" si="107"/>
        <v>-250487235.68000001</v>
      </c>
      <c r="S292">
        <f t="shared" si="108"/>
        <v>87053.400000000009</v>
      </c>
      <c r="T292">
        <f t="shared" si="109"/>
        <v>-119909845.32800001</v>
      </c>
      <c r="U292">
        <f t="shared" si="110"/>
        <v>-199033877.34800005</v>
      </c>
      <c r="V292">
        <f t="shared" si="111"/>
        <v>-211578054.14399996</v>
      </c>
      <c r="W292">
        <f t="shared" si="112"/>
        <v>-282118857.45199996</v>
      </c>
      <c r="X292">
        <f t="shared" si="113"/>
        <v>-286741967.16000003</v>
      </c>
      <c r="Z292">
        <f t="shared" si="114"/>
        <v>94515.12000000001</v>
      </c>
      <c r="AA292">
        <f t="shared" si="115"/>
        <v>-133086751.40800001</v>
      </c>
      <c r="AB292">
        <f t="shared" si="116"/>
        <v>-216169244.27200007</v>
      </c>
      <c r="AC292">
        <f t="shared" si="117"/>
        <v>-268921638.91199994</v>
      </c>
      <c r="AD292">
        <f t="shared" si="118"/>
        <v>-321668229.99200004</v>
      </c>
      <c r="AE292">
        <f t="shared" si="119"/>
        <v>-322996698.63999999</v>
      </c>
    </row>
    <row r="293" spans="1:31" x14ac:dyDescent="0.25">
      <c r="A293">
        <v>33.116650780000001</v>
      </c>
      <c r="B293">
        <v>119.1551958</v>
      </c>
      <c r="C293">
        <v>13.185196879999999</v>
      </c>
      <c r="D293">
        <v>2.1307E-2</v>
      </c>
      <c r="E293" t="b">
        <f t="shared" si="96"/>
        <v>0</v>
      </c>
      <c r="F293">
        <f t="shared" si="97"/>
        <v>-65.904677400000011</v>
      </c>
      <c r="G293">
        <f t="shared" si="98"/>
        <v>-131.8306618</v>
      </c>
      <c r="H293">
        <f t="shared" si="99"/>
        <v>-197.75664619999998</v>
      </c>
      <c r="I293">
        <f t="shared" si="100"/>
        <v>-263.68263060000004</v>
      </c>
      <c r="J293">
        <f t="shared" si="101"/>
        <v>-329.60861499999999</v>
      </c>
      <c r="L293">
        <f t="shared" si="102"/>
        <v>40909.440000000002</v>
      </c>
      <c r="M293">
        <f t="shared" si="103"/>
        <v>-106765577.38800003</v>
      </c>
      <c r="N293">
        <f t="shared" si="104"/>
        <v>-181926313.28399998</v>
      </c>
      <c r="O293">
        <f t="shared" si="105"/>
        <v>-201711779.12399998</v>
      </c>
      <c r="P293">
        <f t="shared" si="106"/>
        <v>-242588020.15200001</v>
      </c>
      <c r="Q293">
        <f t="shared" si="107"/>
        <v>-250502547.40000001</v>
      </c>
      <c r="S293">
        <f t="shared" si="108"/>
        <v>44744.700000000004</v>
      </c>
      <c r="T293">
        <f t="shared" si="109"/>
        <v>-119946512.86800003</v>
      </c>
      <c r="U293">
        <f t="shared" si="110"/>
        <v>-199064299.31799999</v>
      </c>
      <c r="V293">
        <f t="shared" si="111"/>
        <v>-211599611.43399996</v>
      </c>
      <c r="W293">
        <f t="shared" si="112"/>
        <v>-282140414.74199998</v>
      </c>
      <c r="X293">
        <f t="shared" si="113"/>
        <v>-286759495.05000001</v>
      </c>
      <c r="Z293">
        <f t="shared" si="114"/>
        <v>48579.960000000006</v>
      </c>
      <c r="AA293">
        <f t="shared" si="115"/>
        <v>-133127448.34800003</v>
      </c>
      <c r="AB293">
        <f t="shared" si="116"/>
        <v>-216202285.352</v>
      </c>
      <c r="AC293">
        <f t="shared" si="117"/>
        <v>-268949038.83199996</v>
      </c>
      <c r="AD293">
        <f t="shared" si="118"/>
        <v>-321692809.33200002</v>
      </c>
      <c r="AE293">
        <f t="shared" si="119"/>
        <v>-323016442.69999999</v>
      </c>
    </row>
    <row r="294" spans="1:31" x14ac:dyDescent="0.25">
      <c r="A294">
        <v>33.15344906</v>
      </c>
      <c r="B294">
        <v>118.83110240000001</v>
      </c>
      <c r="C294">
        <v>4.5469388999999998</v>
      </c>
      <c r="D294">
        <v>0.102087</v>
      </c>
      <c r="E294" t="b">
        <f t="shared" si="96"/>
        <v>0</v>
      </c>
      <c r="F294">
        <f t="shared" si="97"/>
        <v>-22.632607499999999</v>
      </c>
      <c r="G294">
        <f t="shared" si="98"/>
        <v>-45.367302000000002</v>
      </c>
      <c r="H294">
        <f t="shared" si="99"/>
        <v>-68.101996499999998</v>
      </c>
      <c r="I294">
        <f t="shared" si="100"/>
        <v>-90.836691000000002</v>
      </c>
      <c r="J294">
        <f t="shared" si="101"/>
        <v>-113.57138549999999</v>
      </c>
      <c r="L294">
        <f t="shared" si="102"/>
        <v>196007.04000000001</v>
      </c>
      <c r="M294">
        <f t="shared" si="103"/>
        <v>-36664824.150000006</v>
      </c>
      <c r="N294">
        <f t="shared" si="104"/>
        <v>-62606876.759999998</v>
      </c>
      <c r="O294">
        <f t="shared" si="105"/>
        <v>-69464036.430000007</v>
      </c>
      <c r="P294">
        <f t="shared" si="106"/>
        <v>-83569755.719999999</v>
      </c>
      <c r="Q294">
        <f t="shared" si="107"/>
        <v>-86314252.979999989</v>
      </c>
      <c r="S294">
        <f t="shared" si="108"/>
        <v>214382.7</v>
      </c>
      <c r="T294">
        <f t="shared" si="109"/>
        <v>-41191345.649999999</v>
      </c>
      <c r="U294">
        <f t="shared" si="110"/>
        <v>-68504626.019999996</v>
      </c>
      <c r="V294">
        <f t="shared" si="111"/>
        <v>-72869136.254999995</v>
      </c>
      <c r="W294">
        <f t="shared" si="112"/>
        <v>-97195259.36999999</v>
      </c>
      <c r="X294">
        <f t="shared" si="113"/>
        <v>-98807105.38499999</v>
      </c>
      <c r="Z294">
        <f t="shared" si="114"/>
        <v>232758.36000000002</v>
      </c>
      <c r="AA294">
        <f t="shared" si="115"/>
        <v>-45717867.149999999</v>
      </c>
      <c r="AB294">
        <f t="shared" si="116"/>
        <v>-74402375.280000001</v>
      </c>
      <c r="AC294">
        <f t="shared" si="117"/>
        <v>-92618715.239999995</v>
      </c>
      <c r="AD294">
        <f t="shared" si="118"/>
        <v>-110820763.02</v>
      </c>
      <c r="AE294">
        <f t="shared" si="119"/>
        <v>-111299957.78999998</v>
      </c>
    </row>
    <row r="295" spans="1:31" x14ac:dyDescent="0.25">
      <c r="A295">
        <v>33.332170650000002</v>
      </c>
      <c r="B295">
        <v>119.68679349999999</v>
      </c>
      <c r="C295">
        <v>7.8538036299999998</v>
      </c>
      <c r="D295">
        <v>6.5775E-2</v>
      </c>
      <c r="E295" t="b">
        <f t="shared" si="96"/>
        <v>0</v>
      </c>
      <c r="F295">
        <f t="shared" si="97"/>
        <v>-39.203243149999999</v>
      </c>
      <c r="G295">
        <f t="shared" si="98"/>
        <v>-78.4722613</v>
      </c>
      <c r="H295">
        <f t="shared" si="99"/>
        <v>-117.74127944999999</v>
      </c>
      <c r="I295">
        <f t="shared" si="100"/>
        <v>-157.0102976</v>
      </c>
      <c r="J295">
        <f t="shared" si="101"/>
        <v>-196.27931574999999</v>
      </c>
      <c r="L295">
        <f t="shared" si="102"/>
        <v>126288.00000000001</v>
      </c>
      <c r="M295">
        <f t="shared" si="103"/>
        <v>-63509253.903000005</v>
      </c>
      <c r="N295">
        <f t="shared" si="104"/>
        <v>-108291720.59399998</v>
      </c>
      <c r="O295">
        <f t="shared" si="105"/>
        <v>-120096105.03899999</v>
      </c>
      <c r="P295">
        <f t="shared" si="106"/>
        <v>-144449473.792</v>
      </c>
      <c r="Q295">
        <f t="shared" si="107"/>
        <v>-149172279.97</v>
      </c>
      <c r="S295">
        <f t="shared" si="108"/>
        <v>138127.5</v>
      </c>
      <c r="T295">
        <f t="shared" si="109"/>
        <v>-71349902.532999992</v>
      </c>
      <c r="U295">
        <f t="shared" si="110"/>
        <v>-118493114.56299999</v>
      </c>
      <c r="V295">
        <f t="shared" si="111"/>
        <v>-125983169.01149997</v>
      </c>
      <c r="W295">
        <f t="shared" si="112"/>
        <v>-168001018.43199998</v>
      </c>
      <c r="X295">
        <f t="shared" si="113"/>
        <v>-170763004.70249999</v>
      </c>
      <c r="Z295">
        <f t="shared" si="114"/>
        <v>149967.00000000003</v>
      </c>
      <c r="AA295">
        <f t="shared" si="115"/>
        <v>-79190551.163000003</v>
      </c>
      <c r="AB295">
        <f t="shared" si="116"/>
        <v>-128694508.53200001</v>
      </c>
      <c r="AC295">
        <f t="shared" si="117"/>
        <v>-160128140.05199996</v>
      </c>
      <c r="AD295">
        <f t="shared" si="118"/>
        <v>-191552563.072</v>
      </c>
      <c r="AE295">
        <f t="shared" si="119"/>
        <v>-192353729.435</v>
      </c>
    </row>
    <row r="296" spans="1:31" x14ac:dyDescent="0.25">
      <c r="A296">
        <v>33.349220039999999</v>
      </c>
      <c r="B296">
        <v>114.79247789999999</v>
      </c>
      <c r="C296">
        <v>5.63210297</v>
      </c>
      <c r="D296">
        <v>0.37986599999999998</v>
      </c>
      <c r="E296" t="b">
        <f t="shared" si="96"/>
        <v>0</v>
      </c>
      <c r="F296">
        <f t="shared" si="97"/>
        <v>-27.780648849999999</v>
      </c>
      <c r="G296">
        <f t="shared" si="98"/>
        <v>-55.941163699999997</v>
      </c>
      <c r="H296">
        <f t="shared" si="99"/>
        <v>-84.101678549999988</v>
      </c>
      <c r="I296">
        <f t="shared" si="100"/>
        <v>-112.26219339999999</v>
      </c>
      <c r="J296">
        <f t="shared" si="101"/>
        <v>-140.42270825</v>
      </c>
      <c r="L296">
        <f t="shared" si="102"/>
        <v>729342.72000000009</v>
      </c>
      <c r="M296">
        <f t="shared" si="103"/>
        <v>-45004651.137000002</v>
      </c>
      <c r="N296">
        <f t="shared" si="104"/>
        <v>-77198805.905999988</v>
      </c>
      <c r="O296">
        <f t="shared" si="105"/>
        <v>-85783712.120999977</v>
      </c>
      <c r="P296">
        <f t="shared" si="106"/>
        <v>-103281217.92799999</v>
      </c>
      <c r="Q296">
        <f t="shared" si="107"/>
        <v>-106721258.27</v>
      </c>
      <c r="S296">
        <f t="shared" si="108"/>
        <v>797718.6</v>
      </c>
      <c r="T296">
        <f t="shared" si="109"/>
        <v>-50560780.906999998</v>
      </c>
      <c r="U296">
        <f t="shared" si="110"/>
        <v>-84471157.186999992</v>
      </c>
      <c r="V296">
        <f t="shared" si="111"/>
        <v>-89988796.048499972</v>
      </c>
      <c r="W296">
        <f t="shared" si="112"/>
        <v>-120120546.93799998</v>
      </c>
      <c r="X296">
        <f t="shared" si="113"/>
        <v>-122167756.17749999</v>
      </c>
      <c r="Z296">
        <f t="shared" si="114"/>
        <v>866094.4800000001</v>
      </c>
      <c r="AA296">
        <f t="shared" si="115"/>
        <v>-56116910.676999994</v>
      </c>
      <c r="AB296">
        <f t="shared" si="116"/>
        <v>-91743508.467999995</v>
      </c>
      <c r="AC296">
        <f t="shared" si="117"/>
        <v>-114378282.82799996</v>
      </c>
      <c r="AD296">
        <f t="shared" si="118"/>
        <v>-136959875.94799998</v>
      </c>
      <c r="AE296">
        <f t="shared" si="119"/>
        <v>-137614254.08500001</v>
      </c>
    </row>
    <row r="297" spans="1:31" x14ac:dyDescent="0.25">
      <c r="A297">
        <v>33.475584470000001</v>
      </c>
      <c r="B297">
        <v>115.5209424</v>
      </c>
      <c r="C297">
        <v>14.643466950000001</v>
      </c>
      <c r="D297">
        <v>4.2283000000000001E-2</v>
      </c>
      <c r="E297" t="b">
        <f t="shared" si="96"/>
        <v>0</v>
      </c>
      <c r="F297">
        <f t="shared" si="97"/>
        <v>-73.175051750000009</v>
      </c>
      <c r="G297">
        <f t="shared" si="98"/>
        <v>-146.39238650000001</v>
      </c>
      <c r="H297">
        <f t="shared" si="99"/>
        <v>-219.60972125000001</v>
      </c>
      <c r="I297">
        <f t="shared" si="100"/>
        <v>-292.82705600000003</v>
      </c>
      <c r="J297">
        <f t="shared" si="101"/>
        <v>-366.04439074999999</v>
      </c>
      <c r="L297">
        <f t="shared" si="102"/>
        <v>81183.360000000001</v>
      </c>
      <c r="M297">
        <f t="shared" si="103"/>
        <v>-118543583.83500004</v>
      </c>
      <c r="N297">
        <f t="shared" si="104"/>
        <v>-202021493.36999997</v>
      </c>
      <c r="O297">
        <f t="shared" si="105"/>
        <v>-224001915.67500001</v>
      </c>
      <c r="P297">
        <f t="shared" si="106"/>
        <v>-269400891.51999998</v>
      </c>
      <c r="Q297">
        <f t="shared" si="107"/>
        <v>-278193736.97000003</v>
      </c>
      <c r="S297">
        <f t="shared" si="108"/>
        <v>88794.3</v>
      </c>
      <c r="T297">
        <f t="shared" si="109"/>
        <v>-133178594.18500003</v>
      </c>
      <c r="U297">
        <f t="shared" si="110"/>
        <v>-221052503.61500001</v>
      </c>
      <c r="V297">
        <f t="shared" si="111"/>
        <v>-234982401.73749995</v>
      </c>
      <c r="W297">
        <f t="shared" si="112"/>
        <v>-313324949.91999996</v>
      </c>
      <c r="X297">
        <f t="shared" si="113"/>
        <v>-318458619.95249999</v>
      </c>
      <c r="Z297">
        <f t="shared" si="114"/>
        <v>96405.24</v>
      </c>
      <c r="AA297">
        <f t="shared" si="115"/>
        <v>-147813604.53500003</v>
      </c>
      <c r="AB297">
        <f t="shared" si="116"/>
        <v>-240083513.86000001</v>
      </c>
      <c r="AC297">
        <f t="shared" si="117"/>
        <v>-298669220.89999998</v>
      </c>
      <c r="AD297">
        <f t="shared" si="118"/>
        <v>-357249008.31999999</v>
      </c>
      <c r="AE297">
        <f t="shared" si="119"/>
        <v>-358723502.935</v>
      </c>
    </row>
    <row r="298" spans="1:31" s="1" customFormat="1" x14ac:dyDescent="0.25">
      <c r="A298" s="1">
        <v>34.852790599999999</v>
      </c>
      <c r="B298" s="1">
        <v>115.01448600000001</v>
      </c>
      <c r="C298" s="1">
        <v>0</v>
      </c>
      <c r="D298" s="1">
        <v>2.50790501</v>
      </c>
      <c r="E298" s="1" t="b">
        <f t="shared" si="96"/>
        <v>1</v>
      </c>
      <c r="F298">
        <f t="shared" si="97"/>
        <v>2.50790501</v>
      </c>
      <c r="G298">
        <f t="shared" si="98"/>
        <v>2.50790501</v>
      </c>
      <c r="H298">
        <f t="shared" si="99"/>
        <v>2.50790501</v>
      </c>
      <c r="I298">
        <f t="shared" si="100"/>
        <v>2.50790501</v>
      </c>
      <c r="J298">
        <f t="shared" si="101"/>
        <v>2.50790501</v>
      </c>
      <c r="L298">
        <f t="shared" si="102"/>
        <v>0</v>
      </c>
      <c r="M298">
        <f t="shared" si="103"/>
        <v>0</v>
      </c>
      <c r="N298">
        <f t="shared" si="104"/>
        <v>0</v>
      </c>
      <c r="O298">
        <f t="shared" si="105"/>
        <v>0</v>
      </c>
      <c r="P298">
        <f t="shared" si="106"/>
        <v>0</v>
      </c>
      <c r="Q298">
        <f t="shared" si="107"/>
        <v>0</v>
      </c>
      <c r="S298">
        <f t="shared" si="108"/>
        <v>0</v>
      </c>
      <c r="T298">
        <f t="shared" si="109"/>
        <v>0</v>
      </c>
      <c r="U298">
        <f t="shared" si="110"/>
        <v>0</v>
      </c>
      <c r="V298">
        <f t="shared" si="111"/>
        <v>0</v>
      </c>
      <c r="W298">
        <f t="shared" si="112"/>
        <v>0</v>
      </c>
      <c r="X298">
        <f t="shared" si="113"/>
        <v>0</v>
      </c>
      <c r="Z298">
        <f t="shared" si="114"/>
        <v>0</v>
      </c>
      <c r="AA298">
        <f t="shared" si="115"/>
        <v>0</v>
      </c>
      <c r="AB298">
        <f t="shared" si="116"/>
        <v>0</v>
      </c>
      <c r="AC298">
        <f t="shared" si="117"/>
        <v>0</v>
      </c>
      <c r="AD298">
        <f t="shared" si="118"/>
        <v>0</v>
      </c>
      <c r="AE298">
        <f t="shared" si="119"/>
        <v>0</v>
      </c>
    </row>
    <row r="299" spans="1:31" s="1" customFormat="1" x14ac:dyDescent="0.25">
      <c r="A299" s="1">
        <v>34.956883750000003</v>
      </c>
      <c r="B299" s="1">
        <v>114.8583192</v>
      </c>
      <c r="C299" s="1">
        <v>0</v>
      </c>
      <c r="D299" s="1">
        <v>0.90991199</v>
      </c>
      <c r="E299" s="1" t="b">
        <f t="shared" si="96"/>
        <v>1</v>
      </c>
      <c r="F299">
        <f t="shared" si="97"/>
        <v>0.90991199</v>
      </c>
      <c r="G299">
        <f t="shared" si="98"/>
        <v>0.90991199</v>
      </c>
      <c r="H299">
        <f t="shared" si="99"/>
        <v>0.90991199</v>
      </c>
      <c r="I299">
        <f t="shared" si="100"/>
        <v>0.90991199</v>
      </c>
      <c r="J299">
        <f t="shared" si="101"/>
        <v>0.90991199</v>
      </c>
      <c r="L299">
        <f t="shared" si="102"/>
        <v>0</v>
      </c>
      <c r="M299">
        <f t="shared" si="103"/>
        <v>0</v>
      </c>
      <c r="N299">
        <f t="shared" si="104"/>
        <v>0</v>
      </c>
      <c r="O299">
        <f t="shared" si="105"/>
        <v>0</v>
      </c>
      <c r="P299">
        <f t="shared" si="106"/>
        <v>0</v>
      </c>
      <c r="Q299">
        <f t="shared" si="107"/>
        <v>0</v>
      </c>
      <c r="S299">
        <f t="shared" si="108"/>
        <v>0</v>
      </c>
      <c r="T299">
        <f t="shared" si="109"/>
        <v>0</v>
      </c>
      <c r="U299">
        <f t="shared" si="110"/>
        <v>0</v>
      </c>
      <c r="V299">
        <f t="shared" si="111"/>
        <v>0</v>
      </c>
      <c r="W299">
        <f t="shared" si="112"/>
        <v>0</v>
      </c>
      <c r="X299">
        <f t="shared" si="113"/>
        <v>0</v>
      </c>
      <c r="Z299">
        <f t="shared" si="114"/>
        <v>0</v>
      </c>
      <c r="AA299">
        <f t="shared" si="115"/>
        <v>0</v>
      </c>
      <c r="AB299">
        <f t="shared" si="116"/>
        <v>0</v>
      </c>
      <c r="AC299">
        <f t="shared" si="117"/>
        <v>0</v>
      </c>
      <c r="AD299">
        <f t="shared" si="118"/>
        <v>0</v>
      </c>
      <c r="AE299">
        <f t="shared" si="119"/>
        <v>0</v>
      </c>
    </row>
    <row r="300" spans="1:31" s="1" customFormat="1" x14ac:dyDescent="0.25">
      <c r="A300" s="1">
        <v>35.046528870000003</v>
      </c>
      <c r="B300" s="1">
        <v>107.8235207</v>
      </c>
      <c r="C300" s="1">
        <v>0</v>
      </c>
      <c r="D300" s="1">
        <v>0.124359</v>
      </c>
      <c r="E300" s="1" t="b">
        <f t="shared" si="96"/>
        <v>1</v>
      </c>
      <c r="F300">
        <f t="shared" si="97"/>
        <v>0.124359</v>
      </c>
      <c r="G300">
        <f t="shared" si="98"/>
        <v>0.124359</v>
      </c>
      <c r="H300">
        <f t="shared" si="99"/>
        <v>0.124359</v>
      </c>
      <c r="I300">
        <f t="shared" si="100"/>
        <v>0.124359</v>
      </c>
      <c r="J300">
        <f t="shared" si="101"/>
        <v>0.124359</v>
      </c>
      <c r="L300">
        <f t="shared" si="102"/>
        <v>0</v>
      </c>
      <c r="M300">
        <f t="shared" si="103"/>
        <v>0</v>
      </c>
      <c r="N300">
        <f t="shared" si="104"/>
        <v>0</v>
      </c>
      <c r="O300">
        <f t="shared" si="105"/>
        <v>0</v>
      </c>
      <c r="P300">
        <f t="shared" si="106"/>
        <v>0</v>
      </c>
      <c r="Q300">
        <f t="shared" si="107"/>
        <v>0</v>
      </c>
      <c r="S300">
        <f t="shared" si="108"/>
        <v>0</v>
      </c>
      <c r="T300">
        <f t="shared" si="109"/>
        <v>0</v>
      </c>
      <c r="U300">
        <f t="shared" si="110"/>
        <v>0</v>
      </c>
      <c r="V300">
        <f t="shared" si="111"/>
        <v>0</v>
      </c>
      <c r="W300">
        <f t="shared" si="112"/>
        <v>0</v>
      </c>
      <c r="X300">
        <f t="shared" si="113"/>
        <v>0</v>
      </c>
      <c r="Z300">
        <f t="shared" si="114"/>
        <v>0</v>
      </c>
      <c r="AA300">
        <f t="shared" si="115"/>
        <v>0</v>
      </c>
      <c r="AB300">
        <f t="shared" si="116"/>
        <v>0</v>
      </c>
      <c r="AC300">
        <f t="shared" si="117"/>
        <v>0</v>
      </c>
      <c r="AD300">
        <f t="shared" si="118"/>
        <v>0</v>
      </c>
      <c r="AE300">
        <f t="shared" si="119"/>
        <v>0</v>
      </c>
    </row>
    <row r="301" spans="1:31" s="1" customFormat="1" x14ac:dyDescent="0.25">
      <c r="A301" s="1">
        <v>35.181206869999997</v>
      </c>
      <c r="B301" s="1">
        <v>114.9395234</v>
      </c>
      <c r="C301" s="1">
        <v>0</v>
      </c>
      <c r="D301" s="1">
        <v>0.61929798000000003</v>
      </c>
      <c r="E301" s="1" t="b">
        <f t="shared" si="96"/>
        <v>1</v>
      </c>
      <c r="F301">
        <f t="shared" si="97"/>
        <v>0.61929798000000003</v>
      </c>
      <c r="G301">
        <f t="shared" si="98"/>
        <v>0.61929798000000003</v>
      </c>
      <c r="H301">
        <f t="shared" si="99"/>
        <v>0.61929798000000003</v>
      </c>
      <c r="I301">
        <f t="shared" si="100"/>
        <v>0.61929798000000003</v>
      </c>
      <c r="J301">
        <f t="shared" si="101"/>
        <v>0.61929798000000003</v>
      </c>
      <c r="L301">
        <f t="shared" si="102"/>
        <v>0</v>
      </c>
      <c r="M301">
        <f t="shared" si="103"/>
        <v>0</v>
      </c>
      <c r="N301">
        <f t="shared" si="104"/>
        <v>0</v>
      </c>
      <c r="O301">
        <f t="shared" si="105"/>
        <v>0</v>
      </c>
      <c r="P301">
        <f t="shared" si="106"/>
        <v>0</v>
      </c>
      <c r="Q301">
        <f t="shared" si="107"/>
        <v>0</v>
      </c>
      <c r="S301">
        <f t="shared" si="108"/>
        <v>0</v>
      </c>
      <c r="T301">
        <f t="shared" si="109"/>
        <v>0</v>
      </c>
      <c r="U301">
        <f t="shared" si="110"/>
        <v>0</v>
      </c>
      <c r="V301">
        <f t="shared" si="111"/>
        <v>0</v>
      </c>
      <c r="W301">
        <f t="shared" si="112"/>
        <v>0</v>
      </c>
      <c r="X301">
        <f t="shared" si="113"/>
        <v>0</v>
      </c>
      <c r="Z301">
        <f t="shared" si="114"/>
        <v>0</v>
      </c>
      <c r="AA301">
        <f t="shared" si="115"/>
        <v>0</v>
      </c>
      <c r="AB301">
        <f t="shared" si="116"/>
        <v>0</v>
      </c>
      <c r="AC301">
        <f t="shared" si="117"/>
        <v>0</v>
      </c>
      <c r="AD301">
        <f t="shared" si="118"/>
        <v>0</v>
      </c>
      <c r="AE301">
        <f t="shared" si="119"/>
        <v>0</v>
      </c>
    </row>
    <row r="302" spans="1:31" s="1" customFormat="1" x14ac:dyDescent="0.25">
      <c r="A302" s="1">
        <v>35.184206949999997</v>
      </c>
      <c r="B302" s="1">
        <v>107.8266782</v>
      </c>
      <c r="C302" s="1">
        <v>0</v>
      </c>
      <c r="D302" s="1">
        <v>6.2179999999999999E-2</v>
      </c>
      <c r="E302" s="1" t="b">
        <f t="shared" si="96"/>
        <v>1</v>
      </c>
      <c r="F302">
        <f t="shared" si="97"/>
        <v>6.2179999999999999E-2</v>
      </c>
      <c r="G302">
        <f t="shared" si="98"/>
        <v>6.2179999999999999E-2</v>
      </c>
      <c r="H302">
        <f t="shared" si="99"/>
        <v>6.2179999999999999E-2</v>
      </c>
      <c r="I302">
        <f t="shared" si="100"/>
        <v>6.2179999999999999E-2</v>
      </c>
      <c r="J302">
        <f t="shared" si="101"/>
        <v>6.2179999999999999E-2</v>
      </c>
      <c r="L302">
        <f t="shared" si="102"/>
        <v>0</v>
      </c>
      <c r="M302">
        <f t="shared" si="103"/>
        <v>0</v>
      </c>
      <c r="N302">
        <f t="shared" si="104"/>
        <v>0</v>
      </c>
      <c r="O302">
        <f t="shared" si="105"/>
        <v>0</v>
      </c>
      <c r="P302">
        <f t="shared" si="106"/>
        <v>0</v>
      </c>
      <c r="Q302">
        <f t="shared" si="107"/>
        <v>0</v>
      </c>
      <c r="S302">
        <f t="shared" si="108"/>
        <v>0</v>
      </c>
      <c r="T302">
        <f t="shared" si="109"/>
        <v>0</v>
      </c>
      <c r="U302">
        <f t="shared" si="110"/>
        <v>0</v>
      </c>
      <c r="V302">
        <f t="shared" si="111"/>
        <v>0</v>
      </c>
      <c r="W302">
        <f t="shared" si="112"/>
        <v>0</v>
      </c>
      <c r="X302">
        <f t="shared" si="113"/>
        <v>0</v>
      </c>
      <c r="Z302">
        <f t="shared" si="114"/>
        <v>0</v>
      </c>
      <c r="AA302">
        <f t="shared" si="115"/>
        <v>0</v>
      </c>
      <c r="AB302">
        <f t="shared" si="116"/>
        <v>0</v>
      </c>
      <c r="AC302">
        <f t="shared" si="117"/>
        <v>0</v>
      </c>
      <c r="AD302">
        <f t="shared" si="118"/>
        <v>0</v>
      </c>
      <c r="AE302">
        <f t="shared" si="119"/>
        <v>0</v>
      </c>
    </row>
    <row r="303" spans="1:31" s="1" customFormat="1" x14ac:dyDescent="0.25">
      <c r="A303" s="1">
        <v>35.333705250000001</v>
      </c>
      <c r="B303" s="1">
        <v>115.3506149</v>
      </c>
      <c r="C303" s="1">
        <v>0</v>
      </c>
      <c r="D303" s="1">
        <v>4.2457428000000004</v>
      </c>
      <c r="E303" s="1" t="b">
        <f t="shared" si="96"/>
        <v>1</v>
      </c>
      <c r="F303">
        <f t="shared" si="97"/>
        <v>4.2457428000000004</v>
      </c>
      <c r="G303">
        <f t="shared" si="98"/>
        <v>4.2457428000000004</v>
      </c>
      <c r="H303">
        <f t="shared" si="99"/>
        <v>4.2457428000000004</v>
      </c>
      <c r="I303">
        <f t="shared" si="100"/>
        <v>4.2457428000000004</v>
      </c>
      <c r="J303">
        <f t="shared" si="101"/>
        <v>4.2457428000000004</v>
      </c>
      <c r="L303">
        <f t="shared" si="102"/>
        <v>0</v>
      </c>
      <c r="M303">
        <f t="shared" si="103"/>
        <v>0</v>
      </c>
      <c r="N303">
        <f t="shared" si="104"/>
        <v>0</v>
      </c>
      <c r="O303">
        <f t="shared" si="105"/>
        <v>0</v>
      </c>
      <c r="P303">
        <f t="shared" si="106"/>
        <v>0</v>
      </c>
      <c r="Q303">
        <f t="shared" si="107"/>
        <v>0</v>
      </c>
      <c r="S303">
        <f t="shared" si="108"/>
        <v>0</v>
      </c>
      <c r="T303">
        <f t="shared" si="109"/>
        <v>0</v>
      </c>
      <c r="U303">
        <f t="shared" si="110"/>
        <v>0</v>
      </c>
      <c r="V303">
        <f t="shared" si="111"/>
        <v>0</v>
      </c>
      <c r="W303">
        <f t="shared" si="112"/>
        <v>0</v>
      </c>
      <c r="X303">
        <f t="shared" si="113"/>
        <v>0</v>
      </c>
      <c r="Z303">
        <f t="shared" si="114"/>
        <v>0</v>
      </c>
      <c r="AA303">
        <f t="shared" si="115"/>
        <v>0</v>
      </c>
      <c r="AB303">
        <f t="shared" si="116"/>
        <v>0</v>
      </c>
      <c r="AC303">
        <f t="shared" si="117"/>
        <v>0</v>
      </c>
      <c r="AD303">
        <f t="shared" si="118"/>
        <v>0</v>
      </c>
      <c r="AE303">
        <f t="shared" si="119"/>
        <v>0</v>
      </c>
    </row>
    <row r="304" spans="1:31" x14ac:dyDescent="0.25">
      <c r="A304">
        <v>35.36825855</v>
      </c>
      <c r="B304">
        <v>114.90438090000001</v>
      </c>
      <c r="C304">
        <v>7.5089607200000001</v>
      </c>
      <c r="D304">
        <v>3.9196000000000002E-2</v>
      </c>
      <c r="E304" t="b">
        <f t="shared" si="96"/>
        <v>0</v>
      </c>
      <c r="F304">
        <f t="shared" si="97"/>
        <v>-37.505607600000005</v>
      </c>
      <c r="G304">
        <f t="shared" si="98"/>
        <v>-75.050411199999999</v>
      </c>
      <c r="H304">
        <f t="shared" si="99"/>
        <v>-112.59521479999999</v>
      </c>
      <c r="I304">
        <f t="shared" si="100"/>
        <v>-150.1400184</v>
      </c>
      <c r="J304">
        <f t="shared" si="101"/>
        <v>-187.684822</v>
      </c>
      <c r="L304">
        <f t="shared" si="102"/>
        <v>75256.320000000007</v>
      </c>
      <c r="M304">
        <f t="shared" si="103"/>
        <v>-60759084.312000006</v>
      </c>
      <c r="N304">
        <f t="shared" si="104"/>
        <v>-103569567.456</v>
      </c>
      <c r="O304">
        <f t="shared" si="105"/>
        <v>-114847119.096</v>
      </c>
      <c r="P304">
        <f t="shared" si="106"/>
        <v>-138128816.928</v>
      </c>
      <c r="Q304">
        <f t="shared" si="107"/>
        <v>-142640464.72</v>
      </c>
      <c r="S304">
        <f t="shared" si="108"/>
        <v>82311.600000000006</v>
      </c>
      <c r="T304">
        <f t="shared" si="109"/>
        <v>-68260205.832000002</v>
      </c>
      <c r="U304">
        <f t="shared" si="110"/>
        <v>-113326120.912</v>
      </c>
      <c r="V304">
        <f t="shared" si="111"/>
        <v>-120476879.83599998</v>
      </c>
      <c r="W304">
        <f t="shared" si="112"/>
        <v>-160649819.68799999</v>
      </c>
      <c r="X304">
        <f t="shared" si="113"/>
        <v>-163285795.13999999</v>
      </c>
      <c r="Z304">
        <f t="shared" si="114"/>
        <v>89366.88</v>
      </c>
      <c r="AA304">
        <f t="shared" si="115"/>
        <v>-75761327.351999998</v>
      </c>
      <c r="AB304">
        <f t="shared" si="116"/>
        <v>-123082674.36800002</v>
      </c>
      <c r="AC304">
        <f t="shared" si="117"/>
        <v>-153129492.12799999</v>
      </c>
      <c r="AD304">
        <f t="shared" si="118"/>
        <v>-183170822.44800001</v>
      </c>
      <c r="AE304">
        <f t="shared" si="119"/>
        <v>-183931125.56</v>
      </c>
    </row>
    <row r="305" spans="1:31" s="1" customFormat="1" x14ac:dyDescent="0.25">
      <c r="A305" s="1">
        <v>35.388195160000002</v>
      </c>
      <c r="B305" s="1">
        <v>115.2444316</v>
      </c>
      <c r="C305" s="1">
        <v>0</v>
      </c>
      <c r="D305" s="1">
        <v>0.57734101999999998</v>
      </c>
      <c r="E305" s="1" t="b">
        <f t="shared" si="96"/>
        <v>1</v>
      </c>
      <c r="F305">
        <f t="shared" si="97"/>
        <v>0.57734101999999998</v>
      </c>
      <c r="G305">
        <f t="shared" si="98"/>
        <v>0.57734101999999998</v>
      </c>
      <c r="H305">
        <f t="shared" si="99"/>
        <v>0.57734101999999998</v>
      </c>
      <c r="I305">
        <f t="shared" si="100"/>
        <v>0.57734101999999998</v>
      </c>
      <c r="J305">
        <f t="shared" si="101"/>
        <v>0.57734101999999998</v>
      </c>
      <c r="L305">
        <f t="shared" si="102"/>
        <v>0</v>
      </c>
      <c r="M305">
        <f t="shared" si="103"/>
        <v>0</v>
      </c>
      <c r="N305">
        <f t="shared" si="104"/>
        <v>0</v>
      </c>
      <c r="O305">
        <f t="shared" si="105"/>
        <v>0</v>
      </c>
      <c r="P305">
        <f t="shared" si="106"/>
        <v>0</v>
      </c>
      <c r="Q305">
        <f t="shared" si="107"/>
        <v>0</v>
      </c>
      <c r="S305">
        <f t="shared" si="108"/>
        <v>0</v>
      </c>
      <c r="T305">
        <f t="shared" si="109"/>
        <v>0</v>
      </c>
      <c r="U305">
        <f t="shared" si="110"/>
        <v>0</v>
      </c>
      <c r="V305">
        <f t="shared" si="111"/>
        <v>0</v>
      </c>
      <c r="W305">
        <f t="shared" si="112"/>
        <v>0</v>
      </c>
      <c r="X305">
        <f t="shared" si="113"/>
        <v>0</v>
      </c>
      <c r="Z305">
        <f t="shared" si="114"/>
        <v>0</v>
      </c>
      <c r="AA305">
        <f t="shared" si="115"/>
        <v>0</v>
      </c>
      <c r="AB305">
        <f t="shared" si="116"/>
        <v>0</v>
      </c>
      <c r="AC305">
        <f t="shared" si="117"/>
        <v>0</v>
      </c>
      <c r="AD305">
        <f t="shared" si="118"/>
        <v>0</v>
      </c>
      <c r="AE305">
        <f t="shared" si="119"/>
        <v>0</v>
      </c>
    </row>
    <row r="306" spans="1:31" x14ac:dyDescent="0.25">
      <c r="A306">
        <v>35.411887210000003</v>
      </c>
      <c r="B306">
        <v>107.94408679999999</v>
      </c>
      <c r="C306">
        <v>2.6567150000000001E-2</v>
      </c>
      <c r="D306">
        <v>0.27290400999999997</v>
      </c>
      <c r="E306" t="b">
        <f t="shared" si="96"/>
        <v>1</v>
      </c>
      <c r="F306">
        <f t="shared" si="97"/>
        <v>0.14006825999999997</v>
      </c>
      <c r="G306">
        <f t="shared" si="98"/>
        <v>7.2325099999999698E-3</v>
      </c>
      <c r="H306">
        <f t="shared" si="99"/>
        <v>-0.12560324000000006</v>
      </c>
      <c r="I306">
        <f t="shared" si="100"/>
        <v>-0.25843899000000004</v>
      </c>
      <c r="J306">
        <f t="shared" si="101"/>
        <v>-0.39127474000000007</v>
      </c>
      <c r="L306">
        <f t="shared" si="102"/>
        <v>51008.928000000007</v>
      </c>
      <c r="M306">
        <f t="shared" si="103"/>
        <v>43038.783000000003</v>
      </c>
      <c r="N306">
        <f t="shared" si="104"/>
        <v>9980.8637999999573</v>
      </c>
      <c r="O306">
        <f t="shared" si="105"/>
        <v>-128115.30480000007</v>
      </c>
      <c r="P306">
        <f t="shared" si="106"/>
        <v>-237763.87080000003</v>
      </c>
      <c r="Q306">
        <f t="shared" si="107"/>
        <v>-297368.80240000004</v>
      </c>
      <c r="S306">
        <f t="shared" si="108"/>
        <v>55791.015000000007</v>
      </c>
      <c r="T306">
        <f t="shared" si="109"/>
        <v>48352.213000000003</v>
      </c>
      <c r="U306">
        <f t="shared" si="110"/>
        <v>10921.090099999956</v>
      </c>
      <c r="V306">
        <f t="shared" si="111"/>
        <v>-134395.46680000005</v>
      </c>
      <c r="W306">
        <f t="shared" si="112"/>
        <v>-276529.7193</v>
      </c>
      <c r="X306">
        <f t="shared" si="113"/>
        <v>-340409.02380000002</v>
      </c>
      <c r="Z306">
        <f t="shared" si="114"/>
        <v>60573.102000000014</v>
      </c>
      <c r="AA306">
        <f t="shared" si="115"/>
        <v>53665.643000000004</v>
      </c>
      <c r="AB306">
        <f t="shared" si="116"/>
        <v>11861.316399999952</v>
      </c>
      <c r="AC306">
        <f t="shared" si="117"/>
        <v>-170820.40640000007</v>
      </c>
      <c r="AD306">
        <f t="shared" si="118"/>
        <v>-315295.56780000008</v>
      </c>
      <c r="AE306">
        <f t="shared" si="119"/>
        <v>-383449.24520000006</v>
      </c>
    </row>
    <row r="307" spans="1:31" x14ac:dyDescent="0.25">
      <c r="A307">
        <v>35.492602089999998</v>
      </c>
      <c r="B307">
        <v>115.0875116</v>
      </c>
      <c r="C307">
        <v>7.5089607200000001</v>
      </c>
      <c r="D307">
        <v>2.37258792</v>
      </c>
      <c r="E307" t="b">
        <f t="shared" si="96"/>
        <v>0</v>
      </c>
      <c r="F307">
        <f t="shared" si="97"/>
        <v>-35.172215680000001</v>
      </c>
      <c r="G307">
        <f t="shared" si="98"/>
        <v>-72.717019280000002</v>
      </c>
      <c r="H307">
        <f t="shared" si="99"/>
        <v>-110.26182288</v>
      </c>
      <c r="I307">
        <f t="shared" si="100"/>
        <v>-147.80662648000001</v>
      </c>
      <c r="J307">
        <f t="shared" si="101"/>
        <v>-185.35143008</v>
      </c>
      <c r="L307">
        <f t="shared" si="102"/>
        <v>4555368.8064000001</v>
      </c>
      <c r="M307">
        <f t="shared" si="103"/>
        <v>-56978989.401600003</v>
      </c>
      <c r="N307">
        <f t="shared" si="104"/>
        <v>-100349486.6064</v>
      </c>
      <c r="O307">
        <f t="shared" si="105"/>
        <v>-112467059.33759999</v>
      </c>
      <c r="P307">
        <f t="shared" si="106"/>
        <v>-135982096.36160001</v>
      </c>
      <c r="Q307">
        <f t="shared" si="107"/>
        <v>-140867086.8608</v>
      </c>
      <c r="S307">
        <f t="shared" si="108"/>
        <v>4982434.6320000002</v>
      </c>
      <c r="T307">
        <f t="shared" si="109"/>
        <v>-64013432.537600003</v>
      </c>
      <c r="U307">
        <f t="shared" si="110"/>
        <v>-109802699.1128</v>
      </c>
      <c r="V307">
        <f t="shared" si="111"/>
        <v>-117980150.48159997</v>
      </c>
      <c r="W307">
        <f t="shared" si="112"/>
        <v>-158153090.33359998</v>
      </c>
      <c r="X307">
        <f t="shared" si="113"/>
        <v>-161255744.16960001</v>
      </c>
      <c r="Z307">
        <f t="shared" si="114"/>
        <v>5409500.4576000003</v>
      </c>
      <c r="AA307">
        <f t="shared" si="115"/>
        <v>-71047875.673600003</v>
      </c>
      <c r="AB307">
        <f t="shared" si="116"/>
        <v>-119255911.61920001</v>
      </c>
      <c r="AC307">
        <f t="shared" si="117"/>
        <v>-149956079.11679998</v>
      </c>
      <c r="AD307">
        <f t="shared" si="118"/>
        <v>-180324084.30560002</v>
      </c>
      <c r="AE307">
        <f t="shared" si="119"/>
        <v>-181644401.47840002</v>
      </c>
    </row>
    <row r="308" spans="1:31" x14ac:dyDescent="0.25">
      <c r="A308">
        <v>35.501150039999999</v>
      </c>
      <c r="B308">
        <v>114.97573730000001</v>
      </c>
      <c r="C308">
        <v>7.5089607200000001</v>
      </c>
      <c r="D308">
        <v>1.50518799</v>
      </c>
      <c r="E308" t="b">
        <f t="shared" si="96"/>
        <v>0</v>
      </c>
      <c r="F308">
        <f t="shared" si="97"/>
        <v>-36.039615609999998</v>
      </c>
      <c r="G308">
        <f t="shared" si="98"/>
        <v>-73.584419210000007</v>
      </c>
      <c r="H308">
        <f t="shared" si="99"/>
        <v>-111.12922281</v>
      </c>
      <c r="I308">
        <f t="shared" si="100"/>
        <v>-148.67402641000001</v>
      </c>
      <c r="J308">
        <f t="shared" si="101"/>
        <v>-186.21883001</v>
      </c>
      <c r="L308">
        <f t="shared" si="102"/>
        <v>2889960.9408</v>
      </c>
      <c r="M308">
        <f t="shared" si="103"/>
        <v>-58384177.288200006</v>
      </c>
      <c r="N308">
        <f t="shared" si="104"/>
        <v>-101546498.5098</v>
      </c>
      <c r="O308">
        <f t="shared" si="105"/>
        <v>-113351807.26620001</v>
      </c>
      <c r="P308">
        <f t="shared" si="106"/>
        <v>-136780104.29719999</v>
      </c>
      <c r="Q308">
        <f t="shared" si="107"/>
        <v>-141526310.80759999</v>
      </c>
      <c r="S308">
        <f t="shared" si="108"/>
        <v>3160894.7790000001</v>
      </c>
      <c r="T308">
        <f t="shared" si="109"/>
        <v>-65592100.4102</v>
      </c>
      <c r="U308">
        <f t="shared" si="110"/>
        <v>-111112473.00710002</v>
      </c>
      <c r="V308">
        <f t="shared" si="111"/>
        <v>-118908268.40669999</v>
      </c>
      <c r="W308">
        <f t="shared" si="112"/>
        <v>-159081208.25869998</v>
      </c>
      <c r="X308">
        <f t="shared" si="113"/>
        <v>-162010382.10869998</v>
      </c>
      <c r="Z308">
        <f t="shared" si="114"/>
        <v>3431828.6172000002</v>
      </c>
      <c r="AA308">
        <f t="shared" si="115"/>
        <v>-72800023.532199994</v>
      </c>
      <c r="AB308">
        <f t="shared" si="116"/>
        <v>-120678447.50440003</v>
      </c>
      <c r="AC308">
        <f t="shared" si="117"/>
        <v>-151135743.02159998</v>
      </c>
      <c r="AD308">
        <f t="shared" si="118"/>
        <v>-181382312.2202</v>
      </c>
      <c r="AE308">
        <f t="shared" si="119"/>
        <v>-182494453.40979999</v>
      </c>
    </row>
    <row r="309" spans="1:31" x14ac:dyDescent="0.25">
      <c r="A309">
        <v>35.512211020000002</v>
      </c>
      <c r="B309">
        <v>107.3289003</v>
      </c>
      <c r="C309">
        <v>1.062686E-2</v>
      </c>
      <c r="D309">
        <v>0.236591</v>
      </c>
      <c r="E309" t="b">
        <f t="shared" si="96"/>
        <v>1</v>
      </c>
      <c r="F309">
        <f t="shared" si="97"/>
        <v>0.1834567</v>
      </c>
      <c r="G309">
        <f t="shared" si="98"/>
        <v>0.1303224</v>
      </c>
      <c r="H309">
        <f t="shared" si="99"/>
        <v>7.7188099999999982E-2</v>
      </c>
      <c r="I309">
        <f t="shared" si="100"/>
        <v>2.4053799999999986E-2</v>
      </c>
      <c r="J309">
        <f t="shared" si="101"/>
        <v>-2.9080500000000009E-2</v>
      </c>
      <c r="L309">
        <f t="shared" si="102"/>
        <v>20403.571200000002</v>
      </c>
      <c r="M309">
        <f t="shared" si="103"/>
        <v>17215.513200000001</v>
      </c>
      <c r="N309">
        <f t="shared" si="104"/>
        <v>14665.066800000001</v>
      </c>
      <c r="O309">
        <f t="shared" si="105"/>
        <v>10839.397200000001</v>
      </c>
      <c r="P309">
        <f t="shared" si="106"/>
        <v>9776.7111999999997</v>
      </c>
      <c r="Q309">
        <f t="shared" si="107"/>
        <v>-22101.180000000008</v>
      </c>
      <c r="S309">
        <f t="shared" si="108"/>
        <v>22316.406000000003</v>
      </c>
      <c r="T309">
        <f t="shared" si="109"/>
        <v>19340.885200000001</v>
      </c>
      <c r="U309">
        <f t="shared" si="110"/>
        <v>16046.5586</v>
      </c>
      <c r="V309">
        <f t="shared" si="111"/>
        <v>11370.740199999998</v>
      </c>
      <c r="W309">
        <f t="shared" si="112"/>
        <v>11370.740199999998</v>
      </c>
      <c r="X309">
        <f t="shared" si="113"/>
        <v>-25300.035000000011</v>
      </c>
      <c r="Z309">
        <f t="shared" si="114"/>
        <v>24229.240800000003</v>
      </c>
      <c r="AA309">
        <f t="shared" si="115"/>
        <v>21466.2572</v>
      </c>
      <c r="AB309">
        <f t="shared" si="116"/>
        <v>17428.050400000004</v>
      </c>
      <c r="AC309">
        <f t="shared" si="117"/>
        <v>14452.5296</v>
      </c>
      <c r="AD309">
        <f t="shared" si="118"/>
        <v>12964.769200000001</v>
      </c>
      <c r="AE309">
        <f t="shared" si="119"/>
        <v>-28498.89000000001</v>
      </c>
    </row>
    <row r="310" spans="1:31" x14ac:dyDescent="0.25">
      <c r="A310">
        <v>35.57096937</v>
      </c>
      <c r="B310">
        <v>115.2658479</v>
      </c>
      <c r="C310">
        <v>7.5089607200000001</v>
      </c>
      <c r="D310">
        <v>15.849966050000001</v>
      </c>
      <c r="E310" t="b">
        <f t="shared" si="96"/>
        <v>1</v>
      </c>
      <c r="F310">
        <f t="shared" si="97"/>
        <v>-21.694837550000003</v>
      </c>
      <c r="G310">
        <f t="shared" si="98"/>
        <v>-59.239641150000004</v>
      </c>
      <c r="H310">
        <f t="shared" si="99"/>
        <v>-96.784444749999992</v>
      </c>
      <c r="I310">
        <f t="shared" si="100"/>
        <v>-134.32924835</v>
      </c>
      <c r="J310">
        <f t="shared" si="101"/>
        <v>-171.87405194999999</v>
      </c>
      <c r="L310">
        <f t="shared" si="102"/>
        <v>14417204.5824</v>
      </c>
      <c r="M310">
        <f t="shared" si="103"/>
        <v>-35145636.831</v>
      </c>
      <c r="N310">
        <f t="shared" si="104"/>
        <v>-81750704.787</v>
      </c>
      <c r="O310">
        <f t="shared" si="105"/>
        <v>-98720133.644999981</v>
      </c>
      <c r="P310">
        <f t="shared" si="106"/>
        <v>-123582908.48199998</v>
      </c>
      <c r="Q310">
        <f t="shared" si="107"/>
        <v>-130624279.48199999</v>
      </c>
      <c r="S310">
        <f t="shared" si="108"/>
        <v>15768817.512</v>
      </c>
      <c r="T310">
        <f t="shared" si="109"/>
        <v>-39484604.341000006</v>
      </c>
      <c r="U310">
        <f t="shared" si="110"/>
        <v>-89451858.136500016</v>
      </c>
      <c r="V310">
        <f t="shared" si="111"/>
        <v>-103559355.88249996</v>
      </c>
      <c r="W310">
        <f t="shared" si="112"/>
        <v>-143732295.73449996</v>
      </c>
      <c r="X310">
        <f t="shared" si="113"/>
        <v>-149530425.1965</v>
      </c>
      <c r="Z310">
        <f t="shared" si="114"/>
        <v>17120430.441600002</v>
      </c>
      <c r="AA310">
        <f t="shared" si="115"/>
        <v>-43823571.851000004</v>
      </c>
      <c r="AB310">
        <f t="shared" si="116"/>
        <v>-97153011.486000016</v>
      </c>
      <c r="AC310">
        <f t="shared" si="117"/>
        <v>-131626844.85999997</v>
      </c>
      <c r="AD310">
        <f t="shared" si="118"/>
        <v>-163881682.98699999</v>
      </c>
      <c r="AE310">
        <f t="shared" si="119"/>
        <v>-168436570.91099998</v>
      </c>
    </row>
    <row r="311" spans="1:31" x14ac:dyDescent="0.25">
      <c r="A311">
        <v>35.588296249999999</v>
      </c>
      <c r="B311">
        <v>115.0420921</v>
      </c>
      <c r="C311">
        <v>7.5089607200000001</v>
      </c>
      <c r="D311">
        <v>16.250970840000001</v>
      </c>
      <c r="E311" t="b">
        <f t="shared" si="96"/>
        <v>1</v>
      </c>
      <c r="F311">
        <f t="shared" si="97"/>
        <v>-21.293832760000001</v>
      </c>
      <c r="G311">
        <f t="shared" si="98"/>
        <v>-58.838636360000002</v>
      </c>
      <c r="H311">
        <f t="shared" si="99"/>
        <v>-96.383439960000004</v>
      </c>
      <c r="I311">
        <f t="shared" si="100"/>
        <v>-133.92824356</v>
      </c>
      <c r="J311">
        <f t="shared" si="101"/>
        <v>-171.47304715999999</v>
      </c>
      <c r="L311">
        <f t="shared" si="102"/>
        <v>14417204.5824</v>
      </c>
      <c r="M311">
        <f t="shared" si="103"/>
        <v>-34496009.071200006</v>
      </c>
      <c r="N311">
        <f t="shared" si="104"/>
        <v>-81197318.176799998</v>
      </c>
      <c r="O311">
        <f t="shared" si="105"/>
        <v>-98311108.759200007</v>
      </c>
      <c r="P311">
        <f t="shared" si="106"/>
        <v>-123213984.07519999</v>
      </c>
      <c r="Q311">
        <f t="shared" si="107"/>
        <v>-130319515.8416</v>
      </c>
      <c r="S311">
        <f t="shared" si="108"/>
        <v>15768817.512</v>
      </c>
      <c r="T311">
        <f t="shared" si="109"/>
        <v>-38754775.623200007</v>
      </c>
      <c r="U311">
        <f t="shared" si="110"/>
        <v>-88846340.903599992</v>
      </c>
      <c r="V311">
        <f t="shared" si="111"/>
        <v>-103130280.75719999</v>
      </c>
      <c r="W311">
        <f t="shared" si="112"/>
        <v>-143303220.60919997</v>
      </c>
      <c r="X311">
        <f t="shared" si="113"/>
        <v>-149181551.02919999</v>
      </c>
      <c r="Z311">
        <f t="shared" si="114"/>
        <v>17120430.441600002</v>
      </c>
      <c r="AA311">
        <f t="shared" si="115"/>
        <v>-43013542.1752</v>
      </c>
      <c r="AB311">
        <f t="shared" si="116"/>
        <v>-96495363.630400002</v>
      </c>
      <c r="AC311">
        <f t="shared" si="117"/>
        <v>-131081478.34559999</v>
      </c>
      <c r="AD311">
        <f t="shared" si="118"/>
        <v>-163392457.14320001</v>
      </c>
      <c r="AE311">
        <f t="shared" si="119"/>
        <v>-168043586.2168</v>
      </c>
    </row>
    <row r="312" spans="1:31" x14ac:dyDescent="0.25">
      <c r="A312">
        <v>35.602694460000002</v>
      </c>
      <c r="B312">
        <v>107.4428441</v>
      </c>
      <c r="C312">
        <v>1.062686E-2</v>
      </c>
      <c r="D312">
        <v>16.476837159999999</v>
      </c>
      <c r="E312" t="b">
        <f t="shared" si="96"/>
        <v>1</v>
      </c>
      <c r="F312">
        <f t="shared" si="97"/>
        <v>16.423702859999999</v>
      </c>
      <c r="G312">
        <f t="shared" si="98"/>
        <v>16.370568559999999</v>
      </c>
      <c r="H312">
        <f t="shared" si="99"/>
        <v>16.317434259999999</v>
      </c>
      <c r="I312">
        <f t="shared" si="100"/>
        <v>16.264299959999999</v>
      </c>
      <c r="J312">
        <f t="shared" si="101"/>
        <v>16.211165659999999</v>
      </c>
      <c r="L312">
        <f t="shared" si="102"/>
        <v>20403.571200000002</v>
      </c>
      <c r="M312">
        <f t="shared" si="103"/>
        <v>17215.513200000001</v>
      </c>
      <c r="N312">
        <f t="shared" si="104"/>
        <v>14665.066800000001</v>
      </c>
      <c r="O312">
        <f t="shared" si="105"/>
        <v>10839.397200000001</v>
      </c>
      <c r="P312">
        <f t="shared" si="106"/>
        <v>9776.7111999999997</v>
      </c>
      <c r="Q312">
        <f t="shared" si="107"/>
        <v>8076.4136000000008</v>
      </c>
      <c r="S312">
        <f t="shared" si="108"/>
        <v>22316.406000000003</v>
      </c>
      <c r="T312">
        <f t="shared" si="109"/>
        <v>19340.885200000001</v>
      </c>
      <c r="U312">
        <f t="shared" si="110"/>
        <v>16046.5586</v>
      </c>
      <c r="V312">
        <f t="shared" si="111"/>
        <v>11370.740199999998</v>
      </c>
      <c r="W312">
        <f t="shared" si="112"/>
        <v>11370.740199999998</v>
      </c>
      <c r="X312">
        <f t="shared" si="113"/>
        <v>9245.3682000000008</v>
      </c>
      <c r="Z312">
        <f t="shared" si="114"/>
        <v>24229.240800000003</v>
      </c>
      <c r="AA312">
        <f t="shared" si="115"/>
        <v>21466.2572</v>
      </c>
      <c r="AB312">
        <f t="shared" si="116"/>
        <v>17428.050400000004</v>
      </c>
      <c r="AC312">
        <f t="shared" si="117"/>
        <v>14452.5296</v>
      </c>
      <c r="AD312">
        <f t="shared" si="118"/>
        <v>12964.769200000001</v>
      </c>
      <c r="AE312">
        <f t="shared" si="119"/>
        <v>10414.3228</v>
      </c>
    </row>
    <row r="313" spans="1:31" x14ac:dyDescent="0.25">
      <c r="A313">
        <v>35.616662609999999</v>
      </c>
      <c r="B313">
        <v>115.2712174</v>
      </c>
      <c r="C313">
        <v>7.5089607200000001</v>
      </c>
      <c r="D313">
        <v>23.01345444</v>
      </c>
      <c r="E313" t="b">
        <f t="shared" si="96"/>
        <v>1</v>
      </c>
      <c r="F313">
        <f t="shared" si="97"/>
        <v>-14.531349160000001</v>
      </c>
      <c r="G313">
        <f t="shared" si="98"/>
        <v>-52.076152759999999</v>
      </c>
      <c r="H313">
        <f t="shared" si="99"/>
        <v>-89.620956359999994</v>
      </c>
      <c r="I313">
        <f t="shared" si="100"/>
        <v>-127.16575996</v>
      </c>
      <c r="J313">
        <f t="shared" si="101"/>
        <v>-164.71056356</v>
      </c>
      <c r="L313">
        <f t="shared" si="102"/>
        <v>14417204.5824</v>
      </c>
      <c r="M313">
        <f t="shared" si="103"/>
        <v>-23540785.639200006</v>
      </c>
      <c r="N313">
        <f t="shared" si="104"/>
        <v>-71865090.808799997</v>
      </c>
      <c r="O313">
        <f t="shared" si="105"/>
        <v>-91413375.487200007</v>
      </c>
      <c r="P313">
        <f t="shared" si="106"/>
        <v>-116992499.16320001</v>
      </c>
      <c r="Q313">
        <f t="shared" si="107"/>
        <v>-125180028.3056</v>
      </c>
      <c r="S313">
        <f t="shared" si="108"/>
        <v>15768817.512</v>
      </c>
      <c r="T313">
        <f t="shared" si="109"/>
        <v>-26447055.471200004</v>
      </c>
      <c r="U313">
        <f t="shared" si="110"/>
        <v>-78634990.667599991</v>
      </c>
      <c r="V313">
        <f t="shared" si="111"/>
        <v>-95894423.305199981</v>
      </c>
      <c r="W313">
        <f t="shared" si="112"/>
        <v>-136067363.15719998</v>
      </c>
      <c r="X313">
        <f t="shared" si="113"/>
        <v>-143298190.29719999</v>
      </c>
      <c r="Z313">
        <f t="shared" si="114"/>
        <v>17120430.441600002</v>
      </c>
      <c r="AA313">
        <f t="shared" si="115"/>
        <v>-29353325.303200003</v>
      </c>
      <c r="AB313">
        <f t="shared" si="116"/>
        <v>-85404890.5264</v>
      </c>
      <c r="AC313">
        <f t="shared" si="117"/>
        <v>-121884500.64959998</v>
      </c>
      <c r="AD313">
        <f t="shared" si="118"/>
        <v>-155142227.1512</v>
      </c>
      <c r="AE313">
        <f t="shared" si="119"/>
        <v>-161416352.2888</v>
      </c>
    </row>
    <row r="314" spans="1:31" x14ac:dyDescent="0.25">
      <c r="A314">
        <v>35.66673205</v>
      </c>
      <c r="B314">
        <v>115.2205993</v>
      </c>
      <c r="C314">
        <v>7.5089607200000001</v>
      </c>
      <c r="D314">
        <v>13.111167910000001</v>
      </c>
      <c r="E314" t="b">
        <f t="shared" si="96"/>
        <v>1</v>
      </c>
      <c r="F314">
        <f t="shared" si="97"/>
        <v>-24.433635690000003</v>
      </c>
      <c r="G314">
        <f t="shared" si="98"/>
        <v>-61.978439290000004</v>
      </c>
      <c r="H314">
        <f t="shared" si="99"/>
        <v>-99.523242889999992</v>
      </c>
      <c r="I314">
        <f t="shared" si="100"/>
        <v>-137.06804649</v>
      </c>
      <c r="J314">
        <f t="shared" si="101"/>
        <v>-174.61285008999999</v>
      </c>
      <c r="L314">
        <f t="shared" si="102"/>
        <v>14417204.5824</v>
      </c>
      <c r="M314">
        <f t="shared" si="103"/>
        <v>-39582489.817800008</v>
      </c>
      <c r="N314">
        <f t="shared" si="104"/>
        <v>-85530246.220200002</v>
      </c>
      <c r="O314">
        <f t="shared" si="105"/>
        <v>-101513707.74779999</v>
      </c>
      <c r="P314">
        <f t="shared" si="106"/>
        <v>-126102602.77079999</v>
      </c>
      <c r="Q314">
        <f t="shared" si="107"/>
        <v>-132705766.06840001</v>
      </c>
      <c r="S314">
        <f t="shared" si="108"/>
        <v>15768817.512</v>
      </c>
      <c r="T314">
        <f t="shared" si="109"/>
        <v>-44469216.955800004</v>
      </c>
      <c r="U314">
        <f t="shared" si="110"/>
        <v>-93587443.327900007</v>
      </c>
      <c r="V314">
        <f t="shared" si="111"/>
        <v>-106489869.89229997</v>
      </c>
      <c r="W314">
        <f t="shared" si="112"/>
        <v>-146662809.74429998</v>
      </c>
      <c r="X314">
        <f t="shared" si="113"/>
        <v>-151913179.5783</v>
      </c>
      <c r="Z314">
        <f t="shared" si="114"/>
        <v>17120430.441600002</v>
      </c>
      <c r="AA314">
        <f t="shared" si="115"/>
        <v>-49355944.093800001</v>
      </c>
      <c r="AB314">
        <f t="shared" si="116"/>
        <v>-101644640.43560001</v>
      </c>
      <c r="AC314">
        <f t="shared" si="117"/>
        <v>-135351610.33039996</v>
      </c>
      <c r="AD314">
        <f t="shared" si="118"/>
        <v>-167223016.71780002</v>
      </c>
      <c r="AE314">
        <f t="shared" si="119"/>
        <v>-171120593.0882</v>
      </c>
    </row>
    <row r="315" spans="1:31" x14ac:dyDescent="0.25">
      <c r="A315">
        <v>35.703643200000002</v>
      </c>
      <c r="B315">
        <v>115.3379948</v>
      </c>
      <c r="C315">
        <v>7.5089607200000001</v>
      </c>
      <c r="D315">
        <v>0.14679600000000001</v>
      </c>
      <c r="E315" t="b">
        <f t="shared" si="96"/>
        <v>0</v>
      </c>
      <c r="F315">
        <f t="shared" si="97"/>
        <v>-37.3980076</v>
      </c>
      <c r="G315">
        <f t="shared" si="98"/>
        <v>-74.942811200000008</v>
      </c>
      <c r="H315">
        <f t="shared" si="99"/>
        <v>-112.4876148</v>
      </c>
      <c r="I315">
        <f t="shared" si="100"/>
        <v>-150.03241840000001</v>
      </c>
      <c r="J315">
        <f t="shared" si="101"/>
        <v>-187.57722200000001</v>
      </c>
      <c r="L315">
        <f t="shared" si="102"/>
        <v>281848.32000000001</v>
      </c>
      <c r="M315">
        <f t="shared" si="103"/>
        <v>-60584772.312000006</v>
      </c>
      <c r="N315">
        <f t="shared" si="104"/>
        <v>-103421079.456</v>
      </c>
      <c r="O315">
        <f t="shared" si="105"/>
        <v>-114737367.096</v>
      </c>
      <c r="P315">
        <f t="shared" si="106"/>
        <v>-138029824.928</v>
      </c>
      <c r="Q315">
        <f t="shared" si="107"/>
        <v>-142558688.72</v>
      </c>
      <c r="S315">
        <f t="shared" si="108"/>
        <v>308271.60000000003</v>
      </c>
      <c r="T315">
        <f t="shared" si="109"/>
        <v>-68064373.832000002</v>
      </c>
      <c r="U315">
        <f t="shared" si="110"/>
        <v>-113163644.912</v>
      </c>
      <c r="V315">
        <f t="shared" si="111"/>
        <v>-120361747.83599998</v>
      </c>
      <c r="W315">
        <f t="shared" si="112"/>
        <v>-160534687.68799999</v>
      </c>
      <c r="X315">
        <f t="shared" si="113"/>
        <v>-163192183.13999999</v>
      </c>
      <c r="Z315">
        <f t="shared" si="114"/>
        <v>334694.88000000006</v>
      </c>
      <c r="AA315">
        <f t="shared" si="115"/>
        <v>-75543975.351999998</v>
      </c>
      <c r="AB315">
        <f t="shared" si="116"/>
        <v>-122906210.36800002</v>
      </c>
      <c r="AC315">
        <f t="shared" si="117"/>
        <v>-152983156.12799999</v>
      </c>
      <c r="AD315">
        <f t="shared" si="118"/>
        <v>-183039550.44800001</v>
      </c>
      <c r="AE315">
        <f t="shared" si="119"/>
        <v>-183825677.56</v>
      </c>
    </row>
    <row r="316" spans="1:31" x14ac:dyDescent="0.25">
      <c r="A316">
        <v>35.718865839999999</v>
      </c>
      <c r="B316">
        <v>108.6836078</v>
      </c>
      <c r="C316">
        <v>1.062686E-2</v>
      </c>
      <c r="D316">
        <v>2.7404370299999998</v>
      </c>
      <c r="E316" t="b">
        <f t="shared" si="96"/>
        <v>1</v>
      </c>
      <c r="F316">
        <f t="shared" si="97"/>
        <v>2.6873027299999999</v>
      </c>
      <c r="G316">
        <f t="shared" si="98"/>
        <v>2.6341684299999999</v>
      </c>
      <c r="H316">
        <f t="shared" si="99"/>
        <v>2.5810341299999999</v>
      </c>
      <c r="I316">
        <f t="shared" si="100"/>
        <v>2.52789983</v>
      </c>
      <c r="J316">
        <f t="shared" si="101"/>
        <v>2.47476553</v>
      </c>
      <c r="L316">
        <f t="shared" si="102"/>
        <v>20403.571200000002</v>
      </c>
      <c r="M316">
        <f t="shared" si="103"/>
        <v>17215.513200000001</v>
      </c>
      <c r="N316">
        <f t="shared" si="104"/>
        <v>14665.066800000001</v>
      </c>
      <c r="O316">
        <f t="shared" si="105"/>
        <v>10839.397200000001</v>
      </c>
      <c r="P316">
        <f t="shared" si="106"/>
        <v>9776.7111999999997</v>
      </c>
      <c r="Q316">
        <f t="shared" si="107"/>
        <v>8076.4136000000008</v>
      </c>
      <c r="S316">
        <f t="shared" si="108"/>
        <v>22316.406000000003</v>
      </c>
      <c r="T316">
        <f t="shared" si="109"/>
        <v>19340.885200000001</v>
      </c>
      <c r="U316">
        <f t="shared" si="110"/>
        <v>16046.5586</v>
      </c>
      <c r="V316">
        <f t="shared" si="111"/>
        <v>11370.740199999998</v>
      </c>
      <c r="W316">
        <f t="shared" si="112"/>
        <v>11370.740199999998</v>
      </c>
      <c r="X316">
        <f t="shared" si="113"/>
        <v>9245.3682000000008</v>
      </c>
      <c r="Z316">
        <f t="shared" si="114"/>
        <v>24229.240800000003</v>
      </c>
      <c r="AA316">
        <f t="shared" si="115"/>
        <v>21466.2572</v>
      </c>
      <c r="AB316">
        <f t="shared" si="116"/>
        <v>17428.050400000004</v>
      </c>
      <c r="AC316">
        <f t="shared" si="117"/>
        <v>14452.5296</v>
      </c>
      <c r="AD316">
        <f t="shared" si="118"/>
        <v>12964.769200000001</v>
      </c>
      <c r="AE316">
        <f t="shared" si="119"/>
        <v>10414.3228</v>
      </c>
    </row>
    <row r="317" spans="1:31" x14ac:dyDescent="0.25">
      <c r="A317">
        <v>35.74489895</v>
      </c>
      <c r="B317">
        <v>115.3994606</v>
      </c>
      <c r="C317">
        <v>7.5089607200000001</v>
      </c>
      <c r="D317">
        <v>34.599956509999998</v>
      </c>
      <c r="E317" t="b">
        <f t="shared" si="96"/>
        <v>1</v>
      </c>
      <c r="F317">
        <f t="shared" si="97"/>
        <v>-2.9448470900000032</v>
      </c>
      <c r="G317">
        <f t="shared" si="98"/>
        <v>-40.489650690000005</v>
      </c>
      <c r="H317">
        <f t="shared" si="99"/>
        <v>-78.034454289999999</v>
      </c>
      <c r="I317">
        <f t="shared" si="100"/>
        <v>-115.57925789000001</v>
      </c>
      <c r="J317">
        <f t="shared" si="101"/>
        <v>-153.12406149</v>
      </c>
      <c r="L317">
        <f t="shared" si="102"/>
        <v>14417204.5824</v>
      </c>
      <c r="M317">
        <f t="shared" si="103"/>
        <v>-4770652.2858000053</v>
      </c>
      <c r="N317">
        <f t="shared" si="104"/>
        <v>-55875717.952200003</v>
      </c>
      <c r="O317">
        <f t="shared" si="105"/>
        <v>-79595143.375800014</v>
      </c>
      <c r="P317">
        <f t="shared" si="106"/>
        <v>-106332917.2588</v>
      </c>
      <c r="Q317">
        <f t="shared" si="107"/>
        <v>-116374286.73240001</v>
      </c>
      <c r="S317">
        <f t="shared" si="108"/>
        <v>15768817.512</v>
      </c>
      <c r="T317">
        <f t="shared" si="109"/>
        <v>-5359621.7038000058</v>
      </c>
      <c r="U317">
        <f t="shared" si="110"/>
        <v>-61139372.541900009</v>
      </c>
      <c r="V317">
        <f t="shared" si="111"/>
        <v>-83496866.090299994</v>
      </c>
      <c r="W317">
        <f t="shared" si="112"/>
        <v>-123669805.94229999</v>
      </c>
      <c r="X317">
        <f t="shared" si="113"/>
        <v>-133217933.49630001</v>
      </c>
      <c r="Z317">
        <f t="shared" si="114"/>
        <v>17120430.441600002</v>
      </c>
      <c r="AA317">
        <f t="shared" si="115"/>
        <v>-5948591.1218000064</v>
      </c>
      <c r="AB317">
        <f t="shared" si="116"/>
        <v>-66403027.131600015</v>
      </c>
      <c r="AC317">
        <f t="shared" si="117"/>
        <v>-106126857.8344</v>
      </c>
      <c r="AD317">
        <f t="shared" si="118"/>
        <v>-141006694.62580001</v>
      </c>
      <c r="AE317">
        <f t="shared" si="119"/>
        <v>-150061580.26019999</v>
      </c>
    </row>
    <row r="318" spans="1:31" x14ac:dyDescent="0.25">
      <c r="A318">
        <v>35.758122579999998</v>
      </c>
      <c r="B318">
        <v>115.2313053</v>
      </c>
      <c r="C318">
        <v>7.5089607200000001</v>
      </c>
      <c r="D318">
        <v>6.51179504</v>
      </c>
      <c r="E318" t="b">
        <f t="shared" si="96"/>
        <v>0</v>
      </c>
      <c r="F318">
        <f t="shared" si="97"/>
        <v>-31.033008560000003</v>
      </c>
      <c r="G318">
        <f t="shared" si="98"/>
        <v>-68.577812160000008</v>
      </c>
      <c r="H318">
        <f t="shared" si="99"/>
        <v>-106.12261576</v>
      </c>
      <c r="I318">
        <f t="shared" si="100"/>
        <v>-143.66741936</v>
      </c>
      <c r="J318">
        <f t="shared" si="101"/>
        <v>-181.21222295999999</v>
      </c>
      <c r="L318">
        <f t="shared" si="102"/>
        <v>12502646.4768</v>
      </c>
      <c r="M318">
        <f t="shared" si="103"/>
        <v>-50273473.86720001</v>
      </c>
      <c r="N318">
        <f t="shared" si="104"/>
        <v>-94637380.780800015</v>
      </c>
      <c r="O318">
        <f t="shared" si="105"/>
        <v>-108245068.07520001</v>
      </c>
      <c r="P318">
        <f t="shared" si="106"/>
        <v>-132174025.81119998</v>
      </c>
      <c r="Q318">
        <f t="shared" si="107"/>
        <v>-137721289.44959998</v>
      </c>
      <c r="S318">
        <f t="shared" si="108"/>
        <v>13674769.584000001</v>
      </c>
      <c r="T318">
        <f t="shared" si="109"/>
        <v>-56480075.579200007</v>
      </c>
      <c r="U318">
        <f t="shared" si="110"/>
        <v>-103552496.36160001</v>
      </c>
      <c r="V318">
        <f t="shared" si="111"/>
        <v>-113551198.86319999</v>
      </c>
      <c r="W318">
        <f t="shared" si="112"/>
        <v>-153724138.71519995</v>
      </c>
      <c r="X318">
        <f t="shared" si="113"/>
        <v>-157654633.97519997</v>
      </c>
      <c r="Z318">
        <f t="shared" si="114"/>
        <v>14846892.691200001</v>
      </c>
      <c r="AA318">
        <f t="shared" si="115"/>
        <v>-62686677.291200005</v>
      </c>
      <c r="AB318">
        <f t="shared" si="116"/>
        <v>-112467611.94240002</v>
      </c>
      <c r="AC318">
        <f t="shared" si="117"/>
        <v>-144326757.43360001</v>
      </c>
      <c r="AD318">
        <f t="shared" si="118"/>
        <v>-175274251.61919999</v>
      </c>
      <c r="AE318">
        <f t="shared" si="119"/>
        <v>-177587978.50079998</v>
      </c>
    </row>
    <row r="319" spans="1:31" x14ac:dyDescent="0.25">
      <c r="A319">
        <v>35.790586179999998</v>
      </c>
      <c r="B319">
        <v>115.4049193</v>
      </c>
      <c r="C319">
        <v>7.5089607200000001</v>
      </c>
      <c r="D319">
        <v>1.2747780099999999</v>
      </c>
      <c r="E319" t="b">
        <f t="shared" si="96"/>
        <v>0</v>
      </c>
      <c r="F319">
        <f t="shared" si="97"/>
        <v>-36.270025590000003</v>
      </c>
      <c r="G319">
        <f t="shared" si="98"/>
        <v>-73.814829189999998</v>
      </c>
      <c r="H319">
        <f t="shared" si="99"/>
        <v>-111.35963278999999</v>
      </c>
      <c r="I319">
        <f t="shared" si="100"/>
        <v>-148.90443639</v>
      </c>
      <c r="J319">
        <f t="shared" si="101"/>
        <v>-186.44923999</v>
      </c>
      <c r="L319">
        <f t="shared" si="102"/>
        <v>2447573.7792000002</v>
      </c>
      <c r="M319">
        <f t="shared" si="103"/>
        <v>-58757441.455800012</v>
      </c>
      <c r="N319">
        <f t="shared" si="104"/>
        <v>-101864464.28219999</v>
      </c>
      <c r="O319">
        <f t="shared" si="105"/>
        <v>-113586825.44579999</v>
      </c>
      <c r="P319">
        <f t="shared" si="106"/>
        <v>-136992081.4788</v>
      </c>
      <c r="Q319">
        <f t="shared" si="107"/>
        <v>-141701422.3924</v>
      </c>
      <c r="S319">
        <f t="shared" si="108"/>
        <v>2677033.821</v>
      </c>
      <c r="T319">
        <f t="shared" si="109"/>
        <v>-66011446.573800012</v>
      </c>
      <c r="U319">
        <f t="shared" si="110"/>
        <v>-111460392.07689999</v>
      </c>
      <c r="V319">
        <f t="shared" si="111"/>
        <v>-119154807.08529997</v>
      </c>
      <c r="W319">
        <f t="shared" si="112"/>
        <v>-159327746.9373</v>
      </c>
      <c r="X319">
        <f t="shared" si="113"/>
        <v>-162210838.7913</v>
      </c>
      <c r="Z319">
        <f t="shared" si="114"/>
        <v>2906493.8628000002</v>
      </c>
      <c r="AA319">
        <f t="shared" si="115"/>
        <v>-73265451.691800013</v>
      </c>
      <c r="AB319">
        <f t="shared" si="116"/>
        <v>-121056319.8716</v>
      </c>
      <c r="AC319">
        <f t="shared" si="117"/>
        <v>-151449100.59439999</v>
      </c>
      <c r="AD319">
        <f t="shared" si="118"/>
        <v>-181663412.39580002</v>
      </c>
      <c r="AE319">
        <f t="shared" si="119"/>
        <v>-182720255.1902</v>
      </c>
    </row>
    <row r="320" spans="1:31" x14ac:dyDescent="0.25">
      <c r="A320">
        <v>35.795023059999998</v>
      </c>
      <c r="B320">
        <v>115.34884169999999</v>
      </c>
      <c r="C320">
        <v>7.5089607200000001</v>
      </c>
      <c r="D320">
        <v>20.65184975</v>
      </c>
      <c r="E320" t="b">
        <f t="shared" si="96"/>
        <v>1</v>
      </c>
      <c r="F320">
        <f t="shared" si="97"/>
        <v>-16.892953850000001</v>
      </c>
      <c r="G320">
        <f t="shared" si="98"/>
        <v>-54.437757450000007</v>
      </c>
      <c r="H320">
        <f t="shared" si="99"/>
        <v>-91.982561050000001</v>
      </c>
      <c r="I320">
        <f t="shared" si="100"/>
        <v>-129.52736465000001</v>
      </c>
      <c r="J320">
        <f t="shared" si="101"/>
        <v>-167.07216825</v>
      </c>
      <c r="L320">
        <f t="shared" si="102"/>
        <v>14417204.5824</v>
      </c>
      <c r="M320">
        <f t="shared" si="103"/>
        <v>-27366585.237000003</v>
      </c>
      <c r="N320">
        <f t="shared" si="104"/>
        <v>-75124105.281000003</v>
      </c>
      <c r="O320">
        <f t="shared" si="105"/>
        <v>-93822212.270999998</v>
      </c>
      <c r="P320">
        <f t="shared" si="106"/>
        <v>-119165175.478</v>
      </c>
      <c r="Q320">
        <f t="shared" si="107"/>
        <v>-126974847.87</v>
      </c>
      <c r="S320">
        <f t="shared" si="108"/>
        <v>15768817.512</v>
      </c>
      <c r="T320">
        <f t="shared" si="109"/>
        <v>-30745176.007000003</v>
      </c>
      <c r="U320">
        <f t="shared" si="110"/>
        <v>-82201013.749500006</v>
      </c>
      <c r="V320">
        <f t="shared" si="111"/>
        <v>-98421340.323499978</v>
      </c>
      <c r="W320">
        <f t="shared" si="112"/>
        <v>-138594280.17549998</v>
      </c>
      <c r="X320">
        <f t="shared" si="113"/>
        <v>-145352786.3775</v>
      </c>
      <c r="Z320">
        <f t="shared" si="114"/>
        <v>17120430.441600002</v>
      </c>
      <c r="AA320">
        <f t="shared" si="115"/>
        <v>-34123766.777000003</v>
      </c>
      <c r="AB320">
        <f t="shared" si="116"/>
        <v>-89277922.21800001</v>
      </c>
      <c r="AC320">
        <f t="shared" si="117"/>
        <v>-125096283.02799998</v>
      </c>
      <c r="AD320">
        <f t="shared" si="118"/>
        <v>-158023384.873</v>
      </c>
      <c r="AE320">
        <f t="shared" si="119"/>
        <v>-163730724.88499999</v>
      </c>
    </row>
    <row r="321" spans="1:31" x14ac:dyDescent="0.25">
      <c r="A321">
        <v>35.821014249999998</v>
      </c>
      <c r="B321">
        <v>108.17966850000001</v>
      </c>
      <c r="C321">
        <v>4.2673910000000002E-2</v>
      </c>
      <c r="D321">
        <v>34.820617679999998</v>
      </c>
      <c r="E321" t="b">
        <f t="shared" si="96"/>
        <v>1</v>
      </c>
      <c r="F321">
        <f t="shared" si="97"/>
        <v>34.607248129999995</v>
      </c>
      <c r="G321">
        <f t="shared" si="98"/>
        <v>34.393878579999999</v>
      </c>
      <c r="H321">
        <f t="shared" si="99"/>
        <v>34.180509029999996</v>
      </c>
      <c r="I321">
        <f t="shared" si="100"/>
        <v>33.96713948</v>
      </c>
      <c r="J321">
        <f t="shared" si="101"/>
        <v>33.753769929999997</v>
      </c>
      <c r="L321">
        <f t="shared" si="102"/>
        <v>81933.907200000016</v>
      </c>
      <c r="M321">
        <f t="shared" si="103"/>
        <v>69131.734200000006</v>
      </c>
      <c r="N321">
        <f t="shared" si="104"/>
        <v>58889.995799999997</v>
      </c>
      <c r="O321">
        <f t="shared" si="105"/>
        <v>43527.388200000001</v>
      </c>
      <c r="P321">
        <f t="shared" si="106"/>
        <v>39259.997199999998</v>
      </c>
      <c r="Q321">
        <f t="shared" si="107"/>
        <v>32432.171600000001</v>
      </c>
      <c r="S321">
        <f t="shared" si="108"/>
        <v>89615.21100000001</v>
      </c>
      <c r="T321">
        <f t="shared" si="109"/>
        <v>77666.516200000013</v>
      </c>
      <c r="U321">
        <f t="shared" si="110"/>
        <v>64437.604100000004</v>
      </c>
      <c r="V321">
        <f t="shared" si="111"/>
        <v>45661.083699999996</v>
      </c>
      <c r="W321">
        <f t="shared" si="112"/>
        <v>45661.083699999996</v>
      </c>
      <c r="X321">
        <f t="shared" si="113"/>
        <v>37126.301700000004</v>
      </c>
      <c r="Z321">
        <f t="shared" si="114"/>
        <v>97296.514800000019</v>
      </c>
      <c r="AA321">
        <f t="shared" si="115"/>
        <v>86201.298200000005</v>
      </c>
      <c r="AB321">
        <f t="shared" si="116"/>
        <v>69985.212400000004</v>
      </c>
      <c r="AC321">
        <f t="shared" si="117"/>
        <v>58036.517599999999</v>
      </c>
      <c r="AD321">
        <f t="shared" si="118"/>
        <v>52062.1702</v>
      </c>
      <c r="AE321">
        <f t="shared" si="119"/>
        <v>41820.431800000006</v>
      </c>
    </row>
    <row r="322" spans="1:31" x14ac:dyDescent="0.25">
      <c r="A322">
        <v>35.84071256</v>
      </c>
      <c r="B322">
        <v>115.3542745</v>
      </c>
      <c r="C322">
        <v>7.5089607200000001</v>
      </c>
      <c r="D322">
        <v>17.769199369999999</v>
      </c>
      <c r="E322" t="b">
        <f t="shared" si="96"/>
        <v>1</v>
      </c>
      <c r="F322">
        <f t="shared" si="97"/>
        <v>-19.775604230000003</v>
      </c>
      <c r="G322">
        <f t="shared" si="98"/>
        <v>-57.320407830000008</v>
      </c>
      <c r="H322">
        <f t="shared" si="99"/>
        <v>-94.865211430000002</v>
      </c>
      <c r="I322">
        <f t="shared" si="100"/>
        <v>-132.41001503000001</v>
      </c>
      <c r="J322">
        <f t="shared" si="101"/>
        <v>-169.95481863000001</v>
      </c>
      <c r="L322">
        <f t="shared" si="102"/>
        <v>14417204.5824</v>
      </c>
      <c r="M322">
        <f t="shared" si="103"/>
        <v>-32036478.852600008</v>
      </c>
      <c r="N322">
        <f t="shared" si="104"/>
        <v>-79102162.805399999</v>
      </c>
      <c r="O322">
        <f t="shared" si="105"/>
        <v>-96762515.658600003</v>
      </c>
      <c r="P322">
        <f t="shared" si="106"/>
        <v>-121817213.8276</v>
      </c>
      <c r="Q322">
        <f t="shared" si="107"/>
        <v>-129165662.15879999</v>
      </c>
      <c r="S322">
        <f t="shared" si="108"/>
        <v>15768817.512</v>
      </c>
      <c r="T322">
        <f t="shared" si="109"/>
        <v>-35991599.698600009</v>
      </c>
      <c r="U322">
        <f t="shared" si="110"/>
        <v>-86553815.823300004</v>
      </c>
      <c r="V322">
        <f t="shared" si="111"/>
        <v>-101505776.23009999</v>
      </c>
      <c r="W322">
        <f t="shared" si="112"/>
        <v>-141678716.0821</v>
      </c>
      <c r="X322">
        <f t="shared" si="113"/>
        <v>-147860692.20809999</v>
      </c>
      <c r="Z322">
        <f t="shared" si="114"/>
        <v>17120430.441600002</v>
      </c>
      <c r="AA322">
        <f t="shared" si="115"/>
        <v>-39946720.54460001</v>
      </c>
      <c r="AB322">
        <f t="shared" si="116"/>
        <v>-94005468.841200009</v>
      </c>
      <c r="AC322">
        <f t="shared" si="117"/>
        <v>-129016687.5448</v>
      </c>
      <c r="AD322">
        <f t="shared" si="118"/>
        <v>-161540218.33660001</v>
      </c>
      <c r="AE322">
        <f t="shared" si="119"/>
        <v>-166555722.25740001</v>
      </c>
    </row>
    <row r="323" spans="1:31" x14ac:dyDescent="0.25">
      <c r="A323">
        <v>35.875125230000002</v>
      </c>
      <c r="B323">
        <v>107.67346120000001</v>
      </c>
      <c r="C323">
        <v>0.14331736</v>
      </c>
      <c r="D323">
        <v>52.646286009999997</v>
      </c>
      <c r="E323" t="b">
        <f t="shared" ref="E323:E386" si="120">D323&gt;C323</f>
        <v>1</v>
      </c>
      <c r="F323">
        <f t="shared" ref="F323:F386" si="121">D323-(C323*(2030-2025))</f>
        <v>51.929699209999995</v>
      </c>
      <c r="G323">
        <f t="shared" ref="G323:G386" si="122">D323-(C323*(2035-2025))</f>
        <v>51.213112409999994</v>
      </c>
      <c r="H323">
        <f t="shared" ref="H323:H386" si="123">D323-(C323*(2040-2025))</f>
        <v>50.496525609999999</v>
      </c>
      <c r="I323">
        <f t="shared" ref="I323:I386" si="124">D323-(C323*(2045-2025))</f>
        <v>49.779938809999997</v>
      </c>
      <c r="J323">
        <f t="shared" ref="J323:J386" si="125">D323-(C323*(2050-2025))</f>
        <v>49.063352009999996</v>
      </c>
      <c r="L323">
        <f t="shared" ref="L323:L386" si="126">MIN(C323,D323)*1000000*((280/250)+0.8)</f>
        <v>275169.33120000007</v>
      </c>
      <c r="M323">
        <f t="shared" ref="M323:M386" si="127">MIN(F323,C323)*1000000*((230/250)+0.7)</f>
        <v>232174.12320000003</v>
      </c>
      <c r="N323">
        <f t="shared" ref="N323:N386" si="128">MIN(G323,C323)*1000000*((195/250)+0.6)</f>
        <v>197777.95680000001</v>
      </c>
      <c r="O323">
        <f t="shared" ref="O323:O386" si="129">MIN(H323,C323)*1000000*((130/250)+0.5)</f>
        <v>146183.7072</v>
      </c>
      <c r="P323">
        <f t="shared" ref="P323:P386" si="130">MIN(I323,C323)*1000000*((105/250)+0.5)</f>
        <v>131851.9712</v>
      </c>
      <c r="Q323">
        <f t="shared" ref="Q323:Q386" si="131">MIN(J323,C323)*1000000*((90/250)+0.4)</f>
        <v>108921.19360000001</v>
      </c>
      <c r="S323">
        <f t="shared" ref="S323:S386" si="132">MIN(C323,D323)*1000000*((325/250)+0.8)</f>
        <v>300966.45600000006</v>
      </c>
      <c r="T323">
        <f t="shared" ref="T323:T386" si="133">MIN(F323,C323)*1000000*((280/250)+0.7)</f>
        <v>260837.59520000004</v>
      </c>
      <c r="U323">
        <f t="shared" ref="U323:U386" si="134">MIN(G323,C323)*1000000*((227.5/250)+0.6)</f>
        <v>216409.21360000002</v>
      </c>
      <c r="V323">
        <f t="shared" ref="V323:V386" si="135">MIN(H323,C323)*1000000*((142.5/250)+0.5)</f>
        <v>153349.57519999999</v>
      </c>
      <c r="W323">
        <f t="shared" ref="W323:W386" si="136">MIN(I323,C323)*1000000*((142.5/250)+0.5)</f>
        <v>153349.57519999999</v>
      </c>
      <c r="X323">
        <f t="shared" ref="X323:X386" si="137">MIN(J323,C323)*1000000*( (117.5/250)+0.4)</f>
        <v>124686.10320000001</v>
      </c>
      <c r="Z323">
        <f t="shared" ref="Z323:Z386" si="138">MIN(C323,D323)*1000000*((370/250)+0.8)</f>
        <v>326763.58080000005</v>
      </c>
      <c r="AA323">
        <f t="shared" ref="AA323:AA386" si="139">MIN(C323,F323)*1000000*((330/250)+0.7)</f>
        <v>289501.06720000005</v>
      </c>
      <c r="AB323">
        <f t="shared" ref="AB323:AB386" si="140">MIN(C323,G323)*1000000*((260/250)+0.6)</f>
        <v>235040.47040000005</v>
      </c>
      <c r="AC323">
        <f t="shared" ref="AC323:AC386" si="141">MIN(C323,H323)*1000000*((215/250)+0.5)</f>
        <v>194911.6096</v>
      </c>
      <c r="AD323">
        <f t="shared" ref="AD323:AD386" si="142">MIN(C323,I323)*1000000*((180/250)+0.5)</f>
        <v>174847.17920000001</v>
      </c>
      <c r="AE323">
        <f t="shared" ref="AE323:AE386" si="143">MIN(C323,J323)*1000000*((145/250)+0.4)</f>
        <v>140451.01280000003</v>
      </c>
    </row>
    <row r="324" spans="1:31" x14ac:dyDescent="0.25">
      <c r="A324">
        <v>35.923981550000001</v>
      </c>
      <c r="B324">
        <v>107.4487286</v>
      </c>
      <c r="C324">
        <v>0.14331736</v>
      </c>
      <c r="D324">
        <v>15.91948223</v>
      </c>
      <c r="E324" t="b">
        <f t="shared" si="120"/>
        <v>1</v>
      </c>
      <c r="F324">
        <f t="shared" si="121"/>
        <v>15.20289543</v>
      </c>
      <c r="G324">
        <f t="shared" si="122"/>
        <v>14.48630863</v>
      </c>
      <c r="H324">
        <f t="shared" si="123"/>
        <v>13.76972183</v>
      </c>
      <c r="I324">
        <f t="shared" si="124"/>
        <v>13.05313503</v>
      </c>
      <c r="J324">
        <f t="shared" si="125"/>
        <v>12.33654823</v>
      </c>
      <c r="L324">
        <f t="shared" si="126"/>
        <v>275169.33120000007</v>
      </c>
      <c r="M324">
        <f t="shared" si="127"/>
        <v>232174.12320000003</v>
      </c>
      <c r="N324">
        <f t="shared" si="128"/>
        <v>197777.95680000001</v>
      </c>
      <c r="O324">
        <f t="shared" si="129"/>
        <v>146183.7072</v>
      </c>
      <c r="P324">
        <f t="shared" si="130"/>
        <v>131851.9712</v>
      </c>
      <c r="Q324">
        <f t="shared" si="131"/>
        <v>108921.19360000001</v>
      </c>
      <c r="S324">
        <f t="shared" si="132"/>
        <v>300966.45600000006</v>
      </c>
      <c r="T324">
        <f t="shared" si="133"/>
        <v>260837.59520000004</v>
      </c>
      <c r="U324">
        <f t="shared" si="134"/>
        <v>216409.21360000002</v>
      </c>
      <c r="V324">
        <f t="shared" si="135"/>
        <v>153349.57519999999</v>
      </c>
      <c r="W324">
        <f t="shared" si="136"/>
        <v>153349.57519999999</v>
      </c>
      <c r="X324">
        <f t="shared" si="137"/>
        <v>124686.10320000001</v>
      </c>
      <c r="Z324">
        <f t="shared" si="138"/>
        <v>326763.58080000005</v>
      </c>
      <c r="AA324">
        <f t="shared" si="139"/>
        <v>289501.06720000005</v>
      </c>
      <c r="AB324">
        <f t="shared" si="140"/>
        <v>235040.47040000005</v>
      </c>
      <c r="AC324">
        <f t="shared" si="141"/>
        <v>194911.6096</v>
      </c>
      <c r="AD324">
        <f t="shared" si="142"/>
        <v>174847.17920000001</v>
      </c>
      <c r="AE324">
        <f t="shared" si="143"/>
        <v>140451.01280000003</v>
      </c>
    </row>
    <row r="325" spans="1:31" x14ac:dyDescent="0.25">
      <c r="A325">
        <v>36.009421770000003</v>
      </c>
      <c r="B325">
        <v>107.9023419</v>
      </c>
      <c r="C325">
        <v>0.14331736</v>
      </c>
      <c r="D325">
        <v>0.26115501000000002</v>
      </c>
      <c r="E325" t="b">
        <f t="shared" si="120"/>
        <v>1</v>
      </c>
      <c r="F325">
        <f t="shared" si="121"/>
        <v>-0.45543178999999995</v>
      </c>
      <c r="G325">
        <f t="shared" si="122"/>
        <v>-1.17201859</v>
      </c>
      <c r="H325">
        <f t="shared" si="123"/>
        <v>-1.8886053899999999</v>
      </c>
      <c r="I325">
        <f t="shared" si="124"/>
        <v>-2.6051921899999999</v>
      </c>
      <c r="J325">
        <f t="shared" si="125"/>
        <v>-3.3217789900000003</v>
      </c>
      <c r="L325">
        <f t="shared" si="126"/>
        <v>275169.33120000007</v>
      </c>
      <c r="M325">
        <f t="shared" si="127"/>
        <v>-737799.49979999987</v>
      </c>
      <c r="N325">
        <f t="shared" si="128"/>
        <v>-1617385.6542</v>
      </c>
      <c r="O325">
        <f t="shared" si="129"/>
        <v>-1926377.4978</v>
      </c>
      <c r="P325">
        <f t="shared" si="130"/>
        <v>-2396776.8147999998</v>
      </c>
      <c r="Q325">
        <f t="shared" si="131"/>
        <v>-2524552.0324000004</v>
      </c>
      <c r="S325">
        <f t="shared" si="132"/>
        <v>300966.45600000006</v>
      </c>
      <c r="T325">
        <f t="shared" si="133"/>
        <v>-828885.85779999988</v>
      </c>
      <c r="U325">
        <f t="shared" si="134"/>
        <v>-1769748.0709000002</v>
      </c>
      <c r="V325">
        <f t="shared" si="135"/>
        <v>-2020807.7672999995</v>
      </c>
      <c r="W325">
        <f t="shared" si="136"/>
        <v>-2787555.6432999996</v>
      </c>
      <c r="X325">
        <f t="shared" si="137"/>
        <v>-2889947.7213000003</v>
      </c>
      <c r="Z325">
        <f t="shared" si="138"/>
        <v>326763.58080000005</v>
      </c>
      <c r="AA325">
        <f t="shared" si="139"/>
        <v>-919972.21579999989</v>
      </c>
      <c r="AB325">
        <f t="shared" si="140"/>
        <v>-1922110.4876000003</v>
      </c>
      <c r="AC325">
        <f t="shared" si="141"/>
        <v>-2568503.3303999994</v>
      </c>
      <c r="AD325">
        <f t="shared" si="142"/>
        <v>-3178334.4717999999</v>
      </c>
      <c r="AE325">
        <f t="shared" si="143"/>
        <v>-3255343.4102000003</v>
      </c>
    </row>
    <row r="326" spans="1:31" x14ac:dyDescent="0.25">
      <c r="A326">
        <v>36.157631389999999</v>
      </c>
      <c r="B326">
        <v>107.0567827</v>
      </c>
      <c r="C326">
        <v>1.2898562</v>
      </c>
      <c r="D326">
        <v>6.2236909899999997</v>
      </c>
      <c r="E326" t="b">
        <f t="shared" si="120"/>
        <v>1</v>
      </c>
      <c r="F326">
        <f t="shared" si="121"/>
        <v>-0.22559001000000034</v>
      </c>
      <c r="G326">
        <f t="shared" si="122"/>
        <v>-6.6748710100000004</v>
      </c>
      <c r="H326">
        <f t="shared" si="123"/>
        <v>-13.124152010000001</v>
      </c>
      <c r="I326">
        <f t="shared" si="124"/>
        <v>-19.573433010000002</v>
      </c>
      <c r="J326">
        <f t="shared" si="125"/>
        <v>-26.022714010000001</v>
      </c>
      <c r="L326">
        <f t="shared" si="126"/>
        <v>2476523.9040000001</v>
      </c>
      <c r="M326">
        <f t="shared" si="127"/>
        <v>-365455.81620000058</v>
      </c>
      <c r="N326">
        <f t="shared" si="128"/>
        <v>-9211321.9937999994</v>
      </c>
      <c r="O326">
        <f t="shared" si="129"/>
        <v>-13386635.050200002</v>
      </c>
      <c r="P326">
        <f t="shared" si="130"/>
        <v>-18007558.369199999</v>
      </c>
      <c r="Q326">
        <f t="shared" si="131"/>
        <v>-19777262.647600003</v>
      </c>
      <c r="S326">
        <f t="shared" si="132"/>
        <v>2708698.02</v>
      </c>
      <c r="T326">
        <f t="shared" si="133"/>
        <v>-410573.81820000062</v>
      </c>
      <c r="U326">
        <f t="shared" si="134"/>
        <v>-10079055.225100001</v>
      </c>
      <c r="V326">
        <f t="shared" si="135"/>
        <v>-14042842.650699999</v>
      </c>
      <c r="W326">
        <f t="shared" si="136"/>
        <v>-20943573.320699997</v>
      </c>
      <c r="X326">
        <f t="shared" si="137"/>
        <v>-22639761.188700002</v>
      </c>
      <c r="Z326">
        <f t="shared" si="138"/>
        <v>2940872.1360000004</v>
      </c>
      <c r="AA326">
        <f t="shared" si="139"/>
        <v>-455691.82020000066</v>
      </c>
      <c r="AB326">
        <f t="shared" si="140"/>
        <v>-10946788.456400001</v>
      </c>
      <c r="AC326">
        <f t="shared" si="141"/>
        <v>-17848846.733600002</v>
      </c>
      <c r="AD326">
        <f t="shared" si="142"/>
        <v>-23879588.272200003</v>
      </c>
      <c r="AE326">
        <f t="shared" si="143"/>
        <v>-25502259.729800001</v>
      </c>
    </row>
    <row r="327" spans="1:31" x14ac:dyDescent="0.25">
      <c r="A327">
        <v>36.289724640000003</v>
      </c>
      <c r="B327">
        <v>107.5688969</v>
      </c>
      <c r="C327">
        <v>1.2898562</v>
      </c>
      <c r="D327">
        <v>15.64400768</v>
      </c>
      <c r="E327" t="b">
        <f t="shared" si="120"/>
        <v>1</v>
      </c>
      <c r="F327">
        <f t="shared" si="121"/>
        <v>9.1947266799999987</v>
      </c>
      <c r="G327">
        <f t="shared" si="122"/>
        <v>2.7454456799999996</v>
      </c>
      <c r="H327">
        <f t="shared" si="123"/>
        <v>-3.7038353200000014</v>
      </c>
      <c r="I327">
        <f t="shared" si="124"/>
        <v>-10.153116320000001</v>
      </c>
      <c r="J327">
        <f t="shared" si="125"/>
        <v>-16.602397320000001</v>
      </c>
      <c r="L327">
        <f t="shared" si="126"/>
        <v>2476523.9040000001</v>
      </c>
      <c r="M327">
        <f t="shared" si="127"/>
        <v>2089567.044</v>
      </c>
      <c r="N327">
        <f t="shared" si="128"/>
        <v>1780001.5559999999</v>
      </c>
      <c r="O327">
        <f t="shared" si="129"/>
        <v>-3777912.0264000013</v>
      </c>
      <c r="P327">
        <f t="shared" si="130"/>
        <v>-9340867.0143999998</v>
      </c>
      <c r="Q327">
        <f t="shared" si="131"/>
        <v>-12617821.963200001</v>
      </c>
      <c r="S327">
        <f t="shared" si="132"/>
        <v>2708698.02</v>
      </c>
      <c r="T327">
        <f t="shared" si="133"/>
        <v>2347538.284</v>
      </c>
      <c r="U327">
        <f t="shared" si="134"/>
        <v>1947682.862</v>
      </c>
      <c r="V327">
        <f t="shared" si="135"/>
        <v>-3963103.7924000006</v>
      </c>
      <c r="W327">
        <f t="shared" si="136"/>
        <v>-10863834.462399999</v>
      </c>
      <c r="X327">
        <f t="shared" si="137"/>
        <v>-14444085.668400003</v>
      </c>
      <c r="Z327">
        <f t="shared" si="138"/>
        <v>2940872.1360000004</v>
      </c>
      <c r="AA327">
        <f t="shared" si="139"/>
        <v>2605509.5239999997</v>
      </c>
      <c r="AB327">
        <f t="shared" si="140"/>
        <v>2115364.1680000001</v>
      </c>
      <c r="AC327">
        <f t="shared" si="141"/>
        <v>-5037216.0352000017</v>
      </c>
      <c r="AD327">
        <f t="shared" si="142"/>
        <v>-12386801.910399999</v>
      </c>
      <c r="AE327">
        <f t="shared" si="143"/>
        <v>-16270349.373600002</v>
      </c>
    </row>
    <row r="328" spans="1:31" x14ac:dyDescent="0.25">
      <c r="A328">
        <v>36.329753859999997</v>
      </c>
      <c r="B328">
        <v>107.9668568</v>
      </c>
      <c r="C328">
        <v>4.8771324199999997</v>
      </c>
      <c r="D328">
        <v>2.66443801</v>
      </c>
      <c r="E328" t="b">
        <f t="shared" si="120"/>
        <v>0</v>
      </c>
      <c r="F328">
        <f t="shared" si="121"/>
        <v>-21.721224089999996</v>
      </c>
      <c r="G328">
        <f t="shared" si="122"/>
        <v>-46.106886189999997</v>
      </c>
      <c r="H328">
        <f t="shared" si="123"/>
        <v>-70.492548290000002</v>
      </c>
      <c r="I328">
        <f t="shared" si="124"/>
        <v>-94.878210389999992</v>
      </c>
      <c r="J328">
        <f t="shared" si="125"/>
        <v>-119.26387249</v>
      </c>
      <c r="L328">
        <f t="shared" si="126"/>
        <v>5115720.9792000009</v>
      </c>
      <c r="M328">
        <f t="shared" si="127"/>
        <v>-35188383.025799997</v>
      </c>
      <c r="N328">
        <f t="shared" si="128"/>
        <v>-63627502.94219999</v>
      </c>
      <c r="O328">
        <f t="shared" si="129"/>
        <v>-71902399.255800009</v>
      </c>
      <c r="P328">
        <f t="shared" si="130"/>
        <v>-87287953.558799982</v>
      </c>
      <c r="Q328">
        <f t="shared" si="131"/>
        <v>-90640543.092399999</v>
      </c>
      <c r="S328">
        <f t="shared" si="132"/>
        <v>5595319.8210000005</v>
      </c>
      <c r="T328">
        <f t="shared" si="133"/>
        <v>-39532627.843799993</v>
      </c>
      <c r="U328">
        <f t="shared" si="134"/>
        <v>-69621398.146899998</v>
      </c>
      <c r="V328">
        <f t="shared" si="135"/>
        <v>-75427026.670299992</v>
      </c>
      <c r="W328">
        <f t="shared" si="136"/>
        <v>-101519685.11729997</v>
      </c>
      <c r="X328">
        <f t="shared" si="137"/>
        <v>-103759569.06629999</v>
      </c>
      <c r="Z328">
        <f t="shared" si="138"/>
        <v>6074918.662800001</v>
      </c>
      <c r="AA328">
        <f t="shared" si="139"/>
        <v>-43876872.66179999</v>
      </c>
      <c r="AB328">
        <f t="shared" si="140"/>
        <v>-75615293.351600006</v>
      </c>
      <c r="AC328">
        <f t="shared" si="141"/>
        <v>-95869865.674400002</v>
      </c>
      <c r="AD328">
        <f t="shared" si="142"/>
        <v>-115751416.67579998</v>
      </c>
      <c r="AE328">
        <f t="shared" si="143"/>
        <v>-116878595.0402</v>
      </c>
    </row>
    <row r="329" spans="1:31" x14ac:dyDescent="0.25">
      <c r="A329">
        <v>36.363760540000001</v>
      </c>
      <c r="B329">
        <v>108.59215759999999</v>
      </c>
      <c r="C329">
        <v>4.2673910000000002E-2</v>
      </c>
      <c r="D329">
        <v>2.28124189</v>
      </c>
      <c r="E329" t="b">
        <f t="shared" si="120"/>
        <v>1</v>
      </c>
      <c r="F329">
        <f t="shared" si="121"/>
        <v>2.0678723400000001</v>
      </c>
      <c r="G329">
        <f t="shared" si="122"/>
        <v>1.85450279</v>
      </c>
      <c r="H329">
        <f t="shared" si="123"/>
        <v>1.6411332399999998</v>
      </c>
      <c r="I329">
        <f t="shared" si="124"/>
        <v>1.4277636899999999</v>
      </c>
      <c r="J329">
        <f t="shared" si="125"/>
        <v>1.21439414</v>
      </c>
      <c r="L329">
        <f t="shared" si="126"/>
        <v>81933.907200000016</v>
      </c>
      <c r="M329">
        <f t="shared" si="127"/>
        <v>69131.734200000006</v>
      </c>
      <c r="N329">
        <f t="shared" si="128"/>
        <v>58889.995799999997</v>
      </c>
      <c r="O329">
        <f t="shared" si="129"/>
        <v>43527.388200000001</v>
      </c>
      <c r="P329">
        <f t="shared" si="130"/>
        <v>39259.997199999998</v>
      </c>
      <c r="Q329">
        <f t="shared" si="131"/>
        <v>32432.171600000001</v>
      </c>
      <c r="S329">
        <f t="shared" si="132"/>
        <v>89615.21100000001</v>
      </c>
      <c r="T329">
        <f t="shared" si="133"/>
        <v>77666.516200000013</v>
      </c>
      <c r="U329">
        <f t="shared" si="134"/>
        <v>64437.604100000004</v>
      </c>
      <c r="V329">
        <f t="shared" si="135"/>
        <v>45661.083699999996</v>
      </c>
      <c r="W329">
        <f t="shared" si="136"/>
        <v>45661.083699999996</v>
      </c>
      <c r="X329">
        <f t="shared" si="137"/>
        <v>37126.301700000004</v>
      </c>
      <c r="Z329">
        <f t="shared" si="138"/>
        <v>97296.514800000019</v>
      </c>
      <c r="AA329">
        <f t="shared" si="139"/>
        <v>86201.298200000005</v>
      </c>
      <c r="AB329">
        <f t="shared" si="140"/>
        <v>69985.212400000004</v>
      </c>
      <c r="AC329">
        <f t="shared" si="141"/>
        <v>58036.517599999999</v>
      </c>
      <c r="AD329">
        <f t="shared" si="142"/>
        <v>52062.1702</v>
      </c>
      <c r="AE329">
        <f t="shared" si="143"/>
        <v>41820.431800000006</v>
      </c>
    </row>
    <row r="330" spans="1:31" x14ac:dyDescent="0.25">
      <c r="A330">
        <v>36.371699649999996</v>
      </c>
      <c r="B330">
        <v>108.19499399999999</v>
      </c>
      <c r="C330">
        <v>4.8771324199999997</v>
      </c>
      <c r="D330">
        <v>24.808153149999999</v>
      </c>
      <c r="E330" t="b">
        <f t="shared" si="120"/>
        <v>1</v>
      </c>
      <c r="F330">
        <f t="shared" si="121"/>
        <v>0.42249105000000142</v>
      </c>
      <c r="G330">
        <f t="shared" si="122"/>
        <v>-23.963171049999996</v>
      </c>
      <c r="H330">
        <f t="shared" si="123"/>
        <v>-48.348833150000004</v>
      </c>
      <c r="I330">
        <f t="shared" si="124"/>
        <v>-72.734495249999995</v>
      </c>
      <c r="J330">
        <f t="shared" si="125"/>
        <v>-97.120157349999999</v>
      </c>
      <c r="L330">
        <f t="shared" si="126"/>
        <v>9364094.2464000005</v>
      </c>
      <c r="M330">
        <f t="shared" si="127"/>
        <v>684435.50100000238</v>
      </c>
      <c r="N330">
        <f t="shared" si="128"/>
        <v>-33069176.048999995</v>
      </c>
      <c r="O330">
        <f t="shared" si="129"/>
        <v>-49315809.813000008</v>
      </c>
      <c r="P330">
        <f t="shared" si="130"/>
        <v>-66915735.629999995</v>
      </c>
      <c r="Q330">
        <f t="shared" si="131"/>
        <v>-73811319.585999995</v>
      </c>
      <c r="S330">
        <f t="shared" si="132"/>
        <v>10241978.082</v>
      </c>
      <c r="T330">
        <f t="shared" si="133"/>
        <v>768933.71100000269</v>
      </c>
      <c r="U330">
        <f t="shared" si="134"/>
        <v>-36184388.285499997</v>
      </c>
      <c r="V330">
        <f t="shared" si="135"/>
        <v>-51733251.4705</v>
      </c>
      <c r="W330">
        <f t="shared" si="136"/>
        <v>-77825909.917499989</v>
      </c>
      <c r="X330">
        <f t="shared" si="137"/>
        <v>-84494536.894499987</v>
      </c>
      <c r="Z330">
        <f t="shared" si="138"/>
        <v>11119861.9176</v>
      </c>
      <c r="AA330">
        <f t="shared" si="139"/>
        <v>853431.92100000288</v>
      </c>
      <c r="AB330">
        <f t="shared" si="140"/>
        <v>-39299600.522</v>
      </c>
      <c r="AC330">
        <f t="shared" si="141"/>
        <v>-65754413.083999999</v>
      </c>
      <c r="AD330">
        <f t="shared" si="142"/>
        <v>-88736084.204999998</v>
      </c>
      <c r="AE330">
        <f t="shared" si="143"/>
        <v>-95177754.202999994</v>
      </c>
    </row>
    <row r="331" spans="1:31" x14ac:dyDescent="0.25">
      <c r="A331">
        <v>36.424213659999999</v>
      </c>
      <c r="B331">
        <v>107.7988106</v>
      </c>
      <c r="C331">
        <v>4.8771324199999997</v>
      </c>
      <c r="D331">
        <v>0.63358802000000003</v>
      </c>
      <c r="E331" t="b">
        <f t="shared" si="120"/>
        <v>0</v>
      </c>
      <c r="F331">
        <f t="shared" si="121"/>
        <v>-23.752074079999996</v>
      </c>
      <c r="G331">
        <f t="shared" si="122"/>
        <v>-48.137736179999997</v>
      </c>
      <c r="H331">
        <f t="shared" si="123"/>
        <v>-72.523398279999995</v>
      </c>
      <c r="I331">
        <f t="shared" si="124"/>
        <v>-96.909060379999985</v>
      </c>
      <c r="J331">
        <f t="shared" si="125"/>
        <v>-121.29472247999999</v>
      </c>
      <c r="L331">
        <f t="shared" si="126"/>
        <v>1216488.9984000002</v>
      </c>
      <c r="M331">
        <f t="shared" si="127"/>
        <v>-38478360.009599991</v>
      </c>
      <c r="N331">
        <f t="shared" si="128"/>
        <v>-66430075.928399995</v>
      </c>
      <c r="O331">
        <f t="shared" si="129"/>
        <v>-73973866.2456</v>
      </c>
      <c r="P331">
        <f t="shared" si="130"/>
        <v>-89156335.549599975</v>
      </c>
      <c r="Q331">
        <f t="shared" si="131"/>
        <v>-92183989.08479999</v>
      </c>
      <c r="S331">
        <f t="shared" si="132"/>
        <v>1330534.8420000002</v>
      </c>
      <c r="T331">
        <f t="shared" si="133"/>
        <v>-43228774.825599991</v>
      </c>
      <c r="U331">
        <f t="shared" si="134"/>
        <v>-72687981.631799996</v>
      </c>
      <c r="V331">
        <f t="shared" si="135"/>
        <v>-77600036.15959999</v>
      </c>
      <c r="W331">
        <f t="shared" si="136"/>
        <v>-103692694.60659996</v>
      </c>
      <c r="X331">
        <f t="shared" si="137"/>
        <v>-105526408.55759999</v>
      </c>
      <c r="Z331">
        <f t="shared" si="138"/>
        <v>1444580.6856000002</v>
      </c>
      <c r="AA331">
        <f t="shared" si="139"/>
        <v>-47979189.64159999</v>
      </c>
      <c r="AB331">
        <f t="shared" si="140"/>
        <v>-78945887.335200012</v>
      </c>
      <c r="AC331">
        <f t="shared" si="141"/>
        <v>-98631821.660799995</v>
      </c>
      <c r="AD331">
        <f t="shared" si="142"/>
        <v>-118229053.66359997</v>
      </c>
      <c r="AE331">
        <f t="shared" si="143"/>
        <v>-118868828.03039999</v>
      </c>
    </row>
    <row r="332" spans="1:31" x14ac:dyDescent="0.25">
      <c r="A332">
        <v>36.437269090000001</v>
      </c>
      <c r="B332">
        <v>109.3334103</v>
      </c>
      <c r="C332">
        <v>4.2673910000000002E-2</v>
      </c>
      <c r="D332">
        <v>0.61390602999999999</v>
      </c>
      <c r="E332" t="b">
        <f t="shared" si="120"/>
        <v>1</v>
      </c>
      <c r="F332">
        <f t="shared" si="121"/>
        <v>0.40053647999999997</v>
      </c>
      <c r="G332">
        <f t="shared" si="122"/>
        <v>0.18716692999999995</v>
      </c>
      <c r="H332">
        <f t="shared" si="123"/>
        <v>-2.6202620000000065E-2</v>
      </c>
      <c r="I332">
        <f t="shared" si="124"/>
        <v>-0.23957217000000008</v>
      </c>
      <c r="J332">
        <f t="shared" si="125"/>
        <v>-0.45294171999999999</v>
      </c>
      <c r="L332">
        <f t="shared" si="126"/>
        <v>81933.907200000016</v>
      </c>
      <c r="M332">
        <f t="shared" si="127"/>
        <v>69131.734200000006</v>
      </c>
      <c r="N332">
        <f t="shared" si="128"/>
        <v>58889.995799999997</v>
      </c>
      <c r="O332">
        <f t="shared" si="129"/>
        <v>-26726.672400000065</v>
      </c>
      <c r="P332">
        <f t="shared" si="130"/>
        <v>-220406.39640000006</v>
      </c>
      <c r="Q332">
        <f t="shared" si="131"/>
        <v>-344235.7072</v>
      </c>
      <c r="S332">
        <f t="shared" si="132"/>
        <v>89615.21100000001</v>
      </c>
      <c r="T332">
        <f t="shared" si="133"/>
        <v>77666.516200000013</v>
      </c>
      <c r="U332">
        <f t="shared" si="134"/>
        <v>64437.604100000004</v>
      </c>
      <c r="V332">
        <f t="shared" si="135"/>
        <v>-28036.803400000066</v>
      </c>
      <c r="W332">
        <f t="shared" si="136"/>
        <v>-256342.22190000003</v>
      </c>
      <c r="X332">
        <f t="shared" si="137"/>
        <v>-394059.29639999999</v>
      </c>
      <c r="Z332">
        <f t="shared" si="138"/>
        <v>97296.514800000019</v>
      </c>
      <c r="AA332">
        <f t="shared" si="139"/>
        <v>86201.298200000005</v>
      </c>
      <c r="AB332">
        <f t="shared" si="140"/>
        <v>69985.212400000004</v>
      </c>
      <c r="AC332">
        <f t="shared" si="141"/>
        <v>-35635.563200000084</v>
      </c>
      <c r="AD332">
        <f t="shared" si="142"/>
        <v>-292278.0474000001</v>
      </c>
      <c r="AE332">
        <f t="shared" si="143"/>
        <v>-443882.88559999998</v>
      </c>
    </row>
    <row r="333" spans="1:31" x14ac:dyDescent="0.25">
      <c r="A333">
        <v>36.467425630000001</v>
      </c>
      <c r="B333">
        <v>107.9703184</v>
      </c>
      <c r="C333">
        <v>4.8771324199999997</v>
      </c>
      <c r="D333">
        <v>8.5576982499999996</v>
      </c>
      <c r="E333" t="b">
        <f t="shared" si="120"/>
        <v>1</v>
      </c>
      <c r="F333">
        <f t="shared" si="121"/>
        <v>-15.827963849999998</v>
      </c>
      <c r="G333">
        <f t="shared" si="122"/>
        <v>-40.213625949999994</v>
      </c>
      <c r="H333">
        <f t="shared" si="123"/>
        <v>-64.599288049999998</v>
      </c>
      <c r="I333">
        <f t="shared" si="124"/>
        <v>-88.984950149999989</v>
      </c>
      <c r="J333">
        <f t="shared" si="125"/>
        <v>-113.37061224999999</v>
      </c>
      <c r="L333">
        <f t="shared" si="126"/>
        <v>9364094.2464000005</v>
      </c>
      <c r="M333">
        <f t="shared" si="127"/>
        <v>-25641301.436999999</v>
      </c>
      <c r="N333">
        <f t="shared" si="128"/>
        <v>-55494803.81099999</v>
      </c>
      <c r="O333">
        <f t="shared" si="129"/>
        <v>-65891273.810999997</v>
      </c>
      <c r="P333">
        <f t="shared" si="130"/>
        <v>-81866154.137999982</v>
      </c>
      <c r="Q333">
        <f t="shared" si="131"/>
        <v>-86161665.310000002</v>
      </c>
      <c r="S333">
        <f t="shared" si="132"/>
        <v>10241978.082</v>
      </c>
      <c r="T333">
        <f t="shared" si="133"/>
        <v>-28806894.206999999</v>
      </c>
      <c r="U333">
        <f t="shared" si="134"/>
        <v>-60722575.184499994</v>
      </c>
      <c r="V333">
        <f t="shared" si="135"/>
        <v>-69121238.213499993</v>
      </c>
      <c r="W333">
        <f t="shared" si="136"/>
        <v>-95213896.660499975</v>
      </c>
      <c r="X333">
        <f t="shared" si="137"/>
        <v>-98632432.657499999</v>
      </c>
      <c r="Z333">
        <f t="shared" si="138"/>
        <v>11119861.9176</v>
      </c>
      <c r="AA333">
        <f t="shared" si="139"/>
        <v>-31972486.976999994</v>
      </c>
      <c r="AB333">
        <f t="shared" si="140"/>
        <v>-65950346.557999998</v>
      </c>
      <c r="AC333">
        <f t="shared" si="141"/>
        <v>-87855031.747999981</v>
      </c>
      <c r="AD333">
        <f t="shared" si="142"/>
        <v>-108561639.18299998</v>
      </c>
      <c r="AE333">
        <f t="shared" si="143"/>
        <v>-111103200.005</v>
      </c>
    </row>
    <row r="334" spans="1:31" x14ac:dyDescent="0.25">
      <c r="A334">
        <v>36.557281119999999</v>
      </c>
      <c r="B334">
        <v>108.08639460000001</v>
      </c>
      <c r="C334">
        <v>4.8771324199999997</v>
      </c>
      <c r="D334">
        <v>107.913826</v>
      </c>
      <c r="E334" t="b">
        <f t="shared" si="120"/>
        <v>1</v>
      </c>
      <c r="F334">
        <f t="shared" si="121"/>
        <v>83.52816390000001</v>
      </c>
      <c r="G334">
        <f t="shared" si="122"/>
        <v>59.142501800000005</v>
      </c>
      <c r="H334">
        <f t="shared" si="123"/>
        <v>34.7568397</v>
      </c>
      <c r="I334">
        <f t="shared" si="124"/>
        <v>10.37117760000001</v>
      </c>
      <c r="J334">
        <f t="shared" si="125"/>
        <v>-14.014484499999995</v>
      </c>
      <c r="L334">
        <f t="shared" si="126"/>
        <v>9364094.2464000005</v>
      </c>
      <c r="M334">
        <f t="shared" si="127"/>
        <v>7900954.5204000007</v>
      </c>
      <c r="N334">
        <f t="shared" si="128"/>
        <v>6730442.739599999</v>
      </c>
      <c r="O334">
        <f t="shared" si="129"/>
        <v>4974675.0684000002</v>
      </c>
      <c r="P334">
        <f t="shared" si="130"/>
        <v>4486961.8263999997</v>
      </c>
      <c r="Q334">
        <f t="shared" si="131"/>
        <v>-10651008.219999995</v>
      </c>
      <c r="S334">
        <f t="shared" si="132"/>
        <v>10241978.082</v>
      </c>
      <c r="T334">
        <f t="shared" si="133"/>
        <v>8876381.0044</v>
      </c>
      <c r="U334">
        <f t="shared" si="134"/>
        <v>7364469.9541999996</v>
      </c>
      <c r="V334">
        <f t="shared" si="135"/>
        <v>5218531.6893999996</v>
      </c>
      <c r="W334">
        <f t="shared" si="136"/>
        <v>5218531.6893999996</v>
      </c>
      <c r="X334">
        <f t="shared" si="137"/>
        <v>-12192601.514999995</v>
      </c>
      <c r="Z334">
        <f t="shared" si="138"/>
        <v>11119861.9176</v>
      </c>
      <c r="AA334">
        <f t="shared" si="139"/>
        <v>9851807.4883999992</v>
      </c>
      <c r="AB334">
        <f t="shared" si="140"/>
        <v>7998497.1688000001</v>
      </c>
      <c r="AC334">
        <f t="shared" si="141"/>
        <v>6632900.0911999997</v>
      </c>
      <c r="AD334">
        <f t="shared" si="142"/>
        <v>5950101.5523999995</v>
      </c>
      <c r="AE334">
        <f t="shared" si="143"/>
        <v>-13734194.809999995</v>
      </c>
    </row>
    <row r="335" spans="1:31" x14ac:dyDescent="0.25">
      <c r="A335">
        <v>36.596748359999999</v>
      </c>
      <c r="B335">
        <v>108.42907030000001</v>
      </c>
      <c r="C335">
        <v>0.21280456</v>
      </c>
      <c r="D335">
        <v>11.07043934</v>
      </c>
      <c r="E335" t="b">
        <f t="shared" si="120"/>
        <v>1</v>
      </c>
      <c r="F335">
        <f t="shared" si="121"/>
        <v>10.00641654</v>
      </c>
      <c r="G335">
        <f t="shared" si="122"/>
        <v>8.94239374</v>
      </c>
      <c r="H335">
        <f t="shared" si="123"/>
        <v>7.8783709399999999</v>
      </c>
      <c r="I335">
        <f t="shared" si="124"/>
        <v>6.8143481399999999</v>
      </c>
      <c r="J335">
        <f t="shared" si="125"/>
        <v>5.7503253399999998</v>
      </c>
      <c r="L335">
        <f t="shared" si="126"/>
        <v>408584.75520000001</v>
      </c>
      <c r="M335">
        <f t="shared" si="127"/>
        <v>344743.3872</v>
      </c>
      <c r="N335">
        <f t="shared" si="128"/>
        <v>293670.2928</v>
      </c>
      <c r="O335">
        <f t="shared" si="129"/>
        <v>217060.65119999999</v>
      </c>
      <c r="P335">
        <f t="shared" si="130"/>
        <v>195780.19519999999</v>
      </c>
      <c r="Q335">
        <f t="shared" si="131"/>
        <v>161731.4656</v>
      </c>
      <c r="S335">
        <f t="shared" si="132"/>
        <v>446889.576</v>
      </c>
      <c r="T335">
        <f t="shared" si="133"/>
        <v>387304.29920000001</v>
      </c>
      <c r="U335">
        <f t="shared" si="134"/>
        <v>321334.88559999998</v>
      </c>
      <c r="V335">
        <f t="shared" si="135"/>
        <v>227700.87919999997</v>
      </c>
      <c r="W335">
        <f t="shared" si="136"/>
        <v>227700.87919999997</v>
      </c>
      <c r="X335">
        <f t="shared" si="137"/>
        <v>185139.96719999998</v>
      </c>
      <c r="Z335">
        <f t="shared" si="138"/>
        <v>485194.39680000005</v>
      </c>
      <c r="AA335">
        <f t="shared" si="139"/>
        <v>429865.21120000002</v>
      </c>
      <c r="AB335">
        <f t="shared" si="140"/>
        <v>348999.47840000002</v>
      </c>
      <c r="AC335">
        <f t="shared" si="141"/>
        <v>289414.20159999997</v>
      </c>
      <c r="AD335">
        <f t="shared" si="142"/>
        <v>259621.5632</v>
      </c>
      <c r="AE335">
        <f t="shared" si="143"/>
        <v>208548.4688</v>
      </c>
    </row>
    <row r="336" spans="1:31" x14ac:dyDescent="0.25">
      <c r="A336">
        <v>36.603168580000002</v>
      </c>
      <c r="B336">
        <v>108.0876207</v>
      </c>
      <c r="C336">
        <v>8.3210926099999991</v>
      </c>
      <c r="D336">
        <v>7.5248999999999996E-2</v>
      </c>
      <c r="E336" t="b">
        <f t="shared" si="120"/>
        <v>0</v>
      </c>
      <c r="F336">
        <f t="shared" si="121"/>
        <v>-41.530214049999998</v>
      </c>
      <c r="G336">
        <f t="shared" si="122"/>
        <v>-83.135677099999995</v>
      </c>
      <c r="H336">
        <f t="shared" si="123"/>
        <v>-124.74114014999999</v>
      </c>
      <c r="I336">
        <f t="shared" si="124"/>
        <v>-166.34660319999998</v>
      </c>
      <c r="J336">
        <f t="shared" si="125"/>
        <v>-207.95206624999997</v>
      </c>
      <c r="L336">
        <f t="shared" si="126"/>
        <v>144478.08000000002</v>
      </c>
      <c r="M336">
        <f t="shared" si="127"/>
        <v>-67278946.760999992</v>
      </c>
      <c r="N336">
        <f t="shared" si="128"/>
        <v>-114727234.39799999</v>
      </c>
      <c r="O336">
        <f t="shared" si="129"/>
        <v>-127235962.95299999</v>
      </c>
      <c r="P336">
        <f t="shared" si="130"/>
        <v>-153038874.94399998</v>
      </c>
      <c r="Q336">
        <f t="shared" si="131"/>
        <v>-158043570.34999999</v>
      </c>
      <c r="S336">
        <f t="shared" si="132"/>
        <v>158022.9</v>
      </c>
      <c r="T336">
        <f t="shared" si="133"/>
        <v>-75584989.570999995</v>
      </c>
      <c r="U336">
        <f t="shared" si="134"/>
        <v>-125534872.42099999</v>
      </c>
      <c r="V336">
        <f t="shared" si="135"/>
        <v>-133473019.96049997</v>
      </c>
      <c r="W336">
        <f t="shared" si="136"/>
        <v>-177990865.42399997</v>
      </c>
      <c r="X336">
        <f t="shared" si="137"/>
        <v>-180918297.63749996</v>
      </c>
      <c r="Z336">
        <f t="shared" si="138"/>
        <v>171567.72000000003</v>
      </c>
      <c r="AA336">
        <f t="shared" si="139"/>
        <v>-83891032.380999997</v>
      </c>
      <c r="AB336">
        <f t="shared" si="140"/>
        <v>-136342510.44400001</v>
      </c>
      <c r="AC336">
        <f t="shared" si="141"/>
        <v>-169647950.60399997</v>
      </c>
      <c r="AD336">
        <f t="shared" si="142"/>
        <v>-202942855.90399998</v>
      </c>
      <c r="AE336">
        <f t="shared" si="143"/>
        <v>-203793024.92499995</v>
      </c>
    </row>
    <row r="337" spans="1:31" x14ac:dyDescent="0.25">
      <c r="A337">
        <v>36.64905546</v>
      </c>
      <c r="B337">
        <v>108.0888482</v>
      </c>
      <c r="C337">
        <v>8.3210926099999991</v>
      </c>
      <c r="D337">
        <v>8.6067037600000003</v>
      </c>
      <c r="E337" t="b">
        <f t="shared" si="120"/>
        <v>1</v>
      </c>
      <c r="F337">
        <f t="shared" si="121"/>
        <v>-32.998759289999995</v>
      </c>
      <c r="G337">
        <f t="shared" si="122"/>
        <v>-74.604222339999993</v>
      </c>
      <c r="H337">
        <f t="shared" si="123"/>
        <v>-116.20968538999999</v>
      </c>
      <c r="I337">
        <f t="shared" si="124"/>
        <v>-157.81514844</v>
      </c>
      <c r="J337">
        <f t="shared" si="125"/>
        <v>-199.42061149</v>
      </c>
      <c r="L337">
        <f t="shared" si="126"/>
        <v>15976497.8112</v>
      </c>
      <c r="M337">
        <f t="shared" si="127"/>
        <v>-53457990.049799994</v>
      </c>
      <c r="N337">
        <f t="shared" si="128"/>
        <v>-102953826.82919997</v>
      </c>
      <c r="O337">
        <f t="shared" si="129"/>
        <v>-118533879.09779999</v>
      </c>
      <c r="P337">
        <f t="shared" si="130"/>
        <v>-145189936.56479999</v>
      </c>
      <c r="Q337">
        <f t="shared" si="131"/>
        <v>-151559664.7324</v>
      </c>
      <c r="S337">
        <f t="shared" si="132"/>
        <v>17474294.480999999</v>
      </c>
      <c r="T337">
        <f t="shared" si="133"/>
        <v>-60057741.907799996</v>
      </c>
      <c r="U337">
        <f t="shared" si="134"/>
        <v>-112652375.73339999</v>
      </c>
      <c r="V337">
        <f t="shared" si="135"/>
        <v>-124344363.36729996</v>
      </c>
      <c r="W337">
        <f t="shared" si="136"/>
        <v>-168862208.83079997</v>
      </c>
      <c r="X337">
        <f t="shared" si="137"/>
        <v>-173495931.99630001</v>
      </c>
      <c r="Z337">
        <f t="shared" si="138"/>
        <v>18972091.150800001</v>
      </c>
      <c r="AA337">
        <f t="shared" si="139"/>
        <v>-66657493.765799992</v>
      </c>
      <c r="AB337">
        <f t="shared" si="140"/>
        <v>-122350924.63759999</v>
      </c>
      <c r="AC337">
        <f t="shared" si="141"/>
        <v>-158045172.13039997</v>
      </c>
      <c r="AD337">
        <f t="shared" si="142"/>
        <v>-192534481.0968</v>
      </c>
      <c r="AE337">
        <f t="shared" si="143"/>
        <v>-195432199.26019999</v>
      </c>
    </row>
    <row r="338" spans="1:31" x14ac:dyDescent="0.25">
      <c r="A338">
        <v>36.653666829999999</v>
      </c>
      <c r="B338">
        <v>107.80409969999999</v>
      </c>
      <c r="C338">
        <v>4.8771324199999997</v>
      </c>
      <c r="D338">
        <v>7.5939068799999996</v>
      </c>
      <c r="E338" t="b">
        <f t="shared" si="120"/>
        <v>1</v>
      </c>
      <c r="F338">
        <f t="shared" si="121"/>
        <v>-16.791755219999999</v>
      </c>
      <c r="G338">
        <f t="shared" si="122"/>
        <v>-41.177417319999996</v>
      </c>
      <c r="H338">
        <f t="shared" si="123"/>
        <v>-65.563079419999994</v>
      </c>
      <c r="I338">
        <f t="shared" si="124"/>
        <v>-89.948741519999984</v>
      </c>
      <c r="J338">
        <f t="shared" si="125"/>
        <v>-114.33440361999999</v>
      </c>
      <c r="L338">
        <f t="shared" si="126"/>
        <v>9364094.2464000005</v>
      </c>
      <c r="M338">
        <f t="shared" si="127"/>
        <v>-27202643.4564</v>
      </c>
      <c r="N338">
        <f t="shared" si="128"/>
        <v>-56824835.901599988</v>
      </c>
      <c r="O338">
        <f t="shared" si="129"/>
        <v>-66874341.008399993</v>
      </c>
      <c r="P338">
        <f t="shared" si="130"/>
        <v>-82752842.198399976</v>
      </c>
      <c r="Q338">
        <f t="shared" si="131"/>
        <v>-86894146.751199991</v>
      </c>
      <c r="S338">
        <f t="shared" si="132"/>
        <v>10241978.082</v>
      </c>
      <c r="T338">
        <f t="shared" si="133"/>
        <v>-30560994.500399999</v>
      </c>
      <c r="U338">
        <f t="shared" si="134"/>
        <v>-62177900.153199993</v>
      </c>
      <c r="V338">
        <f t="shared" si="135"/>
        <v>-70152494.979399979</v>
      </c>
      <c r="W338">
        <f t="shared" si="136"/>
        <v>-96245153.426399961</v>
      </c>
      <c r="X338">
        <f t="shared" si="137"/>
        <v>-99470931.149399996</v>
      </c>
      <c r="Z338">
        <f t="shared" si="138"/>
        <v>11119861.9176</v>
      </c>
      <c r="AA338">
        <f t="shared" si="139"/>
        <v>-33919345.544399999</v>
      </c>
      <c r="AB338">
        <f t="shared" si="140"/>
        <v>-67530964.404799998</v>
      </c>
      <c r="AC338">
        <f t="shared" si="141"/>
        <v>-89165788.011199981</v>
      </c>
      <c r="AD338">
        <f t="shared" si="142"/>
        <v>-109737464.65439998</v>
      </c>
      <c r="AE338">
        <f t="shared" si="143"/>
        <v>-112047715.54759999</v>
      </c>
    </row>
    <row r="339" spans="1:31" x14ac:dyDescent="0.25">
      <c r="A339">
        <v>36.663889679999997</v>
      </c>
      <c r="B339">
        <v>106.89271890000001</v>
      </c>
      <c r="C339">
        <v>1.2898562</v>
      </c>
      <c r="D339">
        <v>48.273925779999999</v>
      </c>
      <c r="E339" t="b">
        <f t="shared" si="120"/>
        <v>1</v>
      </c>
      <c r="F339">
        <f t="shared" si="121"/>
        <v>41.82464478</v>
      </c>
      <c r="G339">
        <f t="shared" si="122"/>
        <v>35.375363780000001</v>
      </c>
      <c r="H339">
        <f t="shared" si="123"/>
        <v>28.926082779999998</v>
      </c>
      <c r="I339">
        <f t="shared" si="124"/>
        <v>22.476801779999999</v>
      </c>
      <c r="J339">
        <f t="shared" si="125"/>
        <v>16.027520779999996</v>
      </c>
      <c r="L339">
        <f t="shared" si="126"/>
        <v>2476523.9040000001</v>
      </c>
      <c r="M339">
        <f t="shared" si="127"/>
        <v>2089567.044</v>
      </c>
      <c r="N339">
        <f t="shared" si="128"/>
        <v>1780001.5559999999</v>
      </c>
      <c r="O339">
        <f t="shared" si="129"/>
        <v>1315653.324</v>
      </c>
      <c r="P339">
        <f t="shared" si="130"/>
        <v>1186667.7039999999</v>
      </c>
      <c r="Q339">
        <f t="shared" si="131"/>
        <v>980290.71199999994</v>
      </c>
      <c r="S339">
        <f t="shared" si="132"/>
        <v>2708698.02</v>
      </c>
      <c r="T339">
        <f t="shared" si="133"/>
        <v>2347538.284</v>
      </c>
      <c r="U339">
        <f t="shared" si="134"/>
        <v>1947682.862</v>
      </c>
      <c r="V339">
        <f t="shared" si="135"/>
        <v>1380146.1339999998</v>
      </c>
      <c r="W339">
        <f t="shared" si="136"/>
        <v>1380146.1339999998</v>
      </c>
      <c r="X339">
        <f t="shared" si="137"/>
        <v>1122174.8939999999</v>
      </c>
      <c r="Z339">
        <f t="shared" si="138"/>
        <v>2940872.1360000004</v>
      </c>
      <c r="AA339">
        <f t="shared" si="139"/>
        <v>2605509.5239999997</v>
      </c>
      <c r="AB339">
        <f t="shared" si="140"/>
        <v>2115364.1680000001</v>
      </c>
      <c r="AC339">
        <f t="shared" si="141"/>
        <v>1754204.4319999998</v>
      </c>
      <c r="AD339">
        <f t="shared" si="142"/>
        <v>1573624.564</v>
      </c>
      <c r="AE339">
        <f t="shared" si="143"/>
        <v>1264059.0759999999</v>
      </c>
    </row>
    <row r="340" spans="1:31" x14ac:dyDescent="0.25">
      <c r="A340">
        <v>36.694941720000003</v>
      </c>
      <c r="B340">
        <v>108.0900772</v>
      </c>
      <c r="C340">
        <v>8.3210926099999991</v>
      </c>
      <c r="D340">
        <v>0.10063999999999999</v>
      </c>
      <c r="E340" t="b">
        <f t="shared" si="120"/>
        <v>0</v>
      </c>
      <c r="F340">
        <f t="shared" si="121"/>
        <v>-41.504823049999999</v>
      </c>
      <c r="G340">
        <f t="shared" si="122"/>
        <v>-83.110286099999996</v>
      </c>
      <c r="H340">
        <f t="shared" si="123"/>
        <v>-124.71574914999999</v>
      </c>
      <c r="I340">
        <f t="shared" si="124"/>
        <v>-166.32121219999999</v>
      </c>
      <c r="J340">
        <f t="shared" si="125"/>
        <v>-207.92667524999999</v>
      </c>
      <c r="L340">
        <f t="shared" si="126"/>
        <v>193228.80000000002</v>
      </c>
      <c r="M340">
        <f t="shared" si="127"/>
        <v>-67237813.341000006</v>
      </c>
      <c r="N340">
        <f t="shared" si="128"/>
        <v>-114692194.81799999</v>
      </c>
      <c r="O340">
        <f t="shared" si="129"/>
        <v>-127210064.13299999</v>
      </c>
      <c r="P340">
        <f t="shared" si="130"/>
        <v>-153015515.22399998</v>
      </c>
      <c r="Q340">
        <f t="shared" si="131"/>
        <v>-158024273.19</v>
      </c>
      <c r="S340">
        <f t="shared" si="132"/>
        <v>211344</v>
      </c>
      <c r="T340">
        <f t="shared" si="133"/>
        <v>-75538777.95099999</v>
      </c>
      <c r="U340">
        <f t="shared" si="134"/>
        <v>-125496532.01099999</v>
      </c>
      <c r="V340">
        <f t="shared" si="135"/>
        <v>-133445851.59049997</v>
      </c>
      <c r="W340">
        <f t="shared" si="136"/>
        <v>-177963697.05399996</v>
      </c>
      <c r="X340">
        <f t="shared" si="137"/>
        <v>-180896207.4675</v>
      </c>
      <c r="Z340">
        <f t="shared" si="138"/>
        <v>229459.20000000001</v>
      </c>
      <c r="AA340">
        <f t="shared" si="139"/>
        <v>-83839742.56099999</v>
      </c>
      <c r="AB340">
        <f t="shared" si="140"/>
        <v>-136300869.204</v>
      </c>
      <c r="AC340">
        <f t="shared" si="141"/>
        <v>-169613418.84399998</v>
      </c>
      <c r="AD340">
        <f t="shared" si="142"/>
        <v>-202911878.88399997</v>
      </c>
      <c r="AE340">
        <f t="shared" si="143"/>
        <v>-203768141.745</v>
      </c>
    </row>
    <row r="341" spans="1:31" x14ac:dyDescent="0.25">
      <c r="A341">
        <v>36.70420163</v>
      </c>
      <c r="B341">
        <v>107.46322120000001</v>
      </c>
      <c r="C341">
        <v>1.2898562</v>
      </c>
      <c r="D341">
        <v>4.44613981</v>
      </c>
      <c r="E341" t="b">
        <f t="shared" si="120"/>
        <v>1</v>
      </c>
      <c r="F341">
        <f t="shared" si="121"/>
        <v>-2.00314119</v>
      </c>
      <c r="G341">
        <f t="shared" si="122"/>
        <v>-8.4524221900000001</v>
      </c>
      <c r="H341">
        <f t="shared" si="123"/>
        <v>-14.901703190000001</v>
      </c>
      <c r="I341">
        <f t="shared" si="124"/>
        <v>-21.350984189999998</v>
      </c>
      <c r="J341">
        <f t="shared" si="125"/>
        <v>-27.800265190000005</v>
      </c>
      <c r="L341">
        <f t="shared" si="126"/>
        <v>2476523.9040000001</v>
      </c>
      <c r="M341">
        <f t="shared" si="127"/>
        <v>-3245088.7278</v>
      </c>
      <c r="N341">
        <f t="shared" si="128"/>
        <v>-11664342.622199999</v>
      </c>
      <c r="O341">
        <f t="shared" si="129"/>
        <v>-15199737.253800001</v>
      </c>
      <c r="P341">
        <f t="shared" si="130"/>
        <v>-19642905.454799995</v>
      </c>
      <c r="Q341">
        <f t="shared" si="131"/>
        <v>-21128201.544400003</v>
      </c>
      <c r="S341">
        <f t="shared" si="132"/>
        <v>2708698.02</v>
      </c>
      <c r="T341">
        <f t="shared" si="133"/>
        <v>-3645716.9657999999</v>
      </c>
      <c r="U341">
        <f t="shared" si="134"/>
        <v>-12763157.506899999</v>
      </c>
      <c r="V341">
        <f t="shared" si="135"/>
        <v>-15944822.413299998</v>
      </c>
      <c r="W341">
        <f t="shared" si="136"/>
        <v>-22845553.083299994</v>
      </c>
      <c r="X341">
        <f t="shared" si="137"/>
        <v>-24186230.715300005</v>
      </c>
      <c r="Z341">
        <f t="shared" si="138"/>
        <v>2940872.1360000004</v>
      </c>
      <c r="AA341">
        <f t="shared" si="139"/>
        <v>-4046345.2037999998</v>
      </c>
      <c r="AB341">
        <f t="shared" si="140"/>
        <v>-13861972.3916</v>
      </c>
      <c r="AC341">
        <f t="shared" si="141"/>
        <v>-20266316.338399999</v>
      </c>
      <c r="AD341">
        <f t="shared" si="142"/>
        <v>-26048200.711799998</v>
      </c>
      <c r="AE341">
        <f t="shared" si="143"/>
        <v>-27244259.886200003</v>
      </c>
    </row>
    <row r="342" spans="1:31" x14ac:dyDescent="0.25">
      <c r="A342">
        <v>36.726992670000001</v>
      </c>
      <c r="B342">
        <v>108.7753512</v>
      </c>
      <c r="C342">
        <v>0.21280456</v>
      </c>
      <c r="D342">
        <v>21.72185516</v>
      </c>
      <c r="E342" t="b">
        <f t="shared" si="120"/>
        <v>1</v>
      </c>
      <c r="F342">
        <f t="shared" si="121"/>
        <v>20.65783236</v>
      </c>
      <c r="G342">
        <f t="shared" si="122"/>
        <v>19.59380956</v>
      </c>
      <c r="H342">
        <f t="shared" si="123"/>
        <v>18.52978676</v>
      </c>
      <c r="I342">
        <f t="shared" si="124"/>
        <v>17.46576396</v>
      </c>
      <c r="J342">
        <f t="shared" si="125"/>
        <v>16.40174116</v>
      </c>
      <c r="L342">
        <f t="shared" si="126"/>
        <v>408584.75520000001</v>
      </c>
      <c r="M342">
        <f t="shared" si="127"/>
        <v>344743.3872</v>
      </c>
      <c r="N342">
        <f t="shared" si="128"/>
        <v>293670.2928</v>
      </c>
      <c r="O342">
        <f t="shared" si="129"/>
        <v>217060.65119999999</v>
      </c>
      <c r="P342">
        <f t="shared" si="130"/>
        <v>195780.19519999999</v>
      </c>
      <c r="Q342">
        <f t="shared" si="131"/>
        <v>161731.4656</v>
      </c>
      <c r="S342">
        <f t="shared" si="132"/>
        <v>446889.576</v>
      </c>
      <c r="T342">
        <f t="shared" si="133"/>
        <v>387304.29920000001</v>
      </c>
      <c r="U342">
        <f t="shared" si="134"/>
        <v>321334.88559999998</v>
      </c>
      <c r="V342">
        <f t="shared" si="135"/>
        <v>227700.87919999997</v>
      </c>
      <c r="W342">
        <f t="shared" si="136"/>
        <v>227700.87919999997</v>
      </c>
      <c r="X342">
        <f t="shared" si="137"/>
        <v>185139.96719999998</v>
      </c>
      <c r="Z342">
        <f t="shared" si="138"/>
        <v>485194.39680000005</v>
      </c>
      <c r="AA342">
        <f t="shared" si="139"/>
        <v>429865.21120000002</v>
      </c>
      <c r="AB342">
        <f t="shared" si="140"/>
        <v>348999.47840000002</v>
      </c>
      <c r="AC342">
        <f t="shared" si="141"/>
        <v>289414.20159999997</v>
      </c>
      <c r="AD342">
        <f t="shared" si="142"/>
        <v>259621.5632</v>
      </c>
      <c r="AE342">
        <f t="shared" si="143"/>
        <v>208548.4688</v>
      </c>
    </row>
    <row r="343" spans="1:31" s="1" customFormat="1" x14ac:dyDescent="0.25">
      <c r="A343" s="1">
        <v>36.874957209999998</v>
      </c>
      <c r="B343" s="1">
        <v>110.03816430000001</v>
      </c>
      <c r="C343" s="1">
        <v>0</v>
      </c>
      <c r="D343" s="1">
        <v>1.2388830200000001</v>
      </c>
      <c r="E343" s="1" t="b">
        <f t="shared" si="120"/>
        <v>1</v>
      </c>
      <c r="F343">
        <f t="shared" si="121"/>
        <v>1.2388830200000001</v>
      </c>
      <c r="G343">
        <f t="shared" si="122"/>
        <v>1.2388830200000001</v>
      </c>
      <c r="H343">
        <f t="shared" si="123"/>
        <v>1.2388830200000001</v>
      </c>
      <c r="I343">
        <f t="shared" si="124"/>
        <v>1.2388830200000001</v>
      </c>
      <c r="J343">
        <f t="shared" si="125"/>
        <v>1.2388830200000001</v>
      </c>
      <c r="L343">
        <f t="shared" si="126"/>
        <v>0</v>
      </c>
      <c r="M343">
        <f t="shared" si="127"/>
        <v>0</v>
      </c>
      <c r="N343">
        <f t="shared" si="128"/>
        <v>0</v>
      </c>
      <c r="O343">
        <f t="shared" si="129"/>
        <v>0</v>
      </c>
      <c r="P343">
        <f t="shared" si="130"/>
        <v>0</v>
      </c>
      <c r="Q343">
        <f t="shared" si="131"/>
        <v>0</v>
      </c>
      <c r="S343">
        <f t="shared" si="132"/>
        <v>0</v>
      </c>
      <c r="T343">
        <f t="shared" si="133"/>
        <v>0</v>
      </c>
      <c r="U343">
        <f t="shared" si="134"/>
        <v>0</v>
      </c>
      <c r="V343">
        <f t="shared" si="135"/>
        <v>0</v>
      </c>
      <c r="W343">
        <f t="shared" si="136"/>
        <v>0</v>
      </c>
      <c r="X343">
        <f t="shared" si="137"/>
        <v>0</v>
      </c>
      <c r="Z343">
        <f t="shared" si="138"/>
        <v>0</v>
      </c>
      <c r="AA343">
        <f t="shared" si="139"/>
        <v>0</v>
      </c>
      <c r="AB343">
        <f t="shared" si="140"/>
        <v>0</v>
      </c>
      <c r="AC343">
        <f t="shared" si="141"/>
        <v>0</v>
      </c>
      <c r="AD343">
        <f t="shared" si="142"/>
        <v>0</v>
      </c>
      <c r="AE343">
        <f t="shared" si="143"/>
        <v>0</v>
      </c>
    </row>
    <row r="344" spans="1:31" x14ac:dyDescent="0.25">
      <c r="A344">
        <v>36.92232241</v>
      </c>
      <c r="B344">
        <v>108.2105365</v>
      </c>
      <c r="C344">
        <v>8.3210926099999991</v>
      </c>
      <c r="D344">
        <v>9.3369884499999998</v>
      </c>
      <c r="E344" t="b">
        <f t="shared" si="120"/>
        <v>1</v>
      </c>
      <c r="F344">
        <f t="shared" si="121"/>
        <v>-32.268474599999998</v>
      </c>
      <c r="G344">
        <f t="shared" si="122"/>
        <v>-73.873937649999988</v>
      </c>
      <c r="H344">
        <f t="shared" si="123"/>
        <v>-115.47940069999999</v>
      </c>
      <c r="I344">
        <f t="shared" si="124"/>
        <v>-157.08486374999998</v>
      </c>
      <c r="J344">
        <f t="shared" si="125"/>
        <v>-198.69032679999998</v>
      </c>
      <c r="L344">
        <f t="shared" si="126"/>
        <v>15976497.8112</v>
      </c>
      <c r="M344">
        <f t="shared" si="127"/>
        <v>-52274928.851999998</v>
      </c>
      <c r="N344">
        <f t="shared" si="128"/>
        <v>-101946033.95699997</v>
      </c>
      <c r="O344">
        <f t="shared" si="129"/>
        <v>-117788988.71399999</v>
      </c>
      <c r="P344">
        <f t="shared" si="130"/>
        <v>-144518074.64999998</v>
      </c>
      <c r="Q344">
        <f t="shared" si="131"/>
        <v>-151004648.368</v>
      </c>
      <c r="S344">
        <f t="shared" si="132"/>
        <v>17474294.480999999</v>
      </c>
      <c r="T344">
        <f t="shared" si="133"/>
        <v>-58728623.772</v>
      </c>
      <c r="U344">
        <f t="shared" si="134"/>
        <v>-111549645.85149999</v>
      </c>
      <c r="V344">
        <f t="shared" si="135"/>
        <v>-123562958.74899997</v>
      </c>
      <c r="W344">
        <f t="shared" si="136"/>
        <v>-168080804.21249995</v>
      </c>
      <c r="X344">
        <f t="shared" si="137"/>
        <v>-172860584.31599998</v>
      </c>
      <c r="Z344">
        <f t="shared" si="138"/>
        <v>18972091.150800001</v>
      </c>
      <c r="AA344">
        <f t="shared" si="139"/>
        <v>-65182318.691999994</v>
      </c>
      <c r="AB344">
        <f t="shared" si="140"/>
        <v>-121153257.74599999</v>
      </c>
      <c r="AC344">
        <f t="shared" si="141"/>
        <v>-157051984.95199996</v>
      </c>
      <c r="AD344">
        <f t="shared" si="142"/>
        <v>-191643533.77499995</v>
      </c>
      <c r="AE344">
        <f t="shared" si="143"/>
        <v>-194716520.26399997</v>
      </c>
    </row>
    <row r="345" spans="1:31" x14ac:dyDescent="0.25">
      <c r="A345">
        <v>36.925342430000001</v>
      </c>
      <c r="B345">
        <v>108.0390955</v>
      </c>
      <c r="C345">
        <v>8.3210926099999991</v>
      </c>
      <c r="D345">
        <v>26.901620860000001</v>
      </c>
      <c r="E345" t="b">
        <f t="shared" si="120"/>
        <v>1</v>
      </c>
      <c r="F345">
        <f t="shared" si="121"/>
        <v>-14.703842189999996</v>
      </c>
      <c r="G345">
        <f t="shared" si="122"/>
        <v>-56.309305239999993</v>
      </c>
      <c r="H345">
        <f t="shared" si="123"/>
        <v>-97.914768289999984</v>
      </c>
      <c r="I345">
        <f t="shared" si="124"/>
        <v>-139.52023133999998</v>
      </c>
      <c r="J345">
        <f t="shared" si="125"/>
        <v>-181.12569438999998</v>
      </c>
      <c r="L345">
        <f t="shared" si="126"/>
        <v>15976497.8112</v>
      </c>
      <c r="M345">
        <f t="shared" si="127"/>
        <v>-23820224.347799994</v>
      </c>
      <c r="N345">
        <f t="shared" si="128"/>
        <v>-77706841.23119998</v>
      </c>
      <c r="O345">
        <f t="shared" si="129"/>
        <v>-99873063.655799985</v>
      </c>
      <c r="P345">
        <f t="shared" si="130"/>
        <v>-128358612.83279997</v>
      </c>
      <c r="Q345">
        <f t="shared" si="131"/>
        <v>-137655527.73639998</v>
      </c>
      <c r="S345">
        <f t="shared" si="132"/>
        <v>17474294.480999999</v>
      </c>
      <c r="T345">
        <f t="shared" si="133"/>
        <v>-26760992.785799991</v>
      </c>
      <c r="U345">
        <f t="shared" si="134"/>
        <v>-85027050.912399992</v>
      </c>
      <c r="V345">
        <f t="shared" si="135"/>
        <v>-104768802.07029995</v>
      </c>
      <c r="W345">
        <f t="shared" si="136"/>
        <v>-149286647.53379995</v>
      </c>
      <c r="X345">
        <f t="shared" si="137"/>
        <v>-157579354.11929998</v>
      </c>
      <c r="Z345">
        <f t="shared" si="138"/>
        <v>18972091.150800001</v>
      </c>
      <c r="AA345">
        <f t="shared" si="139"/>
        <v>-29701761.223799992</v>
      </c>
      <c r="AB345">
        <f t="shared" si="140"/>
        <v>-92347260.593600005</v>
      </c>
      <c r="AC345">
        <f t="shared" si="141"/>
        <v>-133164084.87439996</v>
      </c>
      <c r="AD345">
        <f t="shared" si="142"/>
        <v>-170214682.23479995</v>
      </c>
      <c r="AE345">
        <f t="shared" si="143"/>
        <v>-177503180.50219998</v>
      </c>
    </row>
    <row r="346" spans="1:31" x14ac:dyDescent="0.25">
      <c r="A346">
        <v>36.927220419999998</v>
      </c>
      <c r="B346">
        <v>107.9247943</v>
      </c>
      <c r="C346">
        <v>8.3210926099999991</v>
      </c>
      <c r="D346">
        <v>0.106679</v>
      </c>
      <c r="E346" t="b">
        <f t="shared" si="120"/>
        <v>0</v>
      </c>
      <c r="F346">
        <f t="shared" si="121"/>
        <v>-41.498784049999998</v>
      </c>
      <c r="G346">
        <f t="shared" si="122"/>
        <v>-83.104247099999995</v>
      </c>
      <c r="H346">
        <f t="shared" si="123"/>
        <v>-124.70971014999999</v>
      </c>
      <c r="I346">
        <f t="shared" si="124"/>
        <v>-166.31517319999998</v>
      </c>
      <c r="J346">
        <f t="shared" si="125"/>
        <v>-207.92063624999997</v>
      </c>
      <c r="L346">
        <f t="shared" si="126"/>
        <v>204823.68000000002</v>
      </c>
      <c r="M346">
        <f t="shared" si="127"/>
        <v>-67228030.160999998</v>
      </c>
      <c r="N346">
        <f t="shared" si="128"/>
        <v>-114683860.99799998</v>
      </c>
      <c r="O346">
        <f t="shared" si="129"/>
        <v>-127203904.353</v>
      </c>
      <c r="P346">
        <f t="shared" si="130"/>
        <v>-153009959.34399998</v>
      </c>
      <c r="Q346">
        <f t="shared" si="131"/>
        <v>-158019683.54999998</v>
      </c>
      <c r="S346">
        <f t="shared" si="132"/>
        <v>224025.90000000002</v>
      </c>
      <c r="T346">
        <f t="shared" si="133"/>
        <v>-75527786.971000001</v>
      </c>
      <c r="U346">
        <f t="shared" si="134"/>
        <v>-125487413.12099999</v>
      </c>
      <c r="V346">
        <f t="shared" si="135"/>
        <v>-133439389.86049996</v>
      </c>
      <c r="W346">
        <f t="shared" si="136"/>
        <v>-177957235.32399997</v>
      </c>
      <c r="X346">
        <f t="shared" si="137"/>
        <v>-180890953.53749996</v>
      </c>
      <c r="Z346">
        <f t="shared" si="138"/>
        <v>243228.12000000002</v>
      </c>
      <c r="AA346">
        <f t="shared" si="139"/>
        <v>-83827543.780999988</v>
      </c>
      <c r="AB346">
        <f t="shared" si="140"/>
        <v>-136290965.24399999</v>
      </c>
      <c r="AC346">
        <f t="shared" si="141"/>
        <v>-169605205.80399996</v>
      </c>
      <c r="AD346">
        <f t="shared" si="142"/>
        <v>-202904511.30399999</v>
      </c>
      <c r="AE346">
        <f t="shared" si="143"/>
        <v>-203762223.52499998</v>
      </c>
    </row>
    <row r="347" spans="1:31" x14ac:dyDescent="0.25">
      <c r="A347">
        <v>36.955038190000003</v>
      </c>
      <c r="B347">
        <v>108.8407028</v>
      </c>
      <c r="C347">
        <v>0.21280456</v>
      </c>
      <c r="D347">
        <v>83.612007140000003</v>
      </c>
      <c r="E347" t="b">
        <f t="shared" si="120"/>
        <v>1</v>
      </c>
      <c r="F347">
        <f t="shared" si="121"/>
        <v>82.547984339999999</v>
      </c>
      <c r="G347">
        <f t="shared" si="122"/>
        <v>81.483961539999996</v>
      </c>
      <c r="H347">
        <f t="shared" si="123"/>
        <v>80.419938740000006</v>
      </c>
      <c r="I347">
        <f t="shared" si="124"/>
        <v>79.355915940000003</v>
      </c>
      <c r="J347">
        <f t="shared" si="125"/>
        <v>78.291893139999999</v>
      </c>
      <c r="L347">
        <f t="shared" si="126"/>
        <v>408584.75520000001</v>
      </c>
      <c r="M347">
        <f t="shared" si="127"/>
        <v>344743.3872</v>
      </c>
      <c r="N347">
        <f t="shared" si="128"/>
        <v>293670.2928</v>
      </c>
      <c r="O347">
        <f t="shared" si="129"/>
        <v>217060.65119999999</v>
      </c>
      <c r="P347">
        <f t="shared" si="130"/>
        <v>195780.19519999999</v>
      </c>
      <c r="Q347">
        <f t="shared" si="131"/>
        <v>161731.4656</v>
      </c>
      <c r="S347">
        <f t="shared" si="132"/>
        <v>446889.576</v>
      </c>
      <c r="T347">
        <f t="shared" si="133"/>
        <v>387304.29920000001</v>
      </c>
      <c r="U347">
        <f t="shared" si="134"/>
        <v>321334.88559999998</v>
      </c>
      <c r="V347">
        <f t="shared" si="135"/>
        <v>227700.87919999997</v>
      </c>
      <c r="W347">
        <f t="shared" si="136"/>
        <v>227700.87919999997</v>
      </c>
      <c r="X347">
        <f t="shared" si="137"/>
        <v>185139.96719999998</v>
      </c>
      <c r="Z347">
        <f t="shared" si="138"/>
        <v>485194.39680000005</v>
      </c>
      <c r="AA347">
        <f t="shared" si="139"/>
        <v>429865.21120000002</v>
      </c>
      <c r="AB347">
        <f t="shared" si="140"/>
        <v>348999.47840000002</v>
      </c>
      <c r="AC347">
        <f t="shared" si="141"/>
        <v>289414.20159999997</v>
      </c>
      <c r="AD347">
        <f t="shared" si="142"/>
        <v>259621.5632</v>
      </c>
      <c r="AE347">
        <f t="shared" si="143"/>
        <v>208548.4688</v>
      </c>
    </row>
    <row r="348" spans="1:31" x14ac:dyDescent="0.25">
      <c r="A348">
        <v>36.982802720000002</v>
      </c>
      <c r="B348">
        <v>109.52854050000001</v>
      </c>
      <c r="C348">
        <v>4.2673910000000002E-2</v>
      </c>
      <c r="D348">
        <v>0.72275001000000005</v>
      </c>
      <c r="E348" t="b">
        <f t="shared" si="120"/>
        <v>1</v>
      </c>
      <c r="F348">
        <f t="shared" si="121"/>
        <v>0.50938046000000003</v>
      </c>
      <c r="G348">
        <f t="shared" si="122"/>
        <v>0.29601091000000002</v>
      </c>
      <c r="H348">
        <f t="shared" si="123"/>
        <v>8.2641359999999997E-2</v>
      </c>
      <c r="I348">
        <f t="shared" si="124"/>
        <v>-0.13072819000000002</v>
      </c>
      <c r="J348">
        <f t="shared" si="125"/>
        <v>-0.34409773999999993</v>
      </c>
      <c r="L348">
        <f t="shared" si="126"/>
        <v>81933.907200000016</v>
      </c>
      <c r="M348">
        <f t="shared" si="127"/>
        <v>69131.734200000006</v>
      </c>
      <c r="N348">
        <f t="shared" si="128"/>
        <v>58889.995799999997</v>
      </c>
      <c r="O348">
        <f t="shared" si="129"/>
        <v>43527.388200000001</v>
      </c>
      <c r="P348">
        <f t="shared" si="130"/>
        <v>-120269.9348</v>
      </c>
      <c r="Q348">
        <f t="shared" si="131"/>
        <v>-261514.28239999994</v>
      </c>
      <c r="S348">
        <f t="shared" si="132"/>
        <v>89615.21100000001</v>
      </c>
      <c r="T348">
        <f t="shared" si="133"/>
        <v>77666.516200000013</v>
      </c>
      <c r="U348">
        <f t="shared" si="134"/>
        <v>64437.604100000004</v>
      </c>
      <c r="V348">
        <f t="shared" si="135"/>
        <v>45661.083699999996</v>
      </c>
      <c r="W348">
        <f t="shared" si="136"/>
        <v>-139879.16329999999</v>
      </c>
      <c r="X348">
        <f t="shared" si="137"/>
        <v>-299365.03379999992</v>
      </c>
      <c r="Z348">
        <f t="shared" si="138"/>
        <v>97296.514800000019</v>
      </c>
      <c r="AA348">
        <f t="shared" si="139"/>
        <v>86201.298200000005</v>
      </c>
      <c r="AB348">
        <f t="shared" si="140"/>
        <v>69985.212400000004</v>
      </c>
      <c r="AC348">
        <f t="shared" si="141"/>
        <v>58036.517599999999</v>
      </c>
      <c r="AD348">
        <f t="shared" si="142"/>
        <v>-159488.39180000001</v>
      </c>
      <c r="AE348">
        <f t="shared" si="143"/>
        <v>-337215.78519999993</v>
      </c>
    </row>
    <row r="349" spans="1:31" s="1" customFormat="1" x14ac:dyDescent="0.25">
      <c r="A349" s="1">
        <v>37.024733580000003</v>
      </c>
      <c r="B349" s="1">
        <v>119.4169534</v>
      </c>
      <c r="C349" s="1">
        <v>0</v>
      </c>
      <c r="D349" s="1">
        <v>0.83479296999999997</v>
      </c>
      <c r="E349" s="1" t="b">
        <f t="shared" si="120"/>
        <v>1</v>
      </c>
      <c r="F349">
        <f t="shared" si="121"/>
        <v>0.83479296999999997</v>
      </c>
      <c r="G349">
        <f t="shared" si="122"/>
        <v>0.83479296999999997</v>
      </c>
      <c r="H349">
        <f t="shared" si="123"/>
        <v>0.83479296999999997</v>
      </c>
      <c r="I349">
        <f t="shared" si="124"/>
        <v>0.83479296999999997</v>
      </c>
      <c r="J349">
        <f t="shared" si="125"/>
        <v>0.83479296999999997</v>
      </c>
      <c r="L349">
        <f t="shared" si="126"/>
        <v>0</v>
      </c>
      <c r="M349">
        <f t="shared" si="127"/>
        <v>0</v>
      </c>
      <c r="N349">
        <f t="shared" si="128"/>
        <v>0</v>
      </c>
      <c r="O349">
        <f t="shared" si="129"/>
        <v>0</v>
      </c>
      <c r="P349">
        <f t="shared" si="130"/>
        <v>0</v>
      </c>
      <c r="Q349">
        <f t="shared" si="131"/>
        <v>0</v>
      </c>
      <c r="S349">
        <f t="shared" si="132"/>
        <v>0</v>
      </c>
      <c r="T349">
        <f t="shared" si="133"/>
        <v>0</v>
      </c>
      <c r="U349">
        <f t="shared" si="134"/>
        <v>0</v>
      </c>
      <c r="V349">
        <f t="shared" si="135"/>
        <v>0</v>
      </c>
      <c r="W349">
        <f t="shared" si="136"/>
        <v>0</v>
      </c>
      <c r="X349">
        <f t="shared" si="137"/>
        <v>0</v>
      </c>
      <c r="Z349">
        <f t="shared" si="138"/>
        <v>0</v>
      </c>
      <c r="AA349">
        <f t="shared" si="139"/>
        <v>0</v>
      </c>
      <c r="AB349">
        <f t="shared" si="140"/>
        <v>0</v>
      </c>
      <c r="AC349">
        <f t="shared" si="141"/>
        <v>0</v>
      </c>
      <c r="AD349">
        <f t="shared" si="142"/>
        <v>0</v>
      </c>
      <c r="AE349">
        <f t="shared" si="143"/>
        <v>0</v>
      </c>
    </row>
    <row r="350" spans="1:31" x14ac:dyDescent="0.25">
      <c r="A350">
        <v>37.03513684</v>
      </c>
      <c r="B350">
        <v>109.3018063</v>
      </c>
      <c r="C350">
        <v>0.55589759000000005</v>
      </c>
      <c r="D350">
        <v>60.610736850000002</v>
      </c>
      <c r="E350" t="b">
        <f t="shared" si="120"/>
        <v>1</v>
      </c>
      <c r="F350">
        <f t="shared" si="121"/>
        <v>57.831248900000006</v>
      </c>
      <c r="G350">
        <f t="shared" si="122"/>
        <v>55.051760950000002</v>
      </c>
      <c r="H350">
        <f t="shared" si="123"/>
        <v>52.272272999999998</v>
      </c>
      <c r="I350">
        <f t="shared" si="124"/>
        <v>49.492785050000002</v>
      </c>
      <c r="J350">
        <f t="shared" si="125"/>
        <v>46.713297099999998</v>
      </c>
      <c r="L350">
        <f t="shared" si="126"/>
        <v>1067323.3728000002</v>
      </c>
      <c r="M350">
        <f t="shared" si="127"/>
        <v>900554.09580000024</v>
      </c>
      <c r="N350">
        <f t="shared" si="128"/>
        <v>767138.67420000001</v>
      </c>
      <c r="O350">
        <f t="shared" si="129"/>
        <v>567015.54180000012</v>
      </c>
      <c r="P350">
        <f t="shared" si="130"/>
        <v>511425.78280000004</v>
      </c>
      <c r="Q350">
        <f t="shared" si="131"/>
        <v>422482.16840000008</v>
      </c>
      <c r="S350">
        <f t="shared" si="132"/>
        <v>1167384.9390000002</v>
      </c>
      <c r="T350">
        <f t="shared" si="133"/>
        <v>1011733.6138000002</v>
      </c>
      <c r="U350">
        <f t="shared" si="134"/>
        <v>839405.36090000009</v>
      </c>
      <c r="V350">
        <f t="shared" si="135"/>
        <v>594810.42130000005</v>
      </c>
      <c r="W350">
        <f t="shared" si="136"/>
        <v>594810.42130000005</v>
      </c>
      <c r="X350">
        <f t="shared" si="137"/>
        <v>483630.90330000006</v>
      </c>
      <c r="Z350">
        <f t="shared" si="138"/>
        <v>1267446.5052000002</v>
      </c>
      <c r="AA350">
        <f t="shared" si="139"/>
        <v>1122913.1318000001</v>
      </c>
      <c r="AB350">
        <f t="shared" si="140"/>
        <v>911672.04760000017</v>
      </c>
      <c r="AC350">
        <f t="shared" si="141"/>
        <v>756020.72240000009</v>
      </c>
      <c r="AD350">
        <f t="shared" si="142"/>
        <v>678195.05980000005</v>
      </c>
      <c r="AE350">
        <f t="shared" si="143"/>
        <v>544779.63820000004</v>
      </c>
    </row>
    <row r="351" spans="1:31" s="1" customFormat="1" x14ac:dyDescent="0.25">
      <c r="A351" s="1">
        <v>37.043841690000001</v>
      </c>
      <c r="B351" s="1">
        <v>117.9189599</v>
      </c>
      <c r="C351" s="1">
        <v>0</v>
      </c>
      <c r="D351" s="1">
        <v>0.67801201</v>
      </c>
      <c r="E351" s="1" t="b">
        <f t="shared" si="120"/>
        <v>1</v>
      </c>
      <c r="F351">
        <f t="shared" si="121"/>
        <v>0.67801201</v>
      </c>
      <c r="G351">
        <f t="shared" si="122"/>
        <v>0.67801201</v>
      </c>
      <c r="H351">
        <f t="shared" si="123"/>
        <v>0.67801201</v>
      </c>
      <c r="I351">
        <f t="shared" si="124"/>
        <v>0.67801201</v>
      </c>
      <c r="J351">
        <f t="shared" si="125"/>
        <v>0.67801201</v>
      </c>
      <c r="L351">
        <f t="shared" si="126"/>
        <v>0</v>
      </c>
      <c r="M351">
        <f t="shared" si="127"/>
        <v>0</v>
      </c>
      <c r="N351">
        <f t="shared" si="128"/>
        <v>0</v>
      </c>
      <c r="O351">
        <f t="shared" si="129"/>
        <v>0</v>
      </c>
      <c r="P351">
        <f t="shared" si="130"/>
        <v>0</v>
      </c>
      <c r="Q351">
        <f t="shared" si="131"/>
        <v>0</v>
      </c>
      <c r="S351">
        <f t="shared" si="132"/>
        <v>0</v>
      </c>
      <c r="T351">
        <f t="shared" si="133"/>
        <v>0</v>
      </c>
      <c r="U351">
        <f t="shared" si="134"/>
        <v>0</v>
      </c>
      <c r="V351">
        <f t="shared" si="135"/>
        <v>0</v>
      </c>
      <c r="W351">
        <f t="shared" si="136"/>
        <v>0</v>
      </c>
      <c r="X351">
        <f t="shared" si="137"/>
        <v>0</v>
      </c>
      <c r="Z351">
        <f t="shared" si="138"/>
        <v>0</v>
      </c>
      <c r="AA351">
        <f t="shared" si="139"/>
        <v>0</v>
      </c>
      <c r="AB351">
        <f t="shared" si="140"/>
        <v>0</v>
      </c>
      <c r="AC351">
        <f t="shared" si="141"/>
        <v>0</v>
      </c>
      <c r="AD351">
        <f t="shared" si="142"/>
        <v>0</v>
      </c>
      <c r="AE351">
        <f t="shared" si="143"/>
        <v>0</v>
      </c>
    </row>
    <row r="352" spans="1:31" s="1" customFormat="1" x14ac:dyDescent="0.25">
      <c r="A352" s="1">
        <v>37.054827320000001</v>
      </c>
      <c r="B352" s="1">
        <v>116.82521989999999</v>
      </c>
      <c r="C352" s="1">
        <v>0</v>
      </c>
      <c r="D352" s="1">
        <v>4.81981897</v>
      </c>
      <c r="E352" s="1" t="b">
        <f t="shared" si="120"/>
        <v>1</v>
      </c>
      <c r="F352">
        <f t="shared" si="121"/>
        <v>4.81981897</v>
      </c>
      <c r="G352">
        <f t="shared" si="122"/>
        <v>4.81981897</v>
      </c>
      <c r="H352">
        <f t="shared" si="123"/>
        <v>4.81981897</v>
      </c>
      <c r="I352">
        <f t="shared" si="124"/>
        <v>4.81981897</v>
      </c>
      <c r="J352">
        <f t="shared" si="125"/>
        <v>4.81981897</v>
      </c>
      <c r="L352">
        <f t="shared" si="126"/>
        <v>0</v>
      </c>
      <c r="M352">
        <f t="shared" si="127"/>
        <v>0</v>
      </c>
      <c r="N352">
        <f t="shared" si="128"/>
        <v>0</v>
      </c>
      <c r="O352">
        <f t="shared" si="129"/>
        <v>0</v>
      </c>
      <c r="P352">
        <f t="shared" si="130"/>
        <v>0</v>
      </c>
      <c r="Q352">
        <f t="shared" si="131"/>
        <v>0</v>
      </c>
      <c r="S352">
        <f t="shared" si="132"/>
        <v>0</v>
      </c>
      <c r="T352">
        <f t="shared" si="133"/>
        <v>0</v>
      </c>
      <c r="U352">
        <f t="shared" si="134"/>
        <v>0</v>
      </c>
      <c r="V352">
        <f t="shared" si="135"/>
        <v>0</v>
      </c>
      <c r="W352">
        <f t="shared" si="136"/>
        <v>0</v>
      </c>
      <c r="X352">
        <f t="shared" si="137"/>
        <v>0</v>
      </c>
      <c r="Z352">
        <f t="shared" si="138"/>
        <v>0</v>
      </c>
      <c r="AA352">
        <f t="shared" si="139"/>
        <v>0</v>
      </c>
      <c r="AB352">
        <f t="shared" si="140"/>
        <v>0</v>
      </c>
      <c r="AC352">
        <f t="shared" si="141"/>
        <v>0</v>
      </c>
      <c r="AD352">
        <f t="shared" si="142"/>
        <v>0</v>
      </c>
      <c r="AE352">
        <f t="shared" si="143"/>
        <v>0</v>
      </c>
    </row>
    <row r="353" spans="1:31" x14ac:dyDescent="0.25">
      <c r="A353">
        <v>37.0716714</v>
      </c>
      <c r="B353">
        <v>117.6347765</v>
      </c>
      <c r="C353">
        <v>18.32290459</v>
      </c>
      <c r="D353">
        <v>0.109276</v>
      </c>
      <c r="E353" t="b">
        <f t="shared" si="120"/>
        <v>0</v>
      </c>
      <c r="F353">
        <f t="shared" si="121"/>
        <v>-91.505246950000014</v>
      </c>
      <c r="G353">
        <f t="shared" si="122"/>
        <v>-183.11976990000002</v>
      </c>
      <c r="H353">
        <f t="shared" si="123"/>
        <v>-274.73429284999997</v>
      </c>
      <c r="I353">
        <f t="shared" si="124"/>
        <v>-366.34881580000001</v>
      </c>
      <c r="J353">
        <f t="shared" si="125"/>
        <v>-457.96333874999999</v>
      </c>
      <c r="L353">
        <f t="shared" si="126"/>
        <v>209809.92000000001</v>
      </c>
      <c r="M353">
        <f t="shared" si="127"/>
        <v>-148238500.05900005</v>
      </c>
      <c r="N353">
        <f t="shared" si="128"/>
        <v>-252705282.46200004</v>
      </c>
      <c r="O353">
        <f t="shared" si="129"/>
        <v>-280228978.70699996</v>
      </c>
      <c r="P353">
        <f t="shared" si="130"/>
        <v>-337040910.53600001</v>
      </c>
      <c r="Q353">
        <f t="shared" si="131"/>
        <v>-348052137.44999999</v>
      </c>
      <c r="S353">
        <f t="shared" si="132"/>
        <v>229479.6</v>
      </c>
      <c r="T353">
        <f t="shared" si="133"/>
        <v>-166539549.44900003</v>
      </c>
      <c r="U353">
        <f t="shared" si="134"/>
        <v>-276510852.54900008</v>
      </c>
      <c r="V353">
        <f t="shared" si="135"/>
        <v>-293965693.34949994</v>
      </c>
      <c r="W353">
        <f t="shared" si="136"/>
        <v>-391993232.90599996</v>
      </c>
      <c r="X353">
        <f t="shared" si="137"/>
        <v>-398428104.71249998</v>
      </c>
      <c r="Z353">
        <f t="shared" si="138"/>
        <v>249149.28000000003</v>
      </c>
      <c r="AA353">
        <f t="shared" si="139"/>
        <v>-184840598.83900005</v>
      </c>
      <c r="AB353">
        <f t="shared" si="140"/>
        <v>-300316422.6360001</v>
      </c>
      <c r="AC353">
        <f t="shared" si="141"/>
        <v>-373638638.2759999</v>
      </c>
      <c r="AD353">
        <f t="shared" si="142"/>
        <v>-446945555.27600002</v>
      </c>
      <c r="AE353">
        <f t="shared" si="143"/>
        <v>-448804071.97499996</v>
      </c>
    </row>
    <row r="354" spans="1:31" x14ac:dyDescent="0.25">
      <c r="A354">
        <v>37.112523549999999</v>
      </c>
      <c r="B354">
        <v>107.8147716</v>
      </c>
      <c r="C354">
        <v>8.3210926099999991</v>
      </c>
      <c r="D354">
        <v>0.99576198999999999</v>
      </c>
      <c r="E354" t="b">
        <f t="shared" si="120"/>
        <v>0</v>
      </c>
      <c r="F354">
        <f t="shared" si="121"/>
        <v>-40.609701059999999</v>
      </c>
      <c r="G354">
        <f t="shared" si="122"/>
        <v>-82.215164109999989</v>
      </c>
      <c r="H354">
        <f t="shared" si="123"/>
        <v>-123.82062715999999</v>
      </c>
      <c r="I354">
        <f t="shared" si="124"/>
        <v>-165.42609020999998</v>
      </c>
      <c r="J354">
        <f t="shared" si="125"/>
        <v>-207.03155325999998</v>
      </c>
      <c r="L354">
        <f t="shared" si="126"/>
        <v>1911863.0208000001</v>
      </c>
      <c r="M354">
        <f t="shared" si="127"/>
        <v>-65787715.717200011</v>
      </c>
      <c r="N354">
        <f t="shared" si="128"/>
        <v>-113456926.47179997</v>
      </c>
      <c r="O354">
        <f t="shared" si="129"/>
        <v>-126297039.70319998</v>
      </c>
      <c r="P354">
        <f t="shared" si="130"/>
        <v>-152192002.99319997</v>
      </c>
      <c r="Q354">
        <f t="shared" si="131"/>
        <v>-157343980.47760001</v>
      </c>
      <c r="S354">
        <f t="shared" si="132"/>
        <v>2091100.179</v>
      </c>
      <c r="T354">
        <f t="shared" si="133"/>
        <v>-73909655.929200009</v>
      </c>
      <c r="U354">
        <f t="shared" si="134"/>
        <v>-124144897.80609998</v>
      </c>
      <c r="V354">
        <f t="shared" si="135"/>
        <v>-132488071.06119996</v>
      </c>
      <c r="W354">
        <f t="shared" si="136"/>
        <v>-177005916.52469996</v>
      </c>
      <c r="X354">
        <f t="shared" si="137"/>
        <v>-180117451.3362</v>
      </c>
      <c r="Z354">
        <f t="shared" si="138"/>
        <v>2270337.3372000004</v>
      </c>
      <c r="AA354">
        <f t="shared" si="139"/>
        <v>-82031596.141200006</v>
      </c>
      <c r="AB354">
        <f t="shared" si="140"/>
        <v>-134832869.14039999</v>
      </c>
      <c r="AC354">
        <f t="shared" si="141"/>
        <v>-168396052.93759996</v>
      </c>
      <c r="AD354">
        <f t="shared" si="142"/>
        <v>-201819830.05619997</v>
      </c>
      <c r="AE354">
        <f t="shared" si="143"/>
        <v>-202890922.19479999</v>
      </c>
    </row>
    <row r="355" spans="1:31" s="1" customFormat="1" x14ac:dyDescent="0.25">
      <c r="A355" s="1">
        <v>37.123217050000001</v>
      </c>
      <c r="B355" s="1">
        <v>106.8406954</v>
      </c>
      <c r="C355" s="1">
        <v>0</v>
      </c>
      <c r="D355" s="1">
        <v>1.54738402</v>
      </c>
      <c r="E355" s="1" t="b">
        <f t="shared" si="120"/>
        <v>1</v>
      </c>
      <c r="F355">
        <f t="shared" si="121"/>
        <v>1.54738402</v>
      </c>
      <c r="G355">
        <f t="shared" si="122"/>
        <v>1.54738402</v>
      </c>
      <c r="H355">
        <f t="shared" si="123"/>
        <v>1.54738402</v>
      </c>
      <c r="I355">
        <f t="shared" si="124"/>
        <v>1.54738402</v>
      </c>
      <c r="J355">
        <f t="shared" si="125"/>
        <v>1.54738402</v>
      </c>
      <c r="L355">
        <f t="shared" si="126"/>
        <v>0</v>
      </c>
      <c r="M355">
        <f t="shared" si="127"/>
        <v>0</v>
      </c>
      <c r="N355">
        <f t="shared" si="128"/>
        <v>0</v>
      </c>
      <c r="O355">
        <f t="shared" si="129"/>
        <v>0</v>
      </c>
      <c r="P355">
        <f t="shared" si="130"/>
        <v>0</v>
      </c>
      <c r="Q355">
        <f t="shared" si="131"/>
        <v>0</v>
      </c>
      <c r="S355">
        <f t="shared" si="132"/>
        <v>0</v>
      </c>
      <c r="T355">
        <f t="shared" si="133"/>
        <v>0</v>
      </c>
      <c r="U355">
        <f t="shared" si="134"/>
        <v>0</v>
      </c>
      <c r="V355">
        <f t="shared" si="135"/>
        <v>0</v>
      </c>
      <c r="W355">
        <f t="shared" si="136"/>
        <v>0</v>
      </c>
      <c r="X355">
        <f t="shared" si="137"/>
        <v>0</v>
      </c>
      <c r="Z355">
        <f t="shared" si="138"/>
        <v>0</v>
      </c>
      <c r="AA355">
        <f t="shared" si="139"/>
        <v>0</v>
      </c>
      <c r="AB355">
        <f t="shared" si="140"/>
        <v>0</v>
      </c>
      <c r="AC355">
        <f t="shared" si="141"/>
        <v>0</v>
      </c>
      <c r="AD355">
        <f t="shared" si="142"/>
        <v>0</v>
      </c>
      <c r="AE355">
        <f t="shared" si="143"/>
        <v>0</v>
      </c>
    </row>
    <row r="356" spans="1:31" x14ac:dyDescent="0.25">
      <c r="A356">
        <v>37.140552919999998</v>
      </c>
      <c r="B356">
        <v>117.8761441</v>
      </c>
      <c r="C356">
        <v>18.32290459</v>
      </c>
      <c r="D356">
        <v>3.8501780000000001</v>
      </c>
      <c r="E356" t="b">
        <f t="shared" si="120"/>
        <v>0</v>
      </c>
      <c r="F356">
        <f t="shared" si="121"/>
        <v>-87.764344950000009</v>
      </c>
      <c r="G356">
        <f t="shared" si="122"/>
        <v>-179.37886790000002</v>
      </c>
      <c r="H356">
        <f t="shared" si="123"/>
        <v>-270.99339084999997</v>
      </c>
      <c r="I356">
        <f t="shared" si="124"/>
        <v>-362.60791380000001</v>
      </c>
      <c r="J356">
        <f t="shared" si="125"/>
        <v>-454.22243674999999</v>
      </c>
      <c r="L356">
        <f t="shared" si="126"/>
        <v>7392341.7600000007</v>
      </c>
      <c r="M356">
        <f t="shared" si="127"/>
        <v>-142178238.81900001</v>
      </c>
      <c r="N356">
        <f t="shared" si="128"/>
        <v>-247542837.70199999</v>
      </c>
      <c r="O356">
        <f t="shared" si="129"/>
        <v>-276413258.667</v>
      </c>
      <c r="P356">
        <f t="shared" si="130"/>
        <v>-333599280.69599998</v>
      </c>
      <c r="Q356">
        <f t="shared" si="131"/>
        <v>-345209051.93000001</v>
      </c>
      <c r="S356">
        <f t="shared" si="132"/>
        <v>8085373.8000000007</v>
      </c>
      <c r="T356">
        <f t="shared" si="133"/>
        <v>-159731107.80900002</v>
      </c>
      <c r="U356">
        <f t="shared" si="134"/>
        <v>-270862090.52899998</v>
      </c>
      <c r="V356">
        <f t="shared" si="135"/>
        <v>-289962928.2094999</v>
      </c>
      <c r="W356">
        <f t="shared" si="136"/>
        <v>-387990467.76599997</v>
      </c>
      <c r="X356">
        <f t="shared" si="137"/>
        <v>-395173519.97250003</v>
      </c>
      <c r="Z356">
        <f t="shared" si="138"/>
        <v>8778405.8400000017</v>
      </c>
      <c r="AA356">
        <f t="shared" si="139"/>
        <v>-177283976.79899999</v>
      </c>
      <c r="AB356">
        <f t="shared" si="140"/>
        <v>-294181343.35600001</v>
      </c>
      <c r="AC356">
        <f t="shared" si="141"/>
        <v>-368551011.55599993</v>
      </c>
      <c r="AD356">
        <f t="shared" si="142"/>
        <v>-442381654.83600003</v>
      </c>
      <c r="AE356">
        <f t="shared" si="143"/>
        <v>-445137988.01499999</v>
      </c>
    </row>
    <row r="357" spans="1:31" x14ac:dyDescent="0.25">
      <c r="A357">
        <v>37.15172424</v>
      </c>
      <c r="B357">
        <v>117.7623473</v>
      </c>
      <c r="C357">
        <v>18.32290459</v>
      </c>
      <c r="D357">
        <v>8.7413000000000005E-2</v>
      </c>
      <c r="E357" t="b">
        <f t="shared" si="120"/>
        <v>0</v>
      </c>
      <c r="F357">
        <f t="shared" si="121"/>
        <v>-91.52710995000001</v>
      </c>
      <c r="G357">
        <f t="shared" si="122"/>
        <v>-183.14163290000002</v>
      </c>
      <c r="H357">
        <f t="shared" si="123"/>
        <v>-274.75615584999997</v>
      </c>
      <c r="I357">
        <f t="shared" si="124"/>
        <v>-366.37067880000001</v>
      </c>
      <c r="J357">
        <f t="shared" si="125"/>
        <v>-457.98520174999999</v>
      </c>
      <c r="L357">
        <f t="shared" si="126"/>
        <v>167832.96000000002</v>
      </c>
      <c r="M357">
        <f t="shared" si="127"/>
        <v>-148273918.11900005</v>
      </c>
      <c r="N357">
        <f t="shared" si="128"/>
        <v>-252735453.40199998</v>
      </c>
      <c r="O357">
        <f t="shared" si="129"/>
        <v>-280251278.96699995</v>
      </c>
      <c r="P357">
        <f t="shared" si="130"/>
        <v>-337061024.49599999</v>
      </c>
      <c r="Q357">
        <f t="shared" si="131"/>
        <v>-348068753.32999998</v>
      </c>
      <c r="S357">
        <f t="shared" si="132"/>
        <v>183567.30000000002</v>
      </c>
      <c r="T357">
        <f t="shared" si="133"/>
        <v>-166579340.10900003</v>
      </c>
      <c r="U357">
        <f t="shared" si="134"/>
        <v>-276543865.67900002</v>
      </c>
      <c r="V357">
        <f t="shared" si="135"/>
        <v>-293989086.75949991</v>
      </c>
      <c r="W357">
        <f t="shared" si="136"/>
        <v>-392016626.31599993</v>
      </c>
      <c r="X357">
        <f t="shared" si="137"/>
        <v>-398447125.52249998</v>
      </c>
      <c r="Z357">
        <f t="shared" si="138"/>
        <v>199301.64</v>
      </c>
      <c r="AA357">
        <f t="shared" si="139"/>
        <v>-184884762.09900004</v>
      </c>
      <c r="AB357">
        <f t="shared" si="140"/>
        <v>-300352277.95600003</v>
      </c>
      <c r="AC357">
        <f t="shared" si="141"/>
        <v>-373668371.95599991</v>
      </c>
      <c r="AD357">
        <f t="shared" si="142"/>
        <v>-446972228.13599998</v>
      </c>
      <c r="AE357">
        <f t="shared" si="143"/>
        <v>-448825497.71499997</v>
      </c>
    </row>
    <row r="358" spans="1:31" x14ac:dyDescent="0.25">
      <c r="A358">
        <v>37.163420270000003</v>
      </c>
      <c r="B358">
        <v>118.1107848</v>
      </c>
      <c r="C358">
        <v>21.771209720000002</v>
      </c>
      <c r="D358">
        <v>3.2437488999999999</v>
      </c>
      <c r="E358" t="b">
        <f t="shared" si="120"/>
        <v>0</v>
      </c>
      <c r="F358">
        <f t="shared" si="121"/>
        <v>-105.61229970000001</v>
      </c>
      <c r="G358">
        <f t="shared" si="122"/>
        <v>-214.4683483</v>
      </c>
      <c r="H358">
        <f t="shared" si="123"/>
        <v>-323.32439690000001</v>
      </c>
      <c r="I358">
        <f t="shared" si="124"/>
        <v>-432.18044550000002</v>
      </c>
      <c r="J358">
        <f t="shared" si="125"/>
        <v>-541.03649410000003</v>
      </c>
      <c r="L358">
        <f t="shared" si="126"/>
        <v>6227997.8880000003</v>
      </c>
      <c r="M358">
        <f t="shared" si="127"/>
        <v>-171091925.51400003</v>
      </c>
      <c r="N358">
        <f t="shared" si="128"/>
        <v>-295966320.65399998</v>
      </c>
      <c r="O358">
        <f t="shared" si="129"/>
        <v>-329790884.83800006</v>
      </c>
      <c r="P358">
        <f t="shared" si="130"/>
        <v>-397606009.85999995</v>
      </c>
      <c r="Q358">
        <f t="shared" si="131"/>
        <v>-411187735.51600003</v>
      </c>
      <c r="S358">
        <f t="shared" si="132"/>
        <v>6811872.6900000004</v>
      </c>
      <c r="T358">
        <f t="shared" si="133"/>
        <v>-192214385.45400003</v>
      </c>
      <c r="U358">
        <f t="shared" si="134"/>
        <v>-323847205.93300003</v>
      </c>
      <c r="V358">
        <f t="shared" si="135"/>
        <v>-345957104.68299997</v>
      </c>
      <c r="W358">
        <f t="shared" si="136"/>
        <v>-462433076.68499994</v>
      </c>
      <c r="X358">
        <f t="shared" si="137"/>
        <v>-470701749.86700004</v>
      </c>
      <c r="Z358">
        <f t="shared" si="138"/>
        <v>7395747.4920000006</v>
      </c>
      <c r="AA358">
        <f t="shared" si="139"/>
        <v>-213336845.39399999</v>
      </c>
      <c r="AB358">
        <f t="shared" si="140"/>
        <v>-351728091.21200007</v>
      </c>
      <c r="AC358">
        <f t="shared" si="141"/>
        <v>-439721179.78399998</v>
      </c>
      <c r="AD358">
        <f t="shared" si="142"/>
        <v>-527260143.50999999</v>
      </c>
      <c r="AE358">
        <f t="shared" si="143"/>
        <v>-530215764.21799999</v>
      </c>
    </row>
    <row r="359" spans="1:31" s="1" customFormat="1" x14ac:dyDescent="0.25">
      <c r="A359" s="1">
        <v>37.169104320000002</v>
      </c>
      <c r="B359" s="1">
        <v>106.8411931</v>
      </c>
      <c r="C359" s="1">
        <v>0</v>
      </c>
      <c r="D359" s="1">
        <v>0.18582699999999999</v>
      </c>
      <c r="E359" s="1" t="b">
        <f t="shared" si="120"/>
        <v>1</v>
      </c>
      <c r="F359">
        <f t="shared" si="121"/>
        <v>0.18582699999999999</v>
      </c>
      <c r="G359">
        <f t="shared" si="122"/>
        <v>0.18582699999999999</v>
      </c>
      <c r="H359">
        <f t="shared" si="123"/>
        <v>0.18582699999999999</v>
      </c>
      <c r="I359">
        <f t="shared" si="124"/>
        <v>0.18582699999999999</v>
      </c>
      <c r="J359">
        <f t="shared" si="125"/>
        <v>0.18582699999999999</v>
      </c>
      <c r="L359">
        <f t="shared" si="126"/>
        <v>0</v>
      </c>
      <c r="M359">
        <f t="shared" si="127"/>
        <v>0</v>
      </c>
      <c r="N359">
        <f t="shared" si="128"/>
        <v>0</v>
      </c>
      <c r="O359">
        <f t="shared" si="129"/>
        <v>0</v>
      </c>
      <c r="P359">
        <f t="shared" si="130"/>
        <v>0</v>
      </c>
      <c r="Q359">
        <f t="shared" si="131"/>
        <v>0</v>
      </c>
      <c r="S359">
        <f t="shared" si="132"/>
        <v>0</v>
      </c>
      <c r="T359">
        <f t="shared" si="133"/>
        <v>0</v>
      </c>
      <c r="U359">
        <f t="shared" si="134"/>
        <v>0</v>
      </c>
      <c r="V359">
        <f t="shared" si="135"/>
        <v>0</v>
      </c>
      <c r="W359">
        <f t="shared" si="136"/>
        <v>0</v>
      </c>
      <c r="X359">
        <f t="shared" si="137"/>
        <v>0</v>
      </c>
      <c r="Z359">
        <f t="shared" si="138"/>
        <v>0</v>
      </c>
      <c r="AA359">
        <f t="shared" si="139"/>
        <v>0</v>
      </c>
      <c r="AB359">
        <f t="shared" si="140"/>
        <v>0</v>
      </c>
      <c r="AC359">
        <f t="shared" si="141"/>
        <v>0</v>
      </c>
      <c r="AD359">
        <f t="shared" si="142"/>
        <v>0</v>
      </c>
      <c r="AE359">
        <f t="shared" si="143"/>
        <v>0</v>
      </c>
    </row>
    <row r="360" spans="1:31" x14ac:dyDescent="0.25">
      <c r="A360">
        <v>37.174279390000002</v>
      </c>
      <c r="B360">
        <v>109.2503574</v>
      </c>
      <c r="C360">
        <v>0.55589759000000005</v>
      </c>
      <c r="D360">
        <v>2.6454040999999999</v>
      </c>
      <c r="E360" t="b">
        <f t="shared" si="120"/>
        <v>1</v>
      </c>
      <c r="F360">
        <f t="shared" si="121"/>
        <v>-0.13408385000000012</v>
      </c>
      <c r="G360">
        <f t="shared" si="122"/>
        <v>-2.9135718000000002</v>
      </c>
      <c r="H360">
        <f t="shared" si="123"/>
        <v>-5.6930597499999998</v>
      </c>
      <c r="I360">
        <f t="shared" si="124"/>
        <v>-8.4725476999999998</v>
      </c>
      <c r="J360">
        <f t="shared" si="125"/>
        <v>-11.252035650000002</v>
      </c>
      <c r="L360">
        <f t="shared" si="126"/>
        <v>1067323.3728000002</v>
      </c>
      <c r="M360">
        <f t="shared" si="127"/>
        <v>-217215.8370000002</v>
      </c>
      <c r="N360">
        <f t="shared" si="128"/>
        <v>-4020729.0840000003</v>
      </c>
      <c r="O360">
        <f t="shared" si="129"/>
        <v>-5806920.9450000003</v>
      </c>
      <c r="P360">
        <f t="shared" si="130"/>
        <v>-7794743.8839999987</v>
      </c>
      <c r="Q360">
        <f t="shared" si="131"/>
        <v>-8551547.0940000024</v>
      </c>
      <c r="S360">
        <f t="shared" si="132"/>
        <v>1167384.9390000002</v>
      </c>
      <c r="T360">
        <f t="shared" si="133"/>
        <v>-244032.60700000022</v>
      </c>
      <c r="U360">
        <f t="shared" si="134"/>
        <v>-4399493.4180000005</v>
      </c>
      <c r="V360">
        <f t="shared" si="135"/>
        <v>-6091573.9324999992</v>
      </c>
      <c r="W360">
        <f t="shared" si="136"/>
        <v>-9065626.0389999971</v>
      </c>
      <c r="X360">
        <f t="shared" si="137"/>
        <v>-9789271.0155000016</v>
      </c>
      <c r="Z360">
        <f t="shared" si="138"/>
        <v>1267446.5052000002</v>
      </c>
      <c r="AA360">
        <f t="shared" si="139"/>
        <v>-270849.37700000027</v>
      </c>
      <c r="AB360">
        <f t="shared" si="140"/>
        <v>-4778257.7520000013</v>
      </c>
      <c r="AC360">
        <f t="shared" si="141"/>
        <v>-7742561.2599999988</v>
      </c>
      <c r="AD360">
        <f t="shared" si="142"/>
        <v>-10336508.193999998</v>
      </c>
      <c r="AE360">
        <f t="shared" si="143"/>
        <v>-11026994.937000003</v>
      </c>
    </row>
    <row r="361" spans="1:31" x14ac:dyDescent="0.25">
      <c r="A361">
        <v>37.179985860000002</v>
      </c>
      <c r="B361">
        <v>118.4024471</v>
      </c>
      <c r="C361">
        <v>152.459259</v>
      </c>
      <c r="D361">
        <v>6.7695441199999999</v>
      </c>
      <c r="E361" t="b">
        <f t="shared" si="120"/>
        <v>0</v>
      </c>
      <c r="F361">
        <f t="shared" si="121"/>
        <v>-755.52675088000001</v>
      </c>
      <c r="G361">
        <f t="shared" si="122"/>
        <v>-1517.8230458799999</v>
      </c>
      <c r="H361">
        <f t="shared" si="123"/>
        <v>-2280.11934088</v>
      </c>
      <c r="I361">
        <f t="shared" si="124"/>
        <v>-3042.4156358800001</v>
      </c>
      <c r="J361">
        <f t="shared" si="125"/>
        <v>-3804.7119308800002</v>
      </c>
      <c r="L361">
        <f t="shared" si="126"/>
        <v>12997524.710400002</v>
      </c>
      <c r="M361">
        <f t="shared" si="127"/>
        <v>-1223953336.4256001</v>
      </c>
      <c r="N361">
        <f t="shared" si="128"/>
        <v>-2094595803.3143997</v>
      </c>
      <c r="O361">
        <f t="shared" si="129"/>
        <v>-2325721727.6976004</v>
      </c>
      <c r="P361">
        <f t="shared" si="130"/>
        <v>-2799022385.0095997</v>
      </c>
      <c r="Q361">
        <f t="shared" si="131"/>
        <v>-2891581067.4688001</v>
      </c>
      <c r="S361">
        <f t="shared" si="132"/>
        <v>14216042.652000001</v>
      </c>
      <c r="T361">
        <f t="shared" si="133"/>
        <v>-1375058686.6015999</v>
      </c>
      <c r="U361">
        <f t="shared" si="134"/>
        <v>-2291912799.2788</v>
      </c>
      <c r="V361">
        <f t="shared" si="135"/>
        <v>-2439727694.7415996</v>
      </c>
      <c r="W361">
        <f t="shared" si="136"/>
        <v>-3255384730.3915997</v>
      </c>
      <c r="X361">
        <f t="shared" si="137"/>
        <v>-3310099379.8656001</v>
      </c>
      <c r="Z361">
        <f t="shared" si="138"/>
        <v>15434560.593600001</v>
      </c>
      <c r="AA361">
        <f t="shared" si="139"/>
        <v>-1526164036.7776</v>
      </c>
      <c r="AB361">
        <f t="shared" si="140"/>
        <v>-2489229795.2431998</v>
      </c>
      <c r="AC361">
        <f t="shared" si="141"/>
        <v>-3100962303.5967999</v>
      </c>
      <c r="AD361">
        <f t="shared" si="142"/>
        <v>-3711747075.7736001</v>
      </c>
      <c r="AE361">
        <f t="shared" si="143"/>
        <v>-3728617692.2624002</v>
      </c>
    </row>
    <row r="362" spans="1:31" x14ac:dyDescent="0.25">
      <c r="A362">
        <v>37.180220650000003</v>
      </c>
      <c r="B362">
        <v>109.02108699999999</v>
      </c>
      <c r="C362">
        <v>2.8402893499999999</v>
      </c>
      <c r="D362">
        <v>4.7013421099999997</v>
      </c>
      <c r="E362" t="b">
        <f t="shared" si="120"/>
        <v>1</v>
      </c>
      <c r="F362">
        <f t="shared" si="121"/>
        <v>-9.50010464</v>
      </c>
      <c r="G362">
        <f t="shared" si="122"/>
        <v>-23.701551389999999</v>
      </c>
      <c r="H362">
        <f t="shared" si="123"/>
        <v>-37.902998140000001</v>
      </c>
      <c r="I362">
        <f t="shared" si="124"/>
        <v>-52.104444889999996</v>
      </c>
      <c r="J362">
        <f t="shared" si="125"/>
        <v>-66.305891639999999</v>
      </c>
      <c r="L362">
        <f t="shared" si="126"/>
        <v>5453355.5520000011</v>
      </c>
      <c r="M362">
        <f t="shared" si="127"/>
        <v>-15390169.516800001</v>
      </c>
      <c r="N362">
        <f t="shared" si="128"/>
        <v>-32708140.918199997</v>
      </c>
      <c r="O362">
        <f t="shared" si="129"/>
        <v>-38661058.102800004</v>
      </c>
      <c r="P362">
        <f t="shared" si="130"/>
        <v>-47936089.298799992</v>
      </c>
      <c r="Q362">
        <f t="shared" si="131"/>
        <v>-50392477.646400005</v>
      </c>
      <c r="S362">
        <f t="shared" si="132"/>
        <v>5964607.6350000007</v>
      </c>
      <c r="T362">
        <f t="shared" si="133"/>
        <v>-17290190.444800001</v>
      </c>
      <c r="U362">
        <f t="shared" si="134"/>
        <v>-35789342.598899998</v>
      </c>
      <c r="V362">
        <f t="shared" si="135"/>
        <v>-40556208.009799995</v>
      </c>
      <c r="W362">
        <f t="shared" si="136"/>
        <v>-55751756.032299988</v>
      </c>
      <c r="X362">
        <f t="shared" si="137"/>
        <v>-57686125.726800002</v>
      </c>
      <c r="Z362">
        <f t="shared" si="138"/>
        <v>6475859.7180000013</v>
      </c>
      <c r="AA362">
        <f t="shared" si="139"/>
        <v>-19190211.3728</v>
      </c>
      <c r="AB362">
        <f t="shared" si="140"/>
        <v>-38870544.279600002</v>
      </c>
      <c r="AC362">
        <f t="shared" si="141"/>
        <v>-51548077.470399998</v>
      </c>
      <c r="AD362">
        <f t="shared" si="142"/>
        <v>-63567422.765799992</v>
      </c>
      <c r="AE362">
        <f t="shared" si="143"/>
        <v>-64979773.8072</v>
      </c>
    </row>
    <row r="363" spans="1:31" x14ac:dyDescent="0.25">
      <c r="A363">
        <v>37.191699100000001</v>
      </c>
      <c r="B363">
        <v>117.82623150000001</v>
      </c>
      <c r="C363">
        <v>18.32290459</v>
      </c>
      <c r="D363">
        <v>2.00331306</v>
      </c>
      <c r="E363" t="b">
        <f t="shared" si="120"/>
        <v>0</v>
      </c>
      <c r="F363">
        <f t="shared" si="121"/>
        <v>-89.611209890000012</v>
      </c>
      <c r="G363">
        <f t="shared" si="122"/>
        <v>-181.22573284000001</v>
      </c>
      <c r="H363">
        <f t="shared" si="123"/>
        <v>-272.84025579000001</v>
      </c>
      <c r="I363">
        <f t="shared" si="124"/>
        <v>-364.45477874000005</v>
      </c>
      <c r="J363">
        <f t="shared" si="125"/>
        <v>-456.06930169000003</v>
      </c>
      <c r="L363">
        <f t="shared" si="126"/>
        <v>3846361.0752000003</v>
      </c>
      <c r="M363">
        <f t="shared" si="127"/>
        <v>-145170160.02180004</v>
      </c>
      <c r="N363">
        <f t="shared" si="128"/>
        <v>-250091511.31919998</v>
      </c>
      <c r="O363">
        <f t="shared" si="129"/>
        <v>-278297060.90580004</v>
      </c>
      <c r="P363">
        <f t="shared" si="130"/>
        <v>-335298396.44080001</v>
      </c>
      <c r="Q363">
        <f t="shared" si="131"/>
        <v>-346612669.28440005</v>
      </c>
      <c r="S363">
        <f t="shared" si="132"/>
        <v>4206957.426</v>
      </c>
      <c r="T363">
        <f t="shared" si="133"/>
        <v>-163092401.99980003</v>
      </c>
      <c r="U363">
        <f t="shared" si="134"/>
        <v>-273650856.58840001</v>
      </c>
      <c r="V363">
        <f t="shared" si="135"/>
        <v>-291939073.69529998</v>
      </c>
      <c r="W363">
        <f t="shared" si="136"/>
        <v>-389966613.2518</v>
      </c>
      <c r="X363">
        <f t="shared" si="137"/>
        <v>-396780292.47030002</v>
      </c>
      <c r="Z363">
        <f t="shared" si="138"/>
        <v>4567553.776800001</v>
      </c>
      <c r="AA363">
        <f t="shared" si="139"/>
        <v>-181014643.97780004</v>
      </c>
      <c r="AB363">
        <f t="shared" si="140"/>
        <v>-297210201.85760003</v>
      </c>
      <c r="AC363">
        <f t="shared" si="141"/>
        <v>-371062747.87440002</v>
      </c>
      <c r="AD363">
        <f t="shared" si="142"/>
        <v>-444634830.06280005</v>
      </c>
      <c r="AE363">
        <f t="shared" si="143"/>
        <v>-446947915.65620005</v>
      </c>
    </row>
    <row r="364" spans="1:31" s="1" customFormat="1" x14ac:dyDescent="0.25">
      <c r="A364" s="1">
        <v>37.196748720000002</v>
      </c>
      <c r="B364" s="1">
        <v>116.7874082</v>
      </c>
      <c r="C364" s="1">
        <v>0</v>
      </c>
      <c r="D364" s="1">
        <v>39.648090359999998</v>
      </c>
      <c r="E364" s="1" t="b">
        <f t="shared" si="120"/>
        <v>1</v>
      </c>
      <c r="F364">
        <f t="shared" si="121"/>
        <v>39.648090359999998</v>
      </c>
      <c r="G364">
        <f t="shared" si="122"/>
        <v>39.648090359999998</v>
      </c>
      <c r="H364">
        <f t="shared" si="123"/>
        <v>39.648090359999998</v>
      </c>
      <c r="I364">
        <f t="shared" si="124"/>
        <v>39.648090359999998</v>
      </c>
      <c r="J364">
        <f t="shared" si="125"/>
        <v>39.648090359999998</v>
      </c>
      <c r="L364">
        <f t="shared" si="126"/>
        <v>0</v>
      </c>
      <c r="M364">
        <f t="shared" si="127"/>
        <v>0</v>
      </c>
      <c r="N364">
        <f t="shared" si="128"/>
        <v>0</v>
      </c>
      <c r="O364">
        <f t="shared" si="129"/>
        <v>0</v>
      </c>
      <c r="P364">
        <f t="shared" si="130"/>
        <v>0</v>
      </c>
      <c r="Q364">
        <f t="shared" si="131"/>
        <v>0</v>
      </c>
      <c r="S364">
        <f t="shared" si="132"/>
        <v>0</v>
      </c>
      <c r="T364">
        <f t="shared" si="133"/>
        <v>0</v>
      </c>
      <c r="U364">
        <f t="shared" si="134"/>
        <v>0</v>
      </c>
      <c r="V364">
        <f t="shared" si="135"/>
        <v>0</v>
      </c>
      <c r="W364">
        <f t="shared" si="136"/>
        <v>0</v>
      </c>
      <c r="X364">
        <f t="shared" si="137"/>
        <v>0</v>
      </c>
      <c r="Z364">
        <f t="shared" si="138"/>
        <v>0</v>
      </c>
      <c r="AA364">
        <f t="shared" si="139"/>
        <v>0</v>
      </c>
      <c r="AB364">
        <f t="shared" si="140"/>
        <v>0</v>
      </c>
      <c r="AC364">
        <f t="shared" si="141"/>
        <v>0</v>
      </c>
      <c r="AD364">
        <f t="shared" si="142"/>
        <v>0</v>
      </c>
      <c r="AE364">
        <f t="shared" si="143"/>
        <v>0</v>
      </c>
    </row>
    <row r="365" spans="1:31" x14ac:dyDescent="0.25">
      <c r="A365">
        <v>37.20062471</v>
      </c>
      <c r="B365">
        <v>108.0463408</v>
      </c>
      <c r="C365">
        <v>1.38540113</v>
      </c>
      <c r="D365">
        <v>3.69812202</v>
      </c>
      <c r="E365" t="b">
        <f t="shared" si="120"/>
        <v>1</v>
      </c>
      <c r="F365">
        <f t="shared" si="121"/>
        <v>-3.2288836299999999</v>
      </c>
      <c r="G365">
        <f t="shared" si="122"/>
        <v>-10.15588928</v>
      </c>
      <c r="H365">
        <f t="shared" si="123"/>
        <v>-17.082894930000002</v>
      </c>
      <c r="I365">
        <f t="shared" si="124"/>
        <v>-24.00990058</v>
      </c>
      <c r="J365">
        <f t="shared" si="125"/>
        <v>-30.936906229999998</v>
      </c>
      <c r="L365">
        <f t="shared" si="126"/>
        <v>2659970.1696000001</v>
      </c>
      <c r="M365">
        <f t="shared" si="127"/>
        <v>-5230791.4806000004</v>
      </c>
      <c r="N365">
        <f t="shared" si="128"/>
        <v>-14015127.206399998</v>
      </c>
      <c r="O365">
        <f t="shared" si="129"/>
        <v>-17424552.828600004</v>
      </c>
      <c r="P365">
        <f t="shared" si="130"/>
        <v>-22089108.533599995</v>
      </c>
      <c r="Q365">
        <f t="shared" si="131"/>
        <v>-23512048.734799996</v>
      </c>
      <c r="S365">
        <f t="shared" si="132"/>
        <v>2909342.3729999997</v>
      </c>
      <c r="T365">
        <f t="shared" si="133"/>
        <v>-5876568.2066000002</v>
      </c>
      <c r="U365">
        <f t="shared" si="134"/>
        <v>-15335392.812799999</v>
      </c>
      <c r="V365">
        <f t="shared" si="135"/>
        <v>-18278697.575100001</v>
      </c>
      <c r="W365">
        <f t="shared" si="136"/>
        <v>-25690593.620599993</v>
      </c>
      <c r="X365">
        <f t="shared" si="137"/>
        <v>-26915108.420099996</v>
      </c>
      <c r="Z365">
        <f t="shared" si="138"/>
        <v>3158714.5764000001</v>
      </c>
      <c r="AA365">
        <f t="shared" si="139"/>
        <v>-6522344.9325999999</v>
      </c>
      <c r="AB365">
        <f t="shared" si="140"/>
        <v>-16655658.419199999</v>
      </c>
      <c r="AC365">
        <f t="shared" si="141"/>
        <v>-23232737.104800001</v>
      </c>
      <c r="AD365">
        <f t="shared" si="142"/>
        <v>-29292078.707599998</v>
      </c>
      <c r="AE365">
        <f t="shared" si="143"/>
        <v>-30318168.105399996</v>
      </c>
    </row>
    <row r="366" spans="1:31" x14ac:dyDescent="0.25">
      <c r="A366">
        <v>37.210301219999998</v>
      </c>
      <c r="B366">
        <v>107.3580233</v>
      </c>
      <c r="C366">
        <v>1.38540113</v>
      </c>
      <c r="D366">
        <v>221.55906680000001</v>
      </c>
      <c r="E366" t="b">
        <f t="shared" si="120"/>
        <v>1</v>
      </c>
      <c r="F366">
        <f t="shared" si="121"/>
        <v>214.63206115</v>
      </c>
      <c r="G366">
        <f t="shared" si="122"/>
        <v>207.70505550000001</v>
      </c>
      <c r="H366">
        <f t="shared" si="123"/>
        <v>200.77804985</v>
      </c>
      <c r="I366">
        <f t="shared" si="124"/>
        <v>193.85104420000002</v>
      </c>
      <c r="J366">
        <f t="shared" si="125"/>
        <v>186.92403855000001</v>
      </c>
      <c r="L366">
        <f t="shared" si="126"/>
        <v>2659970.1696000001</v>
      </c>
      <c r="M366">
        <f t="shared" si="127"/>
        <v>2244349.8306</v>
      </c>
      <c r="N366">
        <f t="shared" si="128"/>
        <v>1911853.5593999997</v>
      </c>
      <c r="O366">
        <f t="shared" si="129"/>
        <v>1413109.1525999999</v>
      </c>
      <c r="P366">
        <f t="shared" si="130"/>
        <v>1274569.0395999998</v>
      </c>
      <c r="Q366">
        <f t="shared" si="131"/>
        <v>1052904.8587999998</v>
      </c>
      <c r="S366">
        <f t="shared" si="132"/>
        <v>2909342.3729999997</v>
      </c>
      <c r="T366">
        <f t="shared" si="133"/>
        <v>2521430.0565999998</v>
      </c>
      <c r="U366">
        <f t="shared" si="134"/>
        <v>2091955.7062999997</v>
      </c>
      <c r="V366">
        <f t="shared" si="135"/>
        <v>1482379.2090999996</v>
      </c>
      <c r="W366">
        <f t="shared" si="136"/>
        <v>1482379.2090999996</v>
      </c>
      <c r="X366">
        <f t="shared" si="137"/>
        <v>1205298.9830999998</v>
      </c>
      <c r="Z366">
        <f t="shared" si="138"/>
        <v>3158714.5764000001</v>
      </c>
      <c r="AA366">
        <f t="shared" si="139"/>
        <v>2798510.2825999996</v>
      </c>
      <c r="AB366">
        <f t="shared" si="140"/>
        <v>2272057.8531999998</v>
      </c>
      <c r="AC366">
        <f t="shared" si="141"/>
        <v>1884145.5367999997</v>
      </c>
      <c r="AD366">
        <f t="shared" si="142"/>
        <v>1690189.3785999999</v>
      </c>
      <c r="AE366">
        <f t="shared" si="143"/>
        <v>1357693.1073999999</v>
      </c>
    </row>
    <row r="367" spans="1:31" x14ac:dyDescent="0.25">
      <c r="A367">
        <v>37.211250849999999</v>
      </c>
      <c r="B367">
        <v>117.1358896</v>
      </c>
      <c r="C367">
        <v>0</v>
      </c>
      <c r="D367">
        <v>2.75858903</v>
      </c>
      <c r="E367" t="b">
        <f t="shared" si="120"/>
        <v>1</v>
      </c>
      <c r="F367">
        <f t="shared" si="121"/>
        <v>2.75858903</v>
      </c>
      <c r="G367">
        <f t="shared" si="122"/>
        <v>2.75858903</v>
      </c>
      <c r="H367">
        <f t="shared" si="123"/>
        <v>2.75858903</v>
      </c>
      <c r="I367">
        <f t="shared" si="124"/>
        <v>2.75858903</v>
      </c>
      <c r="J367">
        <f t="shared" si="125"/>
        <v>2.75858903</v>
      </c>
      <c r="L367">
        <f t="shared" si="126"/>
        <v>0</v>
      </c>
      <c r="M367">
        <f t="shared" si="127"/>
        <v>0</v>
      </c>
      <c r="N367">
        <f t="shared" si="128"/>
        <v>0</v>
      </c>
      <c r="O367">
        <f t="shared" si="129"/>
        <v>0</v>
      </c>
      <c r="P367">
        <f t="shared" si="130"/>
        <v>0</v>
      </c>
      <c r="Q367">
        <f t="shared" si="131"/>
        <v>0</v>
      </c>
      <c r="S367">
        <f t="shared" si="132"/>
        <v>0</v>
      </c>
      <c r="T367">
        <f t="shared" si="133"/>
        <v>0</v>
      </c>
      <c r="U367">
        <f t="shared" si="134"/>
        <v>0</v>
      </c>
      <c r="V367">
        <f t="shared" si="135"/>
        <v>0</v>
      </c>
      <c r="W367">
        <f t="shared" si="136"/>
        <v>0</v>
      </c>
      <c r="X367">
        <f t="shared" si="137"/>
        <v>0</v>
      </c>
      <c r="Z367">
        <f t="shared" si="138"/>
        <v>0</v>
      </c>
      <c r="AA367">
        <f t="shared" si="139"/>
        <v>0</v>
      </c>
      <c r="AB367">
        <f t="shared" si="140"/>
        <v>0</v>
      </c>
      <c r="AC367">
        <f t="shared" si="141"/>
        <v>0</v>
      </c>
      <c r="AD367">
        <f t="shared" si="142"/>
        <v>0</v>
      </c>
      <c r="AE367">
        <f t="shared" si="143"/>
        <v>0</v>
      </c>
    </row>
    <row r="368" spans="1:31" x14ac:dyDescent="0.25">
      <c r="A368">
        <v>37.216501450000003</v>
      </c>
      <c r="B368">
        <v>117.0788917</v>
      </c>
      <c r="C368">
        <v>0</v>
      </c>
      <c r="D368">
        <v>0.31732199</v>
      </c>
      <c r="E368" t="b">
        <f t="shared" si="120"/>
        <v>1</v>
      </c>
      <c r="F368">
        <f t="shared" si="121"/>
        <v>0.31732199</v>
      </c>
      <c r="G368">
        <f t="shared" si="122"/>
        <v>0.31732199</v>
      </c>
      <c r="H368">
        <f t="shared" si="123"/>
        <v>0.31732199</v>
      </c>
      <c r="I368">
        <f t="shared" si="124"/>
        <v>0.31732199</v>
      </c>
      <c r="J368">
        <f t="shared" si="125"/>
        <v>0.31732199</v>
      </c>
      <c r="L368">
        <f t="shared" si="126"/>
        <v>0</v>
      </c>
      <c r="M368">
        <f t="shared" si="127"/>
        <v>0</v>
      </c>
      <c r="N368">
        <f t="shared" si="128"/>
        <v>0</v>
      </c>
      <c r="O368">
        <f t="shared" si="129"/>
        <v>0</v>
      </c>
      <c r="P368">
        <f t="shared" si="130"/>
        <v>0</v>
      </c>
      <c r="Q368">
        <f t="shared" si="131"/>
        <v>0</v>
      </c>
      <c r="S368">
        <f t="shared" si="132"/>
        <v>0</v>
      </c>
      <c r="T368">
        <f t="shared" si="133"/>
        <v>0</v>
      </c>
      <c r="U368">
        <f t="shared" si="134"/>
        <v>0</v>
      </c>
      <c r="V368">
        <f t="shared" si="135"/>
        <v>0</v>
      </c>
      <c r="W368">
        <f t="shared" si="136"/>
        <v>0</v>
      </c>
      <c r="X368">
        <f t="shared" si="137"/>
        <v>0</v>
      </c>
      <c r="Z368">
        <f t="shared" si="138"/>
        <v>0</v>
      </c>
      <c r="AA368">
        <f t="shared" si="139"/>
        <v>0</v>
      </c>
      <c r="AB368">
        <f t="shared" si="140"/>
        <v>0</v>
      </c>
      <c r="AC368">
        <f t="shared" si="141"/>
        <v>0</v>
      </c>
      <c r="AD368">
        <f t="shared" si="142"/>
        <v>0</v>
      </c>
      <c r="AE368">
        <f t="shared" si="143"/>
        <v>0</v>
      </c>
    </row>
    <row r="369" spans="1:31" x14ac:dyDescent="0.25">
      <c r="A369">
        <v>37.221725220000003</v>
      </c>
      <c r="B369">
        <v>117.0218861</v>
      </c>
      <c r="C369">
        <v>0</v>
      </c>
      <c r="D369">
        <v>8.3825988799999998</v>
      </c>
      <c r="E369" t="b">
        <f t="shared" si="120"/>
        <v>1</v>
      </c>
      <c r="F369">
        <f t="shared" si="121"/>
        <v>8.3825988799999998</v>
      </c>
      <c r="G369">
        <f t="shared" si="122"/>
        <v>8.3825988799999998</v>
      </c>
      <c r="H369">
        <f t="shared" si="123"/>
        <v>8.3825988799999998</v>
      </c>
      <c r="I369">
        <f t="shared" si="124"/>
        <v>8.3825988799999998</v>
      </c>
      <c r="J369">
        <f t="shared" si="125"/>
        <v>8.3825988799999998</v>
      </c>
      <c r="L369">
        <f t="shared" si="126"/>
        <v>0</v>
      </c>
      <c r="M369">
        <f t="shared" si="127"/>
        <v>0</v>
      </c>
      <c r="N369">
        <f t="shared" si="128"/>
        <v>0</v>
      </c>
      <c r="O369">
        <f t="shared" si="129"/>
        <v>0</v>
      </c>
      <c r="P369">
        <f t="shared" si="130"/>
        <v>0</v>
      </c>
      <c r="Q369">
        <f t="shared" si="131"/>
        <v>0</v>
      </c>
      <c r="S369">
        <f t="shared" si="132"/>
        <v>0</v>
      </c>
      <c r="T369">
        <f t="shared" si="133"/>
        <v>0</v>
      </c>
      <c r="U369">
        <f t="shared" si="134"/>
        <v>0</v>
      </c>
      <c r="V369">
        <f t="shared" si="135"/>
        <v>0</v>
      </c>
      <c r="W369">
        <f t="shared" si="136"/>
        <v>0</v>
      </c>
      <c r="X369">
        <f t="shared" si="137"/>
        <v>0</v>
      </c>
      <c r="Z369">
        <f t="shared" si="138"/>
        <v>0</v>
      </c>
      <c r="AA369">
        <f t="shared" si="139"/>
        <v>0</v>
      </c>
      <c r="AB369">
        <f t="shared" si="140"/>
        <v>0</v>
      </c>
      <c r="AC369">
        <f t="shared" si="141"/>
        <v>0</v>
      </c>
      <c r="AD369">
        <f t="shared" si="142"/>
        <v>0</v>
      </c>
      <c r="AE369">
        <f t="shared" si="143"/>
        <v>0</v>
      </c>
    </row>
    <row r="370" spans="1:31" x14ac:dyDescent="0.25">
      <c r="A370">
        <v>37.226007299999999</v>
      </c>
      <c r="B370">
        <v>117.9471336</v>
      </c>
      <c r="C370">
        <v>150.00115969999999</v>
      </c>
      <c r="D370">
        <v>14.436474799999999</v>
      </c>
      <c r="E370" t="b">
        <f t="shared" si="120"/>
        <v>0</v>
      </c>
      <c r="F370">
        <f t="shared" si="121"/>
        <v>-735.56932369999993</v>
      </c>
      <c r="G370">
        <f t="shared" si="122"/>
        <v>-1485.5751221999999</v>
      </c>
      <c r="H370">
        <f t="shared" si="123"/>
        <v>-2235.5809207000002</v>
      </c>
      <c r="I370">
        <f t="shared" si="124"/>
        <v>-2985.5867192000001</v>
      </c>
      <c r="J370">
        <f t="shared" si="125"/>
        <v>-3735.5925176999999</v>
      </c>
      <c r="L370">
        <f t="shared" si="126"/>
        <v>27718031.616</v>
      </c>
      <c r="M370">
        <f t="shared" si="127"/>
        <v>-1191622304.3940001</v>
      </c>
      <c r="N370">
        <f t="shared" si="128"/>
        <v>-2050093668.6359997</v>
      </c>
      <c r="O370">
        <f t="shared" si="129"/>
        <v>-2280292539.1140003</v>
      </c>
      <c r="P370">
        <f t="shared" si="130"/>
        <v>-2746739781.664</v>
      </c>
      <c r="Q370">
        <f t="shared" si="131"/>
        <v>-2839050313.4519997</v>
      </c>
      <c r="S370">
        <f t="shared" si="132"/>
        <v>30316597.079999998</v>
      </c>
      <c r="T370">
        <f t="shared" si="133"/>
        <v>-1338736169.1339998</v>
      </c>
      <c r="U370">
        <f t="shared" si="134"/>
        <v>-2243218434.5219998</v>
      </c>
      <c r="V370">
        <f t="shared" si="135"/>
        <v>-2392071585.1490002</v>
      </c>
      <c r="W370">
        <f t="shared" si="136"/>
        <v>-3194577789.5439997</v>
      </c>
      <c r="X370">
        <f t="shared" si="137"/>
        <v>-3249965490.3989997</v>
      </c>
      <c r="Z370">
        <f t="shared" si="138"/>
        <v>32915162.544</v>
      </c>
      <c r="AA370">
        <f t="shared" si="139"/>
        <v>-1485850033.8739998</v>
      </c>
      <c r="AB370">
        <f t="shared" si="140"/>
        <v>-2436343200.408</v>
      </c>
      <c r="AC370">
        <f t="shared" si="141"/>
        <v>-3040390052.152</v>
      </c>
      <c r="AD370">
        <f t="shared" si="142"/>
        <v>-3642415797.4240003</v>
      </c>
      <c r="AE370">
        <f t="shared" si="143"/>
        <v>-3660880667.3459997</v>
      </c>
    </row>
    <row r="371" spans="1:31" x14ac:dyDescent="0.25">
      <c r="A371">
        <v>37.241342080000003</v>
      </c>
      <c r="B371">
        <v>118.7017319</v>
      </c>
      <c r="C371">
        <v>0</v>
      </c>
      <c r="D371">
        <v>11.66265488</v>
      </c>
      <c r="E371" t="b">
        <f t="shared" si="120"/>
        <v>1</v>
      </c>
      <c r="F371">
        <f t="shared" si="121"/>
        <v>11.66265488</v>
      </c>
      <c r="G371">
        <f t="shared" si="122"/>
        <v>11.66265488</v>
      </c>
      <c r="H371">
        <f t="shared" si="123"/>
        <v>11.66265488</v>
      </c>
      <c r="I371">
        <f t="shared" si="124"/>
        <v>11.66265488</v>
      </c>
      <c r="J371">
        <f t="shared" si="125"/>
        <v>11.66265488</v>
      </c>
      <c r="L371">
        <f t="shared" si="126"/>
        <v>0</v>
      </c>
      <c r="M371">
        <f t="shared" si="127"/>
        <v>0</v>
      </c>
      <c r="N371">
        <f t="shared" si="128"/>
        <v>0</v>
      </c>
      <c r="O371">
        <f t="shared" si="129"/>
        <v>0</v>
      </c>
      <c r="P371">
        <f t="shared" si="130"/>
        <v>0</v>
      </c>
      <c r="Q371">
        <f t="shared" si="131"/>
        <v>0</v>
      </c>
      <c r="S371">
        <f t="shared" si="132"/>
        <v>0</v>
      </c>
      <c r="T371">
        <f t="shared" si="133"/>
        <v>0</v>
      </c>
      <c r="U371">
        <f t="shared" si="134"/>
        <v>0</v>
      </c>
      <c r="V371">
        <f t="shared" si="135"/>
        <v>0</v>
      </c>
      <c r="W371">
        <f t="shared" si="136"/>
        <v>0</v>
      </c>
      <c r="X371">
        <f t="shared" si="137"/>
        <v>0</v>
      </c>
      <c r="Z371">
        <f t="shared" si="138"/>
        <v>0</v>
      </c>
      <c r="AA371">
        <f t="shared" si="139"/>
        <v>0</v>
      </c>
      <c r="AB371">
        <f t="shared" si="140"/>
        <v>0</v>
      </c>
      <c r="AC371">
        <f t="shared" si="141"/>
        <v>0</v>
      </c>
      <c r="AD371">
        <f t="shared" si="142"/>
        <v>0</v>
      </c>
      <c r="AE371">
        <f t="shared" si="143"/>
        <v>0</v>
      </c>
    </row>
    <row r="372" spans="1:31" x14ac:dyDescent="0.25">
      <c r="A372">
        <v>37.242966490000001</v>
      </c>
      <c r="B372">
        <v>118.2389969</v>
      </c>
      <c r="C372">
        <v>21.771209720000002</v>
      </c>
      <c r="D372">
        <v>7.0440378199999998</v>
      </c>
      <c r="E372" t="b">
        <f t="shared" si="120"/>
        <v>0</v>
      </c>
      <c r="F372">
        <f t="shared" si="121"/>
        <v>-101.81201078000001</v>
      </c>
      <c r="G372">
        <f t="shared" si="122"/>
        <v>-210.66805938000002</v>
      </c>
      <c r="H372">
        <f t="shared" si="123"/>
        <v>-319.52410798000005</v>
      </c>
      <c r="I372">
        <f t="shared" si="124"/>
        <v>-428.38015658000006</v>
      </c>
      <c r="J372">
        <f t="shared" si="125"/>
        <v>-537.23620518000007</v>
      </c>
      <c r="L372">
        <f t="shared" si="126"/>
        <v>13524552.614399999</v>
      </c>
      <c r="M372">
        <f t="shared" si="127"/>
        <v>-164935457.46360001</v>
      </c>
      <c r="N372">
        <f t="shared" si="128"/>
        <v>-290721921.94440001</v>
      </c>
      <c r="O372">
        <f t="shared" si="129"/>
        <v>-325914590.1396001</v>
      </c>
      <c r="P372">
        <f t="shared" si="130"/>
        <v>-394109744.05360001</v>
      </c>
      <c r="Q372">
        <f t="shared" si="131"/>
        <v>-408299515.93680006</v>
      </c>
      <c r="S372">
        <f t="shared" si="132"/>
        <v>14792479.421999998</v>
      </c>
      <c r="T372">
        <f t="shared" si="133"/>
        <v>-185297859.6196</v>
      </c>
      <c r="U372">
        <f t="shared" si="134"/>
        <v>-318108769.66380006</v>
      </c>
      <c r="V372">
        <f t="shared" si="135"/>
        <v>-341890795.53860003</v>
      </c>
      <c r="W372">
        <f t="shared" si="136"/>
        <v>-458366767.5406</v>
      </c>
      <c r="X372">
        <f t="shared" si="137"/>
        <v>-467395498.50660008</v>
      </c>
      <c r="Z372">
        <f t="shared" si="138"/>
        <v>16060406.229600001</v>
      </c>
      <c r="AA372">
        <f t="shared" si="139"/>
        <v>-205660261.77560002</v>
      </c>
      <c r="AB372">
        <f t="shared" si="140"/>
        <v>-345495617.38320005</v>
      </c>
      <c r="AC372">
        <f t="shared" si="141"/>
        <v>-434552786.85280007</v>
      </c>
      <c r="AD372">
        <f t="shared" si="142"/>
        <v>-522623791.02760005</v>
      </c>
      <c r="AE372">
        <f t="shared" si="143"/>
        <v>-526491481.07640004</v>
      </c>
    </row>
    <row r="373" spans="1:31" x14ac:dyDescent="0.25">
      <c r="A373">
        <v>37.261256289999999</v>
      </c>
      <c r="B373">
        <v>109.4263425</v>
      </c>
      <c r="C373">
        <v>3.0400650000000001E-2</v>
      </c>
      <c r="D373">
        <v>5.7981557800000001</v>
      </c>
      <c r="E373" t="b">
        <f t="shared" si="120"/>
        <v>1</v>
      </c>
      <c r="F373">
        <f t="shared" si="121"/>
        <v>5.6461525300000002</v>
      </c>
      <c r="G373">
        <f t="shared" si="122"/>
        <v>5.4941492800000002</v>
      </c>
      <c r="H373">
        <f t="shared" si="123"/>
        <v>5.3421460300000003</v>
      </c>
      <c r="I373">
        <f t="shared" si="124"/>
        <v>5.1901427800000004</v>
      </c>
      <c r="J373">
        <f t="shared" si="125"/>
        <v>5.0381395300000005</v>
      </c>
      <c r="L373">
        <f t="shared" si="126"/>
        <v>58369.248000000007</v>
      </c>
      <c r="M373">
        <f t="shared" si="127"/>
        <v>49249.053000000007</v>
      </c>
      <c r="N373">
        <f t="shared" si="128"/>
        <v>41952.896999999997</v>
      </c>
      <c r="O373">
        <f t="shared" si="129"/>
        <v>31008.663</v>
      </c>
      <c r="P373">
        <f t="shared" si="130"/>
        <v>27968.597999999998</v>
      </c>
      <c r="Q373">
        <f t="shared" si="131"/>
        <v>23104.494000000002</v>
      </c>
      <c r="S373">
        <f t="shared" si="132"/>
        <v>63841.365000000005</v>
      </c>
      <c r="T373">
        <f t="shared" si="133"/>
        <v>55329.183000000005</v>
      </c>
      <c r="U373">
        <f t="shared" si="134"/>
        <v>45904.981500000002</v>
      </c>
      <c r="V373">
        <f t="shared" si="135"/>
        <v>32528.695499999998</v>
      </c>
      <c r="W373">
        <f t="shared" si="136"/>
        <v>32528.695499999998</v>
      </c>
      <c r="X373">
        <f t="shared" si="137"/>
        <v>26448.565500000001</v>
      </c>
      <c r="Z373">
        <f t="shared" si="138"/>
        <v>69313.482000000004</v>
      </c>
      <c r="AA373">
        <f t="shared" si="139"/>
        <v>61409.313000000002</v>
      </c>
      <c r="AB373">
        <f t="shared" si="140"/>
        <v>49857.066000000006</v>
      </c>
      <c r="AC373">
        <f t="shared" si="141"/>
        <v>41344.883999999998</v>
      </c>
      <c r="AD373">
        <f t="shared" si="142"/>
        <v>37088.792999999998</v>
      </c>
      <c r="AE373">
        <f t="shared" si="143"/>
        <v>29792.637000000002</v>
      </c>
    </row>
    <row r="374" spans="1:31" x14ac:dyDescent="0.25">
      <c r="A374">
        <v>37.261950579999997</v>
      </c>
      <c r="B374">
        <v>106.6699655</v>
      </c>
      <c r="C374">
        <v>0</v>
      </c>
      <c r="D374">
        <v>9.3978999999999993E-2</v>
      </c>
      <c r="E374" t="b">
        <f t="shared" si="120"/>
        <v>1</v>
      </c>
      <c r="F374">
        <f t="shared" si="121"/>
        <v>9.3978999999999993E-2</v>
      </c>
      <c r="G374">
        <f t="shared" si="122"/>
        <v>9.3978999999999993E-2</v>
      </c>
      <c r="H374">
        <f t="shared" si="123"/>
        <v>9.3978999999999993E-2</v>
      </c>
      <c r="I374">
        <f t="shared" si="124"/>
        <v>9.3978999999999993E-2</v>
      </c>
      <c r="J374">
        <f t="shared" si="125"/>
        <v>9.3978999999999993E-2</v>
      </c>
      <c r="L374">
        <f t="shared" si="126"/>
        <v>0</v>
      </c>
      <c r="M374">
        <f t="shared" si="127"/>
        <v>0</v>
      </c>
      <c r="N374">
        <f t="shared" si="128"/>
        <v>0</v>
      </c>
      <c r="O374">
        <f t="shared" si="129"/>
        <v>0</v>
      </c>
      <c r="P374">
        <f t="shared" si="130"/>
        <v>0</v>
      </c>
      <c r="Q374">
        <f t="shared" si="131"/>
        <v>0</v>
      </c>
      <c r="S374">
        <f t="shared" si="132"/>
        <v>0</v>
      </c>
      <c r="T374">
        <f t="shared" si="133"/>
        <v>0</v>
      </c>
      <c r="U374">
        <f t="shared" si="134"/>
        <v>0</v>
      </c>
      <c r="V374">
        <f t="shared" si="135"/>
        <v>0</v>
      </c>
      <c r="W374">
        <f t="shared" si="136"/>
        <v>0</v>
      </c>
      <c r="X374">
        <f t="shared" si="137"/>
        <v>0</v>
      </c>
      <c r="Z374">
        <f t="shared" si="138"/>
        <v>0</v>
      </c>
      <c r="AA374">
        <f t="shared" si="139"/>
        <v>0</v>
      </c>
      <c r="AB374">
        <f t="shared" si="140"/>
        <v>0</v>
      </c>
      <c r="AC374">
        <f t="shared" si="141"/>
        <v>0</v>
      </c>
      <c r="AD374">
        <f t="shared" si="142"/>
        <v>0</v>
      </c>
      <c r="AE374">
        <f t="shared" si="143"/>
        <v>0</v>
      </c>
    </row>
    <row r="375" spans="1:31" x14ac:dyDescent="0.25">
      <c r="A375">
        <v>37.265128650000001</v>
      </c>
      <c r="B375">
        <v>118.47405240000001</v>
      </c>
      <c r="C375">
        <v>34.005298609999997</v>
      </c>
      <c r="D375">
        <v>8.0388326600000006</v>
      </c>
      <c r="E375" t="b">
        <f t="shared" si="120"/>
        <v>0</v>
      </c>
      <c r="F375">
        <f t="shared" si="121"/>
        <v>-161.98766039</v>
      </c>
      <c r="G375">
        <f t="shared" si="122"/>
        <v>-332.01415343999997</v>
      </c>
      <c r="H375">
        <f t="shared" si="123"/>
        <v>-502.04064648999992</v>
      </c>
      <c r="I375">
        <f t="shared" si="124"/>
        <v>-672.06713953999997</v>
      </c>
      <c r="J375">
        <f t="shared" si="125"/>
        <v>-842.09363258999986</v>
      </c>
      <c r="L375">
        <f t="shared" si="126"/>
        <v>15434558.707200004</v>
      </c>
      <c r="M375">
        <f t="shared" si="127"/>
        <v>-262420009.83180004</v>
      </c>
      <c r="N375">
        <f t="shared" si="128"/>
        <v>-458179531.74719995</v>
      </c>
      <c r="O375">
        <f t="shared" si="129"/>
        <v>-512081459.41979992</v>
      </c>
      <c r="P375">
        <f t="shared" si="130"/>
        <v>-618301768.37679994</v>
      </c>
      <c r="Q375">
        <f t="shared" si="131"/>
        <v>-639991160.76839995</v>
      </c>
      <c r="S375">
        <f t="shared" si="132"/>
        <v>16881548.586000003</v>
      </c>
      <c r="T375">
        <f t="shared" si="133"/>
        <v>-294817541.90980005</v>
      </c>
      <c r="U375">
        <f t="shared" si="134"/>
        <v>-501341371.69440001</v>
      </c>
      <c r="V375">
        <f t="shared" si="135"/>
        <v>-537183491.74429977</v>
      </c>
      <c r="W375">
        <f t="shared" si="136"/>
        <v>-719111839.30779982</v>
      </c>
      <c r="X375">
        <f t="shared" si="137"/>
        <v>-732621460.35329998</v>
      </c>
      <c r="Z375">
        <f t="shared" si="138"/>
        <v>18328538.464800004</v>
      </c>
      <c r="AA375">
        <f t="shared" si="139"/>
        <v>-327215073.98780006</v>
      </c>
      <c r="AB375">
        <f t="shared" si="140"/>
        <v>-544503211.64160001</v>
      </c>
      <c r="AC375">
        <f t="shared" si="141"/>
        <v>-682775279.22639978</v>
      </c>
      <c r="AD375">
        <f t="shared" si="142"/>
        <v>-819921910.23879993</v>
      </c>
      <c r="AE375">
        <f t="shared" si="143"/>
        <v>-825251759.93819988</v>
      </c>
    </row>
    <row r="376" spans="1:31" x14ac:dyDescent="0.25">
      <c r="A376">
        <v>37.270504410000001</v>
      </c>
      <c r="B376">
        <v>109.0820569</v>
      </c>
      <c r="C376">
        <v>2.8402893499999999</v>
      </c>
      <c r="D376">
        <v>3.1137549899999999</v>
      </c>
      <c r="E376" t="b">
        <f t="shared" si="120"/>
        <v>1</v>
      </c>
      <c r="F376">
        <f t="shared" si="121"/>
        <v>-11.087691759999998</v>
      </c>
      <c r="G376">
        <f t="shared" si="122"/>
        <v>-25.289138509999997</v>
      </c>
      <c r="H376">
        <f t="shared" si="123"/>
        <v>-39.490585260000003</v>
      </c>
      <c r="I376">
        <f t="shared" si="124"/>
        <v>-53.692032009999998</v>
      </c>
      <c r="J376">
        <f t="shared" si="125"/>
        <v>-67.893478759999994</v>
      </c>
      <c r="L376">
        <f t="shared" si="126"/>
        <v>5453355.5520000011</v>
      </c>
      <c r="M376">
        <f t="shared" si="127"/>
        <v>-17962060.651199996</v>
      </c>
      <c r="N376">
        <f t="shared" si="128"/>
        <v>-34899011.143799998</v>
      </c>
      <c r="O376">
        <f t="shared" si="129"/>
        <v>-40280396.965200007</v>
      </c>
      <c r="P376">
        <f t="shared" si="130"/>
        <v>-49396669.449199997</v>
      </c>
      <c r="Q376">
        <f t="shared" si="131"/>
        <v>-51599043.857599996</v>
      </c>
      <c r="S376">
        <f t="shared" si="132"/>
        <v>5964607.6350000007</v>
      </c>
      <c r="T376">
        <f t="shared" si="133"/>
        <v>-20179599.003199998</v>
      </c>
      <c r="U376">
        <f t="shared" si="134"/>
        <v>-38186599.1501</v>
      </c>
      <c r="V376">
        <f t="shared" si="135"/>
        <v>-42254926.228199996</v>
      </c>
      <c r="W376">
        <f t="shared" si="136"/>
        <v>-57450474.250699989</v>
      </c>
      <c r="X376">
        <f t="shared" si="137"/>
        <v>-59067326.521199994</v>
      </c>
      <c r="Z376">
        <f t="shared" si="138"/>
        <v>6475859.7180000013</v>
      </c>
      <c r="AA376">
        <f t="shared" si="139"/>
        <v>-22397137.355199996</v>
      </c>
      <c r="AB376">
        <f t="shared" si="140"/>
        <v>-41474187.156400003</v>
      </c>
      <c r="AC376">
        <f t="shared" si="141"/>
        <v>-53707195.953600004</v>
      </c>
      <c r="AD376">
        <f t="shared" si="142"/>
        <v>-65504279.052199997</v>
      </c>
      <c r="AE376">
        <f t="shared" si="143"/>
        <v>-66535609.184799992</v>
      </c>
    </row>
    <row r="377" spans="1:31" x14ac:dyDescent="0.25">
      <c r="A377">
        <v>37.277180739999999</v>
      </c>
      <c r="B377">
        <v>117.89721280000001</v>
      </c>
      <c r="C377">
        <v>18.32290459</v>
      </c>
      <c r="D377">
        <v>0.37897598999999998</v>
      </c>
      <c r="E377" t="b">
        <f t="shared" si="120"/>
        <v>0</v>
      </c>
      <c r="F377">
        <f t="shared" si="121"/>
        <v>-91.235546960000008</v>
      </c>
      <c r="G377">
        <f t="shared" si="122"/>
        <v>-182.85006991000003</v>
      </c>
      <c r="H377">
        <f t="shared" si="123"/>
        <v>-274.46459285999998</v>
      </c>
      <c r="I377">
        <f t="shared" si="124"/>
        <v>-366.07911581000002</v>
      </c>
      <c r="J377">
        <f t="shared" si="125"/>
        <v>-457.69363876</v>
      </c>
      <c r="L377">
        <f t="shared" si="126"/>
        <v>727633.90080000006</v>
      </c>
      <c r="M377">
        <f t="shared" si="127"/>
        <v>-147801586.07520002</v>
      </c>
      <c r="N377">
        <f t="shared" si="128"/>
        <v>-252333096.47580001</v>
      </c>
      <c r="O377">
        <f t="shared" si="129"/>
        <v>-279953884.71719998</v>
      </c>
      <c r="P377">
        <f t="shared" si="130"/>
        <v>-336792786.54519999</v>
      </c>
      <c r="Q377">
        <f t="shared" si="131"/>
        <v>-347847165.4576</v>
      </c>
      <c r="S377">
        <f t="shared" si="132"/>
        <v>795849.57900000003</v>
      </c>
      <c r="T377">
        <f t="shared" si="133"/>
        <v>-166048695.46720001</v>
      </c>
      <c r="U377">
        <f t="shared" si="134"/>
        <v>-276103605.56410003</v>
      </c>
      <c r="V377">
        <f t="shared" si="135"/>
        <v>-293677114.36019993</v>
      </c>
      <c r="W377">
        <f t="shared" si="136"/>
        <v>-391704653.91669995</v>
      </c>
      <c r="X377">
        <f t="shared" si="137"/>
        <v>-398193465.72119999</v>
      </c>
      <c r="Z377">
        <f t="shared" si="138"/>
        <v>864065.25720000011</v>
      </c>
      <c r="AA377">
        <f t="shared" si="139"/>
        <v>-184295804.85920003</v>
      </c>
      <c r="AB377">
        <f t="shared" si="140"/>
        <v>-299874114.65240008</v>
      </c>
      <c r="AC377">
        <f t="shared" si="141"/>
        <v>-373271846.2895999</v>
      </c>
      <c r="AD377">
        <f t="shared" si="142"/>
        <v>-446616521.28820002</v>
      </c>
      <c r="AE377">
        <f t="shared" si="143"/>
        <v>-448539765.98479998</v>
      </c>
    </row>
    <row r="378" spans="1:31" x14ac:dyDescent="0.25">
      <c r="A378">
        <v>37.288486949999999</v>
      </c>
      <c r="B378">
        <v>118.2462343</v>
      </c>
      <c r="C378">
        <v>21.771209720000002</v>
      </c>
      <c r="D378">
        <v>15.44776821</v>
      </c>
      <c r="E378" t="b">
        <f t="shared" si="120"/>
        <v>0</v>
      </c>
      <c r="F378">
        <f t="shared" si="121"/>
        <v>-93.408280390000016</v>
      </c>
      <c r="G378">
        <f t="shared" si="122"/>
        <v>-202.26432899000002</v>
      </c>
      <c r="H378">
        <f t="shared" si="123"/>
        <v>-311.12037759000003</v>
      </c>
      <c r="I378">
        <f t="shared" si="124"/>
        <v>-419.97642619000004</v>
      </c>
      <c r="J378">
        <f t="shared" si="125"/>
        <v>-528.83247478999999</v>
      </c>
      <c r="L378">
        <f t="shared" si="126"/>
        <v>29659714.963199999</v>
      </c>
      <c r="M378">
        <f t="shared" si="127"/>
        <v>-151321414.23180005</v>
      </c>
      <c r="N378">
        <f t="shared" si="128"/>
        <v>-279124774.00620002</v>
      </c>
      <c r="O378">
        <f t="shared" si="129"/>
        <v>-317342785.14180005</v>
      </c>
      <c r="P378">
        <f t="shared" si="130"/>
        <v>-386378312.0948</v>
      </c>
      <c r="Q378">
        <f t="shared" si="131"/>
        <v>-401912680.84040004</v>
      </c>
      <c r="S378">
        <f t="shared" si="132"/>
        <v>32440313.241</v>
      </c>
      <c r="T378">
        <f t="shared" si="133"/>
        <v>-170003070.30980003</v>
      </c>
      <c r="U378">
        <f t="shared" si="134"/>
        <v>-305419136.77490002</v>
      </c>
      <c r="V378">
        <f t="shared" si="135"/>
        <v>-332898804.02129996</v>
      </c>
      <c r="W378">
        <f t="shared" si="136"/>
        <v>-449374776.02329999</v>
      </c>
      <c r="X378">
        <f t="shared" si="137"/>
        <v>-460084253.06730002</v>
      </c>
      <c r="Z378">
        <f t="shared" si="138"/>
        <v>35220911.518800005</v>
      </c>
      <c r="AA378">
        <f t="shared" si="139"/>
        <v>-188684726.38780004</v>
      </c>
      <c r="AB378">
        <f t="shared" si="140"/>
        <v>-331713499.54360002</v>
      </c>
      <c r="AC378">
        <f t="shared" si="141"/>
        <v>-423123713.52240002</v>
      </c>
      <c r="AD378">
        <f t="shared" si="142"/>
        <v>-512371239.95180005</v>
      </c>
      <c r="AE378">
        <f t="shared" si="143"/>
        <v>-518255825.2942</v>
      </c>
    </row>
    <row r="379" spans="1:31" x14ac:dyDescent="0.25">
      <c r="A379">
        <v>37.305724400000003</v>
      </c>
      <c r="B379">
        <v>118.0752811</v>
      </c>
      <c r="C379">
        <v>150.00115969999999</v>
      </c>
      <c r="D379">
        <v>3.0393459799999998</v>
      </c>
      <c r="E379" t="b">
        <f t="shared" si="120"/>
        <v>0</v>
      </c>
      <c r="F379">
        <f t="shared" si="121"/>
        <v>-746.96645251999996</v>
      </c>
      <c r="G379">
        <f t="shared" si="122"/>
        <v>-1496.9722510199999</v>
      </c>
      <c r="H379">
        <f t="shared" si="123"/>
        <v>-2246.9780495200002</v>
      </c>
      <c r="I379">
        <f t="shared" si="124"/>
        <v>-2996.9838480200001</v>
      </c>
      <c r="J379">
        <f t="shared" si="125"/>
        <v>-3746.98964652</v>
      </c>
      <c r="L379">
        <f t="shared" si="126"/>
        <v>5835544.2816000003</v>
      </c>
      <c r="M379">
        <f t="shared" si="127"/>
        <v>-1210085653.0824001</v>
      </c>
      <c r="N379">
        <f t="shared" si="128"/>
        <v>-2065821706.4075999</v>
      </c>
      <c r="O379">
        <f t="shared" si="129"/>
        <v>-2291917610.5104003</v>
      </c>
      <c r="P379">
        <f t="shared" si="130"/>
        <v>-2757225140.1783996</v>
      </c>
      <c r="Q379">
        <f t="shared" si="131"/>
        <v>-2847712131.3551998</v>
      </c>
      <c r="S379">
        <f t="shared" si="132"/>
        <v>6382626.5580000002</v>
      </c>
      <c r="T379">
        <f t="shared" si="133"/>
        <v>-1359478943.5864</v>
      </c>
      <c r="U379">
        <f t="shared" si="134"/>
        <v>-2260428099.0401998</v>
      </c>
      <c r="V379">
        <f t="shared" si="135"/>
        <v>-2404266512.9864001</v>
      </c>
      <c r="W379">
        <f t="shared" si="136"/>
        <v>-3206772717.3813996</v>
      </c>
      <c r="X379">
        <f t="shared" si="137"/>
        <v>-3259880992.4724002</v>
      </c>
      <c r="Z379">
        <f t="shared" si="138"/>
        <v>6929708.834400001</v>
      </c>
      <c r="AA379">
        <f t="shared" si="139"/>
        <v>-1508872234.0904</v>
      </c>
      <c r="AB379">
        <f t="shared" si="140"/>
        <v>-2455034491.6728001</v>
      </c>
      <c r="AC379">
        <f t="shared" si="141"/>
        <v>-3055890147.3472004</v>
      </c>
      <c r="AD379">
        <f t="shared" si="142"/>
        <v>-3656320294.5843997</v>
      </c>
      <c r="AE379">
        <f t="shared" si="143"/>
        <v>-3672049853.5896001</v>
      </c>
    </row>
    <row r="380" spans="1:31" x14ac:dyDescent="0.25">
      <c r="A380">
        <v>37.32025788</v>
      </c>
      <c r="B380">
        <v>118.8306778</v>
      </c>
      <c r="C380">
        <v>34.005298609999997</v>
      </c>
      <c r="D380">
        <v>0.37020901000000001</v>
      </c>
      <c r="E380" t="b">
        <f t="shared" si="120"/>
        <v>0</v>
      </c>
      <c r="F380">
        <f t="shared" si="121"/>
        <v>-169.65628404</v>
      </c>
      <c r="G380">
        <f t="shared" si="122"/>
        <v>-339.68277709</v>
      </c>
      <c r="H380">
        <f t="shared" si="123"/>
        <v>-509.70927013999994</v>
      </c>
      <c r="I380">
        <f t="shared" si="124"/>
        <v>-679.73576318999994</v>
      </c>
      <c r="J380">
        <f t="shared" si="125"/>
        <v>-849.76225623999983</v>
      </c>
      <c r="L380">
        <f t="shared" si="126"/>
        <v>710801.29920000012</v>
      </c>
      <c r="M380">
        <f t="shared" si="127"/>
        <v>-274843180.14480001</v>
      </c>
      <c r="N380">
        <f t="shared" si="128"/>
        <v>-468762232.38419992</v>
      </c>
      <c r="O380">
        <f t="shared" si="129"/>
        <v>-519903455.54279995</v>
      </c>
      <c r="P380">
        <f t="shared" si="130"/>
        <v>-625356902.13479984</v>
      </c>
      <c r="Q380">
        <f t="shared" si="131"/>
        <v>-645819314.74239981</v>
      </c>
      <c r="S380">
        <f t="shared" si="132"/>
        <v>777438.92100000009</v>
      </c>
      <c r="T380">
        <f t="shared" si="133"/>
        <v>-308774436.95279998</v>
      </c>
      <c r="U380">
        <f t="shared" si="134"/>
        <v>-512920993.40589994</v>
      </c>
      <c r="V380">
        <f t="shared" si="135"/>
        <v>-545388919.0497998</v>
      </c>
      <c r="W380">
        <f t="shared" si="136"/>
        <v>-727317266.61329985</v>
      </c>
      <c r="X380">
        <f t="shared" si="137"/>
        <v>-739293162.92879975</v>
      </c>
      <c r="Z380">
        <f t="shared" si="138"/>
        <v>844076.54280000017</v>
      </c>
      <c r="AA380">
        <f t="shared" si="139"/>
        <v>-342705693.7608</v>
      </c>
      <c r="AB380">
        <f t="shared" si="140"/>
        <v>-557079754.42760003</v>
      </c>
      <c r="AC380">
        <f t="shared" si="141"/>
        <v>-693204607.39039981</v>
      </c>
      <c r="AD380">
        <f t="shared" si="142"/>
        <v>-829277631.09179986</v>
      </c>
      <c r="AE380">
        <f t="shared" si="143"/>
        <v>-832767011.1151998</v>
      </c>
    </row>
    <row r="381" spans="1:31" x14ac:dyDescent="0.25">
      <c r="A381">
        <v>37.320626730000001</v>
      </c>
      <c r="B381">
        <v>108.9116101</v>
      </c>
      <c r="C381">
        <v>2.8402893499999999</v>
      </c>
      <c r="D381">
        <v>3.2481150599999999</v>
      </c>
      <c r="E381" t="b">
        <f t="shared" si="120"/>
        <v>1</v>
      </c>
      <c r="F381">
        <f t="shared" si="121"/>
        <v>-10.953331689999999</v>
      </c>
      <c r="G381">
        <f t="shared" si="122"/>
        <v>-25.154778439999998</v>
      </c>
      <c r="H381">
        <f t="shared" si="123"/>
        <v>-39.356225190000004</v>
      </c>
      <c r="I381">
        <f t="shared" si="124"/>
        <v>-53.557671939999992</v>
      </c>
      <c r="J381">
        <f t="shared" si="125"/>
        <v>-67.759118689999994</v>
      </c>
      <c r="L381">
        <f t="shared" si="126"/>
        <v>5453355.5520000011</v>
      </c>
      <c r="M381">
        <f t="shared" si="127"/>
        <v>-17744397.3378</v>
      </c>
      <c r="N381">
        <f t="shared" si="128"/>
        <v>-34713594.247199997</v>
      </c>
      <c r="O381">
        <f t="shared" si="129"/>
        <v>-40143349.693800002</v>
      </c>
      <c r="P381">
        <f t="shared" si="130"/>
        <v>-49273058.184799984</v>
      </c>
      <c r="Q381">
        <f t="shared" si="131"/>
        <v>-51496930.204399996</v>
      </c>
      <c r="S381">
        <f t="shared" si="132"/>
        <v>5964607.6350000007</v>
      </c>
      <c r="T381">
        <f t="shared" si="133"/>
        <v>-19935063.675799999</v>
      </c>
      <c r="U381">
        <f t="shared" si="134"/>
        <v>-37983715.444399998</v>
      </c>
      <c r="V381">
        <f t="shared" si="135"/>
        <v>-42111160.953299999</v>
      </c>
      <c r="W381">
        <f t="shared" si="136"/>
        <v>-57306708.975799978</v>
      </c>
      <c r="X381">
        <f t="shared" si="137"/>
        <v>-58950433.260299996</v>
      </c>
      <c r="Z381">
        <f t="shared" si="138"/>
        <v>6475859.7180000013</v>
      </c>
      <c r="AA381">
        <f t="shared" si="139"/>
        <v>-22125730.013799999</v>
      </c>
      <c r="AB381">
        <f t="shared" si="140"/>
        <v>-41253836.641599998</v>
      </c>
      <c r="AC381">
        <f t="shared" si="141"/>
        <v>-53524466.258400001</v>
      </c>
      <c r="AD381">
        <f t="shared" si="142"/>
        <v>-65340359.766799986</v>
      </c>
      <c r="AE381">
        <f t="shared" si="143"/>
        <v>-66403936.316199996</v>
      </c>
    </row>
    <row r="382" spans="1:31" x14ac:dyDescent="0.25">
      <c r="A382">
        <v>37.328203289999998</v>
      </c>
      <c r="B382">
        <v>118.31048060000001</v>
      </c>
      <c r="C382">
        <v>34.005298609999997</v>
      </c>
      <c r="D382">
        <v>16.85540962</v>
      </c>
      <c r="E382" t="b">
        <f t="shared" si="120"/>
        <v>0</v>
      </c>
      <c r="F382">
        <f t="shared" si="121"/>
        <v>-153.17108343000001</v>
      </c>
      <c r="G382">
        <f t="shared" si="122"/>
        <v>-323.19757648000001</v>
      </c>
      <c r="H382">
        <f t="shared" si="123"/>
        <v>-493.22406952999995</v>
      </c>
      <c r="I382">
        <f t="shared" si="124"/>
        <v>-663.25056257999995</v>
      </c>
      <c r="J382">
        <f t="shared" si="125"/>
        <v>-833.27705562999984</v>
      </c>
      <c r="L382">
        <f t="shared" si="126"/>
        <v>32362386.470400006</v>
      </c>
      <c r="M382">
        <f t="shared" si="127"/>
        <v>-248137155.15660003</v>
      </c>
      <c r="N382">
        <f t="shared" si="128"/>
        <v>-446012655.5424</v>
      </c>
      <c r="O382">
        <f t="shared" si="129"/>
        <v>-503088550.9206</v>
      </c>
      <c r="P382">
        <f t="shared" si="130"/>
        <v>-610190517.57359993</v>
      </c>
      <c r="Q382">
        <f t="shared" si="131"/>
        <v>-633290562.27879989</v>
      </c>
      <c r="S382">
        <f t="shared" si="132"/>
        <v>35396360.202000007</v>
      </c>
      <c r="T382">
        <f t="shared" si="133"/>
        <v>-278771371.84260005</v>
      </c>
      <c r="U382">
        <f t="shared" si="134"/>
        <v>-488028340.48480004</v>
      </c>
      <c r="V382">
        <f t="shared" si="135"/>
        <v>-527749754.39709991</v>
      </c>
      <c r="W382">
        <f t="shared" si="136"/>
        <v>-709678101.96059978</v>
      </c>
      <c r="X382">
        <f t="shared" si="137"/>
        <v>-724951038.3980999</v>
      </c>
      <c r="Z382">
        <f t="shared" si="138"/>
        <v>38430333.933600008</v>
      </c>
      <c r="AA382">
        <f t="shared" si="139"/>
        <v>-309405588.52860004</v>
      </c>
      <c r="AB382">
        <f t="shared" si="140"/>
        <v>-530044025.42720008</v>
      </c>
      <c r="AC382">
        <f t="shared" si="141"/>
        <v>-670784734.56079996</v>
      </c>
      <c r="AD382">
        <f t="shared" si="142"/>
        <v>-809165686.34759986</v>
      </c>
      <c r="AE382">
        <f t="shared" si="143"/>
        <v>-816611514.51739991</v>
      </c>
    </row>
    <row r="383" spans="1:31" x14ac:dyDescent="0.25">
      <c r="A383">
        <v>37.350225600000002</v>
      </c>
      <c r="B383">
        <v>118.5458155</v>
      </c>
      <c r="C383">
        <v>34.005298609999997</v>
      </c>
      <c r="D383">
        <v>3.84434509</v>
      </c>
      <c r="E383" t="b">
        <f t="shared" si="120"/>
        <v>0</v>
      </c>
      <c r="F383">
        <f t="shared" si="121"/>
        <v>-166.18214796000001</v>
      </c>
      <c r="G383">
        <f t="shared" si="122"/>
        <v>-336.20864101000001</v>
      </c>
      <c r="H383">
        <f t="shared" si="123"/>
        <v>-506.23513405999995</v>
      </c>
      <c r="I383">
        <f t="shared" si="124"/>
        <v>-676.26162710999995</v>
      </c>
      <c r="J383">
        <f t="shared" si="125"/>
        <v>-846.28812015999983</v>
      </c>
      <c r="L383">
        <f t="shared" si="126"/>
        <v>7381142.5728000002</v>
      </c>
      <c r="M383">
        <f t="shared" si="127"/>
        <v>-269215079.69520003</v>
      </c>
      <c r="N383">
        <f t="shared" si="128"/>
        <v>-463967924.59379995</v>
      </c>
      <c r="O383">
        <f t="shared" si="129"/>
        <v>-516359836.74119997</v>
      </c>
      <c r="P383">
        <f t="shared" si="130"/>
        <v>-622160696.9411999</v>
      </c>
      <c r="Q383">
        <f t="shared" si="131"/>
        <v>-643178971.32159984</v>
      </c>
      <c r="S383">
        <f t="shared" si="132"/>
        <v>8073124.6890000002</v>
      </c>
      <c r="T383">
        <f t="shared" si="133"/>
        <v>-302451509.28720003</v>
      </c>
      <c r="U383">
        <f t="shared" si="134"/>
        <v>-507675047.92509997</v>
      </c>
      <c r="V383">
        <f t="shared" si="135"/>
        <v>-541671593.4441998</v>
      </c>
      <c r="W383">
        <f t="shared" si="136"/>
        <v>-723599941.00769973</v>
      </c>
      <c r="X383">
        <f t="shared" si="137"/>
        <v>-736270664.53919983</v>
      </c>
      <c r="Z383">
        <f t="shared" si="138"/>
        <v>8765106.8052000012</v>
      </c>
      <c r="AA383">
        <f t="shared" si="139"/>
        <v>-335687938.87920004</v>
      </c>
      <c r="AB383">
        <f t="shared" si="140"/>
        <v>-551382171.25639999</v>
      </c>
      <c r="AC383">
        <f t="shared" si="141"/>
        <v>-688479782.32159984</v>
      </c>
      <c r="AD383">
        <f t="shared" si="142"/>
        <v>-825039185.0741998</v>
      </c>
      <c r="AE383">
        <f t="shared" si="143"/>
        <v>-829362357.75679982</v>
      </c>
    </row>
    <row r="384" spans="1:31" x14ac:dyDescent="0.25">
      <c r="A384">
        <v>37.362617229999998</v>
      </c>
      <c r="B384">
        <v>117.968351</v>
      </c>
      <c r="C384">
        <v>150.00115969999999</v>
      </c>
      <c r="D384">
        <v>6.3215909000000003</v>
      </c>
      <c r="E384" t="b">
        <f t="shared" si="120"/>
        <v>0</v>
      </c>
      <c r="F384">
        <f t="shared" si="121"/>
        <v>-743.68420759999992</v>
      </c>
      <c r="G384">
        <f t="shared" si="122"/>
        <v>-1493.6900060999999</v>
      </c>
      <c r="H384">
        <f t="shared" si="123"/>
        <v>-2243.6958046</v>
      </c>
      <c r="I384">
        <f t="shared" si="124"/>
        <v>-2993.7016030999998</v>
      </c>
      <c r="J384">
        <f t="shared" si="125"/>
        <v>-3743.7074015999997</v>
      </c>
      <c r="L384">
        <f t="shared" si="126"/>
        <v>12137454.528000001</v>
      </c>
      <c r="M384">
        <f t="shared" si="127"/>
        <v>-1204768416.312</v>
      </c>
      <c r="N384">
        <f t="shared" si="128"/>
        <v>-2061292208.4179997</v>
      </c>
      <c r="O384">
        <f t="shared" si="129"/>
        <v>-2288569720.6919999</v>
      </c>
      <c r="P384">
        <f t="shared" si="130"/>
        <v>-2754205474.8519998</v>
      </c>
      <c r="Q384">
        <f t="shared" si="131"/>
        <v>-2845217625.2160001</v>
      </c>
      <c r="S384">
        <f t="shared" si="132"/>
        <v>13275340.890000001</v>
      </c>
      <c r="T384">
        <f t="shared" si="133"/>
        <v>-1353505257.8319998</v>
      </c>
      <c r="U384">
        <f t="shared" si="134"/>
        <v>-2255471909.211</v>
      </c>
      <c r="V384">
        <f t="shared" si="135"/>
        <v>-2400754510.9219995</v>
      </c>
      <c r="W384">
        <f t="shared" si="136"/>
        <v>-3203260715.3169994</v>
      </c>
      <c r="X384">
        <f t="shared" si="137"/>
        <v>-3257025439.3919997</v>
      </c>
      <c r="Z384">
        <f t="shared" si="138"/>
        <v>14413227.252000002</v>
      </c>
      <c r="AA384">
        <f t="shared" si="139"/>
        <v>-1502242099.3519998</v>
      </c>
      <c r="AB384">
        <f t="shared" si="140"/>
        <v>-2449651610.0040002</v>
      </c>
      <c r="AC384">
        <f t="shared" si="141"/>
        <v>-3051426294.2559996</v>
      </c>
      <c r="AD384">
        <f t="shared" si="142"/>
        <v>-3652315955.7819996</v>
      </c>
      <c r="AE384">
        <f t="shared" si="143"/>
        <v>-3668833253.5679998</v>
      </c>
    </row>
    <row r="385" spans="1:31" x14ac:dyDescent="0.25">
      <c r="A385">
        <v>37.365740430000002</v>
      </c>
      <c r="B385">
        <v>118.8382707</v>
      </c>
      <c r="C385">
        <v>34.005298609999997</v>
      </c>
      <c r="D385">
        <v>0.21855300999999999</v>
      </c>
      <c r="E385" t="b">
        <f t="shared" si="120"/>
        <v>0</v>
      </c>
      <c r="F385">
        <f t="shared" si="121"/>
        <v>-169.80794004000001</v>
      </c>
      <c r="G385">
        <f t="shared" si="122"/>
        <v>-339.83443309</v>
      </c>
      <c r="H385">
        <f t="shared" si="123"/>
        <v>-509.86092613999995</v>
      </c>
      <c r="I385">
        <f t="shared" si="124"/>
        <v>-679.88741918999995</v>
      </c>
      <c r="J385">
        <f t="shared" si="125"/>
        <v>-849.91391223999983</v>
      </c>
      <c r="L385">
        <f t="shared" si="126"/>
        <v>419621.77919999999</v>
      </c>
      <c r="M385">
        <f t="shared" si="127"/>
        <v>-275088862.86479998</v>
      </c>
      <c r="N385">
        <f t="shared" si="128"/>
        <v>-468971517.66420001</v>
      </c>
      <c r="O385">
        <f t="shared" si="129"/>
        <v>-520058144.66279995</v>
      </c>
      <c r="P385">
        <f t="shared" si="130"/>
        <v>-625496425.65479994</v>
      </c>
      <c r="Q385">
        <f t="shared" si="131"/>
        <v>-645934573.30239987</v>
      </c>
      <c r="S385">
        <f t="shared" si="132"/>
        <v>458961.321</v>
      </c>
      <c r="T385">
        <f t="shared" si="133"/>
        <v>-309050450.87279999</v>
      </c>
      <c r="U385">
        <f t="shared" si="134"/>
        <v>-513149993.96590006</v>
      </c>
      <c r="V385">
        <f t="shared" si="135"/>
        <v>-545551190.96979988</v>
      </c>
      <c r="W385">
        <f t="shared" si="136"/>
        <v>-727479538.5332998</v>
      </c>
      <c r="X385">
        <f t="shared" si="137"/>
        <v>-739425103.6487999</v>
      </c>
      <c r="Z385">
        <f t="shared" si="138"/>
        <v>498300.8628</v>
      </c>
      <c r="AA385">
        <f t="shared" si="139"/>
        <v>-343012038.88080001</v>
      </c>
      <c r="AB385">
        <f t="shared" si="140"/>
        <v>-557328470.26760006</v>
      </c>
      <c r="AC385">
        <f t="shared" si="141"/>
        <v>-693410859.55039978</v>
      </c>
      <c r="AD385">
        <f t="shared" si="142"/>
        <v>-829462651.41179991</v>
      </c>
      <c r="AE385">
        <f t="shared" si="143"/>
        <v>-832915633.99519992</v>
      </c>
    </row>
    <row r="386" spans="1:31" x14ac:dyDescent="0.25">
      <c r="A386">
        <v>37.369196100000003</v>
      </c>
      <c r="B386">
        <v>108.7984099</v>
      </c>
      <c r="C386">
        <v>2.8402893499999999</v>
      </c>
      <c r="D386">
        <v>1.18485296</v>
      </c>
      <c r="E386" t="b">
        <f t="shared" si="120"/>
        <v>0</v>
      </c>
      <c r="F386">
        <f t="shared" si="121"/>
        <v>-13.016593789999998</v>
      </c>
      <c r="G386">
        <f t="shared" si="122"/>
        <v>-27.218040539999997</v>
      </c>
      <c r="H386">
        <f t="shared" si="123"/>
        <v>-41.419487289999999</v>
      </c>
      <c r="I386">
        <f t="shared" si="124"/>
        <v>-55.620934039999995</v>
      </c>
      <c r="J386">
        <f t="shared" si="125"/>
        <v>-69.822380789999997</v>
      </c>
      <c r="L386">
        <f t="shared" si="126"/>
        <v>2274917.6832000003</v>
      </c>
      <c r="M386">
        <f t="shared" si="127"/>
        <v>-21086881.939799998</v>
      </c>
      <c r="N386">
        <f t="shared" si="128"/>
        <v>-37560895.945199989</v>
      </c>
      <c r="O386">
        <f t="shared" si="129"/>
        <v>-42247877.035800003</v>
      </c>
      <c r="P386">
        <f t="shared" si="130"/>
        <v>-51171259.316799991</v>
      </c>
      <c r="Q386">
        <f t="shared" si="131"/>
        <v>-53065009.400399998</v>
      </c>
      <c r="S386">
        <f t="shared" si="132"/>
        <v>2488191.216</v>
      </c>
      <c r="T386">
        <f t="shared" si="133"/>
        <v>-23690200.697799996</v>
      </c>
      <c r="U386">
        <f t="shared" si="134"/>
        <v>-41099241.215399995</v>
      </c>
      <c r="V386">
        <f t="shared" si="135"/>
        <v>-44318851.400299996</v>
      </c>
      <c r="W386">
        <f t="shared" si="136"/>
        <v>-59514399.422799982</v>
      </c>
      <c r="X386">
        <f t="shared" si="137"/>
        <v>-60745471.287299991</v>
      </c>
      <c r="Z386">
        <f t="shared" si="138"/>
        <v>2701464.7488000002</v>
      </c>
      <c r="AA386">
        <f t="shared" si="139"/>
        <v>-26293519.455799993</v>
      </c>
      <c r="AB386">
        <f t="shared" si="140"/>
        <v>-44637586.485599995</v>
      </c>
      <c r="AC386">
        <f t="shared" si="141"/>
        <v>-56330502.714399993</v>
      </c>
      <c r="AD386">
        <f t="shared" si="142"/>
        <v>-67857539.528799996</v>
      </c>
      <c r="AE386">
        <f t="shared" si="143"/>
        <v>-68425933.174199983</v>
      </c>
    </row>
    <row r="387" spans="1:31" x14ac:dyDescent="0.25">
      <c r="A387">
        <v>37.379462019999998</v>
      </c>
      <c r="B387">
        <v>117.79717309999999</v>
      </c>
      <c r="C387">
        <v>9.6543779399999998</v>
      </c>
      <c r="D387">
        <v>2.6311309299999999</v>
      </c>
      <c r="E387" t="b">
        <f t="shared" ref="E387:E450" si="144">D387&gt;C387</f>
        <v>0</v>
      </c>
      <c r="F387">
        <f t="shared" ref="F387:F450" si="145">D387-(C387*(2030-2025))</f>
        <v>-45.640758770000005</v>
      </c>
      <c r="G387">
        <f t="shared" ref="G387:G450" si="146">D387-(C387*(2035-2025))</f>
        <v>-93.912648470000008</v>
      </c>
      <c r="H387">
        <f t="shared" ref="H387:H450" si="147">D387-(C387*(2040-2025))</f>
        <v>-142.18453817</v>
      </c>
      <c r="I387">
        <f t="shared" ref="I387:I450" si="148">D387-(C387*(2045-2025))</f>
        <v>-190.45642787</v>
      </c>
      <c r="J387">
        <f t="shared" ref="J387:J450" si="149">D387-(C387*(2050-2025))</f>
        <v>-238.72831756999997</v>
      </c>
      <c r="L387">
        <f t="shared" ref="L387:L450" si="150">MIN(C387,D387)*1000000*((280/250)+0.8)</f>
        <v>5051771.3855999997</v>
      </c>
      <c r="M387">
        <f t="shared" ref="M387:M450" si="151">MIN(F387,C387)*1000000*((230/250)+0.7)</f>
        <v>-73938029.207400009</v>
      </c>
      <c r="N387">
        <f t="shared" ref="N387:N450" si="152">MIN(G387,C387)*1000000*((195/250)+0.6)</f>
        <v>-129599454.88860001</v>
      </c>
      <c r="O387">
        <f t="shared" ref="O387:O450" si="153">MIN(H387,C387)*1000000*((130/250)+0.5)</f>
        <v>-145028228.93339998</v>
      </c>
      <c r="P387">
        <f t="shared" ref="P387:P450" si="154">MIN(I387,C387)*1000000*((105/250)+0.5)</f>
        <v>-175219913.64039999</v>
      </c>
      <c r="Q387">
        <f t="shared" ref="Q387:Q450" si="155">MIN(J387,C387)*1000000*((90/250)+0.4)</f>
        <v>-181433521.35319999</v>
      </c>
      <c r="S387">
        <f t="shared" ref="S387:S450" si="156">MIN(C387,D387)*1000000*((325/250)+0.8)</f>
        <v>5525374.9529999997</v>
      </c>
      <c r="T387">
        <f t="shared" ref="T387:T450" si="157">MIN(F387,C387)*1000000*((280/250)+0.7)</f>
        <v>-83066180.961400002</v>
      </c>
      <c r="U387">
        <f t="shared" ref="U387:U450" si="158">MIN(G387,C387)*1000000*((227.5/250)+0.6)</f>
        <v>-141808099.18970001</v>
      </c>
      <c r="V387">
        <f t="shared" ref="V387:V450" si="159">MIN(H387,C387)*1000000*((142.5/250)+0.5)</f>
        <v>-152137455.84189996</v>
      </c>
      <c r="W387">
        <f t="shared" ref="W387:W450" si="160">MIN(I387,C387)*1000000*((142.5/250)+0.5)</f>
        <v>-203788377.82089996</v>
      </c>
      <c r="X387">
        <f t="shared" ref="X387:X450" si="161">MIN(J387,C387)*1000000*( (117.5/250)+0.4)</f>
        <v>-207693636.28589997</v>
      </c>
      <c r="Z387">
        <f t="shared" ref="Z387:Z450" si="162">MIN(C387,D387)*1000000*((370/250)+0.8)</f>
        <v>5998978.5203999998</v>
      </c>
      <c r="AA387">
        <f t="shared" ref="AA387:AA450" si="163">MIN(C387,F387)*1000000*((330/250)+0.7)</f>
        <v>-92194332.71540001</v>
      </c>
      <c r="AB387">
        <f t="shared" ref="AB387:AB450" si="164">MIN(C387,G387)*1000000*((260/250)+0.6)</f>
        <v>-154016743.49080002</v>
      </c>
      <c r="AC387">
        <f t="shared" ref="AC387:AC450" si="165">MIN(C387,H387)*1000000*((215/250)+0.5)</f>
        <v>-193370971.91119996</v>
      </c>
      <c r="AD387">
        <f t="shared" ref="AD387:AD450" si="166">MIN(C387,I387)*1000000*((180/250)+0.5)</f>
        <v>-232356842.00139999</v>
      </c>
      <c r="AE387">
        <f t="shared" ref="AE387:AE450" si="167">MIN(C387,J387)*1000000*((145/250)+0.4)</f>
        <v>-233953751.21859995</v>
      </c>
    </row>
    <row r="388" spans="1:31" x14ac:dyDescent="0.25">
      <c r="A388">
        <v>37.386016009999999</v>
      </c>
      <c r="B388">
        <v>107.9362203</v>
      </c>
      <c r="C388">
        <v>1.38540113</v>
      </c>
      <c r="D388">
        <v>11.823537829999999</v>
      </c>
      <c r="E388" t="b">
        <f t="shared" si="144"/>
        <v>1</v>
      </c>
      <c r="F388">
        <f t="shared" si="145"/>
        <v>4.8965321799999995</v>
      </c>
      <c r="G388">
        <f t="shared" si="146"/>
        <v>-2.0304734700000004</v>
      </c>
      <c r="H388">
        <f t="shared" si="147"/>
        <v>-8.9574791200000021</v>
      </c>
      <c r="I388">
        <f t="shared" si="148"/>
        <v>-15.88448477</v>
      </c>
      <c r="J388">
        <f t="shared" si="149"/>
        <v>-22.811490419999998</v>
      </c>
      <c r="L388">
        <f t="shared" si="150"/>
        <v>2659970.1696000001</v>
      </c>
      <c r="M388">
        <f t="shared" si="151"/>
        <v>2244349.8306</v>
      </c>
      <c r="N388">
        <f t="shared" si="152"/>
        <v>-2802053.3886000002</v>
      </c>
      <c r="O388">
        <f t="shared" si="153"/>
        <v>-9136628.7024000026</v>
      </c>
      <c r="P388">
        <f t="shared" si="154"/>
        <v>-14613725.988399999</v>
      </c>
      <c r="Q388">
        <f t="shared" si="155"/>
        <v>-17336732.7192</v>
      </c>
      <c r="S388">
        <f t="shared" si="156"/>
        <v>2909342.3729999997</v>
      </c>
      <c r="T388">
        <f t="shared" si="157"/>
        <v>2521430.0565999998</v>
      </c>
      <c r="U388">
        <f t="shared" si="158"/>
        <v>-3066014.9397000005</v>
      </c>
      <c r="V388">
        <f t="shared" si="159"/>
        <v>-9584502.658400001</v>
      </c>
      <c r="W388">
        <f t="shared" si="160"/>
        <v>-16996398.703899998</v>
      </c>
      <c r="X388">
        <f t="shared" si="161"/>
        <v>-19845996.665399998</v>
      </c>
      <c r="Z388">
        <f t="shared" si="162"/>
        <v>3158714.5764000001</v>
      </c>
      <c r="AA388">
        <f t="shared" si="163"/>
        <v>2798510.2825999996</v>
      </c>
      <c r="AB388">
        <f t="shared" si="164"/>
        <v>-3329976.4908000012</v>
      </c>
      <c r="AC388">
        <f t="shared" si="165"/>
        <v>-12182171.603200004</v>
      </c>
      <c r="AD388">
        <f t="shared" si="166"/>
        <v>-19379071.419399999</v>
      </c>
      <c r="AE388">
        <f t="shared" si="167"/>
        <v>-22355260.611599997</v>
      </c>
    </row>
    <row r="389" spans="1:31" x14ac:dyDescent="0.25">
      <c r="A389">
        <v>37.3957251</v>
      </c>
      <c r="B389">
        <v>118.5532436</v>
      </c>
      <c r="C389">
        <v>34.005298609999997</v>
      </c>
      <c r="D389">
        <v>12.07094288</v>
      </c>
      <c r="E389" t="b">
        <f t="shared" si="144"/>
        <v>0</v>
      </c>
      <c r="F389">
        <f t="shared" si="145"/>
        <v>-157.95555017000001</v>
      </c>
      <c r="G389">
        <f t="shared" si="146"/>
        <v>-327.98204321999998</v>
      </c>
      <c r="H389">
        <f t="shared" si="147"/>
        <v>-498.00853626999992</v>
      </c>
      <c r="I389">
        <f t="shared" si="148"/>
        <v>-668.03502932000004</v>
      </c>
      <c r="J389">
        <f t="shared" si="149"/>
        <v>-838.06152236999992</v>
      </c>
      <c r="L389">
        <f t="shared" si="150"/>
        <v>23176210.329600003</v>
      </c>
      <c r="M389">
        <f t="shared" si="151"/>
        <v>-255887991.27540004</v>
      </c>
      <c r="N389">
        <f t="shared" si="152"/>
        <v>-452615219.64359993</v>
      </c>
      <c r="O389">
        <f t="shared" si="153"/>
        <v>-507968706.99539995</v>
      </c>
      <c r="P389">
        <f t="shared" si="154"/>
        <v>-614592226.97440004</v>
      </c>
      <c r="Q389">
        <f t="shared" si="155"/>
        <v>-636926757.00119996</v>
      </c>
      <c r="S389">
        <f t="shared" si="156"/>
        <v>25348980.048000004</v>
      </c>
      <c r="T389">
        <f t="shared" si="157"/>
        <v>-287479101.30940002</v>
      </c>
      <c r="U389">
        <f t="shared" si="158"/>
        <v>-495252885.26219994</v>
      </c>
      <c r="V389">
        <f t="shared" si="159"/>
        <v>-532869133.80889982</v>
      </c>
      <c r="W389">
        <f t="shared" si="160"/>
        <v>-714797481.37239993</v>
      </c>
      <c r="X389">
        <f t="shared" si="161"/>
        <v>-729113524.46189988</v>
      </c>
      <c r="Z389">
        <f t="shared" si="162"/>
        <v>27521749.766400006</v>
      </c>
      <c r="AA389">
        <f t="shared" si="163"/>
        <v>-319070211.34340006</v>
      </c>
      <c r="AB389">
        <f t="shared" si="164"/>
        <v>-537890550.88080001</v>
      </c>
      <c r="AC389">
        <f t="shared" si="165"/>
        <v>-677291609.32719982</v>
      </c>
      <c r="AD389">
        <f t="shared" si="166"/>
        <v>-815002735.77040005</v>
      </c>
      <c r="AE389">
        <f t="shared" si="167"/>
        <v>-821300291.92259991</v>
      </c>
    </row>
    <row r="390" spans="1:31" x14ac:dyDescent="0.25">
      <c r="A390">
        <v>37.397672239999999</v>
      </c>
      <c r="B390">
        <v>106.95870840000001</v>
      </c>
      <c r="C390">
        <v>2.6882860700000002</v>
      </c>
      <c r="D390">
        <v>0.42500000999999998</v>
      </c>
      <c r="E390" t="b">
        <f t="shared" si="144"/>
        <v>0</v>
      </c>
      <c r="F390">
        <f t="shared" si="145"/>
        <v>-13.016430340000001</v>
      </c>
      <c r="G390">
        <f t="shared" si="146"/>
        <v>-26.45786069</v>
      </c>
      <c r="H390">
        <f t="shared" si="147"/>
        <v>-39.899291040000001</v>
      </c>
      <c r="I390">
        <f t="shared" si="148"/>
        <v>-53.340721390000006</v>
      </c>
      <c r="J390">
        <f t="shared" si="149"/>
        <v>-66.782151740000003</v>
      </c>
      <c r="L390">
        <f t="shared" si="150"/>
        <v>816000.0192000001</v>
      </c>
      <c r="M390">
        <f t="shared" si="151"/>
        <v>-21086617.150800005</v>
      </c>
      <c r="N390">
        <f t="shared" si="152"/>
        <v>-36511847.7522</v>
      </c>
      <c r="O390">
        <f t="shared" si="153"/>
        <v>-40697276.860799998</v>
      </c>
      <c r="P390">
        <f t="shared" si="154"/>
        <v>-49073463.678800002</v>
      </c>
      <c r="Q390">
        <f t="shared" si="155"/>
        <v>-50754435.322400004</v>
      </c>
      <c r="S390">
        <f t="shared" si="156"/>
        <v>892500.02100000007</v>
      </c>
      <c r="T390">
        <f t="shared" si="157"/>
        <v>-23689903.218800005</v>
      </c>
      <c r="U390">
        <f t="shared" si="158"/>
        <v>-39951369.641900003</v>
      </c>
      <c r="V390">
        <f t="shared" si="159"/>
        <v>-42692241.412799992</v>
      </c>
      <c r="W390">
        <f t="shared" si="160"/>
        <v>-57074571.8873</v>
      </c>
      <c r="X390">
        <f t="shared" si="161"/>
        <v>-58100472.013800003</v>
      </c>
      <c r="Z390">
        <f t="shared" si="162"/>
        <v>969000.02280000015</v>
      </c>
      <c r="AA390">
        <f t="shared" si="163"/>
        <v>-26293189.286800005</v>
      </c>
      <c r="AB390">
        <f t="shared" si="164"/>
        <v>-43390891.531600006</v>
      </c>
      <c r="AC390">
        <f t="shared" si="165"/>
        <v>-54263035.814399995</v>
      </c>
      <c r="AD390">
        <f t="shared" si="166"/>
        <v>-65075680.095800005</v>
      </c>
      <c r="AE390">
        <f t="shared" si="167"/>
        <v>-65446508.705200002</v>
      </c>
    </row>
    <row r="391" spans="1:31" x14ac:dyDescent="0.25">
      <c r="A391">
        <v>37.413795960000002</v>
      </c>
      <c r="B391">
        <v>117.9183561</v>
      </c>
      <c r="C391">
        <v>9.6543779399999998</v>
      </c>
      <c r="D391">
        <v>6.9414272300000004</v>
      </c>
      <c r="E391" t="b">
        <f t="shared" si="144"/>
        <v>0</v>
      </c>
      <c r="F391">
        <f t="shared" si="145"/>
        <v>-41.330462470000001</v>
      </c>
      <c r="G391">
        <f t="shared" si="146"/>
        <v>-89.602352170000003</v>
      </c>
      <c r="H391">
        <f t="shared" si="147"/>
        <v>-137.87424187000002</v>
      </c>
      <c r="I391">
        <f t="shared" si="148"/>
        <v>-186.14613157000002</v>
      </c>
      <c r="J391">
        <f t="shared" si="149"/>
        <v>-234.41802127</v>
      </c>
      <c r="L391">
        <f t="shared" si="150"/>
        <v>13327540.281600002</v>
      </c>
      <c r="M391">
        <f t="shared" si="151"/>
        <v>-66955349.201400004</v>
      </c>
      <c r="N391">
        <f t="shared" si="152"/>
        <v>-123651245.9946</v>
      </c>
      <c r="O391">
        <f t="shared" si="153"/>
        <v>-140631726.70740002</v>
      </c>
      <c r="P391">
        <f t="shared" si="154"/>
        <v>-171254441.04440001</v>
      </c>
      <c r="Q391">
        <f t="shared" si="155"/>
        <v>-178157696.16520002</v>
      </c>
      <c r="S391">
        <f t="shared" si="156"/>
        <v>14576997.183000002</v>
      </c>
      <c r="T391">
        <f t="shared" si="157"/>
        <v>-75221441.6954</v>
      </c>
      <c r="U391">
        <f t="shared" si="158"/>
        <v>-135299551.77669999</v>
      </c>
      <c r="V391">
        <f t="shared" si="159"/>
        <v>-147525438.80090001</v>
      </c>
      <c r="W391">
        <f t="shared" si="160"/>
        <v>-199176360.77989998</v>
      </c>
      <c r="X391">
        <f t="shared" si="161"/>
        <v>-203943678.50490001</v>
      </c>
      <c r="Z391">
        <f t="shared" si="162"/>
        <v>15826454.084400002</v>
      </c>
      <c r="AA391">
        <f t="shared" si="163"/>
        <v>-83487534.189400002</v>
      </c>
      <c r="AB391">
        <f t="shared" si="164"/>
        <v>-146947857.55880001</v>
      </c>
      <c r="AC391">
        <f t="shared" si="165"/>
        <v>-187508968.94320002</v>
      </c>
      <c r="AD391">
        <f t="shared" si="166"/>
        <v>-227098280.51540002</v>
      </c>
      <c r="AE391">
        <f t="shared" si="167"/>
        <v>-229729660.84459999</v>
      </c>
    </row>
    <row r="392" spans="1:31" x14ac:dyDescent="0.25">
      <c r="A392">
        <v>37.423302530000001</v>
      </c>
      <c r="B392">
        <v>118.7318223</v>
      </c>
      <c r="C392">
        <v>40.0941124</v>
      </c>
      <c r="D392">
        <v>6.9784479099999999</v>
      </c>
      <c r="E392" t="b">
        <f t="shared" si="144"/>
        <v>0</v>
      </c>
      <c r="F392">
        <f t="shared" si="145"/>
        <v>-193.49211409</v>
      </c>
      <c r="G392">
        <f t="shared" si="146"/>
        <v>-393.96267609</v>
      </c>
      <c r="H392">
        <f t="shared" si="147"/>
        <v>-594.43323809000003</v>
      </c>
      <c r="I392">
        <f t="shared" si="148"/>
        <v>-794.90380009</v>
      </c>
      <c r="J392">
        <f t="shared" si="149"/>
        <v>-995.37436208999998</v>
      </c>
      <c r="L392">
        <f t="shared" si="150"/>
        <v>13398619.987200001</v>
      </c>
      <c r="M392">
        <f t="shared" si="151"/>
        <v>-313457224.8258</v>
      </c>
      <c r="N392">
        <f t="shared" si="152"/>
        <v>-543668493.00419986</v>
      </c>
      <c r="O392">
        <f t="shared" si="153"/>
        <v>-606321902.85180008</v>
      </c>
      <c r="P392">
        <f t="shared" si="154"/>
        <v>-731311496.08280003</v>
      </c>
      <c r="Q392">
        <f t="shared" si="155"/>
        <v>-756484515.18840003</v>
      </c>
      <c r="S392">
        <f t="shared" si="156"/>
        <v>14654740.611000001</v>
      </c>
      <c r="T392">
        <f t="shared" si="157"/>
        <v>-352155647.64380002</v>
      </c>
      <c r="U392">
        <f t="shared" si="158"/>
        <v>-594883640.89590001</v>
      </c>
      <c r="V392">
        <f t="shared" si="159"/>
        <v>-636043564.75629997</v>
      </c>
      <c r="W392">
        <f t="shared" si="160"/>
        <v>-850547066.09629989</v>
      </c>
      <c r="X392">
        <f t="shared" si="161"/>
        <v>-865975695.01830006</v>
      </c>
      <c r="Z392">
        <f t="shared" si="162"/>
        <v>15910861.234800002</v>
      </c>
      <c r="AA392">
        <f t="shared" si="163"/>
        <v>-390854070.46180004</v>
      </c>
      <c r="AB392">
        <f t="shared" si="164"/>
        <v>-646098788.78760004</v>
      </c>
      <c r="AC392">
        <f t="shared" si="165"/>
        <v>-808429203.80239999</v>
      </c>
      <c r="AD392">
        <f t="shared" si="166"/>
        <v>-969782636.10979998</v>
      </c>
      <c r="AE392">
        <f t="shared" si="167"/>
        <v>-975466874.84819996</v>
      </c>
    </row>
    <row r="393" spans="1:31" x14ac:dyDescent="0.25">
      <c r="A393">
        <v>37.438368089999997</v>
      </c>
      <c r="B393">
        <v>119.02459020000001</v>
      </c>
      <c r="C393">
        <v>39.583812709999997</v>
      </c>
      <c r="D393">
        <v>4.8972258599999998</v>
      </c>
      <c r="E393" t="b">
        <f t="shared" si="144"/>
        <v>0</v>
      </c>
      <c r="F393">
        <f t="shared" si="145"/>
        <v>-193.02183768999998</v>
      </c>
      <c r="G393">
        <f t="shared" si="146"/>
        <v>-390.94090123999996</v>
      </c>
      <c r="H393">
        <f t="shared" si="147"/>
        <v>-588.85996478999994</v>
      </c>
      <c r="I393">
        <f t="shared" si="148"/>
        <v>-786.77902833999985</v>
      </c>
      <c r="J393">
        <f t="shared" si="149"/>
        <v>-984.69809188999989</v>
      </c>
      <c r="L393">
        <f t="shared" si="150"/>
        <v>9402673.6512000002</v>
      </c>
      <c r="M393">
        <f t="shared" si="151"/>
        <v>-312695377.05779999</v>
      </c>
      <c r="N393">
        <f t="shared" si="152"/>
        <v>-539498443.71119988</v>
      </c>
      <c r="O393">
        <f t="shared" si="153"/>
        <v>-600637164.08579993</v>
      </c>
      <c r="P393">
        <f t="shared" si="154"/>
        <v>-723836706.0727998</v>
      </c>
      <c r="Q393">
        <f t="shared" si="155"/>
        <v>-748370549.83639991</v>
      </c>
      <c r="S393">
        <f t="shared" si="156"/>
        <v>10284174.306</v>
      </c>
      <c r="T393">
        <f t="shared" si="157"/>
        <v>-351299744.59579998</v>
      </c>
      <c r="U393">
        <f t="shared" si="158"/>
        <v>-590320760.87239993</v>
      </c>
      <c r="V393">
        <f t="shared" si="159"/>
        <v>-630080162.32529986</v>
      </c>
      <c r="W393">
        <f t="shared" si="160"/>
        <v>-841853560.32379961</v>
      </c>
      <c r="X393">
        <f t="shared" si="161"/>
        <v>-856687339.94429994</v>
      </c>
      <c r="Z393">
        <f t="shared" si="162"/>
        <v>11165674.9608</v>
      </c>
      <c r="AA393">
        <f t="shared" si="163"/>
        <v>-389904112.13379997</v>
      </c>
      <c r="AB393">
        <f t="shared" si="164"/>
        <v>-641143078.03359997</v>
      </c>
      <c r="AC393">
        <f t="shared" si="165"/>
        <v>-800849552.11439991</v>
      </c>
      <c r="AD393">
        <f t="shared" si="166"/>
        <v>-959870414.57479978</v>
      </c>
      <c r="AE393">
        <f t="shared" si="167"/>
        <v>-965004130.05219984</v>
      </c>
    </row>
    <row r="394" spans="1:31" x14ac:dyDescent="0.25">
      <c r="A394">
        <v>37.443993720000002</v>
      </c>
      <c r="B394">
        <v>106.9017351</v>
      </c>
      <c r="C394">
        <v>2.6882860700000002</v>
      </c>
      <c r="D394">
        <v>0.88060302000000001</v>
      </c>
      <c r="E394" t="b">
        <f t="shared" si="144"/>
        <v>0</v>
      </c>
      <c r="F394">
        <f t="shared" si="145"/>
        <v>-12.56082733</v>
      </c>
      <c r="G394">
        <f t="shared" si="146"/>
        <v>-26.002257680000003</v>
      </c>
      <c r="H394">
        <f t="shared" si="147"/>
        <v>-39.443688029999997</v>
      </c>
      <c r="I394">
        <f t="shared" si="148"/>
        <v>-52.885118380000002</v>
      </c>
      <c r="J394">
        <f t="shared" si="149"/>
        <v>-66.326548730000013</v>
      </c>
      <c r="L394">
        <f t="shared" si="150"/>
        <v>1690757.7984000002</v>
      </c>
      <c r="M394">
        <f t="shared" si="151"/>
        <v>-20348540.274600003</v>
      </c>
      <c r="N394">
        <f t="shared" si="152"/>
        <v>-35883115.598400004</v>
      </c>
      <c r="O394">
        <f t="shared" si="153"/>
        <v>-40232561.790599994</v>
      </c>
      <c r="P394">
        <f t="shared" si="154"/>
        <v>-48654308.909599997</v>
      </c>
      <c r="Q394">
        <f t="shared" si="155"/>
        <v>-50408177.034800008</v>
      </c>
      <c r="S394">
        <f t="shared" si="156"/>
        <v>1849266.3420000002</v>
      </c>
      <c r="T394">
        <f t="shared" si="157"/>
        <v>-22860705.740600001</v>
      </c>
      <c r="U394">
        <f t="shared" si="158"/>
        <v>-39263409.096800007</v>
      </c>
      <c r="V394">
        <f t="shared" si="159"/>
        <v>-42204746.192099988</v>
      </c>
      <c r="W394">
        <f t="shared" si="160"/>
        <v>-56587076.666599996</v>
      </c>
      <c r="X394">
        <f t="shared" si="161"/>
        <v>-57704097.395100012</v>
      </c>
      <c r="Z394">
        <f t="shared" si="162"/>
        <v>2007774.8856000002</v>
      </c>
      <c r="AA394">
        <f t="shared" si="163"/>
        <v>-25372871.206599999</v>
      </c>
      <c r="AB394">
        <f t="shared" si="164"/>
        <v>-42643702.59520001</v>
      </c>
      <c r="AC394">
        <f t="shared" si="165"/>
        <v>-53643415.72079999</v>
      </c>
      <c r="AD394">
        <f t="shared" si="166"/>
        <v>-64519844.423600003</v>
      </c>
      <c r="AE394">
        <f t="shared" si="167"/>
        <v>-65000017.755400009</v>
      </c>
    </row>
    <row r="395" spans="1:31" x14ac:dyDescent="0.25">
      <c r="A395">
        <v>37.444505839999998</v>
      </c>
      <c r="B395">
        <v>118.96756360000001</v>
      </c>
      <c r="C395">
        <v>15.59544373</v>
      </c>
      <c r="D395">
        <v>4.9094691299999997</v>
      </c>
      <c r="E395" t="b">
        <f t="shared" si="144"/>
        <v>0</v>
      </c>
      <c r="F395">
        <f t="shared" si="145"/>
        <v>-73.067749519999992</v>
      </c>
      <c r="G395">
        <f t="shared" si="146"/>
        <v>-151.04496817</v>
      </c>
      <c r="H395">
        <f t="shared" si="147"/>
        <v>-229.02218682</v>
      </c>
      <c r="I395">
        <f t="shared" si="148"/>
        <v>-306.99940547</v>
      </c>
      <c r="J395">
        <f t="shared" si="149"/>
        <v>-384.97662412</v>
      </c>
      <c r="L395">
        <f t="shared" si="150"/>
        <v>9426180.7296000011</v>
      </c>
      <c r="M395">
        <f t="shared" si="151"/>
        <v>-118369754.22239999</v>
      </c>
      <c r="N395">
        <f t="shared" si="152"/>
        <v>-208442056.07460001</v>
      </c>
      <c r="O395">
        <f t="shared" si="153"/>
        <v>-233602630.5564</v>
      </c>
      <c r="P395">
        <f t="shared" si="154"/>
        <v>-282439453.03240001</v>
      </c>
      <c r="Q395">
        <f t="shared" si="155"/>
        <v>-292582234.3312</v>
      </c>
      <c r="S395">
        <f t="shared" si="156"/>
        <v>10309885.173</v>
      </c>
      <c r="T395">
        <f t="shared" si="157"/>
        <v>-132983304.12639999</v>
      </c>
      <c r="U395">
        <f t="shared" si="158"/>
        <v>-228077901.93670002</v>
      </c>
      <c r="V395">
        <f t="shared" si="159"/>
        <v>-245053739.89739996</v>
      </c>
      <c r="W395">
        <f t="shared" si="160"/>
        <v>-328489363.85289997</v>
      </c>
      <c r="X395">
        <f t="shared" si="161"/>
        <v>-334929662.98439997</v>
      </c>
      <c r="Z395">
        <f t="shared" si="162"/>
        <v>11193589.616400002</v>
      </c>
      <c r="AA395">
        <f t="shared" si="163"/>
        <v>-147596854.03039998</v>
      </c>
      <c r="AB395">
        <f t="shared" si="164"/>
        <v>-247713747.79880005</v>
      </c>
      <c r="AC395">
        <f t="shared" si="165"/>
        <v>-311470174.07519996</v>
      </c>
      <c r="AD395">
        <f t="shared" si="166"/>
        <v>-374539274.67340004</v>
      </c>
      <c r="AE395">
        <f t="shared" si="167"/>
        <v>-377277091.6376</v>
      </c>
    </row>
    <row r="396" spans="1:31" x14ac:dyDescent="0.25">
      <c r="A396">
        <v>37.447877990000002</v>
      </c>
      <c r="B396">
        <v>109.3194585</v>
      </c>
      <c r="C396">
        <v>3.4743599999999999E-2</v>
      </c>
      <c r="D396">
        <v>1.86935103</v>
      </c>
      <c r="E396" t="b">
        <f t="shared" si="144"/>
        <v>1</v>
      </c>
      <c r="F396">
        <f t="shared" si="145"/>
        <v>1.69563303</v>
      </c>
      <c r="G396">
        <f t="shared" si="146"/>
        <v>1.5219150300000002</v>
      </c>
      <c r="H396">
        <f t="shared" si="147"/>
        <v>1.3481970300000001</v>
      </c>
      <c r="I396">
        <f t="shared" si="148"/>
        <v>1.1744790300000001</v>
      </c>
      <c r="J396">
        <f t="shared" si="149"/>
        <v>1.0007610300000001</v>
      </c>
      <c r="L396">
        <f t="shared" si="150"/>
        <v>66707.712</v>
      </c>
      <c r="M396">
        <f t="shared" si="151"/>
        <v>56284.631999999998</v>
      </c>
      <c r="N396">
        <f t="shared" si="152"/>
        <v>47946.167999999998</v>
      </c>
      <c r="O396">
        <f t="shared" si="153"/>
        <v>35438.472000000002</v>
      </c>
      <c r="P396">
        <f t="shared" si="154"/>
        <v>31964.111999999997</v>
      </c>
      <c r="Q396">
        <f t="shared" si="155"/>
        <v>26405.135999999999</v>
      </c>
      <c r="S396">
        <f t="shared" si="156"/>
        <v>72961.56</v>
      </c>
      <c r="T396">
        <f t="shared" si="157"/>
        <v>63233.351999999999</v>
      </c>
      <c r="U396">
        <f t="shared" si="158"/>
        <v>52462.835999999996</v>
      </c>
      <c r="V396">
        <f t="shared" si="159"/>
        <v>37175.651999999995</v>
      </c>
      <c r="W396">
        <f t="shared" si="160"/>
        <v>37175.651999999995</v>
      </c>
      <c r="X396">
        <f t="shared" si="161"/>
        <v>30226.931999999997</v>
      </c>
      <c r="Z396">
        <f t="shared" si="162"/>
        <v>79215.40800000001</v>
      </c>
      <c r="AA396">
        <f t="shared" si="163"/>
        <v>70182.072</v>
      </c>
      <c r="AB396">
        <f t="shared" si="164"/>
        <v>56979.504000000001</v>
      </c>
      <c r="AC396">
        <f t="shared" si="165"/>
        <v>47251.295999999995</v>
      </c>
      <c r="AD396">
        <f t="shared" si="166"/>
        <v>42387.191999999995</v>
      </c>
      <c r="AE396">
        <f t="shared" si="167"/>
        <v>34048.727999999996</v>
      </c>
    </row>
    <row r="397" spans="1:31" x14ac:dyDescent="0.25">
      <c r="A397">
        <v>37.44800824</v>
      </c>
      <c r="B397">
        <v>118.0396466</v>
      </c>
      <c r="C397">
        <v>150.00115969999999</v>
      </c>
      <c r="D397">
        <v>11.192254070000001</v>
      </c>
      <c r="E397" t="b">
        <f t="shared" si="144"/>
        <v>0</v>
      </c>
      <c r="F397">
        <f t="shared" si="145"/>
        <v>-738.81354442999998</v>
      </c>
      <c r="G397">
        <f t="shared" si="146"/>
        <v>-1488.8193429299999</v>
      </c>
      <c r="H397">
        <f t="shared" si="147"/>
        <v>-2238.8251414299998</v>
      </c>
      <c r="I397">
        <f t="shared" si="148"/>
        <v>-2988.8309399299997</v>
      </c>
      <c r="J397">
        <f t="shared" si="149"/>
        <v>-3738.8367384299995</v>
      </c>
      <c r="L397">
        <f t="shared" si="150"/>
        <v>21489127.814400002</v>
      </c>
      <c r="M397">
        <f t="shared" si="151"/>
        <v>-1196877941.9765999</v>
      </c>
      <c r="N397">
        <f t="shared" si="152"/>
        <v>-2054570693.2433999</v>
      </c>
      <c r="O397">
        <f t="shared" si="153"/>
        <v>-2283601644.2585998</v>
      </c>
      <c r="P397">
        <f t="shared" si="154"/>
        <v>-2749724464.7355995</v>
      </c>
      <c r="Q397">
        <f t="shared" si="155"/>
        <v>-2841515921.2067995</v>
      </c>
      <c r="S397">
        <f t="shared" si="156"/>
        <v>23503733.547000002</v>
      </c>
      <c r="T397">
        <f t="shared" si="157"/>
        <v>-1344640650.8625998</v>
      </c>
      <c r="U397">
        <f t="shared" si="158"/>
        <v>-2248117207.8243003</v>
      </c>
      <c r="V397">
        <f t="shared" si="159"/>
        <v>-2395542901.3300996</v>
      </c>
      <c r="W397">
        <f t="shared" si="160"/>
        <v>-3198049105.7250996</v>
      </c>
      <c r="X397">
        <f t="shared" si="161"/>
        <v>-3252787962.4340992</v>
      </c>
      <c r="Z397">
        <f t="shared" si="162"/>
        <v>25518339.279600002</v>
      </c>
      <c r="AA397">
        <f t="shared" si="163"/>
        <v>-1492403359.7486</v>
      </c>
      <c r="AB397">
        <f t="shared" si="164"/>
        <v>-2441663722.4052005</v>
      </c>
      <c r="AC397">
        <f t="shared" si="165"/>
        <v>-3044802192.3447995</v>
      </c>
      <c r="AD397">
        <f t="shared" si="166"/>
        <v>-3646373746.7145996</v>
      </c>
      <c r="AE397">
        <f t="shared" si="167"/>
        <v>-3664060003.6613994</v>
      </c>
    </row>
    <row r="398" spans="1:31" x14ac:dyDescent="0.25">
      <c r="A398">
        <v>37.458902260000002</v>
      </c>
      <c r="B398">
        <v>118.3894598</v>
      </c>
      <c r="C398">
        <v>65.630661009999997</v>
      </c>
      <c r="D398">
        <v>3.79358912</v>
      </c>
      <c r="E398" t="b">
        <f t="shared" si="144"/>
        <v>0</v>
      </c>
      <c r="F398">
        <f t="shared" si="145"/>
        <v>-324.35971592999999</v>
      </c>
      <c r="G398">
        <f t="shared" si="146"/>
        <v>-652.51302097999996</v>
      </c>
      <c r="H398">
        <f t="shared" si="147"/>
        <v>-980.66632602999994</v>
      </c>
      <c r="I398">
        <f t="shared" si="148"/>
        <v>-1308.8196310799999</v>
      </c>
      <c r="J398">
        <f t="shared" si="149"/>
        <v>-1636.9729361299999</v>
      </c>
      <c r="L398">
        <f t="shared" si="150"/>
        <v>7283691.1104000006</v>
      </c>
      <c r="M398">
        <f t="shared" si="151"/>
        <v>-525462739.80660003</v>
      </c>
      <c r="N398">
        <f t="shared" si="152"/>
        <v>-900467968.95239997</v>
      </c>
      <c r="O398">
        <f t="shared" si="153"/>
        <v>-1000279652.5505999</v>
      </c>
      <c r="P398">
        <f t="shared" si="154"/>
        <v>-1204114060.5935998</v>
      </c>
      <c r="Q398">
        <f t="shared" si="155"/>
        <v>-1244099431.4587998</v>
      </c>
      <c r="S398">
        <f t="shared" si="156"/>
        <v>7966537.1520000007</v>
      </c>
      <c r="T398">
        <f t="shared" si="157"/>
        <v>-590334682.99260008</v>
      </c>
      <c r="U398">
        <f t="shared" si="158"/>
        <v>-985294661.67980003</v>
      </c>
      <c r="V398">
        <f t="shared" si="159"/>
        <v>-1049312968.8520998</v>
      </c>
      <c r="W398">
        <f t="shared" si="160"/>
        <v>-1400437005.2555997</v>
      </c>
      <c r="X398">
        <f t="shared" si="161"/>
        <v>-1424166454.4331</v>
      </c>
      <c r="Z398">
        <f t="shared" si="162"/>
        <v>8649383.1936000008</v>
      </c>
      <c r="AA398">
        <f t="shared" si="163"/>
        <v>-655206626.17860007</v>
      </c>
      <c r="AB398">
        <f t="shared" si="164"/>
        <v>-1070121354.4072001</v>
      </c>
      <c r="AC398">
        <f t="shared" si="165"/>
        <v>-1333706203.4007998</v>
      </c>
      <c r="AD398">
        <f t="shared" si="166"/>
        <v>-1596759949.9175999</v>
      </c>
      <c r="AE398">
        <f t="shared" si="167"/>
        <v>-1604233477.4073999</v>
      </c>
    </row>
    <row r="399" spans="1:31" x14ac:dyDescent="0.25">
      <c r="A399">
        <v>37.477601559999997</v>
      </c>
      <c r="B399">
        <v>77.295424130000001</v>
      </c>
      <c r="C399">
        <v>0</v>
      </c>
      <c r="D399">
        <v>1.9848309799999999</v>
      </c>
      <c r="E399" t="b">
        <f t="shared" si="144"/>
        <v>1</v>
      </c>
      <c r="F399">
        <f t="shared" si="145"/>
        <v>1.9848309799999999</v>
      </c>
      <c r="G399">
        <f t="shared" si="146"/>
        <v>1.9848309799999999</v>
      </c>
      <c r="H399">
        <f t="shared" si="147"/>
        <v>1.9848309799999999</v>
      </c>
      <c r="I399">
        <f t="shared" si="148"/>
        <v>1.9848309799999999</v>
      </c>
      <c r="J399">
        <f t="shared" si="149"/>
        <v>1.9848309799999999</v>
      </c>
      <c r="L399">
        <f t="shared" si="150"/>
        <v>0</v>
      </c>
      <c r="M399">
        <f t="shared" si="151"/>
        <v>0</v>
      </c>
      <c r="N399">
        <f t="shared" si="152"/>
        <v>0</v>
      </c>
      <c r="O399">
        <f t="shared" si="153"/>
        <v>0</v>
      </c>
      <c r="P399">
        <f t="shared" si="154"/>
        <v>0</v>
      </c>
      <c r="Q399">
        <f t="shared" si="155"/>
        <v>0</v>
      </c>
      <c r="S399">
        <f t="shared" si="156"/>
        <v>0</v>
      </c>
      <c r="T399">
        <f t="shared" si="157"/>
        <v>0</v>
      </c>
      <c r="U399">
        <f t="shared" si="158"/>
        <v>0</v>
      </c>
      <c r="V399">
        <f t="shared" si="159"/>
        <v>0</v>
      </c>
      <c r="W399">
        <f t="shared" si="160"/>
        <v>0</v>
      </c>
      <c r="X399">
        <f t="shared" si="161"/>
        <v>0</v>
      </c>
      <c r="Z399">
        <f t="shared" si="162"/>
        <v>0</v>
      </c>
      <c r="AA399">
        <f t="shared" si="163"/>
        <v>0</v>
      </c>
      <c r="AB399">
        <f t="shared" si="164"/>
        <v>0</v>
      </c>
      <c r="AC399">
        <f t="shared" si="165"/>
        <v>0</v>
      </c>
      <c r="AD399">
        <f t="shared" si="166"/>
        <v>0</v>
      </c>
      <c r="AE399">
        <f t="shared" si="167"/>
        <v>0</v>
      </c>
    </row>
    <row r="400" spans="1:31" x14ac:dyDescent="0.25">
      <c r="A400">
        <v>37.481217700000002</v>
      </c>
      <c r="B400">
        <v>107.70827389999999</v>
      </c>
      <c r="C400">
        <v>1.38540113</v>
      </c>
      <c r="D400">
        <v>3.0344989299999998</v>
      </c>
      <c r="E400" t="b">
        <f t="shared" si="144"/>
        <v>1</v>
      </c>
      <c r="F400">
        <f t="shared" si="145"/>
        <v>-3.8925067200000001</v>
      </c>
      <c r="G400">
        <f t="shared" si="146"/>
        <v>-10.81951237</v>
      </c>
      <c r="H400">
        <f t="shared" si="147"/>
        <v>-17.746518020000003</v>
      </c>
      <c r="I400">
        <f t="shared" si="148"/>
        <v>-24.673523670000002</v>
      </c>
      <c r="J400">
        <f t="shared" si="149"/>
        <v>-31.60052932</v>
      </c>
      <c r="L400">
        <f t="shared" si="150"/>
        <v>2659970.1696000001</v>
      </c>
      <c r="M400">
        <f t="shared" si="151"/>
        <v>-6305860.8864000011</v>
      </c>
      <c r="N400">
        <f t="shared" si="152"/>
        <v>-14930927.070599997</v>
      </c>
      <c r="O400">
        <f t="shared" si="153"/>
        <v>-18101448.380400002</v>
      </c>
      <c r="P400">
        <f t="shared" si="154"/>
        <v>-22699641.7764</v>
      </c>
      <c r="Q400">
        <f t="shared" si="155"/>
        <v>-24016402.283199999</v>
      </c>
      <c r="S400">
        <f t="shared" si="156"/>
        <v>2909342.3729999997</v>
      </c>
      <c r="T400">
        <f t="shared" si="157"/>
        <v>-7084362.2304000007</v>
      </c>
      <c r="U400">
        <f t="shared" si="158"/>
        <v>-16337463.678699998</v>
      </c>
      <c r="V400">
        <f t="shared" si="159"/>
        <v>-18988774.281399999</v>
      </c>
      <c r="W400">
        <f t="shared" si="160"/>
        <v>-26400670.326899998</v>
      </c>
      <c r="X400">
        <f t="shared" si="161"/>
        <v>-27492460.508400001</v>
      </c>
      <c r="Z400">
        <f t="shared" si="162"/>
        <v>3158714.5764000001</v>
      </c>
      <c r="AA400">
        <f t="shared" si="163"/>
        <v>-7862863.5744000003</v>
      </c>
      <c r="AB400">
        <f t="shared" si="164"/>
        <v>-17744000.286800001</v>
      </c>
      <c r="AC400">
        <f t="shared" si="165"/>
        <v>-24135264.507200003</v>
      </c>
      <c r="AD400">
        <f t="shared" si="166"/>
        <v>-30101698.877400003</v>
      </c>
      <c r="AE400">
        <f t="shared" si="167"/>
        <v>-30968518.733599998</v>
      </c>
    </row>
    <row r="401" spans="1:31" x14ac:dyDescent="0.25">
      <c r="A401">
        <v>37.482098710000002</v>
      </c>
      <c r="B401">
        <v>118.1610445</v>
      </c>
      <c r="C401">
        <v>65.630661009999997</v>
      </c>
      <c r="D401">
        <v>6.6123471299999999</v>
      </c>
      <c r="E401" t="b">
        <f t="shared" si="144"/>
        <v>0</v>
      </c>
      <c r="F401">
        <f t="shared" si="145"/>
        <v>-321.54095791999998</v>
      </c>
      <c r="G401">
        <f t="shared" si="146"/>
        <v>-649.69426296999995</v>
      </c>
      <c r="H401">
        <f t="shared" si="147"/>
        <v>-977.84756801999993</v>
      </c>
      <c r="I401">
        <f t="shared" si="148"/>
        <v>-1306.0008730699999</v>
      </c>
      <c r="J401">
        <f t="shared" si="149"/>
        <v>-1634.1541781199999</v>
      </c>
      <c r="L401">
        <f t="shared" si="150"/>
        <v>12695706.489600001</v>
      </c>
      <c r="M401">
        <f t="shared" si="151"/>
        <v>-520896351.83039999</v>
      </c>
      <c r="N401">
        <f t="shared" si="152"/>
        <v>-896578082.89859986</v>
      </c>
      <c r="O401">
        <f t="shared" si="153"/>
        <v>-997404519.38039994</v>
      </c>
      <c r="P401">
        <f t="shared" si="154"/>
        <v>-1201520803.2243998</v>
      </c>
      <c r="Q401">
        <f t="shared" si="155"/>
        <v>-1241957175.3711998</v>
      </c>
      <c r="S401">
        <f t="shared" si="156"/>
        <v>13885928.973000001</v>
      </c>
      <c r="T401">
        <f t="shared" si="157"/>
        <v>-585204543.41439998</v>
      </c>
      <c r="U401">
        <f t="shared" si="158"/>
        <v>-981038337.08469987</v>
      </c>
      <c r="V401">
        <f t="shared" si="159"/>
        <v>-1046296897.7813998</v>
      </c>
      <c r="W401">
        <f t="shared" si="160"/>
        <v>-1397420934.1848998</v>
      </c>
      <c r="X401">
        <f t="shared" si="161"/>
        <v>-1421714134.9643998</v>
      </c>
      <c r="Z401">
        <f t="shared" si="162"/>
        <v>15076151.456400001</v>
      </c>
      <c r="AA401">
        <f t="shared" si="163"/>
        <v>-649512734.99839997</v>
      </c>
      <c r="AB401">
        <f t="shared" si="164"/>
        <v>-1065498591.2707999</v>
      </c>
      <c r="AC401">
        <f t="shared" si="165"/>
        <v>-1329872692.5071998</v>
      </c>
      <c r="AD401">
        <f t="shared" si="166"/>
        <v>-1593321065.1453998</v>
      </c>
      <c r="AE401">
        <f t="shared" si="167"/>
        <v>-1601471094.5575998</v>
      </c>
    </row>
    <row r="402" spans="1:31" x14ac:dyDescent="0.25">
      <c r="A402">
        <v>37.484922619999999</v>
      </c>
      <c r="B402">
        <v>107.42043719999999</v>
      </c>
      <c r="C402">
        <v>1.38540113</v>
      </c>
      <c r="D402">
        <v>9.0967999999999993E-2</v>
      </c>
      <c r="E402" t="b">
        <f t="shared" si="144"/>
        <v>0</v>
      </c>
      <c r="F402">
        <f t="shared" si="145"/>
        <v>-6.8360376499999997</v>
      </c>
      <c r="G402">
        <f t="shared" si="146"/>
        <v>-13.7630433</v>
      </c>
      <c r="H402">
        <f t="shared" si="147"/>
        <v>-20.690048950000001</v>
      </c>
      <c r="I402">
        <f t="shared" si="148"/>
        <v>-27.617054599999999</v>
      </c>
      <c r="J402">
        <f t="shared" si="149"/>
        <v>-34.544060250000001</v>
      </c>
      <c r="L402">
        <f t="shared" si="150"/>
        <v>174658.56000000003</v>
      </c>
      <c r="M402">
        <f t="shared" si="151"/>
        <v>-11074380.993000001</v>
      </c>
      <c r="N402">
        <f t="shared" si="152"/>
        <v>-18992999.753999997</v>
      </c>
      <c r="O402">
        <f t="shared" si="153"/>
        <v>-21103849.929000005</v>
      </c>
      <c r="P402">
        <f t="shared" si="154"/>
        <v>-25407690.231999997</v>
      </c>
      <c r="Q402">
        <f t="shared" si="155"/>
        <v>-26253485.789999999</v>
      </c>
      <c r="S402">
        <f t="shared" si="156"/>
        <v>191032.80000000002</v>
      </c>
      <c r="T402">
        <f t="shared" si="157"/>
        <v>-12441588.523</v>
      </c>
      <c r="U402">
        <f t="shared" si="158"/>
        <v>-20782195.382999998</v>
      </c>
      <c r="V402">
        <f t="shared" si="159"/>
        <v>-22138352.376499999</v>
      </c>
      <c r="W402">
        <f t="shared" si="160"/>
        <v>-29550248.421999995</v>
      </c>
      <c r="X402">
        <f t="shared" si="161"/>
        <v>-30053332.4175</v>
      </c>
      <c r="Z402">
        <f t="shared" si="162"/>
        <v>207407.04</v>
      </c>
      <c r="AA402">
        <f t="shared" si="163"/>
        <v>-13808796.052999999</v>
      </c>
      <c r="AB402">
        <f t="shared" si="164"/>
        <v>-22571391.011999998</v>
      </c>
      <c r="AC402">
        <f t="shared" si="165"/>
        <v>-28138466.572000001</v>
      </c>
      <c r="AD402">
        <f t="shared" si="166"/>
        <v>-33692806.611999996</v>
      </c>
      <c r="AE402">
        <f t="shared" si="167"/>
        <v>-33853179.045000002</v>
      </c>
    </row>
    <row r="403" spans="1:31" x14ac:dyDescent="0.25">
      <c r="A403">
        <v>37.486719520000001</v>
      </c>
      <c r="B403">
        <v>118.5681261</v>
      </c>
      <c r="C403">
        <v>40.0941124</v>
      </c>
      <c r="D403">
        <v>39.29350281</v>
      </c>
      <c r="E403" t="b">
        <f t="shared" si="144"/>
        <v>0</v>
      </c>
      <c r="F403">
        <f t="shared" si="145"/>
        <v>-161.17705918999999</v>
      </c>
      <c r="G403">
        <f t="shared" si="146"/>
        <v>-361.64762119</v>
      </c>
      <c r="H403">
        <f t="shared" si="147"/>
        <v>-562.11818319000008</v>
      </c>
      <c r="I403">
        <f t="shared" si="148"/>
        <v>-762.58874519000005</v>
      </c>
      <c r="J403">
        <f t="shared" si="149"/>
        <v>-963.05930719000003</v>
      </c>
      <c r="L403">
        <f t="shared" si="150"/>
        <v>75443525.395200014</v>
      </c>
      <c r="M403">
        <f t="shared" si="151"/>
        <v>-261106835.88780001</v>
      </c>
      <c r="N403">
        <f t="shared" si="152"/>
        <v>-499073717.24219996</v>
      </c>
      <c r="O403">
        <f t="shared" si="153"/>
        <v>-573360546.85380006</v>
      </c>
      <c r="P403">
        <f t="shared" si="154"/>
        <v>-701581645.57480001</v>
      </c>
      <c r="Q403">
        <f t="shared" si="155"/>
        <v>-731925073.46440005</v>
      </c>
      <c r="S403">
        <f t="shared" si="156"/>
        <v>82516355.901000008</v>
      </c>
      <c r="T403">
        <f t="shared" si="157"/>
        <v>-293342247.72579998</v>
      </c>
      <c r="U403">
        <f t="shared" si="158"/>
        <v>-546087907.99689996</v>
      </c>
      <c r="V403">
        <f t="shared" si="159"/>
        <v>-601466456.01329994</v>
      </c>
      <c r="W403">
        <f t="shared" si="160"/>
        <v>-815969957.35329998</v>
      </c>
      <c r="X403">
        <f t="shared" si="161"/>
        <v>-837861597.25530005</v>
      </c>
      <c r="Z403">
        <f t="shared" si="162"/>
        <v>89589186.406800017</v>
      </c>
      <c r="AA403">
        <f t="shared" si="163"/>
        <v>-325577659.56379998</v>
      </c>
      <c r="AB403">
        <f t="shared" si="164"/>
        <v>-593102098.75160003</v>
      </c>
      <c r="AC403">
        <f t="shared" si="165"/>
        <v>-764480729.13839996</v>
      </c>
      <c r="AD403">
        <f t="shared" si="166"/>
        <v>-930358269.13180006</v>
      </c>
      <c r="AE403">
        <f t="shared" si="167"/>
        <v>-943798121.04620004</v>
      </c>
    </row>
    <row r="404" spans="1:31" x14ac:dyDescent="0.25">
      <c r="A404">
        <v>37.504454729999999</v>
      </c>
      <c r="B404">
        <v>119.2683157</v>
      </c>
      <c r="C404">
        <v>15.0779438</v>
      </c>
      <c r="D404">
        <v>1.74586105</v>
      </c>
      <c r="E404" t="b">
        <f t="shared" si="144"/>
        <v>0</v>
      </c>
      <c r="F404">
        <f t="shared" si="145"/>
        <v>-73.643857949999997</v>
      </c>
      <c r="G404">
        <f t="shared" si="146"/>
        <v>-149.03357695</v>
      </c>
      <c r="H404">
        <f t="shared" si="147"/>
        <v>-224.42329594999998</v>
      </c>
      <c r="I404">
        <f t="shared" si="148"/>
        <v>-299.81301495000002</v>
      </c>
      <c r="J404">
        <f t="shared" si="149"/>
        <v>-375.20273395000004</v>
      </c>
      <c r="L404">
        <f t="shared" si="150"/>
        <v>3352053.2160000005</v>
      </c>
      <c r="M404">
        <f t="shared" si="151"/>
        <v>-119303049.87900001</v>
      </c>
      <c r="N404">
        <f t="shared" si="152"/>
        <v>-205666336.19099995</v>
      </c>
      <c r="O404">
        <f t="shared" si="153"/>
        <v>-228911761.86899999</v>
      </c>
      <c r="P404">
        <f t="shared" si="154"/>
        <v>-275827973.75400001</v>
      </c>
      <c r="Q404">
        <f t="shared" si="155"/>
        <v>-285154077.80200005</v>
      </c>
      <c r="S404">
        <f t="shared" si="156"/>
        <v>3666308.2050000001</v>
      </c>
      <c r="T404">
        <f t="shared" si="157"/>
        <v>-134031821.46900001</v>
      </c>
      <c r="U404">
        <f t="shared" si="158"/>
        <v>-225040701.19449997</v>
      </c>
      <c r="V404">
        <f t="shared" si="159"/>
        <v>-240132926.66649994</v>
      </c>
      <c r="W404">
        <f t="shared" si="160"/>
        <v>-320799925.99650002</v>
      </c>
      <c r="X404">
        <f t="shared" si="161"/>
        <v>-326426378.53650004</v>
      </c>
      <c r="Z404">
        <f t="shared" si="162"/>
        <v>3980563.1940000006</v>
      </c>
      <c r="AA404">
        <f t="shared" si="163"/>
        <v>-148760593.05900002</v>
      </c>
      <c r="AB404">
        <f t="shared" si="164"/>
        <v>-244415066.19800001</v>
      </c>
      <c r="AC404">
        <f t="shared" si="165"/>
        <v>-305215682.49199998</v>
      </c>
      <c r="AD404">
        <f t="shared" si="166"/>
        <v>-365771878.23900002</v>
      </c>
      <c r="AE404">
        <f t="shared" si="167"/>
        <v>-367698679.27100003</v>
      </c>
    </row>
    <row r="405" spans="1:31" x14ac:dyDescent="0.25">
      <c r="A405">
        <v>37.508239619999998</v>
      </c>
      <c r="B405">
        <v>118.8040163</v>
      </c>
      <c r="C405">
        <v>40.0941124</v>
      </c>
      <c r="D405">
        <v>5.8404440900000001</v>
      </c>
      <c r="E405" t="b">
        <f t="shared" si="144"/>
        <v>0</v>
      </c>
      <c r="F405">
        <f t="shared" si="145"/>
        <v>-194.63011791</v>
      </c>
      <c r="G405">
        <f t="shared" si="146"/>
        <v>-395.10067991</v>
      </c>
      <c r="H405">
        <f t="shared" si="147"/>
        <v>-595.57124191000003</v>
      </c>
      <c r="I405">
        <f t="shared" si="148"/>
        <v>-796.04180391</v>
      </c>
      <c r="J405">
        <f t="shared" si="149"/>
        <v>-996.51236590999997</v>
      </c>
      <c r="L405">
        <f t="shared" si="150"/>
        <v>11213652.652800001</v>
      </c>
      <c r="M405">
        <f t="shared" si="151"/>
        <v>-315300791.01420003</v>
      </c>
      <c r="N405">
        <f t="shared" si="152"/>
        <v>-545238938.27579999</v>
      </c>
      <c r="O405">
        <f t="shared" si="153"/>
        <v>-607482666.74819994</v>
      </c>
      <c r="P405">
        <f t="shared" si="154"/>
        <v>-732358459.59719992</v>
      </c>
      <c r="Q405">
        <f t="shared" si="155"/>
        <v>-757349398.09159994</v>
      </c>
      <c r="S405">
        <f t="shared" si="156"/>
        <v>12264932.589</v>
      </c>
      <c r="T405">
        <f t="shared" si="157"/>
        <v>-354226814.59619999</v>
      </c>
      <c r="U405">
        <f t="shared" si="158"/>
        <v>-596602026.66410005</v>
      </c>
      <c r="V405">
        <f t="shared" si="159"/>
        <v>-637261228.84369981</v>
      </c>
      <c r="W405">
        <f t="shared" si="160"/>
        <v>-851764730.18369985</v>
      </c>
      <c r="X405">
        <f t="shared" si="161"/>
        <v>-866965758.34169996</v>
      </c>
      <c r="Z405">
        <f t="shared" si="162"/>
        <v>13316212.525200002</v>
      </c>
      <c r="AA405">
        <f t="shared" si="163"/>
        <v>-393152838.17820001</v>
      </c>
      <c r="AB405">
        <f t="shared" si="164"/>
        <v>-647965115.05240011</v>
      </c>
      <c r="AC405">
        <f t="shared" si="165"/>
        <v>-809976888.99759984</v>
      </c>
      <c r="AD405">
        <f t="shared" si="166"/>
        <v>-971171000.77019989</v>
      </c>
      <c r="AE405">
        <f t="shared" si="167"/>
        <v>-976582118.59179997</v>
      </c>
    </row>
    <row r="406" spans="1:31" x14ac:dyDescent="0.25">
      <c r="A406">
        <v>37.51427357</v>
      </c>
      <c r="B406">
        <v>118.7469207</v>
      </c>
      <c r="C406">
        <v>40.0941124</v>
      </c>
      <c r="D406">
        <v>23.542100909999998</v>
      </c>
      <c r="E406" t="b">
        <f t="shared" si="144"/>
        <v>0</v>
      </c>
      <c r="F406">
        <f t="shared" si="145"/>
        <v>-176.92846109000001</v>
      </c>
      <c r="G406">
        <f t="shared" si="146"/>
        <v>-377.39902309000001</v>
      </c>
      <c r="H406">
        <f t="shared" si="147"/>
        <v>-577.86958508999999</v>
      </c>
      <c r="I406">
        <f t="shared" si="148"/>
        <v>-778.34014708999996</v>
      </c>
      <c r="J406">
        <f t="shared" si="149"/>
        <v>-978.81070908999993</v>
      </c>
      <c r="L406">
        <f t="shared" si="150"/>
        <v>45200833.747200005</v>
      </c>
      <c r="M406">
        <f t="shared" si="151"/>
        <v>-286624106.96580005</v>
      </c>
      <c r="N406">
        <f t="shared" si="152"/>
        <v>-520810651.8642</v>
      </c>
      <c r="O406">
        <f t="shared" si="153"/>
        <v>-589426976.79180002</v>
      </c>
      <c r="P406">
        <f t="shared" si="154"/>
        <v>-716072935.32279992</v>
      </c>
      <c r="Q406">
        <f t="shared" si="155"/>
        <v>-743896138.90839994</v>
      </c>
      <c r="S406">
        <f t="shared" si="156"/>
        <v>49438411.911000006</v>
      </c>
      <c r="T406">
        <f t="shared" si="157"/>
        <v>-322009799.18380004</v>
      </c>
      <c r="U406">
        <f t="shared" si="158"/>
        <v>-569872524.86590004</v>
      </c>
      <c r="V406">
        <f t="shared" si="159"/>
        <v>-618320456.04629993</v>
      </c>
      <c r="W406">
        <f t="shared" si="160"/>
        <v>-832823957.38629973</v>
      </c>
      <c r="X406">
        <f t="shared" si="161"/>
        <v>-851565316.90829992</v>
      </c>
      <c r="Z406">
        <f t="shared" si="162"/>
        <v>53675990.074800007</v>
      </c>
      <c r="AA406">
        <f t="shared" si="163"/>
        <v>-357395491.40180004</v>
      </c>
      <c r="AB406">
        <f t="shared" si="164"/>
        <v>-618934397.86760008</v>
      </c>
      <c r="AC406">
        <f t="shared" si="165"/>
        <v>-785902635.72239995</v>
      </c>
      <c r="AD406">
        <f t="shared" si="166"/>
        <v>-949574979.4497999</v>
      </c>
      <c r="AE406">
        <f t="shared" si="167"/>
        <v>-959234494.90819991</v>
      </c>
    </row>
    <row r="407" spans="1:31" x14ac:dyDescent="0.25">
      <c r="A407">
        <v>37.516067190000001</v>
      </c>
      <c r="B407">
        <v>118.28254939999999</v>
      </c>
      <c r="C407">
        <v>65.630661009999997</v>
      </c>
      <c r="D407">
        <v>8.6780061699999997</v>
      </c>
      <c r="E407" t="b">
        <f t="shared" si="144"/>
        <v>0</v>
      </c>
      <c r="F407">
        <f t="shared" si="145"/>
        <v>-319.47529887999997</v>
      </c>
      <c r="G407">
        <f t="shared" si="146"/>
        <v>-647.62860392999994</v>
      </c>
      <c r="H407">
        <f t="shared" si="147"/>
        <v>-975.78190897999991</v>
      </c>
      <c r="I407">
        <f t="shared" si="148"/>
        <v>-1303.93521403</v>
      </c>
      <c r="J407">
        <f t="shared" si="149"/>
        <v>-1632.08851908</v>
      </c>
      <c r="L407">
        <f t="shared" si="150"/>
        <v>16661771.846400002</v>
      </c>
      <c r="M407">
        <f t="shared" si="151"/>
        <v>-517549984.18560004</v>
      </c>
      <c r="N407">
        <f t="shared" si="152"/>
        <v>-893727473.42339981</v>
      </c>
      <c r="O407">
        <f t="shared" si="153"/>
        <v>-995297547.1595999</v>
      </c>
      <c r="P407">
        <f t="shared" si="154"/>
        <v>-1199620396.9075999</v>
      </c>
      <c r="Q407">
        <f t="shared" si="155"/>
        <v>-1240387274.5007999</v>
      </c>
      <c r="S407">
        <f t="shared" si="156"/>
        <v>18223812.957000002</v>
      </c>
      <c r="T407">
        <f t="shared" si="157"/>
        <v>-581445043.96160007</v>
      </c>
      <c r="U407">
        <f t="shared" si="158"/>
        <v>-977919191.93429995</v>
      </c>
      <c r="V407">
        <f t="shared" si="159"/>
        <v>-1044086642.6085998</v>
      </c>
      <c r="W407">
        <f t="shared" si="160"/>
        <v>-1395210679.0120997</v>
      </c>
      <c r="X407">
        <f t="shared" si="161"/>
        <v>-1419917011.5995998</v>
      </c>
      <c r="Z407">
        <f t="shared" si="162"/>
        <v>19785854.067600001</v>
      </c>
      <c r="AA407">
        <f t="shared" si="163"/>
        <v>-645340103.73759997</v>
      </c>
      <c r="AB407">
        <f t="shared" si="164"/>
        <v>-1062110910.4452</v>
      </c>
      <c r="AC407">
        <f t="shared" si="165"/>
        <v>-1327063396.2127998</v>
      </c>
      <c r="AD407">
        <f t="shared" si="166"/>
        <v>-1590800961.1166</v>
      </c>
      <c r="AE407">
        <f t="shared" si="167"/>
        <v>-1599446748.6983998</v>
      </c>
    </row>
    <row r="408" spans="1:31" x14ac:dyDescent="0.25">
      <c r="A408">
        <v>37.529397529999997</v>
      </c>
      <c r="B408">
        <v>107.5364884</v>
      </c>
      <c r="C408">
        <v>2.6882860700000002</v>
      </c>
      <c r="D408">
        <v>7.5719881100000004</v>
      </c>
      <c r="E408" t="b">
        <f t="shared" si="144"/>
        <v>1</v>
      </c>
      <c r="F408">
        <f t="shared" si="145"/>
        <v>-5.8694422400000006</v>
      </c>
      <c r="G408">
        <f t="shared" si="146"/>
        <v>-19.310872590000002</v>
      </c>
      <c r="H408">
        <f t="shared" si="147"/>
        <v>-32.75230294</v>
      </c>
      <c r="I408">
        <f t="shared" si="148"/>
        <v>-46.193733290000004</v>
      </c>
      <c r="J408">
        <f t="shared" si="149"/>
        <v>-59.635163640000009</v>
      </c>
      <c r="L408">
        <f t="shared" si="150"/>
        <v>5161509.2544000009</v>
      </c>
      <c r="M408">
        <f t="shared" si="151"/>
        <v>-9508496.4288000017</v>
      </c>
      <c r="N408">
        <f t="shared" si="152"/>
        <v>-26649004.174200002</v>
      </c>
      <c r="O408">
        <f t="shared" si="153"/>
        <v>-33407348.998800002</v>
      </c>
      <c r="P408">
        <f t="shared" si="154"/>
        <v>-42498234.626800001</v>
      </c>
      <c r="Q408">
        <f t="shared" si="155"/>
        <v>-45322724.366400003</v>
      </c>
      <c r="S408">
        <f t="shared" si="156"/>
        <v>5645400.7470000004</v>
      </c>
      <c r="T408">
        <f t="shared" si="157"/>
        <v>-10682384.876800001</v>
      </c>
      <c r="U408">
        <f t="shared" si="158"/>
        <v>-29159417.610900007</v>
      </c>
      <c r="V408">
        <f t="shared" si="159"/>
        <v>-35044964.145799994</v>
      </c>
      <c r="W408">
        <f t="shared" si="160"/>
        <v>-49427294.620300002</v>
      </c>
      <c r="X408">
        <f t="shared" si="161"/>
        <v>-51882592.36680001</v>
      </c>
      <c r="Z408">
        <f t="shared" si="162"/>
        <v>6129292.2396000009</v>
      </c>
      <c r="AA408">
        <f t="shared" si="163"/>
        <v>-11856273.324800001</v>
      </c>
      <c r="AB408">
        <f t="shared" si="164"/>
        <v>-31669831.047600009</v>
      </c>
      <c r="AC408">
        <f t="shared" si="165"/>
        <v>-44543131.998399995</v>
      </c>
      <c r="AD408">
        <f t="shared" si="166"/>
        <v>-56356354.613800004</v>
      </c>
      <c r="AE408">
        <f t="shared" si="167"/>
        <v>-58442460.36720001</v>
      </c>
    </row>
    <row r="409" spans="1:31" x14ac:dyDescent="0.25">
      <c r="A409">
        <v>37.533823439999999</v>
      </c>
      <c r="B409">
        <v>107.1332489</v>
      </c>
      <c r="C409">
        <v>2.6882860700000002</v>
      </c>
      <c r="D409">
        <v>2.2268109300000001</v>
      </c>
      <c r="E409" t="b">
        <f t="shared" si="144"/>
        <v>0</v>
      </c>
      <c r="F409">
        <f t="shared" si="145"/>
        <v>-11.214619420000002</v>
      </c>
      <c r="G409">
        <f t="shared" si="146"/>
        <v>-24.656049770000003</v>
      </c>
      <c r="H409">
        <f t="shared" si="147"/>
        <v>-38.09748012</v>
      </c>
      <c r="I409">
        <f t="shared" si="148"/>
        <v>-51.538910470000005</v>
      </c>
      <c r="J409">
        <f t="shared" si="149"/>
        <v>-64.980340820000009</v>
      </c>
      <c r="L409">
        <f t="shared" si="150"/>
        <v>4275476.9856000002</v>
      </c>
      <c r="M409">
        <f t="shared" si="151"/>
        <v>-18167683.460400004</v>
      </c>
      <c r="N409">
        <f t="shared" si="152"/>
        <v>-34025348.682599999</v>
      </c>
      <c r="O409">
        <f t="shared" si="153"/>
        <v>-38859429.722399995</v>
      </c>
      <c r="P409">
        <f t="shared" si="154"/>
        <v>-47415797.632399999</v>
      </c>
      <c r="Q409">
        <f t="shared" si="155"/>
        <v>-49385059.023200005</v>
      </c>
      <c r="S409">
        <f t="shared" si="156"/>
        <v>4676302.9530000007</v>
      </c>
      <c r="T409">
        <f t="shared" si="157"/>
        <v>-20410607.344400004</v>
      </c>
      <c r="U409">
        <f t="shared" si="158"/>
        <v>-37230635.152700007</v>
      </c>
      <c r="V409">
        <f t="shared" si="159"/>
        <v>-40764303.728399992</v>
      </c>
      <c r="W409">
        <f t="shared" si="160"/>
        <v>-55146634.2029</v>
      </c>
      <c r="X409">
        <f t="shared" si="161"/>
        <v>-56532896.513400003</v>
      </c>
      <c r="Z409">
        <f t="shared" si="162"/>
        <v>5077128.9204000011</v>
      </c>
      <c r="AA409">
        <f t="shared" si="163"/>
        <v>-22653531.228400003</v>
      </c>
      <c r="AB409">
        <f t="shared" si="164"/>
        <v>-40435921.622800007</v>
      </c>
      <c r="AC409">
        <f t="shared" si="165"/>
        <v>-51812572.963199988</v>
      </c>
      <c r="AD409">
        <f t="shared" si="166"/>
        <v>-62877470.773400009</v>
      </c>
      <c r="AE409">
        <f t="shared" si="167"/>
        <v>-63680734.003600009</v>
      </c>
    </row>
    <row r="410" spans="1:31" x14ac:dyDescent="0.25">
      <c r="A410">
        <v>37.537998850000001</v>
      </c>
      <c r="B410">
        <v>109.3809888</v>
      </c>
      <c r="C410">
        <v>3.4743599999999999E-2</v>
      </c>
      <c r="D410">
        <v>0.51882397999999996</v>
      </c>
      <c r="E410" t="b">
        <f t="shared" si="144"/>
        <v>1</v>
      </c>
      <c r="F410">
        <f t="shared" si="145"/>
        <v>0.34510597999999998</v>
      </c>
      <c r="G410">
        <f t="shared" si="146"/>
        <v>0.17138798</v>
      </c>
      <c r="H410">
        <f t="shared" si="147"/>
        <v>-2.3300200000000437E-3</v>
      </c>
      <c r="I410">
        <f t="shared" si="148"/>
        <v>-0.17604801999999997</v>
      </c>
      <c r="J410">
        <f t="shared" si="149"/>
        <v>-0.34976602000000001</v>
      </c>
      <c r="L410">
        <f t="shared" si="150"/>
        <v>66707.712</v>
      </c>
      <c r="M410">
        <f t="shared" si="151"/>
        <v>56284.631999999998</v>
      </c>
      <c r="N410">
        <f t="shared" si="152"/>
        <v>47946.167999999998</v>
      </c>
      <c r="O410">
        <f t="shared" si="153"/>
        <v>-2376.6204000000444</v>
      </c>
      <c r="P410">
        <f t="shared" si="154"/>
        <v>-161964.17839999995</v>
      </c>
      <c r="Q410">
        <f t="shared" si="155"/>
        <v>-265822.1752</v>
      </c>
      <c r="S410">
        <f t="shared" si="156"/>
        <v>72961.56</v>
      </c>
      <c r="T410">
        <f t="shared" si="157"/>
        <v>63233.351999999999</v>
      </c>
      <c r="U410">
        <f t="shared" si="158"/>
        <v>52462.835999999996</v>
      </c>
      <c r="V410">
        <f t="shared" si="159"/>
        <v>-2493.1214000000464</v>
      </c>
      <c r="W410">
        <f t="shared" si="160"/>
        <v>-188371.38139999993</v>
      </c>
      <c r="X410">
        <f t="shared" si="161"/>
        <v>-304296.4374</v>
      </c>
      <c r="Z410">
        <f t="shared" si="162"/>
        <v>79215.40800000001</v>
      </c>
      <c r="AA410">
        <f t="shared" si="163"/>
        <v>70182.072</v>
      </c>
      <c r="AB410">
        <f t="shared" si="164"/>
        <v>56979.504000000001</v>
      </c>
      <c r="AC410">
        <f t="shared" si="165"/>
        <v>-3168.8272000000588</v>
      </c>
      <c r="AD410">
        <f t="shared" si="166"/>
        <v>-214778.58439999993</v>
      </c>
      <c r="AE410">
        <f t="shared" si="167"/>
        <v>-342770.69959999999</v>
      </c>
    </row>
    <row r="411" spans="1:31" x14ac:dyDescent="0.25">
      <c r="A411">
        <v>37.538140949999999</v>
      </c>
      <c r="B411">
        <v>118.5184495</v>
      </c>
      <c r="C411">
        <v>40.0941124</v>
      </c>
      <c r="D411">
        <v>61.105094909999998</v>
      </c>
      <c r="E411" t="b">
        <f t="shared" si="144"/>
        <v>1</v>
      </c>
      <c r="F411">
        <f t="shared" si="145"/>
        <v>-139.36546709000001</v>
      </c>
      <c r="G411">
        <f t="shared" si="146"/>
        <v>-339.83602909000001</v>
      </c>
      <c r="H411">
        <f t="shared" si="147"/>
        <v>-540.30659108999998</v>
      </c>
      <c r="I411">
        <f t="shared" si="148"/>
        <v>-740.77715308999996</v>
      </c>
      <c r="J411">
        <f t="shared" si="149"/>
        <v>-941.24771508999993</v>
      </c>
      <c r="L411">
        <f t="shared" si="150"/>
        <v>76980695.807999998</v>
      </c>
      <c r="M411">
        <f t="shared" si="151"/>
        <v>-225772056.68580002</v>
      </c>
      <c r="N411">
        <f t="shared" si="152"/>
        <v>-468973720.14420003</v>
      </c>
      <c r="O411">
        <f t="shared" si="153"/>
        <v>-551112722.91180003</v>
      </c>
      <c r="P411">
        <f t="shared" si="154"/>
        <v>-681514980.8427999</v>
      </c>
      <c r="Q411">
        <f t="shared" si="155"/>
        <v>-715348263.4684</v>
      </c>
      <c r="S411">
        <f t="shared" si="156"/>
        <v>84197636.040000007</v>
      </c>
      <c r="T411">
        <f t="shared" si="157"/>
        <v>-253645150.10380003</v>
      </c>
      <c r="U411">
        <f t="shared" si="158"/>
        <v>-513152403.92590004</v>
      </c>
      <c r="V411">
        <f t="shared" si="159"/>
        <v>-578128052.46629989</v>
      </c>
      <c r="W411">
        <f t="shared" si="160"/>
        <v>-792631553.80629981</v>
      </c>
      <c r="X411">
        <f t="shared" si="161"/>
        <v>-818885512.12829995</v>
      </c>
      <c r="Z411">
        <f t="shared" si="162"/>
        <v>91414576.272</v>
      </c>
      <c r="AA411">
        <f t="shared" si="163"/>
        <v>-281518243.52179998</v>
      </c>
      <c r="AB411">
        <f t="shared" si="164"/>
        <v>-557331087.70760012</v>
      </c>
      <c r="AC411">
        <f t="shared" si="165"/>
        <v>-734816963.88240004</v>
      </c>
      <c r="AD411">
        <f t="shared" si="166"/>
        <v>-903748126.76979983</v>
      </c>
      <c r="AE411">
        <f t="shared" si="167"/>
        <v>-922422760.7881999</v>
      </c>
    </row>
    <row r="412" spans="1:31" x14ac:dyDescent="0.25">
      <c r="A412">
        <v>37.555759510000001</v>
      </c>
      <c r="B412">
        <v>118.347004</v>
      </c>
      <c r="C412">
        <v>65.630661009999997</v>
      </c>
      <c r="D412">
        <v>2.6242559000000001</v>
      </c>
      <c r="E412" t="b">
        <f t="shared" si="144"/>
        <v>0</v>
      </c>
      <c r="F412">
        <f t="shared" si="145"/>
        <v>-325.52904914999999</v>
      </c>
      <c r="G412">
        <f t="shared" si="146"/>
        <v>-653.68235419999996</v>
      </c>
      <c r="H412">
        <f t="shared" si="147"/>
        <v>-981.83565924999994</v>
      </c>
      <c r="I412">
        <f t="shared" si="148"/>
        <v>-1309.9889642999999</v>
      </c>
      <c r="J412">
        <f t="shared" si="149"/>
        <v>-1638.1422693499999</v>
      </c>
      <c r="L412">
        <f t="shared" si="150"/>
        <v>5038571.3280000007</v>
      </c>
      <c r="M412">
        <f t="shared" si="151"/>
        <v>-527357059.62300003</v>
      </c>
      <c r="N412">
        <f t="shared" si="152"/>
        <v>-902081648.79599988</v>
      </c>
      <c r="O412">
        <f t="shared" si="153"/>
        <v>-1001472372.4349999</v>
      </c>
      <c r="P412">
        <f t="shared" si="154"/>
        <v>-1205189847.1559999</v>
      </c>
      <c r="Q412">
        <f t="shared" si="155"/>
        <v>-1244988124.7059999</v>
      </c>
      <c r="S412">
        <f t="shared" si="156"/>
        <v>5510937.3899999997</v>
      </c>
      <c r="T412">
        <f t="shared" si="157"/>
        <v>-592462869.45299995</v>
      </c>
      <c r="U412">
        <f t="shared" si="158"/>
        <v>-987060354.84199989</v>
      </c>
      <c r="V412">
        <f t="shared" si="159"/>
        <v>-1050564155.3974997</v>
      </c>
      <c r="W412">
        <f t="shared" si="160"/>
        <v>-1401688191.8009996</v>
      </c>
      <c r="X412">
        <f t="shared" si="161"/>
        <v>-1425183774.3344998</v>
      </c>
      <c r="Z412">
        <f t="shared" si="162"/>
        <v>5983303.4520000005</v>
      </c>
      <c r="AA412">
        <f t="shared" si="163"/>
        <v>-657568679.28299999</v>
      </c>
      <c r="AB412">
        <f t="shared" si="164"/>
        <v>-1072039060.888</v>
      </c>
      <c r="AC412">
        <f t="shared" si="165"/>
        <v>-1335296496.5799997</v>
      </c>
      <c r="AD412">
        <f t="shared" si="166"/>
        <v>-1598186536.4459999</v>
      </c>
      <c r="AE412">
        <f t="shared" si="167"/>
        <v>-1605379423.9629998</v>
      </c>
    </row>
    <row r="413" spans="1:31" x14ac:dyDescent="0.25">
      <c r="A413">
        <v>37.57313619</v>
      </c>
      <c r="B413">
        <v>118.17548069999999</v>
      </c>
      <c r="C413">
        <v>65.630661009999997</v>
      </c>
      <c r="D413">
        <v>0.24909800000000001</v>
      </c>
      <c r="E413" t="b">
        <f t="shared" si="144"/>
        <v>0</v>
      </c>
      <c r="F413">
        <f t="shared" si="145"/>
        <v>-327.90420704999997</v>
      </c>
      <c r="G413">
        <f t="shared" si="146"/>
        <v>-656.05751209999994</v>
      </c>
      <c r="H413">
        <f t="shared" si="147"/>
        <v>-984.21081714999991</v>
      </c>
      <c r="I413">
        <f t="shared" si="148"/>
        <v>-1312.3641221999999</v>
      </c>
      <c r="J413">
        <f t="shared" si="149"/>
        <v>-1640.5174272499999</v>
      </c>
      <c r="L413">
        <f t="shared" si="150"/>
        <v>478268.16000000003</v>
      </c>
      <c r="M413">
        <f t="shared" si="151"/>
        <v>-531204815.42099994</v>
      </c>
      <c r="N413">
        <f t="shared" si="152"/>
        <v>-905359366.69799984</v>
      </c>
      <c r="O413">
        <f t="shared" si="153"/>
        <v>-1003895033.4929999</v>
      </c>
      <c r="P413">
        <f t="shared" si="154"/>
        <v>-1207374992.4239998</v>
      </c>
      <c r="Q413">
        <f t="shared" si="155"/>
        <v>-1246793244.7099998</v>
      </c>
      <c r="S413">
        <f t="shared" si="156"/>
        <v>523105.80000000005</v>
      </c>
      <c r="T413">
        <f t="shared" si="157"/>
        <v>-596785656.83099997</v>
      </c>
      <c r="U413">
        <f t="shared" si="158"/>
        <v>-990646843.27099991</v>
      </c>
      <c r="V413">
        <f t="shared" si="159"/>
        <v>-1053105574.3504996</v>
      </c>
      <c r="W413">
        <f t="shared" si="160"/>
        <v>-1404229610.7539995</v>
      </c>
      <c r="X413">
        <f t="shared" si="161"/>
        <v>-1427250161.7074997</v>
      </c>
      <c r="Z413">
        <f t="shared" si="162"/>
        <v>567943.44000000006</v>
      </c>
      <c r="AA413">
        <f t="shared" si="163"/>
        <v>-662366498.24099994</v>
      </c>
      <c r="AB413">
        <f t="shared" si="164"/>
        <v>-1075934319.8439999</v>
      </c>
      <c r="AC413">
        <f t="shared" si="165"/>
        <v>-1338526711.3239996</v>
      </c>
      <c r="AD413">
        <f t="shared" si="166"/>
        <v>-1601084229.0839996</v>
      </c>
      <c r="AE413">
        <f t="shared" si="167"/>
        <v>-1607707078.7049997</v>
      </c>
    </row>
    <row r="414" spans="1:31" x14ac:dyDescent="0.25">
      <c r="A414">
        <v>37.583637539999998</v>
      </c>
      <c r="B414">
        <v>118.5258796</v>
      </c>
      <c r="C414">
        <v>40.0941124</v>
      </c>
      <c r="D414">
        <v>0.10477599999999999</v>
      </c>
      <c r="E414" t="b">
        <f t="shared" si="144"/>
        <v>0</v>
      </c>
      <c r="F414">
        <f t="shared" si="145"/>
        <v>-200.36578600000001</v>
      </c>
      <c r="G414">
        <f t="shared" si="146"/>
        <v>-400.83634799999999</v>
      </c>
      <c r="H414">
        <f t="shared" si="147"/>
        <v>-601.30691000000002</v>
      </c>
      <c r="I414">
        <f t="shared" si="148"/>
        <v>-801.77747199999999</v>
      </c>
      <c r="J414">
        <f t="shared" si="149"/>
        <v>-1002.248034</v>
      </c>
      <c r="L414">
        <f t="shared" si="150"/>
        <v>201169.92000000001</v>
      </c>
      <c r="M414">
        <f t="shared" si="151"/>
        <v>-324592573.31999999</v>
      </c>
      <c r="N414">
        <f t="shared" si="152"/>
        <v>-553154160.24000001</v>
      </c>
      <c r="O414">
        <f t="shared" si="153"/>
        <v>-613333048.20000005</v>
      </c>
      <c r="P414">
        <f t="shared" si="154"/>
        <v>-737635274.23999989</v>
      </c>
      <c r="Q414">
        <f t="shared" si="155"/>
        <v>-761708505.84000003</v>
      </c>
      <c r="S414">
        <f t="shared" si="156"/>
        <v>220029.6</v>
      </c>
      <c r="T414">
        <f t="shared" si="157"/>
        <v>-364665730.52000004</v>
      </c>
      <c r="U414">
        <f t="shared" si="158"/>
        <v>-605262885.48000002</v>
      </c>
      <c r="V414">
        <f t="shared" si="159"/>
        <v>-643398393.69999993</v>
      </c>
      <c r="W414">
        <f t="shared" si="160"/>
        <v>-857901895.03999984</v>
      </c>
      <c r="X414">
        <f t="shared" si="161"/>
        <v>-871955789.58000004</v>
      </c>
      <c r="Z414">
        <f t="shared" si="162"/>
        <v>238889.28000000003</v>
      </c>
      <c r="AA414">
        <f t="shared" si="163"/>
        <v>-404738887.72000003</v>
      </c>
      <c r="AB414">
        <f t="shared" si="164"/>
        <v>-657371610.72000003</v>
      </c>
      <c r="AC414">
        <f t="shared" si="165"/>
        <v>-817777397.5999999</v>
      </c>
      <c r="AD414">
        <f t="shared" si="166"/>
        <v>-978168515.84000003</v>
      </c>
      <c r="AE414">
        <f t="shared" si="167"/>
        <v>-982203073.31999993</v>
      </c>
    </row>
    <row r="415" spans="1:31" x14ac:dyDescent="0.25">
      <c r="A415">
        <v>37.589540589999999</v>
      </c>
      <c r="B415">
        <v>118.4687067</v>
      </c>
      <c r="C415">
        <v>40.0941124</v>
      </c>
      <c r="D415">
        <v>0.21717800000000001</v>
      </c>
      <c r="E415" t="b">
        <f t="shared" si="144"/>
        <v>0</v>
      </c>
      <c r="F415">
        <f t="shared" si="145"/>
        <v>-200.25338400000001</v>
      </c>
      <c r="G415">
        <f t="shared" si="146"/>
        <v>-400.72394600000001</v>
      </c>
      <c r="H415">
        <f t="shared" si="147"/>
        <v>-601.19450800000004</v>
      </c>
      <c r="I415">
        <f t="shared" si="148"/>
        <v>-801.66507000000001</v>
      </c>
      <c r="J415">
        <f t="shared" si="149"/>
        <v>-1002.135632</v>
      </c>
      <c r="L415">
        <f t="shared" si="150"/>
        <v>416981.76000000001</v>
      </c>
      <c r="M415">
        <f t="shared" si="151"/>
        <v>-324410482.08000004</v>
      </c>
      <c r="N415">
        <f t="shared" si="152"/>
        <v>-552999045.4799999</v>
      </c>
      <c r="O415">
        <f t="shared" si="153"/>
        <v>-613218398.15999997</v>
      </c>
      <c r="P415">
        <f t="shared" si="154"/>
        <v>-737531864.39999998</v>
      </c>
      <c r="Q415">
        <f t="shared" si="155"/>
        <v>-761623080.32000005</v>
      </c>
      <c r="S415">
        <f t="shared" si="156"/>
        <v>456073.80000000005</v>
      </c>
      <c r="T415">
        <f t="shared" si="157"/>
        <v>-364461158.88</v>
      </c>
      <c r="U415">
        <f t="shared" si="158"/>
        <v>-605093158.46000004</v>
      </c>
      <c r="V415">
        <f t="shared" si="159"/>
        <v>-643278123.55999994</v>
      </c>
      <c r="W415">
        <f t="shared" si="160"/>
        <v>-857781624.89999986</v>
      </c>
      <c r="X415">
        <f t="shared" si="161"/>
        <v>-871857999.84000003</v>
      </c>
      <c r="Z415">
        <f t="shared" si="162"/>
        <v>495165.84</v>
      </c>
      <c r="AA415">
        <f t="shared" si="163"/>
        <v>-404511835.68000001</v>
      </c>
      <c r="AB415">
        <f t="shared" si="164"/>
        <v>-657187271.44000006</v>
      </c>
      <c r="AC415">
        <f t="shared" si="165"/>
        <v>-817624530.87999988</v>
      </c>
      <c r="AD415">
        <f t="shared" si="166"/>
        <v>-978031385.39999998</v>
      </c>
      <c r="AE415">
        <f t="shared" si="167"/>
        <v>-982092919.36000001</v>
      </c>
    </row>
    <row r="416" spans="1:31" x14ac:dyDescent="0.25">
      <c r="A416">
        <v>37.594665220000003</v>
      </c>
      <c r="B416">
        <v>117.4818068</v>
      </c>
      <c r="C416">
        <v>0</v>
      </c>
      <c r="D416">
        <v>0.45891800999999999</v>
      </c>
      <c r="E416" t="b">
        <f t="shared" si="144"/>
        <v>1</v>
      </c>
      <c r="F416">
        <f t="shared" si="145"/>
        <v>0.45891800999999999</v>
      </c>
      <c r="G416">
        <f t="shared" si="146"/>
        <v>0.45891800999999999</v>
      </c>
      <c r="H416">
        <f t="shared" si="147"/>
        <v>0.45891800999999999</v>
      </c>
      <c r="I416">
        <f t="shared" si="148"/>
        <v>0.45891800999999999</v>
      </c>
      <c r="J416">
        <f t="shared" si="149"/>
        <v>0.45891800999999999</v>
      </c>
      <c r="L416">
        <f t="shared" si="150"/>
        <v>0</v>
      </c>
      <c r="M416">
        <f t="shared" si="151"/>
        <v>0</v>
      </c>
      <c r="N416">
        <f t="shared" si="152"/>
        <v>0</v>
      </c>
      <c r="O416">
        <f t="shared" si="153"/>
        <v>0</v>
      </c>
      <c r="P416">
        <f t="shared" si="154"/>
        <v>0</v>
      </c>
      <c r="Q416">
        <f t="shared" si="155"/>
        <v>0</v>
      </c>
      <c r="S416">
        <f t="shared" si="156"/>
        <v>0</v>
      </c>
      <c r="T416">
        <f t="shared" si="157"/>
        <v>0</v>
      </c>
      <c r="U416">
        <f t="shared" si="158"/>
        <v>0</v>
      </c>
      <c r="V416">
        <f t="shared" si="159"/>
        <v>0</v>
      </c>
      <c r="W416">
        <f t="shared" si="160"/>
        <v>0</v>
      </c>
      <c r="X416">
        <f t="shared" si="161"/>
        <v>0</v>
      </c>
      <c r="Z416">
        <f t="shared" si="162"/>
        <v>0</v>
      </c>
      <c r="AA416">
        <f t="shared" si="163"/>
        <v>0</v>
      </c>
      <c r="AB416">
        <f t="shared" si="164"/>
        <v>0</v>
      </c>
      <c r="AC416">
        <f t="shared" si="165"/>
        <v>0</v>
      </c>
      <c r="AD416">
        <f t="shared" si="166"/>
        <v>0</v>
      </c>
      <c r="AE416">
        <f t="shared" si="167"/>
        <v>0</v>
      </c>
    </row>
    <row r="417" spans="1:31" x14ac:dyDescent="0.25">
      <c r="A417">
        <v>37.595513529999998</v>
      </c>
      <c r="B417">
        <v>114.6991276</v>
      </c>
      <c r="C417">
        <v>5.4292302100000001</v>
      </c>
      <c r="D417">
        <v>0.74794799000000001</v>
      </c>
      <c r="E417" t="b">
        <f t="shared" si="144"/>
        <v>0</v>
      </c>
      <c r="F417">
        <f t="shared" si="145"/>
        <v>-26.39820306</v>
      </c>
      <c r="G417">
        <f t="shared" si="146"/>
        <v>-53.54435411</v>
      </c>
      <c r="H417">
        <f t="shared" si="147"/>
        <v>-80.690505160000001</v>
      </c>
      <c r="I417">
        <f t="shared" si="148"/>
        <v>-107.83665621</v>
      </c>
      <c r="J417">
        <f t="shared" si="149"/>
        <v>-134.98280726000002</v>
      </c>
      <c r="L417">
        <f t="shared" si="150"/>
        <v>1436060.1408000002</v>
      </c>
      <c r="M417">
        <f t="shared" si="151"/>
        <v>-42765088.957199998</v>
      </c>
      <c r="N417">
        <f t="shared" si="152"/>
        <v>-73891208.671799988</v>
      </c>
      <c r="O417">
        <f t="shared" si="153"/>
        <v>-82304315.2632</v>
      </c>
      <c r="P417">
        <f t="shared" si="154"/>
        <v>-99209723.713200003</v>
      </c>
      <c r="Q417">
        <f t="shared" si="155"/>
        <v>-102586933.51760001</v>
      </c>
      <c r="S417">
        <f t="shared" si="156"/>
        <v>1570690.7790000001</v>
      </c>
      <c r="T417">
        <f t="shared" si="157"/>
        <v>-48044729.569200002</v>
      </c>
      <c r="U417">
        <f t="shared" si="158"/>
        <v>-80851974.706100002</v>
      </c>
      <c r="V417">
        <f t="shared" si="159"/>
        <v>-86338840.521199986</v>
      </c>
      <c r="W417">
        <f t="shared" si="160"/>
        <v>-115385222.14469999</v>
      </c>
      <c r="X417">
        <f t="shared" si="161"/>
        <v>-117435042.31620002</v>
      </c>
      <c r="Z417">
        <f t="shared" si="162"/>
        <v>1705321.4172000003</v>
      </c>
      <c r="AA417">
        <f t="shared" si="163"/>
        <v>-53324370.181199998</v>
      </c>
      <c r="AB417">
        <f t="shared" si="164"/>
        <v>-87812740.740400001</v>
      </c>
      <c r="AC417">
        <f t="shared" si="165"/>
        <v>-109739087.01759999</v>
      </c>
      <c r="AD417">
        <f t="shared" si="166"/>
        <v>-131560720.57620001</v>
      </c>
      <c r="AE417">
        <f t="shared" si="167"/>
        <v>-132283151.11480002</v>
      </c>
    </row>
    <row r="418" spans="1:31" x14ac:dyDescent="0.25">
      <c r="A418">
        <v>37.625024029999999</v>
      </c>
      <c r="B418">
        <v>107.1922756</v>
      </c>
      <c r="C418">
        <v>2.6882860700000002</v>
      </c>
      <c r="D418">
        <v>1.63150799</v>
      </c>
      <c r="E418" t="b">
        <f t="shared" si="144"/>
        <v>0</v>
      </c>
      <c r="F418">
        <f t="shared" si="145"/>
        <v>-11.809922360000002</v>
      </c>
      <c r="G418">
        <f t="shared" si="146"/>
        <v>-25.251352710000003</v>
      </c>
      <c r="H418">
        <f t="shared" si="147"/>
        <v>-38.692783059999996</v>
      </c>
      <c r="I418">
        <f t="shared" si="148"/>
        <v>-52.134213410000001</v>
      </c>
      <c r="J418">
        <f t="shared" si="149"/>
        <v>-65.575643760000005</v>
      </c>
      <c r="L418">
        <f t="shared" si="150"/>
        <v>3132495.3408000004</v>
      </c>
      <c r="M418">
        <f t="shared" si="151"/>
        <v>-19132074.223200005</v>
      </c>
      <c r="N418">
        <f t="shared" si="152"/>
        <v>-34846866.739799999</v>
      </c>
      <c r="O418">
        <f t="shared" si="153"/>
        <v>-39466638.721199997</v>
      </c>
      <c r="P418">
        <f t="shared" si="154"/>
        <v>-47963476.337200001</v>
      </c>
      <c r="Q418">
        <f t="shared" si="155"/>
        <v>-49837489.257600002</v>
      </c>
      <c r="S418">
        <f t="shared" si="156"/>
        <v>3426166.7790000001</v>
      </c>
      <c r="T418">
        <f t="shared" si="157"/>
        <v>-21494058.695200004</v>
      </c>
      <c r="U418">
        <f t="shared" si="158"/>
        <v>-38129542.592100002</v>
      </c>
      <c r="V418">
        <f t="shared" si="159"/>
        <v>-41401277.874199986</v>
      </c>
      <c r="W418">
        <f t="shared" si="160"/>
        <v>-55783608.348699994</v>
      </c>
      <c r="X418">
        <f t="shared" si="161"/>
        <v>-57050810.071200006</v>
      </c>
      <c r="Z418">
        <f t="shared" si="162"/>
        <v>3719838.2172000003</v>
      </c>
      <c r="AA418">
        <f t="shared" si="163"/>
        <v>-23856043.167200003</v>
      </c>
      <c r="AB418">
        <f t="shared" si="164"/>
        <v>-41412218.444400005</v>
      </c>
      <c r="AC418">
        <f t="shared" si="165"/>
        <v>-52622184.961599991</v>
      </c>
      <c r="AD418">
        <f t="shared" si="166"/>
        <v>-63603740.360200003</v>
      </c>
      <c r="AE418">
        <f t="shared" si="167"/>
        <v>-64264130.884800002</v>
      </c>
    </row>
    <row r="419" spans="1:31" x14ac:dyDescent="0.25">
      <c r="A419">
        <v>37.626595219999999</v>
      </c>
      <c r="B419">
        <v>107.0192423</v>
      </c>
      <c r="C419">
        <v>2.6882860700000002</v>
      </c>
      <c r="D419">
        <v>0.14516699</v>
      </c>
      <c r="E419" t="b">
        <f t="shared" si="144"/>
        <v>0</v>
      </c>
      <c r="F419">
        <f t="shared" si="145"/>
        <v>-13.296263360000001</v>
      </c>
      <c r="G419">
        <f t="shared" si="146"/>
        <v>-26.737693710000002</v>
      </c>
      <c r="H419">
        <f t="shared" si="147"/>
        <v>-40.179124059999999</v>
      </c>
      <c r="I419">
        <f t="shared" si="148"/>
        <v>-53.620554410000004</v>
      </c>
      <c r="J419">
        <f t="shared" si="149"/>
        <v>-67.061984760000001</v>
      </c>
      <c r="L419">
        <f t="shared" si="150"/>
        <v>278720.62079999998</v>
      </c>
      <c r="M419">
        <f t="shared" si="151"/>
        <v>-21539946.643200003</v>
      </c>
      <c r="N419">
        <f t="shared" si="152"/>
        <v>-36898017.319799997</v>
      </c>
      <c r="O419">
        <f t="shared" si="153"/>
        <v>-40982706.541200005</v>
      </c>
      <c r="P419">
        <f t="shared" si="154"/>
        <v>-49330910.0572</v>
      </c>
      <c r="Q419">
        <f t="shared" si="155"/>
        <v>-50967108.417599998</v>
      </c>
      <c r="S419">
        <f t="shared" si="156"/>
        <v>304850.679</v>
      </c>
      <c r="T419">
        <f t="shared" si="157"/>
        <v>-24199199.315200005</v>
      </c>
      <c r="U419">
        <f t="shared" si="158"/>
        <v>-40373917.502099998</v>
      </c>
      <c r="V419">
        <f t="shared" si="159"/>
        <v>-42991662.744199999</v>
      </c>
      <c r="W419">
        <f t="shared" si="160"/>
        <v>-57373993.218699999</v>
      </c>
      <c r="X419">
        <f t="shared" si="161"/>
        <v>-58343926.7412</v>
      </c>
      <c r="Z419">
        <f t="shared" si="162"/>
        <v>330980.73720000003</v>
      </c>
      <c r="AA419">
        <f t="shared" si="163"/>
        <v>-26858451.987200003</v>
      </c>
      <c r="AB419">
        <f t="shared" si="164"/>
        <v>-43849817.684400007</v>
      </c>
      <c r="AC419">
        <f t="shared" si="165"/>
        <v>-54643608.721599996</v>
      </c>
      <c r="AD419">
        <f t="shared" si="166"/>
        <v>-65417076.380200006</v>
      </c>
      <c r="AE419">
        <f t="shared" si="167"/>
        <v>-65720745.064799994</v>
      </c>
    </row>
    <row r="420" spans="1:31" x14ac:dyDescent="0.25">
      <c r="A420">
        <v>37.64436559</v>
      </c>
      <c r="B420">
        <v>108.80840980000001</v>
      </c>
      <c r="C420">
        <v>2.8402893499999999</v>
      </c>
      <c r="D420">
        <v>0.21495900000000001</v>
      </c>
      <c r="E420" t="b">
        <f t="shared" si="144"/>
        <v>0</v>
      </c>
      <c r="F420">
        <f t="shared" si="145"/>
        <v>-13.986487749999998</v>
      </c>
      <c r="G420">
        <f t="shared" si="146"/>
        <v>-28.187934499999997</v>
      </c>
      <c r="H420">
        <f t="shared" si="147"/>
        <v>-42.38938125</v>
      </c>
      <c r="I420">
        <f t="shared" si="148"/>
        <v>-56.590827999999995</v>
      </c>
      <c r="J420">
        <f t="shared" si="149"/>
        <v>-70.792274750000004</v>
      </c>
      <c r="L420">
        <f t="shared" si="150"/>
        <v>412721.28</v>
      </c>
      <c r="M420">
        <f t="shared" si="151"/>
        <v>-22658110.154999997</v>
      </c>
      <c r="N420">
        <f t="shared" si="152"/>
        <v>-38899349.609999992</v>
      </c>
      <c r="O420">
        <f t="shared" si="153"/>
        <v>-43237168.875</v>
      </c>
      <c r="P420">
        <f t="shared" si="154"/>
        <v>-52063561.75999999</v>
      </c>
      <c r="Q420">
        <f t="shared" si="155"/>
        <v>-53802128.810000002</v>
      </c>
      <c r="S420">
        <f t="shared" si="156"/>
        <v>451413.9</v>
      </c>
      <c r="T420">
        <f t="shared" si="157"/>
        <v>-25455407.704999998</v>
      </c>
      <c r="U420">
        <f t="shared" si="158"/>
        <v>-42563781.094999991</v>
      </c>
      <c r="V420">
        <f t="shared" si="159"/>
        <v>-45356637.937499993</v>
      </c>
      <c r="W420">
        <f t="shared" si="160"/>
        <v>-60552185.959999986</v>
      </c>
      <c r="X420">
        <f t="shared" si="161"/>
        <v>-61589279.032499999</v>
      </c>
      <c r="Z420">
        <f t="shared" si="162"/>
        <v>490106.52000000008</v>
      </c>
      <c r="AA420">
        <f t="shared" si="163"/>
        <v>-28252705.254999995</v>
      </c>
      <c r="AB420">
        <f t="shared" si="164"/>
        <v>-46228212.579999998</v>
      </c>
      <c r="AC420">
        <f t="shared" si="165"/>
        <v>-57649558.499999993</v>
      </c>
      <c r="AD420">
        <f t="shared" si="166"/>
        <v>-69040810.159999996</v>
      </c>
      <c r="AE420">
        <f t="shared" si="167"/>
        <v>-69376429.254999995</v>
      </c>
    </row>
    <row r="421" spans="1:31" x14ac:dyDescent="0.25">
      <c r="A421">
        <v>37.660913139999998</v>
      </c>
      <c r="B421">
        <v>119.5285063</v>
      </c>
      <c r="C421">
        <v>7.2894048700000003</v>
      </c>
      <c r="D421">
        <v>11.71413898</v>
      </c>
      <c r="E421" t="b">
        <f t="shared" si="144"/>
        <v>1</v>
      </c>
      <c r="F421">
        <f t="shared" si="145"/>
        <v>-24.732885369999998</v>
      </c>
      <c r="G421">
        <f t="shared" si="146"/>
        <v>-61.179909719999998</v>
      </c>
      <c r="H421">
        <f t="shared" si="147"/>
        <v>-97.626934070000004</v>
      </c>
      <c r="I421">
        <f t="shared" si="148"/>
        <v>-134.07395842</v>
      </c>
      <c r="J421">
        <f t="shared" si="149"/>
        <v>-170.52098277000002</v>
      </c>
      <c r="L421">
        <f t="shared" si="150"/>
        <v>13995657.350400001</v>
      </c>
      <c r="M421">
        <f t="shared" si="151"/>
        <v>-40067274.299400002</v>
      </c>
      <c r="N421">
        <f t="shared" si="152"/>
        <v>-84428275.413599998</v>
      </c>
      <c r="O421">
        <f t="shared" si="153"/>
        <v>-99579472.751400009</v>
      </c>
      <c r="P421">
        <f t="shared" si="154"/>
        <v>-123348041.7464</v>
      </c>
      <c r="Q421">
        <f t="shared" si="155"/>
        <v>-129595946.9052</v>
      </c>
      <c r="S421">
        <f t="shared" si="156"/>
        <v>15307750.227</v>
      </c>
      <c r="T421">
        <f t="shared" si="157"/>
        <v>-45013851.373399995</v>
      </c>
      <c r="U421">
        <f t="shared" si="158"/>
        <v>-92381663.677200004</v>
      </c>
      <c r="V421">
        <f t="shared" si="159"/>
        <v>-104460819.4549</v>
      </c>
      <c r="W421">
        <f t="shared" si="160"/>
        <v>-143459135.50939998</v>
      </c>
      <c r="X421">
        <f t="shared" si="161"/>
        <v>-148353255.0099</v>
      </c>
      <c r="Z421">
        <f t="shared" si="162"/>
        <v>16619843.103600003</v>
      </c>
      <c r="AA421">
        <f t="shared" si="163"/>
        <v>-49960428.447399996</v>
      </c>
      <c r="AB421">
        <f t="shared" si="164"/>
        <v>-100335051.94080001</v>
      </c>
      <c r="AC421">
        <f t="shared" si="165"/>
        <v>-132772630.3352</v>
      </c>
      <c r="AD421">
        <f t="shared" si="166"/>
        <v>-163570229.27239999</v>
      </c>
      <c r="AE421">
        <f t="shared" si="167"/>
        <v>-167110563.1146</v>
      </c>
    </row>
    <row r="422" spans="1:31" x14ac:dyDescent="0.25">
      <c r="A422">
        <v>37.673633100000004</v>
      </c>
      <c r="B422">
        <v>119.41419569999999</v>
      </c>
      <c r="C422">
        <v>15.833525659999999</v>
      </c>
      <c r="D422">
        <v>9.3414583199999992</v>
      </c>
      <c r="E422" t="b">
        <f t="shared" si="144"/>
        <v>0</v>
      </c>
      <c r="F422">
        <f t="shared" si="145"/>
        <v>-69.826169979999989</v>
      </c>
      <c r="G422">
        <f t="shared" si="146"/>
        <v>-148.99379827999999</v>
      </c>
      <c r="H422">
        <f t="shared" si="147"/>
        <v>-228.16142658000001</v>
      </c>
      <c r="I422">
        <f t="shared" si="148"/>
        <v>-307.32905487999994</v>
      </c>
      <c r="J422">
        <f t="shared" si="149"/>
        <v>-386.49668317999999</v>
      </c>
      <c r="L422">
        <f t="shared" si="150"/>
        <v>17935599.974399999</v>
      </c>
      <c r="M422">
        <f t="shared" si="151"/>
        <v>-113118395.36759999</v>
      </c>
      <c r="N422">
        <f t="shared" si="152"/>
        <v>-205611441.62639999</v>
      </c>
      <c r="O422">
        <f t="shared" si="153"/>
        <v>-232724655.11160001</v>
      </c>
      <c r="P422">
        <f t="shared" si="154"/>
        <v>-282742730.48959994</v>
      </c>
      <c r="Q422">
        <f t="shared" si="155"/>
        <v>-293737479.21680003</v>
      </c>
      <c r="S422">
        <f t="shared" si="156"/>
        <v>19617062.471999999</v>
      </c>
      <c r="T422">
        <f t="shared" si="157"/>
        <v>-127083629.36359999</v>
      </c>
      <c r="U422">
        <f t="shared" si="158"/>
        <v>-224980635.40279999</v>
      </c>
      <c r="V422">
        <f t="shared" si="159"/>
        <v>-244132726.44059998</v>
      </c>
      <c r="W422">
        <f t="shared" si="160"/>
        <v>-328842088.72159988</v>
      </c>
      <c r="X422">
        <f t="shared" si="161"/>
        <v>-336252114.36659998</v>
      </c>
      <c r="Z422">
        <f t="shared" si="162"/>
        <v>21298524.969599999</v>
      </c>
      <c r="AA422">
        <f t="shared" si="163"/>
        <v>-141048863.35959998</v>
      </c>
      <c r="AB422">
        <f t="shared" si="164"/>
        <v>-244349829.17920002</v>
      </c>
      <c r="AC422">
        <f t="shared" si="165"/>
        <v>-310299540.14880002</v>
      </c>
      <c r="AD422">
        <f t="shared" si="166"/>
        <v>-374941446.95359993</v>
      </c>
      <c r="AE422">
        <f t="shared" si="167"/>
        <v>-378766749.51639998</v>
      </c>
    </row>
    <row r="423" spans="1:31" x14ac:dyDescent="0.25">
      <c r="A423">
        <v>37.694392280000002</v>
      </c>
      <c r="B423">
        <v>115.2321666</v>
      </c>
      <c r="C423">
        <v>8.8866233799999996</v>
      </c>
      <c r="D423">
        <v>2.8249459300000002</v>
      </c>
      <c r="E423" t="b">
        <f t="shared" si="144"/>
        <v>0</v>
      </c>
      <c r="F423">
        <f t="shared" si="145"/>
        <v>-41.608170970000003</v>
      </c>
      <c r="G423">
        <f t="shared" si="146"/>
        <v>-86.041287870000005</v>
      </c>
      <c r="H423">
        <f t="shared" si="147"/>
        <v>-130.47440476999998</v>
      </c>
      <c r="I423">
        <f t="shared" si="148"/>
        <v>-174.90752166999999</v>
      </c>
      <c r="J423">
        <f t="shared" si="149"/>
        <v>-219.34063856999998</v>
      </c>
      <c r="L423">
        <f t="shared" si="150"/>
        <v>5423896.1856000004</v>
      </c>
      <c r="M423">
        <f t="shared" si="151"/>
        <v>-67405236.971400008</v>
      </c>
      <c r="N423">
        <f t="shared" si="152"/>
        <v>-118736977.2606</v>
      </c>
      <c r="O423">
        <f t="shared" si="153"/>
        <v>-133083892.86539999</v>
      </c>
      <c r="P423">
        <f t="shared" si="154"/>
        <v>-160914919.93639997</v>
      </c>
      <c r="Q423">
        <f t="shared" si="155"/>
        <v>-166698885.3132</v>
      </c>
      <c r="S423">
        <f t="shared" si="156"/>
        <v>5932386.4530000007</v>
      </c>
      <c r="T423">
        <f t="shared" si="157"/>
        <v>-75726871.165400013</v>
      </c>
      <c r="U423">
        <f t="shared" si="158"/>
        <v>-129922344.68370001</v>
      </c>
      <c r="V423">
        <f t="shared" si="159"/>
        <v>-139607613.10389996</v>
      </c>
      <c r="W423">
        <f t="shared" si="160"/>
        <v>-187151048.18689996</v>
      </c>
      <c r="X423">
        <f t="shared" si="161"/>
        <v>-190826355.55590001</v>
      </c>
      <c r="Z423">
        <f t="shared" si="162"/>
        <v>6440876.7204000009</v>
      </c>
      <c r="AA423">
        <f t="shared" si="163"/>
        <v>-84048505.359400019</v>
      </c>
      <c r="AB423">
        <f t="shared" si="164"/>
        <v>-141107712.10680002</v>
      </c>
      <c r="AC423">
        <f t="shared" si="165"/>
        <v>-177445190.48719996</v>
      </c>
      <c r="AD423">
        <f t="shared" si="166"/>
        <v>-213387176.43739998</v>
      </c>
      <c r="AE423">
        <f t="shared" si="167"/>
        <v>-214953825.79859999</v>
      </c>
    </row>
    <row r="424" spans="1:31" x14ac:dyDescent="0.25">
      <c r="A424">
        <v>37.699938469999999</v>
      </c>
      <c r="B424">
        <v>119.5937191</v>
      </c>
      <c r="C424">
        <v>12.76437569</v>
      </c>
      <c r="D424">
        <v>5.8913621899999997</v>
      </c>
      <c r="E424" t="b">
        <f t="shared" si="144"/>
        <v>0</v>
      </c>
      <c r="F424">
        <f t="shared" si="145"/>
        <v>-57.930516259999997</v>
      </c>
      <c r="G424">
        <f t="shared" si="146"/>
        <v>-121.75239471</v>
      </c>
      <c r="H424">
        <f t="shared" si="147"/>
        <v>-185.57427315999999</v>
      </c>
      <c r="I424">
        <f t="shared" si="148"/>
        <v>-249.39615161</v>
      </c>
      <c r="J424">
        <f t="shared" si="149"/>
        <v>-313.21803005999999</v>
      </c>
      <c r="L424">
        <f t="shared" si="150"/>
        <v>11311415.4048</v>
      </c>
      <c r="M424">
        <f t="shared" si="151"/>
        <v>-93847436.341200009</v>
      </c>
      <c r="N424">
        <f t="shared" si="152"/>
        <v>-168018304.69979998</v>
      </c>
      <c r="O424">
        <f t="shared" si="153"/>
        <v>-189285758.6232</v>
      </c>
      <c r="P424">
        <f t="shared" si="154"/>
        <v>-229444459.48120001</v>
      </c>
      <c r="Q424">
        <f t="shared" si="155"/>
        <v>-238045702.84560001</v>
      </c>
      <c r="S424">
        <f t="shared" si="156"/>
        <v>12371860.598999999</v>
      </c>
      <c r="T424">
        <f t="shared" si="157"/>
        <v>-105433539.5932</v>
      </c>
      <c r="U424">
        <f t="shared" si="158"/>
        <v>-183846116.01210001</v>
      </c>
      <c r="V424">
        <f t="shared" si="159"/>
        <v>-198564472.28119996</v>
      </c>
      <c r="W424">
        <f t="shared" si="160"/>
        <v>-266853882.22269997</v>
      </c>
      <c r="X424">
        <f t="shared" si="161"/>
        <v>-272499686.15219998</v>
      </c>
      <c r="Z424">
        <f t="shared" si="162"/>
        <v>13432305.793200001</v>
      </c>
      <c r="AA424">
        <f t="shared" si="163"/>
        <v>-117019642.8452</v>
      </c>
      <c r="AB424">
        <f t="shared" si="164"/>
        <v>-199673927.32440004</v>
      </c>
      <c r="AC424">
        <f t="shared" si="165"/>
        <v>-252381011.49759996</v>
      </c>
      <c r="AD424">
        <f t="shared" si="166"/>
        <v>-304263304.96420002</v>
      </c>
      <c r="AE424">
        <f t="shared" si="167"/>
        <v>-306953669.45880002</v>
      </c>
    </row>
    <row r="425" spans="1:31" x14ac:dyDescent="0.25">
      <c r="A425">
        <v>37.703905159999998</v>
      </c>
      <c r="B425">
        <v>118.2544819</v>
      </c>
      <c r="C425">
        <v>76.896270749999999</v>
      </c>
      <c r="D425">
        <v>5.7906041100000003</v>
      </c>
      <c r="E425" t="b">
        <f t="shared" si="144"/>
        <v>0</v>
      </c>
      <c r="F425">
        <f t="shared" si="145"/>
        <v>-378.69074963999998</v>
      </c>
      <c r="G425">
        <f t="shared" si="146"/>
        <v>-763.17210338999996</v>
      </c>
      <c r="H425">
        <f t="shared" si="147"/>
        <v>-1147.65345714</v>
      </c>
      <c r="I425">
        <f t="shared" si="148"/>
        <v>-1532.1348108899999</v>
      </c>
      <c r="J425">
        <f t="shared" si="149"/>
        <v>-1916.6161646400001</v>
      </c>
      <c r="L425">
        <f t="shared" si="150"/>
        <v>11117959.891200002</v>
      </c>
      <c r="M425">
        <f t="shared" si="151"/>
        <v>-613479014.41680002</v>
      </c>
      <c r="N425">
        <f t="shared" si="152"/>
        <v>-1053177502.6781999</v>
      </c>
      <c r="O425">
        <f t="shared" si="153"/>
        <v>-1170606526.2828002</v>
      </c>
      <c r="P425">
        <f t="shared" si="154"/>
        <v>-1409564026.0187998</v>
      </c>
      <c r="Q425">
        <f t="shared" si="155"/>
        <v>-1456628285.1264</v>
      </c>
      <c r="S425">
        <f t="shared" si="156"/>
        <v>12160268.631000001</v>
      </c>
      <c r="T425">
        <f t="shared" si="157"/>
        <v>-689217164.3448</v>
      </c>
      <c r="U425">
        <f t="shared" si="158"/>
        <v>-1152389876.1189001</v>
      </c>
      <c r="V425">
        <f t="shared" si="159"/>
        <v>-1227989199.1397998</v>
      </c>
      <c r="W425">
        <f t="shared" si="160"/>
        <v>-1639384247.6522996</v>
      </c>
      <c r="X425">
        <f t="shared" si="161"/>
        <v>-1667456063.2368002</v>
      </c>
      <c r="Z425">
        <f t="shared" si="162"/>
        <v>13202577.370800002</v>
      </c>
      <c r="AA425">
        <f t="shared" si="163"/>
        <v>-764955314.27279997</v>
      </c>
      <c r="AB425">
        <f t="shared" si="164"/>
        <v>-1251602249.5596001</v>
      </c>
      <c r="AC425">
        <f t="shared" si="165"/>
        <v>-1560808701.7104001</v>
      </c>
      <c r="AD425">
        <f t="shared" si="166"/>
        <v>-1869204469.2857997</v>
      </c>
      <c r="AE425">
        <f t="shared" si="167"/>
        <v>-1878283841.3472002</v>
      </c>
    </row>
    <row r="426" spans="1:31" x14ac:dyDescent="0.25">
      <c r="A426">
        <v>37.715584700000001</v>
      </c>
      <c r="B426">
        <v>107.3091862</v>
      </c>
      <c r="C426">
        <v>2.6882860700000002</v>
      </c>
      <c r="D426">
        <v>1.1967999999999999E-2</v>
      </c>
      <c r="E426" t="b">
        <f t="shared" si="144"/>
        <v>0</v>
      </c>
      <c r="F426">
        <f t="shared" si="145"/>
        <v>-13.429462350000001</v>
      </c>
      <c r="G426">
        <f t="shared" si="146"/>
        <v>-26.870892700000002</v>
      </c>
      <c r="H426">
        <f t="shared" si="147"/>
        <v>-40.312323049999996</v>
      </c>
      <c r="I426">
        <f t="shared" si="148"/>
        <v>-53.753753400000001</v>
      </c>
      <c r="J426">
        <f t="shared" si="149"/>
        <v>-67.195183750000012</v>
      </c>
      <c r="L426">
        <f t="shared" si="150"/>
        <v>22978.560000000001</v>
      </c>
      <c r="M426">
        <f t="shared" si="151"/>
        <v>-21755729.007000003</v>
      </c>
      <c r="N426">
        <f t="shared" si="152"/>
        <v>-37081831.925999999</v>
      </c>
      <c r="O426">
        <f t="shared" si="153"/>
        <v>-41118569.511</v>
      </c>
      <c r="P426">
        <f t="shared" si="154"/>
        <v>-49453453.127999991</v>
      </c>
      <c r="Q426">
        <f t="shared" si="155"/>
        <v>-51068339.650000013</v>
      </c>
      <c r="S426">
        <f t="shared" si="156"/>
        <v>25132.799999999999</v>
      </c>
      <c r="T426">
        <f t="shared" si="157"/>
        <v>-24441621.477000002</v>
      </c>
      <c r="U426">
        <f t="shared" si="158"/>
        <v>-40575047.977000006</v>
      </c>
      <c r="V426">
        <f t="shared" si="159"/>
        <v>-43134185.663499989</v>
      </c>
      <c r="W426">
        <f t="shared" si="160"/>
        <v>-57516516.137999989</v>
      </c>
      <c r="X426">
        <f t="shared" si="161"/>
        <v>-58459809.862500012</v>
      </c>
      <c r="Z426">
        <f t="shared" si="162"/>
        <v>27287.040000000005</v>
      </c>
      <c r="AA426">
        <f t="shared" si="163"/>
        <v>-27127513.947000004</v>
      </c>
      <c r="AB426">
        <f t="shared" si="164"/>
        <v>-44068264.028000005</v>
      </c>
      <c r="AC426">
        <f t="shared" si="165"/>
        <v>-54824759.34799999</v>
      </c>
      <c r="AD426">
        <f t="shared" si="166"/>
        <v>-65579579.147999994</v>
      </c>
      <c r="AE426">
        <f t="shared" si="167"/>
        <v>-65851280.07500001</v>
      </c>
    </row>
    <row r="427" spans="1:31" x14ac:dyDescent="0.25">
      <c r="A427">
        <v>37.726030379999997</v>
      </c>
      <c r="B427">
        <v>118.4909499</v>
      </c>
      <c r="C427">
        <v>65.630661009999997</v>
      </c>
      <c r="D427">
        <v>3.4091000600000001</v>
      </c>
      <c r="E427" t="b">
        <f t="shared" si="144"/>
        <v>0</v>
      </c>
      <c r="F427">
        <f t="shared" si="145"/>
        <v>-324.74420498999996</v>
      </c>
      <c r="G427">
        <f t="shared" si="146"/>
        <v>-652.89751003999993</v>
      </c>
      <c r="H427">
        <f t="shared" si="147"/>
        <v>-981.0508150899999</v>
      </c>
      <c r="I427">
        <f t="shared" si="148"/>
        <v>-1309.20412014</v>
      </c>
      <c r="J427">
        <f t="shared" si="149"/>
        <v>-1637.35742519</v>
      </c>
      <c r="L427">
        <f t="shared" si="150"/>
        <v>6545472.1152000008</v>
      </c>
      <c r="M427">
        <f t="shared" si="151"/>
        <v>-526085612.08379996</v>
      </c>
      <c r="N427">
        <f t="shared" si="152"/>
        <v>-900998563.85519993</v>
      </c>
      <c r="O427">
        <f t="shared" si="153"/>
        <v>-1000671831.3917999</v>
      </c>
      <c r="P427">
        <f t="shared" si="154"/>
        <v>-1204467790.5288</v>
      </c>
      <c r="Q427">
        <f t="shared" si="155"/>
        <v>-1244391643.1444001</v>
      </c>
      <c r="S427">
        <f t="shared" si="156"/>
        <v>7159110.1260000002</v>
      </c>
      <c r="T427">
        <f t="shared" si="157"/>
        <v>-591034453.08179998</v>
      </c>
      <c r="U427">
        <f t="shared" si="158"/>
        <v>-985875240.16039991</v>
      </c>
      <c r="V427">
        <f t="shared" si="159"/>
        <v>-1049724372.1462997</v>
      </c>
      <c r="W427">
        <f t="shared" si="160"/>
        <v>-1400848408.5497999</v>
      </c>
      <c r="X427">
        <f t="shared" si="161"/>
        <v>-1424500959.9153001</v>
      </c>
      <c r="Z427">
        <f t="shared" si="162"/>
        <v>7772748.1368000014</v>
      </c>
      <c r="AA427">
        <f t="shared" si="163"/>
        <v>-655983294.07979989</v>
      </c>
      <c r="AB427">
        <f t="shared" si="164"/>
        <v>-1070751916.4656</v>
      </c>
      <c r="AC427">
        <f t="shared" si="165"/>
        <v>-1334229108.5223997</v>
      </c>
      <c r="AD427">
        <f t="shared" si="166"/>
        <v>-1597229026.5708001</v>
      </c>
      <c r="AE427">
        <f t="shared" si="167"/>
        <v>-1604610276.6862001</v>
      </c>
    </row>
    <row r="428" spans="1:31" x14ac:dyDescent="0.25">
      <c r="A428">
        <v>37.728452490000002</v>
      </c>
      <c r="B428">
        <v>114.7721944</v>
      </c>
      <c r="C428">
        <v>5.4292302100000001</v>
      </c>
      <c r="D428">
        <v>1.15940702</v>
      </c>
      <c r="E428" t="b">
        <f t="shared" si="144"/>
        <v>0</v>
      </c>
      <c r="F428">
        <f t="shared" si="145"/>
        <v>-25.986744030000001</v>
      </c>
      <c r="G428">
        <f t="shared" si="146"/>
        <v>-53.132895079999997</v>
      </c>
      <c r="H428">
        <f t="shared" si="147"/>
        <v>-80.279046129999998</v>
      </c>
      <c r="I428">
        <f t="shared" si="148"/>
        <v>-107.42519718</v>
      </c>
      <c r="J428">
        <f t="shared" si="149"/>
        <v>-134.57134823000001</v>
      </c>
      <c r="L428">
        <f t="shared" si="150"/>
        <v>2226061.4784000004</v>
      </c>
      <c r="M428">
        <f t="shared" si="151"/>
        <v>-42098525.328600004</v>
      </c>
      <c r="N428">
        <f t="shared" si="152"/>
        <v>-73323395.210399985</v>
      </c>
      <c r="O428">
        <f t="shared" si="153"/>
        <v>-81884627.052599996</v>
      </c>
      <c r="P428">
        <f t="shared" si="154"/>
        <v>-98831181.405599982</v>
      </c>
      <c r="Q428">
        <f t="shared" si="155"/>
        <v>-102274224.65480001</v>
      </c>
      <c r="S428">
        <f t="shared" si="156"/>
        <v>2434754.7420000001</v>
      </c>
      <c r="T428">
        <f t="shared" si="157"/>
        <v>-47295874.134600006</v>
      </c>
      <c r="U428">
        <f t="shared" si="158"/>
        <v>-80230671.570799991</v>
      </c>
      <c r="V428">
        <f t="shared" si="159"/>
        <v>-85898579.359099984</v>
      </c>
      <c r="W428">
        <f t="shared" si="160"/>
        <v>-114944960.98259997</v>
      </c>
      <c r="X428">
        <f t="shared" si="161"/>
        <v>-117077072.96010001</v>
      </c>
      <c r="Z428">
        <f t="shared" si="162"/>
        <v>2643448.0056000003</v>
      </c>
      <c r="AA428">
        <f t="shared" si="163"/>
        <v>-52493222.9406</v>
      </c>
      <c r="AB428">
        <f t="shared" si="164"/>
        <v>-87137947.931199998</v>
      </c>
      <c r="AC428">
        <f t="shared" si="165"/>
        <v>-109179502.73679999</v>
      </c>
      <c r="AD428">
        <f t="shared" si="166"/>
        <v>-131058740.55959998</v>
      </c>
      <c r="AE428">
        <f t="shared" si="167"/>
        <v>-131879921.26540002</v>
      </c>
    </row>
    <row r="429" spans="1:31" x14ac:dyDescent="0.25">
      <c r="A429">
        <v>37.75176965</v>
      </c>
      <c r="B429">
        <v>119.54459300000001</v>
      </c>
      <c r="C429">
        <v>18.107927320000002</v>
      </c>
      <c r="D429">
        <v>48.972255709999999</v>
      </c>
      <c r="E429" t="b">
        <f t="shared" si="144"/>
        <v>1</v>
      </c>
      <c r="F429">
        <f t="shared" si="145"/>
        <v>-41.56738089000001</v>
      </c>
      <c r="G429">
        <f t="shared" si="146"/>
        <v>-132.10701749000003</v>
      </c>
      <c r="H429">
        <f t="shared" si="147"/>
        <v>-222.64665409000003</v>
      </c>
      <c r="I429">
        <f t="shared" si="148"/>
        <v>-313.18629069000002</v>
      </c>
      <c r="J429">
        <f t="shared" si="149"/>
        <v>-403.72592729000002</v>
      </c>
      <c r="L429">
        <f t="shared" si="150"/>
        <v>34767220.454400003</v>
      </c>
      <c r="M429">
        <f t="shared" si="151"/>
        <v>-67339157.041800022</v>
      </c>
      <c r="N429">
        <f t="shared" si="152"/>
        <v>-182307684.13620004</v>
      </c>
      <c r="O429">
        <f t="shared" si="153"/>
        <v>-227099587.17180005</v>
      </c>
      <c r="P429">
        <f t="shared" si="154"/>
        <v>-288131387.43479997</v>
      </c>
      <c r="Q429">
        <f t="shared" si="155"/>
        <v>-306831704.74040002</v>
      </c>
      <c r="S429">
        <f t="shared" si="156"/>
        <v>38026647.372000001</v>
      </c>
      <c r="T429">
        <f t="shared" si="157"/>
        <v>-75652633.21980001</v>
      </c>
      <c r="U429">
        <f t="shared" si="158"/>
        <v>-199481596.40990007</v>
      </c>
      <c r="V429">
        <f t="shared" si="159"/>
        <v>-238231919.87630001</v>
      </c>
      <c r="W429">
        <f t="shared" si="160"/>
        <v>-335109331.03829992</v>
      </c>
      <c r="X429">
        <f t="shared" si="161"/>
        <v>-351241556.74230003</v>
      </c>
      <c r="Z429">
        <f t="shared" si="162"/>
        <v>41286074.289600007</v>
      </c>
      <c r="AA429">
        <f t="shared" si="163"/>
        <v>-83966109.397800013</v>
      </c>
      <c r="AB429">
        <f t="shared" si="164"/>
        <v>-216655508.68360007</v>
      </c>
      <c r="AC429">
        <f t="shared" si="165"/>
        <v>-302799449.56240004</v>
      </c>
      <c r="AD429">
        <f t="shared" si="166"/>
        <v>-382087274.64179999</v>
      </c>
      <c r="AE429">
        <f t="shared" si="167"/>
        <v>-395651408.74419999</v>
      </c>
    </row>
    <row r="430" spans="1:31" x14ac:dyDescent="0.25">
      <c r="A430">
        <v>37.758150219999997</v>
      </c>
      <c r="B430">
        <v>119.48737629999999</v>
      </c>
      <c r="C430">
        <v>15.833525659999999</v>
      </c>
      <c r="D430">
        <v>2.4486000000000001E-2</v>
      </c>
      <c r="E430" t="b">
        <f t="shared" si="144"/>
        <v>0</v>
      </c>
      <c r="F430">
        <f t="shared" si="145"/>
        <v>-79.143142299999994</v>
      </c>
      <c r="G430">
        <f t="shared" si="146"/>
        <v>-158.31077059999998</v>
      </c>
      <c r="H430">
        <f t="shared" si="147"/>
        <v>-237.4783989</v>
      </c>
      <c r="I430">
        <f t="shared" si="148"/>
        <v>-316.64602719999993</v>
      </c>
      <c r="J430">
        <f t="shared" si="149"/>
        <v>-395.81365549999998</v>
      </c>
      <c r="L430">
        <f t="shared" si="150"/>
        <v>47013.120000000003</v>
      </c>
      <c r="M430">
        <f t="shared" si="151"/>
        <v>-128211890.52600001</v>
      </c>
      <c r="N430">
        <f t="shared" si="152"/>
        <v>-218468863.42799997</v>
      </c>
      <c r="O430">
        <f t="shared" si="153"/>
        <v>-242227966.87800002</v>
      </c>
      <c r="P430">
        <f t="shared" si="154"/>
        <v>-291314345.02399993</v>
      </c>
      <c r="Q430">
        <f t="shared" si="155"/>
        <v>-300818378.18000001</v>
      </c>
      <c r="S430">
        <f t="shared" si="156"/>
        <v>51420.6</v>
      </c>
      <c r="T430">
        <f t="shared" si="157"/>
        <v>-144040518.986</v>
      </c>
      <c r="U430">
        <f t="shared" si="158"/>
        <v>-239049263.60600001</v>
      </c>
      <c r="V430">
        <f t="shared" si="159"/>
        <v>-254101886.82299995</v>
      </c>
      <c r="W430">
        <f t="shared" si="160"/>
        <v>-338811249.10399985</v>
      </c>
      <c r="X430">
        <f t="shared" si="161"/>
        <v>-344357880.28500003</v>
      </c>
      <c r="Z430">
        <f t="shared" si="162"/>
        <v>55828.080000000009</v>
      </c>
      <c r="AA430">
        <f t="shared" si="163"/>
        <v>-159869147.44600001</v>
      </c>
      <c r="AB430">
        <f t="shared" si="164"/>
        <v>-259629663.78400001</v>
      </c>
      <c r="AC430">
        <f t="shared" si="165"/>
        <v>-322970622.50400001</v>
      </c>
      <c r="AD430">
        <f t="shared" si="166"/>
        <v>-386308153.1839999</v>
      </c>
      <c r="AE430">
        <f t="shared" si="167"/>
        <v>-387897382.38999999</v>
      </c>
    </row>
    <row r="431" spans="1:31" x14ac:dyDescent="0.25">
      <c r="A431">
        <v>37.759663879999998</v>
      </c>
      <c r="B431">
        <v>118.61298499999999</v>
      </c>
      <c r="C431">
        <v>65.630661009999997</v>
      </c>
      <c r="D431">
        <v>1.05774105</v>
      </c>
      <c r="E431" t="b">
        <f t="shared" si="144"/>
        <v>0</v>
      </c>
      <c r="F431">
        <f t="shared" si="145"/>
        <v>-327.09556399999997</v>
      </c>
      <c r="G431">
        <f t="shared" si="146"/>
        <v>-655.24886904999994</v>
      </c>
      <c r="H431">
        <f t="shared" si="147"/>
        <v>-983.40217409999991</v>
      </c>
      <c r="I431">
        <f t="shared" si="148"/>
        <v>-1311.5554791499999</v>
      </c>
      <c r="J431">
        <f t="shared" si="149"/>
        <v>-1639.7087841999999</v>
      </c>
      <c r="L431">
        <f t="shared" si="150"/>
        <v>2030862.8160000003</v>
      </c>
      <c r="M431">
        <f t="shared" si="151"/>
        <v>-529894813.67999995</v>
      </c>
      <c r="N431">
        <f t="shared" si="152"/>
        <v>-904243439.28899992</v>
      </c>
      <c r="O431">
        <f t="shared" si="153"/>
        <v>-1003070217.5819999</v>
      </c>
      <c r="P431">
        <f t="shared" si="154"/>
        <v>-1206631040.8179998</v>
      </c>
      <c r="Q431">
        <f t="shared" si="155"/>
        <v>-1246178675.9919999</v>
      </c>
      <c r="S431">
        <f t="shared" si="156"/>
        <v>2221256.2050000001</v>
      </c>
      <c r="T431">
        <f t="shared" si="157"/>
        <v>-595313926.4799999</v>
      </c>
      <c r="U431">
        <f t="shared" si="158"/>
        <v>-989425792.26549995</v>
      </c>
      <c r="V431">
        <f t="shared" si="159"/>
        <v>-1052240326.2869997</v>
      </c>
      <c r="W431">
        <f t="shared" si="160"/>
        <v>-1403364362.6904995</v>
      </c>
      <c r="X431">
        <f t="shared" si="161"/>
        <v>-1426546642.2539997</v>
      </c>
      <c r="Z431">
        <f t="shared" si="162"/>
        <v>2411649.5940000005</v>
      </c>
      <c r="AA431">
        <f t="shared" si="163"/>
        <v>-660733039.27999985</v>
      </c>
      <c r="AB431">
        <f t="shared" si="164"/>
        <v>-1074608145.2420001</v>
      </c>
      <c r="AC431">
        <f t="shared" si="165"/>
        <v>-1337426956.7759998</v>
      </c>
      <c r="AD431">
        <f t="shared" si="166"/>
        <v>-1600097684.5629997</v>
      </c>
      <c r="AE431">
        <f t="shared" si="167"/>
        <v>-1606914608.5159998</v>
      </c>
    </row>
    <row r="432" spans="1:31" x14ac:dyDescent="0.25">
      <c r="A432">
        <v>37.78109267</v>
      </c>
      <c r="B432">
        <v>118.84972500000001</v>
      </c>
      <c r="C432">
        <v>43.008232120000002</v>
      </c>
      <c r="D432">
        <v>7.0134511000000002</v>
      </c>
      <c r="E432" t="b">
        <f t="shared" si="144"/>
        <v>0</v>
      </c>
      <c r="F432">
        <f t="shared" si="145"/>
        <v>-208.02770950000001</v>
      </c>
      <c r="G432">
        <f t="shared" si="146"/>
        <v>-423.06887010000003</v>
      </c>
      <c r="H432">
        <f t="shared" si="147"/>
        <v>-638.11003070000004</v>
      </c>
      <c r="I432">
        <f t="shared" si="148"/>
        <v>-853.15119130000005</v>
      </c>
      <c r="J432">
        <f t="shared" si="149"/>
        <v>-1068.1923518999999</v>
      </c>
      <c r="L432">
        <f t="shared" si="150"/>
        <v>13465826.112000002</v>
      </c>
      <c r="M432">
        <f t="shared" si="151"/>
        <v>-337004889.39000005</v>
      </c>
      <c r="N432">
        <f t="shared" si="152"/>
        <v>-583835040.73800004</v>
      </c>
      <c r="O432">
        <f t="shared" si="153"/>
        <v>-650872231.31400001</v>
      </c>
      <c r="P432">
        <f t="shared" si="154"/>
        <v>-784899095.99600005</v>
      </c>
      <c r="Q432">
        <f t="shared" si="155"/>
        <v>-811826187.44400001</v>
      </c>
      <c r="S432">
        <f t="shared" si="156"/>
        <v>14728247.310000002</v>
      </c>
      <c r="T432">
        <f t="shared" si="157"/>
        <v>-378610431.29000002</v>
      </c>
      <c r="U432">
        <f t="shared" si="158"/>
        <v>-638833993.85100007</v>
      </c>
      <c r="V432">
        <f t="shared" si="159"/>
        <v>-682777732.84899998</v>
      </c>
      <c r="W432">
        <f t="shared" si="160"/>
        <v>-912871774.69099998</v>
      </c>
      <c r="X432">
        <f t="shared" si="161"/>
        <v>-929327346.153</v>
      </c>
      <c r="Z432">
        <f t="shared" si="162"/>
        <v>15990668.508000003</v>
      </c>
      <c r="AA432">
        <f t="shared" si="163"/>
        <v>-420215973.19</v>
      </c>
      <c r="AB432">
        <f t="shared" si="164"/>
        <v>-693832946.96400011</v>
      </c>
      <c r="AC432">
        <f t="shared" si="165"/>
        <v>-867829641.75199997</v>
      </c>
      <c r="AD432">
        <f t="shared" si="166"/>
        <v>-1040844453.386</v>
      </c>
      <c r="AE432">
        <f t="shared" si="167"/>
        <v>-1046828504.862</v>
      </c>
    </row>
    <row r="433" spans="1:31" x14ac:dyDescent="0.25">
      <c r="A433">
        <v>37.78434627</v>
      </c>
      <c r="B433">
        <v>119.6671219</v>
      </c>
      <c r="C433">
        <v>16.40350342</v>
      </c>
      <c r="D433">
        <v>17.87487411</v>
      </c>
      <c r="E433" t="b">
        <f t="shared" si="144"/>
        <v>1</v>
      </c>
      <c r="F433">
        <f t="shared" si="145"/>
        <v>-64.142642989999985</v>
      </c>
      <c r="G433">
        <f t="shared" si="146"/>
        <v>-146.16016008999998</v>
      </c>
      <c r="H433">
        <f t="shared" si="147"/>
        <v>-228.17767719</v>
      </c>
      <c r="I433">
        <f t="shared" si="148"/>
        <v>-310.19519428999996</v>
      </c>
      <c r="J433">
        <f t="shared" si="149"/>
        <v>-392.21271138999998</v>
      </c>
      <c r="L433">
        <f t="shared" si="150"/>
        <v>31494726.566400003</v>
      </c>
      <c r="M433">
        <f t="shared" si="151"/>
        <v>-103911081.64379999</v>
      </c>
      <c r="N433">
        <f t="shared" si="152"/>
        <v>-201701020.92419994</v>
      </c>
      <c r="O433">
        <f t="shared" si="153"/>
        <v>-232741230.73379999</v>
      </c>
      <c r="P433">
        <f t="shared" si="154"/>
        <v>-285379578.74679995</v>
      </c>
      <c r="Q433">
        <f t="shared" si="155"/>
        <v>-298081660.65639997</v>
      </c>
      <c r="S433">
        <f t="shared" si="156"/>
        <v>34447357.182000004</v>
      </c>
      <c r="T433">
        <f t="shared" si="157"/>
        <v>-116739610.24179998</v>
      </c>
      <c r="U433">
        <f t="shared" si="158"/>
        <v>-220701841.73589996</v>
      </c>
      <c r="V433">
        <f t="shared" si="159"/>
        <v>-244150114.59329996</v>
      </c>
      <c r="W433">
        <f t="shared" si="160"/>
        <v>-331908857.89029992</v>
      </c>
      <c r="X433">
        <f t="shared" si="161"/>
        <v>-341225058.90929997</v>
      </c>
      <c r="Z433">
        <f t="shared" si="162"/>
        <v>37399987.797600001</v>
      </c>
      <c r="AA433">
        <f t="shared" si="163"/>
        <v>-129568138.83979997</v>
      </c>
      <c r="AB433">
        <f t="shared" si="164"/>
        <v>-239702662.54759997</v>
      </c>
      <c r="AC433">
        <f t="shared" si="165"/>
        <v>-310321640.97839999</v>
      </c>
      <c r="AD433">
        <f t="shared" si="166"/>
        <v>-378438137.03379995</v>
      </c>
      <c r="AE433">
        <f t="shared" si="167"/>
        <v>-384368457.16219997</v>
      </c>
    </row>
    <row r="434" spans="1:31" x14ac:dyDescent="0.25">
      <c r="A434">
        <v>37.79008185</v>
      </c>
      <c r="B434">
        <v>115.18562679999999</v>
      </c>
      <c r="C434">
        <v>5.4292302100000001</v>
      </c>
      <c r="D434">
        <v>2.6224670400000001</v>
      </c>
      <c r="E434" t="b">
        <f t="shared" si="144"/>
        <v>0</v>
      </c>
      <c r="F434">
        <f t="shared" si="145"/>
        <v>-24.52368401</v>
      </c>
      <c r="G434">
        <f t="shared" si="146"/>
        <v>-51.669835059999997</v>
      </c>
      <c r="H434">
        <f t="shared" si="147"/>
        <v>-78.815986109999997</v>
      </c>
      <c r="I434">
        <f t="shared" si="148"/>
        <v>-105.96213716</v>
      </c>
      <c r="J434">
        <f t="shared" si="149"/>
        <v>-133.10828821000001</v>
      </c>
      <c r="L434">
        <f t="shared" si="150"/>
        <v>5035136.7168000005</v>
      </c>
      <c r="M434">
        <f t="shared" si="151"/>
        <v>-39728368.096200004</v>
      </c>
      <c r="N434">
        <f t="shared" si="152"/>
        <v>-71304372.382799983</v>
      </c>
      <c r="O434">
        <f t="shared" si="153"/>
        <v>-80392305.832200006</v>
      </c>
      <c r="P434">
        <f t="shared" si="154"/>
        <v>-97485166.187199995</v>
      </c>
      <c r="Q434">
        <f t="shared" si="155"/>
        <v>-101162299.03960001</v>
      </c>
      <c r="S434">
        <f t="shared" si="156"/>
        <v>5507180.784</v>
      </c>
      <c r="T434">
        <f t="shared" si="157"/>
        <v>-44633104.898200005</v>
      </c>
      <c r="U434">
        <f t="shared" si="158"/>
        <v>-78021450.940599993</v>
      </c>
      <c r="V434">
        <f t="shared" si="159"/>
        <v>-84333105.137699991</v>
      </c>
      <c r="W434">
        <f t="shared" si="160"/>
        <v>-113379486.76119998</v>
      </c>
      <c r="X434">
        <f t="shared" si="161"/>
        <v>-115804210.74270001</v>
      </c>
      <c r="Z434">
        <f t="shared" si="162"/>
        <v>5979224.8512000004</v>
      </c>
      <c r="AA434">
        <f t="shared" si="163"/>
        <v>-49537841.700200006</v>
      </c>
      <c r="AB434">
        <f t="shared" si="164"/>
        <v>-84738529.498400003</v>
      </c>
      <c r="AC434">
        <f t="shared" si="165"/>
        <v>-107189741.10959999</v>
      </c>
      <c r="AD434">
        <f t="shared" si="166"/>
        <v>-129273807.3352</v>
      </c>
      <c r="AE434">
        <f t="shared" si="167"/>
        <v>-130446122.44580001</v>
      </c>
    </row>
    <row r="435" spans="1:31" x14ac:dyDescent="0.25">
      <c r="A435">
        <v>37.795323799999998</v>
      </c>
      <c r="B435">
        <v>91.240437200000002</v>
      </c>
      <c r="C435">
        <v>20.624670030000001</v>
      </c>
      <c r="D435">
        <v>25.24060059</v>
      </c>
      <c r="E435" t="b">
        <f t="shared" si="144"/>
        <v>1</v>
      </c>
      <c r="F435">
        <f t="shared" si="145"/>
        <v>-77.882749560000008</v>
      </c>
      <c r="G435">
        <f t="shared" si="146"/>
        <v>-181.00609971</v>
      </c>
      <c r="H435">
        <f t="shared" si="147"/>
        <v>-284.12944986000002</v>
      </c>
      <c r="I435">
        <f t="shared" si="148"/>
        <v>-387.25280001000004</v>
      </c>
      <c r="J435">
        <f t="shared" si="149"/>
        <v>-490.37615016000007</v>
      </c>
      <c r="L435">
        <f t="shared" si="150"/>
        <v>39599366.457600005</v>
      </c>
      <c r="M435">
        <f t="shared" si="151"/>
        <v>-126170054.28720002</v>
      </c>
      <c r="N435">
        <f t="shared" si="152"/>
        <v>-249788417.59979999</v>
      </c>
      <c r="O435">
        <f t="shared" si="153"/>
        <v>-289812038.85720003</v>
      </c>
      <c r="P435">
        <f t="shared" si="154"/>
        <v>-356272576.00920004</v>
      </c>
      <c r="Q435">
        <f t="shared" si="155"/>
        <v>-372685874.12160009</v>
      </c>
      <c r="S435">
        <f t="shared" si="156"/>
        <v>43311807.063000001</v>
      </c>
      <c r="T435">
        <f t="shared" si="157"/>
        <v>-141746604.1992</v>
      </c>
      <c r="U435">
        <f t="shared" si="158"/>
        <v>-273319210.56209999</v>
      </c>
      <c r="V435">
        <f t="shared" si="159"/>
        <v>-304018511.3502</v>
      </c>
      <c r="W435">
        <f t="shared" si="160"/>
        <v>-414360496.01069999</v>
      </c>
      <c r="X435">
        <f t="shared" si="161"/>
        <v>-426627250.63920009</v>
      </c>
      <c r="Z435">
        <f t="shared" si="162"/>
        <v>47024247.668400005</v>
      </c>
      <c r="AA435">
        <f t="shared" si="163"/>
        <v>-157323154.1112</v>
      </c>
      <c r="AB435">
        <f t="shared" si="164"/>
        <v>-296850003.52440006</v>
      </c>
      <c r="AC435">
        <f t="shared" si="165"/>
        <v>-386416051.8096</v>
      </c>
      <c r="AD435">
        <f t="shared" si="166"/>
        <v>-472448416.01220006</v>
      </c>
      <c r="AE435">
        <f t="shared" si="167"/>
        <v>-480568627.15680009</v>
      </c>
    </row>
    <row r="436" spans="1:31" x14ac:dyDescent="0.25">
      <c r="A436">
        <v>37.805148619999997</v>
      </c>
      <c r="B436">
        <v>118.6204925</v>
      </c>
      <c r="C436">
        <v>43.008232120000002</v>
      </c>
      <c r="D436">
        <v>2.7329630900000002</v>
      </c>
      <c r="E436" t="b">
        <f t="shared" si="144"/>
        <v>0</v>
      </c>
      <c r="F436">
        <f t="shared" si="145"/>
        <v>-212.30819751000001</v>
      </c>
      <c r="G436">
        <f t="shared" si="146"/>
        <v>-427.34935811000003</v>
      </c>
      <c r="H436">
        <f t="shared" si="147"/>
        <v>-642.39051871000004</v>
      </c>
      <c r="I436">
        <f t="shared" si="148"/>
        <v>-857.43167931000005</v>
      </c>
      <c r="J436">
        <f t="shared" si="149"/>
        <v>-1072.4728399099999</v>
      </c>
      <c r="L436">
        <f t="shared" si="150"/>
        <v>5247289.1328000007</v>
      </c>
      <c r="M436">
        <f t="shared" si="151"/>
        <v>-343939279.96620005</v>
      </c>
      <c r="N436">
        <f t="shared" si="152"/>
        <v>-589742114.1918</v>
      </c>
      <c r="O436">
        <f t="shared" si="153"/>
        <v>-655238329.08420002</v>
      </c>
      <c r="P436">
        <f t="shared" si="154"/>
        <v>-788837144.96519995</v>
      </c>
      <c r="Q436">
        <f t="shared" si="155"/>
        <v>-815079358.33159995</v>
      </c>
      <c r="S436">
        <f t="shared" si="156"/>
        <v>5739222.489000001</v>
      </c>
      <c r="T436">
        <f t="shared" si="157"/>
        <v>-386400919.46820003</v>
      </c>
      <c r="U436">
        <f t="shared" si="158"/>
        <v>-645297530.74610007</v>
      </c>
      <c r="V436">
        <f t="shared" si="159"/>
        <v>-687357855.01969993</v>
      </c>
      <c r="W436">
        <f t="shared" si="160"/>
        <v>-917451896.86169994</v>
      </c>
      <c r="X436">
        <f t="shared" si="161"/>
        <v>-933051370.72169995</v>
      </c>
      <c r="Z436">
        <f t="shared" si="162"/>
        <v>6231155.8452000013</v>
      </c>
      <c r="AA436">
        <f t="shared" si="163"/>
        <v>-428862558.97020006</v>
      </c>
      <c r="AB436">
        <f t="shared" si="164"/>
        <v>-700852947.30040002</v>
      </c>
      <c r="AC436">
        <f t="shared" si="165"/>
        <v>-873651105.44559991</v>
      </c>
      <c r="AD436">
        <f t="shared" si="166"/>
        <v>-1046066648.7582</v>
      </c>
      <c r="AE436">
        <f t="shared" si="167"/>
        <v>-1051023383.1118</v>
      </c>
    </row>
    <row r="437" spans="1:31" x14ac:dyDescent="0.25">
      <c r="A437">
        <v>37.806455849999999</v>
      </c>
      <c r="B437">
        <v>118.1543626</v>
      </c>
      <c r="C437">
        <v>76.896270749999999</v>
      </c>
      <c r="D437">
        <v>0.19832601</v>
      </c>
      <c r="E437" t="b">
        <f t="shared" si="144"/>
        <v>0</v>
      </c>
      <c r="F437">
        <f t="shared" si="145"/>
        <v>-384.28302773999997</v>
      </c>
      <c r="G437">
        <f t="shared" si="146"/>
        <v>-768.76438149000001</v>
      </c>
      <c r="H437">
        <f t="shared" si="147"/>
        <v>-1153.2457352399999</v>
      </c>
      <c r="I437">
        <f t="shared" si="148"/>
        <v>-1537.7270889899999</v>
      </c>
      <c r="J437">
        <f t="shared" si="149"/>
        <v>-1922.20844274</v>
      </c>
      <c r="L437">
        <f t="shared" si="150"/>
        <v>380785.93920000002</v>
      </c>
      <c r="M437">
        <f t="shared" si="151"/>
        <v>-622538504.93879998</v>
      </c>
      <c r="N437">
        <f t="shared" si="152"/>
        <v>-1060894846.4561999</v>
      </c>
      <c r="O437">
        <f t="shared" si="153"/>
        <v>-1176310649.9448001</v>
      </c>
      <c r="P437">
        <f t="shared" si="154"/>
        <v>-1414708921.8707998</v>
      </c>
      <c r="Q437">
        <f t="shared" si="155"/>
        <v>-1460878416.4823999</v>
      </c>
      <c r="S437">
        <f t="shared" si="156"/>
        <v>416484.62100000004</v>
      </c>
      <c r="T437">
        <f t="shared" si="157"/>
        <v>-699395110.48679996</v>
      </c>
      <c r="U437">
        <f t="shared" si="158"/>
        <v>-1160834216.0499001</v>
      </c>
      <c r="V437">
        <f t="shared" si="159"/>
        <v>-1233972936.7067997</v>
      </c>
      <c r="W437">
        <f t="shared" si="160"/>
        <v>-1645367985.2192996</v>
      </c>
      <c r="X437">
        <f t="shared" si="161"/>
        <v>-1672321345.1838</v>
      </c>
      <c r="Z437">
        <f t="shared" si="162"/>
        <v>452183.30280000006</v>
      </c>
      <c r="AA437">
        <f t="shared" si="163"/>
        <v>-776251716.03479993</v>
      </c>
      <c r="AB437">
        <f t="shared" si="164"/>
        <v>-1260773585.6436002</v>
      </c>
      <c r="AC437">
        <f t="shared" si="165"/>
        <v>-1568414199.9263999</v>
      </c>
      <c r="AD437">
        <f t="shared" si="166"/>
        <v>-1876027048.5677996</v>
      </c>
      <c r="AE437">
        <f t="shared" si="167"/>
        <v>-1883764273.8852</v>
      </c>
    </row>
    <row r="438" spans="1:31" x14ac:dyDescent="0.25">
      <c r="A438">
        <v>37.816267019999998</v>
      </c>
      <c r="B438">
        <v>119.3808725</v>
      </c>
      <c r="C438">
        <v>15.833525659999999</v>
      </c>
      <c r="D438">
        <v>11.114254000000001</v>
      </c>
      <c r="E438" t="b">
        <f t="shared" si="144"/>
        <v>0</v>
      </c>
      <c r="F438">
        <f t="shared" si="145"/>
        <v>-68.053374299999987</v>
      </c>
      <c r="G438">
        <f t="shared" si="146"/>
        <v>-147.22100259999999</v>
      </c>
      <c r="H438">
        <f t="shared" si="147"/>
        <v>-226.38863090000001</v>
      </c>
      <c r="I438">
        <f t="shared" si="148"/>
        <v>-305.55625919999994</v>
      </c>
      <c r="J438">
        <f t="shared" si="149"/>
        <v>-384.72388749999999</v>
      </c>
      <c r="L438">
        <f t="shared" si="150"/>
        <v>21339367.680000003</v>
      </c>
      <c r="M438">
        <f t="shared" si="151"/>
        <v>-110246466.36599998</v>
      </c>
      <c r="N438">
        <f t="shared" si="152"/>
        <v>-203164983.58799997</v>
      </c>
      <c r="O438">
        <f t="shared" si="153"/>
        <v>-230916403.51800001</v>
      </c>
      <c r="P438">
        <f t="shared" si="154"/>
        <v>-281111758.46399993</v>
      </c>
      <c r="Q438">
        <f t="shared" si="155"/>
        <v>-292390154.5</v>
      </c>
      <c r="S438">
        <f t="shared" si="156"/>
        <v>23339933.400000002</v>
      </c>
      <c r="T438">
        <f t="shared" si="157"/>
        <v>-123857141.22599997</v>
      </c>
      <c r="U438">
        <f t="shared" si="158"/>
        <v>-222303713.926</v>
      </c>
      <c r="V438">
        <f t="shared" si="159"/>
        <v>-242235835.06299996</v>
      </c>
      <c r="W438">
        <f t="shared" si="160"/>
        <v>-326945197.34399986</v>
      </c>
      <c r="X438">
        <f t="shared" si="161"/>
        <v>-334709782.125</v>
      </c>
      <c r="Z438">
        <f t="shared" si="162"/>
        <v>25340499.120000001</v>
      </c>
      <c r="AA438">
        <f t="shared" si="163"/>
        <v>-137467816.08599997</v>
      </c>
      <c r="AB438">
        <f t="shared" si="164"/>
        <v>-241442444.264</v>
      </c>
      <c r="AC438">
        <f t="shared" si="165"/>
        <v>-307888538.02399999</v>
      </c>
      <c r="AD438">
        <f t="shared" si="166"/>
        <v>-372778636.22399992</v>
      </c>
      <c r="AE438">
        <f t="shared" si="167"/>
        <v>-377029409.75</v>
      </c>
    </row>
    <row r="439" spans="1:31" x14ac:dyDescent="0.25">
      <c r="A439">
        <v>37.822570519999999</v>
      </c>
      <c r="B439">
        <v>119.3235942</v>
      </c>
      <c r="C439">
        <v>15.833525659999999</v>
      </c>
      <c r="D439">
        <v>26.00519371</v>
      </c>
      <c r="E439" t="b">
        <f t="shared" si="144"/>
        <v>1</v>
      </c>
      <c r="F439">
        <f t="shared" si="145"/>
        <v>-53.162434589999989</v>
      </c>
      <c r="G439">
        <f t="shared" si="146"/>
        <v>-132.33006288999997</v>
      </c>
      <c r="H439">
        <f t="shared" si="147"/>
        <v>-211.49769119000001</v>
      </c>
      <c r="I439">
        <f t="shared" si="148"/>
        <v>-290.66531948999994</v>
      </c>
      <c r="J439">
        <f t="shared" si="149"/>
        <v>-369.83294778999999</v>
      </c>
      <c r="L439">
        <f t="shared" si="150"/>
        <v>30400369.267200004</v>
      </c>
      <c r="M439">
        <f t="shared" si="151"/>
        <v>-86123144.03579998</v>
      </c>
      <c r="N439">
        <f t="shared" si="152"/>
        <v>-182615486.78819993</v>
      </c>
      <c r="O439">
        <f t="shared" si="153"/>
        <v>-215727645.0138</v>
      </c>
      <c r="P439">
        <f t="shared" si="154"/>
        <v>-267412093.93079993</v>
      </c>
      <c r="Q439">
        <f t="shared" si="155"/>
        <v>-281073040.3204</v>
      </c>
      <c r="S439">
        <f t="shared" si="156"/>
        <v>33250403.886</v>
      </c>
      <c r="T439">
        <f t="shared" si="157"/>
        <v>-96755630.953799978</v>
      </c>
      <c r="U439">
        <f t="shared" si="158"/>
        <v>-199818394.96389997</v>
      </c>
      <c r="V439">
        <f t="shared" si="159"/>
        <v>-226302529.57329997</v>
      </c>
      <c r="W439">
        <f t="shared" si="160"/>
        <v>-311011891.8542999</v>
      </c>
      <c r="X439">
        <f t="shared" si="161"/>
        <v>-321754664.57729995</v>
      </c>
      <c r="Z439">
        <f t="shared" si="162"/>
        <v>36100438.504800007</v>
      </c>
      <c r="AA439">
        <f t="shared" si="163"/>
        <v>-107388117.87179998</v>
      </c>
      <c r="AB439">
        <f t="shared" si="164"/>
        <v>-217021303.13959998</v>
      </c>
      <c r="AC439">
        <f t="shared" si="165"/>
        <v>-287636860.01839995</v>
      </c>
      <c r="AD439">
        <f t="shared" si="166"/>
        <v>-354611689.7777999</v>
      </c>
      <c r="AE439">
        <f t="shared" si="167"/>
        <v>-362436288.83419997</v>
      </c>
    </row>
    <row r="440" spans="1:31" x14ac:dyDescent="0.25">
      <c r="A440">
        <v>37.823557919999999</v>
      </c>
      <c r="B440">
        <v>117.9822367</v>
      </c>
      <c r="C440">
        <v>76.896270749999999</v>
      </c>
      <c r="D440">
        <v>3.0308749700000002</v>
      </c>
      <c r="E440" t="b">
        <f t="shared" si="144"/>
        <v>0</v>
      </c>
      <c r="F440">
        <f t="shared" si="145"/>
        <v>-381.45047877999997</v>
      </c>
      <c r="G440">
        <f t="shared" si="146"/>
        <v>-765.93183252999995</v>
      </c>
      <c r="H440">
        <f t="shared" si="147"/>
        <v>-1150.41318628</v>
      </c>
      <c r="I440">
        <f t="shared" si="148"/>
        <v>-1534.8945400299999</v>
      </c>
      <c r="J440">
        <f t="shared" si="149"/>
        <v>-1919.3758937800001</v>
      </c>
      <c r="L440">
        <f t="shared" si="150"/>
        <v>5819279.942400001</v>
      </c>
      <c r="M440">
        <f t="shared" si="151"/>
        <v>-617949775.62360001</v>
      </c>
      <c r="N440">
        <f t="shared" si="152"/>
        <v>-1056985928.8913999</v>
      </c>
      <c r="O440">
        <f t="shared" si="153"/>
        <v>-1173421450.0056</v>
      </c>
      <c r="P440">
        <f t="shared" si="154"/>
        <v>-1412102976.8275998</v>
      </c>
      <c r="Q440">
        <f t="shared" si="155"/>
        <v>-1458725679.2728</v>
      </c>
      <c r="S440">
        <f t="shared" si="156"/>
        <v>6364837.4370000008</v>
      </c>
      <c r="T440">
        <f t="shared" si="157"/>
        <v>-694239871.37959993</v>
      </c>
      <c r="U440">
        <f t="shared" si="158"/>
        <v>-1156557067.1203001</v>
      </c>
      <c r="V440">
        <f t="shared" si="159"/>
        <v>-1230942109.3195999</v>
      </c>
      <c r="W440">
        <f t="shared" si="160"/>
        <v>-1642337157.8320997</v>
      </c>
      <c r="X440">
        <f t="shared" si="161"/>
        <v>-1669857027.5885999</v>
      </c>
      <c r="Z440">
        <f t="shared" si="162"/>
        <v>6910394.9316000016</v>
      </c>
      <c r="AA440">
        <f t="shared" si="163"/>
        <v>-770529967.13559997</v>
      </c>
      <c r="AB440">
        <f t="shared" si="164"/>
        <v>-1256128205.3492</v>
      </c>
      <c r="AC440">
        <f t="shared" si="165"/>
        <v>-1564561933.3407998</v>
      </c>
      <c r="AD440">
        <f t="shared" si="166"/>
        <v>-1872571338.8365998</v>
      </c>
      <c r="AE440">
        <f t="shared" si="167"/>
        <v>-1880988375.9043999</v>
      </c>
    </row>
    <row r="441" spans="1:31" x14ac:dyDescent="0.25">
      <c r="A441">
        <v>37.828773509999998</v>
      </c>
      <c r="B441">
        <v>118.3911176</v>
      </c>
      <c r="C441">
        <v>43.008232120000002</v>
      </c>
      <c r="D441">
        <v>1.58661199</v>
      </c>
      <c r="E441" t="b">
        <f t="shared" si="144"/>
        <v>0</v>
      </c>
      <c r="F441">
        <f t="shared" si="145"/>
        <v>-213.45454861000002</v>
      </c>
      <c r="G441">
        <f t="shared" si="146"/>
        <v>-428.49570921000003</v>
      </c>
      <c r="H441">
        <f t="shared" si="147"/>
        <v>-643.53686980999998</v>
      </c>
      <c r="I441">
        <f t="shared" si="148"/>
        <v>-858.57803041</v>
      </c>
      <c r="J441">
        <f t="shared" si="149"/>
        <v>-1073.6191910100001</v>
      </c>
      <c r="L441">
        <f t="shared" si="150"/>
        <v>3046295.0208000001</v>
      </c>
      <c r="M441">
        <f t="shared" si="151"/>
        <v>-345796368.74820006</v>
      </c>
      <c r="N441">
        <f t="shared" si="152"/>
        <v>-591324078.7098</v>
      </c>
      <c r="O441">
        <f t="shared" si="153"/>
        <v>-656407607.2062</v>
      </c>
      <c r="P441">
        <f t="shared" si="154"/>
        <v>-789891787.97719991</v>
      </c>
      <c r="Q441">
        <f t="shared" si="155"/>
        <v>-815950585.16760004</v>
      </c>
      <c r="S441">
        <f t="shared" si="156"/>
        <v>3331885.179</v>
      </c>
      <c r="T441">
        <f t="shared" si="157"/>
        <v>-388487278.47020006</v>
      </c>
      <c r="U441">
        <f t="shared" si="158"/>
        <v>-647028520.90710008</v>
      </c>
      <c r="V441">
        <f t="shared" si="159"/>
        <v>-688584450.69669986</v>
      </c>
      <c r="W441">
        <f t="shared" si="160"/>
        <v>-918678492.53869987</v>
      </c>
      <c r="X441">
        <f t="shared" si="161"/>
        <v>-934048696.17870009</v>
      </c>
      <c r="Z441">
        <f t="shared" si="162"/>
        <v>3617475.3372000004</v>
      </c>
      <c r="AA441">
        <f t="shared" si="163"/>
        <v>-431178188.19220001</v>
      </c>
      <c r="AB441">
        <f t="shared" si="164"/>
        <v>-702732963.10440016</v>
      </c>
      <c r="AC441">
        <f t="shared" si="165"/>
        <v>-875210142.94159985</v>
      </c>
      <c r="AD441">
        <f t="shared" si="166"/>
        <v>-1047465197.1001999</v>
      </c>
      <c r="AE441">
        <f t="shared" si="167"/>
        <v>-1052146807.1898001</v>
      </c>
    </row>
    <row r="442" spans="1:31" x14ac:dyDescent="0.25">
      <c r="A442">
        <v>37.82884713</v>
      </c>
      <c r="B442">
        <v>119.2663065</v>
      </c>
      <c r="C442">
        <v>40.0941124</v>
      </c>
      <c r="D442">
        <v>2.51788306</v>
      </c>
      <c r="E442" t="b">
        <f t="shared" si="144"/>
        <v>0</v>
      </c>
      <c r="F442">
        <f t="shared" si="145"/>
        <v>-197.95267894</v>
      </c>
      <c r="G442">
        <f t="shared" si="146"/>
        <v>-398.42324094000003</v>
      </c>
      <c r="H442">
        <f t="shared" si="147"/>
        <v>-598.89380294</v>
      </c>
      <c r="I442">
        <f t="shared" si="148"/>
        <v>-799.36436493999997</v>
      </c>
      <c r="J442">
        <f t="shared" si="149"/>
        <v>-999.83492693999995</v>
      </c>
      <c r="L442">
        <f t="shared" si="150"/>
        <v>4834335.4752000002</v>
      </c>
      <c r="M442">
        <f t="shared" si="151"/>
        <v>-320683339.88280004</v>
      </c>
      <c r="N442">
        <f t="shared" si="152"/>
        <v>-549824072.49720001</v>
      </c>
      <c r="O442">
        <f t="shared" si="153"/>
        <v>-610871678.99880004</v>
      </c>
      <c r="P442">
        <f t="shared" si="154"/>
        <v>-735415215.74479985</v>
      </c>
      <c r="Q442">
        <f t="shared" si="155"/>
        <v>-759874544.47439992</v>
      </c>
      <c r="S442">
        <f t="shared" si="156"/>
        <v>5287554.426</v>
      </c>
      <c r="T442">
        <f t="shared" si="157"/>
        <v>-360273875.67080003</v>
      </c>
      <c r="U442">
        <f t="shared" si="158"/>
        <v>-601619093.81940007</v>
      </c>
      <c r="V442">
        <f t="shared" si="159"/>
        <v>-640816369.14579999</v>
      </c>
      <c r="W442">
        <f t="shared" si="160"/>
        <v>-855319870.48579979</v>
      </c>
      <c r="X442">
        <f t="shared" si="161"/>
        <v>-869856386.43779993</v>
      </c>
      <c r="Z442">
        <f t="shared" si="162"/>
        <v>5740773.3768000007</v>
      </c>
      <c r="AA442">
        <f t="shared" si="163"/>
        <v>-399864411.45880002</v>
      </c>
      <c r="AB442">
        <f t="shared" si="164"/>
        <v>-653414115.14160013</v>
      </c>
      <c r="AC442">
        <f t="shared" si="165"/>
        <v>-814495571.99839997</v>
      </c>
      <c r="AD442">
        <f t="shared" si="166"/>
        <v>-975224525.22679985</v>
      </c>
      <c r="AE442">
        <f t="shared" si="167"/>
        <v>-979838228.40119994</v>
      </c>
    </row>
    <row r="443" spans="1:31" x14ac:dyDescent="0.25">
      <c r="A443">
        <v>37.82920464</v>
      </c>
      <c r="B443">
        <v>117.92484450000001</v>
      </c>
      <c r="C443">
        <v>0</v>
      </c>
      <c r="D443">
        <v>1.46722496</v>
      </c>
      <c r="E443" t="b">
        <f t="shared" si="144"/>
        <v>1</v>
      </c>
      <c r="F443">
        <f t="shared" si="145"/>
        <v>1.46722496</v>
      </c>
      <c r="G443">
        <f t="shared" si="146"/>
        <v>1.46722496</v>
      </c>
      <c r="H443">
        <f t="shared" si="147"/>
        <v>1.46722496</v>
      </c>
      <c r="I443">
        <f t="shared" si="148"/>
        <v>1.46722496</v>
      </c>
      <c r="J443">
        <f t="shared" si="149"/>
        <v>1.46722496</v>
      </c>
      <c r="L443">
        <f t="shared" si="150"/>
        <v>0</v>
      </c>
      <c r="M443">
        <f t="shared" si="151"/>
        <v>0</v>
      </c>
      <c r="N443">
        <f t="shared" si="152"/>
        <v>0</v>
      </c>
      <c r="O443">
        <f t="shared" si="153"/>
        <v>0</v>
      </c>
      <c r="P443">
        <f t="shared" si="154"/>
        <v>0</v>
      </c>
      <c r="Q443">
        <f t="shared" si="155"/>
        <v>0</v>
      </c>
      <c r="S443">
        <f t="shared" si="156"/>
        <v>0</v>
      </c>
      <c r="T443">
        <f t="shared" si="157"/>
        <v>0</v>
      </c>
      <c r="U443">
        <f t="shared" si="158"/>
        <v>0</v>
      </c>
      <c r="V443">
        <f t="shared" si="159"/>
        <v>0</v>
      </c>
      <c r="W443">
        <f t="shared" si="160"/>
        <v>0</v>
      </c>
      <c r="X443">
        <f t="shared" si="161"/>
        <v>0</v>
      </c>
      <c r="Z443">
        <f t="shared" si="162"/>
        <v>0</v>
      </c>
      <c r="AA443">
        <f t="shared" si="163"/>
        <v>0</v>
      </c>
      <c r="AB443">
        <f t="shared" si="164"/>
        <v>0</v>
      </c>
      <c r="AC443">
        <f t="shared" si="165"/>
        <v>0</v>
      </c>
      <c r="AD443">
        <f t="shared" si="166"/>
        <v>0</v>
      </c>
      <c r="AE443">
        <f t="shared" si="167"/>
        <v>0</v>
      </c>
    </row>
    <row r="444" spans="1:31" x14ac:dyDescent="0.25">
      <c r="A444">
        <v>37.829762729999999</v>
      </c>
      <c r="B444">
        <v>119.6752554</v>
      </c>
      <c r="C444">
        <v>9.4243545500000003</v>
      </c>
      <c r="D444">
        <v>0.142739</v>
      </c>
      <c r="E444" t="b">
        <f t="shared" si="144"/>
        <v>0</v>
      </c>
      <c r="F444">
        <f t="shared" si="145"/>
        <v>-46.979033750000006</v>
      </c>
      <c r="G444">
        <f t="shared" si="146"/>
        <v>-94.100806500000004</v>
      </c>
      <c r="H444">
        <f t="shared" si="147"/>
        <v>-141.22257925</v>
      </c>
      <c r="I444">
        <f t="shared" si="148"/>
        <v>-188.34435200000001</v>
      </c>
      <c r="J444">
        <f t="shared" si="149"/>
        <v>-235.46612475000001</v>
      </c>
      <c r="L444">
        <f t="shared" si="150"/>
        <v>274058.88</v>
      </c>
      <c r="M444">
        <f t="shared" si="151"/>
        <v>-76106034.675000012</v>
      </c>
      <c r="N444">
        <f t="shared" si="152"/>
        <v>-129859112.96999998</v>
      </c>
      <c r="O444">
        <f t="shared" si="153"/>
        <v>-144047030.83500001</v>
      </c>
      <c r="P444">
        <f t="shared" si="154"/>
        <v>-173276803.83999997</v>
      </c>
      <c r="Q444">
        <f t="shared" si="155"/>
        <v>-178954254.81</v>
      </c>
      <c r="S444">
        <f t="shared" si="156"/>
        <v>299751.90000000002</v>
      </c>
      <c r="T444">
        <f t="shared" si="157"/>
        <v>-85501841.425000012</v>
      </c>
      <c r="U444">
        <f t="shared" si="158"/>
        <v>-142092217.815</v>
      </c>
      <c r="V444">
        <f t="shared" si="159"/>
        <v>-151108159.79749998</v>
      </c>
      <c r="W444">
        <f t="shared" si="160"/>
        <v>-201528456.63999996</v>
      </c>
      <c r="X444">
        <f t="shared" si="161"/>
        <v>-204855528.5325</v>
      </c>
      <c r="Z444">
        <f t="shared" si="162"/>
        <v>325444.92000000004</v>
      </c>
      <c r="AA444">
        <f t="shared" si="163"/>
        <v>-94897648.175000012</v>
      </c>
      <c r="AB444">
        <f t="shared" si="164"/>
        <v>-154325322.66000003</v>
      </c>
      <c r="AC444">
        <f t="shared" si="165"/>
        <v>-192062707.77999997</v>
      </c>
      <c r="AD444">
        <f t="shared" si="166"/>
        <v>-229780109.44</v>
      </c>
      <c r="AE444">
        <f t="shared" si="167"/>
        <v>-230756802.255</v>
      </c>
    </row>
    <row r="445" spans="1:31" x14ac:dyDescent="0.25">
      <c r="A445">
        <v>37.836204250000002</v>
      </c>
      <c r="B445">
        <v>119.61799139999999</v>
      </c>
      <c r="C445">
        <v>55.417339320000004</v>
      </c>
      <c r="D445">
        <v>0.97944498000000002</v>
      </c>
      <c r="E445" t="b">
        <f t="shared" si="144"/>
        <v>0</v>
      </c>
      <c r="F445">
        <f t="shared" si="145"/>
        <v>-276.10725162000006</v>
      </c>
      <c r="G445">
        <f t="shared" si="146"/>
        <v>-553.19394822000004</v>
      </c>
      <c r="H445">
        <f t="shared" si="147"/>
        <v>-830.28064482000002</v>
      </c>
      <c r="I445">
        <f t="shared" si="148"/>
        <v>-1107.3673414200002</v>
      </c>
      <c r="J445">
        <f t="shared" si="149"/>
        <v>-1384.4540380200001</v>
      </c>
      <c r="L445">
        <f t="shared" si="150"/>
        <v>1880534.3616000002</v>
      </c>
      <c r="M445">
        <f t="shared" si="151"/>
        <v>-447293747.62440014</v>
      </c>
      <c r="N445">
        <f t="shared" si="152"/>
        <v>-763407648.54359996</v>
      </c>
      <c r="O445">
        <f t="shared" si="153"/>
        <v>-846886257.71640003</v>
      </c>
      <c r="P445">
        <f t="shared" si="154"/>
        <v>-1018777954.1064003</v>
      </c>
      <c r="Q445">
        <f t="shared" si="155"/>
        <v>-1052185068.8952</v>
      </c>
      <c r="S445">
        <f t="shared" si="156"/>
        <v>2056834.4580000001</v>
      </c>
      <c r="T445">
        <f t="shared" si="157"/>
        <v>-502515197.94840014</v>
      </c>
      <c r="U445">
        <f t="shared" si="158"/>
        <v>-835322861.81220007</v>
      </c>
      <c r="V445">
        <f t="shared" si="159"/>
        <v>-888400289.95739996</v>
      </c>
      <c r="W445">
        <f t="shared" si="160"/>
        <v>-1184883055.3194001</v>
      </c>
      <c r="X445">
        <f t="shared" si="161"/>
        <v>-1204475013.0774</v>
      </c>
      <c r="Z445">
        <f t="shared" si="162"/>
        <v>2233134.5544000003</v>
      </c>
      <c r="AA445">
        <f t="shared" si="163"/>
        <v>-557736648.27240014</v>
      </c>
      <c r="AB445">
        <f t="shared" si="164"/>
        <v>-907238075.08080006</v>
      </c>
      <c r="AC445">
        <f t="shared" si="165"/>
        <v>-1129181676.9552</v>
      </c>
      <c r="AD445">
        <f t="shared" si="166"/>
        <v>-1350988156.5324004</v>
      </c>
      <c r="AE445">
        <f t="shared" si="167"/>
        <v>-1356764957.2595999</v>
      </c>
    </row>
    <row r="446" spans="1:31" x14ac:dyDescent="0.25">
      <c r="A446">
        <v>37.842548440000002</v>
      </c>
      <c r="B446">
        <v>119.969739</v>
      </c>
      <c r="C446">
        <v>60.695182799999998</v>
      </c>
      <c r="D446">
        <v>7.3458380700000001</v>
      </c>
      <c r="E446" t="b">
        <f t="shared" si="144"/>
        <v>0</v>
      </c>
      <c r="F446">
        <f t="shared" si="145"/>
        <v>-296.13007592999998</v>
      </c>
      <c r="G446">
        <f t="shared" si="146"/>
        <v>-599.60598992999996</v>
      </c>
      <c r="H446">
        <f t="shared" si="147"/>
        <v>-903.08190392999995</v>
      </c>
      <c r="I446">
        <f t="shared" si="148"/>
        <v>-1206.5578179300001</v>
      </c>
      <c r="J446">
        <f t="shared" si="149"/>
        <v>-1510.0337319300002</v>
      </c>
      <c r="L446">
        <f t="shared" si="150"/>
        <v>14104009.094400002</v>
      </c>
      <c r="M446">
        <f t="shared" si="151"/>
        <v>-479730723.00659996</v>
      </c>
      <c r="N446">
        <f t="shared" si="152"/>
        <v>-827456266.10339987</v>
      </c>
      <c r="O446">
        <f t="shared" si="153"/>
        <v>-921143542.0086</v>
      </c>
      <c r="P446">
        <f t="shared" si="154"/>
        <v>-1110033192.4956</v>
      </c>
      <c r="Q446">
        <f t="shared" si="155"/>
        <v>-1147625636.2668002</v>
      </c>
      <c r="S446">
        <f t="shared" si="156"/>
        <v>15426259.947000001</v>
      </c>
      <c r="T446">
        <f t="shared" si="157"/>
        <v>-538956738.19259989</v>
      </c>
      <c r="U446">
        <f t="shared" si="158"/>
        <v>-905405044.79429996</v>
      </c>
      <c r="V446">
        <f t="shared" si="159"/>
        <v>-966297637.20509982</v>
      </c>
      <c r="W446">
        <f t="shared" si="160"/>
        <v>-1291016865.1850998</v>
      </c>
      <c r="X446">
        <f t="shared" si="161"/>
        <v>-1313729346.7790999</v>
      </c>
      <c r="Z446">
        <f t="shared" si="162"/>
        <v>16748510.799600003</v>
      </c>
      <c r="AA446">
        <f t="shared" si="163"/>
        <v>-598182753.37859988</v>
      </c>
      <c r="AB446">
        <f t="shared" si="164"/>
        <v>-983353823.48520005</v>
      </c>
      <c r="AC446">
        <f t="shared" si="165"/>
        <v>-1228191389.3447998</v>
      </c>
      <c r="AD446">
        <f t="shared" si="166"/>
        <v>-1472000537.8745999</v>
      </c>
      <c r="AE446">
        <f t="shared" si="167"/>
        <v>-1479833057.2914</v>
      </c>
    </row>
    <row r="447" spans="1:31" x14ac:dyDescent="0.25">
      <c r="A447">
        <v>37.847515489999999</v>
      </c>
      <c r="B447">
        <v>119.0943877</v>
      </c>
      <c r="C447">
        <v>40.0941124</v>
      </c>
      <c r="D447">
        <v>2.2625091099999999</v>
      </c>
      <c r="E447" t="b">
        <f t="shared" si="144"/>
        <v>0</v>
      </c>
      <c r="F447">
        <f t="shared" si="145"/>
        <v>-198.20805289</v>
      </c>
      <c r="G447">
        <f t="shared" si="146"/>
        <v>-398.67861489000001</v>
      </c>
      <c r="H447">
        <f t="shared" si="147"/>
        <v>-599.14917689000004</v>
      </c>
      <c r="I447">
        <f t="shared" si="148"/>
        <v>-799.61973889000001</v>
      </c>
      <c r="J447">
        <f t="shared" si="149"/>
        <v>-1000.09030089</v>
      </c>
      <c r="L447">
        <f t="shared" si="150"/>
        <v>4344017.4912</v>
      </c>
      <c r="M447">
        <f t="shared" si="151"/>
        <v>-321097045.68180007</v>
      </c>
      <c r="N447">
        <f t="shared" si="152"/>
        <v>-550176488.54819989</v>
      </c>
      <c r="O447">
        <f t="shared" si="153"/>
        <v>-611132160.42779994</v>
      </c>
      <c r="P447">
        <f t="shared" si="154"/>
        <v>-735650159.77879989</v>
      </c>
      <c r="Q447">
        <f t="shared" si="155"/>
        <v>-760068628.67639995</v>
      </c>
      <c r="S447">
        <f t="shared" si="156"/>
        <v>4751269.1310000001</v>
      </c>
      <c r="T447">
        <f t="shared" si="157"/>
        <v>-360738656.25980002</v>
      </c>
      <c r="U447">
        <f t="shared" si="158"/>
        <v>-602004708.48389995</v>
      </c>
      <c r="V447">
        <f t="shared" si="159"/>
        <v>-641089619.27229989</v>
      </c>
      <c r="W447">
        <f t="shared" si="160"/>
        <v>-855593120.6122998</v>
      </c>
      <c r="X447">
        <f t="shared" si="161"/>
        <v>-870078561.77429998</v>
      </c>
      <c r="Z447">
        <f t="shared" si="162"/>
        <v>5158520.7708000001</v>
      </c>
      <c r="AA447">
        <f t="shared" si="163"/>
        <v>-400380266.83780003</v>
      </c>
      <c r="AB447">
        <f t="shared" si="164"/>
        <v>-653832928.41960001</v>
      </c>
      <c r="AC447">
        <f t="shared" si="165"/>
        <v>-814842880.57039988</v>
      </c>
      <c r="AD447">
        <f t="shared" si="166"/>
        <v>-975536081.44579995</v>
      </c>
      <c r="AE447">
        <f t="shared" si="167"/>
        <v>-980088494.87220001</v>
      </c>
    </row>
    <row r="448" spans="1:31" x14ac:dyDescent="0.25">
      <c r="A448">
        <v>37.849006619999997</v>
      </c>
      <c r="B448">
        <v>119.5034347</v>
      </c>
      <c r="C448">
        <v>15.833525659999999</v>
      </c>
      <c r="D448">
        <v>3.028934</v>
      </c>
      <c r="E448" t="b">
        <f t="shared" si="144"/>
        <v>0</v>
      </c>
      <c r="F448">
        <f t="shared" si="145"/>
        <v>-76.138694299999983</v>
      </c>
      <c r="G448">
        <f t="shared" si="146"/>
        <v>-155.30632259999999</v>
      </c>
      <c r="H448">
        <f t="shared" si="147"/>
        <v>-234.47395090000001</v>
      </c>
      <c r="I448">
        <f t="shared" si="148"/>
        <v>-313.64157919999997</v>
      </c>
      <c r="J448">
        <f t="shared" si="149"/>
        <v>-392.80920750000001</v>
      </c>
      <c r="L448">
        <f t="shared" si="150"/>
        <v>5815553.2800000003</v>
      </c>
      <c r="M448">
        <f t="shared" si="151"/>
        <v>-123344684.76599997</v>
      </c>
      <c r="N448">
        <f t="shared" si="152"/>
        <v>-214322725.18799996</v>
      </c>
      <c r="O448">
        <f t="shared" si="153"/>
        <v>-239163429.91800001</v>
      </c>
      <c r="P448">
        <f t="shared" si="154"/>
        <v>-288550252.86399996</v>
      </c>
      <c r="Q448">
        <f t="shared" si="155"/>
        <v>-298534997.69999999</v>
      </c>
      <c r="S448">
        <f t="shared" si="156"/>
        <v>6360761.4000000004</v>
      </c>
      <c r="T448">
        <f t="shared" si="157"/>
        <v>-138572423.62599996</v>
      </c>
      <c r="U448">
        <f t="shared" si="158"/>
        <v>-234512547.12599999</v>
      </c>
      <c r="V448">
        <f t="shared" si="159"/>
        <v>-250887127.46299997</v>
      </c>
      <c r="W448">
        <f t="shared" si="160"/>
        <v>-335596489.74399996</v>
      </c>
      <c r="X448">
        <f t="shared" si="161"/>
        <v>-341744010.52499998</v>
      </c>
      <c r="Z448">
        <f t="shared" si="162"/>
        <v>6905969.5200000005</v>
      </c>
      <c r="AA448">
        <f t="shared" si="163"/>
        <v>-153800162.48599997</v>
      </c>
      <c r="AB448">
        <f t="shared" si="164"/>
        <v>-254702369.06400001</v>
      </c>
      <c r="AC448">
        <f t="shared" si="165"/>
        <v>-318884573.22399998</v>
      </c>
      <c r="AD448">
        <f t="shared" si="166"/>
        <v>-382642726.62399995</v>
      </c>
      <c r="AE448">
        <f t="shared" si="167"/>
        <v>-384953023.34999996</v>
      </c>
    </row>
    <row r="449" spans="1:31" x14ac:dyDescent="0.25">
      <c r="A449">
        <v>37.856581570000003</v>
      </c>
      <c r="B449">
        <v>118.570645</v>
      </c>
      <c r="C449">
        <v>43.008232120000002</v>
      </c>
      <c r="D449">
        <v>1.9290929999999999</v>
      </c>
      <c r="E449" t="b">
        <f t="shared" si="144"/>
        <v>0</v>
      </c>
      <c r="F449">
        <f t="shared" si="145"/>
        <v>-213.11206760000002</v>
      </c>
      <c r="G449">
        <f t="shared" si="146"/>
        <v>-428.1532282</v>
      </c>
      <c r="H449">
        <f t="shared" si="147"/>
        <v>-643.19438880000007</v>
      </c>
      <c r="I449">
        <f t="shared" si="148"/>
        <v>-858.23554940000008</v>
      </c>
      <c r="J449">
        <f t="shared" si="149"/>
        <v>-1073.2767100000001</v>
      </c>
      <c r="L449">
        <f t="shared" si="150"/>
        <v>3703858.5600000005</v>
      </c>
      <c r="M449">
        <f t="shared" si="151"/>
        <v>-345241549.51200008</v>
      </c>
      <c r="N449">
        <f t="shared" si="152"/>
        <v>-590851454.91599989</v>
      </c>
      <c r="O449">
        <f t="shared" si="153"/>
        <v>-656058276.57600009</v>
      </c>
      <c r="P449">
        <f t="shared" si="154"/>
        <v>-789576705.44800007</v>
      </c>
      <c r="Q449">
        <f t="shared" si="155"/>
        <v>-815690299.60000014</v>
      </c>
      <c r="S449">
        <f t="shared" si="156"/>
        <v>4051095.3000000003</v>
      </c>
      <c r="T449">
        <f t="shared" si="157"/>
        <v>-387863963.03200006</v>
      </c>
      <c r="U449">
        <f t="shared" si="158"/>
        <v>-646511374.58200002</v>
      </c>
      <c r="V449">
        <f t="shared" si="159"/>
        <v>-688217996.01600003</v>
      </c>
      <c r="W449">
        <f t="shared" si="160"/>
        <v>-918312037.85799992</v>
      </c>
      <c r="X449">
        <f t="shared" si="161"/>
        <v>-933750737.70000005</v>
      </c>
      <c r="Z449">
        <f t="shared" si="162"/>
        <v>4398332.04</v>
      </c>
      <c r="AA449">
        <f t="shared" si="163"/>
        <v>-430486376.55200005</v>
      </c>
      <c r="AB449">
        <f t="shared" si="164"/>
        <v>-702171294.24800003</v>
      </c>
      <c r="AC449">
        <f t="shared" si="165"/>
        <v>-874744368.76800001</v>
      </c>
      <c r="AD449">
        <f t="shared" si="166"/>
        <v>-1047047370.2680001</v>
      </c>
      <c r="AE449">
        <f t="shared" si="167"/>
        <v>-1051811175.8000001</v>
      </c>
    </row>
    <row r="450" spans="1:31" x14ac:dyDescent="0.25">
      <c r="A450">
        <v>37.857139789999998</v>
      </c>
      <c r="B450">
        <v>114.90312830000001</v>
      </c>
      <c r="C450">
        <v>5.4292302100000001</v>
      </c>
      <c r="D450">
        <v>0.13498599999999999</v>
      </c>
      <c r="E450" t="b">
        <f t="shared" si="144"/>
        <v>0</v>
      </c>
      <c r="F450">
        <f t="shared" si="145"/>
        <v>-27.011165049999999</v>
      </c>
      <c r="G450">
        <f t="shared" si="146"/>
        <v>-54.157316100000003</v>
      </c>
      <c r="H450">
        <f t="shared" si="147"/>
        <v>-81.303467150000003</v>
      </c>
      <c r="I450">
        <f t="shared" si="148"/>
        <v>-108.4496182</v>
      </c>
      <c r="J450">
        <f t="shared" si="149"/>
        <v>-135.59576925000002</v>
      </c>
      <c r="L450">
        <f t="shared" si="150"/>
        <v>259173.12000000002</v>
      </c>
      <c r="M450">
        <f t="shared" si="151"/>
        <v>-43758087.381000005</v>
      </c>
      <c r="N450">
        <f t="shared" si="152"/>
        <v>-74737096.217999995</v>
      </c>
      <c r="O450">
        <f t="shared" si="153"/>
        <v>-82929536.493000001</v>
      </c>
      <c r="P450">
        <f t="shared" si="154"/>
        <v>-99773648.743999988</v>
      </c>
      <c r="Q450">
        <f t="shared" si="155"/>
        <v>-103052784.63000003</v>
      </c>
      <c r="S450">
        <f t="shared" si="156"/>
        <v>283470.60000000003</v>
      </c>
      <c r="T450">
        <f t="shared" si="157"/>
        <v>-49160320.391000003</v>
      </c>
      <c r="U450">
        <f t="shared" si="158"/>
        <v>-81777547.311000004</v>
      </c>
      <c r="V450">
        <f t="shared" si="159"/>
        <v>-86994709.850499988</v>
      </c>
      <c r="W450">
        <f t="shared" si="160"/>
        <v>-116041091.47399999</v>
      </c>
      <c r="X450">
        <f t="shared" si="161"/>
        <v>-117968319.24750003</v>
      </c>
      <c r="Z450">
        <f t="shared" si="162"/>
        <v>307768.08</v>
      </c>
      <c r="AA450">
        <f t="shared" si="163"/>
        <v>-54562553.401000001</v>
      </c>
      <c r="AB450">
        <f t="shared" si="164"/>
        <v>-88817998.404000014</v>
      </c>
      <c r="AC450">
        <f t="shared" si="165"/>
        <v>-110572715.324</v>
      </c>
      <c r="AD450">
        <f t="shared" si="166"/>
        <v>-132308534.204</v>
      </c>
      <c r="AE450">
        <f t="shared" si="167"/>
        <v>-132883853.86500002</v>
      </c>
    </row>
    <row r="451" spans="1:31" x14ac:dyDescent="0.25">
      <c r="A451">
        <v>37.865941540000001</v>
      </c>
      <c r="B451">
        <v>118.92238570000001</v>
      </c>
      <c r="C451">
        <v>43.008232120000002</v>
      </c>
      <c r="D451">
        <v>1.5617549399999999</v>
      </c>
      <c r="E451" t="b">
        <f t="shared" ref="E451:E514" si="168">D451&gt;C451</f>
        <v>0</v>
      </c>
      <c r="F451">
        <f t="shared" ref="F451:F514" si="169">D451-(C451*(2030-2025))</f>
        <v>-213.47940566000003</v>
      </c>
      <c r="G451">
        <f t="shared" ref="G451:G514" si="170">D451-(C451*(2035-2025))</f>
        <v>-428.52056626000001</v>
      </c>
      <c r="H451">
        <f t="shared" ref="H451:H514" si="171">D451-(C451*(2040-2025))</f>
        <v>-643.56172686000002</v>
      </c>
      <c r="I451">
        <f t="shared" ref="I451:I514" si="172">D451-(C451*(2045-2025))</f>
        <v>-858.60288746000003</v>
      </c>
      <c r="J451">
        <f t="shared" ref="J451:J514" si="173">D451-(C451*(2050-2025))</f>
        <v>-1073.6440480600002</v>
      </c>
      <c r="L451">
        <f t="shared" ref="L451:L514" si="174">MIN(C451,D451)*1000000*((280/250)+0.8)</f>
        <v>2998569.4848000002</v>
      </c>
      <c r="M451">
        <f t="shared" ref="M451:M514" si="175">MIN(F451,C451)*1000000*((230/250)+0.7)</f>
        <v>-345836637.16920006</v>
      </c>
      <c r="N451">
        <f t="shared" ref="N451:N514" si="176">MIN(G451,C451)*1000000*((195/250)+0.6)</f>
        <v>-591358381.43879998</v>
      </c>
      <c r="O451">
        <f t="shared" ref="O451:O514" si="177">MIN(H451,C451)*1000000*((130/250)+0.5)</f>
        <v>-656432961.39719999</v>
      </c>
      <c r="P451">
        <f t="shared" ref="P451:P514" si="178">MIN(I451,C451)*1000000*((105/250)+0.5)</f>
        <v>-789914656.46319997</v>
      </c>
      <c r="Q451">
        <f t="shared" ref="Q451:Q514" si="179">MIN(J451,C451)*1000000*((90/250)+0.4)</f>
        <v>-815969476.52560019</v>
      </c>
      <c r="S451">
        <f t="shared" ref="S451:S514" si="180">MIN(C451,D451)*1000000*((325/250)+0.8)</f>
        <v>3279685.3739999998</v>
      </c>
      <c r="T451">
        <f t="shared" ref="T451:T514" si="181">MIN(F451,C451)*1000000*((280/250)+0.7)</f>
        <v>-388532518.30120003</v>
      </c>
      <c r="U451">
        <f t="shared" ref="U451:U514" si="182">MIN(G451,C451)*1000000*((227.5/250)+0.6)</f>
        <v>-647066055.05260003</v>
      </c>
      <c r="V451">
        <f t="shared" ref="V451:V514" si="183">MIN(H451,C451)*1000000*((142.5/250)+0.5)</f>
        <v>-688611047.74019992</v>
      </c>
      <c r="W451">
        <f t="shared" ref="W451:W514" si="184">MIN(I451,C451)*1000000*((142.5/250)+0.5)</f>
        <v>-918705089.58219993</v>
      </c>
      <c r="X451">
        <f t="shared" ref="X451:X514" si="185">MIN(J451,C451)*1000000*( (117.5/250)+0.4)</f>
        <v>-934070321.81220019</v>
      </c>
      <c r="Z451">
        <f t="shared" ref="Z451:Z514" si="186">MIN(C451,D451)*1000000*((370/250)+0.8)</f>
        <v>3560801.2632000004</v>
      </c>
      <c r="AA451">
        <f t="shared" ref="AA451:AA514" si="187">MIN(C451,F451)*1000000*((330/250)+0.7)</f>
        <v>-431228399.43320006</v>
      </c>
      <c r="AB451">
        <f t="shared" ref="AB451:AB514" si="188">MIN(C451,G451)*1000000*((260/250)+0.6)</f>
        <v>-702773728.66640007</v>
      </c>
      <c r="AC451">
        <f t="shared" ref="AC451:AC514" si="189">MIN(C451,H451)*1000000*((215/250)+0.5)</f>
        <v>-875243948.52959991</v>
      </c>
      <c r="AD451">
        <f t="shared" ref="AD451:AD514" si="190">MIN(C451,I451)*1000000*((180/250)+0.5)</f>
        <v>-1047495522.7012</v>
      </c>
      <c r="AE451">
        <f t="shared" ref="AE451:AE514" si="191">MIN(C451,J451)*1000000*((145/250)+0.4)</f>
        <v>-1052171167.0988002</v>
      </c>
    </row>
    <row r="452" spans="1:31" x14ac:dyDescent="0.25">
      <c r="A452">
        <v>37.87705038</v>
      </c>
      <c r="B452">
        <v>115.2541966</v>
      </c>
      <c r="C452">
        <v>10.663947110000001</v>
      </c>
      <c r="D452">
        <v>0.21548999999999999</v>
      </c>
      <c r="E452" t="b">
        <f t="shared" si="168"/>
        <v>0</v>
      </c>
      <c r="F452">
        <f t="shared" si="169"/>
        <v>-53.104245550000002</v>
      </c>
      <c r="G452">
        <f t="shared" si="170"/>
        <v>-106.42398110000001</v>
      </c>
      <c r="H452">
        <f t="shared" si="171"/>
        <v>-159.74371665000001</v>
      </c>
      <c r="I452">
        <f t="shared" si="172"/>
        <v>-213.06345220000003</v>
      </c>
      <c r="J452">
        <f t="shared" si="173"/>
        <v>-266.38318775000005</v>
      </c>
      <c r="L452">
        <f t="shared" si="174"/>
        <v>413740.80000000005</v>
      </c>
      <c r="M452">
        <f t="shared" si="175"/>
        <v>-86028877.791000009</v>
      </c>
      <c r="N452">
        <f t="shared" si="176"/>
        <v>-146865093.91800001</v>
      </c>
      <c r="O452">
        <f t="shared" si="177"/>
        <v>-162938590.98300001</v>
      </c>
      <c r="P452">
        <f t="shared" si="178"/>
        <v>-196018376.02399999</v>
      </c>
      <c r="Q452">
        <f t="shared" si="179"/>
        <v>-202451222.69000006</v>
      </c>
      <c r="S452">
        <f t="shared" si="180"/>
        <v>452529</v>
      </c>
      <c r="T452">
        <f t="shared" si="181"/>
        <v>-96649726.901000008</v>
      </c>
      <c r="U452">
        <f t="shared" si="182"/>
        <v>-160700211.46100003</v>
      </c>
      <c r="V452">
        <f t="shared" si="183"/>
        <v>-170925776.81549999</v>
      </c>
      <c r="W452">
        <f t="shared" si="184"/>
        <v>-227977893.85399997</v>
      </c>
      <c r="X452">
        <f t="shared" si="185"/>
        <v>-231753373.34250006</v>
      </c>
      <c r="Z452">
        <f t="shared" si="186"/>
        <v>491317.20000000007</v>
      </c>
      <c r="AA452">
        <f t="shared" si="187"/>
        <v>-107270576.01100001</v>
      </c>
      <c r="AB452">
        <f t="shared" si="188"/>
        <v>-174535329.00400004</v>
      </c>
      <c r="AC452">
        <f t="shared" si="189"/>
        <v>-217251454.64399999</v>
      </c>
      <c r="AD452">
        <f t="shared" si="190"/>
        <v>-259937411.68400002</v>
      </c>
      <c r="AE452">
        <f t="shared" si="191"/>
        <v>-261055523.99500006</v>
      </c>
    </row>
    <row r="453" spans="1:31" x14ac:dyDescent="0.25">
      <c r="A453">
        <v>37.884125109999999</v>
      </c>
      <c r="B453">
        <v>118.7503018</v>
      </c>
      <c r="C453">
        <v>43.008232120000002</v>
      </c>
      <c r="D453">
        <v>66.016807560000004</v>
      </c>
      <c r="E453" t="b">
        <f t="shared" si="168"/>
        <v>1</v>
      </c>
      <c r="F453">
        <f t="shared" si="169"/>
        <v>-149.02435303999999</v>
      </c>
      <c r="G453">
        <f t="shared" si="170"/>
        <v>-364.06551364000001</v>
      </c>
      <c r="H453">
        <f t="shared" si="171"/>
        <v>-579.10667424000007</v>
      </c>
      <c r="I453">
        <f t="shared" si="172"/>
        <v>-794.14783484000009</v>
      </c>
      <c r="J453">
        <f t="shared" si="173"/>
        <v>-1009.1889954400001</v>
      </c>
      <c r="L453">
        <f t="shared" si="174"/>
        <v>82575805.670400009</v>
      </c>
      <c r="M453">
        <f t="shared" si="175"/>
        <v>-241419451.92480001</v>
      </c>
      <c r="N453">
        <f t="shared" si="176"/>
        <v>-502410408.82319993</v>
      </c>
      <c r="O453">
        <f t="shared" si="177"/>
        <v>-590688807.72480011</v>
      </c>
      <c r="P453">
        <f t="shared" si="178"/>
        <v>-730616008.05279994</v>
      </c>
      <c r="Q453">
        <f t="shared" si="179"/>
        <v>-766983636.53440011</v>
      </c>
      <c r="S453">
        <f t="shared" si="180"/>
        <v>90317287.452000007</v>
      </c>
      <c r="T453">
        <f t="shared" si="181"/>
        <v>-271224322.53280002</v>
      </c>
      <c r="U453">
        <f t="shared" si="182"/>
        <v>-549738925.59640002</v>
      </c>
      <c r="V453">
        <f t="shared" si="183"/>
        <v>-619644141.4368</v>
      </c>
      <c r="W453">
        <f t="shared" si="184"/>
        <v>-849738183.27879989</v>
      </c>
      <c r="X453">
        <f t="shared" si="185"/>
        <v>-877994426.03280008</v>
      </c>
      <c r="Z453">
        <f t="shared" si="186"/>
        <v>98058769.23360002</v>
      </c>
      <c r="AA453">
        <f t="shared" si="187"/>
        <v>-301029193.1408</v>
      </c>
      <c r="AB453">
        <f t="shared" si="188"/>
        <v>-597067442.36960006</v>
      </c>
      <c r="AC453">
        <f t="shared" si="189"/>
        <v>-787585076.96640015</v>
      </c>
      <c r="AD453">
        <f t="shared" si="190"/>
        <v>-968860358.50479996</v>
      </c>
      <c r="AE453">
        <f t="shared" si="191"/>
        <v>-989005215.53120005</v>
      </c>
    </row>
    <row r="454" spans="1:31" x14ac:dyDescent="0.25">
      <c r="A454">
        <v>37.885947280000003</v>
      </c>
      <c r="B454">
        <v>117.8170741</v>
      </c>
      <c r="C454">
        <v>0</v>
      </c>
      <c r="D454">
        <v>2.24981594</v>
      </c>
      <c r="E454" t="b">
        <f t="shared" si="168"/>
        <v>1</v>
      </c>
      <c r="F454">
        <f t="shared" si="169"/>
        <v>2.24981594</v>
      </c>
      <c r="G454">
        <f t="shared" si="170"/>
        <v>2.24981594</v>
      </c>
      <c r="H454">
        <f t="shared" si="171"/>
        <v>2.24981594</v>
      </c>
      <c r="I454">
        <f t="shared" si="172"/>
        <v>2.24981594</v>
      </c>
      <c r="J454">
        <f t="shared" si="173"/>
        <v>2.24981594</v>
      </c>
      <c r="L454">
        <f t="shared" si="174"/>
        <v>0</v>
      </c>
      <c r="M454">
        <f t="shared" si="175"/>
        <v>0</v>
      </c>
      <c r="N454">
        <f t="shared" si="176"/>
        <v>0</v>
      </c>
      <c r="O454">
        <f t="shared" si="177"/>
        <v>0</v>
      </c>
      <c r="P454">
        <f t="shared" si="178"/>
        <v>0</v>
      </c>
      <c r="Q454">
        <f t="shared" si="179"/>
        <v>0</v>
      </c>
      <c r="S454">
        <f t="shared" si="180"/>
        <v>0</v>
      </c>
      <c r="T454">
        <f t="shared" si="181"/>
        <v>0</v>
      </c>
      <c r="U454">
        <f t="shared" si="182"/>
        <v>0</v>
      </c>
      <c r="V454">
        <f t="shared" si="183"/>
        <v>0</v>
      </c>
      <c r="W454">
        <f t="shared" si="184"/>
        <v>0</v>
      </c>
      <c r="X454">
        <f t="shared" si="185"/>
        <v>0</v>
      </c>
      <c r="Z454">
        <f t="shared" si="186"/>
        <v>0</v>
      </c>
      <c r="AA454">
        <f t="shared" si="187"/>
        <v>0</v>
      </c>
      <c r="AB454">
        <f t="shared" si="188"/>
        <v>0</v>
      </c>
      <c r="AC454">
        <f t="shared" si="189"/>
        <v>0</v>
      </c>
      <c r="AD454">
        <f t="shared" si="190"/>
        <v>0</v>
      </c>
      <c r="AE454">
        <f t="shared" si="191"/>
        <v>0</v>
      </c>
    </row>
    <row r="455" spans="1:31" x14ac:dyDescent="0.25">
      <c r="A455">
        <v>37.89296023</v>
      </c>
      <c r="B455">
        <v>91.280076750000006</v>
      </c>
      <c r="C455">
        <v>20.624670030000001</v>
      </c>
      <c r="D455">
        <v>4.7342062</v>
      </c>
      <c r="E455" t="b">
        <f t="shared" si="168"/>
        <v>0</v>
      </c>
      <c r="F455">
        <f t="shared" si="169"/>
        <v>-98.389143950000005</v>
      </c>
      <c r="G455">
        <f t="shared" si="170"/>
        <v>-201.51249410000003</v>
      </c>
      <c r="H455">
        <f t="shared" si="171"/>
        <v>-304.63584424999999</v>
      </c>
      <c r="I455">
        <f t="shared" si="172"/>
        <v>-407.75919440000001</v>
      </c>
      <c r="J455">
        <f t="shared" si="173"/>
        <v>-510.88254455000003</v>
      </c>
      <c r="L455">
        <f t="shared" si="174"/>
        <v>9089675.904000001</v>
      </c>
      <c r="M455">
        <f t="shared" si="175"/>
        <v>-159390413.199</v>
      </c>
      <c r="N455">
        <f t="shared" si="176"/>
        <v>-278087241.85800004</v>
      </c>
      <c r="O455">
        <f t="shared" si="177"/>
        <v>-310728561.13499999</v>
      </c>
      <c r="P455">
        <f t="shared" si="178"/>
        <v>-375138458.84799999</v>
      </c>
      <c r="Q455">
        <f t="shared" si="179"/>
        <v>-388270733.85800004</v>
      </c>
      <c r="S455">
        <f t="shared" si="180"/>
        <v>9941833.0200000014</v>
      </c>
      <c r="T455">
        <f t="shared" si="181"/>
        <v>-179068241.98900002</v>
      </c>
      <c r="U455">
        <f t="shared" si="182"/>
        <v>-304283866.09100002</v>
      </c>
      <c r="V455">
        <f t="shared" si="183"/>
        <v>-325960353.34749997</v>
      </c>
      <c r="W455">
        <f t="shared" si="184"/>
        <v>-436302338.00799996</v>
      </c>
      <c r="X455">
        <f t="shared" si="185"/>
        <v>-444467813.75849998</v>
      </c>
      <c r="Z455">
        <f t="shared" si="186"/>
        <v>10793990.136000002</v>
      </c>
      <c r="AA455">
        <f t="shared" si="187"/>
        <v>-198746070.77900001</v>
      </c>
      <c r="AB455">
        <f t="shared" si="188"/>
        <v>-330480490.32400006</v>
      </c>
      <c r="AC455">
        <f t="shared" si="189"/>
        <v>-414304748.17999995</v>
      </c>
      <c r="AD455">
        <f t="shared" si="190"/>
        <v>-497466217.16800004</v>
      </c>
      <c r="AE455">
        <f t="shared" si="191"/>
        <v>-500664893.65899998</v>
      </c>
    </row>
    <row r="456" spans="1:31" x14ac:dyDescent="0.25">
      <c r="A456">
        <v>37.89296745</v>
      </c>
      <c r="B456">
        <v>119.10218879999999</v>
      </c>
      <c r="C456">
        <v>12.942860599999999</v>
      </c>
      <c r="D456">
        <v>181.1973419</v>
      </c>
      <c r="E456" t="b">
        <f t="shared" si="168"/>
        <v>1</v>
      </c>
      <c r="F456">
        <f t="shared" si="169"/>
        <v>116.4830389</v>
      </c>
      <c r="G456">
        <f t="shared" si="170"/>
        <v>51.768735899999996</v>
      </c>
      <c r="H456">
        <f t="shared" si="171"/>
        <v>-12.945567100000005</v>
      </c>
      <c r="I456">
        <f t="shared" si="172"/>
        <v>-77.659870100000006</v>
      </c>
      <c r="J456">
        <f t="shared" si="173"/>
        <v>-142.37417309999998</v>
      </c>
      <c r="L456">
        <f t="shared" si="174"/>
        <v>24850292.352000002</v>
      </c>
      <c r="M456">
        <f t="shared" si="175"/>
        <v>20967434.172000002</v>
      </c>
      <c r="N456">
        <f t="shared" si="176"/>
        <v>17861147.627999999</v>
      </c>
      <c r="O456">
        <f t="shared" si="177"/>
        <v>-13204478.442000005</v>
      </c>
      <c r="P456">
        <f t="shared" si="178"/>
        <v>-71447080.491999999</v>
      </c>
      <c r="Q456">
        <f t="shared" si="179"/>
        <v>-108204371.55599998</v>
      </c>
      <c r="S456">
        <f t="shared" si="180"/>
        <v>27180007.260000002</v>
      </c>
      <c r="T456">
        <f t="shared" si="181"/>
        <v>23556006.291999999</v>
      </c>
      <c r="U456">
        <f t="shared" si="182"/>
        <v>19543719.506000001</v>
      </c>
      <c r="V456">
        <f t="shared" si="183"/>
        <v>-13851756.797000004</v>
      </c>
      <c r="W456">
        <f t="shared" si="184"/>
        <v>-83096061.006999999</v>
      </c>
      <c r="X456">
        <f t="shared" si="185"/>
        <v>-123865530.59699997</v>
      </c>
      <c r="Z456">
        <f t="shared" si="186"/>
        <v>29509722.168000001</v>
      </c>
      <c r="AA456">
        <f t="shared" si="187"/>
        <v>26144578.412</v>
      </c>
      <c r="AB456">
        <f t="shared" si="188"/>
        <v>21226291.384</v>
      </c>
      <c r="AC456">
        <f t="shared" si="189"/>
        <v>-17605971.256000005</v>
      </c>
      <c r="AD456">
        <f t="shared" si="190"/>
        <v>-94745041.522000015</v>
      </c>
      <c r="AE456">
        <f t="shared" si="191"/>
        <v>-139526689.63799995</v>
      </c>
    </row>
    <row r="457" spans="1:31" x14ac:dyDescent="0.25">
      <c r="A457">
        <v>37.89452601</v>
      </c>
      <c r="B457">
        <v>119.9207759</v>
      </c>
      <c r="C457">
        <v>15.833525659999999</v>
      </c>
      <c r="D457">
        <v>5.5093789099999997</v>
      </c>
      <c r="E457" t="b">
        <f t="shared" si="168"/>
        <v>0</v>
      </c>
      <c r="F457">
        <f t="shared" si="169"/>
        <v>-73.658249389999995</v>
      </c>
      <c r="G457">
        <f t="shared" si="170"/>
        <v>-152.82587768999997</v>
      </c>
      <c r="H457">
        <f t="shared" si="171"/>
        <v>-231.99350598999999</v>
      </c>
      <c r="I457">
        <f t="shared" si="172"/>
        <v>-311.16113428999995</v>
      </c>
      <c r="J457">
        <f t="shared" si="173"/>
        <v>-390.32876259</v>
      </c>
      <c r="L457">
        <f t="shared" si="174"/>
        <v>10578007.507200001</v>
      </c>
      <c r="M457">
        <f t="shared" si="175"/>
        <v>-119326364.01180001</v>
      </c>
      <c r="N457">
        <f t="shared" si="176"/>
        <v>-210899711.21219993</v>
      </c>
      <c r="O457">
        <f t="shared" si="177"/>
        <v>-236633376.10979998</v>
      </c>
      <c r="P457">
        <f t="shared" si="178"/>
        <v>-286268243.54679996</v>
      </c>
      <c r="Q457">
        <f t="shared" si="179"/>
        <v>-296649859.56839997</v>
      </c>
      <c r="S457">
        <f t="shared" si="180"/>
        <v>11569695.711000001</v>
      </c>
      <c r="T457">
        <f t="shared" si="181"/>
        <v>-134058013.88980001</v>
      </c>
      <c r="U457">
        <f t="shared" si="182"/>
        <v>-230767075.31189996</v>
      </c>
      <c r="V457">
        <f t="shared" si="183"/>
        <v>-248233051.40929994</v>
      </c>
      <c r="W457">
        <f t="shared" si="184"/>
        <v>-332942413.69029993</v>
      </c>
      <c r="X457">
        <f t="shared" si="185"/>
        <v>-339586023.4533</v>
      </c>
      <c r="Z457">
        <f t="shared" si="186"/>
        <v>12561383.914800001</v>
      </c>
      <c r="AA457">
        <f t="shared" si="187"/>
        <v>-148789663.7678</v>
      </c>
      <c r="AB457">
        <f t="shared" si="188"/>
        <v>-250634439.41159996</v>
      </c>
      <c r="AC457">
        <f t="shared" si="189"/>
        <v>-315511168.14639992</v>
      </c>
      <c r="AD457">
        <f t="shared" si="190"/>
        <v>-379616583.83379996</v>
      </c>
      <c r="AE457">
        <f t="shared" si="191"/>
        <v>-382522187.33819997</v>
      </c>
    </row>
    <row r="458" spans="1:31" x14ac:dyDescent="0.25">
      <c r="A458">
        <v>37.898590089999999</v>
      </c>
      <c r="B458">
        <v>114.96608380000001</v>
      </c>
      <c r="C458">
        <v>5.4292302100000001</v>
      </c>
      <c r="D458">
        <v>0.40658399000000001</v>
      </c>
      <c r="E458" t="b">
        <f t="shared" si="168"/>
        <v>0</v>
      </c>
      <c r="F458">
        <f t="shared" si="169"/>
        <v>-26.739567059999999</v>
      </c>
      <c r="G458">
        <f t="shared" si="170"/>
        <v>-53.885718109999999</v>
      </c>
      <c r="H458">
        <f t="shared" si="171"/>
        <v>-81.031869159999999</v>
      </c>
      <c r="I458">
        <f t="shared" si="172"/>
        <v>-108.17802021</v>
      </c>
      <c r="J458">
        <f t="shared" si="173"/>
        <v>-135.32417126000001</v>
      </c>
      <c r="L458">
        <f t="shared" si="174"/>
        <v>780641.26080000005</v>
      </c>
      <c r="M458">
        <f t="shared" si="175"/>
        <v>-43318098.637199998</v>
      </c>
      <c r="N458">
        <f t="shared" si="176"/>
        <v>-74362290.991799995</v>
      </c>
      <c r="O458">
        <f t="shared" si="177"/>
        <v>-82652506.543200001</v>
      </c>
      <c r="P458">
        <f t="shared" si="178"/>
        <v>-99523778.593199983</v>
      </c>
      <c r="Q458">
        <f t="shared" si="179"/>
        <v>-102846370.15760002</v>
      </c>
      <c r="S458">
        <f t="shared" si="180"/>
        <v>853826.37900000007</v>
      </c>
      <c r="T458">
        <f t="shared" si="181"/>
        <v>-48666012.049199998</v>
      </c>
      <c r="U458">
        <f t="shared" si="182"/>
        <v>-81367434.346100003</v>
      </c>
      <c r="V458">
        <f t="shared" si="183"/>
        <v>-86704100.001199991</v>
      </c>
      <c r="W458">
        <f t="shared" si="184"/>
        <v>-115750481.62469998</v>
      </c>
      <c r="X458">
        <f t="shared" si="185"/>
        <v>-117732028.99620001</v>
      </c>
      <c r="Z458">
        <f t="shared" si="186"/>
        <v>927011.4972000001</v>
      </c>
      <c r="AA458">
        <f t="shared" si="187"/>
        <v>-54013925.461199999</v>
      </c>
      <c r="AB458">
        <f t="shared" si="188"/>
        <v>-88372577.70040001</v>
      </c>
      <c r="AC458">
        <f t="shared" si="189"/>
        <v>-110203342.05759999</v>
      </c>
      <c r="AD458">
        <f t="shared" si="190"/>
        <v>-131977184.65619999</v>
      </c>
      <c r="AE458">
        <f t="shared" si="191"/>
        <v>-132617687.83480002</v>
      </c>
    </row>
    <row r="459" spans="1:31" x14ac:dyDescent="0.25">
      <c r="A459">
        <v>37.899139869999999</v>
      </c>
      <c r="B459">
        <v>119.04483070000001</v>
      </c>
      <c r="C459">
        <v>40.0941124</v>
      </c>
      <c r="D459">
        <v>30.594505309999999</v>
      </c>
      <c r="E459" t="b">
        <f t="shared" si="168"/>
        <v>0</v>
      </c>
      <c r="F459">
        <f t="shared" si="169"/>
        <v>-169.87605669000001</v>
      </c>
      <c r="G459">
        <f t="shared" si="170"/>
        <v>-370.34661869000001</v>
      </c>
      <c r="H459">
        <f t="shared" si="171"/>
        <v>-570.81718068999999</v>
      </c>
      <c r="I459">
        <f t="shared" si="172"/>
        <v>-771.28774268999996</v>
      </c>
      <c r="J459">
        <f t="shared" si="173"/>
        <v>-971.75830468999993</v>
      </c>
      <c r="L459">
        <f t="shared" si="174"/>
        <v>58741450.195200004</v>
      </c>
      <c r="M459">
        <f t="shared" si="175"/>
        <v>-275199211.83780009</v>
      </c>
      <c r="N459">
        <f t="shared" si="176"/>
        <v>-511078333.79219997</v>
      </c>
      <c r="O459">
        <f t="shared" si="177"/>
        <v>-582233524.30379999</v>
      </c>
      <c r="P459">
        <f t="shared" si="178"/>
        <v>-709584723.27479994</v>
      </c>
      <c r="Q459">
        <f t="shared" si="179"/>
        <v>-738536311.56439996</v>
      </c>
      <c r="S459">
        <f t="shared" si="180"/>
        <v>64248461.151000001</v>
      </c>
      <c r="T459">
        <f t="shared" si="181"/>
        <v>-309174423.17580009</v>
      </c>
      <c r="U459">
        <f t="shared" si="182"/>
        <v>-559223394.22189999</v>
      </c>
      <c r="V459">
        <f t="shared" si="183"/>
        <v>-610774383.33829987</v>
      </c>
      <c r="W459">
        <f t="shared" si="184"/>
        <v>-825277884.67829978</v>
      </c>
      <c r="X459">
        <f t="shared" si="185"/>
        <v>-845429725.08029997</v>
      </c>
      <c r="Z459">
        <f t="shared" si="186"/>
        <v>69755472.106800005</v>
      </c>
      <c r="AA459">
        <f t="shared" si="187"/>
        <v>-343149634.51380008</v>
      </c>
      <c r="AB459">
        <f t="shared" si="188"/>
        <v>-607368454.6516</v>
      </c>
      <c r="AC459">
        <f t="shared" si="189"/>
        <v>-776311365.73839986</v>
      </c>
      <c r="AD459">
        <f t="shared" si="190"/>
        <v>-940971046.08179986</v>
      </c>
      <c r="AE459">
        <f t="shared" si="191"/>
        <v>-952323138.59619987</v>
      </c>
    </row>
    <row r="460" spans="1:31" x14ac:dyDescent="0.25">
      <c r="A460">
        <v>37.902066040000001</v>
      </c>
      <c r="B460">
        <v>118.5781368</v>
      </c>
      <c r="C460">
        <v>43.008232120000002</v>
      </c>
      <c r="D460">
        <v>18.496994019999999</v>
      </c>
      <c r="E460" t="b">
        <f t="shared" si="168"/>
        <v>0</v>
      </c>
      <c r="F460">
        <f t="shared" si="169"/>
        <v>-196.54416658000002</v>
      </c>
      <c r="G460">
        <f t="shared" si="170"/>
        <v>-411.58532718000004</v>
      </c>
      <c r="H460">
        <f t="shared" si="171"/>
        <v>-626.62648778000005</v>
      </c>
      <c r="I460">
        <f t="shared" si="172"/>
        <v>-841.66764838000006</v>
      </c>
      <c r="J460">
        <f t="shared" si="173"/>
        <v>-1056.70880898</v>
      </c>
      <c r="L460">
        <f t="shared" si="174"/>
        <v>35514228.518399999</v>
      </c>
      <c r="M460">
        <f t="shared" si="175"/>
        <v>-318401549.85960007</v>
      </c>
      <c r="N460">
        <f t="shared" si="176"/>
        <v>-567987751.50839996</v>
      </c>
      <c r="O460">
        <f t="shared" si="177"/>
        <v>-639159017.53560007</v>
      </c>
      <c r="P460">
        <f t="shared" si="178"/>
        <v>-774334236.50960004</v>
      </c>
      <c r="Q460">
        <f t="shared" si="179"/>
        <v>-803098694.8247999</v>
      </c>
      <c r="S460">
        <f t="shared" si="180"/>
        <v>38843687.442000002</v>
      </c>
      <c r="T460">
        <f t="shared" si="181"/>
        <v>-357710383.17560005</v>
      </c>
      <c r="U460">
        <f t="shared" si="182"/>
        <v>-621493844.04180002</v>
      </c>
      <c r="V460">
        <f t="shared" si="183"/>
        <v>-670490341.92460001</v>
      </c>
      <c r="W460">
        <f t="shared" si="184"/>
        <v>-900584383.76660001</v>
      </c>
      <c r="X460">
        <f t="shared" si="185"/>
        <v>-919336663.8125999</v>
      </c>
      <c r="Z460">
        <f t="shared" si="186"/>
        <v>42173146.365600005</v>
      </c>
      <c r="AA460">
        <f t="shared" si="187"/>
        <v>-397019216.49160004</v>
      </c>
      <c r="AB460">
        <f t="shared" si="188"/>
        <v>-674999936.57520008</v>
      </c>
      <c r="AC460">
        <f t="shared" si="189"/>
        <v>-852212023.38080001</v>
      </c>
      <c r="AD460">
        <f t="shared" si="190"/>
        <v>-1026834531.0236001</v>
      </c>
      <c r="AE460">
        <f t="shared" si="191"/>
        <v>-1035574632.8003999</v>
      </c>
    </row>
    <row r="461" spans="1:31" x14ac:dyDescent="0.25">
      <c r="A461">
        <v>37.908917459999998</v>
      </c>
      <c r="B461">
        <v>118.0539759</v>
      </c>
      <c r="C461">
        <v>76.896270749999999</v>
      </c>
      <c r="D461">
        <v>0.37020901000000001</v>
      </c>
      <c r="E461" t="b">
        <f t="shared" si="168"/>
        <v>0</v>
      </c>
      <c r="F461">
        <f t="shared" si="169"/>
        <v>-384.11114473999999</v>
      </c>
      <c r="G461">
        <f t="shared" si="170"/>
        <v>-768.59249848999991</v>
      </c>
      <c r="H461">
        <f t="shared" si="171"/>
        <v>-1153.07385224</v>
      </c>
      <c r="I461">
        <f t="shared" si="172"/>
        <v>-1537.5552059899999</v>
      </c>
      <c r="J461">
        <f t="shared" si="173"/>
        <v>-1922.03655974</v>
      </c>
      <c r="L461">
        <f t="shared" si="174"/>
        <v>710801.29920000012</v>
      </c>
      <c r="M461">
        <f t="shared" si="175"/>
        <v>-622260054.47880006</v>
      </c>
      <c r="N461">
        <f t="shared" si="176"/>
        <v>-1060657647.9161998</v>
      </c>
      <c r="O461">
        <f t="shared" si="177"/>
        <v>-1176135329.2848001</v>
      </c>
      <c r="P461">
        <f t="shared" si="178"/>
        <v>-1414550789.5107996</v>
      </c>
      <c r="Q461">
        <f t="shared" si="179"/>
        <v>-1460747785.4024</v>
      </c>
      <c r="S461">
        <f t="shared" si="180"/>
        <v>777438.92100000009</v>
      </c>
      <c r="T461">
        <f t="shared" si="181"/>
        <v>-699082283.42680001</v>
      </c>
      <c r="U461">
        <f t="shared" si="182"/>
        <v>-1160574672.7198999</v>
      </c>
      <c r="V461">
        <f t="shared" si="183"/>
        <v>-1233789021.8967998</v>
      </c>
      <c r="W461">
        <f t="shared" si="184"/>
        <v>-1645184070.4092996</v>
      </c>
      <c r="X461">
        <f t="shared" si="185"/>
        <v>-1672171806.9737999</v>
      </c>
      <c r="Z461">
        <f t="shared" si="186"/>
        <v>844076.54280000017</v>
      </c>
      <c r="AA461">
        <f t="shared" si="187"/>
        <v>-775904512.37479997</v>
      </c>
      <c r="AB461">
        <f t="shared" si="188"/>
        <v>-1260491697.5235999</v>
      </c>
      <c r="AC461">
        <f t="shared" si="189"/>
        <v>-1568180439.0463998</v>
      </c>
      <c r="AD461">
        <f t="shared" si="190"/>
        <v>-1875817351.3077996</v>
      </c>
      <c r="AE461">
        <f t="shared" si="191"/>
        <v>-1883595828.5451999</v>
      </c>
    </row>
    <row r="462" spans="1:31" x14ac:dyDescent="0.25">
      <c r="A462">
        <v>37.914114329999997</v>
      </c>
      <c r="B462">
        <v>119.74887200000001</v>
      </c>
      <c r="C462">
        <v>15.833525659999999</v>
      </c>
      <c r="D462">
        <v>3.6729190300000001</v>
      </c>
      <c r="E462" t="b">
        <f t="shared" si="168"/>
        <v>0</v>
      </c>
      <c r="F462">
        <f t="shared" si="169"/>
        <v>-75.494709269999987</v>
      </c>
      <c r="G462">
        <f t="shared" si="170"/>
        <v>-154.66233756999998</v>
      </c>
      <c r="H462">
        <f t="shared" si="171"/>
        <v>-233.82996587</v>
      </c>
      <c r="I462">
        <f t="shared" si="172"/>
        <v>-312.99759416999996</v>
      </c>
      <c r="J462">
        <f t="shared" si="173"/>
        <v>-392.16522247</v>
      </c>
      <c r="L462">
        <f t="shared" si="174"/>
        <v>7052004.5376000013</v>
      </c>
      <c r="M462">
        <f t="shared" si="175"/>
        <v>-122301429.01739998</v>
      </c>
      <c r="N462">
        <f t="shared" si="176"/>
        <v>-213434025.84659994</v>
      </c>
      <c r="O462">
        <f t="shared" si="177"/>
        <v>-238506565.18740001</v>
      </c>
      <c r="P462">
        <f t="shared" si="178"/>
        <v>-287957786.63639992</v>
      </c>
      <c r="Q462">
        <f t="shared" si="179"/>
        <v>-298045569.0772</v>
      </c>
      <c r="S462">
        <f t="shared" si="180"/>
        <v>7713129.9630000005</v>
      </c>
      <c r="T462">
        <f t="shared" si="181"/>
        <v>-137400370.87139997</v>
      </c>
      <c r="U462">
        <f t="shared" si="182"/>
        <v>-233540129.73069996</v>
      </c>
      <c r="V462">
        <f t="shared" si="183"/>
        <v>-250198063.48089996</v>
      </c>
      <c r="W462">
        <f t="shared" si="184"/>
        <v>-334907425.76189989</v>
      </c>
      <c r="X462">
        <f t="shared" si="185"/>
        <v>-341183743.54890001</v>
      </c>
      <c r="Z462">
        <f t="shared" si="186"/>
        <v>8374255.3884000015</v>
      </c>
      <c r="AA462">
        <f t="shared" si="187"/>
        <v>-152499312.72539997</v>
      </c>
      <c r="AB462">
        <f t="shared" si="188"/>
        <v>-253646233.61479995</v>
      </c>
      <c r="AC462">
        <f t="shared" si="189"/>
        <v>-318008753.58319998</v>
      </c>
      <c r="AD462">
        <f t="shared" si="190"/>
        <v>-381857064.88739991</v>
      </c>
      <c r="AE462">
        <f t="shared" si="191"/>
        <v>-384321918.02060002</v>
      </c>
    </row>
    <row r="463" spans="1:31" x14ac:dyDescent="0.25">
      <c r="A463">
        <v>37.91831895</v>
      </c>
      <c r="B463">
        <v>115.3173575</v>
      </c>
      <c r="C463">
        <v>10.663947110000001</v>
      </c>
      <c r="D463">
        <v>0.70071000000000006</v>
      </c>
      <c r="E463" t="b">
        <f t="shared" si="168"/>
        <v>0</v>
      </c>
      <c r="F463">
        <f t="shared" si="169"/>
        <v>-52.619025550000003</v>
      </c>
      <c r="G463">
        <f t="shared" si="170"/>
        <v>-105.93876110000001</v>
      </c>
      <c r="H463">
        <f t="shared" si="171"/>
        <v>-159.25849665000001</v>
      </c>
      <c r="I463">
        <f t="shared" si="172"/>
        <v>-212.57823220000003</v>
      </c>
      <c r="J463">
        <f t="shared" si="173"/>
        <v>-265.89796775000002</v>
      </c>
      <c r="L463">
        <f t="shared" si="174"/>
        <v>1345363.2000000002</v>
      </c>
      <c r="M463">
        <f t="shared" si="175"/>
        <v>-85242821.391000018</v>
      </c>
      <c r="N463">
        <f t="shared" si="176"/>
        <v>-146195490.31799999</v>
      </c>
      <c r="O463">
        <f t="shared" si="177"/>
        <v>-162443666.583</v>
      </c>
      <c r="P463">
        <f t="shared" si="178"/>
        <v>-195571973.62400001</v>
      </c>
      <c r="Q463">
        <f t="shared" si="179"/>
        <v>-202082455.49000004</v>
      </c>
      <c r="S463">
        <f t="shared" si="180"/>
        <v>1471491</v>
      </c>
      <c r="T463">
        <f t="shared" si="181"/>
        <v>-95766626.501000017</v>
      </c>
      <c r="U463">
        <f t="shared" si="182"/>
        <v>-159967529.26100001</v>
      </c>
      <c r="V463">
        <f t="shared" si="183"/>
        <v>-170406591.41549999</v>
      </c>
      <c r="W463">
        <f t="shared" si="184"/>
        <v>-227458708.454</v>
      </c>
      <c r="X463">
        <f t="shared" si="185"/>
        <v>-231331231.94250003</v>
      </c>
      <c r="Z463">
        <f t="shared" si="186"/>
        <v>1597618.8000000003</v>
      </c>
      <c r="AA463">
        <f t="shared" si="187"/>
        <v>-106290431.61100002</v>
      </c>
      <c r="AB463">
        <f t="shared" si="188"/>
        <v>-173739568.20400003</v>
      </c>
      <c r="AC463">
        <f t="shared" si="189"/>
        <v>-216591555.44399998</v>
      </c>
      <c r="AD463">
        <f t="shared" si="190"/>
        <v>-259345443.28400001</v>
      </c>
      <c r="AE463">
        <f t="shared" si="191"/>
        <v>-260580008.39500001</v>
      </c>
    </row>
    <row r="464" spans="1:31" x14ac:dyDescent="0.25">
      <c r="A464">
        <v>37.919764170000001</v>
      </c>
      <c r="B464">
        <v>118.4058919</v>
      </c>
      <c r="C464">
        <v>43.008232120000002</v>
      </c>
      <c r="D464">
        <v>1.75690806</v>
      </c>
      <c r="E464" t="b">
        <f t="shared" si="168"/>
        <v>0</v>
      </c>
      <c r="F464">
        <f t="shared" si="169"/>
        <v>-213.28425254000001</v>
      </c>
      <c r="G464">
        <f t="shared" si="170"/>
        <v>-428.32541314000002</v>
      </c>
      <c r="H464">
        <f t="shared" si="171"/>
        <v>-643.36657374000004</v>
      </c>
      <c r="I464">
        <f t="shared" si="172"/>
        <v>-858.40773434000005</v>
      </c>
      <c r="J464">
        <f t="shared" si="173"/>
        <v>-1073.4488949400002</v>
      </c>
      <c r="L464">
        <f t="shared" si="174"/>
        <v>3373263.4752000002</v>
      </c>
      <c r="M464">
        <f t="shared" si="175"/>
        <v>-345520489.11480004</v>
      </c>
      <c r="N464">
        <f t="shared" si="176"/>
        <v>-591089070.13320005</v>
      </c>
      <c r="O464">
        <f t="shared" si="177"/>
        <v>-656233905.2148</v>
      </c>
      <c r="P464">
        <f t="shared" si="178"/>
        <v>-789735115.59280002</v>
      </c>
      <c r="Q464">
        <f t="shared" si="179"/>
        <v>-815821160.15440011</v>
      </c>
      <c r="S464">
        <f t="shared" si="180"/>
        <v>3689506.9260000004</v>
      </c>
      <c r="T464">
        <f t="shared" si="181"/>
        <v>-388177339.62280005</v>
      </c>
      <c r="U464">
        <f t="shared" si="182"/>
        <v>-646771373.84140003</v>
      </c>
      <c r="V464">
        <f t="shared" si="183"/>
        <v>-688402233.90179992</v>
      </c>
      <c r="W464">
        <f t="shared" si="184"/>
        <v>-918496275.74379992</v>
      </c>
      <c r="X464">
        <f t="shared" si="185"/>
        <v>-933900538.59780014</v>
      </c>
      <c r="Z464">
        <f t="shared" si="186"/>
        <v>4005750.3768000007</v>
      </c>
      <c r="AA464">
        <f t="shared" si="187"/>
        <v>-430834190.13080007</v>
      </c>
      <c r="AB464">
        <f t="shared" si="188"/>
        <v>-702453677.54960012</v>
      </c>
      <c r="AC464">
        <f t="shared" si="189"/>
        <v>-874978540.28639996</v>
      </c>
      <c r="AD464">
        <f t="shared" si="190"/>
        <v>-1047257435.8948001</v>
      </c>
      <c r="AE464">
        <f t="shared" si="191"/>
        <v>-1051979917.0412002</v>
      </c>
    </row>
    <row r="465" spans="1:31" x14ac:dyDescent="0.25">
      <c r="A465">
        <v>37.920080759999998</v>
      </c>
      <c r="B465">
        <v>120.1009864</v>
      </c>
      <c r="C465">
        <v>15.833525659999999</v>
      </c>
      <c r="D465">
        <v>8.4060878799999994</v>
      </c>
      <c r="E465" t="b">
        <f t="shared" si="168"/>
        <v>0</v>
      </c>
      <c r="F465">
        <f t="shared" si="169"/>
        <v>-70.761540419999989</v>
      </c>
      <c r="G465">
        <f t="shared" si="170"/>
        <v>-149.92916871999998</v>
      </c>
      <c r="H465">
        <f t="shared" si="171"/>
        <v>-229.09679702</v>
      </c>
      <c r="I465">
        <f t="shared" si="172"/>
        <v>-308.26442531999999</v>
      </c>
      <c r="J465">
        <f t="shared" si="173"/>
        <v>-387.43205362000003</v>
      </c>
      <c r="L465">
        <f t="shared" si="174"/>
        <v>16139688.729599999</v>
      </c>
      <c r="M465">
        <f t="shared" si="175"/>
        <v>-114633695.48039998</v>
      </c>
      <c r="N465">
        <f t="shared" si="176"/>
        <v>-206902252.83359995</v>
      </c>
      <c r="O465">
        <f t="shared" si="177"/>
        <v>-233678732.96040002</v>
      </c>
      <c r="P465">
        <f t="shared" si="178"/>
        <v>-283603271.29439998</v>
      </c>
      <c r="Q465">
        <f t="shared" si="179"/>
        <v>-294448360.75120002</v>
      </c>
      <c r="S465">
        <f t="shared" si="180"/>
        <v>17652784.548</v>
      </c>
      <c r="T465">
        <f t="shared" si="181"/>
        <v>-128786003.56439999</v>
      </c>
      <c r="U465">
        <f t="shared" si="182"/>
        <v>-226393044.76719996</v>
      </c>
      <c r="V465">
        <f t="shared" si="183"/>
        <v>-245133572.81139997</v>
      </c>
      <c r="W465">
        <f t="shared" si="184"/>
        <v>-329842935.09239995</v>
      </c>
      <c r="X465">
        <f t="shared" si="185"/>
        <v>-337065886.6494</v>
      </c>
      <c r="Z465">
        <f t="shared" si="186"/>
        <v>19165880.3664</v>
      </c>
      <c r="AA465">
        <f t="shared" si="187"/>
        <v>-142938311.64839998</v>
      </c>
      <c r="AB465">
        <f t="shared" si="188"/>
        <v>-245883836.70079997</v>
      </c>
      <c r="AC465">
        <f t="shared" si="189"/>
        <v>-311571643.9472</v>
      </c>
      <c r="AD465">
        <f t="shared" si="190"/>
        <v>-376082598.89039999</v>
      </c>
      <c r="AE465">
        <f t="shared" si="191"/>
        <v>-379683412.54759997</v>
      </c>
    </row>
    <row r="466" spans="1:31" x14ac:dyDescent="0.25">
      <c r="A466">
        <v>37.93142795</v>
      </c>
      <c r="B466">
        <v>118.29101799999999</v>
      </c>
      <c r="C466">
        <v>43.008232120000002</v>
      </c>
      <c r="D466">
        <v>2.7094440500000001</v>
      </c>
      <c r="E466" t="b">
        <f t="shared" si="168"/>
        <v>0</v>
      </c>
      <c r="F466">
        <f t="shared" si="169"/>
        <v>-212.33171655000001</v>
      </c>
      <c r="G466">
        <f t="shared" si="170"/>
        <v>-427.37287715000002</v>
      </c>
      <c r="H466">
        <f t="shared" si="171"/>
        <v>-642.41403775000003</v>
      </c>
      <c r="I466">
        <f t="shared" si="172"/>
        <v>-857.45519835000005</v>
      </c>
      <c r="J466">
        <f t="shared" si="173"/>
        <v>-1072.4963589500001</v>
      </c>
      <c r="L466">
        <f t="shared" si="174"/>
        <v>5202132.5760000013</v>
      </c>
      <c r="M466">
        <f t="shared" si="175"/>
        <v>-343977380.81100005</v>
      </c>
      <c r="N466">
        <f t="shared" si="176"/>
        <v>-589774570.46700001</v>
      </c>
      <c r="O466">
        <f t="shared" si="177"/>
        <v>-655262318.505</v>
      </c>
      <c r="P466">
        <f t="shared" si="178"/>
        <v>-788858782.48199999</v>
      </c>
      <c r="Q466">
        <f t="shared" si="179"/>
        <v>-815097232.80200005</v>
      </c>
      <c r="S466">
        <f t="shared" si="180"/>
        <v>5689832.5050000008</v>
      </c>
      <c r="T466">
        <f t="shared" si="181"/>
        <v>-386443724.12100005</v>
      </c>
      <c r="U466">
        <f t="shared" si="182"/>
        <v>-645333044.49650002</v>
      </c>
      <c r="V466">
        <f t="shared" si="183"/>
        <v>-687383020.39249992</v>
      </c>
      <c r="W466">
        <f t="shared" si="184"/>
        <v>-917477062.23449993</v>
      </c>
      <c r="X466">
        <f t="shared" si="185"/>
        <v>-933071832.28649998</v>
      </c>
      <c r="Z466">
        <f t="shared" si="186"/>
        <v>6177532.4340000013</v>
      </c>
      <c r="AA466">
        <f t="shared" si="187"/>
        <v>-428910067.43100005</v>
      </c>
      <c r="AB466">
        <f t="shared" si="188"/>
        <v>-700891518.52600014</v>
      </c>
      <c r="AC466">
        <f t="shared" si="189"/>
        <v>-873683091.33999991</v>
      </c>
      <c r="AD466">
        <f t="shared" si="190"/>
        <v>-1046095341.987</v>
      </c>
      <c r="AE466">
        <f t="shared" si="191"/>
        <v>-1051046431.771</v>
      </c>
    </row>
    <row r="467" spans="1:31" x14ac:dyDescent="0.25">
      <c r="A467">
        <v>37.933369489999997</v>
      </c>
      <c r="B467">
        <v>94.195383699999994</v>
      </c>
      <c r="C467">
        <v>20.624670030000001</v>
      </c>
      <c r="D467">
        <v>1.46234405</v>
      </c>
      <c r="E467" t="b">
        <f t="shared" si="168"/>
        <v>0</v>
      </c>
      <c r="F467">
        <f t="shared" si="169"/>
        <v>-101.66100610000001</v>
      </c>
      <c r="G467">
        <f t="shared" si="170"/>
        <v>-204.78435625</v>
      </c>
      <c r="H467">
        <f t="shared" si="171"/>
        <v>-307.9077064</v>
      </c>
      <c r="I467">
        <f t="shared" si="172"/>
        <v>-411.03105655000002</v>
      </c>
      <c r="J467">
        <f t="shared" si="173"/>
        <v>-514.1544067000001</v>
      </c>
      <c r="L467">
        <f t="shared" si="174"/>
        <v>2807700.5760000004</v>
      </c>
      <c r="M467">
        <f t="shared" si="175"/>
        <v>-164690829.88200003</v>
      </c>
      <c r="N467">
        <f t="shared" si="176"/>
        <v>-282602411.625</v>
      </c>
      <c r="O467">
        <f t="shared" si="177"/>
        <v>-314065860.528</v>
      </c>
      <c r="P467">
        <f t="shared" si="178"/>
        <v>-378148572.02599996</v>
      </c>
      <c r="Q467">
        <f t="shared" si="179"/>
        <v>-390757349.09200007</v>
      </c>
      <c r="S467">
        <f t="shared" si="180"/>
        <v>3070922.5050000004</v>
      </c>
      <c r="T467">
        <f t="shared" si="181"/>
        <v>-185023031.10200003</v>
      </c>
      <c r="U467">
        <f t="shared" si="182"/>
        <v>-309224377.9375</v>
      </c>
      <c r="V467">
        <f t="shared" si="183"/>
        <v>-329461245.84799993</v>
      </c>
      <c r="W467">
        <f t="shared" si="184"/>
        <v>-439803230.50849992</v>
      </c>
      <c r="X467">
        <f t="shared" si="185"/>
        <v>-447314333.82900012</v>
      </c>
      <c r="Z467">
        <f t="shared" si="186"/>
        <v>3334144.4340000004</v>
      </c>
      <c r="AA467">
        <f t="shared" si="187"/>
        <v>-205355232.32200003</v>
      </c>
      <c r="AB467">
        <f t="shared" si="188"/>
        <v>-335846344.25</v>
      </c>
      <c r="AC467">
        <f t="shared" si="189"/>
        <v>-418754480.70399994</v>
      </c>
      <c r="AD467">
        <f t="shared" si="190"/>
        <v>-501457888.991</v>
      </c>
      <c r="AE467">
        <f t="shared" si="191"/>
        <v>-503871318.5660001</v>
      </c>
    </row>
    <row r="468" spans="1:31" x14ac:dyDescent="0.25">
      <c r="A468">
        <v>37.933460580000002</v>
      </c>
      <c r="B468">
        <v>119.5768808</v>
      </c>
      <c r="C468">
        <v>15.833525659999999</v>
      </c>
      <c r="D468">
        <v>3.6729190300000001</v>
      </c>
      <c r="E468" t="b">
        <f t="shared" si="168"/>
        <v>0</v>
      </c>
      <c r="F468">
        <f t="shared" si="169"/>
        <v>-75.494709269999987</v>
      </c>
      <c r="G468">
        <f t="shared" si="170"/>
        <v>-154.66233756999998</v>
      </c>
      <c r="H468">
        <f t="shared" si="171"/>
        <v>-233.82996587</v>
      </c>
      <c r="I468">
        <f t="shared" si="172"/>
        <v>-312.99759416999996</v>
      </c>
      <c r="J468">
        <f t="shared" si="173"/>
        <v>-392.16522247</v>
      </c>
      <c r="L468">
        <f t="shared" si="174"/>
        <v>7052004.5376000013</v>
      </c>
      <c r="M468">
        <f t="shared" si="175"/>
        <v>-122301429.01739998</v>
      </c>
      <c r="N468">
        <f t="shared" si="176"/>
        <v>-213434025.84659994</v>
      </c>
      <c r="O468">
        <f t="shared" si="177"/>
        <v>-238506565.18740001</v>
      </c>
      <c r="P468">
        <f t="shared" si="178"/>
        <v>-287957786.63639992</v>
      </c>
      <c r="Q468">
        <f t="shared" si="179"/>
        <v>-298045569.0772</v>
      </c>
      <c r="S468">
        <f t="shared" si="180"/>
        <v>7713129.9630000005</v>
      </c>
      <c r="T468">
        <f t="shared" si="181"/>
        <v>-137400370.87139997</v>
      </c>
      <c r="U468">
        <f t="shared" si="182"/>
        <v>-233540129.73069996</v>
      </c>
      <c r="V468">
        <f t="shared" si="183"/>
        <v>-250198063.48089996</v>
      </c>
      <c r="W468">
        <f t="shared" si="184"/>
        <v>-334907425.76189989</v>
      </c>
      <c r="X468">
        <f t="shared" si="185"/>
        <v>-341183743.54890001</v>
      </c>
      <c r="Z468">
        <f t="shared" si="186"/>
        <v>8374255.3884000015</v>
      </c>
      <c r="AA468">
        <f t="shared" si="187"/>
        <v>-152499312.72539997</v>
      </c>
      <c r="AB468">
        <f t="shared" si="188"/>
        <v>-253646233.61479995</v>
      </c>
      <c r="AC468">
        <f t="shared" si="189"/>
        <v>-318008753.58319998</v>
      </c>
      <c r="AD468">
        <f t="shared" si="190"/>
        <v>-381857064.88739991</v>
      </c>
      <c r="AE468">
        <f t="shared" si="191"/>
        <v>-384321918.02060002</v>
      </c>
    </row>
    <row r="469" spans="1:31" x14ac:dyDescent="0.25">
      <c r="A469">
        <v>37.936903450000003</v>
      </c>
      <c r="B469">
        <v>94.719799559999998</v>
      </c>
      <c r="C469">
        <v>20.624670030000001</v>
      </c>
      <c r="D469">
        <v>1.68988502</v>
      </c>
      <c r="E469" t="b">
        <f t="shared" si="168"/>
        <v>0</v>
      </c>
      <c r="F469">
        <f t="shared" si="169"/>
        <v>-101.43346513</v>
      </c>
      <c r="G469">
        <f t="shared" si="170"/>
        <v>-204.55681528000002</v>
      </c>
      <c r="H469">
        <f t="shared" si="171"/>
        <v>-307.68016542999999</v>
      </c>
      <c r="I469">
        <f t="shared" si="172"/>
        <v>-410.80351558000001</v>
      </c>
      <c r="J469">
        <f t="shared" si="173"/>
        <v>-513.92686573000003</v>
      </c>
      <c r="L469">
        <f t="shared" si="174"/>
        <v>3244579.2384000001</v>
      </c>
      <c r="M469">
        <f t="shared" si="175"/>
        <v>-164322213.5106</v>
      </c>
      <c r="N469">
        <f t="shared" si="176"/>
        <v>-282288405.08640003</v>
      </c>
      <c r="O469">
        <f t="shared" si="177"/>
        <v>-313833768.73860002</v>
      </c>
      <c r="P469">
        <f t="shared" si="178"/>
        <v>-377939234.33359998</v>
      </c>
      <c r="Q469">
        <f t="shared" si="179"/>
        <v>-390584417.95480001</v>
      </c>
      <c r="S469">
        <f t="shared" si="180"/>
        <v>3548758.5420000004</v>
      </c>
      <c r="T469">
        <f t="shared" si="181"/>
        <v>-184608906.53659999</v>
      </c>
      <c r="U469">
        <f t="shared" si="182"/>
        <v>-308880791.07280004</v>
      </c>
      <c r="V469">
        <f t="shared" si="183"/>
        <v>-329217777.01009995</v>
      </c>
      <c r="W469">
        <f t="shared" si="184"/>
        <v>-439559761.67059994</v>
      </c>
      <c r="X469">
        <f t="shared" si="185"/>
        <v>-447116373.18510002</v>
      </c>
      <c r="Z469">
        <f t="shared" si="186"/>
        <v>3852937.8456000006</v>
      </c>
      <c r="AA469">
        <f t="shared" si="187"/>
        <v>-204895599.56259999</v>
      </c>
      <c r="AB469">
        <f t="shared" si="188"/>
        <v>-335473177.05920005</v>
      </c>
      <c r="AC469">
        <f t="shared" si="189"/>
        <v>-418445024.98479998</v>
      </c>
      <c r="AD469">
        <f t="shared" si="190"/>
        <v>-501180289.00759995</v>
      </c>
      <c r="AE469">
        <f t="shared" si="191"/>
        <v>-503648328.41540003</v>
      </c>
    </row>
    <row r="470" spans="1:31" x14ac:dyDescent="0.25">
      <c r="A470">
        <v>37.9398555</v>
      </c>
      <c r="B470">
        <v>119.5195312</v>
      </c>
      <c r="C470">
        <v>15.833525659999999</v>
      </c>
      <c r="D470">
        <v>1.7140289500000001</v>
      </c>
      <c r="E470" t="b">
        <f t="shared" si="168"/>
        <v>0</v>
      </c>
      <c r="F470">
        <f t="shared" si="169"/>
        <v>-77.45359934999999</v>
      </c>
      <c r="G470">
        <f t="shared" si="170"/>
        <v>-156.62122764999998</v>
      </c>
      <c r="H470">
        <f t="shared" si="171"/>
        <v>-235.78885595</v>
      </c>
      <c r="I470">
        <f t="shared" si="172"/>
        <v>-314.95648424999996</v>
      </c>
      <c r="J470">
        <f t="shared" si="173"/>
        <v>-394.12411255000001</v>
      </c>
      <c r="L470">
        <f t="shared" si="174"/>
        <v>3290935.5840000007</v>
      </c>
      <c r="M470">
        <f t="shared" si="175"/>
        <v>-125474830.947</v>
      </c>
      <c r="N470">
        <f t="shared" si="176"/>
        <v>-216137294.15699995</v>
      </c>
      <c r="O470">
        <f t="shared" si="177"/>
        <v>-240504633.06900001</v>
      </c>
      <c r="P470">
        <f t="shared" si="178"/>
        <v>-289759965.50999993</v>
      </c>
      <c r="Q470">
        <f t="shared" si="179"/>
        <v>-299534325.53799999</v>
      </c>
      <c r="S470">
        <f t="shared" si="180"/>
        <v>3599460.7950000004</v>
      </c>
      <c r="T470">
        <f t="shared" si="181"/>
        <v>-140965550.817</v>
      </c>
      <c r="U470">
        <f t="shared" si="182"/>
        <v>-236498053.75149995</v>
      </c>
      <c r="V470">
        <f t="shared" si="183"/>
        <v>-252294075.86649996</v>
      </c>
      <c r="W470">
        <f t="shared" si="184"/>
        <v>-337003438.14749986</v>
      </c>
      <c r="X470">
        <f t="shared" si="185"/>
        <v>-342887977.91850001</v>
      </c>
      <c r="Z470">
        <f t="shared" si="186"/>
        <v>3907986.006000001</v>
      </c>
      <c r="AA470">
        <f t="shared" si="187"/>
        <v>-156456270.68699998</v>
      </c>
      <c r="AB470">
        <f t="shared" si="188"/>
        <v>-256858813.34599999</v>
      </c>
      <c r="AC470">
        <f t="shared" si="189"/>
        <v>-320672844.09199995</v>
      </c>
      <c r="AD470">
        <f t="shared" si="190"/>
        <v>-384246910.78499991</v>
      </c>
      <c r="AE470">
        <f t="shared" si="191"/>
        <v>-386241630.29900002</v>
      </c>
    </row>
    <row r="471" spans="1:31" x14ac:dyDescent="0.25">
      <c r="A471">
        <v>37.946125729999999</v>
      </c>
      <c r="B471">
        <v>115.5535393</v>
      </c>
      <c r="C471">
        <v>10.858460429999999</v>
      </c>
      <c r="D471">
        <v>1.4398139700000001</v>
      </c>
      <c r="E471" t="b">
        <f t="shared" si="168"/>
        <v>0</v>
      </c>
      <c r="F471">
        <f t="shared" si="169"/>
        <v>-52.852488179999995</v>
      </c>
      <c r="G471">
        <f t="shared" si="170"/>
        <v>-107.14479032999999</v>
      </c>
      <c r="H471">
        <f t="shared" si="171"/>
        <v>-161.43709247999999</v>
      </c>
      <c r="I471">
        <f t="shared" si="172"/>
        <v>-215.72939463</v>
      </c>
      <c r="J471">
        <f t="shared" si="173"/>
        <v>-270.02169678000001</v>
      </c>
      <c r="L471">
        <f t="shared" si="174"/>
        <v>2764442.8224000004</v>
      </c>
      <c r="M471">
        <f t="shared" si="175"/>
        <v>-85621030.851599991</v>
      </c>
      <c r="N471">
        <f t="shared" si="176"/>
        <v>-147859810.65539998</v>
      </c>
      <c r="O471">
        <f t="shared" si="177"/>
        <v>-164665834.32960001</v>
      </c>
      <c r="P471">
        <f t="shared" si="178"/>
        <v>-198471043.05959997</v>
      </c>
      <c r="Q471">
        <f t="shared" si="179"/>
        <v>-205216489.55280003</v>
      </c>
      <c r="S471">
        <f t="shared" si="180"/>
        <v>3023609.3370000008</v>
      </c>
      <c r="T471">
        <f t="shared" si="181"/>
        <v>-96191528.487599984</v>
      </c>
      <c r="U471">
        <f t="shared" si="182"/>
        <v>-161788633.39829999</v>
      </c>
      <c r="V471">
        <f t="shared" si="183"/>
        <v>-172737688.95359996</v>
      </c>
      <c r="W471">
        <f t="shared" si="184"/>
        <v>-230830452.25409997</v>
      </c>
      <c r="X471">
        <f t="shared" si="185"/>
        <v>-234918876.19860002</v>
      </c>
      <c r="Z471">
        <f t="shared" si="186"/>
        <v>3282775.8516000006</v>
      </c>
      <c r="AA471">
        <f t="shared" si="187"/>
        <v>-106762026.12359999</v>
      </c>
      <c r="AB471">
        <f t="shared" si="188"/>
        <v>-175717456.14120001</v>
      </c>
      <c r="AC471">
        <f t="shared" si="189"/>
        <v>-219554445.77279997</v>
      </c>
      <c r="AD471">
        <f t="shared" si="190"/>
        <v>-263189861.44859999</v>
      </c>
      <c r="AE471">
        <f t="shared" si="191"/>
        <v>-264621262.84440002</v>
      </c>
    </row>
    <row r="472" spans="1:31" x14ac:dyDescent="0.25">
      <c r="A472">
        <v>37.946223490000001</v>
      </c>
      <c r="B472">
        <v>119.4621721</v>
      </c>
      <c r="C472">
        <v>15.20367336</v>
      </c>
      <c r="D472">
        <v>6.81693792</v>
      </c>
      <c r="E472" t="b">
        <f t="shared" si="168"/>
        <v>0</v>
      </c>
      <c r="F472">
        <f t="shared" si="169"/>
        <v>-69.201428879999995</v>
      </c>
      <c r="G472">
        <f t="shared" si="170"/>
        <v>-145.21979568</v>
      </c>
      <c r="H472">
        <f t="shared" si="171"/>
        <v>-221.23816248</v>
      </c>
      <c r="I472">
        <f t="shared" si="172"/>
        <v>-297.25652928</v>
      </c>
      <c r="J472">
        <f t="shared" si="173"/>
        <v>-373.27489608000002</v>
      </c>
      <c r="L472">
        <f t="shared" si="174"/>
        <v>13088520.806400001</v>
      </c>
      <c r="M472">
        <f t="shared" si="175"/>
        <v>-112106314.78560001</v>
      </c>
      <c r="N472">
        <f t="shared" si="176"/>
        <v>-200403318.03839999</v>
      </c>
      <c r="O472">
        <f t="shared" si="177"/>
        <v>-225662925.72959998</v>
      </c>
      <c r="P472">
        <f t="shared" si="178"/>
        <v>-273476006.93759996</v>
      </c>
      <c r="Q472">
        <f t="shared" si="179"/>
        <v>-283688921.02080005</v>
      </c>
      <c r="S472">
        <f t="shared" si="180"/>
        <v>14315569.632000001</v>
      </c>
      <c r="T472">
        <f t="shared" si="181"/>
        <v>-125946600.5616</v>
      </c>
      <c r="U472">
        <f t="shared" si="182"/>
        <v>-219281891.47680002</v>
      </c>
      <c r="V472">
        <f t="shared" si="183"/>
        <v>-236724833.85359997</v>
      </c>
      <c r="W472">
        <f t="shared" si="184"/>
        <v>-318064486.32959992</v>
      </c>
      <c r="X472">
        <f t="shared" si="185"/>
        <v>-324749159.58960003</v>
      </c>
      <c r="Z472">
        <f t="shared" si="186"/>
        <v>15542618.457600001</v>
      </c>
      <c r="AA472">
        <f t="shared" si="187"/>
        <v>-139786886.33759999</v>
      </c>
      <c r="AB472">
        <f t="shared" si="188"/>
        <v>-238160464.91520002</v>
      </c>
      <c r="AC472">
        <f t="shared" si="189"/>
        <v>-300883900.97279996</v>
      </c>
      <c r="AD472">
        <f t="shared" si="190"/>
        <v>-362652965.72159994</v>
      </c>
      <c r="AE472">
        <f t="shared" si="191"/>
        <v>-365809398.15840006</v>
      </c>
    </row>
    <row r="473" spans="1:31" x14ac:dyDescent="0.25">
      <c r="A473">
        <v>37.950103810000002</v>
      </c>
      <c r="B473">
        <v>106.6759753</v>
      </c>
      <c r="C473">
        <v>0.30834942999999998</v>
      </c>
      <c r="D473">
        <v>0.15290599999999999</v>
      </c>
      <c r="E473" t="b">
        <f t="shared" si="168"/>
        <v>0</v>
      </c>
      <c r="F473">
        <f t="shared" si="169"/>
        <v>-1.38884115</v>
      </c>
      <c r="G473">
        <f t="shared" si="170"/>
        <v>-2.9305883000000001</v>
      </c>
      <c r="H473">
        <f t="shared" si="171"/>
        <v>-4.4723354500000001</v>
      </c>
      <c r="I473">
        <f t="shared" si="172"/>
        <v>-6.0140826000000001</v>
      </c>
      <c r="J473">
        <f t="shared" si="173"/>
        <v>-7.55582975</v>
      </c>
      <c r="L473">
        <f t="shared" si="174"/>
        <v>293579.52000000002</v>
      </c>
      <c r="M473">
        <f t="shared" si="175"/>
        <v>-2249922.6630000002</v>
      </c>
      <c r="N473">
        <f t="shared" si="176"/>
        <v>-4044211.8540000003</v>
      </c>
      <c r="O473">
        <f t="shared" si="177"/>
        <v>-4561782.159</v>
      </c>
      <c r="P473">
        <f t="shared" si="178"/>
        <v>-5532955.9919999996</v>
      </c>
      <c r="Q473">
        <f t="shared" si="179"/>
        <v>-5742430.6100000003</v>
      </c>
      <c r="S473">
        <f t="shared" si="180"/>
        <v>321102.60000000003</v>
      </c>
      <c r="T473">
        <f t="shared" si="181"/>
        <v>-2527690.8929999997</v>
      </c>
      <c r="U473">
        <f t="shared" si="182"/>
        <v>-4425188.3330000006</v>
      </c>
      <c r="V473">
        <f t="shared" si="183"/>
        <v>-4785398.9314999999</v>
      </c>
      <c r="W473">
        <f t="shared" si="184"/>
        <v>-6435068.3819999984</v>
      </c>
      <c r="X473">
        <f t="shared" si="185"/>
        <v>-6573571.8825000003</v>
      </c>
      <c r="Z473">
        <f t="shared" si="186"/>
        <v>348625.68000000005</v>
      </c>
      <c r="AA473">
        <f t="shared" si="187"/>
        <v>-2805459.1229999997</v>
      </c>
      <c r="AB473">
        <f t="shared" si="188"/>
        <v>-4806164.8120000008</v>
      </c>
      <c r="AC473">
        <f t="shared" si="189"/>
        <v>-6082376.2119999994</v>
      </c>
      <c r="AD473">
        <f t="shared" si="190"/>
        <v>-7337180.7719999989</v>
      </c>
      <c r="AE473">
        <f t="shared" si="191"/>
        <v>-7404713.1550000003</v>
      </c>
    </row>
    <row r="474" spans="1:31" x14ac:dyDescent="0.25">
      <c r="A474">
        <v>37.963975329999997</v>
      </c>
      <c r="B474">
        <v>115.32292200000001</v>
      </c>
      <c r="C474">
        <v>10.663947110000001</v>
      </c>
      <c r="D474">
        <v>0.89561599000000003</v>
      </c>
      <c r="E474" t="b">
        <f t="shared" si="168"/>
        <v>0</v>
      </c>
      <c r="F474">
        <f t="shared" si="169"/>
        <v>-52.424119560000001</v>
      </c>
      <c r="G474">
        <f t="shared" si="170"/>
        <v>-105.74385511000001</v>
      </c>
      <c r="H474">
        <f t="shared" si="171"/>
        <v>-159.06359065999999</v>
      </c>
      <c r="I474">
        <f t="shared" si="172"/>
        <v>-212.38332621000001</v>
      </c>
      <c r="J474">
        <f t="shared" si="173"/>
        <v>-265.70306176000003</v>
      </c>
      <c r="L474">
        <f t="shared" si="174"/>
        <v>1719582.7008000002</v>
      </c>
      <c r="M474">
        <f t="shared" si="175"/>
        <v>-84927073.68720001</v>
      </c>
      <c r="N474">
        <f t="shared" si="176"/>
        <v>-145926520.05180001</v>
      </c>
      <c r="O474">
        <f t="shared" si="177"/>
        <v>-162244862.47319999</v>
      </c>
      <c r="P474">
        <f t="shared" si="178"/>
        <v>-195392660.11319998</v>
      </c>
      <c r="Q474">
        <f t="shared" si="179"/>
        <v>-201934326.93760002</v>
      </c>
      <c r="S474">
        <f t="shared" si="180"/>
        <v>1880793.5790000001</v>
      </c>
      <c r="T474">
        <f t="shared" si="181"/>
        <v>-95411897.59920001</v>
      </c>
      <c r="U474">
        <f t="shared" si="182"/>
        <v>-159673221.21610004</v>
      </c>
      <c r="V474">
        <f t="shared" si="183"/>
        <v>-170198042.00619996</v>
      </c>
      <c r="W474">
        <f t="shared" si="184"/>
        <v>-227250159.04469997</v>
      </c>
      <c r="X474">
        <f t="shared" si="185"/>
        <v>-231161663.73120001</v>
      </c>
      <c r="Z474">
        <f t="shared" si="186"/>
        <v>2042004.4572000003</v>
      </c>
      <c r="AA474">
        <f t="shared" si="187"/>
        <v>-105896721.51120001</v>
      </c>
      <c r="AB474">
        <f t="shared" si="188"/>
        <v>-173419922.38040003</v>
      </c>
      <c r="AC474">
        <f t="shared" si="189"/>
        <v>-216326483.29759997</v>
      </c>
      <c r="AD474">
        <f t="shared" si="190"/>
        <v>-259107657.97620001</v>
      </c>
      <c r="AE474">
        <f t="shared" si="191"/>
        <v>-260389000.5248</v>
      </c>
    </row>
    <row r="475" spans="1:31" x14ac:dyDescent="0.25">
      <c r="A475">
        <v>37.968369750000001</v>
      </c>
      <c r="B475">
        <v>115.26525100000001</v>
      </c>
      <c r="C475">
        <v>10.663947110000001</v>
      </c>
      <c r="D475">
        <v>0.105712</v>
      </c>
      <c r="E475" t="b">
        <f t="shared" si="168"/>
        <v>0</v>
      </c>
      <c r="F475">
        <f t="shared" si="169"/>
        <v>-53.214023550000007</v>
      </c>
      <c r="G475">
        <f t="shared" si="170"/>
        <v>-106.53375910000001</v>
      </c>
      <c r="H475">
        <f t="shared" si="171"/>
        <v>-159.85349464999999</v>
      </c>
      <c r="I475">
        <f t="shared" si="172"/>
        <v>-213.17323020000001</v>
      </c>
      <c r="J475">
        <f t="shared" si="173"/>
        <v>-266.49296575000005</v>
      </c>
      <c r="L475">
        <f t="shared" si="174"/>
        <v>202967.04000000001</v>
      </c>
      <c r="M475">
        <f t="shared" si="175"/>
        <v>-86206718.151000008</v>
      </c>
      <c r="N475">
        <f t="shared" si="176"/>
        <v>-147016587.558</v>
      </c>
      <c r="O475">
        <f t="shared" si="177"/>
        <v>-163050564.54299998</v>
      </c>
      <c r="P475">
        <f t="shared" si="178"/>
        <v>-196119371.78400001</v>
      </c>
      <c r="Q475">
        <f t="shared" si="179"/>
        <v>-202534653.97000006</v>
      </c>
      <c r="S475">
        <f t="shared" si="180"/>
        <v>221995.2</v>
      </c>
      <c r="T475">
        <f t="shared" si="181"/>
        <v>-96849522.861000016</v>
      </c>
      <c r="U475">
        <f t="shared" si="182"/>
        <v>-160865976.24100003</v>
      </c>
      <c r="V475">
        <f t="shared" si="183"/>
        <v>-171043239.27549994</v>
      </c>
      <c r="W475">
        <f t="shared" si="184"/>
        <v>-228095356.31399998</v>
      </c>
      <c r="X475">
        <f t="shared" si="185"/>
        <v>-231848880.20250005</v>
      </c>
      <c r="Z475">
        <f t="shared" si="186"/>
        <v>241023.36000000002</v>
      </c>
      <c r="AA475">
        <f t="shared" si="187"/>
        <v>-107492327.57100001</v>
      </c>
      <c r="AB475">
        <f t="shared" si="188"/>
        <v>-174715364.92400002</v>
      </c>
      <c r="AC475">
        <f t="shared" si="189"/>
        <v>-217400752.72399995</v>
      </c>
      <c r="AD475">
        <f t="shared" si="190"/>
        <v>-260071340.84400001</v>
      </c>
      <c r="AE475">
        <f t="shared" si="191"/>
        <v>-261163106.43500006</v>
      </c>
    </row>
    <row r="476" spans="1:31" x14ac:dyDescent="0.25">
      <c r="A476">
        <v>37.978878530000003</v>
      </c>
      <c r="B476">
        <v>119.5849767</v>
      </c>
      <c r="C476">
        <v>17.623571399999999</v>
      </c>
      <c r="D476">
        <v>0.320768</v>
      </c>
      <c r="E476" t="b">
        <f t="shared" si="168"/>
        <v>0</v>
      </c>
      <c r="F476">
        <f t="shared" si="169"/>
        <v>-87.797089</v>
      </c>
      <c r="G476">
        <f t="shared" si="170"/>
        <v>-175.91494600000001</v>
      </c>
      <c r="H476">
        <f t="shared" si="171"/>
        <v>-264.032803</v>
      </c>
      <c r="I476">
        <f t="shared" si="172"/>
        <v>-352.15066000000002</v>
      </c>
      <c r="J476">
        <f t="shared" si="173"/>
        <v>-440.26851699999997</v>
      </c>
      <c r="L476">
        <f t="shared" si="174"/>
        <v>615874.56000000006</v>
      </c>
      <c r="M476">
        <f t="shared" si="175"/>
        <v>-142231284.18000001</v>
      </c>
      <c r="N476">
        <f t="shared" si="176"/>
        <v>-242762625.47999999</v>
      </c>
      <c r="O476">
        <f t="shared" si="177"/>
        <v>-269313459.06</v>
      </c>
      <c r="P476">
        <f t="shared" si="178"/>
        <v>-323978607.19999999</v>
      </c>
      <c r="Q476">
        <f t="shared" si="179"/>
        <v>-334604072.92000002</v>
      </c>
      <c r="S476">
        <f t="shared" si="180"/>
        <v>673612.80000000005</v>
      </c>
      <c r="T476">
        <f t="shared" si="181"/>
        <v>-159790701.98000002</v>
      </c>
      <c r="U476">
        <f t="shared" si="182"/>
        <v>-265631568.46000001</v>
      </c>
      <c r="V476">
        <f t="shared" si="183"/>
        <v>-282515099.20999998</v>
      </c>
      <c r="W476">
        <f t="shared" si="184"/>
        <v>-376801206.19999993</v>
      </c>
      <c r="X476">
        <f t="shared" si="185"/>
        <v>-383033609.79000002</v>
      </c>
      <c r="Z476">
        <f t="shared" si="186"/>
        <v>731351.04000000004</v>
      </c>
      <c r="AA476">
        <f t="shared" si="187"/>
        <v>-177350119.78</v>
      </c>
      <c r="AB476">
        <f t="shared" si="188"/>
        <v>-288500511.44</v>
      </c>
      <c r="AC476">
        <f t="shared" si="189"/>
        <v>-359084612.07999998</v>
      </c>
      <c r="AD476">
        <f t="shared" si="190"/>
        <v>-429623805.19999999</v>
      </c>
      <c r="AE476">
        <f t="shared" si="191"/>
        <v>-431463146.65999997</v>
      </c>
    </row>
    <row r="477" spans="1:31" x14ac:dyDescent="0.25">
      <c r="A477">
        <v>37.982677340000002</v>
      </c>
      <c r="B477">
        <v>115.6745825</v>
      </c>
      <c r="C477">
        <v>10.858460429999999</v>
      </c>
      <c r="D477">
        <v>1.2384550599999999</v>
      </c>
      <c r="E477" t="b">
        <f t="shared" si="168"/>
        <v>0</v>
      </c>
      <c r="F477">
        <f t="shared" si="169"/>
        <v>-53.053847089999998</v>
      </c>
      <c r="G477">
        <f t="shared" si="170"/>
        <v>-107.34614923999999</v>
      </c>
      <c r="H477">
        <f t="shared" si="171"/>
        <v>-161.63845138999997</v>
      </c>
      <c r="I477">
        <f t="shared" si="172"/>
        <v>-215.93075353999998</v>
      </c>
      <c r="J477">
        <f t="shared" si="173"/>
        <v>-270.22305569000002</v>
      </c>
      <c r="L477">
        <f t="shared" si="174"/>
        <v>2377833.7152000004</v>
      </c>
      <c r="M477">
        <f t="shared" si="175"/>
        <v>-85947232.285799995</v>
      </c>
      <c r="N477">
        <f t="shared" si="176"/>
        <v>-148137685.95119998</v>
      </c>
      <c r="O477">
        <f t="shared" si="177"/>
        <v>-164871220.41779998</v>
      </c>
      <c r="P477">
        <f t="shared" si="178"/>
        <v>-198656293.25679997</v>
      </c>
      <c r="Q477">
        <f t="shared" si="179"/>
        <v>-205369522.32440001</v>
      </c>
      <c r="S477">
        <f t="shared" si="180"/>
        <v>2600755.6260000002</v>
      </c>
      <c r="T477">
        <f t="shared" si="181"/>
        <v>-96558001.703799993</v>
      </c>
      <c r="U477">
        <f t="shared" si="182"/>
        <v>-162092685.3524</v>
      </c>
      <c r="V477">
        <f t="shared" si="183"/>
        <v>-172953142.98729995</v>
      </c>
      <c r="W477">
        <f t="shared" si="184"/>
        <v>-231045906.28779995</v>
      </c>
      <c r="X477">
        <f t="shared" si="185"/>
        <v>-235094058.45030001</v>
      </c>
      <c r="Z477">
        <f t="shared" si="186"/>
        <v>2823677.5368000004</v>
      </c>
      <c r="AA477">
        <f t="shared" si="187"/>
        <v>-107168771.12179999</v>
      </c>
      <c r="AB477">
        <f t="shared" si="188"/>
        <v>-176047684.7536</v>
      </c>
      <c r="AC477">
        <f t="shared" si="189"/>
        <v>-219828293.89039996</v>
      </c>
      <c r="AD477">
        <f t="shared" si="190"/>
        <v>-263435519.31879997</v>
      </c>
      <c r="AE477">
        <f t="shared" si="191"/>
        <v>-264818594.57619998</v>
      </c>
    </row>
    <row r="478" spans="1:31" x14ac:dyDescent="0.25">
      <c r="A478">
        <v>37.993029409999998</v>
      </c>
      <c r="B478">
        <v>118.5931472</v>
      </c>
      <c r="C478">
        <v>65.630661009999997</v>
      </c>
      <c r="D478">
        <v>0.21617500000000001</v>
      </c>
      <c r="E478" t="b">
        <f t="shared" si="168"/>
        <v>0</v>
      </c>
      <c r="F478">
        <f t="shared" si="169"/>
        <v>-327.93713004999995</v>
      </c>
      <c r="G478">
        <f t="shared" si="170"/>
        <v>-656.09043509999992</v>
      </c>
      <c r="H478">
        <f t="shared" si="171"/>
        <v>-984.24374014999989</v>
      </c>
      <c r="I478">
        <f t="shared" si="172"/>
        <v>-1312.3970451999999</v>
      </c>
      <c r="J478">
        <f t="shared" si="173"/>
        <v>-1640.5503502499998</v>
      </c>
      <c r="L478">
        <f t="shared" si="174"/>
        <v>415056.00000000006</v>
      </c>
      <c r="M478">
        <f t="shared" si="175"/>
        <v>-531258150.68099993</v>
      </c>
      <c r="N478">
        <f t="shared" si="176"/>
        <v>-905404800.43799984</v>
      </c>
      <c r="O478">
        <f t="shared" si="177"/>
        <v>-1003928614.9529998</v>
      </c>
      <c r="P478">
        <f t="shared" si="178"/>
        <v>-1207405281.5839996</v>
      </c>
      <c r="Q478">
        <f t="shared" si="179"/>
        <v>-1246818266.1899998</v>
      </c>
      <c r="S478">
        <f t="shared" si="180"/>
        <v>453967.5</v>
      </c>
      <c r="T478">
        <f t="shared" si="181"/>
        <v>-596845576.69099998</v>
      </c>
      <c r="U478">
        <f t="shared" si="182"/>
        <v>-990696557.00099981</v>
      </c>
      <c r="V478">
        <f t="shared" si="183"/>
        <v>-1053140801.9604996</v>
      </c>
      <c r="W478">
        <f t="shared" si="184"/>
        <v>-1404264838.3639996</v>
      </c>
      <c r="X478">
        <f t="shared" si="185"/>
        <v>-1427278804.7174997</v>
      </c>
      <c r="Z478">
        <f t="shared" si="186"/>
        <v>492879.00000000006</v>
      </c>
      <c r="AA478">
        <f t="shared" si="187"/>
        <v>-662433002.70099986</v>
      </c>
      <c r="AB478">
        <f t="shared" si="188"/>
        <v>-1075988313.5639999</v>
      </c>
      <c r="AC478">
        <f t="shared" si="189"/>
        <v>-1338571486.6039996</v>
      </c>
      <c r="AD478">
        <f t="shared" si="190"/>
        <v>-1601124395.1439998</v>
      </c>
      <c r="AE478">
        <f t="shared" si="191"/>
        <v>-1607739343.2449996</v>
      </c>
    </row>
    <row r="479" spans="1:31" x14ac:dyDescent="0.25">
      <c r="A479">
        <v>37.9984167</v>
      </c>
      <c r="B479">
        <v>119.8226506</v>
      </c>
      <c r="C479">
        <v>8.9278774300000006</v>
      </c>
      <c r="D479">
        <v>33.305839540000001</v>
      </c>
      <c r="E479" t="b">
        <f t="shared" si="168"/>
        <v>1</v>
      </c>
      <c r="F479">
        <f t="shared" si="169"/>
        <v>-11.333547610000004</v>
      </c>
      <c r="G479">
        <f t="shared" si="170"/>
        <v>-55.972934760000008</v>
      </c>
      <c r="H479">
        <f t="shared" si="171"/>
        <v>-100.61232191000002</v>
      </c>
      <c r="I479">
        <f t="shared" si="172"/>
        <v>-145.25170906000002</v>
      </c>
      <c r="J479">
        <f t="shared" si="173"/>
        <v>-189.89109621000003</v>
      </c>
      <c r="L479">
        <f t="shared" si="174"/>
        <v>17141524.665600002</v>
      </c>
      <c r="M479">
        <f t="shared" si="175"/>
        <v>-18360347.128200006</v>
      </c>
      <c r="N479">
        <f t="shared" si="176"/>
        <v>-77242649.968800008</v>
      </c>
      <c r="O479">
        <f t="shared" si="177"/>
        <v>-102624568.34820002</v>
      </c>
      <c r="P479">
        <f t="shared" si="178"/>
        <v>-133631572.33520003</v>
      </c>
      <c r="Q479">
        <f t="shared" si="179"/>
        <v>-144317233.11960003</v>
      </c>
      <c r="S479">
        <f t="shared" si="180"/>
        <v>18748542.603</v>
      </c>
      <c r="T479">
        <f t="shared" si="181"/>
        <v>-20627056.650200006</v>
      </c>
      <c r="U479">
        <f t="shared" si="182"/>
        <v>-84519131.487600014</v>
      </c>
      <c r="V479">
        <f t="shared" si="183"/>
        <v>-107655184.44370002</v>
      </c>
      <c r="W479">
        <f t="shared" si="184"/>
        <v>-155419328.69420001</v>
      </c>
      <c r="X479">
        <f t="shared" si="185"/>
        <v>-165205253.70270002</v>
      </c>
      <c r="Z479">
        <f t="shared" si="186"/>
        <v>20355560.540400002</v>
      </c>
      <c r="AA479">
        <f t="shared" si="187"/>
        <v>-22893766.172200006</v>
      </c>
      <c r="AB479">
        <f t="shared" si="188"/>
        <v>-91795613.006400019</v>
      </c>
      <c r="AC479">
        <f t="shared" si="189"/>
        <v>-136832757.79760003</v>
      </c>
      <c r="AD479">
        <f t="shared" si="190"/>
        <v>-177207085.05320004</v>
      </c>
      <c r="AE479">
        <f t="shared" si="191"/>
        <v>-186093274.28580004</v>
      </c>
    </row>
    <row r="480" spans="1:31" x14ac:dyDescent="0.25">
      <c r="A480">
        <v>38.002322829999997</v>
      </c>
      <c r="B480">
        <v>118.9455167</v>
      </c>
      <c r="C480">
        <v>43.008232120000002</v>
      </c>
      <c r="D480">
        <v>4.1563939999999997</v>
      </c>
      <c r="E480" t="b">
        <f t="shared" si="168"/>
        <v>0</v>
      </c>
      <c r="F480">
        <f t="shared" si="169"/>
        <v>-210.88476660000001</v>
      </c>
      <c r="G480">
        <f t="shared" si="170"/>
        <v>-425.92592720000005</v>
      </c>
      <c r="H480">
        <f t="shared" si="171"/>
        <v>-640.96708780000006</v>
      </c>
      <c r="I480">
        <f t="shared" si="172"/>
        <v>-856.00824840000007</v>
      </c>
      <c r="J480">
        <f t="shared" si="173"/>
        <v>-1071.049409</v>
      </c>
      <c r="L480">
        <f t="shared" si="174"/>
        <v>7980276.4799999995</v>
      </c>
      <c r="M480">
        <f t="shared" si="175"/>
        <v>-341633321.89200002</v>
      </c>
      <c r="N480">
        <f t="shared" si="176"/>
        <v>-587777779.53600001</v>
      </c>
      <c r="O480">
        <f t="shared" si="177"/>
        <v>-653786429.55600011</v>
      </c>
      <c r="P480">
        <f t="shared" si="178"/>
        <v>-787527588.528</v>
      </c>
      <c r="Q480">
        <f t="shared" si="179"/>
        <v>-813997550.84000003</v>
      </c>
      <c r="S480">
        <f t="shared" si="180"/>
        <v>8728427.3999999985</v>
      </c>
      <c r="T480">
        <f t="shared" si="181"/>
        <v>-383810275.21200001</v>
      </c>
      <c r="U480">
        <f t="shared" si="182"/>
        <v>-643148150.07200003</v>
      </c>
      <c r="V480">
        <f t="shared" si="183"/>
        <v>-685834783.94599998</v>
      </c>
      <c r="W480">
        <f t="shared" si="184"/>
        <v>-915928825.78799999</v>
      </c>
      <c r="X480">
        <f t="shared" si="185"/>
        <v>-931812985.83000004</v>
      </c>
      <c r="Z480">
        <f t="shared" si="186"/>
        <v>9476578.3200000003</v>
      </c>
      <c r="AA480">
        <f t="shared" si="187"/>
        <v>-425987228.53200001</v>
      </c>
      <c r="AB480">
        <f t="shared" si="188"/>
        <v>-698518520.60800016</v>
      </c>
      <c r="AC480">
        <f t="shared" si="189"/>
        <v>-871715239.40799999</v>
      </c>
      <c r="AD480">
        <f t="shared" si="190"/>
        <v>-1044330063.0480001</v>
      </c>
      <c r="AE480">
        <f t="shared" si="191"/>
        <v>-1049628420.8199999</v>
      </c>
    </row>
    <row r="481" spans="1:31" x14ac:dyDescent="0.25">
      <c r="A481">
        <v>38.008421239999997</v>
      </c>
      <c r="B481">
        <v>118.8880642</v>
      </c>
      <c r="C481">
        <v>43.008232120000002</v>
      </c>
      <c r="D481">
        <v>0.27772701</v>
      </c>
      <c r="E481" t="b">
        <f t="shared" si="168"/>
        <v>0</v>
      </c>
      <c r="F481">
        <f t="shared" si="169"/>
        <v>-214.76343359000001</v>
      </c>
      <c r="G481">
        <f t="shared" si="170"/>
        <v>-429.80459419000005</v>
      </c>
      <c r="H481">
        <f t="shared" si="171"/>
        <v>-644.84575479</v>
      </c>
      <c r="I481">
        <f t="shared" si="172"/>
        <v>-859.88691539000001</v>
      </c>
      <c r="J481">
        <f t="shared" si="173"/>
        <v>-1074.92807599</v>
      </c>
      <c r="L481">
        <f t="shared" si="174"/>
        <v>533235.85920000006</v>
      </c>
      <c r="M481">
        <f t="shared" si="175"/>
        <v>-347916762.41580003</v>
      </c>
      <c r="N481">
        <f t="shared" si="176"/>
        <v>-593130339.98220003</v>
      </c>
      <c r="O481">
        <f t="shared" si="177"/>
        <v>-657742669.8858</v>
      </c>
      <c r="P481">
        <f t="shared" si="178"/>
        <v>-791095962.15879989</v>
      </c>
      <c r="Q481">
        <f t="shared" si="179"/>
        <v>-816945337.75240004</v>
      </c>
      <c r="S481">
        <f t="shared" si="180"/>
        <v>583226.72100000002</v>
      </c>
      <c r="T481">
        <f t="shared" si="181"/>
        <v>-390869449.13380003</v>
      </c>
      <c r="U481">
        <f t="shared" si="182"/>
        <v>-649004937.2269001</v>
      </c>
      <c r="V481">
        <f t="shared" si="183"/>
        <v>-689984957.62529981</v>
      </c>
      <c r="W481">
        <f t="shared" si="184"/>
        <v>-920078999.46729982</v>
      </c>
      <c r="X481">
        <f t="shared" si="185"/>
        <v>-935187426.11129999</v>
      </c>
      <c r="Z481">
        <f t="shared" si="186"/>
        <v>633217.58280000009</v>
      </c>
      <c r="AA481">
        <f t="shared" si="187"/>
        <v>-433822135.85180002</v>
      </c>
      <c r="AB481">
        <f t="shared" si="188"/>
        <v>-704879534.47160017</v>
      </c>
      <c r="AC481">
        <f t="shared" si="189"/>
        <v>-876990226.51439989</v>
      </c>
      <c r="AD481">
        <f t="shared" si="190"/>
        <v>-1049062036.7758</v>
      </c>
      <c r="AE481">
        <f t="shared" si="191"/>
        <v>-1053429514.4701999</v>
      </c>
    </row>
    <row r="482" spans="1:31" x14ac:dyDescent="0.25">
      <c r="A482">
        <v>38.011409469999997</v>
      </c>
      <c r="B482">
        <v>119.70788570000001</v>
      </c>
      <c r="C482">
        <v>15.833525659999999</v>
      </c>
      <c r="D482">
        <v>19.907222749999999</v>
      </c>
      <c r="E482" t="b">
        <f t="shared" si="168"/>
        <v>1</v>
      </c>
      <c r="F482">
        <f t="shared" si="169"/>
        <v>-59.260405549999987</v>
      </c>
      <c r="G482">
        <f t="shared" si="170"/>
        <v>-138.42803384999999</v>
      </c>
      <c r="H482">
        <f t="shared" si="171"/>
        <v>-217.59566215000001</v>
      </c>
      <c r="I482">
        <f t="shared" si="172"/>
        <v>-296.76329044999994</v>
      </c>
      <c r="J482">
        <f t="shared" si="173"/>
        <v>-375.93091874999999</v>
      </c>
      <c r="L482">
        <f t="shared" si="174"/>
        <v>30400369.267200004</v>
      </c>
      <c r="M482">
        <f t="shared" si="175"/>
        <v>-96001856.990999997</v>
      </c>
      <c r="N482">
        <f t="shared" si="176"/>
        <v>-191030686.71299997</v>
      </c>
      <c r="O482">
        <f t="shared" si="177"/>
        <v>-221947575.39300001</v>
      </c>
      <c r="P482">
        <f t="shared" si="178"/>
        <v>-273022227.21399993</v>
      </c>
      <c r="Q482">
        <f t="shared" si="179"/>
        <v>-285707498.25</v>
      </c>
      <c r="S482">
        <f t="shared" si="180"/>
        <v>33250403.886</v>
      </c>
      <c r="T482">
        <f t="shared" si="181"/>
        <v>-107853938.10099998</v>
      </c>
      <c r="U482">
        <f t="shared" si="182"/>
        <v>-209026331.1135</v>
      </c>
      <c r="V482">
        <f t="shared" si="183"/>
        <v>-232827358.50049996</v>
      </c>
      <c r="W482">
        <f t="shared" si="184"/>
        <v>-317536720.78149986</v>
      </c>
      <c r="X482">
        <f t="shared" si="185"/>
        <v>-327059899.3125</v>
      </c>
      <c r="Z482">
        <f t="shared" si="186"/>
        <v>36100438.504800007</v>
      </c>
      <c r="AA482">
        <f t="shared" si="187"/>
        <v>-119706019.21099998</v>
      </c>
      <c r="AB482">
        <f t="shared" si="188"/>
        <v>-227021975.514</v>
      </c>
      <c r="AC482">
        <f t="shared" si="189"/>
        <v>-295930100.52399999</v>
      </c>
      <c r="AD482">
        <f t="shared" si="190"/>
        <v>-362051214.34899992</v>
      </c>
      <c r="AE482">
        <f t="shared" si="191"/>
        <v>-368412300.375</v>
      </c>
    </row>
    <row r="483" spans="1:31" x14ac:dyDescent="0.25">
      <c r="A483">
        <v>38.014463939999999</v>
      </c>
      <c r="B483">
        <v>115.85341870000001</v>
      </c>
      <c r="C483">
        <v>10.858460429999999</v>
      </c>
      <c r="D483">
        <v>0.54546499000000004</v>
      </c>
      <c r="E483" t="b">
        <f t="shared" si="168"/>
        <v>0</v>
      </c>
      <c r="F483">
        <f t="shared" si="169"/>
        <v>-53.746837159999998</v>
      </c>
      <c r="G483">
        <f t="shared" si="170"/>
        <v>-108.03913931</v>
      </c>
      <c r="H483">
        <f t="shared" si="171"/>
        <v>-162.33144145999998</v>
      </c>
      <c r="I483">
        <f t="shared" si="172"/>
        <v>-216.62374360999999</v>
      </c>
      <c r="J483">
        <f t="shared" si="173"/>
        <v>-270.91604575999997</v>
      </c>
      <c r="L483">
        <f t="shared" si="174"/>
        <v>1047292.7808000001</v>
      </c>
      <c r="M483">
        <f t="shared" si="175"/>
        <v>-87069876.199200004</v>
      </c>
      <c r="N483">
        <f t="shared" si="176"/>
        <v>-149094012.24779999</v>
      </c>
      <c r="O483">
        <f t="shared" si="177"/>
        <v>-165578070.28919998</v>
      </c>
      <c r="P483">
        <f t="shared" si="178"/>
        <v>-199293844.12119997</v>
      </c>
      <c r="Q483">
        <f t="shared" si="179"/>
        <v>-205896194.77759999</v>
      </c>
      <c r="S483">
        <f t="shared" si="180"/>
        <v>1145476.4790000001</v>
      </c>
      <c r="T483">
        <f t="shared" si="181"/>
        <v>-97819243.631200001</v>
      </c>
      <c r="U483">
        <f t="shared" si="182"/>
        <v>-163139100.3581</v>
      </c>
      <c r="V483">
        <f t="shared" si="183"/>
        <v>-173694642.36219996</v>
      </c>
      <c r="W483">
        <f t="shared" si="184"/>
        <v>-231787405.66269994</v>
      </c>
      <c r="X483">
        <f t="shared" si="185"/>
        <v>-235696959.81119999</v>
      </c>
      <c r="Z483">
        <f t="shared" si="186"/>
        <v>1243660.1772</v>
      </c>
      <c r="AA483">
        <f t="shared" si="187"/>
        <v>-108568611.0632</v>
      </c>
      <c r="AB483">
        <f t="shared" si="188"/>
        <v>-177184188.46840003</v>
      </c>
      <c r="AC483">
        <f t="shared" si="189"/>
        <v>-220770760.38559994</v>
      </c>
      <c r="AD483">
        <f t="shared" si="190"/>
        <v>-264280967.20419997</v>
      </c>
      <c r="AE483">
        <f t="shared" si="191"/>
        <v>-265497724.8448</v>
      </c>
    </row>
    <row r="484" spans="1:31" x14ac:dyDescent="0.25">
      <c r="A484">
        <v>38.016599399999997</v>
      </c>
      <c r="B484">
        <v>118.3632016</v>
      </c>
      <c r="C484">
        <v>43.008232120000002</v>
      </c>
      <c r="D484">
        <v>0.79859500999999999</v>
      </c>
      <c r="E484" t="b">
        <f t="shared" si="168"/>
        <v>0</v>
      </c>
      <c r="F484">
        <f t="shared" si="169"/>
        <v>-214.24256559</v>
      </c>
      <c r="G484">
        <f t="shared" si="170"/>
        <v>-429.28372619000004</v>
      </c>
      <c r="H484">
        <f t="shared" si="171"/>
        <v>-644.32488679000005</v>
      </c>
      <c r="I484">
        <f t="shared" si="172"/>
        <v>-859.36604739000006</v>
      </c>
      <c r="J484">
        <f t="shared" si="173"/>
        <v>-1074.40720799</v>
      </c>
      <c r="L484">
        <f t="shared" si="174"/>
        <v>1533302.4192000001</v>
      </c>
      <c r="M484">
        <f t="shared" si="175"/>
        <v>-347072956.25580001</v>
      </c>
      <c r="N484">
        <f t="shared" si="176"/>
        <v>-592411542.14219999</v>
      </c>
      <c r="O484">
        <f t="shared" si="177"/>
        <v>-657211384.52580011</v>
      </c>
      <c r="P484">
        <f t="shared" si="178"/>
        <v>-790616763.59880006</v>
      </c>
      <c r="Q484">
        <f t="shared" si="179"/>
        <v>-816549478.07239997</v>
      </c>
      <c r="S484">
        <f t="shared" si="180"/>
        <v>1677049.5210000002</v>
      </c>
      <c r="T484">
        <f t="shared" si="181"/>
        <v>-389921469.37380004</v>
      </c>
      <c r="U484">
        <f t="shared" si="182"/>
        <v>-648218426.54690003</v>
      </c>
      <c r="V484">
        <f t="shared" si="183"/>
        <v>-689427628.86529994</v>
      </c>
      <c r="W484">
        <f t="shared" si="184"/>
        <v>-919521670.70729995</v>
      </c>
      <c r="X484">
        <f t="shared" si="185"/>
        <v>-934734270.95130002</v>
      </c>
      <c r="Z484">
        <f t="shared" si="186"/>
        <v>1820796.6228000002</v>
      </c>
      <c r="AA484">
        <f t="shared" si="187"/>
        <v>-432769982.49180001</v>
      </c>
      <c r="AB484">
        <f t="shared" si="188"/>
        <v>-704025310.95160019</v>
      </c>
      <c r="AC484">
        <f t="shared" si="189"/>
        <v>-876281846.03439999</v>
      </c>
      <c r="AD484">
        <f t="shared" si="190"/>
        <v>-1048426577.8158001</v>
      </c>
      <c r="AE484">
        <f t="shared" si="191"/>
        <v>-1052919063.8302</v>
      </c>
    </row>
    <row r="485" spans="1:31" x14ac:dyDescent="0.25">
      <c r="A485">
        <v>38.020537060000002</v>
      </c>
      <c r="B485">
        <v>118.7731319</v>
      </c>
      <c r="C485">
        <v>43.008232120000002</v>
      </c>
      <c r="D485">
        <v>16.356826779999999</v>
      </c>
      <c r="E485" t="b">
        <f t="shared" si="168"/>
        <v>0</v>
      </c>
      <c r="F485">
        <f t="shared" si="169"/>
        <v>-198.68433382000001</v>
      </c>
      <c r="G485">
        <f t="shared" si="170"/>
        <v>-413.72549442000002</v>
      </c>
      <c r="H485">
        <f t="shared" si="171"/>
        <v>-628.76665502000003</v>
      </c>
      <c r="I485">
        <f t="shared" si="172"/>
        <v>-843.80781562000004</v>
      </c>
      <c r="J485">
        <f t="shared" si="173"/>
        <v>-1058.8489762200002</v>
      </c>
      <c r="L485">
        <f t="shared" si="174"/>
        <v>31405107.417600002</v>
      </c>
      <c r="M485">
        <f t="shared" si="175"/>
        <v>-321868620.78839999</v>
      </c>
      <c r="N485">
        <f t="shared" si="176"/>
        <v>-570941182.29960001</v>
      </c>
      <c r="O485">
        <f t="shared" si="177"/>
        <v>-641341988.12039995</v>
      </c>
      <c r="P485">
        <f t="shared" si="178"/>
        <v>-776303190.37039995</v>
      </c>
      <c r="Q485">
        <f t="shared" si="179"/>
        <v>-804725221.92720008</v>
      </c>
      <c r="S485">
        <f t="shared" si="180"/>
        <v>34349336.237999998</v>
      </c>
      <c r="T485">
        <f t="shared" si="181"/>
        <v>-361605487.55239999</v>
      </c>
      <c r="U485">
        <f t="shared" si="182"/>
        <v>-624725496.57420003</v>
      </c>
      <c r="V485">
        <f t="shared" si="183"/>
        <v>-672780320.87139988</v>
      </c>
      <c r="W485">
        <f t="shared" si="184"/>
        <v>-902874362.71339989</v>
      </c>
      <c r="X485">
        <f t="shared" si="185"/>
        <v>-921198609.31140018</v>
      </c>
      <c r="Z485">
        <f t="shared" si="186"/>
        <v>37293565.058400005</v>
      </c>
      <c r="AA485">
        <f t="shared" si="187"/>
        <v>-401342354.31639999</v>
      </c>
      <c r="AB485">
        <f t="shared" si="188"/>
        <v>-678509810.84880006</v>
      </c>
      <c r="AC485">
        <f t="shared" si="189"/>
        <v>-855122650.82719994</v>
      </c>
      <c r="AD485">
        <f t="shared" si="190"/>
        <v>-1029445535.0563999</v>
      </c>
      <c r="AE485">
        <f t="shared" si="191"/>
        <v>-1037671996.6956002</v>
      </c>
    </row>
    <row r="486" spans="1:31" x14ac:dyDescent="0.25">
      <c r="A486">
        <v>38.022517460000003</v>
      </c>
      <c r="B486">
        <v>116.8457784</v>
      </c>
      <c r="C486">
        <v>19.537851329999999</v>
      </c>
      <c r="D486">
        <v>0.346827</v>
      </c>
      <c r="E486" t="b">
        <f t="shared" si="168"/>
        <v>0</v>
      </c>
      <c r="F486">
        <f t="shared" si="169"/>
        <v>-97.342429649999985</v>
      </c>
      <c r="G486">
        <f t="shared" si="170"/>
        <v>-195.03168629999999</v>
      </c>
      <c r="H486">
        <f t="shared" si="171"/>
        <v>-292.72094294999994</v>
      </c>
      <c r="I486">
        <f t="shared" si="172"/>
        <v>-390.41019959999994</v>
      </c>
      <c r="J486">
        <f t="shared" si="173"/>
        <v>-488.09945624999995</v>
      </c>
      <c r="L486">
        <f t="shared" si="174"/>
        <v>665907.84000000008</v>
      </c>
      <c r="M486">
        <f t="shared" si="175"/>
        <v>-157694736.03299999</v>
      </c>
      <c r="N486">
        <f t="shared" si="176"/>
        <v>-269143727.09399998</v>
      </c>
      <c r="O486">
        <f t="shared" si="177"/>
        <v>-298575361.80899996</v>
      </c>
      <c r="P486">
        <f t="shared" si="178"/>
        <v>-359177383.63199991</v>
      </c>
      <c r="Q486">
        <f t="shared" si="179"/>
        <v>-370955586.74999994</v>
      </c>
      <c r="S486">
        <f t="shared" si="180"/>
        <v>728336.70000000007</v>
      </c>
      <c r="T486">
        <f t="shared" si="181"/>
        <v>-177163221.963</v>
      </c>
      <c r="U486">
        <f t="shared" si="182"/>
        <v>-294497846.31299996</v>
      </c>
      <c r="V486">
        <f t="shared" si="183"/>
        <v>-313211408.95649987</v>
      </c>
      <c r="W486">
        <f t="shared" si="184"/>
        <v>-417738913.57199991</v>
      </c>
      <c r="X486">
        <f t="shared" si="185"/>
        <v>-424646526.93749994</v>
      </c>
      <c r="Z486">
        <f t="shared" si="186"/>
        <v>790765.56</v>
      </c>
      <c r="AA486">
        <f t="shared" si="187"/>
        <v>-196631707.89299998</v>
      </c>
      <c r="AB486">
        <f t="shared" si="188"/>
        <v>-319851965.53200001</v>
      </c>
      <c r="AC486">
        <f t="shared" si="189"/>
        <v>-398100482.41199988</v>
      </c>
      <c r="AD486">
        <f t="shared" si="190"/>
        <v>-476300443.51199996</v>
      </c>
      <c r="AE486">
        <f t="shared" si="191"/>
        <v>-478337467.12499994</v>
      </c>
    </row>
    <row r="487" spans="1:31" x14ac:dyDescent="0.25">
      <c r="A487">
        <v>38.024114089999998</v>
      </c>
      <c r="B487">
        <v>120.0030727</v>
      </c>
      <c r="C487">
        <v>27.985301969999998</v>
      </c>
      <c r="D487">
        <v>0.48972300000000002</v>
      </c>
      <c r="E487" t="b">
        <f t="shared" si="168"/>
        <v>0</v>
      </c>
      <c r="F487">
        <f t="shared" si="169"/>
        <v>-139.43678685</v>
      </c>
      <c r="G487">
        <f t="shared" si="170"/>
        <v>-279.36329669999998</v>
      </c>
      <c r="H487">
        <f t="shared" si="171"/>
        <v>-419.28980654999992</v>
      </c>
      <c r="I487">
        <f t="shared" si="172"/>
        <v>-559.21631639999998</v>
      </c>
      <c r="J487">
        <f t="shared" si="173"/>
        <v>-699.14282624999998</v>
      </c>
      <c r="L487">
        <f t="shared" si="174"/>
        <v>940268.16</v>
      </c>
      <c r="M487">
        <f t="shared" si="175"/>
        <v>-225887594.697</v>
      </c>
      <c r="N487">
        <f t="shared" si="176"/>
        <v>-385521349.44599998</v>
      </c>
      <c r="O487">
        <f t="shared" si="177"/>
        <v>-427675602.68099993</v>
      </c>
      <c r="P487">
        <f t="shared" si="178"/>
        <v>-514479011.08799994</v>
      </c>
      <c r="Q487">
        <f t="shared" si="179"/>
        <v>-531348547.94999999</v>
      </c>
      <c r="S487">
        <f t="shared" si="180"/>
        <v>1028418.3</v>
      </c>
      <c r="T487">
        <f t="shared" si="181"/>
        <v>-253774952.067</v>
      </c>
      <c r="U487">
        <f t="shared" si="182"/>
        <v>-421838578.01699996</v>
      </c>
      <c r="V487">
        <f t="shared" si="183"/>
        <v>-448640093.00849986</v>
      </c>
      <c r="W487">
        <f t="shared" si="184"/>
        <v>-598361458.54799986</v>
      </c>
      <c r="X487">
        <f t="shared" si="185"/>
        <v>-608254258.83749998</v>
      </c>
      <c r="Z487">
        <f t="shared" si="186"/>
        <v>1116568.4400000002</v>
      </c>
      <c r="AA487">
        <f t="shared" si="187"/>
        <v>-281662309.43699998</v>
      </c>
      <c r="AB487">
        <f t="shared" si="188"/>
        <v>-458155806.588</v>
      </c>
      <c r="AC487">
        <f t="shared" si="189"/>
        <v>-570234136.90799987</v>
      </c>
      <c r="AD487">
        <f t="shared" si="190"/>
        <v>-682243906.0079999</v>
      </c>
      <c r="AE487">
        <f t="shared" si="191"/>
        <v>-685159969.72500002</v>
      </c>
    </row>
    <row r="488" spans="1:31" x14ac:dyDescent="0.25">
      <c r="A488">
        <v>38.030696599999999</v>
      </c>
      <c r="B488">
        <v>119.5356659</v>
      </c>
      <c r="C488">
        <v>17.948078160000001</v>
      </c>
      <c r="D488">
        <v>1.9368519799999999</v>
      </c>
      <c r="E488" t="b">
        <f t="shared" si="168"/>
        <v>0</v>
      </c>
      <c r="F488">
        <f t="shared" si="169"/>
        <v>-87.80353882</v>
      </c>
      <c r="G488">
        <f t="shared" si="170"/>
        <v>-177.54392962</v>
      </c>
      <c r="H488">
        <f t="shared" si="171"/>
        <v>-267.28432042000003</v>
      </c>
      <c r="I488">
        <f t="shared" si="172"/>
        <v>-357.02471122000003</v>
      </c>
      <c r="J488">
        <f t="shared" si="173"/>
        <v>-446.76510202000009</v>
      </c>
      <c r="L488">
        <f t="shared" si="174"/>
        <v>3718755.8016000004</v>
      </c>
      <c r="M488">
        <f t="shared" si="175"/>
        <v>-142241732.88839999</v>
      </c>
      <c r="N488">
        <f t="shared" si="176"/>
        <v>-245010622.87559998</v>
      </c>
      <c r="O488">
        <f t="shared" si="177"/>
        <v>-272630006.82840002</v>
      </c>
      <c r="P488">
        <f t="shared" si="178"/>
        <v>-328462734.32239997</v>
      </c>
      <c r="Q488">
        <f t="shared" si="179"/>
        <v>-339541477.53520006</v>
      </c>
      <c r="S488">
        <f t="shared" si="180"/>
        <v>4067389.1580000003</v>
      </c>
      <c r="T488">
        <f t="shared" si="181"/>
        <v>-159802440.65239999</v>
      </c>
      <c r="U488">
        <f t="shared" si="182"/>
        <v>-268091333.72620001</v>
      </c>
      <c r="V488">
        <f t="shared" si="183"/>
        <v>-285994222.84939998</v>
      </c>
      <c r="W488">
        <f t="shared" si="184"/>
        <v>-382016441.0054</v>
      </c>
      <c r="X488">
        <f t="shared" si="185"/>
        <v>-388685638.7574001</v>
      </c>
      <c r="Z488">
        <f t="shared" si="186"/>
        <v>4416022.5144000007</v>
      </c>
      <c r="AA488">
        <f t="shared" si="187"/>
        <v>-177363148.41639999</v>
      </c>
      <c r="AB488">
        <f t="shared" si="188"/>
        <v>-291172044.57680005</v>
      </c>
      <c r="AC488">
        <f t="shared" si="189"/>
        <v>-363506675.7712</v>
      </c>
      <c r="AD488">
        <f t="shared" si="190"/>
        <v>-435570147.68840003</v>
      </c>
      <c r="AE488">
        <f t="shared" si="191"/>
        <v>-437829799.97960007</v>
      </c>
    </row>
    <row r="489" spans="1:31" x14ac:dyDescent="0.25">
      <c r="A489">
        <v>38.033993070000001</v>
      </c>
      <c r="B489">
        <v>118.1906503</v>
      </c>
      <c r="C489">
        <v>76.896270749999999</v>
      </c>
      <c r="D489">
        <v>1.61000597</v>
      </c>
      <c r="E489" t="b">
        <f t="shared" si="168"/>
        <v>0</v>
      </c>
      <c r="F489">
        <f t="shared" si="169"/>
        <v>-382.87134778000001</v>
      </c>
      <c r="G489">
        <f t="shared" si="170"/>
        <v>-767.35270152999999</v>
      </c>
      <c r="H489">
        <f t="shared" si="171"/>
        <v>-1151.83405528</v>
      </c>
      <c r="I489">
        <f t="shared" si="172"/>
        <v>-1536.31540903</v>
      </c>
      <c r="J489">
        <f t="shared" si="173"/>
        <v>-1920.7967627800001</v>
      </c>
      <c r="L489">
        <f t="shared" si="174"/>
        <v>3091211.4624000001</v>
      </c>
      <c r="M489">
        <f t="shared" si="175"/>
        <v>-620251583.4036001</v>
      </c>
      <c r="N489">
        <f t="shared" si="176"/>
        <v>-1058946728.1113999</v>
      </c>
      <c r="O489">
        <f t="shared" si="177"/>
        <v>-1174870736.3856001</v>
      </c>
      <c r="P489">
        <f t="shared" si="178"/>
        <v>-1413410176.3075998</v>
      </c>
      <c r="Q489">
        <f t="shared" si="179"/>
        <v>-1459805539.7128003</v>
      </c>
      <c r="S489">
        <f t="shared" si="180"/>
        <v>3381012.537</v>
      </c>
      <c r="T489">
        <f t="shared" si="181"/>
        <v>-696825852.95960009</v>
      </c>
      <c r="U489">
        <f t="shared" si="182"/>
        <v>-1158702579.3102999</v>
      </c>
      <c r="V489">
        <f t="shared" si="183"/>
        <v>-1232462439.1495998</v>
      </c>
      <c r="W489">
        <f t="shared" si="184"/>
        <v>-1643857487.6620998</v>
      </c>
      <c r="X489">
        <f t="shared" si="185"/>
        <v>-1671093183.6186001</v>
      </c>
      <c r="Z489">
        <f t="shared" si="186"/>
        <v>3670813.6116000004</v>
      </c>
      <c r="AA489">
        <f t="shared" si="187"/>
        <v>-773400122.51560009</v>
      </c>
      <c r="AB489">
        <f t="shared" si="188"/>
        <v>-1258458430.5092001</v>
      </c>
      <c r="AC489">
        <f t="shared" si="189"/>
        <v>-1566494315.1807997</v>
      </c>
      <c r="AD489">
        <f t="shared" si="190"/>
        <v>-1874304799.0165999</v>
      </c>
      <c r="AE489">
        <f t="shared" si="191"/>
        <v>-1882380827.5244002</v>
      </c>
    </row>
    <row r="490" spans="1:31" x14ac:dyDescent="0.25">
      <c r="A490">
        <v>38.039175290000003</v>
      </c>
      <c r="B490">
        <v>90.958337259999993</v>
      </c>
      <c r="C490">
        <v>20.624670030000001</v>
      </c>
      <c r="D490">
        <v>3.7280418900000001</v>
      </c>
      <c r="E490" t="b">
        <f t="shared" si="168"/>
        <v>0</v>
      </c>
      <c r="F490">
        <f t="shared" si="169"/>
        <v>-99.395308260000007</v>
      </c>
      <c r="G490">
        <f t="shared" si="170"/>
        <v>-202.51865841</v>
      </c>
      <c r="H490">
        <f t="shared" si="171"/>
        <v>-305.64200856000002</v>
      </c>
      <c r="I490">
        <f t="shared" si="172"/>
        <v>-408.76535871000004</v>
      </c>
      <c r="J490">
        <f t="shared" si="173"/>
        <v>-511.88870886000007</v>
      </c>
      <c r="L490">
        <f t="shared" si="174"/>
        <v>7157840.4288000008</v>
      </c>
      <c r="M490">
        <f t="shared" si="175"/>
        <v>-161020399.38120002</v>
      </c>
      <c r="N490">
        <f t="shared" si="176"/>
        <v>-279475748.60579997</v>
      </c>
      <c r="O490">
        <f t="shared" si="177"/>
        <v>-311754848.73119998</v>
      </c>
      <c r="P490">
        <f t="shared" si="178"/>
        <v>-376064130.01319999</v>
      </c>
      <c r="Q490">
        <f t="shared" si="179"/>
        <v>-389035418.73360008</v>
      </c>
      <c r="S490">
        <f t="shared" si="180"/>
        <v>7828887.9690000005</v>
      </c>
      <c r="T490">
        <f t="shared" si="181"/>
        <v>-180899461.03320003</v>
      </c>
      <c r="U490">
        <f t="shared" si="182"/>
        <v>-305803174.19910002</v>
      </c>
      <c r="V490">
        <f t="shared" si="183"/>
        <v>-327036949.15919995</v>
      </c>
      <c r="W490">
        <f t="shared" si="184"/>
        <v>-437378933.8197</v>
      </c>
      <c r="X490">
        <f t="shared" si="185"/>
        <v>-445343176.70820004</v>
      </c>
      <c r="Z490">
        <f t="shared" si="186"/>
        <v>8499935.5092000011</v>
      </c>
      <c r="AA490">
        <f t="shared" si="187"/>
        <v>-200778522.68520001</v>
      </c>
      <c r="AB490">
        <f t="shared" si="188"/>
        <v>-332130599.7924</v>
      </c>
      <c r="AC490">
        <f t="shared" si="189"/>
        <v>-415673131.64159995</v>
      </c>
      <c r="AD490">
        <f t="shared" si="190"/>
        <v>-498693737.62620002</v>
      </c>
      <c r="AE490">
        <f t="shared" si="191"/>
        <v>-501650934.68280005</v>
      </c>
    </row>
    <row r="491" spans="1:31" x14ac:dyDescent="0.25">
      <c r="A491">
        <v>38.044444599999999</v>
      </c>
      <c r="B491">
        <v>118.5431591</v>
      </c>
      <c r="C491">
        <v>65.630661009999997</v>
      </c>
      <c r="D491">
        <v>9.2032000000000003E-2</v>
      </c>
      <c r="E491" t="b">
        <f t="shared" si="168"/>
        <v>0</v>
      </c>
      <c r="F491">
        <f t="shared" si="169"/>
        <v>-328.06127304999995</v>
      </c>
      <c r="G491">
        <f t="shared" si="170"/>
        <v>-656.21457809999993</v>
      </c>
      <c r="H491">
        <f t="shared" si="171"/>
        <v>-984.3678831499999</v>
      </c>
      <c r="I491">
        <f t="shared" si="172"/>
        <v>-1312.5211881999999</v>
      </c>
      <c r="J491">
        <f t="shared" si="173"/>
        <v>-1640.6744932499998</v>
      </c>
      <c r="L491">
        <f t="shared" si="174"/>
        <v>176701.44</v>
      </c>
      <c r="M491">
        <f t="shared" si="175"/>
        <v>-531459262.34099996</v>
      </c>
      <c r="N491">
        <f t="shared" si="176"/>
        <v>-905576117.77799976</v>
      </c>
      <c r="O491">
        <f t="shared" si="177"/>
        <v>-1004055240.8129998</v>
      </c>
      <c r="P491">
        <f t="shared" si="178"/>
        <v>-1207519493.1439998</v>
      </c>
      <c r="Q491">
        <f t="shared" si="179"/>
        <v>-1246912614.8699999</v>
      </c>
      <c r="S491">
        <f t="shared" si="180"/>
        <v>193267.20000000001</v>
      </c>
      <c r="T491">
        <f t="shared" si="181"/>
        <v>-597071516.95099998</v>
      </c>
      <c r="U491">
        <f t="shared" si="182"/>
        <v>-990884012.93099988</v>
      </c>
      <c r="V491">
        <f t="shared" si="183"/>
        <v>-1053273634.9704996</v>
      </c>
      <c r="W491">
        <f t="shared" si="184"/>
        <v>-1404397671.3739996</v>
      </c>
      <c r="X491">
        <f t="shared" si="185"/>
        <v>-1427386809.1274998</v>
      </c>
      <c r="Z491">
        <f t="shared" si="186"/>
        <v>209832.96000000002</v>
      </c>
      <c r="AA491">
        <f t="shared" si="187"/>
        <v>-662683771.56099987</v>
      </c>
      <c r="AB491">
        <f t="shared" si="188"/>
        <v>-1076191908.0839999</v>
      </c>
      <c r="AC491">
        <f t="shared" si="189"/>
        <v>-1338740321.0839996</v>
      </c>
      <c r="AD491">
        <f t="shared" si="190"/>
        <v>-1601275849.6039996</v>
      </c>
      <c r="AE491">
        <f t="shared" si="191"/>
        <v>-1607861003.3849998</v>
      </c>
    </row>
    <row r="492" spans="1:31" x14ac:dyDescent="0.25">
      <c r="A492">
        <v>38.046402530000002</v>
      </c>
      <c r="B492">
        <v>115.44952910000001</v>
      </c>
      <c r="C492">
        <v>10.663947110000001</v>
      </c>
      <c r="D492">
        <v>1.19535697</v>
      </c>
      <c r="E492" t="b">
        <f t="shared" si="168"/>
        <v>0</v>
      </c>
      <c r="F492">
        <f t="shared" si="169"/>
        <v>-52.124378580000005</v>
      </c>
      <c r="G492">
        <f t="shared" si="170"/>
        <v>-105.44411413</v>
      </c>
      <c r="H492">
        <f t="shared" si="171"/>
        <v>-158.76384967999999</v>
      </c>
      <c r="I492">
        <f t="shared" si="172"/>
        <v>-212.08358523000001</v>
      </c>
      <c r="J492">
        <f t="shared" si="173"/>
        <v>-265.40332078000006</v>
      </c>
      <c r="L492">
        <f t="shared" si="174"/>
        <v>2295085.3824</v>
      </c>
      <c r="M492">
        <f t="shared" si="175"/>
        <v>-84441493.29960002</v>
      </c>
      <c r="N492">
        <f t="shared" si="176"/>
        <v>-145512877.49939999</v>
      </c>
      <c r="O492">
        <f t="shared" si="177"/>
        <v>-161939126.67360002</v>
      </c>
      <c r="P492">
        <f t="shared" si="178"/>
        <v>-195116898.41159999</v>
      </c>
      <c r="Q492">
        <f t="shared" si="179"/>
        <v>-201706523.79280004</v>
      </c>
      <c r="S492">
        <f t="shared" si="180"/>
        <v>2510249.6370000001</v>
      </c>
      <c r="T492">
        <f t="shared" si="181"/>
        <v>-94866369.015600011</v>
      </c>
      <c r="U492">
        <f t="shared" si="182"/>
        <v>-159220612.33629999</v>
      </c>
      <c r="V492">
        <f t="shared" si="183"/>
        <v>-169877319.15759999</v>
      </c>
      <c r="W492">
        <f t="shared" si="184"/>
        <v>-226929436.1961</v>
      </c>
      <c r="X492">
        <f t="shared" si="185"/>
        <v>-230900889.07860005</v>
      </c>
      <c r="Z492">
        <f t="shared" si="186"/>
        <v>2725413.8916000002</v>
      </c>
      <c r="AA492">
        <f t="shared" si="187"/>
        <v>-105291244.73160002</v>
      </c>
      <c r="AB492">
        <f t="shared" si="188"/>
        <v>-172928347.17320001</v>
      </c>
      <c r="AC492">
        <f t="shared" si="189"/>
        <v>-215918835.56479999</v>
      </c>
      <c r="AD492">
        <f t="shared" si="190"/>
        <v>-258741973.98060003</v>
      </c>
      <c r="AE492">
        <f t="shared" si="191"/>
        <v>-260095254.36440006</v>
      </c>
    </row>
    <row r="493" spans="1:31" x14ac:dyDescent="0.25">
      <c r="A493">
        <v>38.053881250000003</v>
      </c>
      <c r="B493">
        <v>118.89575929999999</v>
      </c>
      <c r="C493">
        <v>43.008232120000002</v>
      </c>
      <c r="D493">
        <v>2.4491999099999999</v>
      </c>
      <c r="E493" t="b">
        <f t="shared" si="168"/>
        <v>0</v>
      </c>
      <c r="F493">
        <f t="shared" si="169"/>
        <v>-212.59196069000001</v>
      </c>
      <c r="G493">
        <f t="shared" si="170"/>
        <v>-427.63312129000002</v>
      </c>
      <c r="H493">
        <f t="shared" si="171"/>
        <v>-642.67428189000009</v>
      </c>
      <c r="I493">
        <f t="shared" si="172"/>
        <v>-857.7154424900001</v>
      </c>
      <c r="J493">
        <f t="shared" si="173"/>
        <v>-1072.75660309</v>
      </c>
      <c r="L493">
        <f t="shared" si="174"/>
        <v>4702463.8272000011</v>
      </c>
      <c r="M493">
        <f t="shared" si="175"/>
        <v>-344398976.31780005</v>
      </c>
      <c r="N493">
        <f t="shared" si="176"/>
        <v>-590133707.38020003</v>
      </c>
      <c r="O493">
        <f t="shared" si="177"/>
        <v>-655527767.52780008</v>
      </c>
      <c r="P493">
        <f t="shared" si="178"/>
        <v>-789098207.09080005</v>
      </c>
      <c r="Q493">
        <f t="shared" si="179"/>
        <v>-815295018.3484</v>
      </c>
      <c r="S493">
        <f t="shared" si="180"/>
        <v>5143319.8110000007</v>
      </c>
      <c r="T493">
        <f t="shared" si="181"/>
        <v>-386917368.4558</v>
      </c>
      <c r="U493">
        <f t="shared" si="182"/>
        <v>-645726013.14789999</v>
      </c>
      <c r="V493">
        <f t="shared" si="183"/>
        <v>-687661481.62230003</v>
      </c>
      <c r="W493">
        <f t="shared" si="184"/>
        <v>-917755523.46430004</v>
      </c>
      <c r="X493">
        <f t="shared" si="185"/>
        <v>-933298244.68830001</v>
      </c>
      <c r="Z493">
        <f t="shared" si="186"/>
        <v>5584175.7948000012</v>
      </c>
      <c r="AA493">
        <f t="shared" si="187"/>
        <v>-429435760.59380001</v>
      </c>
      <c r="AB493">
        <f t="shared" si="188"/>
        <v>-701318318.91560006</v>
      </c>
      <c r="AC493">
        <f t="shared" si="189"/>
        <v>-874037023.37040007</v>
      </c>
      <c r="AD493">
        <f t="shared" si="190"/>
        <v>-1046412839.8378001</v>
      </c>
      <c r="AE493">
        <f t="shared" si="191"/>
        <v>-1051301471.0282</v>
      </c>
    </row>
    <row r="494" spans="1:31" x14ac:dyDescent="0.25">
      <c r="A494">
        <v>38.06295377</v>
      </c>
      <c r="B494">
        <v>116.90990789999999</v>
      </c>
      <c r="C494">
        <v>19.537851329999999</v>
      </c>
      <c r="D494">
        <v>3.9906790299999999</v>
      </c>
      <c r="E494" t="b">
        <f t="shared" si="168"/>
        <v>0</v>
      </c>
      <c r="F494">
        <f t="shared" si="169"/>
        <v>-93.698577619999995</v>
      </c>
      <c r="G494">
        <f t="shared" si="170"/>
        <v>-191.38783426999998</v>
      </c>
      <c r="H494">
        <f t="shared" si="171"/>
        <v>-289.07709091999993</v>
      </c>
      <c r="I494">
        <f t="shared" si="172"/>
        <v>-386.76634756999994</v>
      </c>
      <c r="J494">
        <f t="shared" si="173"/>
        <v>-484.45560421999994</v>
      </c>
      <c r="L494">
        <f t="shared" si="174"/>
        <v>7662103.7376000006</v>
      </c>
      <c r="M494">
        <f t="shared" si="175"/>
        <v>-151791695.74439999</v>
      </c>
      <c r="N494">
        <f t="shared" si="176"/>
        <v>-264115211.29259995</v>
      </c>
      <c r="O494">
        <f t="shared" si="177"/>
        <v>-294858632.73839998</v>
      </c>
      <c r="P494">
        <f t="shared" si="178"/>
        <v>-355825039.76439989</v>
      </c>
      <c r="Q494">
        <f t="shared" si="179"/>
        <v>-368186259.20719999</v>
      </c>
      <c r="S494">
        <f t="shared" si="180"/>
        <v>8380425.9629999995</v>
      </c>
      <c r="T494">
        <f t="shared" si="181"/>
        <v>-170531411.26839998</v>
      </c>
      <c r="U494">
        <f t="shared" si="182"/>
        <v>-288995629.74769998</v>
      </c>
      <c r="V494">
        <f t="shared" si="183"/>
        <v>-309312487.28439993</v>
      </c>
      <c r="W494">
        <f t="shared" si="184"/>
        <v>-413839991.89989984</v>
      </c>
      <c r="X494">
        <f t="shared" si="185"/>
        <v>-421476375.67139995</v>
      </c>
      <c r="Z494">
        <f t="shared" si="186"/>
        <v>9098748.1884000003</v>
      </c>
      <c r="AA494">
        <f t="shared" si="187"/>
        <v>-189271126.79239997</v>
      </c>
      <c r="AB494">
        <f t="shared" si="188"/>
        <v>-313876048.20279998</v>
      </c>
      <c r="AC494">
        <f t="shared" si="189"/>
        <v>-393144843.65119988</v>
      </c>
      <c r="AD494">
        <f t="shared" si="190"/>
        <v>-471854944.03539991</v>
      </c>
      <c r="AE494">
        <f t="shared" si="191"/>
        <v>-474766492.13559997</v>
      </c>
    </row>
    <row r="495" spans="1:31" x14ac:dyDescent="0.25">
      <c r="A495">
        <v>38.063275830000002</v>
      </c>
      <c r="B495">
        <v>119.6586372</v>
      </c>
      <c r="C495">
        <v>34.305973049999999</v>
      </c>
      <c r="D495">
        <v>0.61215299000000001</v>
      </c>
      <c r="E495" t="b">
        <f t="shared" si="168"/>
        <v>0</v>
      </c>
      <c r="F495">
        <f t="shared" si="169"/>
        <v>-170.91771226</v>
      </c>
      <c r="G495">
        <f t="shared" si="170"/>
        <v>-342.44757750999997</v>
      </c>
      <c r="H495">
        <f t="shared" si="171"/>
        <v>-513.97744275999992</v>
      </c>
      <c r="I495">
        <f t="shared" si="172"/>
        <v>-685.50730800999997</v>
      </c>
      <c r="J495">
        <f t="shared" si="173"/>
        <v>-857.03717325999992</v>
      </c>
      <c r="L495">
        <f t="shared" si="174"/>
        <v>1175333.7408</v>
      </c>
      <c r="M495">
        <f t="shared" si="175"/>
        <v>-276886693.86119998</v>
      </c>
      <c r="N495">
        <f t="shared" si="176"/>
        <v>-472577656.96379995</v>
      </c>
      <c r="O495">
        <f t="shared" si="177"/>
        <v>-524256991.61519992</v>
      </c>
      <c r="P495">
        <f t="shared" si="178"/>
        <v>-630666723.36919999</v>
      </c>
      <c r="Q495">
        <f t="shared" si="179"/>
        <v>-651348251.67759991</v>
      </c>
      <c r="S495">
        <f t="shared" si="180"/>
        <v>1285521.2790000001</v>
      </c>
      <c r="T495">
        <f t="shared" si="181"/>
        <v>-311070236.3132</v>
      </c>
      <c r="U495">
        <f t="shared" si="182"/>
        <v>-517095842.04009998</v>
      </c>
      <c r="V495">
        <f t="shared" si="183"/>
        <v>-549955863.75319982</v>
      </c>
      <c r="W495">
        <f t="shared" si="184"/>
        <v>-733492819.57069993</v>
      </c>
      <c r="X495">
        <f t="shared" si="185"/>
        <v>-745622340.73619986</v>
      </c>
      <c r="Z495">
        <f t="shared" si="186"/>
        <v>1395708.8172000002</v>
      </c>
      <c r="AA495">
        <f t="shared" si="187"/>
        <v>-345253778.76519996</v>
      </c>
      <c r="AB495">
        <f t="shared" si="188"/>
        <v>-561614027.1164</v>
      </c>
      <c r="AC495">
        <f t="shared" si="189"/>
        <v>-699009322.15359986</v>
      </c>
      <c r="AD495">
        <f t="shared" si="190"/>
        <v>-836318915.77219999</v>
      </c>
      <c r="AE495">
        <f t="shared" si="191"/>
        <v>-839896429.7947998</v>
      </c>
    </row>
    <row r="496" spans="1:31" x14ac:dyDescent="0.25">
      <c r="A496">
        <v>38.069500490000003</v>
      </c>
      <c r="B496">
        <v>120.0114308</v>
      </c>
      <c r="C496">
        <v>52.500782010000002</v>
      </c>
      <c r="D496">
        <v>7.3458380700000001</v>
      </c>
      <c r="E496" t="b">
        <f t="shared" si="168"/>
        <v>0</v>
      </c>
      <c r="F496">
        <f t="shared" si="169"/>
        <v>-255.15807197999999</v>
      </c>
      <c r="G496">
        <f t="shared" si="170"/>
        <v>-517.66198202999999</v>
      </c>
      <c r="H496">
        <f t="shared" si="171"/>
        <v>-780.16589208000005</v>
      </c>
      <c r="I496">
        <f t="shared" si="172"/>
        <v>-1042.6698021300001</v>
      </c>
      <c r="J496">
        <f t="shared" si="173"/>
        <v>-1305.1737121800002</v>
      </c>
      <c r="L496">
        <f t="shared" si="174"/>
        <v>14104009.094400002</v>
      </c>
      <c r="M496">
        <f t="shared" si="175"/>
        <v>-413356076.60760003</v>
      </c>
      <c r="N496">
        <f t="shared" si="176"/>
        <v>-714373535.20139992</v>
      </c>
      <c r="O496">
        <f t="shared" si="177"/>
        <v>-795769209.9216001</v>
      </c>
      <c r="P496">
        <f t="shared" si="178"/>
        <v>-959256217.95959997</v>
      </c>
      <c r="Q496">
        <f t="shared" si="179"/>
        <v>-991932021.25680006</v>
      </c>
      <c r="S496">
        <f t="shared" si="180"/>
        <v>15426259.947000001</v>
      </c>
      <c r="T496">
        <f t="shared" si="181"/>
        <v>-464387691.0036</v>
      </c>
      <c r="U496">
        <f t="shared" si="182"/>
        <v>-781669592.86529994</v>
      </c>
      <c r="V496">
        <f t="shared" si="183"/>
        <v>-834777504.52559996</v>
      </c>
      <c r="W496">
        <f t="shared" si="184"/>
        <v>-1115656688.2790999</v>
      </c>
      <c r="X496">
        <f t="shared" si="185"/>
        <v>-1135501129.5966001</v>
      </c>
      <c r="Z496">
        <f t="shared" si="186"/>
        <v>16748510.799600003</v>
      </c>
      <c r="AA496">
        <f t="shared" si="187"/>
        <v>-515419305.39959997</v>
      </c>
      <c r="AB496">
        <f t="shared" si="188"/>
        <v>-848965650.52920008</v>
      </c>
      <c r="AC496">
        <f t="shared" si="189"/>
        <v>-1061025613.2287999</v>
      </c>
      <c r="AD496">
        <f t="shared" si="190"/>
        <v>-1272057158.5986001</v>
      </c>
      <c r="AE496">
        <f t="shared" si="191"/>
        <v>-1279070237.9363999</v>
      </c>
    </row>
    <row r="497" spans="1:31" x14ac:dyDescent="0.25">
      <c r="A497">
        <v>38.071756049999998</v>
      </c>
      <c r="B497">
        <v>117.3199785</v>
      </c>
      <c r="C497">
        <v>13.02523422</v>
      </c>
      <c r="D497">
        <v>3.6507940300000001</v>
      </c>
      <c r="E497" t="b">
        <f t="shared" si="168"/>
        <v>0</v>
      </c>
      <c r="F497">
        <f t="shared" si="169"/>
        <v>-61.475377069999993</v>
      </c>
      <c r="G497">
        <f t="shared" si="170"/>
        <v>-126.60154816999999</v>
      </c>
      <c r="H497">
        <f t="shared" si="171"/>
        <v>-191.72771927000002</v>
      </c>
      <c r="I497">
        <f t="shared" si="172"/>
        <v>-256.85389036999999</v>
      </c>
      <c r="J497">
        <f t="shared" si="173"/>
        <v>-321.98006147000001</v>
      </c>
      <c r="L497">
        <f t="shared" si="174"/>
        <v>7009524.5376000013</v>
      </c>
      <c r="M497">
        <f t="shared" si="175"/>
        <v>-99590110.853399992</v>
      </c>
      <c r="N497">
        <f t="shared" si="176"/>
        <v>-174710136.47459996</v>
      </c>
      <c r="O497">
        <f t="shared" si="177"/>
        <v>-195562273.65540001</v>
      </c>
      <c r="P497">
        <f t="shared" si="178"/>
        <v>-236305579.14039996</v>
      </c>
      <c r="Q497">
        <f t="shared" si="179"/>
        <v>-244704846.71720001</v>
      </c>
      <c r="S497">
        <f t="shared" si="180"/>
        <v>7666667.4630000005</v>
      </c>
      <c r="T497">
        <f t="shared" si="181"/>
        <v>-111885186.2674</v>
      </c>
      <c r="U497">
        <f t="shared" si="182"/>
        <v>-191168337.73669997</v>
      </c>
      <c r="V497">
        <f t="shared" si="183"/>
        <v>-205148659.61889997</v>
      </c>
      <c r="W497">
        <f t="shared" si="184"/>
        <v>-274833662.6958999</v>
      </c>
      <c r="X497">
        <f t="shared" si="185"/>
        <v>-280122653.47890002</v>
      </c>
      <c r="Z497">
        <f t="shared" si="186"/>
        <v>8323810.3884000015</v>
      </c>
      <c r="AA497">
        <f t="shared" si="187"/>
        <v>-124180261.68139999</v>
      </c>
      <c r="AB497">
        <f t="shared" si="188"/>
        <v>-207626538.99879998</v>
      </c>
      <c r="AC497">
        <f t="shared" si="189"/>
        <v>-260749698.20719999</v>
      </c>
      <c r="AD497">
        <f t="shared" si="190"/>
        <v>-313361746.25139993</v>
      </c>
      <c r="AE497">
        <f t="shared" si="191"/>
        <v>-315540460.24060005</v>
      </c>
    </row>
    <row r="498" spans="1:31" x14ac:dyDescent="0.25">
      <c r="A498">
        <v>38.072024659999997</v>
      </c>
      <c r="B498">
        <v>118.7232468</v>
      </c>
      <c r="C498">
        <v>43.008232120000002</v>
      </c>
      <c r="D498">
        <v>3.3380479799999998</v>
      </c>
      <c r="E498" t="b">
        <f t="shared" si="168"/>
        <v>0</v>
      </c>
      <c r="F498">
        <f t="shared" si="169"/>
        <v>-211.70311262000001</v>
      </c>
      <c r="G498">
        <f t="shared" si="170"/>
        <v>-426.74427322000003</v>
      </c>
      <c r="H498">
        <f t="shared" si="171"/>
        <v>-641.78543381999998</v>
      </c>
      <c r="I498">
        <f t="shared" si="172"/>
        <v>-856.82659441999999</v>
      </c>
      <c r="J498">
        <f t="shared" si="173"/>
        <v>-1071.86775502</v>
      </c>
      <c r="L498">
        <f t="shared" si="174"/>
        <v>6409052.1216000002</v>
      </c>
      <c r="M498">
        <f t="shared" si="175"/>
        <v>-342959042.44440001</v>
      </c>
      <c r="N498">
        <f t="shared" si="176"/>
        <v>-588907097.04359996</v>
      </c>
      <c r="O498">
        <f t="shared" si="177"/>
        <v>-654621142.4964</v>
      </c>
      <c r="P498">
        <f t="shared" si="178"/>
        <v>-788280466.86639988</v>
      </c>
      <c r="Q498">
        <f t="shared" si="179"/>
        <v>-814619493.81519997</v>
      </c>
      <c r="S498">
        <f t="shared" si="180"/>
        <v>7009900.7580000004</v>
      </c>
      <c r="T498">
        <f t="shared" si="181"/>
        <v>-385299664.9684</v>
      </c>
      <c r="U498">
        <f t="shared" si="182"/>
        <v>-644383852.56220007</v>
      </c>
      <c r="V498">
        <f t="shared" si="183"/>
        <v>-686710414.18739986</v>
      </c>
      <c r="W498">
        <f t="shared" si="184"/>
        <v>-916804456.02939987</v>
      </c>
      <c r="X498">
        <f t="shared" si="185"/>
        <v>-932524946.86739993</v>
      </c>
      <c r="Z498">
        <f t="shared" si="186"/>
        <v>7610749.3944000006</v>
      </c>
      <c r="AA498">
        <f t="shared" si="187"/>
        <v>-427640287.49239999</v>
      </c>
      <c r="AB498">
        <f t="shared" si="188"/>
        <v>-699860608.08080006</v>
      </c>
      <c r="AC498">
        <f t="shared" si="189"/>
        <v>-872828189.9951998</v>
      </c>
      <c r="AD498">
        <f t="shared" si="190"/>
        <v>-1045328445.1924</v>
      </c>
      <c r="AE498">
        <f t="shared" si="191"/>
        <v>-1050430399.9196</v>
      </c>
    </row>
    <row r="499" spans="1:31" x14ac:dyDescent="0.25">
      <c r="A499">
        <v>38.073720819999998</v>
      </c>
      <c r="B499">
        <v>118.2554932</v>
      </c>
      <c r="C499">
        <v>43.008232120000002</v>
      </c>
      <c r="D499">
        <v>1.94147801</v>
      </c>
      <c r="E499" t="b">
        <f t="shared" si="168"/>
        <v>0</v>
      </c>
      <c r="F499">
        <f t="shared" si="169"/>
        <v>-213.09968259000001</v>
      </c>
      <c r="G499">
        <f t="shared" si="170"/>
        <v>-428.14084319</v>
      </c>
      <c r="H499">
        <f t="shared" si="171"/>
        <v>-643.18200379000007</v>
      </c>
      <c r="I499">
        <f t="shared" si="172"/>
        <v>-858.22316439000008</v>
      </c>
      <c r="J499">
        <f t="shared" si="173"/>
        <v>-1073.26432499</v>
      </c>
      <c r="L499">
        <f t="shared" si="174"/>
        <v>3727637.7792000002</v>
      </c>
      <c r="M499">
        <f t="shared" si="175"/>
        <v>-345221485.79580003</v>
      </c>
      <c r="N499">
        <f t="shared" si="176"/>
        <v>-590834363.60219991</v>
      </c>
      <c r="O499">
        <f t="shared" si="177"/>
        <v>-656045643.86580014</v>
      </c>
      <c r="P499">
        <f t="shared" si="178"/>
        <v>-789565311.23880005</v>
      </c>
      <c r="Q499">
        <f t="shared" si="179"/>
        <v>-815680886.99240005</v>
      </c>
      <c r="S499">
        <f t="shared" si="180"/>
        <v>4077103.821</v>
      </c>
      <c r="T499">
        <f t="shared" si="181"/>
        <v>-387841422.31380004</v>
      </c>
      <c r="U499">
        <f t="shared" si="182"/>
        <v>-646492673.21689999</v>
      </c>
      <c r="V499">
        <f t="shared" si="183"/>
        <v>-688204744.0553</v>
      </c>
      <c r="W499">
        <f t="shared" si="184"/>
        <v>-918298785.8973</v>
      </c>
      <c r="X499">
        <f t="shared" si="185"/>
        <v>-933739962.74129999</v>
      </c>
      <c r="Z499">
        <f t="shared" si="186"/>
        <v>4426569.8628000002</v>
      </c>
      <c r="AA499">
        <f t="shared" si="187"/>
        <v>-430461358.83179998</v>
      </c>
      <c r="AB499">
        <f t="shared" si="188"/>
        <v>-702150982.83160007</v>
      </c>
      <c r="AC499">
        <f t="shared" si="189"/>
        <v>-874727525.15439999</v>
      </c>
      <c r="AD499">
        <f t="shared" si="190"/>
        <v>-1047032260.5558001</v>
      </c>
      <c r="AE499">
        <f t="shared" si="191"/>
        <v>-1051799038.4902</v>
      </c>
    </row>
    <row r="500" spans="1:31" x14ac:dyDescent="0.25">
      <c r="A500">
        <v>38.076098469999998</v>
      </c>
      <c r="B500">
        <v>119.9540161</v>
      </c>
      <c r="C500">
        <v>15.833525659999999</v>
      </c>
      <c r="D500">
        <v>3.6729190300000001</v>
      </c>
      <c r="E500" t="b">
        <f t="shared" si="168"/>
        <v>0</v>
      </c>
      <c r="F500">
        <f t="shared" si="169"/>
        <v>-75.494709269999987</v>
      </c>
      <c r="G500">
        <f t="shared" si="170"/>
        <v>-154.66233756999998</v>
      </c>
      <c r="H500">
        <f t="shared" si="171"/>
        <v>-233.82996587</v>
      </c>
      <c r="I500">
        <f t="shared" si="172"/>
        <v>-312.99759416999996</v>
      </c>
      <c r="J500">
        <f t="shared" si="173"/>
        <v>-392.16522247</v>
      </c>
      <c r="L500">
        <f t="shared" si="174"/>
        <v>7052004.5376000013</v>
      </c>
      <c r="M500">
        <f t="shared" si="175"/>
        <v>-122301429.01739998</v>
      </c>
      <c r="N500">
        <f t="shared" si="176"/>
        <v>-213434025.84659994</v>
      </c>
      <c r="O500">
        <f t="shared" si="177"/>
        <v>-238506565.18740001</v>
      </c>
      <c r="P500">
        <f t="shared" si="178"/>
        <v>-287957786.63639992</v>
      </c>
      <c r="Q500">
        <f t="shared" si="179"/>
        <v>-298045569.0772</v>
      </c>
      <c r="S500">
        <f t="shared" si="180"/>
        <v>7713129.9630000005</v>
      </c>
      <c r="T500">
        <f t="shared" si="181"/>
        <v>-137400370.87139997</v>
      </c>
      <c r="U500">
        <f t="shared" si="182"/>
        <v>-233540129.73069996</v>
      </c>
      <c r="V500">
        <f t="shared" si="183"/>
        <v>-250198063.48089996</v>
      </c>
      <c r="W500">
        <f t="shared" si="184"/>
        <v>-334907425.76189989</v>
      </c>
      <c r="X500">
        <f t="shared" si="185"/>
        <v>-341183743.54890001</v>
      </c>
      <c r="Z500">
        <f t="shared" si="186"/>
        <v>8374255.3884000015</v>
      </c>
      <c r="AA500">
        <f t="shared" si="187"/>
        <v>-152499312.72539997</v>
      </c>
      <c r="AB500">
        <f t="shared" si="188"/>
        <v>-253646233.61479995</v>
      </c>
      <c r="AC500">
        <f t="shared" si="189"/>
        <v>-318008753.58319998</v>
      </c>
      <c r="AD500">
        <f t="shared" si="190"/>
        <v>-381857064.88739991</v>
      </c>
      <c r="AE500">
        <f t="shared" si="191"/>
        <v>-384321918.02060002</v>
      </c>
    </row>
    <row r="501" spans="1:31" x14ac:dyDescent="0.25">
      <c r="A501">
        <v>38.076114169999997</v>
      </c>
      <c r="B501">
        <v>119.5437476</v>
      </c>
      <c r="C501">
        <v>79.345855709999995</v>
      </c>
      <c r="D501">
        <v>9.4296083500000005</v>
      </c>
      <c r="E501" t="b">
        <f t="shared" si="168"/>
        <v>0</v>
      </c>
      <c r="F501">
        <f t="shared" si="169"/>
        <v>-387.29967019999998</v>
      </c>
      <c r="G501">
        <f t="shared" si="170"/>
        <v>-784.02894875000004</v>
      </c>
      <c r="H501">
        <f t="shared" si="171"/>
        <v>-1180.7582272999998</v>
      </c>
      <c r="I501">
        <f t="shared" si="172"/>
        <v>-1577.4875058499999</v>
      </c>
      <c r="J501">
        <f t="shared" si="173"/>
        <v>-1974.2167843999998</v>
      </c>
      <c r="L501">
        <f t="shared" si="174"/>
        <v>18104848.032000002</v>
      </c>
      <c r="M501">
        <f t="shared" si="175"/>
        <v>-627425465.72399998</v>
      </c>
      <c r="N501">
        <f t="shared" si="176"/>
        <v>-1081959949.2749999</v>
      </c>
      <c r="O501">
        <f t="shared" si="177"/>
        <v>-1204373391.8459997</v>
      </c>
      <c r="P501">
        <f t="shared" si="178"/>
        <v>-1451288505.3819997</v>
      </c>
      <c r="Q501">
        <f t="shared" si="179"/>
        <v>-1500404756.1439998</v>
      </c>
      <c r="S501">
        <f t="shared" si="180"/>
        <v>19802177.535</v>
      </c>
      <c r="T501">
        <f t="shared" si="181"/>
        <v>-704885399.76400006</v>
      </c>
      <c r="U501">
        <f t="shared" si="182"/>
        <v>-1183883712.6125</v>
      </c>
      <c r="V501">
        <f t="shared" si="183"/>
        <v>-1263411303.2109995</v>
      </c>
      <c r="W501">
        <f t="shared" si="184"/>
        <v>-1687911631.2594995</v>
      </c>
      <c r="X501">
        <f t="shared" si="185"/>
        <v>-1717568602.428</v>
      </c>
      <c r="Z501">
        <f t="shared" si="186"/>
        <v>21499507.038000003</v>
      </c>
      <c r="AA501">
        <f t="shared" si="187"/>
        <v>-782345333.80400002</v>
      </c>
      <c r="AB501">
        <f t="shared" si="188"/>
        <v>-1285807475.95</v>
      </c>
      <c r="AC501">
        <f t="shared" si="189"/>
        <v>-1605831189.1279995</v>
      </c>
      <c r="AD501">
        <f t="shared" si="190"/>
        <v>-1924534757.1369998</v>
      </c>
      <c r="AE501">
        <f t="shared" si="191"/>
        <v>-1934732448.7119999</v>
      </c>
    </row>
    <row r="502" spans="1:31" x14ac:dyDescent="0.25">
      <c r="A502">
        <v>38.077376360000002</v>
      </c>
      <c r="B502">
        <v>90.892039670000003</v>
      </c>
      <c r="C502">
        <v>20.624670030000001</v>
      </c>
      <c r="D502">
        <v>4.1073570300000002</v>
      </c>
      <c r="E502" t="b">
        <f t="shared" si="168"/>
        <v>0</v>
      </c>
      <c r="F502">
        <f t="shared" si="169"/>
        <v>-99.015993120000005</v>
      </c>
      <c r="G502">
        <f t="shared" si="170"/>
        <v>-202.13934327000001</v>
      </c>
      <c r="H502">
        <f t="shared" si="171"/>
        <v>-305.26269342000001</v>
      </c>
      <c r="I502">
        <f t="shared" si="172"/>
        <v>-408.38604357000003</v>
      </c>
      <c r="J502">
        <f t="shared" si="173"/>
        <v>-511.50939372000005</v>
      </c>
      <c r="L502">
        <f t="shared" si="174"/>
        <v>7886125.4976000013</v>
      </c>
      <c r="M502">
        <f t="shared" si="175"/>
        <v>-160405908.85440001</v>
      </c>
      <c r="N502">
        <f t="shared" si="176"/>
        <v>-278952293.71259999</v>
      </c>
      <c r="O502">
        <f t="shared" si="177"/>
        <v>-311367947.28839999</v>
      </c>
      <c r="P502">
        <f t="shared" si="178"/>
        <v>-375715160.0844</v>
      </c>
      <c r="Q502">
        <f t="shared" si="179"/>
        <v>-388747139.22720003</v>
      </c>
      <c r="S502">
        <f t="shared" si="180"/>
        <v>8625449.7630000003</v>
      </c>
      <c r="T502">
        <f t="shared" si="181"/>
        <v>-180209107.47840002</v>
      </c>
      <c r="U502">
        <f t="shared" si="182"/>
        <v>-305230408.33770001</v>
      </c>
      <c r="V502">
        <f t="shared" si="183"/>
        <v>-326631081.9594</v>
      </c>
      <c r="W502">
        <f t="shared" si="184"/>
        <v>-436973066.61989999</v>
      </c>
      <c r="X502">
        <f t="shared" si="185"/>
        <v>-445013172.53640002</v>
      </c>
      <c r="Z502">
        <f t="shared" si="186"/>
        <v>9364774.028400002</v>
      </c>
      <c r="AA502">
        <f t="shared" si="187"/>
        <v>-200012306.1024</v>
      </c>
      <c r="AB502">
        <f t="shared" si="188"/>
        <v>-331508522.96280003</v>
      </c>
      <c r="AC502">
        <f t="shared" si="189"/>
        <v>-415157263.05119997</v>
      </c>
      <c r="AD502">
        <f t="shared" si="190"/>
        <v>-498230973.15540004</v>
      </c>
      <c r="AE502">
        <f t="shared" si="191"/>
        <v>-501279205.84560001</v>
      </c>
    </row>
    <row r="503" spans="1:31" x14ac:dyDescent="0.25">
      <c r="A503">
        <v>38.0794949</v>
      </c>
      <c r="B503">
        <v>118.1979338</v>
      </c>
      <c r="C503">
        <v>76.896270749999999</v>
      </c>
      <c r="D503">
        <v>4.1423049000000001</v>
      </c>
      <c r="E503" t="b">
        <f t="shared" si="168"/>
        <v>0</v>
      </c>
      <c r="F503">
        <f t="shared" si="169"/>
        <v>-380.33904884999998</v>
      </c>
      <c r="G503">
        <f t="shared" si="170"/>
        <v>-764.82040259999997</v>
      </c>
      <c r="H503">
        <f t="shared" si="171"/>
        <v>-1149.30175635</v>
      </c>
      <c r="I503">
        <f t="shared" si="172"/>
        <v>-1533.7831100999999</v>
      </c>
      <c r="J503">
        <f t="shared" si="173"/>
        <v>-1918.2644638500001</v>
      </c>
      <c r="L503">
        <f t="shared" si="174"/>
        <v>7953225.4080000008</v>
      </c>
      <c r="M503">
        <f t="shared" si="175"/>
        <v>-616149259.13699996</v>
      </c>
      <c r="N503">
        <f t="shared" si="176"/>
        <v>-1055452155.5879999</v>
      </c>
      <c r="O503">
        <f t="shared" si="177"/>
        <v>-1172287791.477</v>
      </c>
      <c r="P503">
        <f t="shared" si="178"/>
        <v>-1411080461.2919998</v>
      </c>
      <c r="Q503">
        <f t="shared" si="179"/>
        <v>-1457880992.526</v>
      </c>
      <c r="S503">
        <f t="shared" si="180"/>
        <v>8698840.290000001</v>
      </c>
      <c r="T503">
        <f t="shared" si="181"/>
        <v>-692217068.90699995</v>
      </c>
      <c r="U503">
        <f t="shared" si="182"/>
        <v>-1154878807.9260001</v>
      </c>
      <c r="V503">
        <f t="shared" si="183"/>
        <v>-1229752879.2944996</v>
      </c>
      <c r="W503">
        <f t="shared" si="184"/>
        <v>-1641147927.8069997</v>
      </c>
      <c r="X503">
        <f t="shared" si="185"/>
        <v>-1668890083.5495002</v>
      </c>
      <c r="Z503">
        <f t="shared" si="186"/>
        <v>9444455.1720000003</v>
      </c>
      <c r="AA503">
        <f t="shared" si="187"/>
        <v>-768284878.67699993</v>
      </c>
      <c r="AB503">
        <f t="shared" si="188"/>
        <v>-1254305460.2640002</v>
      </c>
      <c r="AC503">
        <f t="shared" si="189"/>
        <v>-1563050388.6359997</v>
      </c>
      <c r="AD503">
        <f t="shared" si="190"/>
        <v>-1871215394.3219998</v>
      </c>
      <c r="AE503">
        <f t="shared" si="191"/>
        <v>-1879899174.5730002</v>
      </c>
    </row>
    <row r="504" spans="1:31" x14ac:dyDescent="0.25">
      <c r="A504">
        <v>38.084487709999998</v>
      </c>
      <c r="B504">
        <v>90.949362280000003</v>
      </c>
      <c r="C504">
        <v>20.624670030000001</v>
      </c>
      <c r="D504">
        <v>49.024765010000003</v>
      </c>
      <c r="E504" t="b">
        <f t="shared" si="168"/>
        <v>1</v>
      </c>
      <c r="F504">
        <f t="shared" si="169"/>
        <v>-54.098585140000004</v>
      </c>
      <c r="G504">
        <f t="shared" si="170"/>
        <v>-157.22193529</v>
      </c>
      <c r="H504">
        <f t="shared" si="171"/>
        <v>-260.34528544</v>
      </c>
      <c r="I504">
        <f t="shared" si="172"/>
        <v>-363.46863559000002</v>
      </c>
      <c r="J504">
        <f t="shared" si="173"/>
        <v>-466.59198574000004</v>
      </c>
      <c r="L504">
        <f t="shared" si="174"/>
        <v>39599366.457600005</v>
      </c>
      <c r="M504">
        <f t="shared" si="175"/>
        <v>-87639707.926800013</v>
      </c>
      <c r="N504">
        <f t="shared" si="176"/>
        <v>-216966270.70019996</v>
      </c>
      <c r="O504">
        <f t="shared" si="177"/>
        <v>-265552191.14880002</v>
      </c>
      <c r="P504">
        <f t="shared" si="178"/>
        <v>-334391144.7428</v>
      </c>
      <c r="Q504">
        <f t="shared" si="179"/>
        <v>-354609909.16240007</v>
      </c>
      <c r="S504">
        <f t="shared" si="180"/>
        <v>43311807.063000001</v>
      </c>
      <c r="T504">
        <f t="shared" si="181"/>
        <v>-98459424.954800025</v>
      </c>
      <c r="U504">
        <f t="shared" si="182"/>
        <v>-237405122.2879</v>
      </c>
      <c r="V504">
        <f t="shared" si="183"/>
        <v>-278569455.42079997</v>
      </c>
      <c r="W504">
        <f t="shared" si="184"/>
        <v>-388911440.08129996</v>
      </c>
      <c r="X504">
        <f t="shared" si="185"/>
        <v>-405935027.59380007</v>
      </c>
      <c r="Z504">
        <f t="shared" si="186"/>
        <v>47024247.668400005</v>
      </c>
      <c r="AA504">
        <f t="shared" si="187"/>
        <v>-109279141.98280002</v>
      </c>
      <c r="AB504">
        <f t="shared" si="188"/>
        <v>-257843973.87560001</v>
      </c>
      <c r="AC504">
        <f t="shared" si="189"/>
        <v>-354069588.19839996</v>
      </c>
      <c r="AD504">
        <f t="shared" si="190"/>
        <v>-443431735.41980004</v>
      </c>
      <c r="AE504">
        <f t="shared" si="191"/>
        <v>-457260146.02520007</v>
      </c>
    </row>
    <row r="505" spans="1:31" x14ac:dyDescent="0.25">
      <c r="A505">
        <v>38.089213610000002</v>
      </c>
      <c r="B505">
        <v>119.8391572</v>
      </c>
      <c r="C505">
        <v>16.461584089999999</v>
      </c>
      <c r="D505">
        <v>8.1832637800000008</v>
      </c>
      <c r="E505" t="b">
        <f t="shared" si="168"/>
        <v>0</v>
      </c>
      <c r="F505">
        <f t="shared" si="169"/>
        <v>-74.124656669999993</v>
      </c>
      <c r="G505">
        <f t="shared" si="170"/>
        <v>-156.43257711999999</v>
      </c>
      <c r="H505">
        <f t="shared" si="171"/>
        <v>-238.74049756999997</v>
      </c>
      <c r="I505">
        <f t="shared" si="172"/>
        <v>-321.04841801999999</v>
      </c>
      <c r="J505">
        <f t="shared" si="173"/>
        <v>-403.35633846999997</v>
      </c>
      <c r="L505">
        <f t="shared" si="174"/>
        <v>15711866.457600003</v>
      </c>
      <c r="M505">
        <f t="shared" si="175"/>
        <v>-120081943.80539998</v>
      </c>
      <c r="N505">
        <f t="shared" si="176"/>
        <v>-215876956.42559999</v>
      </c>
      <c r="O505">
        <f t="shared" si="177"/>
        <v>-243515307.52139997</v>
      </c>
      <c r="P505">
        <f t="shared" si="178"/>
        <v>-295364544.57839996</v>
      </c>
      <c r="Q505">
        <f t="shared" si="179"/>
        <v>-306550817.23719996</v>
      </c>
      <c r="S505">
        <f t="shared" si="180"/>
        <v>17184853.938000005</v>
      </c>
      <c r="T505">
        <f t="shared" si="181"/>
        <v>-134906875.13939998</v>
      </c>
      <c r="U505">
        <f t="shared" si="182"/>
        <v>-236213191.45120001</v>
      </c>
      <c r="V505">
        <f t="shared" si="183"/>
        <v>-255452332.39989993</v>
      </c>
      <c r="W505">
        <f t="shared" si="184"/>
        <v>-343521807.28139991</v>
      </c>
      <c r="X505">
        <f t="shared" si="185"/>
        <v>-350920014.46889997</v>
      </c>
      <c r="Z505">
        <f t="shared" si="186"/>
        <v>18657841.418400005</v>
      </c>
      <c r="AA505">
        <f t="shared" si="187"/>
        <v>-149731806.47339997</v>
      </c>
      <c r="AB505">
        <f t="shared" si="188"/>
        <v>-256549426.47680002</v>
      </c>
      <c r="AC505">
        <f t="shared" si="189"/>
        <v>-324687076.69519991</v>
      </c>
      <c r="AD505">
        <f t="shared" si="190"/>
        <v>-391679069.98439997</v>
      </c>
      <c r="AE505">
        <f t="shared" si="191"/>
        <v>-395289211.70059997</v>
      </c>
    </row>
    <row r="506" spans="1:31" x14ac:dyDescent="0.25">
      <c r="A506">
        <v>38.101600650000002</v>
      </c>
      <c r="B506">
        <v>120.13466510000001</v>
      </c>
      <c r="C506">
        <v>39.583812709999997</v>
      </c>
      <c r="D506">
        <v>1.83645999</v>
      </c>
      <c r="E506" t="b">
        <f t="shared" si="168"/>
        <v>0</v>
      </c>
      <c r="F506">
        <f t="shared" si="169"/>
        <v>-196.08260355999997</v>
      </c>
      <c r="G506">
        <f t="shared" si="170"/>
        <v>-394.00166710999997</v>
      </c>
      <c r="H506">
        <f t="shared" si="171"/>
        <v>-591.92073066</v>
      </c>
      <c r="I506">
        <f t="shared" si="172"/>
        <v>-789.83979420999992</v>
      </c>
      <c r="J506">
        <f t="shared" si="173"/>
        <v>-987.75885775999996</v>
      </c>
      <c r="L506">
        <f t="shared" si="174"/>
        <v>3526003.1808000002</v>
      </c>
      <c r="M506">
        <f t="shared" si="175"/>
        <v>-317653817.76719999</v>
      </c>
      <c r="N506">
        <f t="shared" si="176"/>
        <v>-543722300.61179984</v>
      </c>
      <c r="O506">
        <f t="shared" si="177"/>
        <v>-603759145.27320004</v>
      </c>
      <c r="P506">
        <f t="shared" si="178"/>
        <v>-726652610.67319989</v>
      </c>
      <c r="Q506">
        <f t="shared" si="179"/>
        <v>-750696731.89760005</v>
      </c>
      <c r="S506">
        <f t="shared" si="180"/>
        <v>3856565.9790000003</v>
      </c>
      <c r="T506">
        <f t="shared" si="181"/>
        <v>-356870338.47919995</v>
      </c>
      <c r="U506">
        <f t="shared" si="182"/>
        <v>-594942517.33609998</v>
      </c>
      <c r="V506">
        <f t="shared" si="183"/>
        <v>-633355181.80619991</v>
      </c>
      <c r="W506">
        <f t="shared" si="184"/>
        <v>-845128579.80469978</v>
      </c>
      <c r="X506">
        <f t="shared" si="185"/>
        <v>-859350206.25119996</v>
      </c>
      <c r="Z506">
        <f t="shared" si="186"/>
        <v>4187128.7772000004</v>
      </c>
      <c r="AA506">
        <f t="shared" si="187"/>
        <v>-396086859.19119996</v>
      </c>
      <c r="AB506">
        <f t="shared" si="188"/>
        <v>-646162734.06040001</v>
      </c>
      <c r="AC506">
        <f t="shared" si="189"/>
        <v>-805012193.69759989</v>
      </c>
      <c r="AD506">
        <f t="shared" si="190"/>
        <v>-963604548.9361999</v>
      </c>
      <c r="AE506">
        <f t="shared" si="191"/>
        <v>-968003680.60479999</v>
      </c>
    </row>
    <row r="507" spans="1:31" x14ac:dyDescent="0.25">
      <c r="A507">
        <v>38.103355290000003</v>
      </c>
      <c r="B507">
        <v>116.9741052</v>
      </c>
      <c r="C507">
        <v>19.537851329999999</v>
      </c>
      <c r="D507">
        <v>12.30202579</v>
      </c>
      <c r="E507" t="b">
        <f t="shared" si="168"/>
        <v>0</v>
      </c>
      <c r="F507">
        <f t="shared" si="169"/>
        <v>-85.387230859999988</v>
      </c>
      <c r="G507">
        <f t="shared" si="170"/>
        <v>-183.07648750999999</v>
      </c>
      <c r="H507">
        <f t="shared" si="171"/>
        <v>-280.76574415999994</v>
      </c>
      <c r="I507">
        <f t="shared" si="172"/>
        <v>-378.45500080999994</v>
      </c>
      <c r="J507">
        <f t="shared" si="173"/>
        <v>-476.14425745999995</v>
      </c>
      <c r="L507">
        <f t="shared" si="174"/>
        <v>23619889.516800005</v>
      </c>
      <c r="M507">
        <f t="shared" si="175"/>
        <v>-138327313.99319997</v>
      </c>
      <c r="N507">
        <f t="shared" si="176"/>
        <v>-252645552.76379997</v>
      </c>
      <c r="O507">
        <f t="shared" si="177"/>
        <v>-286381059.04319996</v>
      </c>
      <c r="P507">
        <f t="shared" si="178"/>
        <v>-348178600.74519992</v>
      </c>
      <c r="Q507">
        <f t="shared" si="179"/>
        <v>-361869635.66960001</v>
      </c>
      <c r="S507">
        <f t="shared" si="180"/>
        <v>25834254.159000002</v>
      </c>
      <c r="T507">
        <f t="shared" si="181"/>
        <v>-155404760.16519997</v>
      </c>
      <c r="U507">
        <f t="shared" si="182"/>
        <v>-276445496.1401</v>
      </c>
      <c r="V507">
        <f t="shared" si="183"/>
        <v>-300419346.2511999</v>
      </c>
      <c r="W507">
        <f t="shared" si="184"/>
        <v>-404946850.86669987</v>
      </c>
      <c r="X507">
        <f t="shared" si="185"/>
        <v>-414245503.99019998</v>
      </c>
      <c r="Z507">
        <f t="shared" si="186"/>
        <v>28048618.801200006</v>
      </c>
      <c r="AA507">
        <f t="shared" si="187"/>
        <v>-172482206.33719996</v>
      </c>
      <c r="AB507">
        <f t="shared" si="188"/>
        <v>-300245439.51639998</v>
      </c>
      <c r="AC507">
        <f t="shared" si="189"/>
        <v>-381841412.0575999</v>
      </c>
      <c r="AD507">
        <f t="shared" si="190"/>
        <v>-461715100.98819995</v>
      </c>
      <c r="AE507">
        <f t="shared" si="191"/>
        <v>-466621372.31079996</v>
      </c>
    </row>
    <row r="508" spans="1:31" x14ac:dyDescent="0.25">
      <c r="A508">
        <v>38.108526840000003</v>
      </c>
      <c r="B508">
        <v>116.91643209999999</v>
      </c>
      <c r="C508">
        <v>19.537851329999999</v>
      </c>
      <c r="D508">
        <v>0.137877</v>
      </c>
      <c r="E508" t="b">
        <f t="shared" si="168"/>
        <v>0</v>
      </c>
      <c r="F508">
        <f t="shared" si="169"/>
        <v>-97.551379649999987</v>
      </c>
      <c r="G508">
        <f t="shared" si="170"/>
        <v>-195.24063629999998</v>
      </c>
      <c r="H508">
        <f t="shared" si="171"/>
        <v>-292.92989294999995</v>
      </c>
      <c r="I508">
        <f t="shared" si="172"/>
        <v>-390.61914959999996</v>
      </c>
      <c r="J508">
        <f t="shared" si="173"/>
        <v>-488.30840624999996</v>
      </c>
      <c r="L508">
        <f t="shared" si="174"/>
        <v>264723.84000000003</v>
      </c>
      <c r="M508">
        <f t="shared" si="175"/>
        <v>-158033235.03299999</v>
      </c>
      <c r="N508">
        <f t="shared" si="176"/>
        <v>-269432078.09399998</v>
      </c>
      <c r="O508">
        <f t="shared" si="177"/>
        <v>-298788490.80899996</v>
      </c>
      <c r="P508">
        <f t="shared" si="178"/>
        <v>-359369617.63199991</v>
      </c>
      <c r="Q508">
        <f t="shared" si="179"/>
        <v>-371114388.74999994</v>
      </c>
      <c r="S508">
        <f t="shared" si="180"/>
        <v>289541.7</v>
      </c>
      <c r="T508">
        <f t="shared" si="181"/>
        <v>-177543510.963</v>
      </c>
      <c r="U508">
        <f t="shared" si="182"/>
        <v>-294813360.81299996</v>
      </c>
      <c r="V508">
        <f t="shared" si="183"/>
        <v>-313434985.45649987</v>
      </c>
      <c r="W508">
        <f t="shared" si="184"/>
        <v>-417962490.07199991</v>
      </c>
      <c r="X508">
        <f t="shared" si="185"/>
        <v>-424828313.43749994</v>
      </c>
      <c r="Z508">
        <f t="shared" si="186"/>
        <v>314359.56000000006</v>
      </c>
      <c r="AA508">
        <f t="shared" si="187"/>
        <v>-197053786.89299998</v>
      </c>
      <c r="AB508">
        <f t="shared" si="188"/>
        <v>-320194643.53200001</v>
      </c>
      <c r="AC508">
        <f t="shared" si="189"/>
        <v>-398384654.41199988</v>
      </c>
      <c r="AD508">
        <f t="shared" si="190"/>
        <v>-476555362.51199996</v>
      </c>
      <c r="AE508">
        <f t="shared" si="191"/>
        <v>-478542238.12499994</v>
      </c>
    </row>
    <row r="509" spans="1:31" x14ac:dyDescent="0.25">
      <c r="A509">
        <v>38.111468709999997</v>
      </c>
      <c r="B509">
        <v>118.78839720000001</v>
      </c>
      <c r="C509">
        <v>43.008232120000002</v>
      </c>
      <c r="D509">
        <v>6.14735079</v>
      </c>
      <c r="E509" t="b">
        <f t="shared" si="168"/>
        <v>0</v>
      </c>
      <c r="F509">
        <f t="shared" si="169"/>
        <v>-208.89380981000002</v>
      </c>
      <c r="G509">
        <f t="shared" si="170"/>
        <v>-423.93497041000001</v>
      </c>
      <c r="H509">
        <f t="shared" si="171"/>
        <v>-638.97613101000002</v>
      </c>
      <c r="I509">
        <f t="shared" si="172"/>
        <v>-854.01729161000003</v>
      </c>
      <c r="J509">
        <f t="shared" si="173"/>
        <v>-1069.05845221</v>
      </c>
      <c r="L509">
        <f t="shared" si="174"/>
        <v>11802913.516800001</v>
      </c>
      <c r="M509">
        <f t="shared" si="175"/>
        <v>-338407971.89220005</v>
      </c>
      <c r="N509">
        <f t="shared" si="176"/>
        <v>-585030259.16579998</v>
      </c>
      <c r="O509">
        <f t="shared" si="177"/>
        <v>-651755653.63020003</v>
      </c>
      <c r="P509">
        <f t="shared" si="178"/>
        <v>-785695908.28119993</v>
      </c>
      <c r="Q509">
        <f t="shared" si="179"/>
        <v>-812484423.6796</v>
      </c>
      <c r="S509">
        <f t="shared" si="180"/>
        <v>12909436.659</v>
      </c>
      <c r="T509">
        <f t="shared" si="181"/>
        <v>-380186733.85420007</v>
      </c>
      <c r="U509">
        <f t="shared" si="182"/>
        <v>-640141805.31910002</v>
      </c>
      <c r="V509">
        <f t="shared" si="183"/>
        <v>-683704460.18069994</v>
      </c>
      <c r="W509">
        <f t="shared" si="184"/>
        <v>-913798502.02269983</v>
      </c>
      <c r="X509">
        <f t="shared" si="185"/>
        <v>-930080853.42270005</v>
      </c>
      <c r="Z509">
        <f t="shared" si="186"/>
        <v>14015959.801200002</v>
      </c>
      <c r="AA509">
        <f t="shared" si="187"/>
        <v>-421965495.81620008</v>
      </c>
      <c r="AB509">
        <f t="shared" si="188"/>
        <v>-695253351.47240007</v>
      </c>
      <c r="AC509">
        <f t="shared" si="189"/>
        <v>-869007538.17359996</v>
      </c>
      <c r="AD509">
        <f t="shared" si="190"/>
        <v>-1041901095.7642</v>
      </c>
      <c r="AE509">
        <f t="shared" si="191"/>
        <v>-1047677283.1658</v>
      </c>
    </row>
    <row r="510" spans="1:31" x14ac:dyDescent="0.25">
      <c r="A510">
        <v>38.115120419999997</v>
      </c>
      <c r="B510">
        <v>119.6093219</v>
      </c>
      <c r="C510">
        <v>32.78838348</v>
      </c>
      <c r="D510">
        <v>16.170639040000001</v>
      </c>
      <c r="E510" t="b">
        <f t="shared" si="168"/>
        <v>0</v>
      </c>
      <c r="F510">
        <f t="shared" si="169"/>
        <v>-147.77127836</v>
      </c>
      <c r="G510">
        <f t="shared" si="170"/>
        <v>-311.71319575999996</v>
      </c>
      <c r="H510">
        <f t="shared" si="171"/>
        <v>-475.65511315999998</v>
      </c>
      <c r="I510">
        <f t="shared" si="172"/>
        <v>-639.59703056000001</v>
      </c>
      <c r="J510">
        <f t="shared" si="173"/>
        <v>-803.53894796000009</v>
      </c>
      <c r="L510">
        <f t="shared" si="174"/>
        <v>31047626.956800003</v>
      </c>
      <c r="M510">
        <f t="shared" si="175"/>
        <v>-239389470.94319999</v>
      </c>
      <c r="N510">
        <f t="shared" si="176"/>
        <v>-430164210.14879996</v>
      </c>
      <c r="O510">
        <f t="shared" si="177"/>
        <v>-485168215.42319995</v>
      </c>
      <c r="P510">
        <f t="shared" si="178"/>
        <v>-588429268.11520004</v>
      </c>
      <c r="Q510">
        <f t="shared" si="179"/>
        <v>-610689600.44959998</v>
      </c>
      <c r="S510">
        <f t="shared" si="180"/>
        <v>33958341.984000005</v>
      </c>
      <c r="T510">
        <f t="shared" si="181"/>
        <v>-268943726.61519998</v>
      </c>
      <c r="U510">
        <f t="shared" si="182"/>
        <v>-470686925.59759998</v>
      </c>
      <c r="V510">
        <f t="shared" si="183"/>
        <v>-508950971.08119988</v>
      </c>
      <c r="W510">
        <f t="shared" si="184"/>
        <v>-684368822.69919991</v>
      </c>
      <c r="X510">
        <f t="shared" si="185"/>
        <v>-699078884.72520006</v>
      </c>
      <c r="Z510">
        <f t="shared" si="186"/>
        <v>36869057.011200003</v>
      </c>
      <c r="AA510">
        <f t="shared" si="187"/>
        <v>-298497982.28719997</v>
      </c>
      <c r="AB510">
        <f t="shared" si="188"/>
        <v>-511209641.04640001</v>
      </c>
      <c r="AC510">
        <f t="shared" si="189"/>
        <v>-646890953.89759994</v>
      </c>
      <c r="AD510">
        <f t="shared" si="190"/>
        <v>-780308377.28320003</v>
      </c>
      <c r="AE510">
        <f t="shared" si="191"/>
        <v>-787468169.00080001</v>
      </c>
    </row>
    <row r="511" spans="1:31" x14ac:dyDescent="0.25">
      <c r="A511">
        <v>38.121529700000004</v>
      </c>
      <c r="B511">
        <v>119.55183890000001</v>
      </c>
      <c r="C511">
        <v>27.15364838</v>
      </c>
      <c r="D511">
        <v>8.8150062600000005</v>
      </c>
      <c r="E511" t="b">
        <f t="shared" si="168"/>
        <v>0</v>
      </c>
      <c r="F511">
        <f t="shared" si="169"/>
        <v>-126.95323563999999</v>
      </c>
      <c r="G511">
        <f t="shared" si="170"/>
        <v>-262.72147753999997</v>
      </c>
      <c r="H511">
        <f t="shared" si="171"/>
        <v>-398.48971943999999</v>
      </c>
      <c r="I511">
        <f t="shared" si="172"/>
        <v>-534.25796133999995</v>
      </c>
      <c r="J511">
        <f t="shared" si="173"/>
        <v>-670.02620323999997</v>
      </c>
      <c r="L511">
        <f t="shared" si="174"/>
        <v>16924812.019200001</v>
      </c>
      <c r="M511">
        <f t="shared" si="175"/>
        <v>-205664241.73679999</v>
      </c>
      <c r="N511">
        <f t="shared" si="176"/>
        <v>-362555639.00519991</v>
      </c>
      <c r="O511">
        <f t="shared" si="177"/>
        <v>-406459513.82880002</v>
      </c>
      <c r="P511">
        <f t="shared" si="178"/>
        <v>-491517324.43279994</v>
      </c>
      <c r="Q511">
        <f t="shared" si="179"/>
        <v>-509219914.46240002</v>
      </c>
      <c r="S511">
        <f t="shared" si="180"/>
        <v>18511513.146000002</v>
      </c>
      <c r="T511">
        <f t="shared" si="181"/>
        <v>-231054888.86479998</v>
      </c>
      <c r="U511">
        <f t="shared" si="182"/>
        <v>-396709431.08539993</v>
      </c>
      <c r="V511">
        <f t="shared" si="183"/>
        <v>-426383999.80079991</v>
      </c>
      <c r="W511">
        <f t="shared" si="184"/>
        <v>-571656018.63379991</v>
      </c>
      <c r="X511">
        <f t="shared" si="185"/>
        <v>-582922796.81879997</v>
      </c>
      <c r="Z511">
        <f t="shared" si="186"/>
        <v>20098214.272800002</v>
      </c>
      <c r="AA511">
        <f t="shared" si="187"/>
        <v>-256445535.99279997</v>
      </c>
      <c r="AB511">
        <f t="shared" si="188"/>
        <v>-430863223.16559994</v>
      </c>
      <c r="AC511">
        <f t="shared" si="189"/>
        <v>-541946018.43839991</v>
      </c>
      <c r="AD511">
        <f t="shared" si="190"/>
        <v>-651794712.8348</v>
      </c>
      <c r="AE511">
        <f t="shared" si="191"/>
        <v>-656625679.17519999</v>
      </c>
    </row>
    <row r="512" spans="1:31" x14ac:dyDescent="0.25">
      <c r="A512">
        <v>38.127911990000001</v>
      </c>
      <c r="B512">
        <v>119.4943462</v>
      </c>
      <c r="C512">
        <v>32.602592469999998</v>
      </c>
      <c r="D512">
        <v>50.972774510000001</v>
      </c>
      <c r="E512" t="b">
        <f t="shared" si="168"/>
        <v>1</v>
      </c>
      <c r="F512">
        <f t="shared" si="169"/>
        <v>-112.04018783999999</v>
      </c>
      <c r="G512">
        <f t="shared" si="170"/>
        <v>-275.05315018999994</v>
      </c>
      <c r="H512">
        <f t="shared" si="171"/>
        <v>-438.06611253999995</v>
      </c>
      <c r="I512">
        <f t="shared" si="172"/>
        <v>-601.0790748899999</v>
      </c>
      <c r="J512">
        <f t="shared" si="173"/>
        <v>-764.09203723999997</v>
      </c>
      <c r="L512">
        <f t="shared" si="174"/>
        <v>62596977.542400002</v>
      </c>
      <c r="M512">
        <f t="shared" si="175"/>
        <v>-181505104.3008</v>
      </c>
      <c r="N512">
        <f t="shared" si="176"/>
        <v>-379573347.26219988</v>
      </c>
      <c r="O512">
        <f t="shared" si="177"/>
        <v>-446827434.79079998</v>
      </c>
      <c r="P512">
        <f t="shared" si="178"/>
        <v>-552992748.89879978</v>
      </c>
      <c r="Q512">
        <f t="shared" si="179"/>
        <v>-580709948.30239999</v>
      </c>
      <c r="S512">
        <f t="shared" si="180"/>
        <v>68465444.187000006</v>
      </c>
      <c r="T512">
        <f t="shared" si="181"/>
        <v>-203913141.86879998</v>
      </c>
      <c r="U512">
        <f t="shared" si="182"/>
        <v>-415330256.78689992</v>
      </c>
      <c r="V512">
        <f t="shared" si="183"/>
        <v>-468730740.41779989</v>
      </c>
      <c r="W512">
        <f t="shared" si="184"/>
        <v>-643154610.13229978</v>
      </c>
      <c r="X512">
        <f t="shared" si="185"/>
        <v>-664760072.39880002</v>
      </c>
      <c r="Z512">
        <f t="shared" si="186"/>
        <v>74333910.83160001</v>
      </c>
      <c r="AA512">
        <f t="shared" si="187"/>
        <v>-226321179.43679997</v>
      </c>
      <c r="AB512">
        <f t="shared" si="188"/>
        <v>-451087166.31159991</v>
      </c>
      <c r="AC512">
        <f t="shared" si="189"/>
        <v>-595769913.05439985</v>
      </c>
      <c r="AD512">
        <f t="shared" si="190"/>
        <v>-733316471.36579978</v>
      </c>
      <c r="AE512">
        <f t="shared" si="191"/>
        <v>-748810196.49520004</v>
      </c>
    </row>
    <row r="513" spans="1:31" x14ac:dyDescent="0.25">
      <c r="A513">
        <v>38.12806123</v>
      </c>
      <c r="B513">
        <v>119.90489289999999</v>
      </c>
      <c r="C513">
        <v>39.583812709999997</v>
      </c>
      <c r="D513">
        <v>0.48972300000000002</v>
      </c>
      <c r="E513" t="b">
        <f t="shared" si="168"/>
        <v>0</v>
      </c>
      <c r="F513">
        <f t="shared" si="169"/>
        <v>-197.42934054999998</v>
      </c>
      <c r="G513">
        <f t="shared" si="170"/>
        <v>-395.34840409999993</v>
      </c>
      <c r="H513">
        <f t="shared" si="171"/>
        <v>-593.26746764999996</v>
      </c>
      <c r="I513">
        <f t="shared" si="172"/>
        <v>-791.18653119999988</v>
      </c>
      <c r="J513">
        <f t="shared" si="173"/>
        <v>-989.10559474999991</v>
      </c>
      <c r="L513">
        <f t="shared" si="174"/>
        <v>940268.16</v>
      </c>
      <c r="M513">
        <f t="shared" si="175"/>
        <v>-319835531.69099998</v>
      </c>
      <c r="N513">
        <f t="shared" si="176"/>
        <v>-545580797.65799987</v>
      </c>
      <c r="O513">
        <f t="shared" si="177"/>
        <v>-605132817.00300002</v>
      </c>
      <c r="P513">
        <f t="shared" si="178"/>
        <v>-727891608.70399988</v>
      </c>
      <c r="Q513">
        <f t="shared" si="179"/>
        <v>-751720252.00999987</v>
      </c>
      <c r="S513">
        <f t="shared" si="180"/>
        <v>1028418.3</v>
      </c>
      <c r="T513">
        <f t="shared" si="181"/>
        <v>-359321399.801</v>
      </c>
      <c r="U513">
        <f t="shared" si="182"/>
        <v>-596976090.19099987</v>
      </c>
      <c r="V513">
        <f t="shared" si="183"/>
        <v>-634796190.38549984</v>
      </c>
      <c r="W513">
        <f t="shared" si="184"/>
        <v>-846569588.38399982</v>
      </c>
      <c r="X513">
        <f t="shared" si="185"/>
        <v>-860521867.43249989</v>
      </c>
      <c r="Z513">
        <f t="shared" si="186"/>
        <v>1116568.4400000002</v>
      </c>
      <c r="AA513">
        <f t="shared" si="187"/>
        <v>-398807267.91099995</v>
      </c>
      <c r="AB513">
        <f t="shared" si="188"/>
        <v>-648371382.72399986</v>
      </c>
      <c r="AC513">
        <f t="shared" si="189"/>
        <v>-806843756.00399995</v>
      </c>
      <c r="AD513">
        <f t="shared" si="190"/>
        <v>-965247568.06399989</v>
      </c>
      <c r="AE513">
        <f t="shared" si="191"/>
        <v>-969323482.8549999</v>
      </c>
    </row>
    <row r="514" spans="1:31" x14ac:dyDescent="0.25">
      <c r="A514">
        <v>38.136886410000002</v>
      </c>
      <c r="B514">
        <v>90.997743049999997</v>
      </c>
      <c r="C514">
        <v>20.624670030000001</v>
      </c>
      <c r="D514">
        <v>19.500913619999999</v>
      </c>
      <c r="E514" t="b">
        <f t="shared" si="168"/>
        <v>0</v>
      </c>
      <c r="F514">
        <f t="shared" si="169"/>
        <v>-83.622436530000016</v>
      </c>
      <c r="G514">
        <f t="shared" si="170"/>
        <v>-186.74578668000001</v>
      </c>
      <c r="H514">
        <f t="shared" si="171"/>
        <v>-289.86913683</v>
      </c>
      <c r="I514">
        <f t="shared" si="172"/>
        <v>-392.99248698000002</v>
      </c>
      <c r="J514">
        <f t="shared" si="173"/>
        <v>-496.11583713000005</v>
      </c>
      <c r="L514">
        <f t="shared" si="174"/>
        <v>37441754.150399998</v>
      </c>
      <c r="M514">
        <f t="shared" si="175"/>
        <v>-135468347.17860004</v>
      </c>
      <c r="N514">
        <f t="shared" si="176"/>
        <v>-257709185.61839998</v>
      </c>
      <c r="O514">
        <f t="shared" si="177"/>
        <v>-295666519.56659997</v>
      </c>
      <c r="P514">
        <f t="shared" si="178"/>
        <v>-361553088.02160001</v>
      </c>
      <c r="Q514">
        <f t="shared" si="179"/>
        <v>-377048036.21880007</v>
      </c>
      <c r="S514">
        <f t="shared" si="180"/>
        <v>40951918.601999998</v>
      </c>
      <c r="T514">
        <f t="shared" si="181"/>
        <v>-152192834.48460004</v>
      </c>
      <c r="U514">
        <f t="shared" si="182"/>
        <v>-281986137.88679999</v>
      </c>
      <c r="V514">
        <f t="shared" si="183"/>
        <v>-310159976.40809995</v>
      </c>
      <c r="W514">
        <f t="shared" si="184"/>
        <v>-420501961.06859994</v>
      </c>
      <c r="X514">
        <f t="shared" si="185"/>
        <v>-431620778.30310005</v>
      </c>
      <c r="Z514">
        <f t="shared" si="186"/>
        <v>44462083.053599998</v>
      </c>
      <c r="AA514">
        <f t="shared" si="187"/>
        <v>-168917321.79060003</v>
      </c>
      <c r="AB514">
        <f t="shared" si="188"/>
        <v>-306263090.15520006</v>
      </c>
      <c r="AC514">
        <f t="shared" si="189"/>
        <v>-394222026.08879995</v>
      </c>
      <c r="AD514">
        <f t="shared" si="190"/>
        <v>-479450834.11559999</v>
      </c>
      <c r="AE514">
        <f t="shared" si="191"/>
        <v>-486193520.38740003</v>
      </c>
    </row>
    <row r="515" spans="1:31" x14ac:dyDescent="0.25">
      <c r="A515">
        <v>38.148923580000002</v>
      </c>
      <c r="B515">
        <v>116.980671</v>
      </c>
      <c r="C515">
        <v>19.537851329999999</v>
      </c>
      <c r="D515">
        <v>10.75517368</v>
      </c>
      <c r="E515" t="b">
        <f t="shared" ref="E515:E578" si="192">D515&gt;C515</f>
        <v>0</v>
      </c>
      <c r="F515">
        <f t="shared" ref="F515:F578" si="193">D515-(C515*(2030-2025))</f>
        <v>-86.934082969999992</v>
      </c>
      <c r="G515">
        <f t="shared" ref="G515:G578" si="194">D515-(C515*(2035-2025))</f>
        <v>-184.62333961999997</v>
      </c>
      <c r="H515">
        <f t="shared" ref="H515:H578" si="195">D515-(C515*(2040-2025))</f>
        <v>-282.31259626999997</v>
      </c>
      <c r="I515">
        <f t="shared" ref="I515:I578" si="196">D515-(C515*(2045-2025))</f>
        <v>-380.00185291999998</v>
      </c>
      <c r="J515">
        <f t="shared" ref="J515:J578" si="197">D515-(C515*(2050-2025))</f>
        <v>-477.69110956999998</v>
      </c>
      <c r="L515">
        <f t="shared" ref="L515:L578" si="198">MIN(C515,D515)*1000000*((280/250)+0.8)</f>
        <v>20649933.465600003</v>
      </c>
      <c r="M515">
        <f t="shared" ref="M515:M578" si="199">MIN(F515,C515)*1000000*((230/250)+0.7)</f>
        <v>-140833214.41140002</v>
      </c>
      <c r="N515">
        <f t="shared" ref="N515:N578" si="200">MIN(G515,C515)*1000000*((195/250)+0.6)</f>
        <v>-254780208.67559993</v>
      </c>
      <c r="O515">
        <f t="shared" ref="O515:O578" si="201">MIN(H515,C515)*1000000*((130/250)+0.5)</f>
        <v>-287958848.1954</v>
      </c>
      <c r="P515">
        <f t="shared" ref="P515:P578" si="202">MIN(I515,C515)*1000000*((105/250)+0.5)</f>
        <v>-349601704.68639994</v>
      </c>
      <c r="Q515">
        <f t="shared" ref="Q515:Q578" si="203">MIN(J515,C515)*1000000*((90/250)+0.4)</f>
        <v>-363045243.27319998</v>
      </c>
      <c r="S515">
        <f t="shared" ref="S515:S578" si="204">MIN(C515,D515)*1000000*((325/250)+0.8)</f>
        <v>22585864.728</v>
      </c>
      <c r="T515">
        <f t="shared" ref="T515:T578" si="205">MIN(F515,C515)*1000000*((280/250)+0.7)</f>
        <v>-158220031.0054</v>
      </c>
      <c r="U515">
        <f t="shared" ref="U515:U578" si="206">MIN(G515,C515)*1000000*((227.5/250)+0.6)</f>
        <v>-278781242.82619995</v>
      </c>
      <c r="V515">
        <f t="shared" ref="V515:V578" si="207">MIN(H515,C515)*1000000*((142.5/250)+0.5)</f>
        <v>-302074478.00889993</v>
      </c>
      <c r="W515">
        <f t="shared" ref="W515:W578" si="208">MIN(I515,C515)*1000000*((142.5/250)+0.5)</f>
        <v>-406601982.6243999</v>
      </c>
      <c r="X515">
        <f t="shared" ref="X515:X578" si="209">MIN(J515,C515)*1000000*( (117.5/250)+0.4)</f>
        <v>-415591265.32590002</v>
      </c>
      <c r="Z515">
        <f t="shared" ref="Z515:Z578" si="210">MIN(C515,D515)*1000000*((370/250)+0.8)</f>
        <v>24521795.990400001</v>
      </c>
      <c r="AA515">
        <f t="shared" ref="AA515:AA578" si="211">MIN(C515,F515)*1000000*((330/250)+0.7)</f>
        <v>-175606847.59940001</v>
      </c>
      <c r="AB515">
        <f t="shared" ref="AB515:AB578" si="212">MIN(C515,G515)*1000000*((260/250)+0.6)</f>
        <v>-302782276.97679996</v>
      </c>
      <c r="AC515">
        <f t="shared" ref="AC515:AC578" si="213">MIN(C515,H515)*1000000*((215/250)+0.5)</f>
        <v>-383945130.92719996</v>
      </c>
      <c r="AD515">
        <f t="shared" ref="AD515:AD578" si="214">MIN(C515,I515)*1000000*((180/250)+0.5)</f>
        <v>-463602260.56239992</v>
      </c>
      <c r="AE515">
        <f t="shared" ref="AE515:AE578" si="215">MIN(C515,J515)*1000000*((145/250)+0.4)</f>
        <v>-468137287.3786</v>
      </c>
    </row>
    <row r="516" spans="1:31" x14ac:dyDescent="0.25">
      <c r="A516">
        <v>38.154090449999998</v>
      </c>
      <c r="B516">
        <v>119.6749631</v>
      </c>
      <c r="C516">
        <v>50.139499659999998</v>
      </c>
      <c r="D516">
        <v>1.95888996</v>
      </c>
      <c r="E516" t="b">
        <f t="shared" si="192"/>
        <v>0</v>
      </c>
      <c r="F516">
        <f t="shared" si="193"/>
        <v>-248.73860834000001</v>
      </c>
      <c r="G516">
        <f t="shared" si="194"/>
        <v>-499.43610663999999</v>
      </c>
      <c r="H516">
        <f t="shared" si="195"/>
        <v>-750.13360494000005</v>
      </c>
      <c r="I516">
        <f t="shared" si="196"/>
        <v>-1000.8311032400001</v>
      </c>
      <c r="J516">
        <f t="shared" si="197"/>
        <v>-1251.52860154</v>
      </c>
      <c r="L516">
        <f t="shared" si="198"/>
        <v>3761068.7232000004</v>
      </c>
      <c r="M516">
        <f t="shared" si="199"/>
        <v>-402956545.5108</v>
      </c>
      <c r="N516">
        <f t="shared" si="200"/>
        <v>-689221827.1631999</v>
      </c>
      <c r="O516">
        <f t="shared" si="201"/>
        <v>-765136277.03880012</v>
      </c>
      <c r="P516">
        <f t="shared" si="202"/>
        <v>-920764614.98079991</v>
      </c>
      <c r="Q516">
        <f t="shared" si="203"/>
        <v>-951161737.17040002</v>
      </c>
      <c r="S516">
        <f t="shared" si="204"/>
        <v>4113668.9160000002</v>
      </c>
      <c r="T516">
        <f t="shared" si="205"/>
        <v>-452704267.17880005</v>
      </c>
      <c r="U516">
        <f t="shared" si="206"/>
        <v>-754148521.02639997</v>
      </c>
      <c r="V516">
        <f t="shared" si="207"/>
        <v>-802642957.28579998</v>
      </c>
      <c r="W516">
        <f t="shared" si="208"/>
        <v>-1070889280.4667999</v>
      </c>
      <c r="X516">
        <f t="shared" si="209"/>
        <v>-1088829883.3397999</v>
      </c>
      <c r="Z516">
        <f t="shared" si="210"/>
        <v>4466269.1088000005</v>
      </c>
      <c r="AA516">
        <f t="shared" si="211"/>
        <v>-502451988.84680003</v>
      </c>
      <c r="AB516">
        <f t="shared" si="212"/>
        <v>-819075214.88960004</v>
      </c>
      <c r="AC516">
        <f t="shared" si="213"/>
        <v>-1020181702.7184</v>
      </c>
      <c r="AD516">
        <f t="shared" si="214"/>
        <v>-1221013945.9528</v>
      </c>
      <c r="AE516">
        <f t="shared" si="215"/>
        <v>-1226498029.5091999</v>
      </c>
    </row>
    <row r="517" spans="1:31" x14ac:dyDescent="0.25">
      <c r="A517">
        <v>38.164365400000001</v>
      </c>
      <c r="B517">
        <v>116.8075266</v>
      </c>
      <c r="C517">
        <v>19.537851329999999</v>
      </c>
      <c r="D517">
        <v>1.4556479499999999</v>
      </c>
      <c r="E517" t="b">
        <f t="shared" si="192"/>
        <v>0</v>
      </c>
      <c r="F517">
        <f t="shared" si="193"/>
        <v>-96.233608699999991</v>
      </c>
      <c r="G517">
        <f t="shared" si="194"/>
        <v>-193.92286534999997</v>
      </c>
      <c r="H517">
        <f t="shared" si="195"/>
        <v>-291.61212199999994</v>
      </c>
      <c r="I517">
        <f t="shared" si="196"/>
        <v>-389.30137864999995</v>
      </c>
      <c r="J517">
        <f t="shared" si="197"/>
        <v>-486.99063529999995</v>
      </c>
      <c r="L517">
        <f t="shared" si="198"/>
        <v>2794844.0640000002</v>
      </c>
      <c r="M517">
        <f t="shared" si="199"/>
        <v>-155898446.09399998</v>
      </c>
      <c r="N517">
        <f t="shared" si="200"/>
        <v>-267613554.18299994</v>
      </c>
      <c r="O517">
        <f t="shared" si="201"/>
        <v>-297444364.43999994</v>
      </c>
      <c r="P517">
        <f t="shared" si="202"/>
        <v>-358157268.35799992</v>
      </c>
      <c r="Q517">
        <f t="shared" si="203"/>
        <v>-370112882.82799995</v>
      </c>
      <c r="S517">
        <f t="shared" si="204"/>
        <v>3056860.6949999998</v>
      </c>
      <c r="T517">
        <f t="shared" si="205"/>
        <v>-175145167.83399999</v>
      </c>
      <c r="U517">
        <f t="shared" si="206"/>
        <v>-292823526.67849994</v>
      </c>
      <c r="V517">
        <f t="shared" si="207"/>
        <v>-312024970.5399999</v>
      </c>
      <c r="W517">
        <f t="shared" si="208"/>
        <v>-416552475.15549994</v>
      </c>
      <c r="X517">
        <f t="shared" si="209"/>
        <v>-423681852.71099997</v>
      </c>
      <c r="Z517">
        <f t="shared" si="210"/>
        <v>3318877.3260000004</v>
      </c>
      <c r="AA517">
        <f t="shared" si="211"/>
        <v>-194391889.57399997</v>
      </c>
      <c r="AB517">
        <f t="shared" si="212"/>
        <v>-318033499.17399997</v>
      </c>
      <c r="AC517">
        <f t="shared" si="213"/>
        <v>-396592485.9199999</v>
      </c>
      <c r="AD517">
        <f t="shared" si="214"/>
        <v>-474947681.95299995</v>
      </c>
      <c r="AE517">
        <f t="shared" si="215"/>
        <v>-477250822.59399992</v>
      </c>
    </row>
    <row r="518" spans="1:31" x14ac:dyDescent="0.25">
      <c r="A518">
        <v>38.166943170000003</v>
      </c>
      <c r="B518">
        <v>119.5599398</v>
      </c>
      <c r="C518">
        <v>11.70417213</v>
      </c>
      <c r="D518">
        <v>4.8972258599999998</v>
      </c>
      <c r="E518" t="b">
        <f t="shared" si="192"/>
        <v>0</v>
      </c>
      <c r="F518">
        <f t="shared" si="193"/>
        <v>-53.623634790000004</v>
      </c>
      <c r="G518">
        <f t="shared" si="194"/>
        <v>-112.14449544</v>
      </c>
      <c r="H518">
        <f t="shared" si="195"/>
        <v>-170.66535609000002</v>
      </c>
      <c r="I518">
        <f t="shared" si="196"/>
        <v>-229.18621674000002</v>
      </c>
      <c r="J518">
        <f t="shared" si="197"/>
        <v>-287.70707738999999</v>
      </c>
      <c r="L518">
        <f t="shared" si="198"/>
        <v>9402673.6512000002</v>
      </c>
      <c r="M518">
        <f t="shared" si="199"/>
        <v>-86870288.359800011</v>
      </c>
      <c r="N518">
        <f t="shared" si="200"/>
        <v>-154759403.70719999</v>
      </c>
      <c r="O518">
        <f t="shared" si="201"/>
        <v>-174078663.21180001</v>
      </c>
      <c r="P518">
        <f t="shared" si="202"/>
        <v>-210851319.40079999</v>
      </c>
      <c r="Q518">
        <f t="shared" si="203"/>
        <v>-218657378.81639999</v>
      </c>
      <c r="S518">
        <f t="shared" si="204"/>
        <v>10284174.306</v>
      </c>
      <c r="T518">
        <f t="shared" si="205"/>
        <v>-97595015.317800015</v>
      </c>
      <c r="U518">
        <f t="shared" si="206"/>
        <v>-169338188.1144</v>
      </c>
      <c r="V518">
        <f t="shared" si="207"/>
        <v>-182611931.01629996</v>
      </c>
      <c r="W518">
        <f t="shared" si="208"/>
        <v>-245229251.91179997</v>
      </c>
      <c r="X518">
        <f t="shared" si="209"/>
        <v>-250305157.32929999</v>
      </c>
      <c r="Z518">
        <f t="shared" si="210"/>
        <v>11165674.9608</v>
      </c>
      <c r="AA518">
        <f t="shared" si="211"/>
        <v>-108319742.27580002</v>
      </c>
      <c r="AB518">
        <f t="shared" si="212"/>
        <v>-183916972.52160001</v>
      </c>
      <c r="AC518">
        <f t="shared" si="213"/>
        <v>-232104884.28239998</v>
      </c>
      <c r="AD518">
        <f t="shared" si="214"/>
        <v>-279607184.4228</v>
      </c>
      <c r="AE518">
        <f t="shared" si="215"/>
        <v>-281952935.84219998</v>
      </c>
    </row>
    <row r="519" spans="1:31" x14ac:dyDescent="0.25">
      <c r="A519">
        <v>38.175106030000002</v>
      </c>
      <c r="B519">
        <v>90.931380419999996</v>
      </c>
      <c r="C519">
        <v>20.624670030000001</v>
      </c>
      <c r="D519">
        <v>3.39750504</v>
      </c>
      <c r="E519" t="b">
        <f t="shared" si="192"/>
        <v>0</v>
      </c>
      <c r="F519">
        <f t="shared" si="193"/>
        <v>-99.725845110000009</v>
      </c>
      <c r="G519">
        <f t="shared" si="194"/>
        <v>-202.84919526000002</v>
      </c>
      <c r="H519">
        <f t="shared" si="195"/>
        <v>-305.97254541000001</v>
      </c>
      <c r="I519">
        <f t="shared" si="196"/>
        <v>-409.09589556000003</v>
      </c>
      <c r="J519">
        <f t="shared" si="197"/>
        <v>-512.21924571</v>
      </c>
      <c r="L519">
        <f t="shared" si="198"/>
        <v>6523209.6768000005</v>
      </c>
      <c r="M519">
        <f t="shared" si="199"/>
        <v>-161555869.07820004</v>
      </c>
      <c r="N519">
        <f t="shared" si="200"/>
        <v>-279931889.45880002</v>
      </c>
      <c r="O519">
        <f t="shared" si="201"/>
        <v>-312091996.31820005</v>
      </c>
      <c r="P519">
        <f t="shared" si="202"/>
        <v>-376368223.9152</v>
      </c>
      <c r="Q519">
        <f t="shared" si="203"/>
        <v>-389286626.7396</v>
      </c>
      <c r="S519">
        <f t="shared" si="204"/>
        <v>7134760.5840000007</v>
      </c>
      <c r="T519">
        <f t="shared" si="205"/>
        <v>-181501038.10020003</v>
      </c>
      <c r="U519">
        <f t="shared" si="206"/>
        <v>-306302284.84260005</v>
      </c>
      <c r="V519">
        <f t="shared" si="207"/>
        <v>-327390623.5887</v>
      </c>
      <c r="W519">
        <f t="shared" si="208"/>
        <v>-437732608.24919993</v>
      </c>
      <c r="X519">
        <f t="shared" si="209"/>
        <v>-445630743.76769996</v>
      </c>
      <c r="Z519">
        <f t="shared" si="210"/>
        <v>7746311.491200001</v>
      </c>
      <c r="AA519">
        <f t="shared" si="211"/>
        <v>-201446207.12220004</v>
      </c>
      <c r="AB519">
        <f t="shared" si="212"/>
        <v>-332672680.22640008</v>
      </c>
      <c r="AC519">
        <f t="shared" si="213"/>
        <v>-416122661.75760001</v>
      </c>
      <c r="AD519">
        <f t="shared" si="214"/>
        <v>-499096992.58319998</v>
      </c>
      <c r="AE519">
        <f t="shared" si="215"/>
        <v>-501974860.79579997</v>
      </c>
    </row>
    <row r="520" spans="1:31" x14ac:dyDescent="0.25">
      <c r="A520">
        <v>38.180002279999997</v>
      </c>
      <c r="B520">
        <v>119.85570300000001</v>
      </c>
      <c r="C520">
        <v>26.389209749999999</v>
      </c>
      <c r="D520">
        <v>16.895427699999999</v>
      </c>
      <c r="E520" t="b">
        <f t="shared" si="192"/>
        <v>0</v>
      </c>
      <c r="F520">
        <f t="shared" si="193"/>
        <v>-115.05062104999999</v>
      </c>
      <c r="G520">
        <f t="shared" si="194"/>
        <v>-246.99666979999998</v>
      </c>
      <c r="H520">
        <f t="shared" si="195"/>
        <v>-378.94271855</v>
      </c>
      <c r="I520">
        <f t="shared" si="196"/>
        <v>-510.88876729999993</v>
      </c>
      <c r="J520">
        <f t="shared" si="197"/>
        <v>-642.83481604999997</v>
      </c>
      <c r="L520">
        <f t="shared" si="198"/>
        <v>32439221.184</v>
      </c>
      <c r="M520">
        <f t="shared" si="199"/>
        <v>-186382006.10099998</v>
      </c>
      <c r="N520">
        <f t="shared" si="200"/>
        <v>-340855404.32399994</v>
      </c>
      <c r="O520">
        <f t="shared" si="201"/>
        <v>-386521572.921</v>
      </c>
      <c r="P520">
        <f t="shared" si="202"/>
        <v>-470017665.91599995</v>
      </c>
      <c r="Q520">
        <f t="shared" si="203"/>
        <v>-488554460.19799995</v>
      </c>
      <c r="S520">
        <f t="shared" si="204"/>
        <v>35480398.170000002</v>
      </c>
      <c r="T520">
        <f t="shared" si="205"/>
        <v>-209392130.31099999</v>
      </c>
      <c r="U520">
        <f t="shared" si="206"/>
        <v>-372964971.398</v>
      </c>
      <c r="V520">
        <f t="shared" si="207"/>
        <v>-405468708.84849995</v>
      </c>
      <c r="W520">
        <f t="shared" si="208"/>
        <v>-546650981.01099992</v>
      </c>
      <c r="X520">
        <f t="shared" si="209"/>
        <v>-559266289.9634999</v>
      </c>
      <c r="Z520">
        <f t="shared" si="210"/>
        <v>38521575.156000003</v>
      </c>
      <c r="AA520">
        <f t="shared" si="211"/>
        <v>-232402254.52099997</v>
      </c>
      <c r="AB520">
        <f t="shared" si="212"/>
        <v>-405074538.472</v>
      </c>
      <c r="AC520">
        <f t="shared" si="213"/>
        <v>-515362097.22799999</v>
      </c>
      <c r="AD520">
        <f t="shared" si="214"/>
        <v>-623284296.10599995</v>
      </c>
      <c r="AE520">
        <f t="shared" si="215"/>
        <v>-629978119.72899997</v>
      </c>
    </row>
    <row r="521" spans="1:31" x14ac:dyDescent="0.25">
      <c r="A521">
        <v>38.186526720000003</v>
      </c>
      <c r="B521">
        <v>119.79819190000001</v>
      </c>
      <c r="C521">
        <v>24.469165799999999</v>
      </c>
      <c r="D521">
        <v>14.38315201</v>
      </c>
      <c r="E521" t="b">
        <f t="shared" si="192"/>
        <v>0</v>
      </c>
      <c r="F521">
        <f t="shared" si="193"/>
        <v>-107.96267698999999</v>
      </c>
      <c r="G521">
        <f t="shared" si="194"/>
        <v>-230.30850598999999</v>
      </c>
      <c r="H521">
        <f t="shared" si="195"/>
        <v>-352.65433499</v>
      </c>
      <c r="I521">
        <f t="shared" si="196"/>
        <v>-475.00016398999998</v>
      </c>
      <c r="J521">
        <f t="shared" si="197"/>
        <v>-597.34599299000001</v>
      </c>
      <c r="L521">
        <f t="shared" si="198"/>
        <v>27615651.859200001</v>
      </c>
      <c r="M521">
        <f t="shared" si="199"/>
        <v>-174899536.7238</v>
      </c>
      <c r="N521">
        <f t="shared" si="200"/>
        <v>-317825738.26619995</v>
      </c>
      <c r="O521">
        <f t="shared" si="201"/>
        <v>-359707421.68980002</v>
      </c>
      <c r="P521">
        <f t="shared" si="202"/>
        <v>-437000150.8707999</v>
      </c>
      <c r="Q521">
        <f t="shared" si="203"/>
        <v>-453982954.6724</v>
      </c>
      <c r="S521">
        <f t="shared" si="204"/>
        <v>30204619.221000001</v>
      </c>
      <c r="T521">
        <f t="shared" si="205"/>
        <v>-196492072.12180001</v>
      </c>
      <c r="U521">
        <f t="shared" si="206"/>
        <v>-347765844.0449</v>
      </c>
      <c r="V521">
        <f t="shared" si="207"/>
        <v>-377340138.43929994</v>
      </c>
      <c r="W521">
        <f t="shared" si="208"/>
        <v>-508250175.46929985</v>
      </c>
      <c r="X521">
        <f t="shared" si="209"/>
        <v>-519691013.90130001</v>
      </c>
      <c r="Z521">
        <f t="shared" si="210"/>
        <v>32793586.582800005</v>
      </c>
      <c r="AA521">
        <f t="shared" si="211"/>
        <v>-218084607.51979998</v>
      </c>
      <c r="AB521">
        <f t="shared" si="212"/>
        <v>-377705949.82359999</v>
      </c>
      <c r="AC521">
        <f t="shared" si="213"/>
        <v>-479609895.58639997</v>
      </c>
      <c r="AD521">
        <f t="shared" si="214"/>
        <v>-579500200.06779993</v>
      </c>
      <c r="AE521">
        <f t="shared" si="215"/>
        <v>-585399073.13020003</v>
      </c>
    </row>
    <row r="522" spans="1:31" x14ac:dyDescent="0.25">
      <c r="A522">
        <v>38.193024170000001</v>
      </c>
      <c r="B522">
        <v>119.7406711</v>
      </c>
      <c r="C522">
        <v>26.389209749999999</v>
      </c>
      <c r="D522">
        <v>9.7945000000000004E-2</v>
      </c>
      <c r="E522" t="b">
        <f t="shared" si="192"/>
        <v>0</v>
      </c>
      <c r="F522">
        <f t="shared" si="193"/>
        <v>-131.84810374999998</v>
      </c>
      <c r="G522">
        <f t="shared" si="194"/>
        <v>-263.7941525</v>
      </c>
      <c r="H522">
        <f t="shared" si="195"/>
        <v>-395.74020124999998</v>
      </c>
      <c r="I522">
        <f t="shared" si="196"/>
        <v>-527.68624999999997</v>
      </c>
      <c r="J522">
        <f t="shared" si="197"/>
        <v>-659.63229875000002</v>
      </c>
      <c r="L522">
        <f t="shared" si="198"/>
        <v>188054.40000000002</v>
      </c>
      <c r="M522">
        <f t="shared" si="199"/>
        <v>-213593928.07499999</v>
      </c>
      <c r="N522">
        <f t="shared" si="200"/>
        <v>-364035930.44999999</v>
      </c>
      <c r="O522">
        <f t="shared" si="201"/>
        <v>-403655005.27500004</v>
      </c>
      <c r="P522">
        <f t="shared" si="202"/>
        <v>-485471349.99999994</v>
      </c>
      <c r="Q522">
        <f t="shared" si="203"/>
        <v>-501320547.05000001</v>
      </c>
      <c r="S522">
        <f t="shared" si="204"/>
        <v>205684.5</v>
      </c>
      <c r="T522">
        <f t="shared" si="205"/>
        <v>-239963548.82499999</v>
      </c>
      <c r="U522">
        <f t="shared" si="206"/>
        <v>-398329170.27499998</v>
      </c>
      <c r="V522">
        <f t="shared" si="207"/>
        <v>-423442015.33749992</v>
      </c>
      <c r="W522">
        <f t="shared" si="208"/>
        <v>-564624287.49999988</v>
      </c>
      <c r="X522">
        <f t="shared" si="209"/>
        <v>-573880099.91250002</v>
      </c>
      <c r="Z522">
        <f t="shared" si="210"/>
        <v>223314.60000000003</v>
      </c>
      <c r="AA522">
        <f t="shared" si="211"/>
        <v>-266333169.57499996</v>
      </c>
      <c r="AB522">
        <f t="shared" si="212"/>
        <v>-432622410.10000002</v>
      </c>
      <c r="AC522">
        <f t="shared" si="213"/>
        <v>-538206673.69999993</v>
      </c>
      <c r="AD522">
        <f t="shared" si="214"/>
        <v>-643777225</v>
      </c>
      <c r="AE522">
        <f t="shared" si="215"/>
        <v>-646439652.77499998</v>
      </c>
    </row>
    <row r="523" spans="1:31" x14ac:dyDescent="0.25">
      <c r="A523">
        <v>38.194489949999998</v>
      </c>
      <c r="B523">
        <v>116.98724470000001</v>
      </c>
      <c r="C523">
        <v>19.537851329999999</v>
      </c>
      <c r="D523">
        <v>1.6951579999999999</v>
      </c>
      <c r="E523" t="b">
        <f t="shared" si="192"/>
        <v>0</v>
      </c>
      <c r="F523">
        <f t="shared" si="193"/>
        <v>-95.994098649999984</v>
      </c>
      <c r="G523">
        <f t="shared" si="194"/>
        <v>-193.68335529999999</v>
      </c>
      <c r="H523">
        <f t="shared" si="195"/>
        <v>-291.37261194999996</v>
      </c>
      <c r="I523">
        <f t="shared" si="196"/>
        <v>-389.06186859999997</v>
      </c>
      <c r="J523">
        <f t="shared" si="197"/>
        <v>-486.75112524999997</v>
      </c>
      <c r="L523">
        <f t="shared" si="198"/>
        <v>3254703.3600000003</v>
      </c>
      <c r="M523">
        <f t="shared" si="199"/>
        <v>-155510439.81299999</v>
      </c>
      <c r="N523">
        <f t="shared" si="200"/>
        <v>-267283030.31399995</v>
      </c>
      <c r="O523">
        <f t="shared" si="201"/>
        <v>-297200064.18900001</v>
      </c>
      <c r="P523">
        <f t="shared" si="202"/>
        <v>-357936919.11199993</v>
      </c>
      <c r="Q523">
        <f t="shared" si="203"/>
        <v>-369930855.19</v>
      </c>
      <c r="S523">
        <f t="shared" si="204"/>
        <v>3559831.8000000003</v>
      </c>
      <c r="T523">
        <f t="shared" si="205"/>
        <v>-174709259.54299998</v>
      </c>
      <c r="U523">
        <f t="shared" si="206"/>
        <v>-292461866.50299996</v>
      </c>
      <c r="V523">
        <f t="shared" si="207"/>
        <v>-311768694.78649992</v>
      </c>
      <c r="W523">
        <f t="shared" si="208"/>
        <v>-416296199.40199989</v>
      </c>
      <c r="X523">
        <f t="shared" si="209"/>
        <v>-423473478.96749997</v>
      </c>
      <c r="Z523">
        <f t="shared" si="210"/>
        <v>3864960.24</v>
      </c>
      <c r="AA523">
        <f t="shared" si="211"/>
        <v>-193908079.27299997</v>
      </c>
      <c r="AB523">
        <f t="shared" si="212"/>
        <v>-317640702.69199997</v>
      </c>
      <c r="AC523">
        <f t="shared" si="213"/>
        <v>-396266752.25199997</v>
      </c>
      <c r="AD523">
        <f t="shared" si="214"/>
        <v>-474655479.69199997</v>
      </c>
      <c r="AE523">
        <f t="shared" si="215"/>
        <v>-477016102.745</v>
      </c>
    </row>
    <row r="524" spans="1:31" x14ac:dyDescent="0.25">
      <c r="A524">
        <v>38.199011159999998</v>
      </c>
      <c r="B524">
        <v>120.0940696</v>
      </c>
      <c r="C524">
        <v>15.833525659999999</v>
      </c>
      <c r="D524">
        <v>12.41936398</v>
      </c>
      <c r="E524" t="b">
        <f t="shared" si="192"/>
        <v>0</v>
      </c>
      <c r="F524">
        <f t="shared" si="193"/>
        <v>-66.74826431999999</v>
      </c>
      <c r="G524">
        <f t="shared" si="194"/>
        <v>-145.91589261999997</v>
      </c>
      <c r="H524">
        <f t="shared" si="195"/>
        <v>-225.08352092000001</v>
      </c>
      <c r="I524">
        <f t="shared" si="196"/>
        <v>-304.25114921999995</v>
      </c>
      <c r="J524">
        <f t="shared" si="197"/>
        <v>-383.41877751999999</v>
      </c>
      <c r="L524">
        <f t="shared" si="198"/>
        <v>23845178.841600005</v>
      </c>
      <c r="M524">
        <f t="shared" si="199"/>
        <v>-108132188.19839999</v>
      </c>
      <c r="N524">
        <f t="shared" si="200"/>
        <v>-201363931.81559995</v>
      </c>
      <c r="O524">
        <f t="shared" si="201"/>
        <v>-229585191.33840001</v>
      </c>
      <c r="P524">
        <f t="shared" si="202"/>
        <v>-279911057.28239995</v>
      </c>
      <c r="Q524">
        <f t="shared" si="203"/>
        <v>-291398270.9152</v>
      </c>
      <c r="S524">
        <f t="shared" si="204"/>
        <v>26080664.358000003</v>
      </c>
      <c r="T524">
        <f t="shared" si="205"/>
        <v>-121481841.0624</v>
      </c>
      <c r="U524">
        <f t="shared" si="206"/>
        <v>-220332997.85619995</v>
      </c>
      <c r="V524">
        <f t="shared" si="207"/>
        <v>-240839367.38439998</v>
      </c>
      <c r="W524">
        <f t="shared" si="208"/>
        <v>-325548729.66539991</v>
      </c>
      <c r="X524">
        <f t="shared" si="209"/>
        <v>-333574336.44239998</v>
      </c>
      <c r="Z524">
        <f t="shared" si="210"/>
        <v>28316149.874400005</v>
      </c>
      <c r="AA524">
        <f t="shared" si="211"/>
        <v>-134831493.92639998</v>
      </c>
      <c r="AB524">
        <f t="shared" si="212"/>
        <v>-239302063.89679998</v>
      </c>
      <c r="AC524">
        <f t="shared" si="213"/>
        <v>-306113588.45120001</v>
      </c>
      <c r="AD524">
        <f t="shared" si="214"/>
        <v>-371186402.04839993</v>
      </c>
      <c r="AE524">
        <f t="shared" si="215"/>
        <v>-375750401.96959996</v>
      </c>
    </row>
    <row r="525" spans="1:31" x14ac:dyDescent="0.25">
      <c r="A525">
        <v>38.201620650000002</v>
      </c>
      <c r="B525">
        <v>115.81921060000001</v>
      </c>
      <c r="C525">
        <v>10.858460429999999</v>
      </c>
      <c r="D525">
        <v>4.0056657800000002</v>
      </c>
      <c r="E525" t="b">
        <f t="shared" si="192"/>
        <v>0</v>
      </c>
      <c r="F525">
        <f t="shared" si="193"/>
        <v>-50.286636369999997</v>
      </c>
      <c r="G525">
        <f t="shared" si="194"/>
        <v>-104.57893851999999</v>
      </c>
      <c r="H525">
        <f t="shared" si="195"/>
        <v>-158.87124066999999</v>
      </c>
      <c r="I525">
        <f t="shared" si="196"/>
        <v>-213.16354282</v>
      </c>
      <c r="J525">
        <f t="shared" si="197"/>
        <v>-267.45584496999999</v>
      </c>
      <c r="L525">
        <f t="shared" si="198"/>
        <v>7690878.2976000011</v>
      </c>
      <c r="M525">
        <f t="shared" si="199"/>
        <v>-81464350.919400007</v>
      </c>
      <c r="N525">
        <f t="shared" si="200"/>
        <v>-144318935.15759999</v>
      </c>
      <c r="O525">
        <f t="shared" si="201"/>
        <v>-162048665.48339999</v>
      </c>
      <c r="P525">
        <f t="shared" si="202"/>
        <v>-196110459.39439997</v>
      </c>
      <c r="Q525">
        <f t="shared" si="203"/>
        <v>-203266442.17719999</v>
      </c>
      <c r="S525">
        <f t="shared" si="204"/>
        <v>8411898.1380000003</v>
      </c>
      <c r="T525">
        <f t="shared" si="205"/>
        <v>-91521678.193399996</v>
      </c>
      <c r="U525">
        <f t="shared" si="206"/>
        <v>-157914197.1652</v>
      </c>
      <c r="V525">
        <f t="shared" si="207"/>
        <v>-169992227.51689997</v>
      </c>
      <c r="W525">
        <f t="shared" si="208"/>
        <v>-228084990.81739995</v>
      </c>
      <c r="X525">
        <f t="shared" si="209"/>
        <v>-232686585.1239</v>
      </c>
      <c r="Z525">
        <f t="shared" si="210"/>
        <v>9132917.9784000013</v>
      </c>
      <c r="AA525">
        <f t="shared" si="211"/>
        <v>-101579005.4674</v>
      </c>
      <c r="AB525">
        <f t="shared" si="212"/>
        <v>-171509459.1728</v>
      </c>
      <c r="AC525">
        <f t="shared" si="213"/>
        <v>-216064887.31119996</v>
      </c>
      <c r="AD525">
        <f t="shared" si="214"/>
        <v>-260059522.24039999</v>
      </c>
      <c r="AE525">
        <f t="shared" si="215"/>
        <v>-262106728.0706</v>
      </c>
    </row>
    <row r="526" spans="1:31" x14ac:dyDescent="0.25">
      <c r="A526">
        <v>38.202392359999997</v>
      </c>
      <c r="B526">
        <v>118.80369880000001</v>
      </c>
      <c r="C526">
        <v>10.430261610000001</v>
      </c>
      <c r="D526">
        <v>4.9958758400000001</v>
      </c>
      <c r="E526" t="b">
        <f t="shared" si="192"/>
        <v>0</v>
      </c>
      <c r="F526">
        <f t="shared" si="193"/>
        <v>-47.155432210000001</v>
      </c>
      <c r="G526">
        <f t="shared" si="194"/>
        <v>-99.306740260000012</v>
      </c>
      <c r="H526">
        <f t="shared" si="195"/>
        <v>-151.45804831000001</v>
      </c>
      <c r="I526">
        <f t="shared" si="196"/>
        <v>-203.60935636000002</v>
      </c>
      <c r="J526">
        <f t="shared" si="197"/>
        <v>-255.76066441</v>
      </c>
      <c r="L526">
        <f t="shared" si="198"/>
        <v>9592081.6128000002</v>
      </c>
      <c r="M526">
        <f t="shared" si="199"/>
        <v>-76391800.180200011</v>
      </c>
      <c r="N526">
        <f t="shared" si="200"/>
        <v>-137043301.55879998</v>
      </c>
      <c r="O526">
        <f t="shared" si="201"/>
        <v>-154487209.2762</v>
      </c>
      <c r="P526">
        <f t="shared" si="202"/>
        <v>-187320607.85119998</v>
      </c>
      <c r="Q526">
        <f t="shared" si="203"/>
        <v>-194378104.95159999</v>
      </c>
      <c r="S526">
        <f t="shared" si="204"/>
        <v>10491339.264</v>
      </c>
      <c r="T526">
        <f t="shared" si="205"/>
        <v>-85822886.622199997</v>
      </c>
      <c r="U526">
        <f t="shared" si="206"/>
        <v>-149953177.79260001</v>
      </c>
      <c r="V526">
        <f t="shared" si="207"/>
        <v>-162060111.69169998</v>
      </c>
      <c r="W526">
        <f t="shared" si="208"/>
        <v>-217862011.30519998</v>
      </c>
      <c r="X526">
        <f t="shared" si="209"/>
        <v>-222511778.03670001</v>
      </c>
      <c r="Z526">
        <f t="shared" si="210"/>
        <v>11390596.915200001</v>
      </c>
      <c r="AA526">
        <f t="shared" si="211"/>
        <v>-95253973.064199999</v>
      </c>
      <c r="AB526">
        <f t="shared" si="212"/>
        <v>-162863054.02640003</v>
      </c>
      <c r="AC526">
        <f t="shared" si="213"/>
        <v>-205982945.70159999</v>
      </c>
      <c r="AD526">
        <f t="shared" si="214"/>
        <v>-248403414.75920001</v>
      </c>
      <c r="AE526">
        <f t="shared" si="215"/>
        <v>-250645451.12180001</v>
      </c>
    </row>
    <row r="527" spans="1:31" x14ac:dyDescent="0.25">
      <c r="A527">
        <v>38.21235454</v>
      </c>
      <c r="B527">
        <v>119.5680503</v>
      </c>
      <c r="C527">
        <v>20.99163055</v>
      </c>
      <c r="D527">
        <v>25.879388809999998</v>
      </c>
      <c r="E527" t="b">
        <f t="shared" si="192"/>
        <v>1</v>
      </c>
      <c r="F527">
        <f t="shared" si="193"/>
        <v>-79.078763940000002</v>
      </c>
      <c r="G527">
        <f t="shared" si="194"/>
        <v>-184.03691669</v>
      </c>
      <c r="H527">
        <f t="shared" si="195"/>
        <v>-288.99506943999995</v>
      </c>
      <c r="I527">
        <f t="shared" si="196"/>
        <v>-393.95322218999996</v>
      </c>
      <c r="J527">
        <f t="shared" si="197"/>
        <v>-498.91137493999997</v>
      </c>
      <c r="L527">
        <f t="shared" si="198"/>
        <v>40303930.656000003</v>
      </c>
      <c r="M527">
        <f t="shared" si="199"/>
        <v>-128107597.5828</v>
      </c>
      <c r="N527">
        <f t="shared" si="200"/>
        <v>-253970945.03219998</v>
      </c>
      <c r="O527">
        <f t="shared" si="201"/>
        <v>-294774970.82879996</v>
      </c>
      <c r="P527">
        <f t="shared" si="202"/>
        <v>-362436964.41479993</v>
      </c>
      <c r="Q527">
        <f t="shared" si="203"/>
        <v>-379172644.9544</v>
      </c>
      <c r="S527">
        <f t="shared" si="204"/>
        <v>44082424.155000001</v>
      </c>
      <c r="T527">
        <f t="shared" si="205"/>
        <v>-143923350.37079999</v>
      </c>
      <c r="U527">
        <f t="shared" si="206"/>
        <v>-277895744.20190001</v>
      </c>
      <c r="V527">
        <f t="shared" si="207"/>
        <v>-309224724.30079991</v>
      </c>
      <c r="W527">
        <f t="shared" si="208"/>
        <v>-421529947.74329984</v>
      </c>
      <c r="X527">
        <f t="shared" si="209"/>
        <v>-434052896.19779998</v>
      </c>
      <c r="Z527">
        <f t="shared" si="210"/>
        <v>47860917.654000007</v>
      </c>
      <c r="AA527">
        <f t="shared" si="211"/>
        <v>-159739103.15880001</v>
      </c>
      <c r="AB527">
        <f t="shared" si="212"/>
        <v>-301820543.37160003</v>
      </c>
      <c r="AC527">
        <f t="shared" si="213"/>
        <v>-393033294.43839985</v>
      </c>
      <c r="AD527">
        <f t="shared" si="214"/>
        <v>-480622931.07179993</v>
      </c>
      <c r="AE527">
        <f t="shared" si="215"/>
        <v>-488933147.44120002</v>
      </c>
    </row>
    <row r="528" spans="1:31" x14ac:dyDescent="0.25">
      <c r="A528">
        <v>38.217273550000002</v>
      </c>
      <c r="B528">
        <v>119.0994645</v>
      </c>
      <c r="C528">
        <v>33.410434719999998</v>
      </c>
      <c r="D528">
        <v>40.262538910000004</v>
      </c>
      <c r="E528" t="b">
        <f t="shared" si="192"/>
        <v>1</v>
      </c>
      <c r="F528">
        <f t="shared" si="193"/>
        <v>-126.78963469</v>
      </c>
      <c r="G528">
        <f t="shared" si="194"/>
        <v>-293.84180829000002</v>
      </c>
      <c r="H528">
        <f t="shared" si="195"/>
        <v>-460.89398188999996</v>
      </c>
      <c r="I528">
        <f t="shared" si="196"/>
        <v>-627.94615549000002</v>
      </c>
      <c r="J528">
        <f t="shared" si="197"/>
        <v>-794.99832908999997</v>
      </c>
      <c r="L528">
        <f t="shared" si="198"/>
        <v>64148034.6624</v>
      </c>
      <c r="M528">
        <f t="shared" si="199"/>
        <v>-205399208.19780001</v>
      </c>
      <c r="N528">
        <f t="shared" si="200"/>
        <v>-405501695.44019997</v>
      </c>
      <c r="O528">
        <f t="shared" si="201"/>
        <v>-470111861.52779996</v>
      </c>
      <c r="P528">
        <f t="shared" si="202"/>
        <v>-577710463.05079997</v>
      </c>
      <c r="Q528">
        <f t="shared" si="203"/>
        <v>-604198730.10839999</v>
      </c>
      <c r="S528">
        <f t="shared" si="204"/>
        <v>70161912.912</v>
      </c>
      <c r="T528">
        <f t="shared" si="205"/>
        <v>-230757135.1358</v>
      </c>
      <c r="U528">
        <f t="shared" si="206"/>
        <v>-443701130.51790005</v>
      </c>
      <c r="V528">
        <f t="shared" si="207"/>
        <v>-493156560.62229991</v>
      </c>
      <c r="W528">
        <f t="shared" si="208"/>
        <v>-671902386.37429988</v>
      </c>
      <c r="X528">
        <f t="shared" si="209"/>
        <v>-691648546.3082999</v>
      </c>
      <c r="Z528">
        <f t="shared" si="210"/>
        <v>76175791.161600009</v>
      </c>
      <c r="AA528">
        <f t="shared" si="211"/>
        <v>-256115062.0738</v>
      </c>
      <c r="AB528">
        <f t="shared" si="212"/>
        <v>-481900565.59560007</v>
      </c>
      <c r="AC528">
        <f t="shared" si="213"/>
        <v>-626815815.37039995</v>
      </c>
      <c r="AD528">
        <f t="shared" si="214"/>
        <v>-766094309.69780004</v>
      </c>
      <c r="AE528">
        <f t="shared" si="215"/>
        <v>-779098362.50819993</v>
      </c>
    </row>
    <row r="529" spans="1:31" x14ac:dyDescent="0.25">
      <c r="A529">
        <v>38.218743979999999</v>
      </c>
      <c r="B529">
        <v>119.51049070000001</v>
      </c>
      <c r="C529">
        <v>307.9655151</v>
      </c>
      <c r="D529">
        <v>0.24486100999999999</v>
      </c>
      <c r="E529" t="b">
        <f t="shared" si="192"/>
        <v>0</v>
      </c>
      <c r="F529">
        <f t="shared" si="193"/>
        <v>-1539.5827144899999</v>
      </c>
      <c r="G529">
        <f t="shared" si="194"/>
        <v>-3079.4102899899999</v>
      </c>
      <c r="H529">
        <f t="shared" si="195"/>
        <v>-4619.2378654900003</v>
      </c>
      <c r="I529">
        <f t="shared" si="196"/>
        <v>-6159.0654409899998</v>
      </c>
      <c r="J529">
        <f t="shared" si="197"/>
        <v>-7698.8930164900003</v>
      </c>
      <c r="L529">
        <f t="shared" si="198"/>
        <v>470133.13919999998</v>
      </c>
      <c r="M529">
        <f t="shared" si="199"/>
        <v>-2494123997.4738002</v>
      </c>
      <c r="N529">
        <f t="shared" si="200"/>
        <v>-4249586200.1861992</v>
      </c>
      <c r="O529">
        <f t="shared" si="201"/>
        <v>-4711622622.7998009</v>
      </c>
      <c r="P529">
        <f t="shared" si="202"/>
        <v>-5666340205.7107992</v>
      </c>
      <c r="Q529">
        <f t="shared" si="203"/>
        <v>-5851158692.5324011</v>
      </c>
      <c r="S529">
        <f t="shared" si="204"/>
        <v>514208.12099999998</v>
      </c>
      <c r="T529">
        <f t="shared" si="205"/>
        <v>-2802040540.3717999</v>
      </c>
      <c r="U529">
        <f t="shared" si="206"/>
        <v>-4649909537.8849001</v>
      </c>
      <c r="V529">
        <f t="shared" si="207"/>
        <v>-4942584516.0742998</v>
      </c>
      <c r="W529">
        <f t="shared" si="208"/>
        <v>-6590200021.8592987</v>
      </c>
      <c r="X529">
        <f t="shared" si="209"/>
        <v>-6698036924.3463001</v>
      </c>
      <c r="Z529">
        <f t="shared" si="210"/>
        <v>558283.10279999999</v>
      </c>
      <c r="AA529">
        <f t="shared" si="211"/>
        <v>-3109957083.2698002</v>
      </c>
      <c r="AB529">
        <f t="shared" si="212"/>
        <v>-5050232875.5836</v>
      </c>
      <c r="AC529">
        <f t="shared" si="213"/>
        <v>-6282163497.0664005</v>
      </c>
      <c r="AD529">
        <f t="shared" si="214"/>
        <v>-7514059838.0077991</v>
      </c>
      <c r="AE529">
        <f t="shared" si="215"/>
        <v>-7544915156.1602001</v>
      </c>
    </row>
    <row r="530" spans="1:31" x14ac:dyDescent="0.25">
      <c r="A530">
        <v>38.220411890000001</v>
      </c>
      <c r="B530">
        <v>90.922373489999998</v>
      </c>
      <c r="C530">
        <v>20.624670030000001</v>
      </c>
      <c r="D530">
        <v>0.31869399999999998</v>
      </c>
      <c r="E530" t="b">
        <f t="shared" si="192"/>
        <v>0</v>
      </c>
      <c r="F530">
        <f t="shared" si="193"/>
        <v>-102.80465615000001</v>
      </c>
      <c r="G530">
        <f t="shared" si="194"/>
        <v>-205.92800630000002</v>
      </c>
      <c r="H530">
        <f t="shared" si="195"/>
        <v>-309.05135645000001</v>
      </c>
      <c r="I530">
        <f t="shared" si="196"/>
        <v>-412.17470660000004</v>
      </c>
      <c r="J530">
        <f t="shared" si="197"/>
        <v>-515.29805675</v>
      </c>
      <c r="L530">
        <f t="shared" si="198"/>
        <v>611892.4800000001</v>
      </c>
      <c r="M530">
        <f t="shared" si="199"/>
        <v>-166543542.96300006</v>
      </c>
      <c r="N530">
        <f t="shared" si="200"/>
        <v>-284180648.69400001</v>
      </c>
      <c r="O530">
        <f t="shared" si="201"/>
        <v>-315232383.579</v>
      </c>
      <c r="P530">
        <f t="shared" si="202"/>
        <v>-379200730.07199997</v>
      </c>
      <c r="Q530">
        <f t="shared" si="203"/>
        <v>-391626523.13</v>
      </c>
      <c r="S530">
        <f t="shared" si="204"/>
        <v>669257.4</v>
      </c>
      <c r="T530">
        <f t="shared" si="205"/>
        <v>-187104474.19300005</v>
      </c>
      <c r="U530">
        <f t="shared" si="206"/>
        <v>-310951289.51300001</v>
      </c>
      <c r="V530">
        <f t="shared" si="207"/>
        <v>-330684951.40149993</v>
      </c>
      <c r="W530">
        <f t="shared" si="208"/>
        <v>-441026936.06199998</v>
      </c>
      <c r="X530">
        <f t="shared" si="209"/>
        <v>-448309309.3725</v>
      </c>
      <c r="Z530">
        <f t="shared" si="210"/>
        <v>726622.32000000007</v>
      </c>
      <c r="AA530">
        <f t="shared" si="211"/>
        <v>-207665405.42300004</v>
      </c>
      <c r="AB530">
        <f t="shared" si="212"/>
        <v>-337721930.33200002</v>
      </c>
      <c r="AC530">
        <f t="shared" si="213"/>
        <v>-420309844.77199996</v>
      </c>
      <c r="AD530">
        <f t="shared" si="214"/>
        <v>-502853142.05200005</v>
      </c>
      <c r="AE530">
        <f t="shared" si="215"/>
        <v>-504992095.61500001</v>
      </c>
    </row>
    <row r="531" spans="1:31" x14ac:dyDescent="0.25">
      <c r="A531">
        <v>38.225393439999998</v>
      </c>
      <c r="B531">
        <v>119.86399059999999</v>
      </c>
      <c r="C531">
        <v>50.139499659999998</v>
      </c>
      <c r="D531">
        <v>1.95888996</v>
      </c>
      <c r="E531" t="b">
        <f t="shared" si="192"/>
        <v>0</v>
      </c>
      <c r="F531">
        <f t="shared" si="193"/>
        <v>-248.73860834000001</v>
      </c>
      <c r="G531">
        <f t="shared" si="194"/>
        <v>-499.43610663999999</v>
      </c>
      <c r="H531">
        <f t="shared" si="195"/>
        <v>-750.13360494000005</v>
      </c>
      <c r="I531">
        <f t="shared" si="196"/>
        <v>-1000.8311032400001</v>
      </c>
      <c r="J531">
        <f t="shared" si="197"/>
        <v>-1251.52860154</v>
      </c>
      <c r="L531">
        <f t="shared" si="198"/>
        <v>3761068.7232000004</v>
      </c>
      <c r="M531">
        <f t="shared" si="199"/>
        <v>-402956545.5108</v>
      </c>
      <c r="N531">
        <f t="shared" si="200"/>
        <v>-689221827.1631999</v>
      </c>
      <c r="O531">
        <f t="shared" si="201"/>
        <v>-765136277.03880012</v>
      </c>
      <c r="P531">
        <f t="shared" si="202"/>
        <v>-920764614.98079991</v>
      </c>
      <c r="Q531">
        <f t="shared" si="203"/>
        <v>-951161737.17040002</v>
      </c>
      <c r="S531">
        <f t="shared" si="204"/>
        <v>4113668.9160000002</v>
      </c>
      <c r="T531">
        <f t="shared" si="205"/>
        <v>-452704267.17880005</v>
      </c>
      <c r="U531">
        <f t="shared" si="206"/>
        <v>-754148521.02639997</v>
      </c>
      <c r="V531">
        <f t="shared" si="207"/>
        <v>-802642957.28579998</v>
      </c>
      <c r="W531">
        <f t="shared" si="208"/>
        <v>-1070889280.4667999</v>
      </c>
      <c r="X531">
        <f t="shared" si="209"/>
        <v>-1088829883.3397999</v>
      </c>
      <c r="Z531">
        <f t="shared" si="210"/>
        <v>4466269.1088000005</v>
      </c>
      <c r="AA531">
        <f t="shared" si="211"/>
        <v>-502451988.84680003</v>
      </c>
      <c r="AB531">
        <f t="shared" si="212"/>
        <v>-819075214.88960004</v>
      </c>
      <c r="AC531">
        <f t="shared" si="213"/>
        <v>-1020181702.7184</v>
      </c>
      <c r="AD531">
        <f t="shared" si="214"/>
        <v>-1221013945.9528</v>
      </c>
      <c r="AE531">
        <f t="shared" si="215"/>
        <v>-1226498029.5091999</v>
      </c>
    </row>
    <row r="532" spans="1:31" x14ac:dyDescent="0.25">
      <c r="A532">
        <v>38.237902239999997</v>
      </c>
      <c r="B532">
        <v>115.9407849</v>
      </c>
      <c r="C532">
        <v>10.858460429999999</v>
      </c>
      <c r="D532">
        <v>3.6063230000000002</v>
      </c>
      <c r="E532" t="b">
        <f t="shared" si="192"/>
        <v>0</v>
      </c>
      <c r="F532">
        <f t="shared" si="193"/>
        <v>-50.685979149999994</v>
      </c>
      <c r="G532">
        <f t="shared" si="194"/>
        <v>-104.97828129999999</v>
      </c>
      <c r="H532">
        <f t="shared" si="195"/>
        <v>-159.27058344999998</v>
      </c>
      <c r="I532">
        <f t="shared" si="196"/>
        <v>-213.56288559999999</v>
      </c>
      <c r="J532">
        <f t="shared" si="197"/>
        <v>-267.85518775000003</v>
      </c>
      <c r="L532">
        <f t="shared" si="198"/>
        <v>6924140.1600000001</v>
      </c>
      <c r="M532">
        <f t="shared" si="199"/>
        <v>-82111286.22299999</v>
      </c>
      <c r="N532">
        <f t="shared" si="200"/>
        <v>-144870028.19399998</v>
      </c>
      <c r="O532">
        <f t="shared" si="201"/>
        <v>-162455995.11899999</v>
      </c>
      <c r="P532">
        <f t="shared" si="202"/>
        <v>-196477854.75199997</v>
      </c>
      <c r="Q532">
        <f t="shared" si="203"/>
        <v>-203569942.69000003</v>
      </c>
      <c r="S532">
        <f t="shared" si="204"/>
        <v>7573278.3000000007</v>
      </c>
      <c r="T532">
        <f t="shared" si="205"/>
        <v>-92248482.052999988</v>
      </c>
      <c r="U532">
        <f t="shared" si="206"/>
        <v>-158517204.76299998</v>
      </c>
      <c r="V532">
        <f t="shared" si="207"/>
        <v>-170419524.29149997</v>
      </c>
      <c r="W532">
        <f t="shared" si="208"/>
        <v>-228512287.59199995</v>
      </c>
      <c r="X532">
        <f t="shared" si="209"/>
        <v>-233034013.34250003</v>
      </c>
      <c r="Z532">
        <f t="shared" si="210"/>
        <v>8222416.4400000013</v>
      </c>
      <c r="AA532">
        <f t="shared" si="211"/>
        <v>-102385677.88299999</v>
      </c>
      <c r="AB532">
        <f t="shared" si="212"/>
        <v>-172164381.33200002</v>
      </c>
      <c r="AC532">
        <f t="shared" si="213"/>
        <v>-216607993.49199995</v>
      </c>
      <c r="AD532">
        <f t="shared" si="214"/>
        <v>-260546720.43199998</v>
      </c>
      <c r="AE532">
        <f t="shared" si="215"/>
        <v>-262498083.99500003</v>
      </c>
    </row>
    <row r="533" spans="1:31" x14ac:dyDescent="0.25">
      <c r="A533">
        <v>38.238422620000001</v>
      </c>
      <c r="B533">
        <v>119.7488918</v>
      </c>
      <c r="C533">
        <v>50.139499659999998</v>
      </c>
      <c r="D533">
        <v>1.95888996</v>
      </c>
      <c r="E533" t="b">
        <f t="shared" si="192"/>
        <v>0</v>
      </c>
      <c r="F533">
        <f t="shared" si="193"/>
        <v>-248.73860834000001</v>
      </c>
      <c r="G533">
        <f t="shared" si="194"/>
        <v>-499.43610663999999</v>
      </c>
      <c r="H533">
        <f t="shared" si="195"/>
        <v>-750.13360494000005</v>
      </c>
      <c r="I533">
        <f t="shared" si="196"/>
        <v>-1000.8311032400001</v>
      </c>
      <c r="J533">
        <f t="shared" si="197"/>
        <v>-1251.52860154</v>
      </c>
      <c r="L533">
        <f t="shared" si="198"/>
        <v>3761068.7232000004</v>
      </c>
      <c r="M533">
        <f t="shared" si="199"/>
        <v>-402956545.5108</v>
      </c>
      <c r="N533">
        <f t="shared" si="200"/>
        <v>-689221827.1631999</v>
      </c>
      <c r="O533">
        <f t="shared" si="201"/>
        <v>-765136277.03880012</v>
      </c>
      <c r="P533">
        <f t="shared" si="202"/>
        <v>-920764614.98079991</v>
      </c>
      <c r="Q533">
        <f t="shared" si="203"/>
        <v>-951161737.17040002</v>
      </c>
      <c r="S533">
        <f t="shared" si="204"/>
        <v>4113668.9160000002</v>
      </c>
      <c r="T533">
        <f t="shared" si="205"/>
        <v>-452704267.17880005</v>
      </c>
      <c r="U533">
        <f t="shared" si="206"/>
        <v>-754148521.02639997</v>
      </c>
      <c r="V533">
        <f t="shared" si="207"/>
        <v>-802642957.28579998</v>
      </c>
      <c r="W533">
        <f t="shared" si="208"/>
        <v>-1070889280.4667999</v>
      </c>
      <c r="X533">
        <f t="shared" si="209"/>
        <v>-1088829883.3397999</v>
      </c>
      <c r="Z533">
        <f t="shared" si="210"/>
        <v>4466269.1088000005</v>
      </c>
      <c r="AA533">
        <f t="shared" si="211"/>
        <v>-502451988.84680003</v>
      </c>
      <c r="AB533">
        <f t="shared" si="212"/>
        <v>-819075214.88960004</v>
      </c>
      <c r="AC533">
        <f t="shared" si="213"/>
        <v>-1020181702.7184</v>
      </c>
      <c r="AD533">
        <f t="shared" si="214"/>
        <v>-1221013945.9528</v>
      </c>
      <c r="AE533">
        <f t="shared" si="215"/>
        <v>-1226498029.5091999</v>
      </c>
    </row>
    <row r="534" spans="1:31" x14ac:dyDescent="0.25">
      <c r="A534">
        <v>38.241789730000001</v>
      </c>
      <c r="B534">
        <v>118.86900199999999</v>
      </c>
      <c r="C534">
        <v>22.77684975</v>
      </c>
      <c r="D534">
        <v>193.1955566</v>
      </c>
      <c r="E534" t="b">
        <f t="shared" si="192"/>
        <v>1</v>
      </c>
      <c r="F534">
        <f t="shared" si="193"/>
        <v>79.311307850000006</v>
      </c>
      <c r="G534">
        <f t="shared" si="194"/>
        <v>-34.572940899999992</v>
      </c>
      <c r="H534">
        <f t="shared" si="195"/>
        <v>-148.45718965</v>
      </c>
      <c r="I534">
        <f t="shared" si="196"/>
        <v>-262.34143840000002</v>
      </c>
      <c r="J534">
        <f t="shared" si="197"/>
        <v>-376.22568715</v>
      </c>
      <c r="L534">
        <f t="shared" si="198"/>
        <v>43731551.520000003</v>
      </c>
      <c r="M534">
        <f t="shared" si="199"/>
        <v>36898496.594999999</v>
      </c>
      <c r="N534">
        <f t="shared" si="200"/>
        <v>-47710658.441999987</v>
      </c>
      <c r="O534">
        <f t="shared" si="201"/>
        <v>-151426333.44300002</v>
      </c>
      <c r="P534">
        <f t="shared" si="202"/>
        <v>-241354123.32799998</v>
      </c>
      <c r="Q534">
        <f t="shared" si="203"/>
        <v>-285931522.23399997</v>
      </c>
      <c r="S534">
        <f t="shared" si="204"/>
        <v>47831384.475000001</v>
      </c>
      <c r="T534">
        <f t="shared" si="205"/>
        <v>41453866.545000002</v>
      </c>
      <c r="U534">
        <f t="shared" si="206"/>
        <v>-52205140.758999988</v>
      </c>
      <c r="V534">
        <f t="shared" si="207"/>
        <v>-158849192.92549998</v>
      </c>
      <c r="W534">
        <f t="shared" si="208"/>
        <v>-280705339.08799994</v>
      </c>
      <c r="X534">
        <f t="shared" si="209"/>
        <v>-327316347.82049996</v>
      </c>
      <c r="Z534">
        <f t="shared" si="210"/>
        <v>51931217.430000007</v>
      </c>
      <c r="AA534">
        <f t="shared" si="211"/>
        <v>46009236.494999997</v>
      </c>
      <c r="AB534">
        <f t="shared" si="212"/>
        <v>-56699623.07599999</v>
      </c>
      <c r="AC534">
        <f t="shared" si="213"/>
        <v>-201901777.92399999</v>
      </c>
      <c r="AD534">
        <f t="shared" si="214"/>
        <v>-320056554.84799999</v>
      </c>
      <c r="AE534">
        <f t="shared" si="215"/>
        <v>-368701173.40699995</v>
      </c>
    </row>
    <row r="535" spans="1:31" x14ac:dyDescent="0.25">
      <c r="A535">
        <v>38.244031450000001</v>
      </c>
      <c r="B535">
        <v>119.2801565</v>
      </c>
      <c r="C535">
        <v>33.501247409999998</v>
      </c>
      <c r="D535">
        <v>4.99517012</v>
      </c>
      <c r="E535" t="b">
        <f t="shared" si="192"/>
        <v>0</v>
      </c>
      <c r="F535">
        <f t="shared" si="193"/>
        <v>-162.51106692999997</v>
      </c>
      <c r="G535">
        <f t="shared" si="194"/>
        <v>-330.01730397999995</v>
      </c>
      <c r="H535">
        <f t="shared" si="195"/>
        <v>-497.52354102999993</v>
      </c>
      <c r="I535">
        <f t="shared" si="196"/>
        <v>-665.02977807999991</v>
      </c>
      <c r="J535">
        <f t="shared" si="197"/>
        <v>-832.5360151299999</v>
      </c>
      <c r="L535">
        <f t="shared" si="198"/>
        <v>9590726.6304000001</v>
      </c>
      <c r="M535">
        <f t="shared" si="199"/>
        <v>-263267928.42659998</v>
      </c>
      <c r="N535">
        <f t="shared" si="200"/>
        <v>-455423879.49239993</v>
      </c>
      <c r="O535">
        <f t="shared" si="201"/>
        <v>-507474011.85059994</v>
      </c>
      <c r="P535">
        <f t="shared" si="202"/>
        <v>-611827395.83359993</v>
      </c>
      <c r="Q535">
        <f t="shared" si="203"/>
        <v>-632727371.49879992</v>
      </c>
      <c r="S535">
        <f t="shared" si="204"/>
        <v>10489857.252</v>
      </c>
      <c r="T535">
        <f t="shared" si="205"/>
        <v>-295770141.81259996</v>
      </c>
      <c r="U535">
        <f t="shared" si="206"/>
        <v>-498326129.00979996</v>
      </c>
      <c r="V535">
        <f t="shared" si="207"/>
        <v>-532350188.90209985</v>
      </c>
      <c r="W535">
        <f t="shared" si="208"/>
        <v>-711581862.54559982</v>
      </c>
      <c r="X535">
        <f t="shared" si="209"/>
        <v>-724306333.16309988</v>
      </c>
      <c r="Z535">
        <f t="shared" si="210"/>
        <v>11388987.873600002</v>
      </c>
      <c r="AA535">
        <f t="shared" si="211"/>
        <v>-328272355.19859993</v>
      </c>
      <c r="AB535">
        <f t="shared" si="212"/>
        <v>-541228378.52719998</v>
      </c>
      <c r="AC535">
        <f t="shared" si="213"/>
        <v>-676632015.80079985</v>
      </c>
      <c r="AD535">
        <f t="shared" si="214"/>
        <v>-811336329.25759983</v>
      </c>
      <c r="AE535">
        <f t="shared" si="215"/>
        <v>-815885294.82739985</v>
      </c>
    </row>
    <row r="536" spans="1:31" x14ac:dyDescent="0.25">
      <c r="A536">
        <v>38.24438542</v>
      </c>
      <c r="B536">
        <v>120.1025009</v>
      </c>
      <c r="C536">
        <v>10.8960743</v>
      </c>
      <c r="D536">
        <v>3.6729190300000001</v>
      </c>
      <c r="E536" t="b">
        <f t="shared" si="192"/>
        <v>0</v>
      </c>
      <c r="F536">
        <f t="shared" si="193"/>
        <v>-50.807452470000001</v>
      </c>
      <c r="G536">
        <f t="shared" si="194"/>
        <v>-105.28782397000001</v>
      </c>
      <c r="H536">
        <f t="shared" si="195"/>
        <v>-159.76819546999999</v>
      </c>
      <c r="I536">
        <f t="shared" si="196"/>
        <v>-214.24856697000001</v>
      </c>
      <c r="J536">
        <f t="shared" si="197"/>
        <v>-268.72893847</v>
      </c>
      <c r="L536">
        <f t="shared" si="198"/>
        <v>7052004.5376000013</v>
      </c>
      <c r="M536">
        <f t="shared" si="199"/>
        <v>-82308073.001400009</v>
      </c>
      <c r="N536">
        <f t="shared" si="200"/>
        <v>-145297197.07859999</v>
      </c>
      <c r="O536">
        <f t="shared" si="201"/>
        <v>-162963559.37940001</v>
      </c>
      <c r="P536">
        <f t="shared" si="202"/>
        <v>-197108681.6124</v>
      </c>
      <c r="Q536">
        <f t="shared" si="203"/>
        <v>-204233993.23720002</v>
      </c>
      <c r="S536">
        <f t="shared" si="204"/>
        <v>7713129.9630000005</v>
      </c>
      <c r="T536">
        <f t="shared" si="205"/>
        <v>-92469563.495399997</v>
      </c>
      <c r="U536">
        <f t="shared" si="206"/>
        <v>-158984614.1947</v>
      </c>
      <c r="V536">
        <f t="shared" si="207"/>
        <v>-170951969.15289998</v>
      </c>
      <c r="W536">
        <f t="shared" si="208"/>
        <v>-229245966.65789998</v>
      </c>
      <c r="X536">
        <f t="shared" si="209"/>
        <v>-233794176.46890002</v>
      </c>
      <c r="Z536">
        <f t="shared" si="210"/>
        <v>8374255.3884000015</v>
      </c>
      <c r="AA536">
        <f t="shared" si="211"/>
        <v>-102631053.9894</v>
      </c>
      <c r="AB536">
        <f t="shared" si="212"/>
        <v>-172672031.31080002</v>
      </c>
      <c r="AC536">
        <f t="shared" si="213"/>
        <v>-217284745.83919999</v>
      </c>
      <c r="AD536">
        <f t="shared" si="214"/>
        <v>-261383251.70339999</v>
      </c>
      <c r="AE536">
        <f t="shared" si="215"/>
        <v>-263354359.70060003</v>
      </c>
    </row>
    <row r="537" spans="1:31" x14ac:dyDescent="0.25">
      <c r="A537">
        <v>38.244896699999998</v>
      </c>
      <c r="B537">
        <v>119.6913278</v>
      </c>
      <c r="C537">
        <v>17.18385696</v>
      </c>
      <c r="D537">
        <v>2.8547859199999999</v>
      </c>
      <c r="E537" t="b">
        <f t="shared" si="192"/>
        <v>0</v>
      </c>
      <c r="F537">
        <f t="shared" si="193"/>
        <v>-83.064498880000002</v>
      </c>
      <c r="G537">
        <f t="shared" si="194"/>
        <v>-168.98378367999999</v>
      </c>
      <c r="H537">
        <f t="shared" si="195"/>
        <v>-254.90306847999997</v>
      </c>
      <c r="I537">
        <f t="shared" si="196"/>
        <v>-340.82235328000002</v>
      </c>
      <c r="J537">
        <f t="shared" si="197"/>
        <v>-426.74163808000003</v>
      </c>
      <c r="L537">
        <f t="shared" si="198"/>
        <v>5481188.9664000003</v>
      </c>
      <c r="M537">
        <f t="shared" si="199"/>
        <v>-134564488.18560001</v>
      </c>
      <c r="N537">
        <f t="shared" si="200"/>
        <v>-233197621.47839996</v>
      </c>
      <c r="O537">
        <f t="shared" si="201"/>
        <v>-260001129.84959996</v>
      </c>
      <c r="P537">
        <f t="shared" si="202"/>
        <v>-313556565.0176</v>
      </c>
      <c r="Q537">
        <f t="shared" si="203"/>
        <v>-324323644.94080001</v>
      </c>
      <c r="S537">
        <f t="shared" si="204"/>
        <v>5995050.432</v>
      </c>
      <c r="T537">
        <f t="shared" si="205"/>
        <v>-151177387.96160001</v>
      </c>
      <c r="U537">
        <f t="shared" si="206"/>
        <v>-255165513.35679996</v>
      </c>
      <c r="V537">
        <f t="shared" si="207"/>
        <v>-272746283.27359992</v>
      </c>
      <c r="W537">
        <f t="shared" si="208"/>
        <v>-364679918.00959998</v>
      </c>
      <c r="X537">
        <f t="shared" si="209"/>
        <v>-371265225.12960005</v>
      </c>
      <c r="Z537">
        <f t="shared" si="210"/>
        <v>6508911.8976000007</v>
      </c>
      <c r="AA537">
        <f t="shared" si="211"/>
        <v>-167790287.7376</v>
      </c>
      <c r="AB537">
        <f t="shared" si="212"/>
        <v>-277133405.23519999</v>
      </c>
      <c r="AC537">
        <f t="shared" si="213"/>
        <v>-346668173.13279992</v>
      </c>
      <c r="AD537">
        <f t="shared" si="214"/>
        <v>-415803271.00160003</v>
      </c>
      <c r="AE537">
        <f t="shared" si="215"/>
        <v>-418206805.31840003</v>
      </c>
    </row>
    <row r="538" spans="1:31" x14ac:dyDescent="0.25">
      <c r="A538">
        <v>38.250285720000001</v>
      </c>
      <c r="B538">
        <v>119.2225492</v>
      </c>
      <c r="C538">
        <v>32.803474430000001</v>
      </c>
      <c r="D538">
        <v>5.3869490600000001</v>
      </c>
      <c r="E538" t="b">
        <f t="shared" si="192"/>
        <v>0</v>
      </c>
      <c r="F538">
        <f t="shared" si="193"/>
        <v>-158.63042308999999</v>
      </c>
      <c r="G538">
        <f t="shared" si="194"/>
        <v>-322.64779523999999</v>
      </c>
      <c r="H538">
        <f t="shared" si="195"/>
        <v>-486.66516739000002</v>
      </c>
      <c r="I538">
        <f t="shared" si="196"/>
        <v>-650.68253953999999</v>
      </c>
      <c r="J538">
        <f t="shared" si="197"/>
        <v>-814.69991169000002</v>
      </c>
      <c r="L538">
        <f t="shared" si="198"/>
        <v>10342942.195200002</v>
      </c>
      <c r="M538">
        <f t="shared" si="199"/>
        <v>-256981285.40580001</v>
      </c>
      <c r="N538">
        <f t="shared" si="200"/>
        <v>-445253957.43119997</v>
      </c>
      <c r="O538">
        <f t="shared" si="201"/>
        <v>-496398470.73780006</v>
      </c>
      <c r="P538">
        <f t="shared" si="202"/>
        <v>-598627936.37679994</v>
      </c>
      <c r="Q538">
        <f t="shared" si="203"/>
        <v>-619171932.88440001</v>
      </c>
      <c r="S538">
        <f t="shared" si="204"/>
        <v>11312593.026000002</v>
      </c>
      <c r="T538">
        <f t="shared" si="205"/>
        <v>-288707370.02380002</v>
      </c>
      <c r="U538">
        <f t="shared" si="206"/>
        <v>-487198170.81240004</v>
      </c>
      <c r="V538">
        <f t="shared" si="207"/>
        <v>-520731729.10729998</v>
      </c>
      <c r="W538">
        <f t="shared" si="208"/>
        <v>-696230317.30779982</v>
      </c>
      <c r="X538">
        <f t="shared" si="209"/>
        <v>-708788923.17030001</v>
      </c>
      <c r="Z538">
        <f t="shared" si="210"/>
        <v>12282243.856800003</v>
      </c>
      <c r="AA538">
        <f t="shared" si="211"/>
        <v>-320433454.64179999</v>
      </c>
      <c r="AB538">
        <f t="shared" si="212"/>
        <v>-529142384.19360006</v>
      </c>
      <c r="AC538">
        <f t="shared" si="213"/>
        <v>-661864627.65040004</v>
      </c>
      <c r="AD538">
        <f t="shared" si="214"/>
        <v>-793832698.23879993</v>
      </c>
      <c r="AE538">
        <f t="shared" si="215"/>
        <v>-798405913.4562</v>
      </c>
    </row>
    <row r="539" spans="1:31" x14ac:dyDescent="0.25">
      <c r="A539">
        <v>38.251343759999997</v>
      </c>
      <c r="B539">
        <v>119.633754</v>
      </c>
      <c r="C539">
        <v>56.804500580000003</v>
      </c>
      <c r="D539">
        <v>2.9383349399999998</v>
      </c>
      <c r="E539" t="b">
        <f t="shared" si="192"/>
        <v>0</v>
      </c>
      <c r="F539">
        <f t="shared" si="193"/>
        <v>-281.08416796</v>
      </c>
      <c r="G539">
        <f t="shared" si="194"/>
        <v>-565.10667086000001</v>
      </c>
      <c r="H539">
        <f t="shared" si="195"/>
        <v>-849.12917376000007</v>
      </c>
      <c r="I539">
        <f t="shared" si="196"/>
        <v>-1133.15167666</v>
      </c>
      <c r="J539">
        <f t="shared" si="197"/>
        <v>-1417.1741795600001</v>
      </c>
      <c r="L539">
        <f t="shared" si="198"/>
        <v>5641603.0848000003</v>
      </c>
      <c r="M539">
        <f t="shared" si="199"/>
        <v>-455356352.0952</v>
      </c>
      <c r="N539">
        <f t="shared" si="200"/>
        <v>-779847205.78679991</v>
      </c>
      <c r="O539">
        <f t="shared" si="201"/>
        <v>-866111757.23520017</v>
      </c>
      <c r="P539">
        <f t="shared" si="202"/>
        <v>-1042499542.5272</v>
      </c>
      <c r="Q539">
        <f t="shared" si="203"/>
        <v>-1077052376.4656003</v>
      </c>
      <c r="S539">
        <f t="shared" si="204"/>
        <v>6170503.3739999998</v>
      </c>
      <c r="T539">
        <f t="shared" si="205"/>
        <v>-511573185.68719995</v>
      </c>
      <c r="U539">
        <f t="shared" si="206"/>
        <v>-853311072.99860001</v>
      </c>
      <c r="V539">
        <f t="shared" si="207"/>
        <v>-908568215.92320001</v>
      </c>
      <c r="W539">
        <f t="shared" si="208"/>
        <v>-1212472294.0261998</v>
      </c>
      <c r="X539">
        <f t="shared" si="209"/>
        <v>-1232941536.2172</v>
      </c>
      <c r="Z539">
        <f t="shared" si="210"/>
        <v>6699403.6632000003</v>
      </c>
      <c r="AA539">
        <f t="shared" si="211"/>
        <v>-567790019.27919996</v>
      </c>
      <c r="AB539">
        <f t="shared" si="212"/>
        <v>-926774940.2104001</v>
      </c>
      <c r="AC539">
        <f t="shared" si="213"/>
        <v>-1154815676.3136001</v>
      </c>
      <c r="AD539">
        <f t="shared" si="214"/>
        <v>-1382445045.5252001</v>
      </c>
      <c r="AE539">
        <f t="shared" si="215"/>
        <v>-1388830695.9688001</v>
      </c>
    </row>
    <row r="540" spans="1:31" x14ac:dyDescent="0.25">
      <c r="A540">
        <v>38.259892600000001</v>
      </c>
      <c r="B540">
        <v>118.69605869999999</v>
      </c>
      <c r="C540">
        <v>55.417339320000004</v>
      </c>
      <c r="D540">
        <v>0.97944498000000002</v>
      </c>
      <c r="E540" t="b">
        <f t="shared" si="192"/>
        <v>0</v>
      </c>
      <c r="F540">
        <f t="shared" si="193"/>
        <v>-276.10725162000006</v>
      </c>
      <c r="G540">
        <f t="shared" si="194"/>
        <v>-553.19394822000004</v>
      </c>
      <c r="H540">
        <f t="shared" si="195"/>
        <v>-830.28064482000002</v>
      </c>
      <c r="I540">
        <f t="shared" si="196"/>
        <v>-1107.3673414200002</v>
      </c>
      <c r="J540">
        <f t="shared" si="197"/>
        <v>-1384.4540380200001</v>
      </c>
      <c r="L540">
        <f t="shared" si="198"/>
        <v>1880534.3616000002</v>
      </c>
      <c r="M540">
        <f t="shared" si="199"/>
        <v>-447293747.62440014</v>
      </c>
      <c r="N540">
        <f t="shared" si="200"/>
        <v>-763407648.54359996</v>
      </c>
      <c r="O540">
        <f t="shared" si="201"/>
        <v>-846886257.71640003</v>
      </c>
      <c r="P540">
        <f t="shared" si="202"/>
        <v>-1018777954.1064003</v>
      </c>
      <c r="Q540">
        <f t="shared" si="203"/>
        <v>-1052185068.8952</v>
      </c>
      <c r="S540">
        <f t="shared" si="204"/>
        <v>2056834.4580000001</v>
      </c>
      <c r="T540">
        <f t="shared" si="205"/>
        <v>-502515197.94840014</v>
      </c>
      <c r="U540">
        <f t="shared" si="206"/>
        <v>-835322861.81220007</v>
      </c>
      <c r="V540">
        <f t="shared" si="207"/>
        <v>-888400289.95739996</v>
      </c>
      <c r="W540">
        <f t="shared" si="208"/>
        <v>-1184883055.3194001</v>
      </c>
      <c r="X540">
        <f t="shared" si="209"/>
        <v>-1204475013.0774</v>
      </c>
      <c r="Z540">
        <f t="shared" si="210"/>
        <v>2233134.5544000003</v>
      </c>
      <c r="AA540">
        <f t="shared" si="211"/>
        <v>-557736648.27240014</v>
      </c>
      <c r="AB540">
        <f t="shared" si="212"/>
        <v>-907238075.08080006</v>
      </c>
      <c r="AC540">
        <f t="shared" si="213"/>
        <v>-1129181676.9552</v>
      </c>
      <c r="AD540">
        <f t="shared" si="214"/>
        <v>-1350988156.5324004</v>
      </c>
      <c r="AE540">
        <f t="shared" si="215"/>
        <v>-1356764957.2595999</v>
      </c>
    </row>
    <row r="541" spans="1:31" x14ac:dyDescent="0.25">
      <c r="A541">
        <v>38.262713089999998</v>
      </c>
      <c r="B541">
        <v>119.10730650000001</v>
      </c>
      <c r="C541">
        <v>37.640228270000001</v>
      </c>
      <c r="D541">
        <v>13.75140953</v>
      </c>
      <c r="E541" t="b">
        <f t="shared" si="192"/>
        <v>0</v>
      </c>
      <c r="F541">
        <f t="shared" si="193"/>
        <v>-174.44973182000001</v>
      </c>
      <c r="G541">
        <f t="shared" si="194"/>
        <v>-362.65087317000001</v>
      </c>
      <c r="H541">
        <f t="shared" si="195"/>
        <v>-550.85201452000001</v>
      </c>
      <c r="I541">
        <f t="shared" si="196"/>
        <v>-739.05315586999996</v>
      </c>
      <c r="J541">
        <f t="shared" si="197"/>
        <v>-927.25429722000001</v>
      </c>
      <c r="L541">
        <f t="shared" si="198"/>
        <v>26402706.297600001</v>
      </c>
      <c r="M541">
        <f t="shared" si="199"/>
        <v>-282608565.54840004</v>
      </c>
      <c r="N541">
        <f t="shared" si="200"/>
        <v>-500458204.97459996</v>
      </c>
      <c r="O541">
        <f t="shared" si="201"/>
        <v>-561869054.81040001</v>
      </c>
      <c r="P541">
        <f t="shared" si="202"/>
        <v>-679928903.40039992</v>
      </c>
      <c r="Q541">
        <f t="shared" si="203"/>
        <v>-704713265.8872</v>
      </c>
      <c r="S541">
        <f t="shared" si="204"/>
        <v>28877960.013</v>
      </c>
      <c r="T541">
        <f t="shared" si="205"/>
        <v>-317498511.91240007</v>
      </c>
      <c r="U541">
        <f t="shared" si="206"/>
        <v>-547602818.48670006</v>
      </c>
      <c r="V541">
        <f t="shared" si="207"/>
        <v>-589411655.53639984</v>
      </c>
      <c r="W541">
        <f t="shared" si="208"/>
        <v>-790786876.78089988</v>
      </c>
      <c r="X541">
        <f t="shared" si="209"/>
        <v>-806711238.58140004</v>
      </c>
      <c r="Z541">
        <f t="shared" si="210"/>
        <v>31353213.728400003</v>
      </c>
      <c r="AA541">
        <f t="shared" si="211"/>
        <v>-352388458.27640003</v>
      </c>
      <c r="AB541">
        <f t="shared" si="212"/>
        <v>-594747431.99880004</v>
      </c>
      <c r="AC541">
        <f t="shared" si="213"/>
        <v>-749158739.74719989</v>
      </c>
      <c r="AD541">
        <f t="shared" si="214"/>
        <v>-901644850.16139996</v>
      </c>
      <c r="AE541">
        <f t="shared" si="215"/>
        <v>-908709211.27559996</v>
      </c>
    </row>
    <row r="542" spans="1:31" x14ac:dyDescent="0.25">
      <c r="A542">
        <v>38.265715499999999</v>
      </c>
      <c r="B542">
        <v>90.913355879999997</v>
      </c>
      <c r="C542">
        <v>20.624670030000001</v>
      </c>
      <c r="D542">
        <v>11.57835674</v>
      </c>
      <c r="E542" t="b">
        <f t="shared" si="192"/>
        <v>0</v>
      </c>
      <c r="F542">
        <f t="shared" si="193"/>
        <v>-91.544993410000004</v>
      </c>
      <c r="G542">
        <f t="shared" si="194"/>
        <v>-194.66834356000001</v>
      </c>
      <c r="H542">
        <f t="shared" si="195"/>
        <v>-297.79169371</v>
      </c>
      <c r="I542">
        <f t="shared" si="196"/>
        <v>-400.91504386000003</v>
      </c>
      <c r="J542">
        <f t="shared" si="197"/>
        <v>-504.03839401000005</v>
      </c>
      <c r="L542">
        <f t="shared" si="198"/>
        <v>22230444.940800004</v>
      </c>
      <c r="M542">
        <f t="shared" si="199"/>
        <v>-148302889.3242</v>
      </c>
      <c r="N542">
        <f t="shared" si="200"/>
        <v>-268642314.1128</v>
      </c>
      <c r="O542">
        <f t="shared" si="201"/>
        <v>-303747527.58419997</v>
      </c>
      <c r="P542">
        <f t="shared" si="202"/>
        <v>-368841840.35119998</v>
      </c>
      <c r="Q542">
        <f t="shared" si="203"/>
        <v>-383069179.44760007</v>
      </c>
      <c r="S542">
        <f t="shared" si="204"/>
        <v>24314549.154000003</v>
      </c>
      <c r="T542">
        <f t="shared" si="205"/>
        <v>-166611888.00619999</v>
      </c>
      <c r="U542">
        <f t="shared" si="206"/>
        <v>-293949198.77560002</v>
      </c>
      <c r="V542">
        <f t="shared" si="207"/>
        <v>-318637112.26969993</v>
      </c>
      <c r="W542">
        <f t="shared" si="208"/>
        <v>-428979096.93019998</v>
      </c>
      <c r="X542">
        <f t="shared" si="209"/>
        <v>-438513402.78870004</v>
      </c>
      <c r="Z542">
        <f t="shared" si="210"/>
        <v>26398653.367200002</v>
      </c>
      <c r="AA542">
        <f t="shared" si="211"/>
        <v>-184920886.6882</v>
      </c>
      <c r="AB542">
        <f t="shared" si="212"/>
        <v>-319256083.43840003</v>
      </c>
      <c r="AC542">
        <f t="shared" si="213"/>
        <v>-404996703.44559991</v>
      </c>
      <c r="AD542">
        <f t="shared" si="214"/>
        <v>-489116353.50920004</v>
      </c>
      <c r="AE542">
        <f t="shared" si="215"/>
        <v>-493957626.12980002</v>
      </c>
    </row>
    <row r="543" spans="1:31" x14ac:dyDescent="0.25">
      <c r="A543">
        <v>38.289458420000003</v>
      </c>
      <c r="B543">
        <v>119.2881088</v>
      </c>
      <c r="C543">
        <v>39.583812709999997</v>
      </c>
      <c r="D543">
        <v>6.1264290800000003</v>
      </c>
      <c r="E543" t="b">
        <f t="shared" si="192"/>
        <v>0</v>
      </c>
      <c r="F543">
        <f t="shared" si="193"/>
        <v>-191.79263446999997</v>
      </c>
      <c r="G543">
        <f t="shared" si="194"/>
        <v>-389.71169801999997</v>
      </c>
      <c r="H543">
        <f t="shared" si="195"/>
        <v>-587.63076157</v>
      </c>
      <c r="I543">
        <f t="shared" si="196"/>
        <v>-785.54982511999992</v>
      </c>
      <c r="J543">
        <f t="shared" si="197"/>
        <v>-983.46888866999996</v>
      </c>
      <c r="L543">
        <f t="shared" si="198"/>
        <v>11762743.833600001</v>
      </c>
      <c r="M543">
        <f t="shared" si="199"/>
        <v>-310704067.84139997</v>
      </c>
      <c r="N543">
        <f t="shared" si="200"/>
        <v>-537802143.26759994</v>
      </c>
      <c r="O543">
        <f t="shared" si="201"/>
        <v>-599383376.80140007</v>
      </c>
      <c r="P543">
        <f t="shared" si="202"/>
        <v>-722705839.11039984</v>
      </c>
      <c r="Q543">
        <f t="shared" si="203"/>
        <v>-747436355.38919997</v>
      </c>
      <c r="S543">
        <f t="shared" si="204"/>
        <v>12865501.068</v>
      </c>
      <c r="T543">
        <f t="shared" si="205"/>
        <v>-349062594.73539996</v>
      </c>
      <c r="U543">
        <f t="shared" si="206"/>
        <v>-588464664.01020002</v>
      </c>
      <c r="V543">
        <f t="shared" si="207"/>
        <v>-628764914.87989998</v>
      </c>
      <c r="W543">
        <f t="shared" si="208"/>
        <v>-840538312.87839973</v>
      </c>
      <c r="X543">
        <f t="shared" si="209"/>
        <v>-855617933.14289999</v>
      </c>
      <c r="Z543">
        <f t="shared" si="210"/>
        <v>13968258.302400002</v>
      </c>
      <c r="AA543">
        <f t="shared" si="211"/>
        <v>-387421121.62939996</v>
      </c>
      <c r="AB543">
        <f t="shared" si="212"/>
        <v>-639127184.75279999</v>
      </c>
      <c r="AC543">
        <f t="shared" si="213"/>
        <v>-799177835.73520005</v>
      </c>
      <c r="AD543">
        <f t="shared" si="214"/>
        <v>-958370786.64639986</v>
      </c>
      <c r="AE543">
        <f t="shared" si="215"/>
        <v>-963799510.89659989</v>
      </c>
    </row>
    <row r="544" spans="1:31" x14ac:dyDescent="0.25">
      <c r="A544">
        <v>38.289542429999997</v>
      </c>
      <c r="B544">
        <v>90.731894319999995</v>
      </c>
      <c r="C544">
        <v>20.624670030000001</v>
      </c>
      <c r="D544">
        <v>3.6794528999999998</v>
      </c>
      <c r="E544" t="b">
        <f t="shared" si="192"/>
        <v>0</v>
      </c>
      <c r="F544">
        <f t="shared" si="193"/>
        <v>-99.443897250000006</v>
      </c>
      <c r="G544">
        <f t="shared" si="194"/>
        <v>-202.56724740000001</v>
      </c>
      <c r="H544">
        <f t="shared" si="195"/>
        <v>-305.69059755000001</v>
      </c>
      <c r="I544">
        <f t="shared" si="196"/>
        <v>-408.81394770000003</v>
      </c>
      <c r="J544">
        <f t="shared" si="197"/>
        <v>-511.93729785000005</v>
      </c>
      <c r="L544">
        <f t="shared" si="198"/>
        <v>7064549.568</v>
      </c>
      <c r="M544">
        <f t="shared" si="199"/>
        <v>-161099113.54500002</v>
      </c>
      <c r="N544">
        <f t="shared" si="200"/>
        <v>-279542801.412</v>
      </c>
      <c r="O544">
        <f t="shared" si="201"/>
        <v>-311804409.50100005</v>
      </c>
      <c r="P544">
        <f t="shared" si="202"/>
        <v>-376108831.884</v>
      </c>
      <c r="Q544">
        <f t="shared" si="203"/>
        <v>-389072346.366</v>
      </c>
      <c r="S544">
        <f t="shared" si="204"/>
        <v>7726851.0899999999</v>
      </c>
      <c r="T544">
        <f t="shared" si="205"/>
        <v>-180987892.995</v>
      </c>
      <c r="U544">
        <f t="shared" si="206"/>
        <v>-305876543.574</v>
      </c>
      <c r="V544">
        <f t="shared" si="207"/>
        <v>-327088939.37849998</v>
      </c>
      <c r="W544">
        <f t="shared" si="208"/>
        <v>-437430924.03899997</v>
      </c>
      <c r="X544">
        <f t="shared" si="209"/>
        <v>-445385449.12950003</v>
      </c>
      <c r="Z544">
        <f t="shared" si="210"/>
        <v>8389152.6120000016</v>
      </c>
      <c r="AA544">
        <f t="shared" si="211"/>
        <v>-200876672.44499999</v>
      </c>
      <c r="AB544">
        <f t="shared" si="212"/>
        <v>-332210285.73600006</v>
      </c>
      <c r="AC544">
        <f t="shared" si="213"/>
        <v>-415739212.66799998</v>
      </c>
      <c r="AD544">
        <f t="shared" si="214"/>
        <v>-498753016.19400007</v>
      </c>
      <c r="AE544">
        <f t="shared" si="215"/>
        <v>-501698551.89300001</v>
      </c>
    </row>
    <row r="545" spans="1:31" x14ac:dyDescent="0.25">
      <c r="A545">
        <v>38.295955970000001</v>
      </c>
      <c r="B545">
        <v>116.8847896</v>
      </c>
      <c r="C545">
        <v>19.537851329999999</v>
      </c>
      <c r="D545">
        <v>12.39244747</v>
      </c>
      <c r="E545" t="b">
        <f t="shared" si="192"/>
        <v>0</v>
      </c>
      <c r="F545">
        <f t="shared" si="193"/>
        <v>-85.296809179999997</v>
      </c>
      <c r="G545">
        <f t="shared" si="194"/>
        <v>-182.98606582999997</v>
      </c>
      <c r="H545">
        <f t="shared" si="195"/>
        <v>-280.67532247999998</v>
      </c>
      <c r="I545">
        <f t="shared" si="196"/>
        <v>-378.36457912999998</v>
      </c>
      <c r="J545">
        <f t="shared" si="197"/>
        <v>-476.05383577999999</v>
      </c>
      <c r="L545">
        <f t="shared" si="198"/>
        <v>23793499.142400004</v>
      </c>
      <c r="M545">
        <f t="shared" si="199"/>
        <v>-138180830.8716</v>
      </c>
      <c r="N545">
        <f t="shared" si="200"/>
        <v>-252520770.84539995</v>
      </c>
      <c r="O545">
        <f t="shared" si="201"/>
        <v>-286288828.92959994</v>
      </c>
      <c r="P545">
        <f t="shared" si="202"/>
        <v>-348095412.79959995</v>
      </c>
      <c r="Q545">
        <f t="shared" si="203"/>
        <v>-361800915.19279999</v>
      </c>
      <c r="S545">
        <f t="shared" si="204"/>
        <v>26024139.687000003</v>
      </c>
      <c r="T545">
        <f t="shared" si="205"/>
        <v>-155240192.7076</v>
      </c>
      <c r="U545">
        <f t="shared" si="206"/>
        <v>-276308959.40329999</v>
      </c>
      <c r="V545">
        <f t="shared" si="207"/>
        <v>-300322595.05359989</v>
      </c>
      <c r="W545">
        <f t="shared" si="208"/>
        <v>-404850099.66909993</v>
      </c>
      <c r="X545">
        <f t="shared" si="209"/>
        <v>-414166837.1286</v>
      </c>
      <c r="Z545">
        <f t="shared" si="210"/>
        <v>28254780.231600005</v>
      </c>
      <c r="AA545">
        <f t="shared" si="211"/>
        <v>-172299554.54359999</v>
      </c>
      <c r="AB545">
        <f t="shared" si="212"/>
        <v>-300097147.9612</v>
      </c>
      <c r="AC545">
        <f t="shared" si="213"/>
        <v>-381718438.57279992</v>
      </c>
      <c r="AD545">
        <f t="shared" si="214"/>
        <v>-461604786.53859997</v>
      </c>
      <c r="AE545">
        <f t="shared" si="215"/>
        <v>-466532759.06439996</v>
      </c>
    </row>
    <row r="546" spans="1:31" x14ac:dyDescent="0.25">
      <c r="A546">
        <v>38.296747269999997</v>
      </c>
      <c r="B546">
        <v>119.6419174</v>
      </c>
      <c r="C546">
        <v>28.843961719999999</v>
      </c>
      <c r="D546">
        <v>4.794384</v>
      </c>
      <c r="E546" t="b">
        <f t="shared" si="192"/>
        <v>0</v>
      </c>
      <c r="F546">
        <f t="shared" si="193"/>
        <v>-139.42542459999999</v>
      </c>
      <c r="G546">
        <f t="shared" si="194"/>
        <v>-283.64523320000001</v>
      </c>
      <c r="H546">
        <f t="shared" si="195"/>
        <v>-427.86504180000003</v>
      </c>
      <c r="I546">
        <f t="shared" si="196"/>
        <v>-572.08485039999994</v>
      </c>
      <c r="J546">
        <f t="shared" si="197"/>
        <v>-716.3046589999999</v>
      </c>
      <c r="L546">
        <f t="shared" si="198"/>
        <v>9205217.2800000012</v>
      </c>
      <c r="M546">
        <f t="shared" si="199"/>
        <v>-225869187.852</v>
      </c>
      <c r="N546">
        <f t="shared" si="200"/>
        <v>-391430421.81599993</v>
      </c>
      <c r="O546">
        <f t="shared" si="201"/>
        <v>-436422342.63600004</v>
      </c>
      <c r="P546">
        <f t="shared" si="202"/>
        <v>-526318062.36799991</v>
      </c>
      <c r="Q546">
        <f t="shared" si="203"/>
        <v>-544391540.83999991</v>
      </c>
      <c r="S546">
        <f t="shared" si="204"/>
        <v>10068206.4</v>
      </c>
      <c r="T546">
        <f t="shared" si="205"/>
        <v>-253754272.77199998</v>
      </c>
      <c r="U546">
        <f t="shared" si="206"/>
        <v>-428304302.13199997</v>
      </c>
      <c r="V546">
        <f t="shared" si="207"/>
        <v>-457815594.72599995</v>
      </c>
      <c r="W546">
        <f t="shared" si="208"/>
        <v>-612130789.92799985</v>
      </c>
      <c r="X546">
        <f t="shared" si="209"/>
        <v>-623185053.32999992</v>
      </c>
      <c r="Z546">
        <f t="shared" si="210"/>
        <v>10931195.520000001</v>
      </c>
      <c r="AA546">
        <f t="shared" si="211"/>
        <v>-281639357.69199997</v>
      </c>
      <c r="AB546">
        <f t="shared" si="212"/>
        <v>-465178182.44800001</v>
      </c>
      <c r="AC546">
        <f t="shared" si="213"/>
        <v>-581896456.84799993</v>
      </c>
      <c r="AD546">
        <f t="shared" si="214"/>
        <v>-697943517.48799992</v>
      </c>
      <c r="AE546">
        <f t="shared" si="215"/>
        <v>-701978565.81999981</v>
      </c>
    </row>
    <row r="547" spans="1:31" x14ac:dyDescent="0.25">
      <c r="A547">
        <v>38.298480509999997</v>
      </c>
      <c r="B547">
        <v>90.435417950000001</v>
      </c>
      <c r="C547">
        <v>4.3951144199999996</v>
      </c>
      <c r="D547">
        <v>1.593472</v>
      </c>
      <c r="E547" t="b">
        <f t="shared" si="192"/>
        <v>0</v>
      </c>
      <c r="F547">
        <f t="shared" si="193"/>
        <v>-20.382100099999999</v>
      </c>
      <c r="G547">
        <f t="shared" si="194"/>
        <v>-42.357672199999996</v>
      </c>
      <c r="H547">
        <f t="shared" si="195"/>
        <v>-64.33324429999999</v>
      </c>
      <c r="I547">
        <f t="shared" si="196"/>
        <v>-86.308816399999984</v>
      </c>
      <c r="J547">
        <f t="shared" si="197"/>
        <v>-108.28438849999999</v>
      </c>
      <c r="L547">
        <f t="shared" si="198"/>
        <v>3059466.2400000002</v>
      </c>
      <c r="M547">
        <f t="shared" si="199"/>
        <v>-33019002.161999997</v>
      </c>
      <c r="N547">
        <f t="shared" si="200"/>
        <v>-58453587.635999992</v>
      </c>
      <c r="O547">
        <f t="shared" si="201"/>
        <v>-65619909.18599999</v>
      </c>
      <c r="P547">
        <f t="shared" si="202"/>
        <v>-79404111.08799997</v>
      </c>
      <c r="Q547">
        <f t="shared" si="203"/>
        <v>-82296135.25999999</v>
      </c>
      <c r="S547">
        <f t="shared" si="204"/>
        <v>3346291.2</v>
      </c>
      <c r="T547">
        <f t="shared" si="205"/>
        <v>-37095422.181999996</v>
      </c>
      <c r="U547">
        <f t="shared" si="206"/>
        <v>-63960085.021999992</v>
      </c>
      <c r="V547">
        <f t="shared" si="207"/>
        <v>-68836571.400999978</v>
      </c>
      <c r="W547">
        <f t="shared" si="208"/>
        <v>-92350433.547999963</v>
      </c>
      <c r="X547">
        <f t="shared" si="209"/>
        <v>-94207417.99499999</v>
      </c>
      <c r="Z547">
        <f t="shared" si="210"/>
        <v>3633116.1600000006</v>
      </c>
      <c r="AA547">
        <f t="shared" si="211"/>
        <v>-41171842.201999992</v>
      </c>
      <c r="AB547">
        <f t="shared" si="212"/>
        <v>-69466582.407999992</v>
      </c>
      <c r="AC547">
        <f t="shared" si="213"/>
        <v>-87493212.247999981</v>
      </c>
      <c r="AD547">
        <f t="shared" si="214"/>
        <v>-105296756.00799997</v>
      </c>
      <c r="AE547">
        <f t="shared" si="215"/>
        <v>-106118700.72999999</v>
      </c>
    </row>
    <row r="548" spans="1:31" x14ac:dyDescent="0.25">
      <c r="A548">
        <v>38.303885620000003</v>
      </c>
      <c r="B548">
        <v>90.846839040000006</v>
      </c>
      <c r="C548">
        <v>20.624670030000001</v>
      </c>
      <c r="D548">
        <v>0.67244499999999996</v>
      </c>
      <c r="E548" t="b">
        <f t="shared" si="192"/>
        <v>0</v>
      </c>
      <c r="F548">
        <f t="shared" si="193"/>
        <v>-102.45090515000001</v>
      </c>
      <c r="G548">
        <f t="shared" si="194"/>
        <v>-205.5742553</v>
      </c>
      <c r="H548">
        <f t="shared" si="195"/>
        <v>-308.69760545000003</v>
      </c>
      <c r="I548">
        <f t="shared" si="196"/>
        <v>-411.82095560000005</v>
      </c>
      <c r="J548">
        <f t="shared" si="197"/>
        <v>-514.94430575000001</v>
      </c>
      <c r="L548">
        <f t="shared" si="198"/>
        <v>1291094.4000000001</v>
      </c>
      <c r="M548">
        <f t="shared" si="199"/>
        <v>-165970466.34300002</v>
      </c>
      <c r="N548">
        <f t="shared" si="200"/>
        <v>-283692472.31400001</v>
      </c>
      <c r="O548">
        <f t="shared" si="201"/>
        <v>-314871557.55900007</v>
      </c>
      <c r="P548">
        <f t="shared" si="202"/>
        <v>-378875279.15200001</v>
      </c>
      <c r="Q548">
        <f t="shared" si="203"/>
        <v>-391357672.37</v>
      </c>
      <c r="S548">
        <f t="shared" si="204"/>
        <v>1412134.5</v>
      </c>
      <c r="T548">
        <f t="shared" si="205"/>
        <v>-186460647.37300003</v>
      </c>
      <c r="U548">
        <f t="shared" si="206"/>
        <v>-310417125.50300002</v>
      </c>
      <c r="V548">
        <f t="shared" si="207"/>
        <v>-330306437.83149999</v>
      </c>
      <c r="W548">
        <f t="shared" si="208"/>
        <v>-440648422.49199998</v>
      </c>
      <c r="X548">
        <f t="shared" si="209"/>
        <v>-448001546.0025</v>
      </c>
      <c r="Z548">
        <f t="shared" si="210"/>
        <v>1533174.6</v>
      </c>
      <c r="AA548">
        <f t="shared" si="211"/>
        <v>-206950828.40300003</v>
      </c>
      <c r="AB548">
        <f t="shared" si="212"/>
        <v>-337141778.69200003</v>
      </c>
      <c r="AC548">
        <f t="shared" si="213"/>
        <v>-419828743.412</v>
      </c>
      <c r="AD548">
        <f t="shared" si="214"/>
        <v>-502421565.83200002</v>
      </c>
      <c r="AE548">
        <f t="shared" si="215"/>
        <v>-504645419.63499999</v>
      </c>
    </row>
    <row r="549" spans="1:31" x14ac:dyDescent="0.25">
      <c r="A549">
        <v>38.308150509999997</v>
      </c>
      <c r="B549">
        <v>119.11515780000001</v>
      </c>
      <c r="C549">
        <v>38.970470429999999</v>
      </c>
      <c r="D549">
        <v>6.3663930899999999</v>
      </c>
      <c r="E549" t="b">
        <f t="shared" si="192"/>
        <v>0</v>
      </c>
      <c r="F549">
        <f t="shared" si="193"/>
        <v>-188.48595906</v>
      </c>
      <c r="G549">
        <f t="shared" si="194"/>
        <v>-383.33831121000003</v>
      </c>
      <c r="H549">
        <f t="shared" si="195"/>
        <v>-578.19066336000003</v>
      </c>
      <c r="I549">
        <f t="shared" si="196"/>
        <v>-773.04301551000003</v>
      </c>
      <c r="J549">
        <f t="shared" si="197"/>
        <v>-967.89536766000003</v>
      </c>
      <c r="L549">
        <f t="shared" si="198"/>
        <v>12223474.732800001</v>
      </c>
      <c r="M549">
        <f t="shared" si="199"/>
        <v>-305347253.67720002</v>
      </c>
      <c r="N549">
        <f t="shared" si="200"/>
        <v>-529006869.4698</v>
      </c>
      <c r="O549">
        <f t="shared" si="201"/>
        <v>-589754476.62720001</v>
      </c>
      <c r="P549">
        <f t="shared" si="202"/>
        <v>-711199574.26919997</v>
      </c>
      <c r="Q549">
        <f t="shared" si="203"/>
        <v>-735600479.4216001</v>
      </c>
      <c r="S549">
        <f t="shared" si="204"/>
        <v>13369425.489</v>
      </c>
      <c r="T549">
        <f t="shared" si="205"/>
        <v>-343044445.4892</v>
      </c>
      <c r="U549">
        <f t="shared" si="206"/>
        <v>-578840849.92710006</v>
      </c>
      <c r="V549">
        <f t="shared" si="207"/>
        <v>-618664009.79519987</v>
      </c>
      <c r="W549">
        <f t="shared" si="208"/>
        <v>-827156026.59569991</v>
      </c>
      <c r="X549">
        <f t="shared" si="209"/>
        <v>-842068969.86420012</v>
      </c>
      <c r="Z549">
        <f t="shared" si="210"/>
        <v>14515376.245200001</v>
      </c>
      <c r="AA549">
        <f t="shared" si="211"/>
        <v>-380741637.30120003</v>
      </c>
      <c r="AB549">
        <f t="shared" si="212"/>
        <v>-628674830.38440013</v>
      </c>
      <c r="AC549">
        <f t="shared" si="213"/>
        <v>-786339302.16959989</v>
      </c>
      <c r="AD549">
        <f t="shared" si="214"/>
        <v>-943112478.92219996</v>
      </c>
      <c r="AE549">
        <f t="shared" si="215"/>
        <v>-948537460.30680001</v>
      </c>
    </row>
    <row r="550" spans="1:31" x14ac:dyDescent="0.25">
      <c r="A550">
        <v>38.308268609999999</v>
      </c>
      <c r="B550">
        <v>120.3497137</v>
      </c>
      <c r="C550">
        <v>8.1576242400000005</v>
      </c>
      <c r="D550">
        <v>12.132841109999999</v>
      </c>
      <c r="E550" t="b">
        <f t="shared" si="192"/>
        <v>1</v>
      </c>
      <c r="F550">
        <f t="shared" si="193"/>
        <v>-28.655280090000005</v>
      </c>
      <c r="G550">
        <f t="shared" si="194"/>
        <v>-69.443401290000011</v>
      </c>
      <c r="H550">
        <f t="shared" si="195"/>
        <v>-110.23152249</v>
      </c>
      <c r="I550">
        <f t="shared" si="196"/>
        <v>-151.01964369000004</v>
      </c>
      <c r="J550">
        <f t="shared" si="197"/>
        <v>-191.80776489000002</v>
      </c>
      <c r="L550">
        <f t="shared" si="198"/>
        <v>15662638.540800001</v>
      </c>
      <c r="M550">
        <f t="shared" si="199"/>
        <v>-46421553.745800011</v>
      </c>
      <c r="N550">
        <f t="shared" si="200"/>
        <v>-95831893.780200005</v>
      </c>
      <c r="O550">
        <f t="shared" si="201"/>
        <v>-112436152.93980001</v>
      </c>
      <c r="P550">
        <f t="shared" si="202"/>
        <v>-138938072.19480002</v>
      </c>
      <c r="Q550">
        <f t="shared" si="203"/>
        <v>-145773901.31640002</v>
      </c>
      <c r="S550">
        <f t="shared" si="204"/>
        <v>17131010.904000003</v>
      </c>
      <c r="T550">
        <f t="shared" si="205"/>
        <v>-52152609.76380001</v>
      </c>
      <c r="U550">
        <f t="shared" si="206"/>
        <v>-104859535.94790001</v>
      </c>
      <c r="V550">
        <f t="shared" si="207"/>
        <v>-117947729.06429999</v>
      </c>
      <c r="W550">
        <f t="shared" si="208"/>
        <v>-161591018.74830002</v>
      </c>
      <c r="X550">
        <f t="shared" si="209"/>
        <v>-166872755.45430002</v>
      </c>
      <c r="Z550">
        <f t="shared" si="210"/>
        <v>18599383.267200004</v>
      </c>
      <c r="AA550">
        <f t="shared" si="211"/>
        <v>-57883665.781800009</v>
      </c>
      <c r="AB550">
        <f t="shared" si="212"/>
        <v>-113887178.11560002</v>
      </c>
      <c r="AC550">
        <f t="shared" si="213"/>
        <v>-149914870.5864</v>
      </c>
      <c r="AD550">
        <f t="shared" si="214"/>
        <v>-184243965.30180004</v>
      </c>
      <c r="AE550">
        <f t="shared" si="215"/>
        <v>-187971609.59220001</v>
      </c>
    </row>
    <row r="551" spans="1:31" x14ac:dyDescent="0.25">
      <c r="A551">
        <v>38.311339459999999</v>
      </c>
      <c r="B551">
        <v>118.6459651</v>
      </c>
      <c r="C551">
        <v>14.54132557</v>
      </c>
      <c r="D551">
        <v>3.6729190300000001</v>
      </c>
      <c r="E551" t="b">
        <f t="shared" si="192"/>
        <v>0</v>
      </c>
      <c r="F551">
        <f t="shared" si="193"/>
        <v>-69.033708820000001</v>
      </c>
      <c r="G551">
        <f t="shared" si="194"/>
        <v>-141.74033667</v>
      </c>
      <c r="H551">
        <f t="shared" si="195"/>
        <v>-214.44696451999999</v>
      </c>
      <c r="I551">
        <f t="shared" si="196"/>
        <v>-287.15359237000001</v>
      </c>
      <c r="J551">
        <f t="shared" si="197"/>
        <v>-359.86022021999997</v>
      </c>
      <c r="L551">
        <f t="shared" si="198"/>
        <v>7052004.5376000013</v>
      </c>
      <c r="M551">
        <f t="shared" si="199"/>
        <v>-111834608.28840002</v>
      </c>
      <c r="N551">
        <f t="shared" si="200"/>
        <v>-195601664.60460001</v>
      </c>
      <c r="O551">
        <f t="shared" si="201"/>
        <v>-218735903.81039998</v>
      </c>
      <c r="P551">
        <f t="shared" si="202"/>
        <v>-264181304.9804</v>
      </c>
      <c r="Q551">
        <f t="shared" si="203"/>
        <v>-273493767.36719996</v>
      </c>
      <c r="S551">
        <f t="shared" si="204"/>
        <v>7713129.9630000005</v>
      </c>
      <c r="T551">
        <f t="shared" si="205"/>
        <v>-125641350.05240002</v>
      </c>
      <c r="U551">
        <f t="shared" si="206"/>
        <v>-214027908.37170002</v>
      </c>
      <c r="V551">
        <f t="shared" si="207"/>
        <v>-229458252.03639993</v>
      </c>
      <c r="W551">
        <f t="shared" si="208"/>
        <v>-307254343.83589995</v>
      </c>
      <c r="X551">
        <f t="shared" si="209"/>
        <v>-313078391.59139997</v>
      </c>
      <c r="Z551">
        <f t="shared" si="210"/>
        <v>8374255.3884000015</v>
      </c>
      <c r="AA551">
        <f t="shared" si="211"/>
        <v>-139448091.81640002</v>
      </c>
      <c r="AB551">
        <f t="shared" si="212"/>
        <v>-232454152.13880005</v>
      </c>
      <c r="AC551">
        <f t="shared" si="213"/>
        <v>-291647871.74719995</v>
      </c>
      <c r="AD551">
        <f t="shared" si="214"/>
        <v>-350327382.69139999</v>
      </c>
      <c r="AE551">
        <f t="shared" si="215"/>
        <v>-352663015.81559998</v>
      </c>
    </row>
    <row r="552" spans="1:31" x14ac:dyDescent="0.25">
      <c r="A552">
        <v>38.327613509999999</v>
      </c>
      <c r="B552">
        <v>90.665266090000003</v>
      </c>
      <c r="C552">
        <v>20.624670030000001</v>
      </c>
      <c r="D552">
        <v>3.4899931</v>
      </c>
      <c r="E552" t="b">
        <f t="shared" si="192"/>
        <v>0</v>
      </c>
      <c r="F552">
        <f t="shared" si="193"/>
        <v>-99.633357050000001</v>
      </c>
      <c r="G552">
        <f t="shared" si="194"/>
        <v>-202.75670720000002</v>
      </c>
      <c r="H552">
        <f t="shared" si="195"/>
        <v>-305.88005735000002</v>
      </c>
      <c r="I552">
        <f t="shared" si="196"/>
        <v>-409.00340750000004</v>
      </c>
      <c r="J552">
        <f t="shared" si="197"/>
        <v>-512.12675765000006</v>
      </c>
      <c r="L552">
        <f t="shared" si="198"/>
        <v>6700786.7520000003</v>
      </c>
      <c r="M552">
        <f t="shared" si="199"/>
        <v>-161406038.421</v>
      </c>
      <c r="N552">
        <f t="shared" si="200"/>
        <v>-279804255.93599999</v>
      </c>
      <c r="O552">
        <f t="shared" si="201"/>
        <v>-311997658.49700004</v>
      </c>
      <c r="P552">
        <f t="shared" si="202"/>
        <v>-376283134.90000004</v>
      </c>
      <c r="Q552">
        <f t="shared" si="203"/>
        <v>-389216335.81400001</v>
      </c>
      <c r="S552">
        <f t="shared" si="204"/>
        <v>7328985.5100000007</v>
      </c>
      <c r="T552">
        <f t="shared" si="205"/>
        <v>-181332709.831</v>
      </c>
      <c r="U552">
        <f t="shared" si="206"/>
        <v>-306162627.87200004</v>
      </c>
      <c r="V552">
        <f t="shared" si="207"/>
        <v>-327291661.36449999</v>
      </c>
      <c r="W552">
        <f t="shared" si="208"/>
        <v>-437633646.02499998</v>
      </c>
      <c r="X552">
        <f t="shared" si="209"/>
        <v>-445550279.15550005</v>
      </c>
      <c r="Z552">
        <f t="shared" si="210"/>
        <v>7957184.2680000011</v>
      </c>
      <c r="AA552">
        <f t="shared" si="211"/>
        <v>-201259381.241</v>
      </c>
      <c r="AB552">
        <f t="shared" si="212"/>
        <v>-332520999.80800003</v>
      </c>
      <c r="AC552">
        <f t="shared" si="213"/>
        <v>-415996877.99599999</v>
      </c>
      <c r="AD552">
        <f t="shared" si="214"/>
        <v>-498984157.15000004</v>
      </c>
      <c r="AE552">
        <f t="shared" si="215"/>
        <v>-501884222.49700004</v>
      </c>
    </row>
    <row r="553" spans="1:31" x14ac:dyDescent="0.25">
      <c r="A553">
        <v>38.328453179999997</v>
      </c>
      <c r="B553">
        <v>120.1769888</v>
      </c>
      <c r="C553">
        <v>12.584490779999999</v>
      </c>
      <c r="D553">
        <v>36.533302310000003</v>
      </c>
      <c r="E553" t="b">
        <f t="shared" si="192"/>
        <v>1</v>
      </c>
      <c r="F553">
        <f t="shared" si="193"/>
        <v>-26.38915158999999</v>
      </c>
      <c r="G553">
        <f t="shared" si="194"/>
        <v>-89.311605489999977</v>
      </c>
      <c r="H553">
        <f t="shared" si="195"/>
        <v>-152.23405938999997</v>
      </c>
      <c r="I553">
        <f t="shared" si="196"/>
        <v>-215.15651328999996</v>
      </c>
      <c r="J553">
        <f t="shared" si="197"/>
        <v>-278.07896718999996</v>
      </c>
      <c r="L553">
        <f t="shared" si="198"/>
        <v>24162222.297600001</v>
      </c>
      <c r="M553">
        <f t="shared" si="199"/>
        <v>-42750425.575799987</v>
      </c>
      <c r="N553">
        <f t="shared" si="200"/>
        <v>-123250015.57619996</v>
      </c>
      <c r="O553">
        <f t="shared" si="201"/>
        <v>-155278740.57779995</v>
      </c>
      <c r="P553">
        <f t="shared" si="202"/>
        <v>-197943992.22679994</v>
      </c>
      <c r="Q553">
        <f t="shared" si="203"/>
        <v>-211340015.06439996</v>
      </c>
      <c r="S553">
        <f t="shared" si="204"/>
        <v>26427430.638</v>
      </c>
      <c r="T553">
        <f t="shared" si="205"/>
        <v>-48028255.893799983</v>
      </c>
      <c r="U553">
        <f t="shared" si="206"/>
        <v>-134860524.28989998</v>
      </c>
      <c r="V553">
        <f t="shared" si="207"/>
        <v>-162890443.54729992</v>
      </c>
      <c r="W553">
        <f t="shared" si="208"/>
        <v>-230217469.22029993</v>
      </c>
      <c r="X553">
        <f t="shared" si="209"/>
        <v>-241928701.45529994</v>
      </c>
      <c r="Z553">
        <f t="shared" si="210"/>
        <v>28692638.978400003</v>
      </c>
      <c r="AA553">
        <f t="shared" si="211"/>
        <v>-53306086.211799979</v>
      </c>
      <c r="AB553">
        <f t="shared" si="212"/>
        <v>-146471033.00359997</v>
      </c>
      <c r="AC553">
        <f t="shared" si="213"/>
        <v>-207038320.77039993</v>
      </c>
      <c r="AD553">
        <f t="shared" si="214"/>
        <v>-262490946.21379995</v>
      </c>
      <c r="AE553">
        <f t="shared" si="215"/>
        <v>-272517387.84619993</v>
      </c>
    </row>
    <row r="554" spans="1:31" x14ac:dyDescent="0.25">
      <c r="A554">
        <v>38.338485400000003</v>
      </c>
      <c r="B554">
        <v>115.83688650000001</v>
      </c>
      <c r="C554">
        <v>10.858460429999999</v>
      </c>
      <c r="D554">
        <v>6.5201897600000001</v>
      </c>
      <c r="E554" t="b">
        <f t="shared" si="192"/>
        <v>0</v>
      </c>
      <c r="F554">
        <f t="shared" si="193"/>
        <v>-47.772112389999997</v>
      </c>
      <c r="G554">
        <f t="shared" si="194"/>
        <v>-102.06441454</v>
      </c>
      <c r="H554">
        <f t="shared" si="195"/>
        <v>-156.35671668999998</v>
      </c>
      <c r="I554">
        <f t="shared" si="196"/>
        <v>-210.64901884</v>
      </c>
      <c r="J554">
        <f t="shared" si="197"/>
        <v>-264.94132099000001</v>
      </c>
      <c r="L554">
        <f t="shared" si="198"/>
        <v>12518764.339200001</v>
      </c>
      <c r="M554">
        <f t="shared" si="199"/>
        <v>-77390822.071799994</v>
      </c>
      <c r="N554">
        <f t="shared" si="200"/>
        <v>-140848892.0652</v>
      </c>
      <c r="O554">
        <f t="shared" si="201"/>
        <v>-159483851.02379999</v>
      </c>
      <c r="P554">
        <f t="shared" si="202"/>
        <v>-193797097.3328</v>
      </c>
      <c r="Q554">
        <f t="shared" si="203"/>
        <v>-201355403.9524</v>
      </c>
      <c r="S554">
        <f t="shared" si="204"/>
        <v>13692398.495999999</v>
      </c>
      <c r="T554">
        <f t="shared" si="205"/>
        <v>-86945244.549799994</v>
      </c>
      <c r="U554">
        <f t="shared" si="206"/>
        <v>-154117265.95540002</v>
      </c>
      <c r="V554">
        <f t="shared" si="207"/>
        <v>-167301686.85829997</v>
      </c>
      <c r="W554">
        <f t="shared" si="208"/>
        <v>-225394450.15879998</v>
      </c>
      <c r="X554">
        <f t="shared" si="209"/>
        <v>-230498949.2613</v>
      </c>
      <c r="Z554">
        <f t="shared" si="210"/>
        <v>14866032.652800001</v>
      </c>
      <c r="AA554">
        <f t="shared" si="211"/>
        <v>-96499667.027799994</v>
      </c>
      <c r="AB554">
        <f t="shared" si="212"/>
        <v>-167385639.84560001</v>
      </c>
      <c r="AC554">
        <f t="shared" si="213"/>
        <v>-212645134.69839999</v>
      </c>
      <c r="AD554">
        <f t="shared" si="214"/>
        <v>-256991802.98480001</v>
      </c>
      <c r="AE554">
        <f t="shared" si="215"/>
        <v>-259642494.5702</v>
      </c>
    </row>
    <row r="555" spans="1:31" x14ac:dyDescent="0.25">
      <c r="A555">
        <v>38.34502999</v>
      </c>
      <c r="B555">
        <v>117.360714</v>
      </c>
      <c r="C555">
        <v>26.05046844</v>
      </c>
      <c r="D555">
        <v>0.44112699999999999</v>
      </c>
      <c r="E555" t="b">
        <f t="shared" si="192"/>
        <v>0</v>
      </c>
      <c r="F555">
        <f t="shared" si="193"/>
        <v>-129.81121519999999</v>
      </c>
      <c r="G555">
        <f t="shared" si="194"/>
        <v>-260.06355739999998</v>
      </c>
      <c r="H555">
        <f t="shared" si="195"/>
        <v>-390.31589960000002</v>
      </c>
      <c r="I555">
        <f t="shared" si="196"/>
        <v>-520.5682417999999</v>
      </c>
      <c r="J555">
        <f t="shared" si="197"/>
        <v>-650.82058399999994</v>
      </c>
      <c r="L555">
        <f t="shared" si="198"/>
        <v>846963.84000000008</v>
      </c>
      <c r="M555">
        <f t="shared" si="199"/>
        <v>-210294168.62399998</v>
      </c>
      <c r="N555">
        <f t="shared" si="200"/>
        <v>-358887709.21199995</v>
      </c>
      <c r="O555">
        <f t="shared" si="201"/>
        <v>-398122217.59200001</v>
      </c>
      <c r="P555">
        <f t="shared" si="202"/>
        <v>-478922782.45599985</v>
      </c>
      <c r="Q555">
        <f t="shared" si="203"/>
        <v>-494623643.83999991</v>
      </c>
      <c r="S555">
        <f t="shared" si="204"/>
        <v>926366.70000000007</v>
      </c>
      <c r="T555">
        <f t="shared" si="205"/>
        <v>-236256411.66399997</v>
      </c>
      <c r="U555">
        <f t="shared" si="206"/>
        <v>-392695971.67399997</v>
      </c>
      <c r="V555">
        <f t="shared" si="207"/>
        <v>-417638012.57199997</v>
      </c>
      <c r="W555">
        <f t="shared" si="208"/>
        <v>-557008018.72599983</v>
      </c>
      <c r="X555">
        <f t="shared" si="209"/>
        <v>-566213908.07999992</v>
      </c>
      <c r="Z555">
        <f t="shared" si="210"/>
        <v>1005769.56</v>
      </c>
      <c r="AA555">
        <f t="shared" si="211"/>
        <v>-262218654.70399997</v>
      </c>
      <c r="AB555">
        <f t="shared" si="212"/>
        <v>-426504234.13599998</v>
      </c>
      <c r="AC555">
        <f t="shared" si="213"/>
        <v>-530829623.45599997</v>
      </c>
      <c r="AD555">
        <f t="shared" si="214"/>
        <v>-635093254.99599981</v>
      </c>
      <c r="AE555">
        <f t="shared" si="215"/>
        <v>-637804172.31999981</v>
      </c>
    </row>
    <row r="556" spans="1:31" x14ac:dyDescent="0.25">
      <c r="A556">
        <v>38.349180680000003</v>
      </c>
      <c r="B556">
        <v>90.837766709999997</v>
      </c>
      <c r="C556">
        <v>20.624670030000001</v>
      </c>
      <c r="D556">
        <v>0.54273497999999998</v>
      </c>
      <c r="E556" t="b">
        <f t="shared" si="192"/>
        <v>0</v>
      </c>
      <c r="F556">
        <f t="shared" si="193"/>
        <v>-102.58061517</v>
      </c>
      <c r="G556">
        <f t="shared" si="194"/>
        <v>-205.70396532000001</v>
      </c>
      <c r="H556">
        <f t="shared" si="195"/>
        <v>-308.82731547000003</v>
      </c>
      <c r="I556">
        <f t="shared" si="196"/>
        <v>-411.95066562000005</v>
      </c>
      <c r="J556">
        <f t="shared" si="197"/>
        <v>-515.07401577000007</v>
      </c>
      <c r="L556">
        <f t="shared" si="198"/>
        <v>1042051.1616</v>
      </c>
      <c r="M556">
        <f t="shared" si="199"/>
        <v>-166180596.57540002</v>
      </c>
      <c r="N556">
        <f t="shared" si="200"/>
        <v>-283871472.14160001</v>
      </c>
      <c r="O556">
        <f t="shared" si="201"/>
        <v>-315003861.77940005</v>
      </c>
      <c r="P556">
        <f t="shared" si="202"/>
        <v>-378994612.37040001</v>
      </c>
      <c r="Q556">
        <f t="shared" si="203"/>
        <v>-391456251.98520011</v>
      </c>
      <c r="S556">
        <f t="shared" si="204"/>
        <v>1139743.4580000001</v>
      </c>
      <c r="T556">
        <f t="shared" si="205"/>
        <v>-186696719.6094</v>
      </c>
      <c r="U556">
        <f t="shared" si="206"/>
        <v>-310612987.63320005</v>
      </c>
      <c r="V556">
        <f t="shared" si="207"/>
        <v>-330445227.55289996</v>
      </c>
      <c r="W556">
        <f t="shared" si="208"/>
        <v>-440787212.21340001</v>
      </c>
      <c r="X556">
        <f t="shared" si="209"/>
        <v>-448114393.71990007</v>
      </c>
      <c r="Z556">
        <f t="shared" si="210"/>
        <v>1237435.7544</v>
      </c>
      <c r="AA556">
        <f t="shared" si="211"/>
        <v>-207212842.64340001</v>
      </c>
      <c r="AB556">
        <f t="shared" si="212"/>
        <v>-337354503.12480009</v>
      </c>
      <c r="AC556">
        <f t="shared" si="213"/>
        <v>-420005149.03920001</v>
      </c>
      <c r="AD556">
        <f t="shared" si="214"/>
        <v>-502579812.05640006</v>
      </c>
      <c r="AE556">
        <f t="shared" si="215"/>
        <v>-504772535.4546001</v>
      </c>
    </row>
    <row r="557" spans="1:31" x14ac:dyDescent="0.25">
      <c r="A557">
        <v>38.353585780000003</v>
      </c>
      <c r="B557">
        <v>119.1230185</v>
      </c>
      <c r="C557">
        <v>27.435972209999999</v>
      </c>
      <c r="D557">
        <v>11.518275259999999</v>
      </c>
      <c r="E557" t="b">
        <f t="shared" si="192"/>
        <v>0</v>
      </c>
      <c r="F557">
        <f t="shared" si="193"/>
        <v>-125.66158579</v>
      </c>
      <c r="G557">
        <f t="shared" si="194"/>
        <v>-262.84144684</v>
      </c>
      <c r="H557">
        <f t="shared" si="195"/>
        <v>-400.02130789</v>
      </c>
      <c r="I557">
        <f t="shared" si="196"/>
        <v>-537.20116894</v>
      </c>
      <c r="J557">
        <f t="shared" si="197"/>
        <v>-674.38102999</v>
      </c>
      <c r="L557">
        <f t="shared" si="198"/>
        <v>22115088.499200001</v>
      </c>
      <c r="M557">
        <f t="shared" si="199"/>
        <v>-203571768.97980002</v>
      </c>
      <c r="N557">
        <f t="shared" si="200"/>
        <v>-362721196.63919997</v>
      </c>
      <c r="O557">
        <f t="shared" si="201"/>
        <v>-408021734.0478</v>
      </c>
      <c r="P557">
        <f t="shared" si="202"/>
        <v>-494225075.42480004</v>
      </c>
      <c r="Q557">
        <f t="shared" si="203"/>
        <v>-512529582.7924</v>
      </c>
      <c r="S557">
        <f t="shared" si="204"/>
        <v>24188378.046</v>
      </c>
      <c r="T557">
        <f t="shared" si="205"/>
        <v>-228704086.13780001</v>
      </c>
      <c r="U557">
        <f t="shared" si="206"/>
        <v>-396890584.72839999</v>
      </c>
      <c r="V557">
        <f t="shared" si="207"/>
        <v>-428022799.4422999</v>
      </c>
      <c r="W557">
        <f t="shared" si="208"/>
        <v>-574805250.7658</v>
      </c>
      <c r="X557">
        <f t="shared" si="209"/>
        <v>-586711496.09130001</v>
      </c>
      <c r="Z557">
        <f t="shared" si="210"/>
        <v>26261667.592800003</v>
      </c>
      <c r="AA557">
        <f t="shared" si="211"/>
        <v>-253836403.29580003</v>
      </c>
      <c r="AB557">
        <f t="shared" si="212"/>
        <v>-431059972.81760001</v>
      </c>
      <c r="AC557">
        <f t="shared" si="213"/>
        <v>-544028978.73039997</v>
      </c>
      <c r="AD557">
        <f t="shared" si="214"/>
        <v>-655385426.10680008</v>
      </c>
      <c r="AE557">
        <f t="shared" si="215"/>
        <v>-660893409.39020002</v>
      </c>
    </row>
    <row r="558" spans="1:31" x14ac:dyDescent="0.25">
      <c r="A558">
        <v>38.366276089999999</v>
      </c>
      <c r="B558">
        <v>117.1293486</v>
      </c>
      <c r="C558">
        <v>26.05046844</v>
      </c>
      <c r="D558">
        <v>1.1346329500000001</v>
      </c>
      <c r="E558" t="b">
        <f t="shared" si="192"/>
        <v>0</v>
      </c>
      <c r="F558">
        <f t="shared" si="193"/>
        <v>-129.11770924999999</v>
      </c>
      <c r="G558">
        <f t="shared" si="194"/>
        <v>-259.37005144999995</v>
      </c>
      <c r="H558">
        <f t="shared" si="195"/>
        <v>-389.62239364999999</v>
      </c>
      <c r="I558">
        <f t="shared" si="196"/>
        <v>-519.87473584999998</v>
      </c>
      <c r="J558">
        <f t="shared" si="197"/>
        <v>-650.12707805000002</v>
      </c>
      <c r="L558">
        <f t="shared" si="198"/>
        <v>2178495.2640000004</v>
      </c>
      <c r="M558">
        <f t="shared" si="199"/>
        <v>-209170688.98499998</v>
      </c>
      <c r="N558">
        <f t="shared" si="200"/>
        <v>-357930671.00099993</v>
      </c>
      <c r="O558">
        <f t="shared" si="201"/>
        <v>-397414841.523</v>
      </c>
      <c r="P558">
        <f t="shared" si="202"/>
        <v>-478284756.98199993</v>
      </c>
      <c r="Q558">
        <f t="shared" si="203"/>
        <v>-494096579.31800008</v>
      </c>
      <c r="S558">
        <f t="shared" si="204"/>
        <v>2382729.1950000003</v>
      </c>
      <c r="T558">
        <f t="shared" si="205"/>
        <v>-234994230.83499998</v>
      </c>
      <c r="U558">
        <f t="shared" si="206"/>
        <v>-391648777.68949991</v>
      </c>
      <c r="V558">
        <f t="shared" si="207"/>
        <v>-416895961.20549989</v>
      </c>
      <c r="W558">
        <f t="shared" si="208"/>
        <v>-556265967.35949993</v>
      </c>
      <c r="X558">
        <f t="shared" si="209"/>
        <v>-565610557.90350008</v>
      </c>
      <c r="Z558">
        <f t="shared" si="210"/>
        <v>2586963.1260000006</v>
      </c>
      <c r="AA558">
        <f t="shared" si="211"/>
        <v>-260817772.68499997</v>
      </c>
      <c r="AB558">
        <f t="shared" si="212"/>
        <v>-425366884.37799996</v>
      </c>
      <c r="AC558">
        <f t="shared" si="213"/>
        <v>-529886455.3639999</v>
      </c>
      <c r="AD558">
        <f t="shared" si="214"/>
        <v>-634247177.73699999</v>
      </c>
      <c r="AE558">
        <f t="shared" si="215"/>
        <v>-637124536.48900008</v>
      </c>
    </row>
    <row r="559" spans="1:31" x14ac:dyDescent="0.25">
      <c r="A559">
        <v>38.370025660000003</v>
      </c>
      <c r="B559">
        <v>116.0166241</v>
      </c>
      <c r="C559">
        <v>10.858460429999999</v>
      </c>
      <c r="D559">
        <v>0.81524496999999996</v>
      </c>
      <c r="E559" t="b">
        <f t="shared" si="192"/>
        <v>0</v>
      </c>
      <c r="F559">
        <f t="shared" si="193"/>
        <v>-53.477057179999996</v>
      </c>
      <c r="G559">
        <f t="shared" si="194"/>
        <v>-107.76935933</v>
      </c>
      <c r="H559">
        <f t="shared" si="195"/>
        <v>-162.06166147999997</v>
      </c>
      <c r="I559">
        <f t="shared" si="196"/>
        <v>-216.35396362999998</v>
      </c>
      <c r="J559">
        <f t="shared" si="197"/>
        <v>-270.64626578000002</v>
      </c>
      <c r="L559">
        <f t="shared" si="198"/>
        <v>1565270.3424</v>
      </c>
      <c r="M559">
        <f t="shared" si="199"/>
        <v>-86632832.631599993</v>
      </c>
      <c r="N559">
        <f t="shared" si="200"/>
        <v>-148721715.87539998</v>
      </c>
      <c r="O559">
        <f t="shared" si="201"/>
        <v>-165302894.70959997</v>
      </c>
      <c r="P559">
        <f t="shared" si="202"/>
        <v>-199045646.53959998</v>
      </c>
      <c r="Q559">
        <f t="shared" si="203"/>
        <v>-205691161.99280003</v>
      </c>
      <c r="S559">
        <f t="shared" si="204"/>
        <v>1712014.4369999999</v>
      </c>
      <c r="T559">
        <f t="shared" si="205"/>
        <v>-97328244.067599982</v>
      </c>
      <c r="U559">
        <f t="shared" si="206"/>
        <v>-162731732.58829999</v>
      </c>
      <c r="V559">
        <f t="shared" si="207"/>
        <v>-173405977.78359994</v>
      </c>
      <c r="W559">
        <f t="shared" si="208"/>
        <v>-231498741.08409995</v>
      </c>
      <c r="X559">
        <f t="shared" si="209"/>
        <v>-235462251.22860003</v>
      </c>
      <c r="Z559">
        <f t="shared" si="210"/>
        <v>1858758.5316000001</v>
      </c>
      <c r="AA559">
        <f t="shared" si="211"/>
        <v>-108023655.50359999</v>
      </c>
      <c r="AB559">
        <f t="shared" si="212"/>
        <v>-176741749.3012</v>
      </c>
      <c r="AC559">
        <f t="shared" si="213"/>
        <v>-220403859.61279991</v>
      </c>
      <c r="AD559">
        <f t="shared" si="214"/>
        <v>-263951835.6286</v>
      </c>
      <c r="AE559">
        <f t="shared" si="215"/>
        <v>-265233340.46440002</v>
      </c>
    </row>
    <row r="560" spans="1:31" x14ac:dyDescent="0.25">
      <c r="A560">
        <v>38.373817080000002</v>
      </c>
      <c r="B560">
        <v>120.1854838</v>
      </c>
      <c r="C560">
        <v>19.948394780000001</v>
      </c>
      <c r="D560">
        <v>18.856767649999998</v>
      </c>
      <c r="E560" t="b">
        <f t="shared" si="192"/>
        <v>0</v>
      </c>
      <c r="F560">
        <f t="shared" si="193"/>
        <v>-80.88520625000001</v>
      </c>
      <c r="G560">
        <f t="shared" si="194"/>
        <v>-180.62718015000002</v>
      </c>
      <c r="H560">
        <f t="shared" si="195"/>
        <v>-280.36915405000002</v>
      </c>
      <c r="I560">
        <f t="shared" si="196"/>
        <v>-380.11112795000003</v>
      </c>
      <c r="J560">
        <f t="shared" si="197"/>
        <v>-479.85310185000003</v>
      </c>
      <c r="L560">
        <f t="shared" si="198"/>
        <v>36204993.887999997</v>
      </c>
      <c r="M560">
        <f t="shared" si="199"/>
        <v>-131034034.12500003</v>
      </c>
      <c r="N560">
        <f t="shared" si="200"/>
        <v>-249265508.60699999</v>
      </c>
      <c r="O560">
        <f t="shared" si="201"/>
        <v>-285976537.13100004</v>
      </c>
      <c r="P560">
        <f t="shared" si="202"/>
        <v>-349702237.71400005</v>
      </c>
      <c r="Q560">
        <f t="shared" si="203"/>
        <v>-364688357.40600002</v>
      </c>
      <c r="S560">
        <f t="shared" si="204"/>
        <v>39599212.064999998</v>
      </c>
      <c r="T560">
        <f t="shared" si="205"/>
        <v>-147211075.37500003</v>
      </c>
      <c r="U560">
        <f t="shared" si="206"/>
        <v>-272747042.02649999</v>
      </c>
      <c r="V560">
        <f t="shared" si="207"/>
        <v>-299994994.83349997</v>
      </c>
      <c r="W560">
        <f t="shared" si="208"/>
        <v>-406718906.90649998</v>
      </c>
      <c r="X560">
        <f t="shared" si="209"/>
        <v>-417472198.60949999</v>
      </c>
      <c r="Z560">
        <f t="shared" si="210"/>
        <v>42993430.241999999</v>
      </c>
      <c r="AA560">
        <f t="shared" si="211"/>
        <v>-163388116.62500003</v>
      </c>
      <c r="AB560">
        <f t="shared" si="212"/>
        <v>-296228575.44600004</v>
      </c>
      <c r="AC560">
        <f t="shared" si="213"/>
        <v>-381302049.50799996</v>
      </c>
      <c r="AD560">
        <f t="shared" si="214"/>
        <v>-463735576.09900004</v>
      </c>
      <c r="AE560">
        <f t="shared" si="215"/>
        <v>-470256039.81300002</v>
      </c>
    </row>
    <row r="561" spans="1:31" x14ac:dyDescent="0.25">
      <c r="A561">
        <v>38.373985089999998</v>
      </c>
      <c r="B561">
        <v>91.422202350000006</v>
      </c>
      <c r="C561">
        <v>20.624670030000001</v>
      </c>
      <c r="D561">
        <v>3.1869440099999999</v>
      </c>
      <c r="E561" t="b">
        <f t="shared" si="192"/>
        <v>0</v>
      </c>
      <c r="F561">
        <f t="shared" si="193"/>
        <v>-99.936406140000003</v>
      </c>
      <c r="G561">
        <f t="shared" si="194"/>
        <v>-203.05975629000002</v>
      </c>
      <c r="H561">
        <f t="shared" si="195"/>
        <v>-306.18310644000002</v>
      </c>
      <c r="I561">
        <f t="shared" si="196"/>
        <v>-409.30645659000004</v>
      </c>
      <c r="J561">
        <f t="shared" si="197"/>
        <v>-512.42980674</v>
      </c>
      <c r="L561">
        <f t="shared" si="198"/>
        <v>6118932.4992000004</v>
      </c>
      <c r="M561">
        <f t="shared" si="199"/>
        <v>-161896977.94680002</v>
      </c>
      <c r="N561">
        <f t="shared" si="200"/>
        <v>-280222463.68019998</v>
      </c>
      <c r="O561">
        <f t="shared" si="201"/>
        <v>-312306768.56880003</v>
      </c>
      <c r="P561">
        <f t="shared" si="202"/>
        <v>-376561940.06279999</v>
      </c>
      <c r="Q561">
        <f t="shared" si="203"/>
        <v>-389446653.12239999</v>
      </c>
      <c r="S561">
        <f t="shared" si="204"/>
        <v>6692582.4210000001</v>
      </c>
      <c r="T561">
        <f t="shared" si="205"/>
        <v>-181884259.17480001</v>
      </c>
      <c r="U561">
        <f t="shared" si="206"/>
        <v>-306620231.99790001</v>
      </c>
      <c r="V561">
        <f t="shared" si="207"/>
        <v>-327615923.89079994</v>
      </c>
      <c r="W561">
        <f t="shared" si="208"/>
        <v>-437957908.55129999</v>
      </c>
      <c r="X561">
        <f t="shared" si="209"/>
        <v>-445813931.86379999</v>
      </c>
      <c r="Z561">
        <f t="shared" si="210"/>
        <v>7266232.3428000007</v>
      </c>
      <c r="AA561">
        <f t="shared" si="211"/>
        <v>-201871540.40279999</v>
      </c>
      <c r="AB561">
        <f t="shared" si="212"/>
        <v>-333018000.31560004</v>
      </c>
      <c r="AC561">
        <f t="shared" si="213"/>
        <v>-416409024.75839996</v>
      </c>
      <c r="AD561">
        <f t="shared" si="214"/>
        <v>-499353877.03980005</v>
      </c>
      <c r="AE561">
        <f t="shared" si="215"/>
        <v>-502181210.60519999</v>
      </c>
    </row>
    <row r="562" spans="1:31" x14ac:dyDescent="0.25">
      <c r="A562">
        <v>38.374339229999997</v>
      </c>
      <c r="B562">
        <v>117.5410725</v>
      </c>
      <c r="C562">
        <v>26.05046844</v>
      </c>
      <c r="D562">
        <v>0.50635498999999995</v>
      </c>
      <c r="E562" t="b">
        <f t="shared" si="192"/>
        <v>0</v>
      </c>
      <c r="F562">
        <f t="shared" si="193"/>
        <v>-129.74598720999998</v>
      </c>
      <c r="G562">
        <f t="shared" si="194"/>
        <v>-259.99832941</v>
      </c>
      <c r="H562">
        <f t="shared" si="195"/>
        <v>-390.25067161000004</v>
      </c>
      <c r="I562">
        <f t="shared" si="196"/>
        <v>-520.50301380999997</v>
      </c>
      <c r="J562">
        <f t="shared" si="197"/>
        <v>-650.75535601000001</v>
      </c>
      <c r="L562">
        <f t="shared" si="198"/>
        <v>972201.5808</v>
      </c>
      <c r="M562">
        <f t="shared" si="199"/>
        <v>-210188499.28019997</v>
      </c>
      <c r="N562">
        <f t="shared" si="200"/>
        <v>-358797694.58579999</v>
      </c>
      <c r="O562">
        <f t="shared" si="201"/>
        <v>-398055685.04220003</v>
      </c>
      <c r="P562">
        <f t="shared" si="202"/>
        <v>-478862772.7051999</v>
      </c>
      <c r="Q562">
        <f t="shared" si="203"/>
        <v>-494574070.56760001</v>
      </c>
      <c r="S562">
        <f t="shared" si="204"/>
        <v>1063345.4789999998</v>
      </c>
      <c r="T562">
        <f t="shared" si="205"/>
        <v>-236137696.72219998</v>
      </c>
      <c r="U562">
        <f t="shared" si="206"/>
        <v>-392597477.4091</v>
      </c>
      <c r="V562">
        <f t="shared" si="207"/>
        <v>-417568218.62269998</v>
      </c>
      <c r="W562">
        <f t="shared" si="208"/>
        <v>-556938224.7766999</v>
      </c>
      <c r="X562">
        <f t="shared" si="209"/>
        <v>-566157159.72870004</v>
      </c>
      <c r="Z562">
        <f t="shared" si="210"/>
        <v>1154489.3772</v>
      </c>
      <c r="AA562">
        <f t="shared" si="211"/>
        <v>-262086894.16419995</v>
      </c>
      <c r="AB562">
        <f t="shared" si="212"/>
        <v>-426397260.2324</v>
      </c>
      <c r="AC562">
        <f t="shared" si="213"/>
        <v>-530740913.38959998</v>
      </c>
      <c r="AD562">
        <f t="shared" si="214"/>
        <v>-635013676.84819996</v>
      </c>
      <c r="AE562">
        <f t="shared" si="215"/>
        <v>-637740248.88979995</v>
      </c>
    </row>
    <row r="563" spans="1:31" x14ac:dyDescent="0.25">
      <c r="A563">
        <v>38.379437920000001</v>
      </c>
      <c r="B563">
        <v>115.9007435</v>
      </c>
      <c r="C563">
        <v>10.858460429999999</v>
      </c>
      <c r="D563">
        <v>0.50213498000000001</v>
      </c>
      <c r="E563" t="b">
        <f t="shared" si="192"/>
        <v>0</v>
      </c>
      <c r="F563">
        <f t="shared" si="193"/>
        <v>-53.790167169999997</v>
      </c>
      <c r="G563">
        <f t="shared" si="194"/>
        <v>-108.08246932</v>
      </c>
      <c r="H563">
        <f t="shared" si="195"/>
        <v>-162.37477146999998</v>
      </c>
      <c r="I563">
        <f t="shared" si="196"/>
        <v>-216.66707362</v>
      </c>
      <c r="J563">
        <f t="shared" si="197"/>
        <v>-270.95937577000001</v>
      </c>
      <c r="L563">
        <f t="shared" si="198"/>
        <v>964099.16159999999</v>
      </c>
      <c r="M563">
        <f t="shared" si="199"/>
        <v>-87140070.815399989</v>
      </c>
      <c r="N563">
        <f t="shared" si="200"/>
        <v>-149153807.66159999</v>
      </c>
      <c r="O563">
        <f t="shared" si="201"/>
        <v>-165622266.8994</v>
      </c>
      <c r="P563">
        <f t="shared" si="202"/>
        <v>-199333707.7304</v>
      </c>
      <c r="Q563">
        <f t="shared" si="203"/>
        <v>-205929125.58519998</v>
      </c>
      <c r="S563">
        <f t="shared" si="204"/>
        <v>1054483.4580000001</v>
      </c>
      <c r="T563">
        <f t="shared" si="205"/>
        <v>-97898104.24939999</v>
      </c>
      <c r="U563">
        <f t="shared" si="206"/>
        <v>-163204528.67320001</v>
      </c>
      <c r="V563">
        <f t="shared" si="207"/>
        <v>-173741005.47289997</v>
      </c>
      <c r="W563">
        <f t="shared" si="208"/>
        <v>-231833768.77339998</v>
      </c>
      <c r="X563">
        <f t="shared" si="209"/>
        <v>-235734656.91989997</v>
      </c>
      <c r="Z563">
        <f t="shared" si="210"/>
        <v>1144867.7544</v>
      </c>
      <c r="AA563">
        <f t="shared" si="211"/>
        <v>-108656137.68339999</v>
      </c>
      <c r="AB563">
        <f t="shared" si="212"/>
        <v>-177255249.68480003</v>
      </c>
      <c r="AC563">
        <f t="shared" si="213"/>
        <v>-220829689.19919997</v>
      </c>
      <c r="AD563">
        <f t="shared" si="214"/>
        <v>-264333829.81639999</v>
      </c>
      <c r="AE563">
        <f t="shared" si="215"/>
        <v>-265540188.25459999</v>
      </c>
    </row>
    <row r="564" spans="1:31" x14ac:dyDescent="0.25">
      <c r="A564">
        <v>38.380494990000003</v>
      </c>
      <c r="B564">
        <v>120.1278551</v>
      </c>
      <c r="C564">
        <v>15.595745089999999</v>
      </c>
      <c r="D564">
        <v>188.36354069999999</v>
      </c>
      <c r="E564" t="b">
        <f t="shared" si="192"/>
        <v>1</v>
      </c>
      <c r="F564">
        <f t="shared" si="193"/>
        <v>110.38481524999999</v>
      </c>
      <c r="G564">
        <f t="shared" si="194"/>
        <v>32.40608979999999</v>
      </c>
      <c r="H564">
        <f t="shared" si="195"/>
        <v>-45.572635649999995</v>
      </c>
      <c r="I564">
        <f t="shared" si="196"/>
        <v>-123.55136110000001</v>
      </c>
      <c r="J564">
        <f t="shared" si="197"/>
        <v>-201.53008655000002</v>
      </c>
      <c r="L564">
        <f t="shared" si="198"/>
        <v>29943830.572800003</v>
      </c>
      <c r="M564">
        <f t="shared" si="199"/>
        <v>25265107.0458</v>
      </c>
      <c r="N564">
        <f t="shared" si="200"/>
        <v>21522128.224199999</v>
      </c>
      <c r="O564">
        <f t="shared" si="201"/>
        <v>-46484088.362999998</v>
      </c>
      <c r="P564">
        <f t="shared" si="202"/>
        <v>-113667252.212</v>
      </c>
      <c r="Q564">
        <f t="shared" si="203"/>
        <v>-153162865.778</v>
      </c>
      <c r="S564">
        <f t="shared" si="204"/>
        <v>32751064.688999999</v>
      </c>
      <c r="T564">
        <f t="shared" si="205"/>
        <v>28384256.0638</v>
      </c>
      <c r="U564">
        <f t="shared" si="206"/>
        <v>23549575.085900001</v>
      </c>
      <c r="V564">
        <f t="shared" si="207"/>
        <v>-48762720.145499989</v>
      </c>
      <c r="W564">
        <f t="shared" si="208"/>
        <v>-132199956.37699999</v>
      </c>
      <c r="X564">
        <f t="shared" si="209"/>
        <v>-175331175.2985</v>
      </c>
      <c r="Z564">
        <f t="shared" si="210"/>
        <v>35558298.805200003</v>
      </c>
      <c r="AA564">
        <f t="shared" si="211"/>
        <v>31503405.081799999</v>
      </c>
      <c r="AB564">
        <f t="shared" si="212"/>
        <v>25577021.947600003</v>
      </c>
      <c r="AC564">
        <f t="shared" si="213"/>
        <v>-61978784.48399999</v>
      </c>
      <c r="AD564">
        <f t="shared" si="214"/>
        <v>-150732660.542</v>
      </c>
      <c r="AE564">
        <f t="shared" si="215"/>
        <v>-197499484.81900001</v>
      </c>
    </row>
    <row r="565" spans="1:31" x14ac:dyDescent="0.25">
      <c r="A565">
        <v>38.384214669999999</v>
      </c>
      <c r="B565">
        <v>118.8344116</v>
      </c>
      <c r="C565">
        <v>19.470922470000001</v>
      </c>
      <c r="D565">
        <v>2.4486000000000001E-2</v>
      </c>
      <c r="E565" t="b">
        <f t="shared" si="192"/>
        <v>0</v>
      </c>
      <c r="F565">
        <f t="shared" si="193"/>
        <v>-97.330126350000015</v>
      </c>
      <c r="G565">
        <f t="shared" si="194"/>
        <v>-194.68473870000003</v>
      </c>
      <c r="H565">
        <f t="shared" si="195"/>
        <v>-292.03935104999999</v>
      </c>
      <c r="I565">
        <f t="shared" si="196"/>
        <v>-389.39396340000002</v>
      </c>
      <c r="J565">
        <f t="shared" si="197"/>
        <v>-486.74857574999999</v>
      </c>
      <c r="L565">
        <f t="shared" si="198"/>
        <v>47013.120000000003</v>
      </c>
      <c r="M565">
        <f t="shared" si="199"/>
        <v>-157674804.68700004</v>
      </c>
      <c r="N565">
        <f t="shared" si="200"/>
        <v>-268664939.40600002</v>
      </c>
      <c r="O565">
        <f t="shared" si="201"/>
        <v>-297880138.07100004</v>
      </c>
      <c r="P565">
        <f t="shared" si="202"/>
        <v>-358242446.32800001</v>
      </c>
      <c r="Q565">
        <f t="shared" si="203"/>
        <v>-369928917.56999999</v>
      </c>
      <c r="S565">
        <f t="shared" si="204"/>
        <v>51420.6</v>
      </c>
      <c r="T565">
        <f t="shared" si="205"/>
        <v>-177140829.95700002</v>
      </c>
      <c r="U565">
        <f t="shared" si="206"/>
        <v>-293973955.43700004</v>
      </c>
      <c r="V565">
        <f t="shared" si="207"/>
        <v>-312482105.62349999</v>
      </c>
      <c r="W565">
        <f t="shared" si="208"/>
        <v>-416651540.838</v>
      </c>
      <c r="X565">
        <f t="shared" si="209"/>
        <v>-423471260.90249997</v>
      </c>
      <c r="Z565">
        <f t="shared" si="210"/>
        <v>55828.080000000009</v>
      </c>
      <c r="AA565">
        <f t="shared" si="211"/>
        <v>-196606855.22700003</v>
      </c>
      <c r="AB565">
        <f t="shared" si="212"/>
        <v>-319282971.46800005</v>
      </c>
      <c r="AC565">
        <f t="shared" si="213"/>
        <v>-397173517.42799997</v>
      </c>
      <c r="AD565">
        <f t="shared" si="214"/>
        <v>-475060635.34800005</v>
      </c>
      <c r="AE565">
        <f t="shared" si="215"/>
        <v>-477013604.23500001</v>
      </c>
    </row>
    <row r="566" spans="1:31" x14ac:dyDescent="0.25">
      <c r="A566">
        <v>38.398971600000003</v>
      </c>
      <c r="B566">
        <v>120.3669147</v>
      </c>
      <c r="C566">
        <v>55.417339320000004</v>
      </c>
      <c r="D566">
        <v>0.97944498000000002</v>
      </c>
      <c r="E566" t="b">
        <f t="shared" si="192"/>
        <v>0</v>
      </c>
      <c r="F566">
        <f t="shared" si="193"/>
        <v>-276.10725162000006</v>
      </c>
      <c r="G566">
        <f t="shared" si="194"/>
        <v>-553.19394822000004</v>
      </c>
      <c r="H566">
        <f t="shared" si="195"/>
        <v>-830.28064482000002</v>
      </c>
      <c r="I566">
        <f t="shared" si="196"/>
        <v>-1107.3673414200002</v>
      </c>
      <c r="J566">
        <f t="shared" si="197"/>
        <v>-1384.4540380200001</v>
      </c>
      <c r="L566">
        <f t="shared" si="198"/>
        <v>1880534.3616000002</v>
      </c>
      <c r="M566">
        <f t="shared" si="199"/>
        <v>-447293747.62440014</v>
      </c>
      <c r="N566">
        <f t="shared" si="200"/>
        <v>-763407648.54359996</v>
      </c>
      <c r="O566">
        <f t="shared" si="201"/>
        <v>-846886257.71640003</v>
      </c>
      <c r="P566">
        <f t="shared" si="202"/>
        <v>-1018777954.1064003</v>
      </c>
      <c r="Q566">
        <f t="shared" si="203"/>
        <v>-1052185068.8952</v>
      </c>
      <c r="S566">
        <f t="shared" si="204"/>
        <v>2056834.4580000001</v>
      </c>
      <c r="T566">
        <f t="shared" si="205"/>
        <v>-502515197.94840014</v>
      </c>
      <c r="U566">
        <f t="shared" si="206"/>
        <v>-835322861.81220007</v>
      </c>
      <c r="V566">
        <f t="shared" si="207"/>
        <v>-888400289.95739996</v>
      </c>
      <c r="W566">
        <f t="shared" si="208"/>
        <v>-1184883055.3194001</v>
      </c>
      <c r="X566">
        <f t="shared" si="209"/>
        <v>-1204475013.0774</v>
      </c>
      <c r="Z566">
        <f t="shared" si="210"/>
        <v>2233134.5544000003</v>
      </c>
      <c r="AA566">
        <f t="shared" si="211"/>
        <v>-557736648.27240014</v>
      </c>
      <c r="AB566">
        <f t="shared" si="212"/>
        <v>-907238075.08080006</v>
      </c>
      <c r="AC566">
        <f t="shared" si="213"/>
        <v>-1129181676.9552</v>
      </c>
      <c r="AD566">
        <f t="shared" si="214"/>
        <v>-1350988156.5324004</v>
      </c>
      <c r="AE566">
        <f t="shared" si="215"/>
        <v>-1356764957.2595999</v>
      </c>
    </row>
    <row r="567" spans="1:31" x14ac:dyDescent="0.25">
      <c r="A567">
        <v>38.415633460000002</v>
      </c>
      <c r="B567">
        <v>116.0226402</v>
      </c>
      <c r="C567">
        <v>78.320755000000005</v>
      </c>
      <c r="D567">
        <v>3.5621330699999998</v>
      </c>
      <c r="E567" t="b">
        <f t="shared" si="192"/>
        <v>0</v>
      </c>
      <c r="F567">
        <f t="shared" si="193"/>
        <v>-388.04164193000003</v>
      </c>
      <c r="G567">
        <f t="shared" si="194"/>
        <v>-779.64541693000012</v>
      </c>
      <c r="H567">
        <f t="shared" si="195"/>
        <v>-1171.2491919300001</v>
      </c>
      <c r="I567">
        <f t="shared" si="196"/>
        <v>-1562.8529669300001</v>
      </c>
      <c r="J567">
        <f t="shared" si="197"/>
        <v>-1954.4567419300001</v>
      </c>
      <c r="L567">
        <f t="shared" si="198"/>
        <v>6839295.4944000002</v>
      </c>
      <c r="M567">
        <f t="shared" si="199"/>
        <v>-628627459.9266001</v>
      </c>
      <c r="N567">
        <f t="shared" si="200"/>
        <v>-1075910675.3634</v>
      </c>
      <c r="O567">
        <f t="shared" si="201"/>
        <v>-1194674175.7686</v>
      </c>
      <c r="P567">
        <f t="shared" si="202"/>
        <v>-1437824729.5755999</v>
      </c>
      <c r="Q567">
        <f t="shared" si="203"/>
        <v>-1485387123.8668001</v>
      </c>
      <c r="S567">
        <f t="shared" si="204"/>
        <v>7480479.4469999997</v>
      </c>
      <c r="T567">
        <f t="shared" si="205"/>
        <v>-706235788.31260002</v>
      </c>
      <c r="U567">
        <f t="shared" si="206"/>
        <v>-1177264579.5643001</v>
      </c>
      <c r="V567">
        <f t="shared" si="207"/>
        <v>-1253236635.3650999</v>
      </c>
      <c r="W567">
        <f t="shared" si="208"/>
        <v>-1672252674.6150999</v>
      </c>
      <c r="X567">
        <f t="shared" si="209"/>
        <v>-1700377365.4791</v>
      </c>
      <c r="Z567">
        <f t="shared" si="210"/>
        <v>8121663.3996000001</v>
      </c>
      <c r="AA567">
        <f t="shared" si="211"/>
        <v>-783844116.69860005</v>
      </c>
      <c r="AB567">
        <f t="shared" si="212"/>
        <v>-1278618483.7652001</v>
      </c>
      <c r="AC567">
        <f t="shared" si="213"/>
        <v>-1592898901.0248001</v>
      </c>
      <c r="AD567">
        <f t="shared" si="214"/>
        <v>-1906680619.6546001</v>
      </c>
      <c r="AE567">
        <f t="shared" si="215"/>
        <v>-1915367607.0914001</v>
      </c>
    </row>
    <row r="568" spans="1:31" x14ac:dyDescent="0.25">
      <c r="A568">
        <v>38.420074110000002</v>
      </c>
      <c r="B568">
        <v>118.4877809</v>
      </c>
      <c r="C568">
        <v>81.806549070000003</v>
      </c>
      <c r="D568">
        <v>1.4691679499999999</v>
      </c>
      <c r="E568" t="b">
        <f t="shared" si="192"/>
        <v>0</v>
      </c>
      <c r="F568">
        <f t="shared" si="193"/>
        <v>-407.56357740000004</v>
      </c>
      <c r="G568">
        <f t="shared" si="194"/>
        <v>-816.59632275000001</v>
      </c>
      <c r="H568">
        <f t="shared" si="195"/>
        <v>-1225.6290681</v>
      </c>
      <c r="I568">
        <f t="shared" si="196"/>
        <v>-1634.6618134500002</v>
      </c>
      <c r="J568">
        <f t="shared" si="197"/>
        <v>-2043.6945588000001</v>
      </c>
      <c r="L568">
        <f t="shared" si="198"/>
        <v>2820802.4640000002</v>
      </c>
      <c r="M568">
        <f t="shared" si="199"/>
        <v>-660252995.38800013</v>
      </c>
      <c r="N568">
        <f t="shared" si="200"/>
        <v>-1126902925.395</v>
      </c>
      <c r="O568">
        <f t="shared" si="201"/>
        <v>-1250141649.4620001</v>
      </c>
      <c r="P568">
        <f t="shared" si="202"/>
        <v>-1503888868.3740001</v>
      </c>
      <c r="Q568">
        <f t="shared" si="203"/>
        <v>-1553207864.6880002</v>
      </c>
      <c r="S568">
        <f t="shared" si="204"/>
        <v>3085252.6949999998</v>
      </c>
      <c r="T568">
        <f t="shared" si="205"/>
        <v>-741765710.86800015</v>
      </c>
      <c r="U568">
        <f t="shared" si="206"/>
        <v>-1233060447.3525</v>
      </c>
      <c r="V568">
        <f t="shared" si="207"/>
        <v>-1311423102.8669999</v>
      </c>
      <c r="W568">
        <f t="shared" si="208"/>
        <v>-1749088140.3915</v>
      </c>
      <c r="X568">
        <f t="shared" si="209"/>
        <v>-1778014266.1560001</v>
      </c>
      <c r="Z568">
        <f t="shared" si="210"/>
        <v>3349702.9260000004</v>
      </c>
      <c r="AA568">
        <f t="shared" si="211"/>
        <v>-823278426.34800005</v>
      </c>
      <c r="AB568">
        <f t="shared" si="212"/>
        <v>-1339217969.3100002</v>
      </c>
      <c r="AC568">
        <f t="shared" si="213"/>
        <v>-1666855532.6159999</v>
      </c>
      <c r="AD568">
        <f t="shared" si="214"/>
        <v>-1994287412.4090004</v>
      </c>
      <c r="AE568">
        <f t="shared" si="215"/>
        <v>-2002820667.6240001</v>
      </c>
    </row>
    <row r="569" spans="1:31" x14ac:dyDescent="0.25">
      <c r="A569">
        <v>38.425306740000003</v>
      </c>
      <c r="B569">
        <v>117.4901277</v>
      </c>
      <c r="C569">
        <v>26.05046844</v>
      </c>
      <c r="D569">
        <v>5.8061470999999996</v>
      </c>
      <c r="E569" t="b">
        <f t="shared" si="192"/>
        <v>0</v>
      </c>
      <c r="F569">
        <f t="shared" si="193"/>
        <v>-124.44619509999998</v>
      </c>
      <c r="G569">
        <f t="shared" si="194"/>
        <v>-254.69853729999997</v>
      </c>
      <c r="H569">
        <f t="shared" si="195"/>
        <v>-384.95087950000004</v>
      </c>
      <c r="I569">
        <f t="shared" si="196"/>
        <v>-515.20322169999997</v>
      </c>
      <c r="J569">
        <f t="shared" si="197"/>
        <v>-645.45556390000002</v>
      </c>
      <c r="L569">
        <f t="shared" si="198"/>
        <v>11147802.432</v>
      </c>
      <c r="M569">
        <f t="shared" si="199"/>
        <v>-201602836.06199998</v>
      </c>
      <c r="N569">
        <f t="shared" si="200"/>
        <v>-351483981.47399998</v>
      </c>
      <c r="O569">
        <f t="shared" si="201"/>
        <v>-392649897.09000009</v>
      </c>
      <c r="P569">
        <f t="shared" si="202"/>
        <v>-473986963.96399993</v>
      </c>
      <c r="Q569">
        <f t="shared" si="203"/>
        <v>-490546228.56400001</v>
      </c>
      <c r="S569">
        <f t="shared" si="204"/>
        <v>12192908.91</v>
      </c>
      <c r="T569">
        <f t="shared" si="205"/>
        <v>-226492075.08199996</v>
      </c>
      <c r="U569">
        <f t="shared" si="206"/>
        <v>-384594791.32299995</v>
      </c>
      <c r="V569">
        <f t="shared" si="207"/>
        <v>-411897441.065</v>
      </c>
      <c r="W569">
        <f t="shared" si="208"/>
        <v>-551267447.21899986</v>
      </c>
      <c r="X569">
        <f t="shared" si="209"/>
        <v>-561546340.59299994</v>
      </c>
      <c r="Z569">
        <f t="shared" si="210"/>
        <v>13238015.388</v>
      </c>
      <c r="AA569">
        <f t="shared" si="211"/>
        <v>-251381314.10199997</v>
      </c>
      <c r="AB569">
        <f t="shared" si="212"/>
        <v>-417705601.17199999</v>
      </c>
      <c r="AC569">
        <f t="shared" si="213"/>
        <v>-523533196.12</v>
      </c>
      <c r="AD569">
        <f t="shared" si="214"/>
        <v>-628547930.47399998</v>
      </c>
      <c r="AE569">
        <f t="shared" si="215"/>
        <v>-632546452.62199998</v>
      </c>
    </row>
    <row r="570" spans="1:31" x14ac:dyDescent="0.25">
      <c r="A570">
        <v>38.425860329999999</v>
      </c>
      <c r="B570">
        <v>120.1363266</v>
      </c>
      <c r="C570">
        <v>26.389209749999999</v>
      </c>
      <c r="D570">
        <v>11.018757819999999</v>
      </c>
      <c r="E570" t="b">
        <f t="shared" si="192"/>
        <v>0</v>
      </c>
      <c r="F570">
        <f t="shared" si="193"/>
        <v>-120.92729092999998</v>
      </c>
      <c r="G570">
        <f t="shared" si="194"/>
        <v>-252.87333967999999</v>
      </c>
      <c r="H570">
        <f t="shared" si="195"/>
        <v>-384.81938842999995</v>
      </c>
      <c r="I570">
        <f t="shared" si="196"/>
        <v>-516.76543717999994</v>
      </c>
      <c r="J570">
        <f t="shared" si="197"/>
        <v>-648.71148592999998</v>
      </c>
      <c r="L570">
        <f t="shared" si="198"/>
        <v>21156015.014400002</v>
      </c>
      <c r="M570">
        <f t="shared" si="199"/>
        <v>-195902211.30659997</v>
      </c>
      <c r="N570">
        <f t="shared" si="200"/>
        <v>-348965208.75839996</v>
      </c>
      <c r="O570">
        <f t="shared" si="201"/>
        <v>-392515776.19859993</v>
      </c>
      <c r="P570">
        <f t="shared" si="202"/>
        <v>-475424202.2055999</v>
      </c>
      <c r="Q570">
        <f t="shared" si="203"/>
        <v>-493020729.30679995</v>
      </c>
      <c r="S570">
        <f t="shared" si="204"/>
        <v>23139391.422000002</v>
      </c>
      <c r="T570">
        <f t="shared" si="205"/>
        <v>-220087669.49259996</v>
      </c>
      <c r="U570">
        <f t="shared" si="206"/>
        <v>-381838742.91679996</v>
      </c>
      <c r="V570">
        <f t="shared" si="207"/>
        <v>-411756745.6200999</v>
      </c>
      <c r="W570">
        <f t="shared" si="208"/>
        <v>-552939017.78259981</v>
      </c>
      <c r="X570">
        <f t="shared" si="209"/>
        <v>-564378992.75909996</v>
      </c>
      <c r="Z570">
        <f t="shared" si="210"/>
        <v>25122767.829600003</v>
      </c>
      <c r="AA570">
        <f t="shared" si="211"/>
        <v>-244273127.67859995</v>
      </c>
      <c r="AB570">
        <f t="shared" si="212"/>
        <v>-414712277.07520002</v>
      </c>
      <c r="AC570">
        <f t="shared" si="213"/>
        <v>-523354368.26479989</v>
      </c>
      <c r="AD570">
        <f t="shared" si="214"/>
        <v>-630453833.35959995</v>
      </c>
      <c r="AE570">
        <f t="shared" si="215"/>
        <v>-635737256.21139991</v>
      </c>
    </row>
    <row r="571" spans="1:31" x14ac:dyDescent="0.25">
      <c r="A571">
        <v>38.425955649999999</v>
      </c>
      <c r="B571">
        <v>118.42997750000001</v>
      </c>
      <c r="C571">
        <v>13.2817173</v>
      </c>
      <c r="D571">
        <v>18.266651150000001</v>
      </c>
      <c r="E571" t="b">
        <f t="shared" si="192"/>
        <v>1</v>
      </c>
      <c r="F571">
        <f t="shared" si="193"/>
        <v>-48.141935349999997</v>
      </c>
      <c r="G571">
        <f t="shared" si="194"/>
        <v>-114.55052185</v>
      </c>
      <c r="H571">
        <f t="shared" si="195"/>
        <v>-180.95910835000001</v>
      </c>
      <c r="I571">
        <f t="shared" si="196"/>
        <v>-247.36769484999999</v>
      </c>
      <c r="J571">
        <f t="shared" si="197"/>
        <v>-313.77628134999998</v>
      </c>
      <c r="L571">
        <f t="shared" si="198"/>
        <v>25500897.216000002</v>
      </c>
      <c r="M571">
        <f t="shared" si="199"/>
        <v>-77989935.26699999</v>
      </c>
      <c r="N571">
        <f t="shared" si="200"/>
        <v>-158079720.15299997</v>
      </c>
      <c r="O571">
        <f t="shared" si="201"/>
        <v>-184578290.51699999</v>
      </c>
      <c r="P571">
        <f t="shared" si="202"/>
        <v>-227578279.26199996</v>
      </c>
      <c r="Q571">
        <f t="shared" si="203"/>
        <v>-238469973.82599998</v>
      </c>
      <c r="S571">
        <f t="shared" si="204"/>
        <v>27891606.330000002</v>
      </c>
      <c r="T571">
        <f t="shared" si="205"/>
        <v>-87618322.336999997</v>
      </c>
      <c r="U571">
        <f t="shared" si="206"/>
        <v>-172971287.99349999</v>
      </c>
      <c r="V571">
        <f t="shared" si="207"/>
        <v>-193626245.93449998</v>
      </c>
      <c r="W571">
        <f t="shared" si="208"/>
        <v>-264683433.48949996</v>
      </c>
      <c r="X571">
        <f t="shared" si="209"/>
        <v>-272985364.77449995</v>
      </c>
      <c r="Z571">
        <f t="shared" si="210"/>
        <v>30282315.444000006</v>
      </c>
      <c r="AA571">
        <f t="shared" si="211"/>
        <v>-97246709.40699999</v>
      </c>
      <c r="AB571">
        <f t="shared" si="212"/>
        <v>-187862855.83399999</v>
      </c>
      <c r="AC571">
        <f t="shared" si="213"/>
        <v>-246104387.35599998</v>
      </c>
      <c r="AD571">
        <f t="shared" si="214"/>
        <v>-301788587.71700001</v>
      </c>
      <c r="AE571">
        <f t="shared" si="215"/>
        <v>-307500755.72299993</v>
      </c>
    </row>
    <row r="572" spans="1:31" x14ac:dyDescent="0.25">
      <c r="A572">
        <v>38.443347279999998</v>
      </c>
      <c r="B572">
        <v>117.7864811</v>
      </c>
      <c r="C572">
        <v>52.10093689</v>
      </c>
      <c r="D572">
        <v>5.4336562199999996</v>
      </c>
      <c r="E572" t="b">
        <f t="shared" si="192"/>
        <v>0</v>
      </c>
      <c r="F572">
        <f t="shared" si="193"/>
        <v>-255.07102823000002</v>
      </c>
      <c r="G572">
        <f t="shared" si="194"/>
        <v>-515.57571268000004</v>
      </c>
      <c r="H572">
        <f t="shared" si="195"/>
        <v>-776.08039713000005</v>
      </c>
      <c r="I572">
        <f t="shared" si="196"/>
        <v>-1036.58508158</v>
      </c>
      <c r="J572">
        <f t="shared" si="197"/>
        <v>-1297.08976603</v>
      </c>
      <c r="L572">
        <f t="shared" si="198"/>
        <v>10432619.942400001</v>
      </c>
      <c r="M572">
        <f t="shared" si="199"/>
        <v>-413215065.73260003</v>
      </c>
      <c r="N572">
        <f t="shared" si="200"/>
        <v>-711494483.49840009</v>
      </c>
      <c r="O572">
        <f t="shared" si="201"/>
        <v>-791602005.07260001</v>
      </c>
      <c r="P572">
        <f t="shared" si="202"/>
        <v>-953658275.05359983</v>
      </c>
      <c r="Q572">
        <f t="shared" si="203"/>
        <v>-985788222.18279994</v>
      </c>
      <c r="S572">
        <f t="shared" si="204"/>
        <v>11410678.062000001</v>
      </c>
      <c r="T572">
        <f t="shared" si="205"/>
        <v>-464229271.37860006</v>
      </c>
      <c r="U572">
        <f t="shared" si="206"/>
        <v>-778519326.14680016</v>
      </c>
      <c r="V572">
        <f t="shared" si="207"/>
        <v>-830406024.92909992</v>
      </c>
      <c r="W572">
        <f t="shared" si="208"/>
        <v>-1109146037.2905998</v>
      </c>
      <c r="X572">
        <f t="shared" si="209"/>
        <v>-1128468096.4461</v>
      </c>
      <c r="Z572">
        <f t="shared" si="210"/>
        <v>12388736.181600001</v>
      </c>
      <c r="AA572">
        <f t="shared" si="211"/>
        <v>-515243477.02460003</v>
      </c>
      <c r="AB572">
        <f t="shared" si="212"/>
        <v>-845544168.79520023</v>
      </c>
      <c r="AC572">
        <f t="shared" si="213"/>
        <v>-1055469340.0967999</v>
      </c>
      <c r="AD572">
        <f t="shared" si="214"/>
        <v>-1264633799.5275998</v>
      </c>
      <c r="AE572">
        <f t="shared" si="215"/>
        <v>-1271147970.7093999</v>
      </c>
    </row>
    <row r="573" spans="1:31" x14ac:dyDescent="0.25">
      <c r="A573">
        <v>38.444449740000003</v>
      </c>
      <c r="B573">
        <v>119.1387679</v>
      </c>
      <c r="C573">
        <v>91.852645870000003</v>
      </c>
      <c r="D573">
        <v>1.22430599</v>
      </c>
      <c r="E573" t="b">
        <f t="shared" si="192"/>
        <v>0</v>
      </c>
      <c r="F573">
        <f t="shared" si="193"/>
        <v>-458.03892336000001</v>
      </c>
      <c r="G573">
        <f t="shared" si="194"/>
        <v>-917.30215271000009</v>
      </c>
      <c r="H573">
        <f t="shared" si="195"/>
        <v>-1376.56538206</v>
      </c>
      <c r="I573">
        <f t="shared" si="196"/>
        <v>-1835.8286114100001</v>
      </c>
      <c r="J573">
        <f t="shared" si="197"/>
        <v>-2295.0918407599997</v>
      </c>
      <c r="L573">
        <f t="shared" si="198"/>
        <v>2350667.5008</v>
      </c>
      <c r="M573">
        <f t="shared" si="199"/>
        <v>-742023055.84320009</v>
      </c>
      <c r="N573">
        <f t="shared" si="200"/>
        <v>-1265876970.7398</v>
      </c>
      <c r="O573">
        <f t="shared" si="201"/>
        <v>-1404096689.7012</v>
      </c>
      <c r="P573">
        <f t="shared" si="202"/>
        <v>-1688962322.4972</v>
      </c>
      <c r="Q573">
        <f t="shared" si="203"/>
        <v>-1744269798.9775999</v>
      </c>
      <c r="S573">
        <f t="shared" si="204"/>
        <v>2571042.5789999999</v>
      </c>
      <c r="T573">
        <f t="shared" si="205"/>
        <v>-833630840.51520002</v>
      </c>
      <c r="U573">
        <f t="shared" si="206"/>
        <v>-1385126250.5921001</v>
      </c>
      <c r="V573">
        <f t="shared" si="207"/>
        <v>-1472924958.8041997</v>
      </c>
      <c r="W573">
        <f t="shared" si="208"/>
        <v>-1964336614.2086997</v>
      </c>
      <c r="X573">
        <f t="shared" si="209"/>
        <v>-1996729901.4611998</v>
      </c>
      <c r="Z573">
        <f t="shared" si="210"/>
        <v>2791417.6572000002</v>
      </c>
      <c r="AA573">
        <f t="shared" si="211"/>
        <v>-925238625.18720007</v>
      </c>
      <c r="AB573">
        <f t="shared" si="212"/>
        <v>-1504375530.4444001</v>
      </c>
      <c r="AC573">
        <f t="shared" si="213"/>
        <v>-1872128919.6015997</v>
      </c>
      <c r="AD573">
        <f t="shared" si="214"/>
        <v>-2239710905.9201999</v>
      </c>
      <c r="AE573">
        <f t="shared" si="215"/>
        <v>-2249190003.9447999</v>
      </c>
    </row>
    <row r="574" spans="1:31" x14ac:dyDescent="0.25">
      <c r="A574">
        <v>38.446794599999997</v>
      </c>
      <c r="B574">
        <v>117.25855439999999</v>
      </c>
      <c r="C574">
        <v>26.05046844</v>
      </c>
      <c r="D574">
        <v>5.0618801099999997</v>
      </c>
      <c r="E574" t="b">
        <f t="shared" si="192"/>
        <v>0</v>
      </c>
      <c r="F574">
        <f t="shared" si="193"/>
        <v>-125.19046208999998</v>
      </c>
      <c r="G574">
        <f t="shared" si="194"/>
        <v>-255.44280428999997</v>
      </c>
      <c r="H574">
        <f t="shared" si="195"/>
        <v>-385.69514649000001</v>
      </c>
      <c r="I574">
        <f t="shared" si="196"/>
        <v>-515.94748869</v>
      </c>
      <c r="J574">
        <f t="shared" si="197"/>
        <v>-646.19983089000004</v>
      </c>
      <c r="L574">
        <f t="shared" si="198"/>
        <v>9718809.8112000003</v>
      </c>
      <c r="M574">
        <f t="shared" si="199"/>
        <v>-202808548.58579999</v>
      </c>
      <c r="N574">
        <f t="shared" si="200"/>
        <v>-352511069.92019993</v>
      </c>
      <c r="O574">
        <f t="shared" si="201"/>
        <v>-393409049.41980004</v>
      </c>
      <c r="P574">
        <f t="shared" si="202"/>
        <v>-474671689.59479994</v>
      </c>
      <c r="Q574">
        <f t="shared" si="203"/>
        <v>-491111871.47640002</v>
      </c>
      <c r="S574">
        <f t="shared" si="204"/>
        <v>10629948.230999999</v>
      </c>
      <c r="T574">
        <f t="shared" si="205"/>
        <v>-227846641.00379997</v>
      </c>
      <c r="U574">
        <f t="shared" si="206"/>
        <v>-385718634.47789997</v>
      </c>
      <c r="V574">
        <f t="shared" si="207"/>
        <v>-412693806.74429995</v>
      </c>
      <c r="W574">
        <f t="shared" si="208"/>
        <v>-552063812.89829993</v>
      </c>
      <c r="X574">
        <f t="shared" si="209"/>
        <v>-562193852.8743</v>
      </c>
      <c r="Z574">
        <f t="shared" si="210"/>
        <v>11541086.650799999</v>
      </c>
      <c r="AA574">
        <f t="shared" si="211"/>
        <v>-252884733.42179999</v>
      </c>
      <c r="AB574">
        <f t="shared" si="212"/>
        <v>-418926199.03559995</v>
      </c>
      <c r="AC574">
        <f t="shared" si="213"/>
        <v>-524545399.22639996</v>
      </c>
      <c r="AD574">
        <f t="shared" si="214"/>
        <v>-629455936.20179999</v>
      </c>
      <c r="AE574">
        <f t="shared" si="215"/>
        <v>-633275834.27219999</v>
      </c>
    </row>
    <row r="575" spans="1:31" x14ac:dyDescent="0.25">
      <c r="A575">
        <v>38.448899300000001</v>
      </c>
      <c r="B575">
        <v>117.7286076</v>
      </c>
      <c r="C575">
        <v>25.940095899999999</v>
      </c>
      <c r="D575">
        <v>11.34442329</v>
      </c>
      <c r="E575" t="b">
        <f t="shared" si="192"/>
        <v>0</v>
      </c>
      <c r="F575">
        <f t="shared" si="193"/>
        <v>-118.35605621000001</v>
      </c>
      <c r="G575">
        <f t="shared" si="194"/>
        <v>-248.05653570999999</v>
      </c>
      <c r="H575">
        <f t="shared" si="195"/>
        <v>-377.75701520999996</v>
      </c>
      <c r="I575">
        <f t="shared" si="196"/>
        <v>-507.45749470999999</v>
      </c>
      <c r="J575">
        <f t="shared" si="197"/>
        <v>-637.15797421000002</v>
      </c>
      <c r="L575">
        <f t="shared" si="198"/>
        <v>21781292.716800001</v>
      </c>
      <c r="M575">
        <f t="shared" si="199"/>
        <v>-191736811.06020004</v>
      </c>
      <c r="N575">
        <f t="shared" si="200"/>
        <v>-342318019.27979994</v>
      </c>
      <c r="O575">
        <f t="shared" si="201"/>
        <v>-385312155.51419997</v>
      </c>
      <c r="P575">
        <f t="shared" si="202"/>
        <v>-466860895.13319993</v>
      </c>
      <c r="Q575">
        <f t="shared" si="203"/>
        <v>-484240060.39960003</v>
      </c>
      <c r="S575">
        <f t="shared" si="204"/>
        <v>23823288.908999998</v>
      </c>
      <c r="T575">
        <f t="shared" si="205"/>
        <v>-215408022.30220002</v>
      </c>
      <c r="U575">
        <f t="shared" si="206"/>
        <v>-374565368.92209995</v>
      </c>
      <c r="V575">
        <f t="shared" si="207"/>
        <v>-404200006.27469993</v>
      </c>
      <c r="W575">
        <f t="shared" si="208"/>
        <v>-542979519.33969986</v>
      </c>
      <c r="X575">
        <f t="shared" si="209"/>
        <v>-554327437.56270003</v>
      </c>
      <c r="Z575">
        <f t="shared" si="210"/>
        <v>25865285.101199999</v>
      </c>
      <c r="AA575">
        <f t="shared" si="211"/>
        <v>-239079233.54420003</v>
      </c>
      <c r="AB575">
        <f t="shared" si="212"/>
        <v>-406812718.56440002</v>
      </c>
      <c r="AC575">
        <f t="shared" si="213"/>
        <v>-513749540.68559992</v>
      </c>
      <c r="AD575">
        <f t="shared" si="214"/>
        <v>-619098143.54619992</v>
      </c>
      <c r="AE575">
        <f t="shared" si="215"/>
        <v>-624414814.72580004</v>
      </c>
    </row>
    <row r="576" spans="1:31" x14ac:dyDescent="0.25">
      <c r="A576">
        <v>38.451707110000001</v>
      </c>
      <c r="B576">
        <v>116.1446526</v>
      </c>
      <c r="C576">
        <v>78.320755000000005</v>
      </c>
      <c r="D576">
        <v>1.2574019400000001</v>
      </c>
      <c r="E576" t="b">
        <f t="shared" si="192"/>
        <v>0</v>
      </c>
      <c r="F576">
        <f t="shared" si="193"/>
        <v>-390.34637306000002</v>
      </c>
      <c r="G576">
        <f t="shared" si="194"/>
        <v>-781.95014806000006</v>
      </c>
      <c r="H576">
        <f t="shared" si="195"/>
        <v>-1173.5539230600002</v>
      </c>
      <c r="I576">
        <f t="shared" si="196"/>
        <v>-1565.1576980600003</v>
      </c>
      <c r="J576">
        <f t="shared" si="197"/>
        <v>-1956.7614730600003</v>
      </c>
      <c r="L576">
        <f t="shared" si="198"/>
        <v>2414211.7248</v>
      </c>
      <c r="M576">
        <f t="shared" si="199"/>
        <v>-632361124.35720003</v>
      </c>
      <c r="N576">
        <f t="shared" si="200"/>
        <v>-1079091204.3227999</v>
      </c>
      <c r="O576">
        <f t="shared" si="201"/>
        <v>-1197025001.5212002</v>
      </c>
      <c r="P576">
        <f t="shared" si="202"/>
        <v>-1439945082.2151999</v>
      </c>
      <c r="Q576">
        <f t="shared" si="203"/>
        <v>-1487138719.5256002</v>
      </c>
      <c r="S576">
        <f t="shared" si="204"/>
        <v>2640544.074</v>
      </c>
      <c r="T576">
        <f t="shared" si="205"/>
        <v>-710430398.96920002</v>
      </c>
      <c r="U576">
        <f t="shared" si="206"/>
        <v>-1180744723.5706</v>
      </c>
      <c r="V576">
        <f t="shared" si="207"/>
        <v>-1255702697.6742001</v>
      </c>
      <c r="W576">
        <f t="shared" si="208"/>
        <v>-1674718736.9242001</v>
      </c>
      <c r="X576">
        <f t="shared" si="209"/>
        <v>-1702382481.5622001</v>
      </c>
      <c r="Z576">
        <f t="shared" si="210"/>
        <v>2866876.4232000001</v>
      </c>
      <c r="AA576">
        <f t="shared" si="211"/>
        <v>-788499673.5812</v>
      </c>
      <c r="AB576">
        <f t="shared" si="212"/>
        <v>-1282398242.8184001</v>
      </c>
      <c r="AC576">
        <f t="shared" si="213"/>
        <v>-1596033335.3616002</v>
      </c>
      <c r="AD576">
        <f t="shared" si="214"/>
        <v>-1909492391.6332002</v>
      </c>
      <c r="AE576">
        <f t="shared" si="215"/>
        <v>-1917626243.5988002</v>
      </c>
    </row>
    <row r="577" spans="1:31" x14ac:dyDescent="0.25">
      <c r="A577">
        <v>38.452098460000002</v>
      </c>
      <c r="B577">
        <v>117.2006408</v>
      </c>
      <c r="C577">
        <v>26.05046844</v>
      </c>
      <c r="D577">
        <v>3.1972780200000002</v>
      </c>
      <c r="E577" t="b">
        <f t="shared" si="192"/>
        <v>0</v>
      </c>
      <c r="F577">
        <f t="shared" si="193"/>
        <v>-127.05506417999999</v>
      </c>
      <c r="G577">
        <f t="shared" si="194"/>
        <v>-257.30740637999997</v>
      </c>
      <c r="H577">
        <f t="shared" si="195"/>
        <v>-387.55974858000002</v>
      </c>
      <c r="I577">
        <f t="shared" si="196"/>
        <v>-517.81209077999995</v>
      </c>
      <c r="J577">
        <f t="shared" si="197"/>
        <v>-648.06443297999999</v>
      </c>
      <c r="L577">
        <f t="shared" si="198"/>
        <v>6138773.7984000007</v>
      </c>
      <c r="M577">
        <f t="shared" si="199"/>
        <v>-205829203.9716</v>
      </c>
      <c r="N577">
        <f t="shared" si="200"/>
        <v>-355084220.80439991</v>
      </c>
      <c r="O577">
        <f t="shared" si="201"/>
        <v>-395310943.55160004</v>
      </c>
      <c r="P577">
        <f t="shared" si="202"/>
        <v>-476387123.51759994</v>
      </c>
      <c r="Q577">
        <f t="shared" si="203"/>
        <v>-492528969.06480002</v>
      </c>
      <c r="S577">
        <f t="shared" si="204"/>
        <v>6714283.8420000002</v>
      </c>
      <c r="T577">
        <f t="shared" si="205"/>
        <v>-231240216.80759999</v>
      </c>
      <c r="U577">
        <f t="shared" si="206"/>
        <v>-388534183.63379997</v>
      </c>
      <c r="V577">
        <f t="shared" si="207"/>
        <v>-414688930.9806</v>
      </c>
      <c r="W577">
        <f t="shared" si="208"/>
        <v>-554058937.13459992</v>
      </c>
      <c r="X577">
        <f t="shared" si="209"/>
        <v>-563816056.69260001</v>
      </c>
      <c r="Z577">
        <f t="shared" si="210"/>
        <v>7289793.8856000006</v>
      </c>
      <c r="AA577">
        <f t="shared" si="211"/>
        <v>-256651229.64359999</v>
      </c>
      <c r="AB577">
        <f t="shared" si="212"/>
        <v>-421984146.46319997</v>
      </c>
      <c r="AC577">
        <f t="shared" si="213"/>
        <v>-527081258.06880003</v>
      </c>
      <c r="AD577">
        <f t="shared" si="214"/>
        <v>-631730750.75159991</v>
      </c>
      <c r="AE577">
        <f t="shared" si="215"/>
        <v>-635103144.3204</v>
      </c>
    </row>
    <row r="578" spans="1:31" x14ac:dyDescent="0.25">
      <c r="A578">
        <v>38.454424099999997</v>
      </c>
      <c r="B578">
        <v>117.67072570000001</v>
      </c>
      <c r="C578">
        <v>39.798526760000001</v>
      </c>
      <c r="D578">
        <v>0.31832000999999999</v>
      </c>
      <c r="E578" t="b">
        <f t="shared" si="192"/>
        <v>0</v>
      </c>
      <c r="F578">
        <f t="shared" si="193"/>
        <v>-198.67431379000001</v>
      </c>
      <c r="G578">
        <f t="shared" si="194"/>
        <v>-397.66694759000006</v>
      </c>
      <c r="H578">
        <f t="shared" si="195"/>
        <v>-596.65958139000008</v>
      </c>
      <c r="I578">
        <f t="shared" si="196"/>
        <v>-795.65221519000011</v>
      </c>
      <c r="J578">
        <f t="shared" si="197"/>
        <v>-994.64484899000001</v>
      </c>
      <c r="L578">
        <f t="shared" si="198"/>
        <v>611174.41920000012</v>
      </c>
      <c r="M578">
        <f t="shared" si="199"/>
        <v>-321852388.33980006</v>
      </c>
      <c r="N578">
        <f t="shared" si="200"/>
        <v>-548780387.67420006</v>
      </c>
      <c r="O578">
        <f t="shared" si="201"/>
        <v>-608592773.01780009</v>
      </c>
      <c r="P578">
        <f t="shared" si="202"/>
        <v>-732000037.97479999</v>
      </c>
      <c r="Q578">
        <f t="shared" si="203"/>
        <v>-755930085.23240006</v>
      </c>
      <c r="S578">
        <f t="shared" si="204"/>
        <v>668472.02100000007</v>
      </c>
      <c r="T578">
        <f t="shared" si="205"/>
        <v>-361587251.09780008</v>
      </c>
      <c r="U578">
        <f t="shared" si="206"/>
        <v>-600477090.86090016</v>
      </c>
      <c r="V578">
        <f t="shared" si="207"/>
        <v>-638425752.08730006</v>
      </c>
      <c r="W578">
        <f t="shared" si="208"/>
        <v>-851347870.25329995</v>
      </c>
      <c r="X578">
        <f t="shared" si="209"/>
        <v>-865341018.62129998</v>
      </c>
      <c r="Z578">
        <f t="shared" si="210"/>
        <v>725769.62280000013</v>
      </c>
      <c r="AA578">
        <f t="shared" si="211"/>
        <v>-401322113.85580003</v>
      </c>
      <c r="AB578">
        <f t="shared" si="212"/>
        <v>-652173794.04760015</v>
      </c>
      <c r="AC578">
        <f t="shared" si="213"/>
        <v>-811457030.69040012</v>
      </c>
      <c r="AD578">
        <f t="shared" si="214"/>
        <v>-970695702.53180003</v>
      </c>
      <c r="AE578">
        <f t="shared" si="215"/>
        <v>-974751952.01020002</v>
      </c>
    </row>
    <row r="579" spans="1:31" x14ac:dyDescent="0.25">
      <c r="A579">
        <v>38.456796410000003</v>
      </c>
      <c r="B579">
        <v>119.02321790000001</v>
      </c>
      <c r="C579">
        <v>44.10648346</v>
      </c>
      <c r="D579">
        <v>32.32168961</v>
      </c>
      <c r="E579" t="b">
        <f t="shared" ref="E579:E642" si="216">D579&gt;C579</f>
        <v>0</v>
      </c>
      <c r="F579">
        <f t="shared" ref="F579:F642" si="217">D579-(C579*(2030-2025))</f>
        <v>-188.21072769</v>
      </c>
      <c r="G579">
        <f t="shared" ref="G579:G642" si="218">D579-(C579*(2035-2025))</f>
        <v>-408.74314498999996</v>
      </c>
      <c r="H579">
        <f t="shared" ref="H579:H642" si="219">D579-(C579*(2040-2025))</f>
        <v>-629.27556228999993</v>
      </c>
      <c r="I579">
        <f t="shared" ref="I579:I642" si="220">D579-(C579*(2045-2025))</f>
        <v>-849.80797958999995</v>
      </c>
      <c r="J579">
        <f t="shared" ref="J579:J642" si="221">D579-(C579*(2050-2025))</f>
        <v>-1070.34039689</v>
      </c>
      <c r="L579">
        <f t="shared" ref="L579:L642" si="222">MIN(C579,D579)*1000000*((280/250)+0.8)</f>
        <v>62057644.051200002</v>
      </c>
      <c r="M579">
        <f t="shared" ref="M579:M642" si="223">MIN(F579,C579)*1000000*((230/250)+0.7)</f>
        <v>-304901378.85780001</v>
      </c>
      <c r="N579">
        <f t="shared" ref="N579:N642" si="224">MIN(G579,C579)*1000000*((195/250)+0.6)</f>
        <v>-564065540.08619988</v>
      </c>
      <c r="O579">
        <f t="shared" ref="O579:O642" si="225">MIN(H579,C579)*1000000*((130/250)+0.5)</f>
        <v>-641861073.53579998</v>
      </c>
      <c r="P579">
        <f t="shared" ref="P579:P642" si="226">MIN(I579,C579)*1000000*((105/250)+0.5)</f>
        <v>-781823341.2227999</v>
      </c>
      <c r="Q579">
        <f t="shared" ref="Q579:Q642" si="227">MIN(J579,C579)*1000000*((90/250)+0.4)</f>
        <v>-813458701.63639998</v>
      </c>
      <c r="S579">
        <f t="shared" ref="S579:S642" si="228">MIN(C579,D579)*1000000*((325/250)+0.8)</f>
        <v>67875548.180999994</v>
      </c>
      <c r="T579">
        <f t="shared" ref="T579:T642" si="229">MIN(F579,C579)*1000000*((280/250)+0.7)</f>
        <v>-342543524.39579999</v>
      </c>
      <c r="U579">
        <f t="shared" ref="U579:U642" si="230">MIN(G579,C579)*1000000*((227.5/250)+0.6)</f>
        <v>-617202148.93489993</v>
      </c>
      <c r="V579">
        <f t="shared" ref="V579:V642" si="231">MIN(H579,C579)*1000000*((142.5/250)+0.5)</f>
        <v>-673324851.65029991</v>
      </c>
      <c r="W579">
        <f t="shared" ref="W579:W642" si="232">MIN(I579,C579)*1000000*((142.5/250)+0.5)</f>
        <v>-909294538.16129982</v>
      </c>
      <c r="X579">
        <f t="shared" ref="X579:X642" si="233">MIN(J579,C579)*1000000*( (117.5/250)+0.4)</f>
        <v>-931196145.29429996</v>
      </c>
      <c r="Z579">
        <f t="shared" ref="Z579:Z642" si="234">MIN(C579,D579)*1000000*((370/250)+0.8)</f>
        <v>73693452.310800001</v>
      </c>
      <c r="AA579">
        <f t="shared" ref="AA579:AA642" si="235">MIN(C579,F579)*1000000*((330/250)+0.7)</f>
        <v>-380185669.93379998</v>
      </c>
      <c r="AB579">
        <f t="shared" ref="AB579:AB642" si="236">MIN(C579,G579)*1000000*((260/250)+0.6)</f>
        <v>-670338757.78359997</v>
      </c>
      <c r="AC579">
        <f t="shared" ref="AC579:AC642" si="237">MIN(C579,H579)*1000000*((215/250)+0.5)</f>
        <v>-855814764.71439981</v>
      </c>
      <c r="AD579">
        <f t="shared" ref="AD579:AD642" si="238">MIN(C579,I579)*1000000*((180/250)+0.5)</f>
        <v>-1036765735.0997999</v>
      </c>
      <c r="AE579">
        <f t="shared" ref="AE579:AE642" si="239">MIN(C579,J579)*1000000*((145/250)+0.4)</f>
        <v>-1048933588.9521999</v>
      </c>
    </row>
    <row r="580" spans="1:31" x14ac:dyDescent="0.25">
      <c r="A580">
        <v>38.46538194</v>
      </c>
      <c r="B580">
        <v>119.7901423</v>
      </c>
      <c r="C580">
        <v>63.334102629999997</v>
      </c>
      <c r="D580">
        <v>1.22430599</v>
      </c>
      <c r="E580" t="b">
        <f t="shared" si="216"/>
        <v>0</v>
      </c>
      <c r="F580">
        <f t="shared" si="217"/>
        <v>-315.44620715999997</v>
      </c>
      <c r="G580">
        <f t="shared" si="218"/>
        <v>-632.11672031000001</v>
      </c>
      <c r="H580">
        <f t="shared" si="219"/>
        <v>-948.78723346000004</v>
      </c>
      <c r="I580">
        <f t="shared" si="220"/>
        <v>-1265.45774661</v>
      </c>
      <c r="J580">
        <f t="shared" si="221"/>
        <v>-1582.12825976</v>
      </c>
      <c r="L580">
        <f t="shared" si="222"/>
        <v>2350667.5008</v>
      </c>
      <c r="M580">
        <f t="shared" si="223"/>
        <v>-511022855.59919995</v>
      </c>
      <c r="N580">
        <f t="shared" si="224"/>
        <v>-872321074.02779996</v>
      </c>
      <c r="O580">
        <f t="shared" si="225"/>
        <v>-967762978.1292001</v>
      </c>
      <c r="P580">
        <f t="shared" si="226"/>
        <v>-1164221126.8811998</v>
      </c>
      <c r="Q580">
        <f t="shared" si="227"/>
        <v>-1202417477.4175999</v>
      </c>
      <c r="S580">
        <f t="shared" si="228"/>
        <v>2571042.5789999999</v>
      </c>
      <c r="T580">
        <f t="shared" si="229"/>
        <v>-574112097.03119993</v>
      </c>
      <c r="U580">
        <f t="shared" si="230"/>
        <v>-954496247.66810012</v>
      </c>
      <c r="V580">
        <f t="shared" si="231"/>
        <v>-1015202339.8021998</v>
      </c>
      <c r="W580">
        <f t="shared" si="232"/>
        <v>-1354039788.8726997</v>
      </c>
      <c r="X580">
        <f t="shared" si="233"/>
        <v>-1376451585.9912</v>
      </c>
      <c r="Z580">
        <f t="shared" si="234"/>
        <v>2791417.6572000002</v>
      </c>
      <c r="AA580">
        <f t="shared" si="235"/>
        <v>-637201338.46319997</v>
      </c>
      <c r="AB580">
        <f t="shared" si="236"/>
        <v>-1036671421.3084002</v>
      </c>
      <c r="AC580">
        <f t="shared" si="237"/>
        <v>-1290350637.5056</v>
      </c>
      <c r="AD580">
        <f t="shared" si="238"/>
        <v>-1543858450.8641999</v>
      </c>
      <c r="AE580">
        <f t="shared" si="239"/>
        <v>-1550485694.5648</v>
      </c>
    </row>
    <row r="581" spans="1:31" x14ac:dyDescent="0.25">
      <c r="A581">
        <v>38.465964319999998</v>
      </c>
      <c r="B581">
        <v>115.97065809999999</v>
      </c>
      <c r="C581">
        <v>78.320755000000005</v>
      </c>
      <c r="D581">
        <v>4.81695604</v>
      </c>
      <c r="E581" t="b">
        <f t="shared" si="216"/>
        <v>0</v>
      </c>
      <c r="F581">
        <f t="shared" si="217"/>
        <v>-386.78681896000006</v>
      </c>
      <c r="G581">
        <f t="shared" si="218"/>
        <v>-778.39059396000005</v>
      </c>
      <c r="H581">
        <f t="shared" si="219"/>
        <v>-1169.9943689600002</v>
      </c>
      <c r="I581">
        <f t="shared" si="220"/>
        <v>-1561.5981439600002</v>
      </c>
      <c r="J581">
        <f t="shared" si="221"/>
        <v>-1953.2019189600003</v>
      </c>
      <c r="L581">
        <f t="shared" si="222"/>
        <v>9248555.5968000013</v>
      </c>
      <c r="M581">
        <f t="shared" si="223"/>
        <v>-626594646.71520007</v>
      </c>
      <c r="N581">
        <f t="shared" si="224"/>
        <v>-1074179019.6647999</v>
      </c>
      <c r="O581">
        <f t="shared" si="225"/>
        <v>-1193394256.3392003</v>
      </c>
      <c r="P581">
        <f t="shared" si="226"/>
        <v>-1436670292.4432001</v>
      </c>
      <c r="Q581">
        <f t="shared" si="227"/>
        <v>-1484433458.4096003</v>
      </c>
      <c r="S581">
        <f t="shared" si="228"/>
        <v>10115607.684</v>
      </c>
      <c r="T581">
        <f t="shared" si="229"/>
        <v>-703952010.50720012</v>
      </c>
      <c r="U581">
        <f t="shared" si="230"/>
        <v>-1175369796.8796</v>
      </c>
      <c r="V581">
        <f t="shared" si="231"/>
        <v>-1251893974.7872002</v>
      </c>
      <c r="W581">
        <f t="shared" si="232"/>
        <v>-1670910014.0372</v>
      </c>
      <c r="X581">
        <f t="shared" si="233"/>
        <v>-1699285669.4952002</v>
      </c>
      <c r="Z581">
        <f t="shared" si="234"/>
        <v>10982659.771200001</v>
      </c>
      <c r="AA581">
        <f t="shared" si="235"/>
        <v>-781309374.29920006</v>
      </c>
      <c r="AB581">
        <f t="shared" si="236"/>
        <v>-1276560574.0944002</v>
      </c>
      <c r="AC581">
        <f t="shared" si="237"/>
        <v>-1591192341.7856002</v>
      </c>
      <c r="AD581">
        <f t="shared" si="238"/>
        <v>-1905149735.6312003</v>
      </c>
      <c r="AE581">
        <f t="shared" si="239"/>
        <v>-1914137880.5808003</v>
      </c>
    </row>
    <row r="582" spans="1:31" x14ac:dyDescent="0.25">
      <c r="A582">
        <v>38.47142917</v>
      </c>
      <c r="B582">
        <v>118.4374414</v>
      </c>
      <c r="C582">
        <v>38.009181980000001</v>
      </c>
      <c r="D582">
        <v>0.48972300000000002</v>
      </c>
      <c r="E582" t="b">
        <f t="shared" si="216"/>
        <v>0</v>
      </c>
      <c r="F582">
        <f t="shared" si="217"/>
        <v>-189.5561869</v>
      </c>
      <c r="G582">
        <f t="shared" si="218"/>
        <v>-379.60209679999997</v>
      </c>
      <c r="H582">
        <f t="shared" si="219"/>
        <v>-569.6480067</v>
      </c>
      <c r="I582">
        <f t="shared" si="220"/>
        <v>-759.69391659999997</v>
      </c>
      <c r="J582">
        <f t="shared" si="221"/>
        <v>-949.73982650000005</v>
      </c>
      <c r="L582">
        <f t="shared" si="222"/>
        <v>940268.16</v>
      </c>
      <c r="M582">
        <f t="shared" si="223"/>
        <v>-307081022.77800006</v>
      </c>
      <c r="N582">
        <f t="shared" si="224"/>
        <v>-523850893.58399987</v>
      </c>
      <c r="O582">
        <f t="shared" si="225"/>
        <v>-581040966.83400011</v>
      </c>
      <c r="P582">
        <f t="shared" si="226"/>
        <v>-698918403.27199996</v>
      </c>
      <c r="Q582">
        <f t="shared" si="227"/>
        <v>-721802268.13999999</v>
      </c>
      <c r="S582">
        <f t="shared" si="228"/>
        <v>1028418.3</v>
      </c>
      <c r="T582">
        <f t="shared" si="229"/>
        <v>-344992260.15800005</v>
      </c>
      <c r="U582">
        <f t="shared" si="230"/>
        <v>-573199166.16799998</v>
      </c>
      <c r="V582">
        <f t="shared" si="231"/>
        <v>-609523367.16899991</v>
      </c>
      <c r="W582">
        <f t="shared" si="232"/>
        <v>-812872490.76199985</v>
      </c>
      <c r="X582">
        <f t="shared" si="233"/>
        <v>-826273649.05499995</v>
      </c>
      <c r="Z582">
        <f t="shared" si="234"/>
        <v>1116568.4400000002</v>
      </c>
      <c r="AA582">
        <f t="shared" si="235"/>
        <v>-382903497.53799999</v>
      </c>
      <c r="AB582">
        <f t="shared" si="236"/>
        <v>-622547438.75199997</v>
      </c>
      <c r="AC582">
        <f t="shared" si="237"/>
        <v>-774721289.11199999</v>
      </c>
      <c r="AD582">
        <f t="shared" si="238"/>
        <v>-926826578.25199997</v>
      </c>
      <c r="AE582">
        <f t="shared" si="239"/>
        <v>-930745029.97000003</v>
      </c>
    </row>
    <row r="583" spans="1:31" x14ac:dyDescent="0.25">
      <c r="A583">
        <v>38.477881670000002</v>
      </c>
      <c r="B583">
        <v>120.0871022</v>
      </c>
      <c r="C583">
        <v>26.389209749999999</v>
      </c>
      <c r="D583">
        <v>1.48875701</v>
      </c>
      <c r="E583" t="b">
        <f t="shared" si="216"/>
        <v>0</v>
      </c>
      <c r="F583">
        <f t="shared" si="217"/>
        <v>-130.45729173999999</v>
      </c>
      <c r="G583">
        <f t="shared" si="218"/>
        <v>-262.40334049000001</v>
      </c>
      <c r="H583">
        <f t="shared" si="219"/>
        <v>-394.34938923999999</v>
      </c>
      <c r="I583">
        <f t="shared" si="220"/>
        <v>-526.29543798999998</v>
      </c>
      <c r="J583">
        <f t="shared" si="221"/>
        <v>-658.24148674000003</v>
      </c>
      <c r="L583">
        <f t="shared" si="222"/>
        <v>2858413.4592000004</v>
      </c>
      <c r="M583">
        <f t="shared" si="223"/>
        <v>-211340812.61880001</v>
      </c>
      <c r="N583">
        <f t="shared" si="224"/>
        <v>-362116609.87619996</v>
      </c>
      <c r="O583">
        <f t="shared" si="225"/>
        <v>-402236377.0248</v>
      </c>
      <c r="P583">
        <f t="shared" si="226"/>
        <v>-484191802.95079994</v>
      </c>
      <c r="Q583">
        <f t="shared" si="227"/>
        <v>-500263529.9224</v>
      </c>
      <c r="S583">
        <f t="shared" si="228"/>
        <v>3126389.7210000004</v>
      </c>
      <c r="T583">
        <f t="shared" si="229"/>
        <v>-237432270.9668</v>
      </c>
      <c r="U583">
        <f t="shared" si="230"/>
        <v>-396229044.13990003</v>
      </c>
      <c r="V583">
        <f t="shared" si="231"/>
        <v>-421953846.48679996</v>
      </c>
      <c r="W583">
        <f t="shared" si="232"/>
        <v>-563136118.64929998</v>
      </c>
      <c r="X583">
        <f t="shared" si="233"/>
        <v>-572670093.46379995</v>
      </c>
      <c r="Z583">
        <f t="shared" si="234"/>
        <v>3394365.9828000003</v>
      </c>
      <c r="AA583">
        <f t="shared" si="235"/>
        <v>-263523729.31479999</v>
      </c>
      <c r="AB583">
        <f t="shared" si="236"/>
        <v>-430341478.40360004</v>
      </c>
      <c r="AC583">
        <f t="shared" si="237"/>
        <v>-536315169.36639994</v>
      </c>
      <c r="AD583">
        <f t="shared" si="238"/>
        <v>-642080434.34780002</v>
      </c>
      <c r="AE583">
        <f t="shared" si="239"/>
        <v>-645076657.00520003</v>
      </c>
    </row>
    <row r="584" spans="1:31" x14ac:dyDescent="0.25">
      <c r="A584">
        <v>38.48700092</v>
      </c>
      <c r="B584">
        <v>117.3232598</v>
      </c>
      <c r="C584">
        <v>52.10093689</v>
      </c>
      <c r="D584">
        <v>9.6765000000000004E-2</v>
      </c>
      <c r="E584" t="b">
        <f t="shared" si="216"/>
        <v>0</v>
      </c>
      <c r="F584">
        <f t="shared" si="217"/>
        <v>-260.40791945000001</v>
      </c>
      <c r="G584">
        <f t="shared" si="218"/>
        <v>-520.91260390000002</v>
      </c>
      <c r="H584">
        <f t="shared" si="219"/>
        <v>-781.41728835000004</v>
      </c>
      <c r="I584">
        <f t="shared" si="220"/>
        <v>-1041.9219728</v>
      </c>
      <c r="J584">
        <f t="shared" si="221"/>
        <v>-1302.4266572500001</v>
      </c>
      <c r="L584">
        <f t="shared" si="222"/>
        <v>185788.80000000002</v>
      </c>
      <c r="M584">
        <f t="shared" si="223"/>
        <v>-421860829.50900006</v>
      </c>
      <c r="N584">
        <f t="shared" si="224"/>
        <v>-718859393.38199997</v>
      </c>
      <c r="O584">
        <f t="shared" si="225"/>
        <v>-797045634.11699998</v>
      </c>
      <c r="P584">
        <f t="shared" si="226"/>
        <v>-958568214.97599995</v>
      </c>
      <c r="Q584">
        <f t="shared" si="227"/>
        <v>-989844259.50999999</v>
      </c>
      <c r="S584">
        <f t="shared" si="228"/>
        <v>203206.5</v>
      </c>
      <c r="T584">
        <f t="shared" si="229"/>
        <v>-473942413.39900005</v>
      </c>
      <c r="U584">
        <f t="shared" si="230"/>
        <v>-786578031.88900006</v>
      </c>
      <c r="V584">
        <f t="shared" si="231"/>
        <v>-836116498.53449988</v>
      </c>
      <c r="W584">
        <f t="shared" si="232"/>
        <v>-1114856510.8959999</v>
      </c>
      <c r="X584">
        <f t="shared" si="233"/>
        <v>-1133111191.8074999</v>
      </c>
      <c r="Z584">
        <f t="shared" si="234"/>
        <v>220624.2</v>
      </c>
      <c r="AA584">
        <f t="shared" si="235"/>
        <v>-526023997.28900003</v>
      </c>
      <c r="AB584">
        <f t="shared" si="236"/>
        <v>-854296670.39600015</v>
      </c>
      <c r="AC584">
        <f t="shared" si="237"/>
        <v>-1062727512.1559999</v>
      </c>
      <c r="AD584">
        <f t="shared" si="238"/>
        <v>-1271144806.816</v>
      </c>
      <c r="AE584">
        <f t="shared" si="239"/>
        <v>-1276378124.105</v>
      </c>
    </row>
    <row r="585" spans="1:31" x14ac:dyDescent="0.25">
      <c r="A585">
        <v>38.488858139999998</v>
      </c>
      <c r="B585">
        <v>117.7935621</v>
      </c>
      <c r="C585">
        <v>47.062068940000003</v>
      </c>
      <c r="D585">
        <v>45.255260470000003</v>
      </c>
      <c r="E585" t="b">
        <f t="shared" si="216"/>
        <v>0</v>
      </c>
      <c r="F585">
        <f t="shared" si="217"/>
        <v>-190.05508423000003</v>
      </c>
      <c r="G585">
        <f t="shared" si="218"/>
        <v>-425.36542893000006</v>
      </c>
      <c r="H585">
        <f t="shared" si="219"/>
        <v>-660.67577362999998</v>
      </c>
      <c r="I585">
        <f t="shared" si="220"/>
        <v>-895.98611833000007</v>
      </c>
      <c r="J585">
        <f t="shared" si="221"/>
        <v>-1131.29646303</v>
      </c>
      <c r="L585">
        <f t="shared" si="222"/>
        <v>86890100.10240002</v>
      </c>
      <c r="M585">
        <f t="shared" si="223"/>
        <v>-307889236.45260012</v>
      </c>
      <c r="N585">
        <f t="shared" si="224"/>
        <v>-587004291.92340004</v>
      </c>
      <c r="O585">
        <f t="shared" si="225"/>
        <v>-673889289.10259998</v>
      </c>
      <c r="P585">
        <f t="shared" si="226"/>
        <v>-824307228.86360002</v>
      </c>
      <c r="Q585">
        <f t="shared" si="227"/>
        <v>-859785311.90279996</v>
      </c>
      <c r="S585">
        <f t="shared" si="228"/>
        <v>95036046.987000018</v>
      </c>
      <c r="T585">
        <f t="shared" si="229"/>
        <v>-345900253.29860008</v>
      </c>
      <c r="U585">
        <f t="shared" si="230"/>
        <v>-642301797.68430007</v>
      </c>
      <c r="V585">
        <f t="shared" si="231"/>
        <v>-706923077.78409994</v>
      </c>
      <c r="W585">
        <f t="shared" si="232"/>
        <v>-958705146.61309993</v>
      </c>
      <c r="X585">
        <f t="shared" si="233"/>
        <v>-984227922.83609998</v>
      </c>
      <c r="Z585">
        <f t="shared" si="234"/>
        <v>103181993.87160003</v>
      </c>
      <c r="AA585">
        <f t="shared" si="235"/>
        <v>-383911270.14460009</v>
      </c>
      <c r="AB585">
        <f t="shared" si="236"/>
        <v>-697599303.4452002</v>
      </c>
      <c r="AC585">
        <f t="shared" si="237"/>
        <v>-898519052.13679993</v>
      </c>
      <c r="AD585">
        <f t="shared" si="238"/>
        <v>-1093103064.3626001</v>
      </c>
      <c r="AE585">
        <f t="shared" si="239"/>
        <v>-1108670533.7693999</v>
      </c>
    </row>
    <row r="586" spans="1:31" x14ac:dyDescent="0.25">
      <c r="A586">
        <v>38.497305490000002</v>
      </c>
      <c r="B586">
        <v>116.15075179999999</v>
      </c>
      <c r="C586">
        <v>78.320755000000005</v>
      </c>
      <c r="D586">
        <v>1.0177279699999999</v>
      </c>
      <c r="E586" t="b">
        <f t="shared" si="216"/>
        <v>0</v>
      </c>
      <c r="F586">
        <f t="shared" si="217"/>
        <v>-390.58604703000003</v>
      </c>
      <c r="G586">
        <f t="shared" si="218"/>
        <v>-782.18982203000007</v>
      </c>
      <c r="H586">
        <f t="shared" si="219"/>
        <v>-1173.7935970300002</v>
      </c>
      <c r="I586">
        <f t="shared" si="220"/>
        <v>-1565.3973720300003</v>
      </c>
      <c r="J586">
        <f t="shared" si="221"/>
        <v>-1957.0011470300003</v>
      </c>
      <c r="L586">
        <f t="shared" si="222"/>
        <v>1954037.7024000001</v>
      </c>
      <c r="M586">
        <f t="shared" si="223"/>
        <v>-632749396.18860006</v>
      </c>
      <c r="N586">
        <f t="shared" si="224"/>
        <v>-1079421954.4014001</v>
      </c>
      <c r="O586">
        <f t="shared" si="225"/>
        <v>-1197269468.9706001</v>
      </c>
      <c r="P586">
        <f t="shared" si="226"/>
        <v>-1440165582.2676001</v>
      </c>
      <c r="Q586">
        <f t="shared" si="227"/>
        <v>-1487320871.7428002</v>
      </c>
      <c r="S586">
        <f t="shared" si="228"/>
        <v>2137228.7370000002</v>
      </c>
      <c r="T586">
        <f t="shared" si="229"/>
        <v>-710866605.59460008</v>
      </c>
      <c r="U586">
        <f t="shared" si="230"/>
        <v>-1181106631.2653</v>
      </c>
      <c r="V586">
        <f t="shared" si="231"/>
        <v>-1255959148.8220999</v>
      </c>
      <c r="W586">
        <f t="shared" si="232"/>
        <v>-1674975188.0720999</v>
      </c>
      <c r="X586">
        <f t="shared" si="233"/>
        <v>-1702590997.9161003</v>
      </c>
      <c r="Z586">
        <f t="shared" si="234"/>
        <v>2320419.7716000001</v>
      </c>
      <c r="AA586">
        <f t="shared" si="235"/>
        <v>-788983815.0006001</v>
      </c>
      <c r="AB586">
        <f t="shared" si="236"/>
        <v>-1282791308.1292002</v>
      </c>
      <c r="AC586">
        <f t="shared" si="237"/>
        <v>-1596359291.9608002</v>
      </c>
      <c r="AD586">
        <f t="shared" si="238"/>
        <v>-1909784793.8766003</v>
      </c>
      <c r="AE586">
        <f t="shared" si="239"/>
        <v>-1917861124.0894001</v>
      </c>
    </row>
    <row r="587" spans="1:31" x14ac:dyDescent="0.25">
      <c r="A587">
        <v>38.502087889999999</v>
      </c>
      <c r="B587">
        <v>116.09272660000001</v>
      </c>
      <c r="C587">
        <v>78.320755000000005</v>
      </c>
      <c r="D587">
        <v>6.6664000000000001E-2</v>
      </c>
      <c r="E587" t="b">
        <f t="shared" si="216"/>
        <v>0</v>
      </c>
      <c r="F587">
        <f t="shared" si="217"/>
        <v>-391.53711100000004</v>
      </c>
      <c r="G587">
        <f t="shared" si="218"/>
        <v>-783.14088600000014</v>
      </c>
      <c r="H587">
        <f t="shared" si="219"/>
        <v>-1174.7446610000002</v>
      </c>
      <c r="I587">
        <f t="shared" si="220"/>
        <v>-1566.3484360000002</v>
      </c>
      <c r="J587">
        <f t="shared" si="221"/>
        <v>-1957.9522110000003</v>
      </c>
      <c r="L587">
        <f t="shared" si="222"/>
        <v>127994.88</v>
      </c>
      <c r="M587">
        <f t="shared" si="223"/>
        <v>-634290119.82000017</v>
      </c>
      <c r="N587">
        <f t="shared" si="224"/>
        <v>-1080734422.6800001</v>
      </c>
      <c r="O587">
        <f t="shared" si="225"/>
        <v>-1198239554.2200003</v>
      </c>
      <c r="P587">
        <f t="shared" si="226"/>
        <v>-1441040561.1200001</v>
      </c>
      <c r="Q587">
        <f t="shared" si="227"/>
        <v>-1488043680.3600001</v>
      </c>
      <c r="S587">
        <f t="shared" si="228"/>
        <v>139994.4</v>
      </c>
      <c r="T587">
        <f t="shared" si="229"/>
        <v>-712597542.0200001</v>
      </c>
      <c r="U587">
        <f t="shared" si="230"/>
        <v>-1182542737.8600001</v>
      </c>
      <c r="V587">
        <f t="shared" si="231"/>
        <v>-1256976787.27</v>
      </c>
      <c r="W587">
        <f t="shared" si="232"/>
        <v>-1675992826.52</v>
      </c>
      <c r="X587">
        <f t="shared" si="233"/>
        <v>-1703418423.5700002</v>
      </c>
      <c r="Z587">
        <f t="shared" si="234"/>
        <v>151993.92000000001</v>
      </c>
      <c r="AA587">
        <f t="shared" si="235"/>
        <v>-790904964.22000015</v>
      </c>
      <c r="AB587">
        <f t="shared" si="236"/>
        <v>-1284351053.0400002</v>
      </c>
      <c r="AC587">
        <f t="shared" si="237"/>
        <v>-1597652738.9600003</v>
      </c>
      <c r="AD587">
        <f t="shared" si="238"/>
        <v>-1910945091.9200003</v>
      </c>
      <c r="AE587">
        <f t="shared" si="239"/>
        <v>-1918793166.7800002</v>
      </c>
    </row>
    <row r="588" spans="1:31" x14ac:dyDescent="0.25">
      <c r="A588">
        <v>38.502231930000001</v>
      </c>
      <c r="B588">
        <v>119.03103900000001</v>
      </c>
      <c r="C588">
        <v>15.833525659999999</v>
      </c>
      <c r="D588">
        <v>4.8972258599999998</v>
      </c>
      <c r="E588" t="b">
        <f t="shared" si="216"/>
        <v>0</v>
      </c>
      <c r="F588">
        <f t="shared" si="217"/>
        <v>-74.270402439999984</v>
      </c>
      <c r="G588">
        <f t="shared" si="218"/>
        <v>-153.43803073999999</v>
      </c>
      <c r="H588">
        <f t="shared" si="219"/>
        <v>-232.60565904000001</v>
      </c>
      <c r="I588">
        <f t="shared" si="220"/>
        <v>-311.77328733999997</v>
      </c>
      <c r="J588">
        <f t="shared" si="221"/>
        <v>-390.94091564000001</v>
      </c>
      <c r="L588">
        <f t="shared" si="222"/>
        <v>9402673.6512000002</v>
      </c>
      <c r="M588">
        <f t="shared" si="223"/>
        <v>-120318051.95279998</v>
      </c>
      <c r="N588">
        <f t="shared" si="224"/>
        <v>-211744482.42119995</v>
      </c>
      <c r="O588">
        <f t="shared" si="225"/>
        <v>-237257772.22079998</v>
      </c>
      <c r="P588">
        <f t="shared" si="226"/>
        <v>-286831424.35279995</v>
      </c>
      <c r="Q588">
        <f t="shared" si="227"/>
        <v>-297115095.88639998</v>
      </c>
      <c r="S588">
        <f t="shared" si="228"/>
        <v>10284174.306</v>
      </c>
      <c r="T588">
        <f t="shared" si="229"/>
        <v>-135172132.44079998</v>
      </c>
      <c r="U588">
        <f t="shared" si="230"/>
        <v>-231691426.41739997</v>
      </c>
      <c r="V588">
        <f t="shared" si="231"/>
        <v>-248888055.17279994</v>
      </c>
      <c r="W588">
        <f t="shared" si="232"/>
        <v>-333597417.4537999</v>
      </c>
      <c r="X588">
        <f t="shared" si="233"/>
        <v>-340118596.60679996</v>
      </c>
      <c r="Z588">
        <f t="shared" si="234"/>
        <v>11165674.9608</v>
      </c>
      <c r="AA588">
        <f t="shared" si="235"/>
        <v>-150026212.92879996</v>
      </c>
      <c r="AB588">
        <f t="shared" si="236"/>
        <v>-251638370.4136</v>
      </c>
      <c r="AC588">
        <f t="shared" si="237"/>
        <v>-316343696.29439998</v>
      </c>
      <c r="AD588">
        <f t="shared" si="238"/>
        <v>-380363410.55479997</v>
      </c>
      <c r="AE588">
        <f t="shared" si="239"/>
        <v>-383122097.3272</v>
      </c>
    </row>
    <row r="589" spans="1:31" x14ac:dyDescent="0.25">
      <c r="A589">
        <v>38.510915199999999</v>
      </c>
      <c r="B589">
        <v>117.5618814</v>
      </c>
      <c r="C589">
        <v>52.10093689</v>
      </c>
      <c r="D589">
        <v>18.087516780000001</v>
      </c>
      <c r="E589" t="b">
        <f t="shared" si="216"/>
        <v>0</v>
      </c>
      <c r="F589">
        <f t="shared" si="217"/>
        <v>-242.41716767000003</v>
      </c>
      <c r="G589">
        <f t="shared" si="218"/>
        <v>-502.92185212000004</v>
      </c>
      <c r="H589">
        <f t="shared" si="219"/>
        <v>-763.42653657000005</v>
      </c>
      <c r="I589">
        <f t="shared" si="220"/>
        <v>-1023.9312210200001</v>
      </c>
      <c r="J589">
        <f t="shared" si="221"/>
        <v>-1284.4359054700001</v>
      </c>
      <c r="L589">
        <f t="shared" si="222"/>
        <v>34728032.217600003</v>
      </c>
      <c r="M589">
        <f t="shared" si="223"/>
        <v>-392715811.62540007</v>
      </c>
      <c r="N589">
        <f t="shared" si="224"/>
        <v>-694032155.92560005</v>
      </c>
      <c r="O589">
        <f t="shared" si="225"/>
        <v>-778695067.30140007</v>
      </c>
      <c r="P589">
        <f t="shared" si="226"/>
        <v>-942016723.33840001</v>
      </c>
      <c r="Q589">
        <f t="shared" si="227"/>
        <v>-976171288.15719998</v>
      </c>
      <c r="S589">
        <f t="shared" si="228"/>
        <v>37983785.238000005</v>
      </c>
      <c r="T589">
        <f t="shared" si="229"/>
        <v>-441199245.15940005</v>
      </c>
      <c r="U589">
        <f t="shared" si="230"/>
        <v>-759411996.70120013</v>
      </c>
      <c r="V589">
        <f t="shared" si="231"/>
        <v>-816866394.12989998</v>
      </c>
      <c r="W589">
        <f t="shared" si="232"/>
        <v>-1095606406.4914</v>
      </c>
      <c r="X589">
        <f t="shared" si="233"/>
        <v>-1117459237.7588999</v>
      </c>
      <c r="Z589">
        <f t="shared" si="234"/>
        <v>41239538.258400008</v>
      </c>
      <c r="AA589">
        <f t="shared" si="235"/>
        <v>-489682678.69340003</v>
      </c>
      <c r="AB589">
        <f t="shared" si="236"/>
        <v>-824791837.4768002</v>
      </c>
      <c r="AC589">
        <f t="shared" si="237"/>
        <v>-1038260089.7351999</v>
      </c>
      <c r="AD589">
        <f t="shared" si="238"/>
        <v>-1249196089.6444001</v>
      </c>
      <c r="AE589">
        <f t="shared" si="239"/>
        <v>-1258747187.3606</v>
      </c>
    </row>
    <row r="590" spans="1:31" x14ac:dyDescent="0.25">
      <c r="A590">
        <v>38.520517310000002</v>
      </c>
      <c r="B590">
        <v>91.098702180000004</v>
      </c>
      <c r="C590">
        <v>20.624670030000001</v>
      </c>
      <c r="D590">
        <v>0.47804201000000002</v>
      </c>
      <c r="E590" t="b">
        <f t="shared" si="216"/>
        <v>0</v>
      </c>
      <c r="F590">
        <f t="shared" si="217"/>
        <v>-102.64530814000001</v>
      </c>
      <c r="G590">
        <f t="shared" si="218"/>
        <v>-205.76865829000002</v>
      </c>
      <c r="H590">
        <f t="shared" si="219"/>
        <v>-308.89200843999998</v>
      </c>
      <c r="I590">
        <f t="shared" si="220"/>
        <v>-412.01535859000001</v>
      </c>
      <c r="J590">
        <f t="shared" si="221"/>
        <v>-515.13870874000008</v>
      </c>
      <c r="L590">
        <f t="shared" si="222"/>
        <v>917840.65920000011</v>
      </c>
      <c r="M590">
        <f t="shared" si="223"/>
        <v>-166285399.18680003</v>
      </c>
      <c r="N590">
        <f t="shared" si="224"/>
        <v>-283960748.44020003</v>
      </c>
      <c r="O590">
        <f t="shared" si="225"/>
        <v>-315069848.60879999</v>
      </c>
      <c r="P590">
        <f t="shared" si="226"/>
        <v>-379054129.90280002</v>
      </c>
      <c r="Q590">
        <f t="shared" si="227"/>
        <v>-391505418.64240009</v>
      </c>
      <c r="S590">
        <f t="shared" si="228"/>
        <v>1003888.221</v>
      </c>
      <c r="T590">
        <f t="shared" si="229"/>
        <v>-186814460.81480002</v>
      </c>
      <c r="U590">
        <f t="shared" si="230"/>
        <v>-310710674.01790005</v>
      </c>
      <c r="V590">
        <f t="shared" si="231"/>
        <v>-330514449.03079993</v>
      </c>
      <c r="W590">
        <f t="shared" si="232"/>
        <v>-440856433.69129997</v>
      </c>
      <c r="X590">
        <f t="shared" si="233"/>
        <v>-448170676.60380006</v>
      </c>
      <c r="Z590">
        <f t="shared" si="234"/>
        <v>1089935.7828000002</v>
      </c>
      <c r="AA590">
        <f t="shared" si="235"/>
        <v>-207343522.44280005</v>
      </c>
      <c r="AB590">
        <f t="shared" si="236"/>
        <v>-337460599.59560007</v>
      </c>
      <c r="AC590">
        <f t="shared" si="237"/>
        <v>-420093131.47839993</v>
      </c>
      <c r="AD590">
        <f t="shared" si="238"/>
        <v>-502658737.47980005</v>
      </c>
      <c r="AE590">
        <f t="shared" si="239"/>
        <v>-504835934.56520003</v>
      </c>
    </row>
    <row r="591" spans="1:31" x14ac:dyDescent="0.25">
      <c r="A591">
        <v>38.527171840000001</v>
      </c>
      <c r="B591">
        <v>117.38803350000001</v>
      </c>
      <c r="C591">
        <v>52.10093689</v>
      </c>
      <c r="D591">
        <v>4.86169195</v>
      </c>
      <c r="E591" t="b">
        <f t="shared" si="216"/>
        <v>0</v>
      </c>
      <c r="F591">
        <f t="shared" si="217"/>
        <v>-255.64299250000002</v>
      </c>
      <c r="G591">
        <f t="shared" si="218"/>
        <v>-516.14767695</v>
      </c>
      <c r="H591">
        <f t="shared" si="219"/>
        <v>-776.65236140000002</v>
      </c>
      <c r="I591">
        <f t="shared" si="220"/>
        <v>-1037.15704585</v>
      </c>
      <c r="J591">
        <f t="shared" si="221"/>
        <v>-1297.6617303</v>
      </c>
      <c r="L591">
        <f t="shared" si="222"/>
        <v>9334448.5440000016</v>
      </c>
      <c r="M591">
        <f t="shared" si="223"/>
        <v>-414141647.85000008</v>
      </c>
      <c r="N591">
        <f t="shared" si="224"/>
        <v>-712283794.19099998</v>
      </c>
      <c r="O591">
        <f t="shared" si="225"/>
        <v>-792185408.62800002</v>
      </c>
      <c r="P591">
        <f t="shared" si="226"/>
        <v>-954184482.18199992</v>
      </c>
      <c r="Q591">
        <f t="shared" si="227"/>
        <v>-986222915.028</v>
      </c>
      <c r="S591">
        <f t="shared" si="228"/>
        <v>10209553.095000001</v>
      </c>
      <c r="T591">
        <f t="shared" si="229"/>
        <v>-465270246.35000008</v>
      </c>
      <c r="U591">
        <f t="shared" si="230"/>
        <v>-779382992.19449997</v>
      </c>
      <c r="V591">
        <f t="shared" si="231"/>
        <v>-831018026.69799984</v>
      </c>
      <c r="W591">
        <f t="shared" si="232"/>
        <v>-1109758039.0594997</v>
      </c>
      <c r="X591">
        <f t="shared" si="233"/>
        <v>-1128965705.3610001</v>
      </c>
      <c r="Z591">
        <f t="shared" si="234"/>
        <v>11084657.646000002</v>
      </c>
      <c r="AA591">
        <f t="shared" si="235"/>
        <v>-516398844.85000008</v>
      </c>
      <c r="AB591">
        <f t="shared" si="236"/>
        <v>-846482190.19800007</v>
      </c>
      <c r="AC591">
        <f t="shared" si="237"/>
        <v>-1056247211.5039998</v>
      </c>
      <c r="AD591">
        <f t="shared" si="238"/>
        <v>-1265331595.937</v>
      </c>
      <c r="AE591">
        <f t="shared" si="239"/>
        <v>-1271708495.694</v>
      </c>
    </row>
    <row r="592" spans="1:31" x14ac:dyDescent="0.25">
      <c r="A592">
        <v>38.528781330000001</v>
      </c>
      <c r="B592">
        <v>117.8585848</v>
      </c>
      <c r="C592">
        <v>36.340690610000003</v>
      </c>
      <c r="D592">
        <v>1.95888996</v>
      </c>
      <c r="E592" t="b">
        <f t="shared" si="216"/>
        <v>0</v>
      </c>
      <c r="F592">
        <f t="shared" si="217"/>
        <v>-179.74456309000001</v>
      </c>
      <c r="G592">
        <f t="shared" si="218"/>
        <v>-361.44801613999999</v>
      </c>
      <c r="H592">
        <f t="shared" si="219"/>
        <v>-543.15146919000006</v>
      </c>
      <c r="I592">
        <f t="shared" si="220"/>
        <v>-724.85492224000006</v>
      </c>
      <c r="J592">
        <f t="shared" si="221"/>
        <v>-906.55837529000007</v>
      </c>
      <c r="L592">
        <f t="shared" si="222"/>
        <v>3761068.7232000004</v>
      </c>
      <c r="M592">
        <f t="shared" si="223"/>
        <v>-291186192.2058</v>
      </c>
      <c r="N592">
        <f t="shared" si="224"/>
        <v>-498798262.27319992</v>
      </c>
      <c r="O592">
        <f t="shared" si="225"/>
        <v>-554014498.57380009</v>
      </c>
      <c r="P592">
        <f t="shared" si="226"/>
        <v>-666866528.46079993</v>
      </c>
      <c r="Q592">
        <f t="shared" si="227"/>
        <v>-688984365.22040009</v>
      </c>
      <c r="S592">
        <f t="shared" si="228"/>
        <v>4113668.9160000002</v>
      </c>
      <c r="T592">
        <f t="shared" si="229"/>
        <v>-327135104.82380003</v>
      </c>
      <c r="U592">
        <f t="shared" si="230"/>
        <v>-545786504.3714</v>
      </c>
      <c r="V592">
        <f t="shared" si="231"/>
        <v>-581172072.03329992</v>
      </c>
      <c r="W592">
        <f t="shared" si="232"/>
        <v>-775594766.7967999</v>
      </c>
      <c r="X592">
        <f t="shared" si="233"/>
        <v>-788705786.50230002</v>
      </c>
      <c r="Z592">
        <f t="shared" si="234"/>
        <v>4466269.1088000005</v>
      </c>
      <c r="AA592">
        <f t="shared" si="235"/>
        <v>-363084017.4418</v>
      </c>
      <c r="AB592">
        <f t="shared" si="236"/>
        <v>-592774746.46959996</v>
      </c>
      <c r="AC592">
        <f t="shared" si="237"/>
        <v>-738685998.0984</v>
      </c>
      <c r="AD592">
        <f t="shared" si="238"/>
        <v>-884323005.13279998</v>
      </c>
      <c r="AE592">
        <f t="shared" si="239"/>
        <v>-888427207.78420007</v>
      </c>
    </row>
    <row r="593" spans="1:31" x14ac:dyDescent="0.25">
      <c r="A593">
        <v>38.534366810000002</v>
      </c>
      <c r="B593">
        <v>117.80065159999999</v>
      </c>
      <c r="C593">
        <v>35.565509800000001</v>
      </c>
      <c r="D593">
        <v>3.40357208</v>
      </c>
      <c r="E593" t="b">
        <f t="shared" si="216"/>
        <v>0</v>
      </c>
      <c r="F593">
        <f t="shared" si="217"/>
        <v>-174.42397692</v>
      </c>
      <c r="G593">
        <f t="shared" si="218"/>
        <v>-352.25152592000001</v>
      </c>
      <c r="H593">
        <f t="shared" si="219"/>
        <v>-530.07907492000004</v>
      </c>
      <c r="I593">
        <f t="shared" si="220"/>
        <v>-707.90662392000002</v>
      </c>
      <c r="J593">
        <f t="shared" si="221"/>
        <v>-885.73417291999999</v>
      </c>
      <c r="L593">
        <f t="shared" si="222"/>
        <v>6534858.393600001</v>
      </c>
      <c r="M593">
        <f t="shared" si="223"/>
        <v>-282566842.61040002</v>
      </c>
      <c r="N593">
        <f t="shared" si="224"/>
        <v>-486107105.76959997</v>
      </c>
      <c r="O593">
        <f t="shared" si="225"/>
        <v>-540680656.41840005</v>
      </c>
      <c r="P593">
        <f t="shared" si="226"/>
        <v>-651274094.00639987</v>
      </c>
      <c r="Q593">
        <f t="shared" si="227"/>
        <v>-673157971.41919994</v>
      </c>
      <c r="S593">
        <f t="shared" si="228"/>
        <v>7147501.3680000007</v>
      </c>
      <c r="T593">
        <f t="shared" si="229"/>
        <v>-317451637.99439996</v>
      </c>
      <c r="U593">
        <f t="shared" si="230"/>
        <v>-531899804.13920003</v>
      </c>
      <c r="V593">
        <f t="shared" si="231"/>
        <v>-567184610.16439998</v>
      </c>
      <c r="W593">
        <f t="shared" si="232"/>
        <v>-757460087.59439981</v>
      </c>
      <c r="X593">
        <f t="shared" si="233"/>
        <v>-770588730.4404</v>
      </c>
      <c r="Z593">
        <f t="shared" si="234"/>
        <v>7760144.3424000014</v>
      </c>
      <c r="AA593">
        <f t="shared" si="235"/>
        <v>-352336433.37839997</v>
      </c>
      <c r="AB593">
        <f t="shared" si="236"/>
        <v>-577692502.50880003</v>
      </c>
      <c r="AC593">
        <f t="shared" si="237"/>
        <v>-720907541.89119995</v>
      </c>
      <c r="AD593">
        <f t="shared" si="238"/>
        <v>-863646081.18239999</v>
      </c>
      <c r="AE593">
        <f t="shared" si="239"/>
        <v>-868019489.46159995</v>
      </c>
    </row>
    <row r="594" spans="1:31" x14ac:dyDescent="0.25">
      <c r="A594">
        <v>38.541498539999999</v>
      </c>
      <c r="B594">
        <v>119.096717</v>
      </c>
      <c r="C594">
        <v>37.065147400000001</v>
      </c>
      <c r="D594">
        <v>2.7571380099999998</v>
      </c>
      <c r="E594" t="b">
        <f t="shared" si="216"/>
        <v>0</v>
      </c>
      <c r="F594">
        <f t="shared" si="217"/>
        <v>-182.56859899</v>
      </c>
      <c r="G594">
        <f t="shared" si="218"/>
        <v>-367.89433599</v>
      </c>
      <c r="H594">
        <f t="shared" si="219"/>
        <v>-553.22007299000006</v>
      </c>
      <c r="I594">
        <f t="shared" si="220"/>
        <v>-738.54580999000007</v>
      </c>
      <c r="J594">
        <f t="shared" si="221"/>
        <v>-923.87154699000007</v>
      </c>
      <c r="L594">
        <f t="shared" si="222"/>
        <v>5293704.9791999999</v>
      </c>
      <c r="M594">
        <f t="shared" si="223"/>
        <v>-295761130.36380005</v>
      </c>
      <c r="N594">
        <f t="shared" si="224"/>
        <v>-507694183.66619998</v>
      </c>
      <c r="O594">
        <f t="shared" si="225"/>
        <v>-564284474.44980001</v>
      </c>
      <c r="P594">
        <f t="shared" si="226"/>
        <v>-679462145.19079995</v>
      </c>
      <c r="Q594">
        <f t="shared" si="227"/>
        <v>-702142375.71240008</v>
      </c>
      <c r="S594">
        <f t="shared" si="228"/>
        <v>5789989.8209999995</v>
      </c>
      <c r="T594">
        <f t="shared" si="229"/>
        <v>-332274850.16180003</v>
      </c>
      <c r="U594">
        <f t="shared" si="230"/>
        <v>-555520447.34490001</v>
      </c>
      <c r="V594">
        <f t="shared" si="231"/>
        <v>-591945478.09929991</v>
      </c>
      <c r="W594">
        <f t="shared" si="232"/>
        <v>-790244016.68929994</v>
      </c>
      <c r="X594">
        <f t="shared" si="233"/>
        <v>-803768245.88130009</v>
      </c>
      <c r="Z594">
        <f t="shared" si="234"/>
        <v>6286274.6628</v>
      </c>
      <c r="AA594">
        <f t="shared" si="235"/>
        <v>-368788569.9598</v>
      </c>
      <c r="AB594">
        <f t="shared" si="236"/>
        <v>-603346711.0236001</v>
      </c>
      <c r="AC594">
        <f t="shared" si="237"/>
        <v>-752379299.26639998</v>
      </c>
      <c r="AD594">
        <f t="shared" si="238"/>
        <v>-901025888.18780005</v>
      </c>
      <c r="AE594">
        <f t="shared" si="239"/>
        <v>-905394116.0502001</v>
      </c>
    </row>
    <row r="595" spans="1:31" x14ac:dyDescent="0.25">
      <c r="A595">
        <v>38.541782759999997</v>
      </c>
      <c r="B595">
        <v>120.3350607</v>
      </c>
      <c r="C595">
        <v>76.676757809999998</v>
      </c>
      <c r="D595">
        <v>7.3458380700000001</v>
      </c>
      <c r="E595" t="b">
        <f t="shared" si="216"/>
        <v>0</v>
      </c>
      <c r="F595">
        <f t="shared" si="217"/>
        <v>-376.03795098000001</v>
      </c>
      <c r="G595">
        <f t="shared" si="218"/>
        <v>-759.42174003000002</v>
      </c>
      <c r="H595">
        <f t="shared" si="219"/>
        <v>-1142.80552908</v>
      </c>
      <c r="I595">
        <f t="shared" si="220"/>
        <v>-1526.1893181300002</v>
      </c>
      <c r="J595">
        <f t="shared" si="221"/>
        <v>-1909.5731071800001</v>
      </c>
      <c r="L595">
        <f t="shared" si="222"/>
        <v>14104009.094400002</v>
      </c>
      <c r="M595">
        <f t="shared" si="223"/>
        <v>-609181480.58760011</v>
      </c>
      <c r="N595">
        <f t="shared" si="224"/>
        <v>-1048002001.2413999</v>
      </c>
      <c r="O595">
        <f t="shared" si="225"/>
        <v>-1165661639.6615999</v>
      </c>
      <c r="P595">
        <f t="shared" si="226"/>
        <v>-1404094172.6796</v>
      </c>
      <c r="Q595">
        <f t="shared" si="227"/>
        <v>-1451275561.4568</v>
      </c>
      <c r="S595">
        <f t="shared" si="228"/>
        <v>15426259.947000001</v>
      </c>
      <c r="T595">
        <f t="shared" si="229"/>
        <v>-684389070.78360009</v>
      </c>
      <c r="U595">
        <f t="shared" si="230"/>
        <v>-1146726827.4452999</v>
      </c>
      <c r="V595">
        <f t="shared" si="231"/>
        <v>-1222801916.1155996</v>
      </c>
      <c r="W595">
        <f t="shared" si="232"/>
        <v>-1633022570.3990998</v>
      </c>
      <c r="X595">
        <f t="shared" si="233"/>
        <v>-1661328603.2466002</v>
      </c>
      <c r="Z595">
        <f t="shared" si="234"/>
        <v>16748510.799600003</v>
      </c>
      <c r="AA595">
        <f t="shared" si="235"/>
        <v>-759596660.97960007</v>
      </c>
      <c r="AB595">
        <f t="shared" si="236"/>
        <v>-1245451653.6492</v>
      </c>
      <c r="AC595">
        <f t="shared" si="237"/>
        <v>-1554215519.5487998</v>
      </c>
      <c r="AD595">
        <f t="shared" si="238"/>
        <v>-1861950968.1186001</v>
      </c>
      <c r="AE595">
        <f t="shared" si="239"/>
        <v>-1871381645.0364001</v>
      </c>
    </row>
    <row r="596" spans="1:31" x14ac:dyDescent="0.25">
      <c r="A596">
        <v>38.548465540000002</v>
      </c>
      <c r="B596">
        <v>117.1561217</v>
      </c>
      <c r="C596">
        <v>52.10093689</v>
      </c>
      <c r="D596">
        <v>4.2896999999999998E-2</v>
      </c>
      <c r="E596" t="b">
        <f t="shared" si="216"/>
        <v>0</v>
      </c>
      <c r="F596">
        <f t="shared" si="217"/>
        <v>-260.46178745000003</v>
      </c>
      <c r="G596">
        <f t="shared" si="218"/>
        <v>-520.96647189999999</v>
      </c>
      <c r="H596">
        <f t="shared" si="219"/>
        <v>-781.47115635</v>
      </c>
      <c r="I596">
        <f t="shared" si="220"/>
        <v>-1041.9758408</v>
      </c>
      <c r="J596">
        <f t="shared" si="221"/>
        <v>-1302.48052525</v>
      </c>
      <c r="L596">
        <f t="shared" si="222"/>
        <v>82362.240000000005</v>
      </c>
      <c r="M596">
        <f t="shared" si="223"/>
        <v>-421948095.66900003</v>
      </c>
      <c r="N596">
        <f t="shared" si="224"/>
        <v>-718933731.22199988</v>
      </c>
      <c r="O596">
        <f t="shared" si="225"/>
        <v>-797100579.477</v>
      </c>
      <c r="P596">
        <f t="shared" si="226"/>
        <v>-958617773.53600001</v>
      </c>
      <c r="Q596">
        <f t="shared" si="227"/>
        <v>-989885199.19000006</v>
      </c>
      <c r="S596">
        <f t="shared" si="228"/>
        <v>90083.7</v>
      </c>
      <c r="T596">
        <f t="shared" si="229"/>
        <v>-474040453.15900004</v>
      </c>
      <c r="U596">
        <f t="shared" si="230"/>
        <v>-786659372.56900001</v>
      </c>
      <c r="V596">
        <f t="shared" si="231"/>
        <v>-836174137.29449987</v>
      </c>
      <c r="W596">
        <f t="shared" si="232"/>
        <v>-1114914149.6559999</v>
      </c>
      <c r="X596">
        <f t="shared" si="233"/>
        <v>-1133158056.9675</v>
      </c>
      <c r="Z596">
        <f t="shared" si="234"/>
        <v>97805.16</v>
      </c>
      <c r="AA596">
        <f t="shared" si="235"/>
        <v>-526132810.64900005</v>
      </c>
      <c r="AB596">
        <f t="shared" si="236"/>
        <v>-854385013.91600001</v>
      </c>
      <c r="AC596">
        <f t="shared" si="237"/>
        <v>-1062800772.6359999</v>
      </c>
      <c r="AD596">
        <f t="shared" si="238"/>
        <v>-1271210525.776</v>
      </c>
      <c r="AE596">
        <f t="shared" si="239"/>
        <v>-1276430914.7449999</v>
      </c>
    </row>
    <row r="597" spans="1:31" x14ac:dyDescent="0.25">
      <c r="A597">
        <v>38.5564362</v>
      </c>
      <c r="B597">
        <v>117.56883430000001</v>
      </c>
      <c r="C597">
        <v>52.10093689</v>
      </c>
      <c r="D597">
        <v>0.29545099000000002</v>
      </c>
      <c r="E597" t="b">
        <f t="shared" si="216"/>
        <v>0</v>
      </c>
      <c r="F597">
        <f t="shared" si="217"/>
        <v>-260.20923346000001</v>
      </c>
      <c r="G597">
        <f t="shared" si="218"/>
        <v>-520.71391791000008</v>
      </c>
      <c r="H597">
        <f t="shared" si="219"/>
        <v>-781.21860236000009</v>
      </c>
      <c r="I597">
        <f t="shared" si="220"/>
        <v>-1041.72328681</v>
      </c>
      <c r="J597">
        <f t="shared" si="221"/>
        <v>-1302.22797126</v>
      </c>
      <c r="L597">
        <f t="shared" si="222"/>
        <v>567265.90080000018</v>
      </c>
      <c r="M597">
        <f t="shared" si="223"/>
        <v>-421538958.20520002</v>
      </c>
      <c r="N597">
        <f t="shared" si="224"/>
        <v>-718585206.71580005</v>
      </c>
      <c r="O597">
        <f t="shared" si="225"/>
        <v>-796842974.4072001</v>
      </c>
      <c r="P597">
        <f t="shared" si="226"/>
        <v>-958385423.86519992</v>
      </c>
      <c r="Q597">
        <f t="shared" si="227"/>
        <v>-989693258.15760005</v>
      </c>
      <c r="S597">
        <f t="shared" si="228"/>
        <v>620447.07900000014</v>
      </c>
      <c r="T597">
        <f t="shared" si="229"/>
        <v>-473580804.89720005</v>
      </c>
      <c r="U597">
        <f t="shared" si="230"/>
        <v>-786278016.04410017</v>
      </c>
      <c r="V597">
        <f t="shared" si="231"/>
        <v>-835903904.52520001</v>
      </c>
      <c r="W597">
        <f t="shared" si="232"/>
        <v>-1114643916.8866997</v>
      </c>
      <c r="X597">
        <f t="shared" si="233"/>
        <v>-1132938334.9962001</v>
      </c>
      <c r="Z597">
        <f t="shared" si="234"/>
        <v>673628.25720000023</v>
      </c>
      <c r="AA597">
        <f t="shared" si="235"/>
        <v>-525622651.58920002</v>
      </c>
      <c r="AB597">
        <f t="shared" si="236"/>
        <v>-853970825.37240016</v>
      </c>
      <c r="AC597">
        <f t="shared" si="237"/>
        <v>-1062457299.2096001</v>
      </c>
      <c r="AD597">
        <f t="shared" si="238"/>
        <v>-1270902409.9081998</v>
      </c>
      <c r="AE597">
        <f t="shared" si="239"/>
        <v>-1276183411.8348</v>
      </c>
    </row>
    <row r="598" spans="1:31" x14ac:dyDescent="0.25">
      <c r="A598">
        <v>38.568233739999997</v>
      </c>
      <c r="B598">
        <v>118.3944817</v>
      </c>
      <c r="C598">
        <v>21.786016459999999</v>
      </c>
      <c r="D598">
        <v>3.0607659800000002</v>
      </c>
      <c r="E598" t="b">
        <f t="shared" si="216"/>
        <v>0</v>
      </c>
      <c r="F598">
        <f t="shared" si="217"/>
        <v>-105.86931632</v>
      </c>
      <c r="G598">
        <f t="shared" si="218"/>
        <v>-214.79939861999998</v>
      </c>
      <c r="H598">
        <f t="shared" si="219"/>
        <v>-323.72948092000001</v>
      </c>
      <c r="I598">
        <f t="shared" si="220"/>
        <v>-432.65956322</v>
      </c>
      <c r="J598">
        <f t="shared" si="221"/>
        <v>-541.58964551999998</v>
      </c>
      <c r="L598">
        <f t="shared" si="222"/>
        <v>5876670.6816000016</v>
      </c>
      <c r="M598">
        <f t="shared" si="223"/>
        <v>-171508292.4384</v>
      </c>
      <c r="N598">
        <f t="shared" si="224"/>
        <v>-296423170.09559995</v>
      </c>
      <c r="O598">
        <f t="shared" si="225"/>
        <v>-330204070.53839999</v>
      </c>
      <c r="P598">
        <f t="shared" si="226"/>
        <v>-398046798.16239995</v>
      </c>
      <c r="Q598">
        <f t="shared" si="227"/>
        <v>-411608130.5952</v>
      </c>
      <c r="S598">
        <f t="shared" si="228"/>
        <v>6427608.5580000011</v>
      </c>
      <c r="T598">
        <f t="shared" si="229"/>
        <v>-192682155.7024</v>
      </c>
      <c r="U598">
        <f t="shared" si="230"/>
        <v>-324347091.91619998</v>
      </c>
      <c r="V598">
        <f t="shared" si="231"/>
        <v>-346390544.58439994</v>
      </c>
      <c r="W598">
        <f t="shared" si="232"/>
        <v>-462945732.64539987</v>
      </c>
      <c r="X598">
        <f t="shared" si="233"/>
        <v>-471182991.6024</v>
      </c>
      <c r="Z598">
        <f t="shared" si="234"/>
        <v>6978546.4344000015</v>
      </c>
      <c r="AA598">
        <f t="shared" si="235"/>
        <v>-213856018.9664</v>
      </c>
      <c r="AB598">
        <f t="shared" si="236"/>
        <v>-352271013.73680001</v>
      </c>
      <c r="AC598">
        <f t="shared" si="237"/>
        <v>-440272094.05119997</v>
      </c>
      <c r="AD598">
        <f t="shared" si="238"/>
        <v>-527844667.12839997</v>
      </c>
      <c r="AE598">
        <f t="shared" si="239"/>
        <v>-530757852.60959995</v>
      </c>
    </row>
    <row r="599" spans="1:31" x14ac:dyDescent="0.25">
      <c r="A599">
        <v>38.572701930000001</v>
      </c>
      <c r="B599">
        <v>117.3948838</v>
      </c>
      <c r="C599">
        <v>52.10093689</v>
      </c>
      <c r="D599">
        <v>0.33168501</v>
      </c>
      <c r="E599" t="b">
        <f t="shared" si="216"/>
        <v>0</v>
      </c>
      <c r="F599">
        <f t="shared" si="217"/>
        <v>-260.17299944000001</v>
      </c>
      <c r="G599">
        <f t="shared" si="218"/>
        <v>-520.67768389000003</v>
      </c>
      <c r="H599">
        <f t="shared" si="219"/>
        <v>-781.18236834000004</v>
      </c>
      <c r="I599">
        <f t="shared" si="220"/>
        <v>-1041.6870527900001</v>
      </c>
      <c r="J599">
        <f t="shared" si="221"/>
        <v>-1302.1917372400001</v>
      </c>
      <c r="L599">
        <f t="shared" si="222"/>
        <v>636835.21920000005</v>
      </c>
      <c r="M599">
        <f t="shared" si="223"/>
        <v>-421480259.09280002</v>
      </c>
      <c r="N599">
        <f t="shared" si="224"/>
        <v>-718535203.76820004</v>
      </c>
      <c r="O599">
        <f t="shared" si="225"/>
        <v>-796806015.7068001</v>
      </c>
      <c r="P599">
        <f t="shared" si="226"/>
        <v>-958352088.5668</v>
      </c>
      <c r="Q599">
        <f t="shared" si="227"/>
        <v>-989665720.30239999</v>
      </c>
      <c r="S599">
        <f t="shared" si="228"/>
        <v>696538.52100000007</v>
      </c>
      <c r="T599">
        <f t="shared" si="229"/>
        <v>-473514858.98080003</v>
      </c>
      <c r="U599">
        <f t="shared" si="230"/>
        <v>-786223302.67390013</v>
      </c>
      <c r="V599">
        <f t="shared" si="231"/>
        <v>-835865134.12379992</v>
      </c>
      <c r="W599">
        <f t="shared" si="232"/>
        <v>-1114605146.4852998</v>
      </c>
      <c r="X599">
        <f t="shared" si="233"/>
        <v>-1132906811.3987999</v>
      </c>
      <c r="Z599">
        <f t="shared" si="234"/>
        <v>756241.82280000008</v>
      </c>
      <c r="AA599">
        <f t="shared" si="235"/>
        <v>-525549458.86879998</v>
      </c>
      <c r="AB599">
        <f t="shared" si="236"/>
        <v>-853911401.5796001</v>
      </c>
      <c r="AC599">
        <f t="shared" si="237"/>
        <v>-1062408020.9424</v>
      </c>
      <c r="AD599">
        <f t="shared" si="238"/>
        <v>-1270858204.4038</v>
      </c>
      <c r="AE599">
        <f t="shared" si="239"/>
        <v>-1276147902.4951999</v>
      </c>
    </row>
    <row r="600" spans="1:31" x14ac:dyDescent="0.25">
      <c r="A600">
        <v>38.574284679999998</v>
      </c>
      <c r="B600">
        <v>117.8657169</v>
      </c>
      <c r="C600">
        <v>49.602558139999999</v>
      </c>
      <c r="D600">
        <v>0.85701400000000005</v>
      </c>
      <c r="E600" t="b">
        <f t="shared" si="216"/>
        <v>0</v>
      </c>
      <c r="F600">
        <f t="shared" si="217"/>
        <v>-247.15577669999999</v>
      </c>
      <c r="G600">
        <f t="shared" si="218"/>
        <v>-495.16856739999997</v>
      </c>
      <c r="H600">
        <f t="shared" si="219"/>
        <v>-743.1813580999999</v>
      </c>
      <c r="I600">
        <f t="shared" si="220"/>
        <v>-991.19414879999988</v>
      </c>
      <c r="J600">
        <f t="shared" si="221"/>
        <v>-1239.2069395000001</v>
      </c>
      <c r="L600">
        <f t="shared" si="222"/>
        <v>1645466.8800000001</v>
      </c>
      <c r="M600">
        <f t="shared" si="223"/>
        <v>-400392358.25400001</v>
      </c>
      <c r="N600">
        <f t="shared" si="224"/>
        <v>-683332623.01199996</v>
      </c>
      <c r="O600">
        <f t="shared" si="225"/>
        <v>-758044985.26199996</v>
      </c>
      <c r="P600">
        <f t="shared" si="226"/>
        <v>-911898616.89599979</v>
      </c>
      <c r="Q600">
        <f t="shared" si="227"/>
        <v>-941797274.01999998</v>
      </c>
      <c r="S600">
        <f t="shared" si="228"/>
        <v>1799729.4000000001</v>
      </c>
      <c r="T600">
        <f t="shared" si="229"/>
        <v>-449823513.59399998</v>
      </c>
      <c r="U600">
        <f t="shared" si="230"/>
        <v>-747704536.77399993</v>
      </c>
      <c r="V600">
        <f t="shared" si="231"/>
        <v>-795204053.16699982</v>
      </c>
      <c r="W600">
        <f t="shared" si="232"/>
        <v>-1060577739.2159997</v>
      </c>
      <c r="X600">
        <f t="shared" si="233"/>
        <v>-1078110037.365</v>
      </c>
      <c r="Z600">
        <f t="shared" si="234"/>
        <v>1953991.9200000002</v>
      </c>
      <c r="AA600">
        <f t="shared" si="235"/>
        <v>-499254668.93399996</v>
      </c>
      <c r="AB600">
        <f t="shared" si="236"/>
        <v>-812076450.53600001</v>
      </c>
      <c r="AC600">
        <f t="shared" si="237"/>
        <v>-1010726647.0159998</v>
      </c>
      <c r="AD600">
        <f t="shared" si="238"/>
        <v>-1209256861.5359998</v>
      </c>
      <c r="AE600">
        <f t="shared" si="239"/>
        <v>-1214422800.71</v>
      </c>
    </row>
    <row r="601" spans="1:31" x14ac:dyDescent="0.25">
      <c r="A601">
        <v>38.574504359999999</v>
      </c>
      <c r="B601">
        <v>119.2203252</v>
      </c>
      <c r="C601">
        <v>65.973022459999996</v>
      </c>
      <c r="D601">
        <v>2.9383349399999998</v>
      </c>
      <c r="E601" t="b">
        <f t="shared" si="216"/>
        <v>0</v>
      </c>
      <c r="F601">
        <f t="shared" si="217"/>
        <v>-326.92677735999996</v>
      </c>
      <c r="G601">
        <f t="shared" si="218"/>
        <v>-656.79188965999992</v>
      </c>
      <c r="H601">
        <f t="shared" si="219"/>
        <v>-986.65700195999989</v>
      </c>
      <c r="I601">
        <f t="shared" si="220"/>
        <v>-1316.5221142599999</v>
      </c>
      <c r="J601">
        <f t="shared" si="221"/>
        <v>-1646.3872265599998</v>
      </c>
      <c r="L601">
        <f t="shared" si="222"/>
        <v>5641603.0848000003</v>
      </c>
      <c r="M601">
        <f t="shared" si="223"/>
        <v>-529621379.32319999</v>
      </c>
      <c r="N601">
        <f t="shared" si="224"/>
        <v>-906372807.73079991</v>
      </c>
      <c r="O601">
        <f t="shared" si="225"/>
        <v>-1006390141.9992</v>
      </c>
      <c r="P601">
        <f t="shared" si="226"/>
        <v>-1211200345.1191998</v>
      </c>
      <c r="Q601">
        <f t="shared" si="227"/>
        <v>-1251254292.1855998</v>
      </c>
      <c r="S601">
        <f t="shared" si="228"/>
        <v>6170503.3739999998</v>
      </c>
      <c r="T601">
        <f t="shared" si="229"/>
        <v>-595006734.79519999</v>
      </c>
      <c r="U601">
        <f t="shared" si="230"/>
        <v>-991755753.3865999</v>
      </c>
      <c r="V601">
        <f t="shared" si="231"/>
        <v>-1055722992.0971998</v>
      </c>
      <c r="W601">
        <f t="shared" si="232"/>
        <v>-1408678662.2581995</v>
      </c>
      <c r="X601">
        <f t="shared" si="233"/>
        <v>-1432356887.1071997</v>
      </c>
      <c r="Z601">
        <f t="shared" si="234"/>
        <v>6699403.6632000003</v>
      </c>
      <c r="AA601">
        <f t="shared" si="235"/>
        <v>-660392090.26719987</v>
      </c>
      <c r="AB601">
        <f t="shared" si="236"/>
        <v>-1077138699.0424001</v>
      </c>
      <c r="AC601">
        <f t="shared" si="237"/>
        <v>-1341853522.6655998</v>
      </c>
      <c r="AD601">
        <f t="shared" si="238"/>
        <v>-1606156979.3971996</v>
      </c>
      <c r="AE601">
        <f t="shared" si="239"/>
        <v>-1613459482.0287998</v>
      </c>
    </row>
    <row r="602" spans="1:31" x14ac:dyDescent="0.25">
      <c r="A602">
        <v>38.57806927</v>
      </c>
      <c r="B602">
        <v>117.3368838</v>
      </c>
      <c r="C602">
        <v>52.10093689</v>
      </c>
      <c r="D602">
        <v>3.6748080299999999</v>
      </c>
      <c r="E602" t="b">
        <f t="shared" si="216"/>
        <v>0</v>
      </c>
      <c r="F602">
        <f t="shared" si="217"/>
        <v>-256.82987642000001</v>
      </c>
      <c r="G602">
        <f t="shared" si="218"/>
        <v>-517.33456087000002</v>
      </c>
      <c r="H602">
        <f t="shared" si="219"/>
        <v>-777.83924532000003</v>
      </c>
      <c r="I602">
        <f t="shared" si="220"/>
        <v>-1038.3439297700002</v>
      </c>
      <c r="J602">
        <f t="shared" si="221"/>
        <v>-1298.8486142200002</v>
      </c>
      <c r="L602">
        <f t="shared" si="222"/>
        <v>7055631.4176000003</v>
      </c>
      <c r="M602">
        <f t="shared" si="223"/>
        <v>-416064399.80040008</v>
      </c>
      <c r="N602">
        <f t="shared" si="224"/>
        <v>-713921694.00059998</v>
      </c>
      <c r="O602">
        <f t="shared" si="225"/>
        <v>-793396030.22640002</v>
      </c>
      <c r="P602">
        <f t="shared" si="226"/>
        <v>-955276415.38840008</v>
      </c>
      <c r="Q602">
        <f t="shared" si="227"/>
        <v>-987124946.80720019</v>
      </c>
      <c r="S602">
        <f t="shared" si="228"/>
        <v>7717096.8629999999</v>
      </c>
      <c r="T602">
        <f t="shared" si="229"/>
        <v>-467430375.08440006</v>
      </c>
      <c r="U602">
        <f t="shared" si="230"/>
        <v>-781175186.91369998</v>
      </c>
      <c r="V602">
        <f t="shared" si="231"/>
        <v>-832287992.49239993</v>
      </c>
      <c r="W602">
        <f t="shared" si="232"/>
        <v>-1111028004.8539</v>
      </c>
      <c r="X602">
        <f t="shared" si="233"/>
        <v>-1129998294.3714001</v>
      </c>
      <c r="Z602">
        <f t="shared" si="234"/>
        <v>8378562.3084000004</v>
      </c>
      <c r="AA602">
        <f t="shared" si="235"/>
        <v>-518796350.36840004</v>
      </c>
      <c r="AB602">
        <f t="shared" si="236"/>
        <v>-848428679.82680011</v>
      </c>
      <c r="AC602">
        <f t="shared" si="237"/>
        <v>-1057861373.6352</v>
      </c>
      <c r="AD602">
        <f t="shared" si="238"/>
        <v>-1266779594.3194001</v>
      </c>
      <c r="AE602">
        <f t="shared" si="239"/>
        <v>-1272871641.9356003</v>
      </c>
    </row>
    <row r="603" spans="1:31" x14ac:dyDescent="0.25">
      <c r="A603">
        <v>38.579873280000001</v>
      </c>
      <c r="B603">
        <v>117.80774959999999</v>
      </c>
      <c r="C603">
        <v>73.788139340000001</v>
      </c>
      <c r="D603">
        <v>1.22430599</v>
      </c>
      <c r="E603" t="b">
        <f t="shared" si="216"/>
        <v>0</v>
      </c>
      <c r="F603">
        <f t="shared" si="217"/>
        <v>-367.71639070999998</v>
      </c>
      <c r="G603">
        <f t="shared" si="218"/>
        <v>-736.65708741000003</v>
      </c>
      <c r="H603">
        <f t="shared" si="219"/>
        <v>-1105.59778411</v>
      </c>
      <c r="I603">
        <f t="shared" si="220"/>
        <v>-1474.53848081</v>
      </c>
      <c r="J603">
        <f t="shared" si="221"/>
        <v>-1843.47917751</v>
      </c>
      <c r="L603">
        <f t="shared" si="222"/>
        <v>2350667.5008</v>
      </c>
      <c r="M603">
        <f t="shared" si="223"/>
        <v>-595700552.95019996</v>
      </c>
      <c r="N603">
        <f t="shared" si="224"/>
        <v>-1016586780.6258</v>
      </c>
      <c r="O603">
        <f t="shared" si="225"/>
        <v>-1127709739.7922001</v>
      </c>
      <c r="P603">
        <f t="shared" si="226"/>
        <v>-1356575402.3451998</v>
      </c>
      <c r="Q603">
        <f t="shared" si="227"/>
        <v>-1401044174.9075999</v>
      </c>
      <c r="S603">
        <f t="shared" si="228"/>
        <v>2571042.5789999999</v>
      </c>
      <c r="T603">
        <f t="shared" si="229"/>
        <v>-669243831.09220004</v>
      </c>
      <c r="U603">
        <f t="shared" si="230"/>
        <v>-1112352201.9891002</v>
      </c>
      <c r="V603">
        <f t="shared" si="231"/>
        <v>-1182989628.9977</v>
      </c>
      <c r="W603">
        <f t="shared" si="232"/>
        <v>-1577756174.4666996</v>
      </c>
      <c r="X603">
        <f t="shared" si="233"/>
        <v>-1603826884.4337001</v>
      </c>
      <c r="Z603">
        <f t="shared" si="234"/>
        <v>2791417.6572000002</v>
      </c>
      <c r="AA603">
        <f t="shared" si="235"/>
        <v>-742787109.2342</v>
      </c>
      <c r="AB603">
        <f t="shared" si="236"/>
        <v>-1208117623.3524003</v>
      </c>
      <c r="AC603">
        <f t="shared" si="237"/>
        <v>-1503612986.3896</v>
      </c>
      <c r="AD603">
        <f t="shared" si="238"/>
        <v>-1798936946.5881999</v>
      </c>
      <c r="AE603">
        <f t="shared" si="239"/>
        <v>-1806609593.9598</v>
      </c>
    </row>
    <row r="604" spans="1:31" x14ac:dyDescent="0.25">
      <c r="A604">
        <v>38.58498239</v>
      </c>
      <c r="B604">
        <v>115.63406259999999</v>
      </c>
      <c r="C604">
        <v>8.1438445999999995</v>
      </c>
      <c r="D604">
        <v>4.6234607700000003</v>
      </c>
      <c r="E604" t="b">
        <f t="shared" si="216"/>
        <v>0</v>
      </c>
      <c r="F604">
        <f t="shared" si="217"/>
        <v>-36.095762229999998</v>
      </c>
      <c r="G604">
        <f t="shared" si="218"/>
        <v>-76.814985230000005</v>
      </c>
      <c r="H604">
        <f t="shared" si="219"/>
        <v>-117.53420823</v>
      </c>
      <c r="I604">
        <f t="shared" si="220"/>
        <v>-158.25343122999999</v>
      </c>
      <c r="J604">
        <f t="shared" si="221"/>
        <v>-198.97265422999999</v>
      </c>
      <c r="L604">
        <f t="shared" si="222"/>
        <v>8877044.6784000024</v>
      </c>
      <c r="M604">
        <f t="shared" si="223"/>
        <v>-58475134.812600002</v>
      </c>
      <c r="N604">
        <f t="shared" si="224"/>
        <v>-106004679.61739999</v>
      </c>
      <c r="O604">
        <f t="shared" si="225"/>
        <v>-119884892.3946</v>
      </c>
      <c r="P604">
        <f t="shared" si="226"/>
        <v>-145593156.73159999</v>
      </c>
      <c r="Q604">
        <f t="shared" si="227"/>
        <v>-151219217.2148</v>
      </c>
      <c r="S604">
        <f t="shared" si="228"/>
        <v>9709267.6170000006</v>
      </c>
      <c r="T604">
        <f t="shared" si="229"/>
        <v>-65694287.258599997</v>
      </c>
      <c r="U604">
        <f t="shared" si="230"/>
        <v>-115990627.6973</v>
      </c>
      <c r="V604">
        <f t="shared" si="231"/>
        <v>-125761602.80609998</v>
      </c>
      <c r="W604">
        <f t="shared" si="232"/>
        <v>-169331171.41609997</v>
      </c>
      <c r="X604">
        <f t="shared" si="233"/>
        <v>-173106209.18009999</v>
      </c>
      <c r="Z604">
        <f t="shared" si="234"/>
        <v>10541490.555600002</v>
      </c>
      <c r="AA604">
        <f t="shared" si="235"/>
        <v>-72913439.704599991</v>
      </c>
      <c r="AB604">
        <f t="shared" si="236"/>
        <v>-125976575.77720001</v>
      </c>
      <c r="AC604">
        <f t="shared" si="237"/>
        <v>-159846523.19279999</v>
      </c>
      <c r="AD604">
        <f t="shared" si="238"/>
        <v>-193069186.10059997</v>
      </c>
      <c r="AE604">
        <f t="shared" si="239"/>
        <v>-194993201.14539999</v>
      </c>
    </row>
    <row r="605" spans="1:31" x14ac:dyDescent="0.25">
      <c r="A605">
        <v>38.596475480000002</v>
      </c>
      <c r="B605">
        <v>117.6337967</v>
      </c>
      <c r="C605">
        <v>31.14632988</v>
      </c>
      <c r="D605">
        <v>0.73458396999999998</v>
      </c>
      <c r="E605" t="b">
        <f t="shared" si="216"/>
        <v>0</v>
      </c>
      <c r="F605">
        <f t="shared" si="217"/>
        <v>-154.99706543000002</v>
      </c>
      <c r="G605">
        <f t="shared" si="218"/>
        <v>-310.72871483</v>
      </c>
      <c r="H605">
        <f t="shared" si="219"/>
        <v>-466.46036422999998</v>
      </c>
      <c r="I605">
        <f t="shared" si="220"/>
        <v>-622.19201363000002</v>
      </c>
      <c r="J605">
        <f t="shared" si="221"/>
        <v>-777.92366302999994</v>
      </c>
      <c r="L605">
        <f t="shared" si="222"/>
        <v>1410401.2224000001</v>
      </c>
      <c r="M605">
        <f t="shared" si="223"/>
        <v>-251095245.99660003</v>
      </c>
      <c r="N605">
        <f t="shared" si="224"/>
        <v>-428805626.46539992</v>
      </c>
      <c r="O605">
        <f t="shared" si="225"/>
        <v>-475789571.51459998</v>
      </c>
      <c r="P605">
        <f t="shared" si="226"/>
        <v>-572416652.5395999</v>
      </c>
      <c r="Q605">
        <f t="shared" si="227"/>
        <v>-591221983.90279996</v>
      </c>
      <c r="S605">
        <f t="shared" si="228"/>
        <v>1542626.3370000001</v>
      </c>
      <c r="T605">
        <f t="shared" si="229"/>
        <v>-282094659.0826</v>
      </c>
      <c r="U605">
        <f t="shared" si="230"/>
        <v>-469200359.3933</v>
      </c>
      <c r="V605">
        <f t="shared" si="231"/>
        <v>-499112589.72609991</v>
      </c>
      <c r="W605">
        <f t="shared" si="232"/>
        <v>-665745454.58409989</v>
      </c>
      <c r="X605">
        <f t="shared" si="233"/>
        <v>-676793586.83609998</v>
      </c>
      <c r="Z605">
        <f t="shared" si="234"/>
        <v>1674851.4516</v>
      </c>
      <c r="AA605">
        <f t="shared" si="235"/>
        <v>-313094072.16860002</v>
      </c>
      <c r="AB605">
        <f t="shared" si="236"/>
        <v>-509595092.32120001</v>
      </c>
      <c r="AC605">
        <f t="shared" si="237"/>
        <v>-634386095.35279989</v>
      </c>
      <c r="AD605">
        <f t="shared" si="238"/>
        <v>-759074256.6286</v>
      </c>
      <c r="AE605">
        <f t="shared" si="239"/>
        <v>-762365189.7694</v>
      </c>
    </row>
    <row r="606" spans="1:31" x14ac:dyDescent="0.25">
      <c r="A606">
        <v>38.598044100000003</v>
      </c>
      <c r="B606">
        <v>116.0467768</v>
      </c>
      <c r="C606">
        <v>78.320755000000005</v>
      </c>
      <c r="D606">
        <v>1.75725603</v>
      </c>
      <c r="E606" t="b">
        <f t="shared" si="216"/>
        <v>0</v>
      </c>
      <c r="F606">
        <f t="shared" si="217"/>
        <v>-389.84651897000003</v>
      </c>
      <c r="G606">
        <f t="shared" si="218"/>
        <v>-781.45029397000008</v>
      </c>
      <c r="H606">
        <f t="shared" si="219"/>
        <v>-1173.0540689700001</v>
      </c>
      <c r="I606">
        <f t="shared" si="220"/>
        <v>-1564.6578439700002</v>
      </c>
      <c r="J606">
        <f t="shared" si="221"/>
        <v>-1956.2616189700002</v>
      </c>
      <c r="L606">
        <f t="shared" si="222"/>
        <v>3373931.5776000004</v>
      </c>
      <c r="M606">
        <f t="shared" si="223"/>
        <v>-631551360.73140013</v>
      </c>
      <c r="N606">
        <f t="shared" si="224"/>
        <v>-1078401405.6786001</v>
      </c>
      <c r="O606">
        <f t="shared" si="225"/>
        <v>-1196515150.3494</v>
      </c>
      <c r="P606">
        <f t="shared" si="226"/>
        <v>-1439485216.4524002</v>
      </c>
      <c r="Q606">
        <f t="shared" si="227"/>
        <v>-1486758830.4172003</v>
      </c>
      <c r="S606">
        <f t="shared" si="228"/>
        <v>3690237.6630000002</v>
      </c>
      <c r="T606">
        <f t="shared" si="229"/>
        <v>-709520664.52540004</v>
      </c>
      <c r="U606">
        <f t="shared" si="230"/>
        <v>-1179989943.8947001</v>
      </c>
      <c r="V606">
        <f t="shared" si="231"/>
        <v>-1255167853.7979</v>
      </c>
      <c r="W606">
        <f t="shared" si="232"/>
        <v>-1674183893.0479</v>
      </c>
      <c r="X606">
        <f t="shared" si="233"/>
        <v>-1701947608.5039003</v>
      </c>
      <c r="Z606">
        <f t="shared" si="234"/>
        <v>4006543.7484000004</v>
      </c>
      <c r="AA606">
        <f t="shared" si="235"/>
        <v>-787489968.31940007</v>
      </c>
      <c r="AB606">
        <f t="shared" si="236"/>
        <v>-1281578482.1108</v>
      </c>
      <c r="AC606">
        <f t="shared" si="237"/>
        <v>-1595353533.7991998</v>
      </c>
      <c r="AD606">
        <f t="shared" si="238"/>
        <v>-1908882569.6434002</v>
      </c>
      <c r="AE606">
        <f t="shared" si="239"/>
        <v>-1917136386.5906003</v>
      </c>
    </row>
    <row r="607" spans="1:31" x14ac:dyDescent="0.25">
      <c r="A607">
        <v>38.602847019999999</v>
      </c>
      <c r="B607">
        <v>118.04681069999999</v>
      </c>
      <c r="C607">
        <v>36.944892879999998</v>
      </c>
      <c r="D607">
        <v>3.5504889500000001</v>
      </c>
      <c r="E607" t="b">
        <f t="shared" si="216"/>
        <v>0</v>
      </c>
      <c r="F607">
        <f t="shared" si="217"/>
        <v>-181.17397545</v>
      </c>
      <c r="G607">
        <f t="shared" si="218"/>
        <v>-365.89843984999999</v>
      </c>
      <c r="H607">
        <f t="shared" si="219"/>
        <v>-550.62290424999992</v>
      </c>
      <c r="I607">
        <f t="shared" si="220"/>
        <v>-735.34736864999991</v>
      </c>
      <c r="J607">
        <f t="shared" si="221"/>
        <v>-920.0718330499999</v>
      </c>
      <c r="L607">
        <f t="shared" si="222"/>
        <v>6816938.7840000009</v>
      </c>
      <c r="M607">
        <f t="shared" si="223"/>
        <v>-293501840.22899997</v>
      </c>
      <c r="N607">
        <f t="shared" si="224"/>
        <v>-504939846.99299991</v>
      </c>
      <c r="O607">
        <f t="shared" si="225"/>
        <v>-561635362.33499992</v>
      </c>
      <c r="P607">
        <f t="shared" si="226"/>
        <v>-676519579.15799987</v>
      </c>
      <c r="Q607">
        <f t="shared" si="227"/>
        <v>-699254593.11800003</v>
      </c>
      <c r="S607">
        <f t="shared" si="228"/>
        <v>7456026.7950000009</v>
      </c>
      <c r="T607">
        <f t="shared" si="229"/>
        <v>-329736635.31900001</v>
      </c>
      <c r="U607">
        <f t="shared" si="230"/>
        <v>-552506644.17349994</v>
      </c>
      <c r="V607">
        <f t="shared" si="231"/>
        <v>-589166507.54749978</v>
      </c>
      <c r="W607">
        <f t="shared" si="232"/>
        <v>-786821684.45549977</v>
      </c>
      <c r="X607">
        <f t="shared" si="233"/>
        <v>-800462494.75349998</v>
      </c>
      <c r="Z607">
        <f t="shared" si="234"/>
        <v>8095114.8060000017</v>
      </c>
      <c r="AA607">
        <f t="shared" si="235"/>
        <v>-365971430.40899998</v>
      </c>
      <c r="AB607">
        <f t="shared" si="236"/>
        <v>-600073441.35399997</v>
      </c>
      <c r="AC607">
        <f t="shared" si="237"/>
        <v>-748847149.77999973</v>
      </c>
      <c r="AD607">
        <f t="shared" si="238"/>
        <v>-897123789.75299978</v>
      </c>
      <c r="AE607">
        <f t="shared" si="239"/>
        <v>-901670396.38899994</v>
      </c>
    </row>
    <row r="608" spans="1:31" x14ac:dyDescent="0.25">
      <c r="A608">
        <v>38.607298380000003</v>
      </c>
      <c r="B608">
        <v>120.1703138</v>
      </c>
      <c r="C608">
        <v>47.571170809999998</v>
      </c>
      <c r="D608">
        <v>9.1382226899999992</v>
      </c>
      <c r="E608" t="b">
        <f t="shared" si="216"/>
        <v>0</v>
      </c>
      <c r="F608">
        <f t="shared" si="217"/>
        <v>-228.71763136000001</v>
      </c>
      <c r="G608">
        <f t="shared" si="218"/>
        <v>-466.57348540999999</v>
      </c>
      <c r="H608">
        <f t="shared" si="219"/>
        <v>-704.42933945999994</v>
      </c>
      <c r="I608">
        <f t="shared" si="220"/>
        <v>-942.28519351</v>
      </c>
      <c r="J608">
        <f t="shared" si="221"/>
        <v>-1180.1410475599998</v>
      </c>
      <c r="L608">
        <f t="shared" si="222"/>
        <v>17545387.564800002</v>
      </c>
      <c r="M608">
        <f t="shared" si="223"/>
        <v>-370522562.80320007</v>
      </c>
      <c r="N608">
        <f t="shared" si="224"/>
        <v>-643871409.8657999</v>
      </c>
      <c r="O608">
        <f t="shared" si="225"/>
        <v>-718517926.24919999</v>
      </c>
      <c r="P608">
        <f t="shared" si="226"/>
        <v>-866902378.02919996</v>
      </c>
      <c r="Q608">
        <f t="shared" si="227"/>
        <v>-896907196.14559996</v>
      </c>
      <c r="S608">
        <f t="shared" si="228"/>
        <v>19190267.649</v>
      </c>
      <c r="T608">
        <f t="shared" si="229"/>
        <v>-416266089.07520002</v>
      </c>
      <c r="U608">
        <f t="shared" si="230"/>
        <v>-704525962.9691</v>
      </c>
      <c r="V608">
        <f t="shared" si="231"/>
        <v>-753739393.2221998</v>
      </c>
      <c r="W608">
        <f t="shared" si="232"/>
        <v>-1008245157.0556998</v>
      </c>
      <c r="X608">
        <f t="shared" si="233"/>
        <v>-1026722711.3771999</v>
      </c>
      <c r="Z608">
        <f t="shared" si="234"/>
        <v>20835147.733200002</v>
      </c>
      <c r="AA608">
        <f t="shared" si="235"/>
        <v>-462009615.34720004</v>
      </c>
      <c r="AB608">
        <f t="shared" si="236"/>
        <v>-765180516.07239997</v>
      </c>
      <c r="AC608">
        <f t="shared" si="237"/>
        <v>-958023901.66559982</v>
      </c>
      <c r="AD608">
        <f t="shared" si="238"/>
        <v>-1149587936.0822001</v>
      </c>
      <c r="AE608">
        <f t="shared" si="239"/>
        <v>-1156538226.6087999</v>
      </c>
    </row>
    <row r="609" spans="1:31" x14ac:dyDescent="0.25">
      <c r="A609">
        <v>38.60852053</v>
      </c>
      <c r="B609">
        <v>117.98883499999999</v>
      </c>
      <c r="C609">
        <v>101.76920320000001</v>
      </c>
      <c r="D609">
        <v>1.4691679499999999</v>
      </c>
      <c r="E609" t="b">
        <f t="shared" si="216"/>
        <v>0</v>
      </c>
      <c r="F609">
        <f t="shared" si="217"/>
        <v>-507.37684805000004</v>
      </c>
      <c r="G609">
        <f t="shared" si="218"/>
        <v>-1016.22286405</v>
      </c>
      <c r="H609">
        <f t="shared" si="219"/>
        <v>-1525.0688800500002</v>
      </c>
      <c r="I609">
        <f t="shared" si="220"/>
        <v>-2033.9148960500002</v>
      </c>
      <c r="J609">
        <f t="shared" si="221"/>
        <v>-2542.7609120500001</v>
      </c>
      <c r="L609">
        <f t="shared" si="222"/>
        <v>2820802.4640000002</v>
      </c>
      <c r="M609">
        <f t="shared" si="223"/>
        <v>-821950493.84100008</v>
      </c>
      <c r="N609">
        <f t="shared" si="224"/>
        <v>-1402387552.3889999</v>
      </c>
      <c r="O609">
        <f t="shared" si="225"/>
        <v>-1555570257.6510003</v>
      </c>
      <c r="P609">
        <f t="shared" si="226"/>
        <v>-1871201704.3659999</v>
      </c>
      <c r="Q609">
        <f t="shared" si="227"/>
        <v>-1932498293.1580002</v>
      </c>
      <c r="S609">
        <f t="shared" si="228"/>
        <v>3085252.6949999998</v>
      </c>
      <c r="T609">
        <f t="shared" si="229"/>
        <v>-923425863.45100009</v>
      </c>
      <c r="U609">
        <f t="shared" si="230"/>
        <v>-1534496524.7154999</v>
      </c>
      <c r="V609">
        <f t="shared" si="231"/>
        <v>-1631823701.6534998</v>
      </c>
      <c r="W609">
        <f t="shared" si="232"/>
        <v>-2176288938.7735</v>
      </c>
      <c r="X609">
        <f t="shared" si="233"/>
        <v>-2212201993.4835</v>
      </c>
      <c r="Z609">
        <f t="shared" si="234"/>
        <v>3349702.9260000004</v>
      </c>
      <c r="AA609">
        <f t="shared" si="235"/>
        <v>-1024901233.061</v>
      </c>
      <c r="AB609">
        <f t="shared" si="236"/>
        <v>-1666605497.0420001</v>
      </c>
      <c r="AC609">
        <f t="shared" si="237"/>
        <v>-2074093676.868</v>
      </c>
      <c r="AD609">
        <f t="shared" si="238"/>
        <v>-2481376173.1810002</v>
      </c>
      <c r="AE609">
        <f t="shared" si="239"/>
        <v>-2491905693.809</v>
      </c>
    </row>
    <row r="610" spans="1:31" x14ac:dyDescent="0.25">
      <c r="A610">
        <v>38.611443260000001</v>
      </c>
      <c r="B610">
        <v>118.8730091</v>
      </c>
      <c r="C610">
        <v>15.036358829999999</v>
      </c>
      <c r="D610">
        <v>0.80816500999999996</v>
      </c>
      <c r="E610" t="b">
        <f t="shared" si="216"/>
        <v>0</v>
      </c>
      <c r="F610">
        <f t="shared" si="217"/>
        <v>-74.373629140000006</v>
      </c>
      <c r="G610">
        <f t="shared" si="218"/>
        <v>-149.55542328999999</v>
      </c>
      <c r="H610">
        <f t="shared" si="219"/>
        <v>-224.73721743999997</v>
      </c>
      <c r="I610">
        <f t="shared" si="220"/>
        <v>-299.91901159000003</v>
      </c>
      <c r="J610">
        <f t="shared" si="221"/>
        <v>-375.10080574</v>
      </c>
      <c r="L610">
        <f t="shared" si="222"/>
        <v>1551676.8192</v>
      </c>
      <c r="M610">
        <f t="shared" si="223"/>
        <v>-120485279.20680001</v>
      </c>
      <c r="N610">
        <f t="shared" si="224"/>
        <v>-206386484.14019996</v>
      </c>
      <c r="O610">
        <f t="shared" si="225"/>
        <v>-229231961.78879997</v>
      </c>
      <c r="P610">
        <f t="shared" si="226"/>
        <v>-275925490.66280001</v>
      </c>
      <c r="Q610">
        <f t="shared" si="227"/>
        <v>-285076612.3624</v>
      </c>
      <c r="S610">
        <f t="shared" si="228"/>
        <v>1697146.5210000002</v>
      </c>
      <c r="T610">
        <f t="shared" si="229"/>
        <v>-135360005.03479999</v>
      </c>
      <c r="U610">
        <f t="shared" si="230"/>
        <v>-225828689.1679</v>
      </c>
      <c r="V610">
        <f t="shared" si="231"/>
        <v>-240468822.66079992</v>
      </c>
      <c r="W610">
        <f t="shared" si="232"/>
        <v>-320913342.40130001</v>
      </c>
      <c r="X610">
        <f t="shared" si="233"/>
        <v>-326337700.99379998</v>
      </c>
      <c r="Z610">
        <f t="shared" si="234"/>
        <v>1842616.2228000003</v>
      </c>
      <c r="AA610">
        <f t="shared" si="235"/>
        <v>-150234730.8628</v>
      </c>
      <c r="AB610">
        <f t="shared" si="236"/>
        <v>-245270894.1956</v>
      </c>
      <c r="AC610">
        <f t="shared" si="237"/>
        <v>-305642615.71839994</v>
      </c>
      <c r="AD610">
        <f t="shared" si="238"/>
        <v>-365901194.13980001</v>
      </c>
      <c r="AE610">
        <f t="shared" si="239"/>
        <v>-367598789.62519997</v>
      </c>
    </row>
    <row r="611" spans="1:31" x14ac:dyDescent="0.25">
      <c r="A611">
        <v>38.612161020000002</v>
      </c>
      <c r="B611">
        <v>115.8724292</v>
      </c>
      <c r="C611">
        <v>78.320755000000005</v>
      </c>
      <c r="D611">
        <v>7.3997999999999994E-2</v>
      </c>
      <c r="E611" t="b">
        <f t="shared" si="216"/>
        <v>0</v>
      </c>
      <c r="F611">
        <f t="shared" si="217"/>
        <v>-391.52977700000002</v>
      </c>
      <c r="G611">
        <f t="shared" si="218"/>
        <v>-783.13355200000012</v>
      </c>
      <c r="H611">
        <f t="shared" si="219"/>
        <v>-1174.7373270000001</v>
      </c>
      <c r="I611">
        <f t="shared" si="220"/>
        <v>-1566.3411020000001</v>
      </c>
      <c r="J611">
        <f t="shared" si="221"/>
        <v>-1957.9448770000001</v>
      </c>
      <c r="L611">
        <f t="shared" si="222"/>
        <v>142076.16</v>
      </c>
      <c r="M611">
        <f t="shared" si="223"/>
        <v>-634278238.74000001</v>
      </c>
      <c r="N611">
        <f t="shared" si="224"/>
        <v>-1080724301.76</v>
      </c>
      <c r="O611">
        <f t="shared" si="225"/>
        <v>-1198232073.54</v>
      </c>
      <c r="P611">
        <f t="shared" si="226"/>
        <v>-1441033813.8399999</v>
      </c>
      <c r="Q611">
        <f t="shared" si="227"/>
        <v>-1488038106.5200002</v>
      </c>
      <c r="S611">
        <f t="shared" si="228"/>
        <v>155395.80000000002</v>
      </c>
      <c r="T611">
        <f t="shared" si="229"/>
        <v>-712584194.13999999</v>
      </c>
      <c r="U611">
        <f t="shared" si="230"/>
        <v>-1182531663.5200002</v>
      </c>
      <c r="V611">
        <f t="shared" si="231"/>
        <v>-1256968939.8899999</v>
      </c>
      <c r="W611">
        <f t="shared" si="232"/>
        <v>-1675984979.1399999</v>
      </c>
      <c r="X611">
        <f t="shared" si="233"/>
        <v>-1703412042.9900002</v>
      </c>
      <c r="Z611">
        <f t="shared" si="234"/>
        <v>168715.44000000003</v>
      </c>
      <c r="AA611">
        <f t="shared" si="235"/>
        <v>-790890149.53999996</v>
      </c>
      <c r="AB611">
        <f t="shared" si="236"/>
        <v>-1284339025.2800002</v>
      </c>
      <c r="AC611">
        <f t="shared" si="237"/>
        <v>-1597642764.7199998</v>
      </c>
      <c r="AD611">
        <f t="shared" si="238"/>
        <v>-1910936144.4400001</v>
      </c>
      <c r="AE611">
        <f t="shared" si="239"/>
        <v>-1918785979.4600003</v>
      </c>
    </row>
    <row r="612" spans="1:31" x14ac:dyDescent="0.25">
      <c r="A612">
        <v>38.612832160000004</v>
      </c>
      <c r="B612">
        <v>117.45976829999999</v>
      </c>
      <c r="C612">
        <v>52.10093689</v>
      </c>
      <c r="D612">
        <v>0.25642899000000002</v>
      </c>
      <c r="E612" t="b">
        <f t="shared" si="216"/>
        <v>0</v>
      </c>
      <c r="F612">
        <f t="shared" si="217"/>
        <v>-260.24825546</v>
      </c>
      <c r="G612">
        <f t="shared" si="218"/>
        <v>-520.75293991000001</v>
      </c>
      <c r="H612">
        <f t="shared" si="219"/>
        <v>-781.25762436000002</v>
      </c>
      <c r="I612">
        <f t="shared" si="220"/>
        <v>-1041.7623088100001</v>
      </c>
      <c r="J612">
        <f t="shared" si="221"/>
        <v>-1302.2669932600002</v>
      </c>
      <c r="L612">
        <f t="shared" si="222"/>
        <v>492343.66080000007</v>
      </c>
      <c r="M612">
        <f t="shared" si="223"/>
        <v>-421602173.84520006</v>
      </c>
      <c r="N612">
        <f t="shared" si="224"/>
        <v>-718639057.07579994</v>
      </c>
      <c r="O612">
        <f t="shared" si="225"/>
        <v>-796882776.84720004</v>
      </c>
      <c r="P612">
        <f t="shared" si="226"/>
        <v>-958421324.10520005</v>
      </c>
      <c r="Q612">
        <f t="shared" si="227"/>
        <v>-989722914.87760019</v>
      </c>
      <c r="S612">
        <f t="shared" si="228"/>
        <v>538500.87900000007</v>
      </c>
      <c r="T612">
        <f t="shared" si="229"/>
        <v>-473651824.93720001</v>
      </c>
      <c r="U612">
        <f t="shared" si="230"/>
        <v>-786336939.26410007</v>
      </c>
      <c r="V612">
        <f t="shared" si="231"/>
        <v>-835945658.06519985</v>
      </c>
      <c r="W612">
        <f t="shared" si="232"/>
        <v>-1114685670.4267001</v>
      </c>
      <c r="X612">
        <f t="shared" si="233"/>
        <v>-1132972284.1362002</v>
      </c>
      <c r="Z612">
        <f t="shared" si="234"/>
        <v>584658.09720000008</v>
      </c>
      <c r="AA612">
        <f t="shared" si="235"/>
        <v>-525701476.02920002</v>
      </c>
      <c r="AB612">
        <f t="shared" si="236"/>
        <v>-854034821.45240009</v>
      </c>
      <c r="AC612">
        <f t="shared" si="237"/>
        <v>-1062510369.1295999</v>
      </c>
      <c r="AD612">
        <f t="shared" si="238"/>
        <v>-1270950016.7482002</v>
      </c>
      <c r="AE612">
        <f t="shared" si="239"/>
        <v>-1276221653.3948002</v>
      </c>
    </row>
    <row r="613" spans="1:31" x14ac:dyDescent="0.25">
      <c r="A613">
        <v>38.614166789999999</v>
      </c>
      <c r="B613">
        <v>117.9308506</v>
      </c>
      <c r="C613">
        <v>37.958648680000003</v>
      </c>
      <c r="D613">
        <v>0.53869498000000005</v>
      </c>
      <c r="E613" t="b">
        <f t="shared" si="216"/>
        <v>0</v>
      </c>
      <c r="F613">
        <f t="shared" si="217"/>
        <v>-189.25454842000002</v>
      </c>
      <c r="G613">
        <f t="shared" si="218"/>
        <v>-379.04779182000004</v>
      </c>
      <c r="H613">
        <f t="shared" si="219"/>
        <v>-568.84103522000009</v>
      </c>
      <c r="I613">
        <f t="shared" si="220"/>
        <v>-758.63427862000015</v>
      </c>
      <c r="J613">
        <f t="shared" si="221"/>
        <v>-948.42752202000008</v>
      </c>
      <c r="L613">
        <f t="shared" si="222"/>
        <v>1034294.3616000003</v>
      </c>
      <c r="M613">
        <f t="shared" si="223"/>
        <v>-306592368.44040006</v>
      </c>
      <c r="N613">
        <f t="shared" si="224"/>
        <v>-523085952.71160001</v>
      </c>
      <c r="O613">
        <f t="shared" si="225"/>
        <v>-580217855.92440021</v>
      </c>
      <c r="P613">
        <f t="shared" si="226"/>
        <v>-697943536.33040011</v>
      </c>
      <c r="Q613">
        <f t="shared" si="227"/>
        <v>-720804916.73520005</v>
      </c>
      <c r="S613">
        <f t="shared" si="228"/>
        <v>1131259.4580000003</v>
      </c>
      <c r="T613">
        <f t="shared" si="229"/>
        <v>-344443278.12440002</v>
      </c>
      <c r="U613">
        <f t="shared" si="230"/>
        <v>-572362165.64820004</v>
      </c>
      <c r="V613">
        <f t="shared" si="231"/>
        <v>-608659907.68540001</v>
      </c>
      <c r="W613">
        <f t="shared" si="232"/>
        <v>-811738678.12339997</v>
      </c>
      <c r="X613">
        <f t="shared" si="233"/>
        <v>-825131944.15740013</v>
      </c>
      <c r="Z613">
        <f t="shared" si="234"/>
        <v>1228224.5544000003</v>
      </c>
      <c r="AA613">
        <f t="shared" si="235"/>
        <v>-382294187.80840003</v>
      </c>
      <c r="AB613">
        <f t="shared" si="236"/>
        <v>-621638378.58480012</v>
      </c>
      <c r="AC613">
        <f t="shared" si="237"/>
        <v>-773623807.89920008</v>
      </c>
      <c r="AD613">
        <f t="shared" si="238"/>
        <v>-925533819.91640007</v>
      </c>
      <c r="AE613">
        <f t="shared" si="239"/>
        <v>-929458971.5796001</v>
      </c>
    </row>
    <row r="614" spans="1:31" x14ac:dyDescent="0.25">
      <c r="A614">
        <v>38.618229810000003</v>
      </c>
      <c r="B614">
        <v>117.4017423</v>
      </c>
      <c r="C614">
        <v>52.10093689</v>
      </c>
      <c r="D614">
        <v>0.52120202999999998</v>
      </c>
      <c r="E614" t="b">
        <f t="shared" si="216"/>
        <v>0</v>
      </c>
      <c r="F614">
        <f t="shared" si="217"/>
        <v>-259.98348242000003</v>
      </c>
      <c r="G614">
        <f t="shared" si="218"/>
        <v>-520.48816686999999</v>
      </c>
      <c r="H614">
        <f t="shared" si="219"/>
        <v>-780.99285132</v>
      </c>
      <c r="I614">
        <f t="shared" si="220"/>
        <v>-1041.49753577</v>
      </c>
      <c r="J614">
        <f t="shared" si="221"/>
        <v>-1302.00222022</v>
      </c>
      <c r="L614">
        <f t="shared" si="222"/>
        <v>1000707.8976</v>
      </c>
      <c r="M614">
        <f t="shared" si="223"/>
        <v>-421173241.52040005</v>
      </c>
      <c r="N614">
        <f t="shared" si="224"/>
        <v>-718273670.28059995</v>
      </c>
      <c r="O614">
        <f t="shared" si="225"/>
        <v>-796612708.34640002</v>
      </c>
      <c r="P614">
        <f t="shared" si="226"/>
        <v>-958177732.90839994</v>
      </c>
      <c r="Q614">
        <f t="shared" si="227"/>
        <v>-989521687.36720002</v>
      </c>
      <c r="S614">
        <f t="shared" si="228"/>
        <v>1094524.263</v>
      </c>
      <c r="T614">
        <f t="shared" si="229"/>
        <v>-473169938.00440007</v>
      </c>
      <c r="U614">
        <f t="shared" si="230"/>
        <v>-785937131.97370005</v>
      </c>
      <c r="V614">
        <f t="shared" si="231"/>
        <v>-835662350.91239989</v>
      </c>
      <c r="W614">
        <f t="shared" si="232"/>
        <v>-1114402363.2738998</v>
      </c>
      <c r="X614">
        <f t="shared" si="233"/>
        <v>-1132741931.5913999</v>
      </c>
      <c r="Z614">
        <f t="shared" si="234"/>
        <v>1188340.6284</v>
      </c>
      <c r="AA614">
        <f t="shared" si="235"/>
        <v>-525166634.48840004</v>
      </c>
      <c r="AB614">
        <f t="shared" si="236"/>
        <v>-853600593.66680002</v>
      </c>
      <c r="AC614">
        <f t="shared" si="237"/>
        <v>-1062150277.7952</v>
      </c>
      <c r="AD614">
        <f t="shared" si="238"/>
        <v>-1270626993.6394</v>
      </c>
      <c r="AE614">
        <f t="shared" si="239"/>
        <v>-1275962175.8155999</v>
      </c>
    </row>
    <row r="615" spans="1:31" x14ac:dyDescent="0.25">
      <c r="A615">
        <v>38.618879550000003</v>
      </c>
      <c r="B615">
        <v>120.4678866</v>
      </c>
      <c r="C615">
        <v>26.389209749999999</v>
      </c>
      <c r="D615">
        <v>36.72919083</v>
      </c>
      <c r="E615" t="b">
        <f t="shared" si="216"/>
        <v>1</v>
      </c>
      <c r="F615">
        <f t="shared" si="217"/>
        <v>-95.216857919999995</v>
      </c>
      <c r="G615">
        <f t="shared" si="218"/>
        <v>-227.16290666999998</v>
      </c>
      <c r="H615">
        <f t="shared" si="219"/>
        <v>-359.10895541999997</v>
      </c>
      <c r="I615">
        <f t="shared" si="220"/>
        <v>-491.05500416999996</v>
      </c>
      <c r="J615">
        <f t="shared" si="221"/>
        <v>-623.00105292000001</v>
      </c>
      <c r="L615">
        <f t="shared" si="222"/>
        <v>50667282.720000006</v>
      </c>
      <c r="M615">
        <f t="shared" si="223"/>
        <v>-154251309.83040002</v>
      </c>
      <c r="N615">
        <f t="shared" si="224"/>
        <v>-313484811.20459998</v>
      </c>
      <c r="O615">
        <f t="shared" si="225"/>
        <v>-366291134.52839994</v>
      </c>
      <c r="P615">
        <f t="shared" si="226"/>
        <v>-451770603.83639991</v>
      </c>
      <c r="Q615">
        <f t="shared" si="227"/>
        <v>-473480800.21919996</v>
      </c>
      <c r="S615">
        <f t="shared" si="228"/>
        <v>55417340.475000001</v>
      </c>
      <c r="T615">
        <f t="shared" si="229"/>
        <v>-173294681.41440001</v>
      </c>
      <c r="U615">
        <f t="shared" si="230"/>
        <v>-343015989.07169998</v>
      </c>
      <c r="V615">
        <f t="shared" si="231"/>
        <v>-384246582.29939991</v>
      </c>
      <c r="W615">
        <f t="shared" si="232"/>
        <v>-525428854.46189988</v>
      </c>
      <c r="X615">
        <f t="shared" si="233"/>
        <v>-542010916.04039991</v>
      </c>
      <c r="Z615">
        <f t="shared" si="234"/>
        <v>60167398.230000004</v>
      </c>
      <c r="AA615">
        <f t="shared" si="235"/>
        <v>-192338052.9984</v>
      </c>
      <c r="AB615">
        <f t="shared" si="236"/>
        <v>-372547166.93879998</v>
      </c>
      <c r="AC615">
        <f t="shared" si="237"/>
        <v>-488388179.37119991</v>
      </c>
      <c r="AD615">
        <f t="shared" si="238"/>
        <v>-599087105.08739996</v>
      </c>
      <c r="AE615">
        <f t="shared" si="239"/>
        <v>-610541031.86159992</v>
      </c>
    </row>
    <row r="616" spans="1:31" x14ac:dyDescent="0.25">
      <c r="A616">
        <v>38.61954403</v>
      </c>
      <c r="B616">
        <v>118.34398109999999</v>
      </c>
      <c r="C616">
        <v>19.43106461</v>
      </c>
      <c r="D616">
        <v>0.73458396999999998</v>
      </c>
      <c r="E616" t="b">
        <f t="shared" si="216"/>
        <v>0</v>
      </c>
      <c r="F616">
        <f t="shared" si="217"/>
        <v>-96.42073907999999</v>
      </c>
      <c r="G616">
        <f t="shared" si="218"/>
        <v>-193.57606213</v>
      </c>
      <c r="H616">
        <f t="shared" si="219"/>
        <v>-290.73138517999996</v>
      </c>
      <c r="I616">
        <f t="shared" si="220"/>
        <v>-387.88670822999995</v>
      </c>
      <c r="J616">
        <f t="shared" si="221"/>
        <v>-485.04203128</v>
      </c>
      <c r="L616">
        <f t="shared" si="222"/>
        <v>1410401.2224000001</v>
      </c>
      <c r="M616">
        <f t="shared" si="223"/>
        <v>-156201597.3096</v>
      </c>
      <c r="N616">
        <f t="shared" si="224"/>
        <v>-267134965.73939997</v>
      </c>
      <c r="O616">
        <f t="shared" si="225"/>
        <v>-296546012.88359994</v>
      </c>
      <c r="P616">
        <f t="shared" si="226"/>
        <v>-356855771.57159996</v>
      </c>
      <c r="Q616">
        <f t="shared" si="227"/>
        <v>-368631943.77280003</v>
      </c>
      <c r="S616">
        <f t="shared" si="228"/>
        <v>1542626.3370000001</v>
      </c>
      <c r="T616">
        <f t="shared" si="229"/>
        <v>-175485745.12559998</v>
      </c>
      <c r="U616">
        <f t="shared" si="230"/>
        <v>-292299853.81629997</v>
      </c>
      <c r="V616">
        <f t="shared" si="231"/>
        <v>-311082582.14259988</v>
      </c>
      <c r="W616">
        <f t="shared" si="232"/>
        <v>-415038777.80609989</v>
      </c>
      <c r="X616">
        <f t="shared" si="233"/>
        <v>-421986567.21360004</v>
      </c>
      <c r="Z616">
        <f t="shared" si="234"/>
        <v>1674851.4516</v>
      </c>
      <c r="AA616">
        <f t="shared" si="235"/>
        <v>-194769892.94159997</v>
      </c>
      <c r="AB616">
        <f t="shared" si="236"/>
        <v>-317464741.89320004</v>
      </c>
      <c r="AC616">
        <f t="shared" si="237"/>
        <v>-395394683.84479988</v>
      </c>
      <c r="AD616">
        <f t="shared" si="238"/>
        <v>-473221784.04059994</v>
      </c>
      <c r="AE616">
        <f t="shared" si="239"/>
        <v>-475341190.65440005</v>
      </c>
    </row>
    <row r="617" spans="1:31" x14ac:dyDescent="0.25">
      <c r="A617">
        <v>38.62537751</v>
      </c>
      <c r="B617">
        <v>117.8148561</v>
      </c>
      <c r="C617">
        <v>38.965942380000001</v>
      </c>
      <c r="D617">
        <v>9.5422439600000004</v>
      </c>
      <c r="E617" t="b">
        <f t="shared" si="216"/>
        <v>0</v>
      </c>
      <c r="F617">
        <f t="shared" si="217"/>
        <v>-185.28746794</v>
      </c>
      <c r="G617">
        <f t="shared" si="218"/>
        <v>-380.11717984000001</v>
      </c>
      <c r="H617">
        <f t="shared" si="219"/>
        <v>-574.94689174000007</v>
      </c>
      <c r="I617">
        <f t="shared" si="220"/>
        <v>-769.77660364000008</v>
      </c>
      <c r="J617">
        <f t="shared" si="221"/>
        <v>-964.60631554000008</v>
      </c>
      <c r="L617">
        <f t="shared" si="222"/>
        <v>18321108.403200004</v>
      </c>
      <c r="M617">
        <f t="shared" si="223"/>
        <v>-300165698.06279999</v>
      </c>
      <c r="N617">
        <f t="shared" si="224"/>
        <v>-524561708.17919999</v>
      </c>
      <c r="O617">
        <f t="shared" si="225"/>
        <v>-586445829.57480001</v>
      </c>
      <c r="P617">
        <f t="shared" si="226"/>
        <v>-708194475.34880006</v>
      </c>
      <c r="Q617">
        <f t="shared" si="227"/>
        <v>-733100799.81040013</v>
      </c>
      <c r="S617">
        <f t="shared" si="228"/>
        <v>20038712.316000003</v>
      </c>
      <c r="T617">
        <f t="shared" si="229"/>
        <v>-337223191.65079999</v>
      </c>
      <c r="U617">
        <f t="shared" si="230"/>
        <v>-573976941.55840003</v>
      </c>
      <c r="V617">
        <f t="shared" si="231"/>
        <v>-615193174.16179991</v>
      </c>
      <c r="W617">
        <f t="shared" si="232"/>
        <v>-823660965.89479995</v>
      </c>
      <c r="X617">
        <f t="shared" si="233"/>
        <v>-839207494.51980007</v>
      </c>
      <c r="Z617">
        <f t="shared" si="234"/>
        <v>21756316.228800006</v>
      </c>
      <c r="AA617">
        <f t="shared" si="235"/>
        <v>-374280685.23879999</v>
      </c>
      <c r="AB617">
        <f t="shared" si="236"/>
        <v>-623392174.93760014</v>
      </c>
      <c r="AC617">
        <f t="shared" si="237"/>
        <v>-781927772.76639998</v>
      </c>
      <c r="AD617">
        <f t="shared" si="238"/>
        <v>-939127456.44080007</v>
      </c>
      <c r="AE617">
        <f t="shared" si="239"/>
        <v>-945314189.22920001</v>
      </c>
    </row>
    <row r="618" spans="1:31" x14ac:dyDescent="0.25">
      <c r="A618">
        <v>38.629270159999997</v>
      </c>
      <c r="B618">
        <v>116.2272147</v>
      </c>
      <c r="C618">
        <v>8.1438445999999995</v>
      </c>
      <c r="D618">
        <v>1.9598939399999999</v>
      </c>
      <c r="E618" t="b">
        <f t="shared" si="216"/>
        <v>0</v>
      </c>
      <c r="F618">
        <f t="shared" si="217"/>
        <v>-38.759329059999999</v>
      </c>
      <c r="G618">
        <f t="shared" si="218"/>
        <v>-79.478552059999998</v>
      </c>
      <c r="H618">
        <f t="shared" si="219"/>
        <v>-120.19777506</v>
      </c>
      <c r="I618">
        <f t="shared" si="220"/>
        <v>-160.91699806</v>
      </c>
      <c r="J618">
        <f t="shared" si="221"/>
        <v>-201.63622106</v>
      </c>
      <c r="L618">
        <f t="shared" si="222"/>
        <v>3762996.3648000001</v>
      </c>
      <c r="M618">
        <f t="shared" si="223"/>
        <v>-62790113.07720001</v>
      </c>
      <c r="N618">
        <f t="shared" si="224"/>
        <v>-109680401.84279999</v>
      </c>
      <c r="O618">
        <f t="shared" si="225"/>
        <v>-122601730.56120001</v>
      </c>
      <c r="P618">
        <f t="shared" si="226"/>
        <v>-148043638.21519998</v>
      </c>
      <c r="Q618">
        <f t="shared" si="227"/>
        <v>-153243528.00560001</v>
      </c>
      <c r="S618">
        <f t="shared" si="228"/>
        <v>4115777.2740000002</v>
      </c>
      <c r="T618">
        <f t="shared" si="229"/>
        <v>-70541978.889200002</v>
      </c>
      <c r="U618">
        <f t="shared" si="230"/>
        <v>-120012613.61060001</v>
      </c>
      <c r="V618">
        <f t="shared" si="231"/>
        <v>-128611619.31419998</v>
      </c>
      <c r="W618">
        <f t="shared" si="232"/>
        <v>-172181187.92419997</v>
      </c>
      <c r="X618">
        <f t="shared" si="233"/>
        <v>-175423512.3222</v>
      </c>
      <c r="Z618">
        <f t="shared" si="234"/>
        <v>4468558.1832000008</v>
      </c>
      <c r="AA618">
        <f t="shared" si="235"/>
        <v>-78293844.701200008</v>
      </c>
      <c r="AB618">
        <f t="shared" si="236"/>
        <v>-130344825.37840001</v>
      </c>
      <c r="AC618">
        <f t="shared" si="237"/>
        <v>-163468974.08159998</v>
      </c>
      <c r="AD618">
        <f t="shared" si="238"/>
        <v>-196318737.63319999</v>
      </c>
      <c r="AE618">
        <f t="shared" si="239"/>
        <v>-197603496.6388</v>
      </c>
    </row>
    <row r="619" spans="1:31" x14ac:dyDescent="0.25">
      <c r="A619">
        <v>38.63094195</v>
      </c>
      <c r="B619">
        <v>117.756846</v>
      </c>
      <c r="C619">
        <v>41.260742190000002</v>
      </c>
      <c r="D619">
        <v>1.95888996</v>
      </c>
      <c r="E619" t="b">
        <f t="shared" si="216"/>
        <v>0</v>
      </c>
      <c r="F619">
        <f t="shared" si="217"/>
        <v>-204.34482099000002</v>
      </c>
      <c r="G619">
        <f t="shared" si="218"/>
        <v>-410.64853194</v>
      </c>
      <c r="H619">
        <f t="shared" si="219"/>
        <v>-616.95224289000009</v>
      </c>
      <c r="I619">
        <f t="shared" si="220"/>
        <v>-823.25595384000007</v>
      </c>
      <c r="J619">
        <f t="shared" si="221"/>
        <v>-1029.5596647899999</v>
      </c>
      <c r="L619">
        <f t="shared" si="222"/>
        <v>3761068.7232000004</v>
      </c>
      <c r="M619">
        <f t="shared" si="223"/>
        <v>-331038610.00380003</v>
      </c>
      <c r="N619">
        <f t="shared" si="224"/>
        <v>-566694974.07719994</v>
      </c>
      <c r="O619">
        <f t="shared" si="225"/>
        <v>-629291287.74780011</v>
      </c>
      <c r="P619">
        <f t="shared" si="226"/>
        <v>-757395477.53279996</v>
      </c>
      <c r="Q619">
        <f t="shared" si="227"/>
        <v>-782465345.24039996</v>
      </c>
      <c r="S619">
        <f t="shared" si="228"/>
        <v>4113668.9160000002</v>
      </c>
      <c r="T619">
        <f t="shared" si="229"/>
        <v>-371907574.20180005</v>
      </c>
      <c r="U619">
        <f t="shared" si="230"/>
        <v>-620079283.22940004</v>
      </c>
      <c r="V619">
        <f t="shared" si="231"/>
        <v>-660138899.89230001</v>
      </c>
      <c r="W619">
        <f t="shared" si="232"/>
        <v>-880883870.60879993</v>
      </c>
      <c r="X619">
        <f t="shared" si="233"/>
        <v>-895716908.36729991</v>
      </c>
      <c r="Z619">
        <f t="shared" si="234"/>
        <v>4466269.1088000005</v>
      </c>
      <c r="AA619">
        <f t="shared" si="235"/>
        <v>-412776538.3998</v>
      </c>
      <c r="AB619">
        <f t="shared" si="236"/>
        <v>-673463592.38160002</v>
      </c>
      <c r="AC619">
        <f t="shared" si="237"/>
        <v>-839055050.33040011</v>
      </c>
      <c r="AD619">
        <f t="shared" si="238"/>
        <v>-1004372263.6848</v>
      </c>
      <c r="AE619">
        <f t="shared" si="239"/>
        <v>-1008968471.4942</v>
      </c>
    </row>
    <row r="620" spans="1:31" x14ac:dyDescent="0.25">
      <c r="A620">
        <v>38.641477680000001</v>
      </c>
      <c r="B620">
        <v>118.5833239</v>
      </c>
      <c r="C620">
        <v>44.122974399999997</v>
      </c>
      <c r="D620">
        <v>1.22430599</v>
      </c>
      <c r="E620" t="b">
        <f t="shared" si="216"/>
        <v>0</v>
      </c>
      <c r="F620">
        <f t="shared" si="217"/>
        <v>-219.39056600999999</v>
      </c>
      <c r="G620">
        <f t="shared" si="218"/>
        <v>-440.00543800999998</v>
      </c>
      <c r="H620">
        <f t="shared" si="219"/>
        <v>-660.62031001000003</v>
      </c>
      <c r="I620">
        <f t="shared" si="220"/>
        <v>-881.23518201000002</v>
      </c>
      <c r="J620">
        <f t="shared" si="221"/>
        <v>-1101.8500540099999</v>
      </c>
      <c r="L620">
        <f t="shared" si="222"/>
        <v>2350667.5008</v>
      </c>
      <c r="M620">
        <f t="shared" si="223"/>
        <v>-355412716.93620002</v>
      </c>
      <c r="N620">
        <f t="shared" si="224"/>
        <v>-607207504.45379996</v>
      </c>
      <c r="O620">
        <f t="shared" si="225"/>
        <v>-673832716.21019995</v>
      </c>
      <c r="P620">
        <f t="shared" si="226"/>
        <v>-810736367.44919991</v>
      </c>
      <c r="Q620">
        <f t="shared" si="227"/>
        <v>-837406041.04760003</v>
      </c>
      <c r="S620">
        <f t="shared" si="228"/>
        <v>2571042.5789999999</v>
      </c>
      <c r="T620">
        <f t="shared" si="229"/>
        <v>-399290830.13819999</v>
      </c>
      <c r="U620">
        <f t="shared" si="230"/>
        <v>-664408211.3951</v>
      </c>
      <c r="V620">
        <f t="shared" si="231"/>
        <v>-706863731.71069992</v>
      </c>
      <c r="W620">
        <f t="shared" si="232"/>
        <v>-942921644.75069988</v>
      </c>
      <c r="X620">
        <f t="shared" si="233"/>
        <v>-958609546.98870003</v>
      </c>
      <c r="Z620">
        <f t="shared" si="234"/>
        <v>2791417.6572000002</v>
      </c>
      <c r="AA620">
        <f t="shared" si="235"/>
        <v>-443168943.34020001</v>
      </c>
      <c r="AB620">
        <f t="shared" si="236"/>
        <v>-721608918.33640003</v>
      </c>
      <c r="AC620">
        <f t="shared" si="237"/>
        <v>-898443621.6135999</v>
      </c>
      <c r="AD620">
        <f t="shared" si="238"/>
        <v>-1075106922.0522001</v>
      </c>
      <c r="AE620">
        <f t="shared" si="239"/>
        <v>-1079813052.9298</v>
      </c>
    </row>
    <row r="621" spans="1:31" x14ac:dyDescent="0.25">
      <c r="A621">
        <v>38.652860439999998</v>
      </c>
      <c r="B621">
        <v>93.080961479999999</v>
      </c>
      <c r="C621">
        <v>20.624670030000001</v>
      </c>
      <c r="D621">
        <v>4.7803999999999999E-2</v>
      </c>
      <c r="E621" t="b">
        <f t="shared" si="216"/>
        <v>0</v>
      </c>
      <c r="F621">
        <f t="shared" si="217"/>
        <v>-103.07554615000001</v>
      </c>
      <c r="G621">
        <f t="shared" si="218"/>
        <v>-206.1988963</v>
      </c>
      <c r="H621">
        <f t="shared" si="219"/>
        <v>-309.32224645000002</v>
      </c>
      <c r="I621">
        <f t="shared" si="220"/>
        <v>-412.44559660000004</v>
      </c>
      <c r="J621">
        <f t="shared" si="221"/>
        <v>-515.56894675000001</v>
      </c>
      <c r="L621">
        <f t="shared" si="222"/>
        <v>91783.680000000008</v>
      </c>
      <c r="M621">
        <f t="shared" si="223"/>
        <v>-166982384.76300001</v>
      </c>
      <c r="N621">
        <f t="shared" si="224"/>
        <v>-284554476.89399999</v>
      </c>
      <c r="O621">
        <f t="shared" si="225"/>
        <v>-315508691.37900007</v>
      </c>
      <c r="P621">
        <f t="shared" si="226"/>
        <v>-379449948.87199998</v>
      </c>
      <c r="Q621">
        <f t="shared" si="227"/>
        <v>-391832399.53000003</v>
      </c>
      <c r="S621">
        <f t="shared" si="228"/>
        <v>100388.40000000001</v>
      </c>
      <c r="T621">
        <f t="shared" si="229"/>
        <v>-187597493.99300003</v>
      </c>
      <c r="U621">
        <f t="shared" si="230"/>
        <v>-311360333.41300005</v>
      </c>
      <c r="V621">
        <f t="shared" si="231"/>
        <v>-330974803.7015</v>
      </c>
      <c r="W621">
        <f t="shared" si="232"/>
        <v>-441316788.36199999</v>
      </c>
      <c r="X621">
        <f t="shared" si="233"/>
        <v>-448544983.67250001</v>
      </c>
      <c r="Z621">
        <f t="shared" si="234"/>
        <v>108993.12000000001</v>
      </c>
      <c r="AA621">
        <f t="shared" si="235"/>
        <v>-208212603.22300002</v>
      </c>
      <c r="AB621">
        <f t="shared" si="236"/>
        <v>-338166189.93200004</v>
      </c>
      <c r="AC621">
        <f t="shared" si="237"/>
        <v>-420678255.17200005</v>
      </c>
      <c r="AD621">
        <f t="shared" si="238"/>
        <v>-503183627.852</v>
      </c>
      <c r="AE621">
        <f t="shared" si="239"/>
        <v>-505257567.815</v>
      </c>
    </row>
    <row r="622" spans="1:31" x14ac:dyDescent="0.25">
      <c r="A622">
        <v>38.654013079999999</v>
      </c>
      <c r="B622">
        <v>117.9960526</v>
      </c>
      <c r="C622">
        <v>43.382221219999998</v>
      </c>
      <c r="D622">
        <v>4.6156349199999998</v>
      </c>
      <c r="E622" t="b">
        <f t="shared" si="216"/>
        <v>0</v>
      </c>
      <c r="F622">
        <f t="shared" si="217"/>
        <v>-212.29547117999999</v>
      </c>
      <c r="G622">
        <f t="shared" si="218"/>
        <v>-429.20657727999998</v>
      </c>
      <c r="H622">
        <f t="shared" si="219"/>
        <v>-646.1176833799999</v>
      </c>
      <c r="I622">
        <f t="shared" si="220"/>
        <v>-863.02878947999989</v>
      </c>
      <c r="J622">
        <f t="shared" si="221"/>
        <v>-1079.93989558</v>
      </c>
      <c r="L622">
        <f t="shared" si="222"/>
        <v>8862019.0464000013</v>
      </c>
      <c r="M622">
        <f t="shared" si="223"/>
        <v>-343918663.31160003</v>
      </c>
      <c r="N622">
        <f t="shared" si="224"/>
        <v>-592305076.64639986</v>
      </c>
      <c r="O622">
        <f t="shared" si="225"/>
        <v>-659040037.04759991</v>
      </c>
      <c r="P622">
        <f t="shared" si="226"/>
        <v>-793986486.32159984</v>
      </c>
      <c r="Q622">
        <f t="shared" si="227"/>
        <v>-820754320.6408</v>
      </c>
      <c r="S622">
        <f t="shared" si="228"/>
        <v>9692833.3320000004</v>
      </c>
      <c r="T622">
        <f t="shared" si="229"/>
        <v>-386377757.54760003</v>
      </c>
      <c r="U622">
        <f t="shared" si="230"/>
        <v>-648101931.69279993</v>
      </c>
      <c r="V622">
        <f t="shared" si="231"/>
        <v>-691345921.21659982</v>
      </c>
      <c r="W622">
        <f t="shared" si="232"/>
        <v>-923440804.74359977</v>
      </c>
      <c r="X622">
        <f t="shared" si="233"/>
        <v>-939547709.15459991</v>
      </c>
      <c r="Z622">
        <f t="shared" si="234"/>
        <v>10523647.617600001</v>
      </c>
      <c r="AA622">
        <f t="shared" si="235"/>
        <v>-428836851.78360003</v>
      </c>
      <c r="AB622">
        <f t="shared" si="236"/>
        <v>-703898786.7392</v>
      </c>
      <c r="AC622">
        <f t="shared" si="237"/>
        <v>-878720049.3967998</v>
      </c>
      <c r="AD622">
        <f t="shared" si="238"/>
        <v>-1052895123.1655998</v>
      </c>
      <c r="AE622">
        <f t="shared" si="239"/>
        <v>-1058341097.6683999</v>
      </c>
    </row>
    <row r="623" spans="1:31" x14ac:dyDescent="0.25">
      <c r="A623">
        <v>38.657372289999998</v>
      </c>
      <c r="B623">
        <v>120.5344006</v>
      </c>
      <c r="C623">
        <v>14.355920790000001</v>
      </c>
      <c r="D623">
        <v>58.449367520000003</v>
      </c>
      <c r="E623" t="b">
        <f t="shared" si="216"/>
        <v>1</v>
      </c>
      <c r="F623">
        <f t="shared" si="217"/>
        <v>-13.330236430000006</v>
      </c>
      <c r="G623">
        <f t="shared" si="218"/>
        <v>-85.109840380000009</v>
      </c>
      <c r="H623">
        <f t="shared" si="219"/>
        <v>-156.88944433</v>
      </c>
      <c r="I623">
        <f t="shared" si="220"/>
        <v>-228.66904828000003</v>
      </c>
      <c r="J623">
        <f t="shared" si="221"/>
        <v>-300.44865222999999</v>
      </c>
      <c r="L623">
        <f t="shared" si="222"/>
        <v>27563367.916800003</v>
      </c>
      <c r="M623">
        <f t="shared" si="223"/>
        <v>-21594983.016600013</v>
      </c>
      <c r="N623">
        <f t="shared" si="224"/>
        <v>-117451579.7244</v>
      </c>
      <c r="O623">
        <f t="shared" si="225"/>
        <v>-160027233.21660003</v>
      </c>
      <c r="P623">
        <f t="shared" si="226"/>
        <v>-210375524.41760001</v>
      </c>
      <c r="Q623">
        <f t="shared" si="227"/>
        <v>-228340975.69480002</v>
      </c>
      <c r="S623">
        <f t="shared" si="228"/>
        <v>30147433.659000002</v>
      </c>
      <c r="T623">
        <f t="shared" si="229"/>
        <v>-24261030.302600015</v>
      </c>
      <c r="U623">
        <f t="shared" si="230"/>
        <v>-128515858.97380002</v>
      </c>
      <c r="V623">
        <f t="shared" si="231"/>
        <v>-167871705.43309999</v>
      </c>
      <c r="W623">
        <f t="shared" si="232"/>
        <v>-244675881.65959999</v>
      </c>
      <c r="X623">
        <f t="shared" si="233"/>
        <v>-261390327.44010001</v>
      </c>
      <c r="Z623">
        <f t="shared" si="234"/>
        <v>32731499.401200004</v>
      </c>
      <c r="AA623">
        <f t="shared" si="235"/>
        <v>-26927077.588600013</v>
      </c>
      <c r="AB623">
        <f t="shared" si="236"/>
        <v>-139580138.22320002</v>
      </c>
      <c r="AC623">
        <f t="shared" si="237"/>
        <v>-213369644.2888</v>
      </c>
      <c r="AD623">
        <f t="shared" si="238"/>
        <v>-278976238.9016</v>
      </c>
      <c r="AE623">
        <f t="shared" si="239"/>
        <v>-294439679.18540001</v>
      </c>
    </row>
    <row r="624" spans="1:31" x14ac:dyDescent="0.25">
      <c r="A624">
        <v>38.665971050000003</v>
      </c>
      <c r="B624">
        <v>120.0631441</v>
      </c>
      <c r="C624">
        <v>36.944892879999998</v>
      </c>
      <c r="D624">
        <v>12.24306393</v>
      </c>
      <c r="E624" t="b">
        <f t="shared" si="216"/>
        <v>0</v>
      </c>
      <c r="F624">
        <f t="shared" si="217"/>
        <v>-172.48140046999998</v>
      </c>
      <c r="G624">
        <f t="shared" si="218"/>
        <v>-357.20586486999997</v>
      </c>
      <c r="H624">
        <f t="shared" si="219"/>
        <v>-541.93032927000002</v>
      </c>
      <c r="I624">
        <f t="shared" si="220"/>
        <v>-726.65479367</v>
      </c>
      <c r="J624">
        <f t="shared" si="221"/>
        <v>-911.37925806999999</v>
      </c>
      <c r="L624">
        <f t="shared" si="222"/>
        <v>23506682.7456</v>
      </c>
      <c r="M624">
        <f t="shared" si="223"/>
        <v>-279419868.76139998</v>
      </c>
      <c r="N624">
        <f t="shared" si="224"/>
        <v>-492944093.5205999</v>
      </c>
      <c r="O624">
        <f t="shared" si="225"/>
        <v>-552768935.85539997</v>
      </c>
      <c r="P624">
        <f t="shared" si="226"/>
        <v>-668522410.17639995</v>
      </c>
      <c r="Q624">
        <f t="shared" si="227"/>
        <v>-692648236.13319993</v>
      </c>
      <c r="S624">
        <f t="shared" si="228"/>
        <v>25710434.252999999</v>
      </c>
      <c r="T624">
        <f t="shared" si="229"/>
        <v>-313916148.85539997</v>
      </c>
      <c r="U624">
        <f t="shared" si="230"/>
        <v>-539380855.95369995</v>
      </c>
      <c r="V624">
        <f t="shared" si="231"/>
        <v>-579865452.31889987</v>
      </c>
      <c r="W624">
        <f t="shared" si="232"/>
        <v>-777520629.22689986</v>
      </c>
      <c r="X624">
        <f t="shared" si="233"/>
        <v>-792899954.52089989</v>
      </c>
      <c r="Z624">
        <f t="shared" si="234"/>
        <v>27914185.760400001</v>
      </c>
      <c r="AA624">
        <f t="shared" si="235"/>
        <v>-348412428.94939995</v>
      </c>
      <c r="AB624">
        <f t="shared" si="236"/>
        <v>-585817618.38679993</v>
      </c>
      <c r="AC624">
        <f t="shared" si="237"/>
        <v>-737025247.80719995</v>
      </c>
      <c r="AD624">
        <f t="shared" si="238"/>
        <v>-886518848.2773999</v>
      </c>
      <c r="AE624">
        <f t="shared" si="239"/>
        <v>-893151672.90859997</v>
      </c>
    </row>
    <row r="625" spans="1:31" x14ac:dyDescent="0.25">
      <c r="A625">
        <v>38.669128790000002</v>
      </c>
      <c r="B625">
        <v>117.35054049999999</v>
      </c>
      <c r="C625">
        <v>52.10093689</v>
      </c>
      <c r="D625">
        <v>4.1548309300000001</v>
      </c>
      <c r="E625" t="b">
        <f t="shared" si="216"/>
        <v>0</v>
      </c>
      <c r="F625">
        <f t="shared" si="217"/>
        <v>-256.34985352000001</v>
      </c>
      <c r="G625">
        <f t="shared" si="218"/>
        <v>-516.85453797000002</v>
      </c>
      <c r="H625">
        <f t="shared" si="219"/>
        <v>-777.35922242000004</v>
      </c>
      <c r="I625">
        <f t="shared" si="220"/>
        <v>-1037.8639068700002</v>
      </c>
      <c r="J625">
        <f t="shared" si="221"/>
        <v>-1298.3685913200002</v>
      </c>
      <c r="L625">
        <f t="shared" si="222"/>
        <v>7977275.3856000006</v>
      </c>
      <c r="M625">
        <f t="shared" si="223"/>
        <v>-415286762.70240003</v>
      </c>
      <c r="N625">
        <f t="shared" si="224"/>
        <v>-713259262.39859998</v>
      </c>
      <c r="O625">
        <f t="shared" si="225"/>
        <v>-792906406.8684001</v>
      </c>
      <c r="P625">
        <f t="shared" si="226"/>
        <v>-954834794.3204</v>
      </c>
      <c r="Q625">
        <f t="shared" si="227"/>
        <v>-986760129.40320015</v>
      </c>
      <c r="S625">
        <f t="shared" si="228"/>
        <v>8725144.9530000016</v>
      </c>
      <c r="T625">
        <f t="shared" si="229"/>
        <v>-466556733.40640002</v>
      </c>
      <c r="U625">
        <f t="shared" si="230"/>
        <v>-780450352.33469999</v>
      </c>
      <c r="V625">
        <f t="shared" si="231"/>
        <v>-831774367.98939991</v>
      </c>
      <c r="W625">
        <f t="shared" si="232"/>
        <v>-1110514380.3508999</v>
      </c>
      <c r="X625">
        <f t="shared" si="233"/>
        <v>-1129580674.4484003</v>
      </c>
      <c r="Z625">
        <f t="shared" si="234"/>
        <v>9473014.5204000007</v>
      </c>
      <c r="AA625">
        <f t="shared" si="235"/>
        <v>-517826704.11040002</v>
      </c>
      <c r="AB625">
        <f t="shared" si="236"/>
        <v>-847641442.27080011</v>
      </c>
      <c r="AC625">
        <f t="shared" si="237"/>
        <v>-1057208542.4912</v>
      </c>
      <c r="AD625">
        <f t="shared" si="238"/>
        <v>-1266193966.3814001</v>
      </c>
      <c r="AE625">
        <f t="shared" si="239"/>
        <v>-1272401219.4936001</v>
      </c>
    </row>
    <row r="626" spans="1:31" x14ac:dyDescent="0.25">
      <c r="A626">
        <v>38.674994490000003</v>
      </c>
      <c r="B626">
        <v>118.70687049999999</v>
      </c>
      <c r="C626">
        <v>10.021681790000001</v>
      </c>
      <c r="D626">
        <v>6.0664200800000003</v>
      </c>
      <c r="E626" t="b">
        <f t="shared" si="216"/>
        <v>0</v>
      </c>
      <c r="F626">
        <f t="shared" si="217"/>
        <v>-44.041988870000004</v>
      </c>
      <c r="G626">
        <f t="shared" si="218"/>
        <v>-94.150397820000009</v>
      </c>
      <c r="H626">
        <f t="shared" si="219"/>
        <v>-144.25880677000001</v>
      </c>
      <c r="I626">
        <f t="shared" si="220"/>
        <v>-194.36721572000002</v>
      </c>
      <c r="J626">
        <f t="shared" si="221"/>
        <v>-244.47562467</v>
      </c>
      <c r="L626">
        <f t="shared" si="222"/>
        <v>11647526.5536</v>
      </c>
      <c r="M626">
        <f t="shared" si="223"/>
        <v>-71348021.969400018</v>
      </c>
      <c r="N626">
        <f t="shared" si="224"/>
        <v>-129927548.99160001</v>
      </c>
      <c r="O626">
        <f t="shared" si="225"/>
        <v>-147143982.90540001</v>
      </c>
      <c r="P626">
        <f t="shared" si="226"/>
        <v>-178817838.46240002</v>
      </c>
      <c r="Q626">
        <f t="shared" si="227"/>
        <v>-185801474.74920002</v>
      </c>
      <c r="S626">
        <f t="shared" si="228"/>
        <v>12739482.168000001</v>
      </c>
      <c r="T626">
        <f t="shared" si="229"/>
        <v>-80156419.743400007</v>
      </c>
      <c r="U626">
        <f t="shared" si="230"/>
        <v>-142167100.70820001</v>
      </c>
      <c r="V626">
        <f t="shared" si="231"/>
        <v>-154356923.2439</v>
      </c>
      <c r="W626">
        <f t="shared" si="232"/>
        <v>-207972920.8204</v>
      </c>
      <c r="X626">
        <f t="shared" si="233"/>
        <v>-212693793.46290001</v>
      </c>
      <c r="Z626">
        <f t="shared" si="234"/>
        <v>13831437.782400001</v>
      </c>
      <c r="AA626">
        <f t="shared" si="235"/>
        <v>-88964817.517400011</v>
      </c>
      <c r="AB626">
        <f t="shared" si="236"/>
        <v>-154406652.42480004</v>
      </c>
      <c r="AC626">
        <f t="shared" si="237"/>
        <v>-196191977.20719999</v>
      </c>
      <c r="AD626">
        <f t="shared" si="238"/>
        <v>-237128003.17840004</v>
      </c>
      <c r="AE626">
        <f t="shared" si="239"/>
        <v>-239586112.17660001</v>
      </c>
    </row>
    <row r="627" spans="1:31" x14ac:dyDescent="0.25">
      <c r="A627">
        <v>38.69286177</v>
      </c>
      <c r="B627">
        <v>118.5329023</v>
      </c>
      <c r="C627">
        <v>10.77451801</v>
      </c>
      <c r="D627">
        <v>6.0902099600000001</v>
      </c>
      <c r="E627" t="b">
        <f t="shared" si="216"/>
        <v>0</v>
      </c>
      <c r="F627">
        <f t="shared" si="217"/>
        <v>-47.782380089999997</v>
      </c>
      <c r="G627">
        <f t="shared" si="218"/>
        <v>-101.65497014</v>
      </c>
      <c r="H627">
        <f t="shared" si="219"/>
        <v>-155.52756018999997</v>
      </c>
      <c r="I627">
        <f t="shared" si="220"/>
        <v>-209.40015023999999</v>
      </c>
      <c r="J627">
        <f t="shared" si="221"/>
        <v>-263.27274029</v>
      </c>
      <c r="L627">
        <f t="shared" si="222"/>
        <v>11693203.123200001</v>
      </c>
      <c r="M627">
        <f t="shared" si="223"/>
        <v>-77407455.745800003</v>
      </c>
      <c r="N627">
        <f t="shared" si="224"/>
        <v>-140283858.79319999</v>
      </c>
      <c r="O627">
        <f t="shared" si="225"/>
        <v>-158638111.39379996</v>
      </c>
      <c r="P627">
        <f t="shared" si="226"/>
        <v>-192648138.22079995</v>
      </c>
      <c r="Q627">
        <f t="shared" si="227"/>
        <v>-200087282.62039998</v>
      </c>
      <c r="S627">
        <f t="shared" si="228"/>
        <v>12789440.916000001</v>
      </c>
      <c r="T627">
        <f t="shared" si="229"/>
        <v>-86963931.763799995</v>
      </c>
      <c r="U627">
        <f t="shared" si="230"/>
        <v>-153499004.91139999</v>
      </c>
      <c r="V627">
        <f t="shared" si="231"/>
        <v>-166414489.40329993</v>
      </c>
      <c r="W627">
        <f t="shared" si="232"/>
        <v>-224058160.75679994</v>
      </c>
      <c r="X627">
        <f t="shared" si="233"/>
        <v>-229047284.05230001</v>
      </c>
      <c r="Z627">
        <f t="shared" si="234"/>
        <v>13885678.708800001</v>
      </c>
      <c r="AA627">
        <f t="shared" si="235"/>
        <v>-96520407.781799987</v>
      </c>
      <c r="AB627">
        <f t="shared" si="236"/>
        <v>-166714151.02960002</v>
      </c>
      <c r="AC627">
        <f t="shared" si="237"/>
        <v>-211517481.85839993</v>
      </c>
      <c r="AD627">
        <f t="shared" si="238"/>
        <v>-255468183.29279998</v>
      </c>
      <c r="AE627">
        <f t="shared" si="239"/>
        <v>-258007285.4842</v>
      </c>
    </row>
    <row r="628" spans="1:31" x14ac:dyDescent="0.25">
      <c r="A628">
        <v>38.69844415</v>
      </c>
      <c r="B628">
        <v>117.5316651</v>
      </c>
      <c r="C628">
        <v>52.10093689</v>
      </c>
      <c r="D628">
        <v>17.407512659999998</v>
      </c>
      <c r="E628" t="b">
        <f t="shared" si="216"/>
        <v>0</v>
      </c>
      <c r="F628">
        <f t="shared" si="217"/>
        <v>-243.09717179</v>
      </c>
      <c r="G628">
        <f t="shared" si="218"/>
        <v>-503.60185624000002</v>
      </c>
      <c r="H628">
        <f t="shared" si="219"/>
        <v>-764.10654069000009</v>
      </c>
      <c r="I628">
        <f t="shared" si="220"/>
        <v>-1024.61122514</v>
      </c>
      <c r="J628">
        <f t="shared" si="221"/>
        <v>-1285.11590959</v>
      </c>
      <c r="L628">
        <f t="shared" si="222"/>
        <v>33422424.307200003</v>
      </c>
      <c r="M628">
        <f t="shared" si="223"/>
        <v>-393817418.29980004</v>
      </c>
      <c r="N628">
        <f t="shared" si="224"/>
        <v>-694970561.61119998</v>
      </c>
      <c r="O628">
        <f t="shared" si="225"/>
        <v>-779388671.50380003</v>
      </c>
      <c r="P628">
        <f t="shared" si="226"/>
        <v>-942642327.12879992</v>
      </c>
      <c r="Q628">
        <f t="shared" si="227"/>
        <v>-976688091.28839993</v>
      </c>
      <c r="S628">
        <f t="shared" si="228"/>
        <v>36555776.586000003</v>
      </c>
      <c r="T628">
        <f t="shared" si="229"/>
        <v>-442436852.65780002</v>
      </c>
      <c r="U628">
        <f t="shared" si="230"/>
        <v>-760438802.9224</v>
      </c>
      <c r="V628">
        <f t="shared" si="231"/>
        <v>-817593998.53829992</v>
      </c>
      <c r="W628">
        <f t="shared" si="232"/>
        <v>-1096334010.8997998</v>
      </c>
      <c r="X628">
        <f t="shared" si="233"/>
        <v>-1118050841.3432999</v>
      </c>
      <c r="Z628">
        <f t="shared" si="234"/>
        <v>39689128.864800006</v>
      </c>
      <c r="AA628">
        <f t="shared" si="235"/>
        <v>-491056287.0158</v>
      </c>
      <c r="AB628">
        <f t="shared" si="236"/>
        <v>-825907044.23360002</v>
      </c>
      <c r="AC628">
        <f t="shared" si="237"/>
        <v>-1039184895.3384</v>
      </c>
      <c r="AD628">
        <f t="shared" si="238"/>
        <v>-1250025694.6708</v>
      </c>
      <c r="AE628">
        <f t="shared" si="239"/>
        <v>-1259413591.3981998</v>
      </c>
    </row>
    <row r="629" spans="1:31" x14ac:dyDescent="0.25">
      <c r="A629">
        <v>38.702318579999996</v>
      </c>
      <c r="B629">
        <v>118.8885128</v>
      </c>
      <c r="C629">
        <v>11.75231934</v>
      </c>
      <c r="D629">
        <v>2.8967089700000002</v>
      </c>
      <c r="E629" t="b">
        <f t="shared" si="216"/>
        <v>0</v>
      </c>
      <c r="F629">
        <f t="shared" si="217"/>
        <v>-55.86488773</v>
      </c>
      <c r="G629">
        <f t="shared" si="218"/>
        <v>-114.62648442999999</v>
      </c>
      <c r="H629">
        <f t="shared" si="219"/>
        <v>-173.38808113000002</v>
      </c>
      <c r="I629">
        <f t="shared" si="220"/>
        <v>-232.14967783</v>
      </c>
      <c r="J629">
        <f t="shared" si="221"/>
        <v>-290.91127452999996</v>
      </c>
      <c r="L629">
        <f t="shared" si="222"/>
        <v>5561681.2224000013</v>
      </c>
      <c r="M629">
        <f t="shared" si="223"/>
        <v>-90501118.122600004</v>
      </c>
      <c r="N629">
        <f t="shared" si="224"/>
        <v>-158184548.51339999</v>
      </c>
      <c r="O629">
        <f t="shared" si="225"/>
        <v>-176855842.75260001</v>
      </c>
      <c r="P629">
        <f t="shared" si="226"/>
        <v>-213577703.6036</v>
      </c>
      <c r="Q629">
        <f t="shared" si="227"/>
        <v>-221092568.64279997</v>
      </c>
      <c r="S629">
        <f t="shared" si="228"/>
        <v>6083088.8370000003</v>
      </c>
      <c r="T629">
        <f t="shared" si="229"/>
        <v>-101674095.66859999</v>
      </c>
      <c r="U629">
        <f t="shared" si="230"/>
        <v>-173085991.48929998</v>
      </c>
      <c r="V629">
        <f t="shared" si="231"/>
        <v>-185525246.8091</v>
      </c>
      <c r="W629">
        <f t="shared" si="232"/>
        <v>-248400155.27809998</v>
      </c>
      <c r="X629">
        <f t="shared" si="233"/>
        <v>-253092808.84109998</v>
      </c>
      <c r="Z629">
        <f t="shared" si="234"/>
        <v>6604496.4516000012</v>
      </c>
      <c r="AA629">
        <f t="shared" si="235"/>
        <v>-112847073.2146</v>
      </c>
      <c r="AB629">
        <f t="shared" si="236"/>
        <v>-187987434.46520001</v>
      </c>
      <c r="AC629">
        <f t="shared" si="237"/>
        <v>-235807790.33680001</v>
      </c>
      <c r="AD629">
        <f t="shared" si="238"/>
        <v>-283222606.9526</v>
      </c>
      <c r="AE629">
        <f t="shared" si="239"/>
        <v>-285093049.03939998</v>
      </c>
    </row>
    <row r="630" spans="1:31" x14ac:dyDescent="0.25">
      <c r="A630">
        <v>38.725325810000001</v>
      </c>
      <c r="B630">
        <v>117.2411508</v>
      </c>
      <c r="C630">
        <v>52.10093689</v>
      </c>
      <c r="D630">
        <v>0.39798500999999997</v>
      </c>
      <c r="E630" t="b">
        <f t="shared" si="216"/>
        <v>0</v>
      </c>
      <c r="F630">
        <f t="shared" si="217"/>
        <v>-260.10669944</v>
      </c>
      <c r="G630">
        <f t="shared" si="218"/>
        <v>-520.61138389000007</v>
      </c>
      <c r="H630">
        <f t="shared" si="219"/>
        <v>-781.11606834000008</v>
      </c>
      <c r="I630">
        <f t="shared" si="220"/>
        <v>-1041.6207527900001</v>
      </c>
      <c r="J630">
        <f t="shared" si="221"/>
        <v>-1302.1254372400001</v>
      </c>
      <c r="L630">
        <f t="shared" si="222"/>
        <v>764131.21919999993</v>
      </c>
      <c r="M630">
        <f t="shared" si="223"/>
        <v>-421372853.09280002</v>
      </c>
      <c r="N630">
        <f t="shared" si="224"/>
        <v>-718443709.76820004</v>
      </c>
      <c r="O630">
        <f t="shared" si="225"/>
        <v>-796738389.7068001</v>
      </c>
      <c r="P630">
        <f t="shared" si="226"/>
        <v>-958291092.5668</v>
      </c>
      <c r="Q630">
        <f t="shared" si="227"/>
        <v>-989615332.30239999</v>
      </c>
      <c r="S630">
        <f t="shared" si="228"/>
        <v>835768.52099999995</v>
      </c>
      <c r="T630">
        <f t="shared" si="229"/>
        <v>-473394192.98080003</v>
      </c>
      <c r="U630">
        <f t="shared" si="230"/>
        <v>-786123189.67390013</v>
      </c>
      <c r="V630">
        <f t="shared" si="231"/>
        <v>-835794193.12379992</v>
      </c>
      <c r="W630">
        <f t="shared" si="232"/>
        <v>-1114534205.4852998</v>
      </c>
      <c r="X630">
        <f t="shared" si="233"/>
        <v>-1132849130.3987999</v>
      </c>
      <c r="Z630">
        <f t="shared" si="234"/>
        <v>907405.82279999997</v>
      </c>
      <c r="AA630">
        <f t="shared" si="235"/>
        <v>-525415532.86879998</v>
      </c>
      <c r="AB630">
        <f t="shared" si="236"/>
        <v>-853802669.5796001</v>
      </c>
      <c r="AC630">
        <f t="shared" si="237"/>
        <v>-1062317852.9424</v>
      </c>
      <c r="AD630">
        <f t="shared" si="238"/>
        <v>-1270777318.4038</v>
      </c>
      <c r="AE630">
        <f t="shared" si="239"/>
        <v>-1276082928.4951999</v>
      </c>
    </row>
    <row r="631" spans="1:31" x14ac:dyDescent="0.25">
      <c r="A631">
        <v>38.741653970000002</v>
      </c>
      <c r="B631">
        <v>118.95429009999999</v>
      </c>
      <c r="C631">
        <v>22.470727920000002</v>
      </c>
      <c r="D631">
        <v>0.63663899999999995</v>
      </c>
      <c r="E631" t="b">
        <f t="shared" si="216"/>
        <v>0</v>
      </c>
      <c r="F631">
        <f t="shared" si="217"/>
        <v>-111.71700060000001</v>
      </c>
      <c r="G631">
        <f t="shared" si="218"/>
        <v>-224.07064020000001</v>
      </c>
      <c r="H631">
        <f t="shared" si="219"/>
        <v>-336.42427980000002</v>
      </c>
      <c r="I631">
        <f t="shared" si="220"/>
        <v>-448.77791940000003</v>
      </c>
      <c r="J631">
        <f t="shared" si="221"/>
        <v>-561.13155900000004</v>
      </c>
      <c r="L631">
        <f t="shared" si="222"/>
        <v>1222346.8800000001</v>
      </c>
      <c r="M631">
        <f t="shared" si="223"/>
        <v>-180981540.97200003</v>
      </c>
      <c r="N631">
        <f t="shared" si="224"/>
        <v>-309217483.47600001</v>
      </c>
      <c r="O631">
        <f t="shared" si="225"/>
        <v>-343152765.39600003</v>
      </c>
      <c r="P631">
        <f t="shared" si="226"/>
        <v>-412875685.84799999</v>
      </c>
      <c r="Q631">
        <f t="shared" si="227"/>
        <v>-426459984.84000003</v>
      </c>
      <c r="S631">
        <f t="shared" si="228"/>
        <v>1336941.9000000001</v>
      </c>
      <c r="T631">
        <f t="shared" si="229"/>
        <v>-203324941.09200004</v>
      </c>
      <c r="U631">
        <f t="shared" si="230"/>
        <v>-338346666.70200002</v>
      </c>
      <c r="V631">
        <f t="shared" si="231"/>
        <v>-359973979.38599998</v>
      </c>
      <c r="W631">
        <f t="shared" si="232"/>
        <v>-480192373.75799996</v>
      </c>
      <c r="X631">
        <f t="shared" si="233"/>
        <v>-488184456.32999998</v>
      </c>
      <c r="Z631">
        <f t="shared" si="234"/>
        <v>1451536.9200000002</v>
      </c>
      <c r="AA631">
        <f t="shared" si="235"/>
        <v>-225668341.21200001</v>
      </c>
      <c r="AB631">
        <f t="shared" si="236"/>
        <v>-367475849.92800003</v>
      </c>
      <c r="AC631">
        <f t="shared" si="237"/>
        <v>-457537020.528</v>
      </c>
      <c r="AD631">
        <f t="shared" si="238"/>
        <v>-547509061.66799998</v>
      </c>
      <c r="AE631">
        <f t="shared" si="239"/>
        <v>-549908927.81999993</v>
      </c>
    </row>
    <row r="632" spans="1:31" x14ac:dyDescent="0.25">
      <c r="A632">
        <v>38.743959179999997</v>
      </c>
      <c r="B632">
        <v>117.5386171</v>
      </c>
      <c r="C632">
        <v>52.10093689</v>
      </c>
      <c r="D632">
        <v>9.1823101000000005</v>
      </c>
      <c r="E632" t="b">
        <f t="shared" si="216"/>
        <v>0</v>
      </c>
      <c r="F632">
        <f t="shared" si="217"/>
        <v>-251.32237435000002</v>
      </c>
      <c r="G632">
        <f t="shared" si="218"/>
        <v>-511.82705880000003</v>
      </c>
      <c r="H632">
        <f t="shared" si="219"/>
        <v>-772.33174325000005</v>
      </c>
      <c r="I632">
        <f t="shared" si="220"/>
        <v>-1032.8364277000001</v>
      </c>
      <c r="J632">
        <f t="shared" si="221"/>
        <v>-1293.3411121500001</v>
      </c>
      <c r="L632">
        <f t="shared" si="222"/>
        <v>17630035.392000001</v>
      </c>
      <c r="M632">
        <f t="shared" si="223"/>
        <v>-407142246.44700009</v>
      </c>
      <c r="N632">
        <f t="shared" si="224"/>
        <v>-706321341.14399993</v>
      </c>
      <c r="O632">
        <f t="shared" si="225"/>
        <v>-787778378.11500001</v>
      </c>
      <c r="P632">
        <f t="shared" si="226"/>
        <v>-950209513.48399997</v>
      </c>
      <c r="Q632">
        <f t="shared" si="227"/>
        <v>-982939245.23400009</v>
      </c>
      <c r="S632">
        <f t="shared" si="228"/>
        <v>19282851.210000001</v>
      </c>
      <c r="T632">
        <f t="shared" si="229"/>
        <v>-457406721.31700003</v>
      </c>
      <c r="U632">
        <f t="shared" si="230"/>
        <v>-772858858.78799999</v>
      </c>
      <c r="V632">
        <f t="shared" si="231"/>
        <v>-826394965.27749991</v>
      </c>
      <c r="W632">
        <f t="shared" si="232"/>
        <v>-1105134977.6389999</v>
      </c>
      <c r="X632">
        <f t="shared" si="233"/>
        <v>-1125206767.5705001</v>
      </c>
      <c r="Z632">
        <f t="shared" si="234"/>
        <v>20935667.028000001</v>
      </c>
      <c r="AA632">
        <f t="shared" si="235"/>
        <v>-507671196.18700004</v>
      </c>
      <c r="AB632">
        <f t="shared" si="236"/>
        <v>-839396376.43200004</v>
      </c>
      <c r="AC632">
        <f t="shared" si="237"/>
        <v>-1050371170.8199999</v>
      </c>
      <c r="AD632">
        <f t="shared" si="238"/>
        <v>-1260060441.7940001</v>
      </c>
      <c r="AE632">
        <f t="shared" si="239"/>
        <v>-1267474289.9070001</v>
      </c>
    </row>
    <row r="633" spans="1:31" x14ac:dyDescent="0.25">
      <c r="A633">
        <v>38.744284139999998</v>
      </c>
      <c r="B633">
        <v>115.94852349999999</v>
      </c>
      <c r="C633">
        <v>78.320755000000005</v>
      </c>
      <c r="D633">
        <v>4.9147877700000002</v>
      </c>
      <c r="E633" t="b">
        <f t="shared" si="216"/>
        <v>0</v>
      </c>
      <c r="F633">
        <f t="shared" si="217"/>
        <v>-386.68898723000007</v>
      </c>
      <c r="G633">
        <f t="shared" si="218"/>
        <v>-778.29276223000011</v>
      </c>
      <c r="H633">
        <f t="shared" si="219"/>
        <v>-1169.8965372300001</v>
      </c>
      <c r="I633">
        <f t="shared" si="220"/>
        <v>-1561.5003122300002</v>
      </c>
      <c r="J633">
        <f t="shared" si="221"/>
        <v>-1953.1040872300002</v>
      </c>
      <c r="L633">
        <f t="shared" si="222"/>
        <v>9436392.5184000023</v>
      </c>
      <c r="M633">
        <f t="shared" si="223"/>
        <v>-626436159.31260014</v>
      </c>
      <c r="N633">
        <f t="shared" si="224"/>
        <v>-1074044011.8774002</v>
      </c>
      <c r="O633">
        <f t="shared" si="225"/>
        <v>-1193294467.9746003</v>
      </c>
      <c r="P633">
        <f t="shared" si="226"/>
        <v>-1436580287.2516</v>
      </c>
      <c r="Q633">
        <f t="shared" si="227"/>
        <v>-1484359106.2948003</v>
      </c>
      <c r="S633">
        <f t="shared" si="228"/>
        <v>10321054.317000002</v>
      </c>
      <c r="T633">
        <f t="shared" si="229"/>
        <v>-703773956.75860012</v>
      </c>
      <c r="U633">
        <f t="shared" si="230"/>
        <v>-1175222070.9673002</v>
      </c>
      <c r="V633">
        <f t="shared" si="231"/>
        <v>-1251789294.8361001</v>
      </c>
      <c r="W633">
        <f t="shared" si="232"/>
        <v>-1670805334.0861001</v>
      </c>
      <c r="X633">
        <f t="shared" si="233"/>
        <v>-1699200555.8901002</v>
      </c>
      <c r="Z633">
        <f t="shared" si="234"/>
        <v>11205716.115600003</v>
      </c>
      <c r="AA633">
        <f t="shared" si="235"/>
        <v>-781111754.20460021</v>
      </c>
      <c r="AB633">
        <f t="shared" si="236"/>
        <v>-1276400130.0572004</v>
      </c>
      <c r="AC633">
        <f t="shared" si="237"/>
        <v>-1591059290.6328001</v>
      </c>
      <c r="AD633">
        <f t="shared" si="238"/>
        <v>-1905030380.9206002</v>
      </c>
      <c r="AE633">
        <f t="shared" si="239"/>
        <v>-1914042005.4854002</v>
      </c>
    </row>
    <row r="634" spans="1:31" x14ac:dyDescent="0.25">
      <c r="A634">
        <v>38.747752660000003</v>
      </c>
      <c r="B634">
        <v>118.89627849999999</v>
      </c>
      <c r="C634">
        <v>11.218167299999999</v>
      </c>
      <c r="D634">
        <v>36.283546450000003</v>
      </c>
      <c r="E634" t="b">
        <f t="shared" si="216"/>
        <v>1</v>
      </c>
      <c r="F634">
        <f t="shared" si="217"/>
        <v>-19.807290049999992</v>
      </c>
      <c r="G634">
        <f t="shared" si="218"/>
        <v>-75.898126549999986</v>
      </c>
      <c r="H634">
        <f t="shared" si="219"/>
        <v>-131.98896305</v>
      </c>
      <c r="I634">
        <f t="shared" si="220"/>
        <v>-188.07979954999996</v>
      </c>
      <c r="J634">
        <f t="shared" si="221"/>
        <v>-244.17063604999998</v>
      </c>
      <c r="L634">
        <f t="shared" si="222"/>
        <v>21538881.215999998</v>
      </c>
      <c r="M634">
        <f t="shared" si="223"/>
        <v>-32087809.88099999</v>
      </c>
      <c r="N634">
        <f t="shared" si="224"/>
        <v>-104739414.63899997</v>
      </c>
      <c r="O634">
        <f t="shared" si="225"/>
        <v>-134628742.31099999</v>
      </c>
      <c r="P634">
        <f t="shared" si="226"/>
        <v>-173033415.58599994</v>
      </c>
      <c r="Q634">
        <f t="shared" si="227"/>
        <v>-185569683.398</v>
      </c>
      <c r="S634">
        <f t="shared" si="228"/>
        <v>23558151.329999998</v>
      </c>
      <c r="T634">
        <f t="shared" si="229"/>
        <v>-36049267.890999988</v>
      </c>
      <c r="U634">
        <f t="shared" si="230"/>
        <v>-114606171.09049997</v>
      </c>
      <c r="V634">
        <f t="shared" si="231"/>
        <v>-141228190.46349996</v>
      </c>
      <c r="W634">
        <f t="shared" si="232"/>
        <v>-201245385.51849991</v>
      </c>
      <c r="X634">
        <f t="shared" si="233"/>
        <v>-212428453.36349997</v>
      </c>
      <c r="Z634">
        <f t="shared" si="234"/>
        <v>25577421.444000002</v>
      </c>
      <c r="AA634">
        <f t="shared" si="235"/>
        <v>-40010725.900999986</v>
      </c>
      <c r="AB634">
        <f t="shared" si="236"/>
        <v>-124472927.54199998</v>
      </c>
      <c r="AC634">
        <f t="shared" si="237"/>
        <v>-179504989.74799997</v>
      </c>
      <c r="AD634">
        <f t="shared" si="238"/>
        <v>-229457355.45099995</v>
      </c>
      <c r="AE634">
        <f t="shared" si="239"/>
        <v>-239287223.32899997</v>
      </c>
    </row>
    <row r="635" spans="1:31" x14ac:dyDescent="0.25">
      <c r="A635">
        <v>38.75616308</v>
      </c>
      <c r="B635">
        <v>119.2521867</v>
      </c>
      <c r="C635">
        <v>36.944892879999998</v>
      </c>
      <c r="D635">
        <v>12.24306393</v>
      </c>
      <c r="E635" t="b">
        <f t="shared" si="216"/>
        <v>0</v>
      </c>
      <c r="F635">
        <f t="shared" si="217"/>
        <v>-172.48140046999998</v>
      </c>
      <c r="G635">
        <f t="shared" si="218"/>
        <v>-357.20586486999997</v>
      </c>
      <c r="H635">
        <f t="shared" si="219"/>
        <v>-541.93032927000002</v>
      </c>
      <c r="I635">
        <f t="shared" si="220"/>
        <v>-726.65479367</v>
      </c>
      <c r="J635">
        <f t="shared" si="221"/>
        <v>-911.37925806999999</v>
      </c>
      <c r="L635">
        <f t="shared" si="222"/>
        <v>23506682.7456</v>
      </c>
      <c r="M635">
        <f t="shared" si="223"/>
        <v>-279419868.76139998</v>
      </c>
      <c r="N635">
        <f t="shared" si="224"/>
        <v>-492944093.5205999</v>
      </c>
      <c r="O635">
        <f t="shared" si="225"/>
        <v>-552768935.85539997</v>
      </c>
      <c r="P635">
        <f t="shared" si="226"/>
        <v>-668522410.17639995</v>
      </c>
      <c r="Q635">
        <f t="shared" si="227"/>
        <v>-692648236.13319993</v>
      </c>
      <c r="S635">
        <f t="shared" si="228"/>
        <v>25710434.252999999</v>
      </c>
      <c r="T635">
        <f t="shared" si="229"/>
        <v>-313916148.85539997</v>
      </c>
      <c r="U635">
        <f t="shared" si="230"/>
        <v>-539380855.95369995</v>
      </c>
      <c r="V635">
        <f t="shared" si="231"/>
        <v>-579865452.31889987</v>
      </c>
      <c r="W635">
        <f t="shared" si="232"/>
        <v>-777520629.22689986</v>
      </c>
      <c r="X635">
        <f t="shared" si="233"/>
        <v>-792899954.52089989</v>
      </c>
      <c r="Z635">
        <f t="shared" si="234"/>
        <v>27914185.760400001</v>
      </c>
      <c r="AA635">
        <f t="shared" si="235"/>
        <v>-348412428.94939995</v>
      </c>
      <c r="AB635">
        <f t="shared" si="236"/>
        <v>-585817618.38679993</v>
      </c>
      <c r="AC635">
        <f t="shared" si="237"/>
        <v>-737025247.80719995</v>
      </c>
      <c r="AD635">
        <f t="shared" si="238"/>
        <v>-886518848.2773999</v>
      </c>
      <c r="AE635">
        <f t="shared" si="239"/>
        <v>-893151672.90859997</v>
      </c>
    </row>
    <row r="636" spans="1:31" x14ac:dyDescent="0.25">
      <c r="A636">
        <v>38.75828301</v>
      </c>
      <c r="B636">
        <v>92.767493139999999</v>
      </c>
      <c r="C636">
        <v>20.624670030000001</v>
      </c>
      <c r="D636">
        <v>0.83436399999999999</v>
      </c>
      <c r="E636" t="b">
        <f t="shared" si="216"/>
        <v>0</v>
      </c>
      <c r="F636">
        <f t="shared" si="217"/>
        <v>-102.28898615000001</v>
      </c>
      <c r="G636">
        <f t="shared" si="218"/>
        <v>-205.41233630000002</v>
      </c>
      <c r="H636">
        <f t="shared" si="219"/>
        <v>-308.53568645000001</v>
      </c>
      <c r="I636">
        <f t="shared" si="220"/>
        <v>-411.65903660000004</v>
      </c>
      <c r="J636">
        <f t="shared" si="221"/>
        <v>-514.78238675</v>
      </c>
      <c r="L636">
        <f t="shared" si="222"/>
        <v>1601978.8800000001</v>
      </c>
      <c r="M636">
        <f t="shared" si="223"/>
        <v>-165708157.56300005</v>
      </c>
      <c r="N636">
        <f t="shared" si="224"/>
        <v>-283469024.09399998</v>
      </c>
      <c r="O636">
        <f t="shared" si="225"/>
        <v>-314706400.17900002</v>
      </c>
      <c r="P636">
        <f t="shared" si="226"/>
        <v>-378726313.67199999</v>
      </c>
      <c r="Q636">
        <f t="shared" si="227"/>
        <v>-391234613.93000001</v>
      </c>
      <c r="S636">
        <f t="shared" si="228"/>
        <v>1752164.4000000001</v>
      </c>
      <c r="T636">
        <f t="shared" si="229"/>
        <v>-186165954.79300004</v>
      </c>
      <c r="U636">
        <f t="shared" si="230"/>
        <v>-310172627.81300002</v>
      </c>
      <c r="V636">
        <f t="shared" si="231"/>
        <v>-330133184.50149995</v>
      </c>
      <c r="W636">
        <f t="shared" si="232"/>
        <v>-440475169.16199994</v>
      </c>
      <c r="X636">
        <f t="shared" si="233"/>
        <v>-447860676.47250003</v>
      </c>
      <c r="Z636">
        <f t="shared" si="234"/>
        <v>1902349.9200000002</v>
      </c>
      <c r="AA636">
        <f t="shared" si="235"/>
        <v>-206623752.02300003</v>
      </c>
      <c r="AB636">
        <f t="shared" si="236"/>
        <v>-336876231.53200006</v>
      </c>
      <c r="AC636">
        <f t="shared" si="237"/>
        <v>-419608533.57199997</v>
      </c>
      <c r="AD636">
        <f t="shared" si="238"/>
        <v>-502224024.65200001</v>
      </c>
      <c r="AE636">
        <f t="shared" si="239"/>
        <v>-504486739.01499999</v>
      </c>
    </row>
    <row r="637" spans="1:31" x14ac:dyDescent="0.25">
      <c r="A637">
        <v>38.759868300000001</v>
      </c>
      <c r="B637">
        <v>118.7802275</v>
      </c>
      <c r="C637">
        <v>15.833525659999999</v>
      </c>
      <c r="D637">
        <v>6.1770110100000002</v>
      </c>
      <c r="E637" t="b">
        <f t="shared" si="216"/>
        <v>0</v>
      </c>
      <c r="F637">
        <f t="shared" si="217"/>
        <v>-72.990617289999989</v>
      </c>
      <c r="G637">
        <f t="shared" si="218"/>
        <v>-152.15824558999998</v>
      </c>
      <c r="H637">
        <f t="shared" si="219"/>
        <v>-231.32587389</v>
      </c>
      <c r="I637">
        <f t="shared" si="220"/>
        <v>-310.49350218999996</v>
      </c>
      <c r="J637">
        <f t="shared" si="221"/>
        <v>-389.66113049000001</v>
      </c>
      <c r="L637">
        <f t="shared" si="222"/>
        <v>11859861.1392</v>
      </c>
      <c r="M637">
        <f t="shared" si="223"/>
        <v>-118244800.00979999</v>
      </c>
      <c r="N637">
        <f t="shared" si="224"/>
        <v>-209978378.91419995</v>
      </c>
      <c r="O637">
        <f t="shared" si="225"/>
        <v>-235952391.3678</v>
      </c>
      <c r="P637">
        <f t="shared" si="226"/>
        <v>-285654022.01479989</v>
      </c>
      <c r="Q637">
        <f t="shared" si="227"/>
        <v>-296142459.1724</v>
      </c>
      <c r="S637">
        <f t="shared" si="228"/>
        <v>12971723.120999999</v>
      </c>
      <c r="T637">
        <f t="shared" si="229"/>
        <v>-132842923.46779999</v>
      </c>
      <c r="U637">
        <f t="shared" si="230"/>
        <v>-229758950.84089997</v>
      </c>
      <c r="V637">
        <f t="shared" si="231"/>
        <v>-247518685.06229994</v>
      </c>
      <c r="W637">
        <f t="shared" si="232"/>
        <v>-332228047.34329987</v>
      </c>
      <c r="X637">
        <f t="shared" si="233"/>
        <v>-339005183.52630001</v>
      </c>
      <c r="Z637">
        <f t="shared" si="234"/>
        <v>14083585.1028</v>
      </c>
      <c r="AA637">
        <f t="shared" si="235"/>
        <v>-147441046.9258</v>
      </c>
      <c r="AB637">
        <f t="shared" si="236"/>
        <v>-249539522.76759997</v>
      </c>
      <c r="AC637">
        <f t="shared" si="237"/>
        <v>-314603188.49039996</v>
      </c>
      <c r="AD637">
        <f t="shared" si="238"/>
        <v>-378802072.6717999</v>
      </c>
      <c r="AE637">
        <f t="shared" si="239"/>
        <v>-381867907.88020003</v>
      </c>
    </row>
    <row r="638" spans="1:31" x14ac:dyDescent="0.25">
      <c r="A638">
        <v>38.762401390000001</v>
      </c>
      <c r="B638">
        <v>119.1941882</v>
      </c>
      <c r="C638">
        <v>39.583812709999997</v>
      </c>
      <c r="D638">
        <v>2.4486129299999999</v>
      </c>
      <c r="E638" t="b">
        <f t="shared" si="216"/>
        <v>0</v>
      </c>
      <c r="F638">
        <f t="shared" si="217"/>
        <v>-195.47045061999998</v>
      </c>
      <c r="G638">
        <f t="shared" si="218"/>
        <v>-393.38951416999993</v>
      </c>
      <c r="H638">
        <f t="shared" si="219"/>
        <v>-591.30857772000002</v>
      </c>
      <c r="I638">
        <f t="shared" si="220"/>
        <v>-789.22764126999994</v>
      </c>
      <c r="J638">
        <f t="shared" si="221"/>
        <v>-987.14670481999997</v>
      </c>
      <c r="L638">
        <f t="shared" si="222"/>
        <v>4701336.8256000001</v>
      </c>
      <c r="M638">
        <f t="shared" si="223"/>
        <v>-316662130.00439996</v>
      </c>
      <c r="N638">
        <f t="shared" si="224"/>
        <v>-542877529.55459976</v>
      </c>
      <c r="O638">
        <f t="shared" si="225"/>
        <v>-603134749.2744</v>
      </c>
      <c r="P638">
        <f t="shared" si="226"/>
        <v>-726089429.96839988</v>
      </c>
      <c r="Q638">
        <f t="shared" si="227"/>
        <v>-750231495.6631999</v>
      </c>
      <c r="S638">
        <f t="shared" si="228"/>
        <v>5142087.1529999999</v>
      </c>
      <c r="T638">
        <f t="shared" si="229"/>
        <v>-355756220.12839997</v>
      </c>
      <c r="U638">
        <f t="shared" si="230"/>
        <v>-594018166.39669991</v>
      </c>
      <c r="V638">
        <f t="shared" si="231"/>
        <v>-632700178.16039991</v>
      </c>
      <c r="W638">
        <f t="shared" si="232"/>
        <v>-844473576.1588999</v>
      </c>
      <c r="X638">
        <f t="shared" si="233"/>
        <v>-858817633.19339991</v>
      </c>
      <c r="Z638">
        <f t="shared" si="234"/>
        <v>5582837.4803999998</v>
      </c>
      <c r="AA638">
        <f t="shared" si="235"/>
        <v>-394850310.25239998</v>
      </c>
      <c r="AB638">
        <f t="shared" si="236"/>
        <v>-645158803.23879993</v>
      </c>
      <c r="AC638">
        <f t="shared" si="237"/>
        <v>-804179665.69919991</v>
      </c>
      <c r="AD638">
        <f t="shared" si="238"/>
        <v>-962857722.34939992</v>
      </c>
      <c r="AE638">
        <f t="shared" si="239"/>
        <v>-967403770.72359991</v>
      </c>
    </row>
    <row r="639" spans="1:31" x14ac:dyDescent="0.25">
      <c r="A639">
        <v>38.765885230000002</v>
      </c>
      <c r="B639">
        <v>118.7221881</v>
      </c>
      <c r="C639">
        <v>8.2537508000000006</v>
      </c>
      <c r="D639">
        <v>40.052650450000002</v>
      </c>
      <c r="E639" t="b">
        <f t="shared" si="216"/>
        <v>1</v>
      </c>
      <c r="F639">
        <f t="shared" si="217"/>
        <v>-1.2161035499999997</v>
      </c>
      <c r="G639">
        <f t="shared" si="218"/>
        <v>-42.484857550000001</v>
      </c>
      <c r="H639">
        <f t="shared" si="219"/>
        <v>-83.753611550000002</v>
      </c>
      <c r="I639">
        <f t="shared" si="220"/>
        <v>-125.02236555</v>
      </c>
      <c r="J639">
        <f t="shared" si="221"/>
        <v>-166.29111955000002</v>
      </c>
      <c r="L639">
        <f t="shared" si="222"/>
        <v>15847201.536000002</v>
      </c>
      <c r="M639">
        <f t="shared" si="223"/>
        <v>-1970087.7509999999</v>
      </c>
      <c r="N639">
        <f t="shared" si="224"/>
        <v>-58629103.419</v>
      </c>
      <c r="O639">
        <f t="shared" si="225"/>
        <v>-85428683.781000003</v>
      </c>
      <c r="P639">
        <f t="shared" si="226"/>
        <v>-115020576.30599999</v>
      </c>
      <c r="Q639">
        <f t="shared" si="227"/>
        <v>-126381250.85800001</v>
      </c>
      <c r="S639">
        <f t="shared" si="228"/>
        <v>17332876.680000003</v>
      </c>
      <c r="T639">
        <f t="shared" si="229"/>
        <v>-2213308.4609999997</v>
      </c>
      <c r="U639">
        <f t="shared" si="230"/>
        <v>-64152134.900500007</v>
      </c>
      <c r="V639">
        <f t="shared" si="231"/>
        <v>-89616364.358499989</v>
      </c>
      <c r="W639">
        <f t="shared" si="232"/>
        <v>-133773931.13849998</v>
      </c>
      <c r="X639">
        <f t="shared" si="233"/>
        <v>-144673274.00850001</v>
      </c>
      <c r="Z639">
        <f t="shared" si="234"/>
        <v>18818551.824000005</v>
      </c>
      <c r="AA639">
        <f t="shared" si="235"/>
        <v>-2456529.1709999996</v>
      </c>
      <c r="AB639">
        <f t="shared" si="236"/>
        <v>-69675166.382000014</v>
      </c>
      <c r="AC639">
        <f t="shared" si="237"/>
        <v>-113904911.70799999</v>
      </c>
      <c r="AD639">
        <f t="shared" si="238"/>
        <v>-152527285.97099999</v>
      </c>
      <c r="AE639">
        <f t="shared" si="239"/>
        <v>-162965297.15900001</v>
      </c>
    </row>
    <row r="640" spans="1:31" x14ac:dyDescent="0.25">
      <c r="A640">
        <v>38.780952890000002</v>
      </c>
      <c r="B640">
        <v>119.0201357</v>
      </c>
      <c r="C640">
        <v>26.389209749999999</v>
      </c>
      <c r="D640">
        <v>14.88022041</v>
      </c>
      <c r="E640" t="b">
        <f t="shared" si="216"/>
        <v>0</v>
      </c>
      <c r="F640">
        <f t="shared" si="217"/>
        <v>-117.06582834</v>
      </c>
      <c r="G640">
        <f t="shared" si="218"/>
        <v>-249.01187708999998</v>
      </c>
      <c r="H640">
        <f t="shared" si="219"/>
        <v>-380.95792583999997</v>
      </c>
      <c r="I640">
        <f t="shared" si="220"/>
        <v>-512.90397458999996</v>
      </c>
      <c r="J640">
        <f t="shared" si="221"/>
        <v>-644.85002334000001</v>
      </c>
      <c r="L640">
        <f t="shared" si="222"/>
        <v>28570023.187200002</v>
      </c>
      <c r="M640">
        <f t="shared" si="223"/>
        <v>-189646641.91079998</v>
      </c>
      <c r="N640">
        <f t="shared" si="224"/>
        <v>-343636390.38419992</v>
      </c>
      <c r="O640">
        <f t="shared" si="225"/>
        <v>-388577084.35679996</v>
      </c>
      <c r="P640">
        <f t="shared" si="226"/>
        <v>-471871656.62279993</v>
      </c>
      <c r="Q640">
        <f t="shared" si="227"/>
        <v>-490086017.73840004</v>
      </c>
      <c r="S640">
        <f t="shared" si="228"/>
        <v>31248462.861000001</v>
      </c>
      <c r="T640">
        <f t="shared" si="229"/>
        <v>-213059807.57879999</v>
      </c>
      <c r="U640">
        <f t="shared" si="230"/>
        <v>-376007934.40589994</v>
      </c>
      <c r="V640">
        <f t="shared" si="231"/>
        <v>-407624980.6487999</v>
      </c>
      <c r="W640">
        <f t="shared" si="232"/>
        <v>-548807252.81129992</v>
      </c>
      <c r="X640">
        <f t="shared" si="233"/>
        <v>-561019520.30580008</v>
      </c>
      <c r="Z640">
        <f t="shared" si="234"/>
        <v>33926902.5348</v>
      </c>
      <c r="AA640">
        <f t="shared" si="235"/>
        <v>-236472973.24679998</v>
      </c>
      <c r="AB640">
        <f t="shared" si="236"/>
        <v>-408379478.42759997</v>
      </c>
      <c r="AC640">
        <f t="shared" si="237"/>
        <v>-518102779.14239991</v>
      </c>
      <c r="AD640">
        <f t="shared" si="238"/>
        <v>-625742848.99979997</v>
      </c>
      <c r="AE640">
        <f t="shared" si="239"/>
        <v>-631953022.87320006</v>
      </c>
    </row>
    <row r="641" spans="1:31" x14ac:dyDescent="0.25">
      <c r="A641">
        <v>38.785780199999998</v>
      </c>
      <c r="B641">
        <v>93.471691230000005</v>
      </c>
      <c r="C641">
        <v>20.624670030000001</v>
      </c>
      <c r="D641">
        <v>0.796736</v>
      </c>
      <c r="E641" t="b">
        <f t="shared" si="216"/>
        <v>0</v>
      </c>
      <c r="F641">
        <f t="shared" si="217"/>
        <v>-102.32661415000001</v>
      </c>
      <c r="G641">
        <f t="shared" si="218"/>
        <v>-205.4499643</v>
      </c>
      <c r="H641">
        <f t="shared" si="219"/>
        <v>-308.57331445</v>
      </c>
      <c r="I641">
        <f t="shared" si="220"/>
        <v>-411.69666460000002</v>
      </c>
      <c r="J641">
        <f t="shared" si="221"/>
        <v>-514.82001475000004</v>
      </c>
      <c r="L641">
        <f t="shared" si="222"/>
        <v>1529733.1200000001</v>
      </c>
      <c r="M641">
        <f t="shared" si="223"/>
        <v>-165769114.92300001</v>
      </c>
      <c r="N641">
        <f t="shared" si="224"/>
        <v>-283520950.73399997</v>
      </c>
      <c r="O641">
        <f t="shared" si="225"/>
        <v>-314744780.73900002</v>
      </c>
      <c r="P641">
        <f t="shared" si="226"/>
        <v>-378760931.43199998</v>
      </c>
      <c r="Q641">
        <f t="shared" si="227"/>
        <v>-391263211.21000004</v>
      </c>
      <c r="S641">
        <f t="shared" si="228"/>
        <v>1673145.6</v>
      </c>
      <c r="T641">
        <f t="shared" si="229"/>
        <v>-186234437.75300002</v>
      </c>
      <c r="U641">
        <f t="shared" si="230"/>
        <v>-310229446.09299999</v>
      </c>
      <c r="V641">
        <f t="shared" si="231"/>
        <v>-330173446.46149993</v>
      </c>
      <c r="W641">
        <f t="shared" si="232"/>
        <v>-440515431.12199998</v>
      </c>
      <c r="X641">
        <f t="shared" si="233"/>
        <v>-447893412.83250004</v>
      </c>
      <c r="Z641">
        <f t="shared" si="234"/>
        <v>1816558.0800000003</v>
      </c>
      <c r="AA641">
        <f t="shared" si="235"/>
        <v>-206699760.583</v>
      </c>
      <c r="AB641">
        <f t="shared" si="236"/>
        <v>-336937941.45200002</v>
      </c>
      <c r="AC641">
        <f t="shared" si="237"/>
        <v>-419659707.65199995</v>
      </c>
      <c r="AD641">
        <f t="shared" si="238"/>
        <v>-502269930.81200004</v>
      </c>
      <c r="AE641">
        <f t="shared" si="239"/>
        <v>-504523614.45500004</v>
      </c>
    </row>
    <row r="642" spans="1:31" x14ac:dyDescent="0.25">
      <c r="A642">
        <v>38.789880160000003</v>
      </c>
      <c r="B642">
        <v>115.95452830000001</v>
      </c>
      <c r="C642">
        <v>9.1419096</v>
      </c>
      <c r="D642">
        <v>1.5694249899999999</v>
      </c>
      <c r="E642" t="b">
        <f t="shared" si="216"/>
        <v>0</v>
      </c>
      <c r="F642">
        <f t="shared" si="217"/>
        <v>-44.140123009999996</v>
      </c>
      <c r="G642">
        <f t="shared" si="218"/>
        <v>-89.849671009999994</v>
      </c>
      <c r="H642">
        <f t="shared" si="219"/>
        <v>-135.55921901000002</v>
      </c>
      <c r="I642">
        <f t="shared" si="220"/>
        <v>-181.26876701</v>
      </c>
      <c r="J642">
        <f t="shared" si="221"/>
        <v>-226.97831501000002</v>
      </c>
      <c r="L642">
        <f t="shared" si="222"/>
        <v>3013295.9808</v>
      </c>
      <c r="M642">
        <f t="shared" si="223"/>
        <v>-71506999.276199996</v>
      </c>
      <c r="N642">
        <f t="shared" si="224"/>
        <v>-123992545.99379998</v>
      </c>
      <c r="O642">
        <f t="shared" si="225"/>
        <v>-138270403.39020002</v>
      </c>
      <c r="P642">
        <f t="shared" si="226"/>
        <v>-166767265.64919999</v>
      </c>
      <c r="Q642">
        <f t="shared" si="227"/>
        <v>-172503519.40760002</v>
      </c>
      <c r="S642">
        <f t="shared" si="228"/>
        <v>3295792.4790000003</v>
      </c>
      <c r="T642">
        <f t="shared" si="229"/>
        <v>-80335023.878199995</v>
      </c>
      <c r="U642">
        <f t="shared" si="230"/>
        <v>-135673003.22509998</v>
      </c>
      <c r="V642">
        <f t="shared" si="231"/>
        <v>-145048364.3407</v>
      </c>
      <c r="W642">
        <f t="shared" si="232"/>
        <v>-193957580.70069996</v>
      </c>
      <c r="X642">
        <f t="shared" si="233"/>
        <v>-197471134.05870003</v>
      </c>
      <c r="Z642">
        <f t="shared" si="234"/>
        <v>3578288.9772000005</v>
      </c>
      <c r="AA642">
        <f t="shared" si="235"/>
        <v>-89163048.480199993</v>
      </c>
      <c r="AB642">
        <f t="shared" si="236"/>
        <v>-147353460.45640001</v>
      </c>
      <c r="AC642">
        <f t="shared" si="237"/>
        <v>-184360537.85360003</v>
      </c>
      <c r="AD642">
        <f t="shared" si="238"/>
        <v>-221147895.75219998</v>
      </c>
      <c r="AE642">
        <f t="shared" si="239"/>
        <v>-222438748.7098</v>
      </c>
    </row>
    <row r="643" spans="1:31" x14ac:dyDescent="0.25">
      <c r="A643">
        <v>38.794908929999998</v>
      </c>
      <c r="B643">
        <v>117.48742230000001</v>
      </c>
      <c r="C643">
        <v>52.10093689</v>
      </c>
      <c r="D643">
        <v>4.4577431699999996</v>
      </c>
      <c r="E643" t="b">
        <f t="shared" ref="E643:E706" si="240">D643&gt;C643</f>
        <v>0</v>
      </c>
      <c r="F643">
        <f t="shared" ref="F643:F706" si="241">D643-(C643*(2030-2025))</f>
        <v>-256.04694128</v>
      </c>
      <c r="G643">
        <f t="shared" ref="G643:G706" si="242">D643-(C643*(2035-2025))</f>
        <v>-516.55162573000007</v>
      </c>
      <c r="H643">
        <f t="shared" ref="H643:H706" si="243">D643-(C643*(2040-2025))</f>
        <v>-777.05631018000008</v>
      </c>
      <c r="I643">
        <f t="shared" ref="I643:I706" si="244">D643-(C643*(2045-2025))</f>
        <v>-1037.5609946300001</v>
      </c>
      <c r="J643">
        <f t="shared" ref="J643:J706" si="245">D643-(C643*(2050-2025))</f>
        <v>-1298.0656790800001</v>
      </c>
      <c r="L643">
        <f t="shared" ref="L643:L706" si="246">MIN(C643,D643)*1000000*((280/250)+0.8)</f>
        <v>8558866.8864000011</v>
      </c>
      <c r="M643">
        <f t="shared" ref="M643:M706" si="247">MIN(F643,C643)*1000000*((230/250)+0.7)</f>
        <v>-414796044.87360001</v>
      </c>
      <c r="N643">
        <f t="shared" ref="N643:N706" si="248">MIN(G643,C643)*1000000*((195/250)+0.6)</f>
        <v>-712841243.50740004</v>
      </c>
      <c r="O643">
        <f t="shared" ref="O643:O706" si="249">MIN(H643,C643)*1000000*((130/250)+0.5)</f>
        <v>-792597436.38360012</v>
      </c>
      <c r="P643">
        <f t="shared" ref="P643:P706" si="250">MIN(I643,C643)*1000000*((105/250)+0.5)</f>
        <v>-954556115.0596</v>
      </c>
      <c r="Q643">
        <f t="shared" ref="Q643:Q706" si="251">MIN(J643,C643)*1000000*((90/250)+0.4)</f>
        <v>-986529916.10080016</v>
      </c>
      <c r="S643">
        <f t="shared" ref="S643:S706" si="252">MIN(C643,D643)*1000000*((325/250)+0.8)</f>
        <v>9361260.6569999997</v>
      </c>
      <c r="T643">
        <f t="shared" ref="T643:T706" si="253">MIN(F643,C643)*1000000*((280/250)+0.7)</f>
        <v>-466005433.12959999</v>
      </c>
      <c r="U643">
        <f t="shared" ref="U643:U706" si="254">MIN(G643,C643)*1000000*((227.5/250)+0.6)</f>
        <v>-779992954.85230017</v>
      </c>
      <c r="V643">
        <f t="shared" ref="V643:V706" si="255">MIN(H643,C643)*1000000*((142.5/250)+0.5)</f>
        <v>-831450251.89259994</v>
      </c>
      <c r="W643">
        <f t="shared" ref="W643:W706" si="256">MIN(I643,C643)*1000000*((142.5/250)+0.5)</f>
        <v>-1110190264.2540998</v>
      </c>
      <c r="X643">
        <f t="shared" ref="X643:X706" si="257">MIN(J643,C643)*1000000*( (117.5/250)+0.4)</f>
        <v>-1129317140.7996001</v>
      </c>
      <c r="Z643">
        <f t="shared" ref="Z643:Z699" si="258">MIN(C643,D643)*1000000*((370/250)+0.8)</f>
        <v>10163654.4276</v>
      </c>
      <c r="AA643">
        <f t="shared" ref="AA643:AA706" si="259">MIN(C643,F643)*1000000*((330/250)+0.7)</f>
        <v>-517214821.38560003</v>
      </c>
      <c r="AB643">
        <f t="shared" ref="AB643:AB706" si="260">MIN(C643,G643)*1000000*((260/250)+0.6)</f>
        <v>-847144666.19720018</v>
      </c>
      <c r="AC643">
        <f t="shared" ref="AC643:AC706" si="261">MIN(C643,H643)*1000000*((215/250)+0.5)</f>
        <v>-1056796581.8448</v>
      </c>
      <c r="AD643">
        <f t="shared" ref="AD643:AD706" si="262">MIN(C643,I643)*1000000*((180/250)+0.5)</f>
        <v>-1265824413.4486001</v>
      </c>
      <c r="AE643">
        <f t="shared" ref="AE643:AE706" si="263">MIN(C643,J643)*1000000*((145/250)+0.4)</f>
        <v>-1272104365.4984002</v>
      </c>
    </row>
    <row r="644" spans="1:31" x14ac:dyDescent="0.25">
      <c r="A644">
        <v>38.799259149999997</v>
      </c>
      <c r="B644">
        <v>118.8459986</v>
      </c>
      <c r="C644">
        <v>27.804981229999999</v>
      </c>
      <c r="D644">
        <v>2.4486129299999999</v>
      </c>
      <c r="E644" t="b">
        <f t="shared" si="240"/>
        <v>0</v>
      </c>
      <c r="F644">
        <f t="shared" si="241"/>
        <v>-136.57629322</v>
      </c>
      <c r="G644">
        <f t="shared" si="242"/>
        <v>-275.60119936999996</v>
      </c>
      <c r="H644">
        <f t="shared" si="243"/>
        <v>-414.62610551999995</v>
      </c>
      <c r="I644">
        <f t="shared" si="244"/>
        <v>-553.65101167</v>
      </c>
      <c r="J644">
        <f t="shared" si="245"/>
        <v>-692.67591782</v>
      </c>
      <c r="L644">
        <f t="shared" si="246"/>
        <v>4701336.8256000001</v>
      </c>
      <c r="M644">
        <f t="shared" si="247"/>
        <v>-221253595.01640001</v>
      </c>
      <c r="N644">
        <f t="shared" si="248"/>
        <v>-380329655.13059992</v>
      </c>
      <c r="O644">
        <f t="shared" si="249"/>
        <v>-422918627.6304</v>
      </c>
      <c r="P644">
        <f t="shared" si="250"/>
        <v>-509358930.73639995</v>
      </c>
      <c r="Q644">
        <f t="shared" si="251"/>
        <v>-526433697.54320008</v>
      </c>
      <c r="S644">
        <f t="shared" si="252"/>
        <v>5142087.1529999999</v>
      </c>
      <c r="T644">
        <f t="shared" si="253"/>
        <v>-248568853.6604</v>
      </c>
      <c r="U644">
        <f t="shared" si="254"/>
        <v>-416157811.04869992</v>
      </c>
      <c r="V644">
        <f t="shared" si="255"/>
        <v>-443649932.90639991</v>
      </c>
      <c r="W644">
        <f t="shared" si="256"/>
        <v>-592406582.48689985</v>
      </c>
      <c r="X644">
        <f t="shared" si="257"/>
        <v>-602628048.50340009</v>
      </c>
      <c r="Z644">
        <f t="shared" si="258"/>
        <v>5582837.4803999998</v>
      </c>
      <c r="AA644">
        <f t="shared" si="259"/>
        <v>-275884112.30440003</v>
      </c>
      <c r="AB644">
        <f t="shared" si="260"/>
        <v>-451985966.96679991</v>
      </c>
      <c r="AC644">
        <f t="shared" si="261"/>
        <v>-563891503.50719988</v>
      </c>
      <c r="AD644">
        <f t="shared" si="262"/>
        <v>-675454234.23739994</v>
      </c>
      <c r="AE644">
        <f t="shared" si="263"/>
        <v>-678822399.46360004</v>
      </c>
    </row>
    <row r="645" spans="1:31" x14ac:dyDescent="0.25">
      <c r="A645">
        <v>38.80031863</v>
      </c>
      <c r="B645">
        <v>117.4292588</v>
      </c>
      <c r="C645">
        <v>52.10093689</v>
      </c>
      <c r="D645">
        <v>5.4357999999999997E-2</v>
      </c>
      <c r="E645" t="b">
        <f t="shared" si="240"/>
        <v>0</v>
      </c>
      <c r="F645">
        <f t="shared" si="241"/>
        <v>-260.45032645000003</v>
      </c>
      <c r="G645">
        <f t="shared" si="242"/>
        <v>-520.95501090000005</v>
      </c>
      <c r="H645">
        <f t="shared" si="243"/>
        <v>-781.45969535000006</v>
      </c>
      <c r="I645">
        <f t="shared" si="244"/>
        <v>-1041.9643798</v>
      </c>
      <c r="J645">
        <f t="shared" si="245"/>
        <v>-1302.46906425</v>
      </c>
      <c r="L645">
        <f t="shared" si="246"/>
        <v>104367.36000000002</v>
      </c>
      <c r="M645">
        <f t="shared" si="247"/>
        <v>-421929528.8490001</v>
      </c>
      <c r="N645">
        <f t="shared" si="248"/>
        <v>-718917915.04199994</v>
      </c>
      <c r="O645">
        <f t="shared" si="249"/>
        <v>-797088889.25700009</v>
      </c>
      <c r="P645">
        <f t="shared" si="250"/>
        <v>-958607229.41599989</v>
      </c>
      <c r="Q645">
        <f t="shared" si="251"/>
        <v>-989876488.83000004</v>
      </c>
      <c r="S645">
        <f t="shared" si="252"/>
        <v>114151.8</v>
      </c>
      <c r="T645">
        <f t="shared" si="253"/>
        <v>-474019594.13900012</v>
      </c>
      <c r="U645">
        <f t="shared" si="254"/>
        <v>-786642066.45900011</v>
      </c>
      <c r="V645">
        <f t="shared" si="255"/>
        <v>-836161874.02449989</v>
      </c>
      <c r="W645">
        <f t="shared" si="256"/>
        <v>-1114901886.3859997</v>
      </c>
      <c r="X645">
        <f t="shared" si="257"/>
        <v>-1133148085.8975</v>
      </c>
      <c r="Z645">
        <f t="shared" si="258"/>
        <v>123936.24000000002</v>
      </c>
      <c r="AA645">
        <f t="shared" si="259"/>
        <v>-526109659.42900008</v>
      </c>
      <c r="AB645">
        <f t="shared" si="260"/>
        <v>-854366217.87600017</v>
      </c>
      <c r="AC645">
        <f t="shared" si="261"/>
        <v>-1062785185.6759999</v>
      </c>
      <c r="AD645">
        <f t="shared" si="262"/>
        <v>-1271196543.3559999</v>
      </c>
      <c r="AE645">
        <f t="shared" si="263"/>
        <v>-1276419682.9649999</v>
      </c>
    </row>
    <row r="646" spans="1:31" x14ac:dyDescent="0.25">
      <c r="A646">
        <v>38.824553950000002</v>
      </c>
      <c r="B646">
        <v>118.1412953</v>
      </c>
      <c r="C646">
        <v>26.204454420000001</v>
      </c>
      <c r="D646">
        <v>7.0784E-2</v>
      </c>
      <c r="E646" t="b">
        <f t="shared" si="240"/>
        <v>0</v>
      </c>
      <c r="F646">
        <f t="shared" si="241"/>
        <v>-130.95148810000001</v>
      </c>
      <c r="G646">
        <f t="shared" si="242"/>
        <v>-261.97376020000002</v>
      </c>
      <c r="H646">
        <f t="shared" si="243"/>
        <v>-392.99603230000002</v>
      </c>
      <c r="I646">
        <f t="shared" si="244"/>
        <v>-524.01830440000003</v>
      </c>
      <c r="J646">
        <f t="shared" si="245"/>
        <v>-655.04057650000004</v>
      </c>
      <c r="L646">
        <f t="shared" si="246"/>
        <v>135905.28</v>
      </c>
      <c r="M646">
        <f t="shared" si="247"/>
        <v>-212141410.72200003</v>
      </c>
      <c r="N646">
        <f t="shared" si="248"/>
        <v>-361523789.07599998</v>
      </c>
      <c r="O646">
        <f t="shared" si="249"/>
        <v>-400855952.94600004</v>
      </c>
      <c r="P646">
        <f t="shared" si="250"/>
        <v>-482096840.04799998</v>
      </c>
      <c r="Q646">
        <f t="shared" si="251"/>
        <v>-497830838.13999999</v>
      </c>
      <c r="S646">
        <f t="shared" si="252"/>
        <v>148646.39999999999</v>
      </c>
      <c r="T646">
        <f t="shared" si="253"/>
        <v>-238331708.34200004</v>
      </c>
      <c r="U646">
        <f t="shared" si="254"/>
        <v>-395580377.90200001</v>
      </c>
      <c r="V646">
        <f t="shared" si="255"/>
        <v>-420505754.56099993</v>
      </c>
      <c r="W646">
        <f t="shared" si="256"/>
        <v>-560699585.70799994</v>
      </c>
      <c r="X646">
        <f t="shared" si="257"/>
        <v>-569885301.55499995</v>
      </c>
      <c r="Z646">
        <f t="shared" si="258"/>
        <v>161387.52000000002</v>
      </c>
      <c r="AA646">
        <f t="shared" si="259"/>
        <v>-264522005.96200001</v>
      </c>
      <c r="AB646">
        <f t="shared" si="260"/>
        <v>-429636966.72800004</v>
      </c>
      <c r="AC646">
        <f t="shared" si="261"/>
        <v>-534474603.92799997</v>
      </c>
      <c r="AD646">
        <f t="shared" si="262"/>
        <v>-639302331.36800003</v>
      </c>
      <c r="AE646">
        <f t="shared" si="263"/>
        <v>-641939764.97000003</v>
      </c>
    </row>
    <row r="647" spans="1:31" x14ac:dyDescent="0.25">
      <c r="A647">
        <v>38.893009030000002</v>
      </c>
      <c r="B647">
        <v>116.38093979999999</v>
      </c>
      <c r="C647">
        <v>53.31973267</v>
      </c>
      <c r="D647">
        <v>1.9398230299999999</v>
      </c>
      <c r="E647" t="b">
        <f t="shared" si="240"/>
        <v>0</v>
      </c>
      <c r="F647">
        <f t="shared" si="241"/>
        <v>-264.65884031999997</v>
      </c>
      <c r="G647">
        <f t="shared" si="242"/>
        <v>-531.25750367000001</v>
      </c>
      <c r="H647">
        <f t="shared" si="243"/>
        <v>-797.85616702000004</v>
      </c>
      <c r="I647">
        <f t="shared" si="244"/>
        <v>-1064.4548303699999</v>
      </c>
      <c r="J647">
        <f t="shared" si="245"/>
        <v>-1331.05349372</v>
      </c>
      <c r="L647">
        <f t="shared" si="246"/>
        <v>3724460.2176000001</v>
      </c>
      <c r="M647">
        <f t="shared" si="247"/>
        <v>-428747321.31839997</v>
      </c>
      <c r="N647">
        <f t="shared" si="248"/>
        <v>-733135355.06459999</v>
      </c>
      <c r="O647">
        <f t="shared" si="249"/>
        <v>-813813290.36040008</v>
      </c>
      <c r="P647">
        <f t="shared" si="250"/>
        <v>-979298443.94039977</v>
      </c>
      <c r="Q647">
        <f t="shared" si="251"/>
        <v>-1011600655.2272</v>
      </c>
      <c r="S647">
        <f t="shared" si="252"/>
        <v>4073628.3629999999</v>
      </c>
      <c r="T647">
        <f t="shared" si="253"/>
        <v>-481679089.38239998</v>
      </c>
      <c r="U647">
        <f t="shared" si="254"/>
        <v>-802198830.54170001</v>
      </c>
      <c r="V647">
        <f t="shared" si="255"/>
        <v>-853706098.71140003</v>
      </c>
      <c r="W647">
        <f t="shared" si="256"/>
        <v>-1138966668.4958997</v>
      </c>
      <c r="X647">
        <f t="shared" si="257"/>
        <v>-1158016539.5364001</v>
      </c>
      <c r="Z647">
        <f t="shared" si="258"/>
        <v>4422796.5083999997</v>
      </c>
      <c r="AA647">
        <f t="shared" si="259"/>
        <v>-534610857.44639993</v>
      </c>
      <c r="AB647">
        <f t="shared" si="260"/>
        <v>-871262306.01880014</v>
      </c>
      <c r="AC647">
        <f t="shared" si="261"/>
        <v>-1085084387.1472001</v>
      </c>
      <c r="AD647">
        <f t="shared" si="262"/>
        <v>-1298634893.0513999</v>
      </c>
      <c r="AE647">
        <f t="shared" si="263"/>
        <v>-1304432423.8455999</v>
      </c>
    </row>
    <row r="648" spans="1:31" x14ac:dyDescent="0.25">
      <c r="A648">
        <v>38.929464469999999</v>
      </c>
      <c r="B648">
        <v>118.92743489999999</v>
      </c>
      <c r="C648">
        <v>49.800571439999999</v>
      </c>
      <c r="D648">
        <v>2.4486129299999999</v>
      </c>
      <c r="E648" t="b">
        <f t="shared" si="240"/>
        <v>0</v>
      </c>
      <c r="F648">
        <f t="shared" si="241"/>
        <v>-246.55424427</v>
      </c>
      <c r="G648">
        <f t="shared" si="242"/>
        <v>-495.55710146999996</v>
      </c>
      <c r="H648">
        <f t="shared" si="243"/>
        <v>-744.55995867000001</v>
      </c>
      <c r="I648">
        <f t="shared" si="244"/>
        <v>-993.56281587000001</v>
      </c>
      <c r="J648">
        <f t="shared" si="245"/>
        <v>-1242.56567307</v>
      </c>
      <c r="L648">
        <f t="shared" si="246"/>
        <v>4701336.8256000001</v>
      </c>
      <c r="M648">
        <f t="shared" si="247"/>
        <v>-399417875.71740001</v>
      </c>
      <c r="N648">
        <f t="shared" si="248"/>
        <v>-683868800.02859986</v>
      </c>
      <c r="O648">
        <f t="shared" si="249"/>
        <v>-759451157.8434</v>
      </c>
      <c r="P648">
        <f t="shared" si="250"/>
        <v>-914077790.60039997</v>
      </c>
      <c r="Q648">
        <f t="shared" si="251"/>
        <v>-944349911.53319991</v>
      </c>
      <c r="S648">
        <f t="shared" si="252"/>
        <v>5142087.1529999999</v>
      </c>
      <c r="T648">
        <f t="shared" si="253"/>
        <v>-448728724.57140005</v>
      </c>
      <c r="U648">
        <f t="shared" si="254"/>
        <v>-748291223.21969998</v>
      </c>
      <c r="V648">
        <f t="shared" si="255"/>
        <v>-796679155.77689981</v>
      </c>
      <c r="W648">
        <f t="shared" si="256"/>
        <v>-1063112212.9808998</v>
      </c>
      <c r="X648">
        <f t="shared" si="257"/>
        <v>-1081032135.5709</v>
      </c>
      <c r="Z648">
        <f t="shared" si="258"/>
        <v>5582837.4803999998</v>
      </c>
      <c r="AA648">
        <f t="shared" si="259"/>
        <v>-498039573.42540002</v>
      </c>
      <c r="AB648">
        <f t="shared" si="260"/>
        <v>-812713646.41079998</v>
      </c>
      <c r="AC648">
        <f t="shared" si="261"/>
        <v>-1012601543.7911998</v>
      </c>
      <c r="AD648">
        <f t="shared" si="262"/>
        <v>-1212146635.3613999</v>
      </c>
      <c r="AE648">
        <f t="shared" si="263"/>
        <v>-1217714359.6085999</v>
      </c>
    </row>
    <row r="649" spans="1:31" x14ac:dyDescent="0.25">
      <c r="A649">
        <v>38.937791199999999</v>
      </c>
      <c r="B649">
        <v>118.3961884</v>
      </c>
      <c r="C649">
        <v>36.944892879999998</v>
      </c>
      <c r="D649">
        <v>7.8355607999999997</v>
      </c>
      <c r="E649" t="b">
        <f t="shared" si="240"/>
        <v>0</v>
      </c>
      <c r="F649">
        <f t="shared" si="241"/>
        <v>-176.88890359999999</v>
      </c>
      <c r="G649">
        <f t="shared" si="242"/>
        <v>-361.61336799999998</v>
      </c>
      <c r="H649">
        <f t="shared" si="243"/>
        <v>-546.33783239999991</v>
      </c>
      <c r="I649">
        <f t="shared" si="244"/>
        <v>-731.0622967999999</v>
      </c>
      <c r="J649">
        <f t="shared" si="245"/>
        <v>-915.78676119999989</v>
      </c>
      <c r="L649">
        <f t="shared" si="246"/>
        <v>15044276.736000001</v>
      </c>
      <c r="M649">
        <f t="shared" si="247"/>
        <v>-286560023.83200002</v>
      </c>
      <c r="N649">
        <f t="shared" si="248"/>
        <v>-499026447.83999997</v>
      </c>
      <c r="O649">
        <f t="shared" si="249"/>
        <v>-557264589.04799986</v>
      </c>
      <c r="P649">
        <f t="shared" si="250"/>
        <v>-672577313.05599988</v>
      </c>
      <c r="Q649">
        <f t="shared" si="251"/>
        <v>-695997938.51199996</v>
      </c>
      <c r="S649">
        <f t="shared" si="252"/>
        <v>16454677.68</v>
      </c>
      <c r="T649">
        <f t="shared" si="253"/>
        <v>-321937804.55199999</v>
      </c>
      <c r="U649">
        <f t="shared" si="254"/>
        <v>-546036185.67999995</v>
      </c>
      <c r="V649">
        <f t="shared" si="255"/>
        <v>-584581480.66799974</v>
      </c>
      <c r="W649">
        <f t="shared" si="256"/>
        <v>-782236657.57599986</v>
      </c>
      <c r="X649">
        <f t="shared" si="257"/>
        <v>-796734482.24399996</v>
      </c>
      <c r="Z649">
        <f t="shared" si="258"/>
        <v>17865078.624000002</v>
      </c>
      <c r="AA649">
        <f t="shared" si="259"/>
        <v>-357315585.27200001</v>
      </c>
      <c r="AB649">
        <f t="shared" si="260"/>
        <v>-593045923.5200001</v>
      </c>
      <c r="AC649">
        <f t="shared" si="261"/>
        <v>-743019452.06399977</v>
      </c>
      <c r="AD649">
        <f t="shared" si="262"/>
        <v>-891896002.09599996</v>
      </c>
      <c r="AE649">
        <f t="shared" si="263"/>
        <v>-897471025.97599995</v>
      </c>
    </row>
    <row r="650" spans="1:31" x14ac:dyDescent="0.25">
      <c r="A650">
        <v>38.947615810000002</v>
      </c>
      <c r="B650">
        <v>117.3334243</v>
      </c>
      <c r="C650">
        <v>26.05046844</v>
      </c>
      <c r="D650">
        <v>1.32910097</v>
      </c>
      <c r="E650" t="b">
        <f t="shared" si="240"/>
        <v>0</v>
      </c>
      <c r="F650">
        <f t="shared" si="241"/>
        <v>-128.92324122999997</v>
      </c>
      <c r="G650">
        <f t="shared" si="242"/>
        <v>-259.17558342999996</v>
      </c>
      <c r="H650">
        <f t="shared" si="243"/>
        <v>-389.42792563</v>
      </c>
      <c r="I650">
        <f t="shared" si="244"/>
        <v>-519.68026782999993</v>
      </c>
      <c r="J650">
        <f t="shared" si="245"/>
        <v>-649.93261002999998</v>
      </c>
      <c r="L650">
        <f t="shared" si="246"/>
        <v>2551873.8624</v>
      </c>
      <c r="M650">
        <f t="shared" si="247"/>
        <v>-208855650.79259998</v>
      </c>
      <c r="N650">
        <f t="shared" si="248"/>
        <v>-357662305.1333999</v>
      </c>
      <c r="O650">
        <f t="shared" si="249"/>
        <v>-397216484.1426</v>
      </c>
      <c r="P650">
        <f t="shared" si="250"/>
        <v>-478105846.40359992</v>
      </c>
      <c r="Q650">
        <f t="shared" si="251"/>
        <v>-493948783.62279999</v>
      </c>
      <c r="S650">
        <f t="shared" si="252"/>
        <v>2791112.037</v>
      </c>
      <c r="T650">
        <f t="shared" si="253"/>
        <v>-234640299.03859997</v>
      </c>
      <c r="U650">
        <f t="shared" si="254"/>
        <v>-391355130.9792999</v>
      </c>
      <c r="V650">
        <f t="shared" si="255"/>
        <v>-416687880.42409992</v>
      </c>
      <c r="W650">
        <f t="shared" si="256"/>
        <v>-556057886.57809985</v>
      </c>
      <c r="X650">
        <f t="shared" si="257"/>
        <v>-565441370.72609997</v>
      </c>
      <c r="Z650">
        <f t="shared" si="258"/>
        <v>3030350.2116</v>
      </c>
      <c r="AA650">
        <f t="shared" si="259"/>
        <v>-260424947.28459996</v>
      </c>
      <c r="AB650">
        <f t="shared" si="260"/>
        <v>-425047956.82519996</v>
      </c>
      <c r="AC650">
        <f t="shared" si="261"/>
        <v>-529621978.85679996</v>
      </c>
      <c r="AD650">
        <f t="shared" si="262"/>
        <v>-634009926.75259984</v>
      </c>
      <c r="AE650">
        <f t="shared" si="263"/>
        <v>-636933957.82939994</v>
      </c>
    </row>
    <row r="651" spans="1:31" x14ac:dyDescent="0.25">
      <c r="A651">
        <v>38.955216149999998</v>
      </c>
      <c r="B651">
        <v>118.22154380000001</v>
      </c>
      <c r="C651">
        <v>43.190040590000002</v>
      </c>
      <c r="D651">
        <v>0.77865899000000005</v>
      </c>
      <c r="E651" t="b">
        <f t="shared" si="240"/>
        <v>0</v>
      </c>
      <c r="F651">
        <f t="shared" si="241"/>
        <v>-215.17154396000001</v>
      </c>
      <c r="G651">
        <f t="shared" si="242"/>
        <v>-431.12174691000001</v>
      </c>
      <c r="H651">
        <f t="shared" si="243"/>
        <v>-647.07194986000002</v>
      </c>
      <c r="I651">
        <f t="shared" si="244"/>
        <v>-863.02215280999997</v>
      </c>
      <c r="J651">
        <f t="shared" si="245"/>
        <v>-1078.97235576</v>
      </c>
      <c r="L651">
        <f t="shared" si="246"/>
        <v>1495025.2608000003</v>
      </c>
      <c r="M651">
        <f t="shared" si="247"/>
        <v>-348577901.21520001</v>
      </c>
      <c r="N651">
        <f t="shared" si="248"/>
        <v>-594948010.73580003</v>
      </c>
      <c r="O651">
        <f t="shared" si="249"/>
        <v>-660013388.85720003</v>
      </c>
      <c r="P651">
        <f t="shared" si="250"/>
        <v>-793980380.58519983</v>
      </c>
      <c r="Q651">
        <f t="shared" si="251"/>
        <v>-820018990.37759995</v>
      </c>
      <c r="S651">
        <f t="shared" si="252"/>
        <v>1635183.8790000002</v>
      </c>
      <c r="T651">
        <f t="shared" si="253"/>
        <v>-391612210.0072</v>
      </c>
      <c r="U651">
        <f t="shared" si="254"/>
        <v>-650993837.83410001</v>
      </c>
      <c r="V651">
        <f t="shared" si="255"/>
        <v>-692366986.35019994</v>
      </c>
      <c r="W651">
        <f t="shared" si="256"/>
        <v>-923433703.5066998</v>
      </c>
      <c r="X651">
        <f t="shared" si="257"/>
        <v>-938705949.51119995</v>
      </c>
      <c r="Z651">
        <f t="shared" si="258"/>
        <v>1775342.4972000003</v>
      </c>
      <c r="AA651">
        <f t="shared" si="259"/>
        <v>-434646518.7992</v>
      </c>
      <c r="AB651">
        <f t="shared" si="260"/>
        <v>-707039664.93240011</v>
      </c>
      <c r="AC651">
        <f t="shared" si="261"/>
        <v>-880017851.8096</v>
      </c>
      <c r="AD651">
        <f t="shared" si="262"/>
        <v>-1052887026.4281999</v>
      </c>
      <c r="AE651">
        <f t="shared" si="263"/>
        <v>-1057392908.6447999</v>
      </c>
    </row>
    <row r="652" spans="1:31" x14ac:dyDescent="0.25">
      <c r="A652">
        <v>38.96078653</v>
      </c>
      <c r="B652">
        <v>120.71190559999999</v>
      </c>
      <c r="C652">
        <v>0</v>
      </c>
      <c r="D652">
        <v>8.9212074300000008</v>
      </c>
      <c r="E652" t="b">
        <f t="shared" si="240"/>
        <v>1</v>
      </c>
      <c r="F652">
        <f t="shared" si="241"/>
        <v>8.9212074300000008</v>
      </c>
      <c r="G652">
        <f t="shared" si="242"/>
        <v>8.9212074300000008</v>
      </c>
      <c r="H652">
        <f t="shared" si="243"/>
        <v>8.9212074300000008</v>
      </c>
      <c r="I652">
        <f t="shared" si="244"/>
        <v>8.9212074300000008</v>
      </c>
      <c r="J652">
        <f t="shared" si="245"/>
        <v>8.9212074300000008</v>
      </c>
      <c r="L652">
        <f t="shared" si="246"/>
        <v>0</v>
      </c>
      <c r="M652">
        <f t="shared" si="247"/>
        <v>0</v>
      </c>
      <c r="N652">
        <f t="shared" si="248"/>
        <v>0</v>
      </c>
      <c r="O652">
        <f t="shared" si="249"/>
        <v>0</v>
      </c>
      <c r="P652">
        <f t="shared" si="250"/>
        <v>0</v>
      </c>
      <c r="Q652">
        <f t="shared" si="251"/>
        <v>0</v>
      </c>
      <c r="S652">
        <f t="shared" si="252"/>
        <v>0</v>
      </c>
      <c r="T652">
        <f t="shared" si="253"/>
        <v>0</v>
      </c>
      <c r="U652">
        <f t="shared" si="254"/>
        <v>0</v>
      </c>
      <c r="V652">
        <f t="shared" si="255"/>
        <v>0</v>
      </c>
      <c r="W652">
        <f t="shared" si="256"/>
        <v>0</v>
      </c>
      <c r="X652">
        <f t="shared" si="257"/>
        <v>0</v>
      </c>
      <c r="Z652">
        <f t="shared" si="258"/>
        <v>0</v>
      </c>
      <c r="AA652">
        <f t="shared" si="259"/>
        <v>0</v>
      </c>
      <c r="AB652">
        <f t="shared" si="260"/>
        <v>0</v>
      </c>
      <c r="AC652">
        <f t="shared" si="261"/>
        <v>0</v>
      </c>
      <c r="AD652">
        <f t="shared" si="262"/>
        <v>0</v>
      </c>
      <c r="AE652">
        <f t="shared" si="263"/>
        <v>0</v>
      </c>
    </row>
    <row r="653" spans="1:31" x14ac:dyDescent="0.25">
      <c r="A653">
        <v>38.966022170000002</v>
      </c>
      <c r="B653">
        <v>117.6317871</v>
      </c>
      <c r="C653">
        <v>52.10093689</v>
      </c>
      <c r="D653">
        <v>3.1421949900000001</v>
      </c>
      <c r="E653" t="b">
        <f t="shared" si="240"/>
        <v>0</v>
      </c>
      <c r="F653">
        <f t="shared" si="241"/>
        <v>-257.36248946000001</v>
      </c>
      <c r="G653">
        <f t="shared" si="242"/>
        <v>-517.86717391000002</v>
      </c>
      <c r="H653">
        <f t="shared" si="243"/>
        <v>-778.37185836000003</v>
      </c>
      <c r="I653">
        <f t="shared" si="244"/>
        <v>-1038.87654281</v>
      </c>
      <c r="J653">
        <f t="shared" si="245"/>
        <v>-1299.3812272600001</v>
      </c>
      <c r="L653">
        <f t="shared" si="246"/>
        <v>6033014.3808000013</v>
      </c>
      <c r="M653">
        <f t="shared" si="247"/>
        <v>-416927232.92520005</v>
      </c>
      <c r="N653">
        <f t="shared" si="248"/>
        <v>-714656699.99580002</v>
      </c>
      <c r="O653">
        <f t="shared" si="249"/>
        <v>-793939295.52719998</v>
      </c>
      <c r="P653">
        <f t="shared" si="250"/>
        <v>-955766419.38520002</v>
      </c>
      <c r="Q653">
        <f t="shared" si="251"/>
        <v>-987529732.71759999</v>
      </c>
      <c r="S653">
        <f t="shared" si="252"/>
        <v>6598609.4790000003</v>
      </c>
      <c r="T653">
        <f t="shared" si="253"/>
        <v>-468399730.81720001</v>
      </c>
      <c r="U653">
        <f t="shared" si="254"/>
        <v>-781979432.60409999</v>
      </c>
      <c r="V653">
        <f t="shared" si="255"/>
        <v>-832857888.44519985</v>
      </c>
      <c r="W653">
        <f t="shared" si="256"/>
        <v>-1111597900.8067</v>
      </c>
      <c r="X653">
        <f t="shared" si="257"/>
        <v>-1130461667.7161999</v>
      </c>
      <c r="Z653">
        <f t="shared" si="258"/>
        <v>7164204.5772000011</v>
      </c>
      <c r="AA653">
        <f t="shared" si="259"/>
        <v>-519872228.70920002</v>
      </c>
      <c r="AB653">
        <f t="shared" si="260"/>
        <v>-849302165.21240008</v>
      </c>
      <c r="AC653">
        <f t="shared" si="261"/>
        <v>-1058585727.3695999</v>
      </c>
      <c r="AD653">
        <f t="shared" si="262"/>
        <v>-1267429382.2282</v>
      </c>
      <c r="AE653">
        <f t="shared" si="263"/>
        <v>-1273393602.7147999</v>
      </c>
    </row>
    <row r="654" spans="1:31" x14ac:dyDescent="0.25">
      <c r="A654">
        <v>38.968770470000003</v>
      </c>
      <c r="B654">
        <v>118.9934301</v>
      </c>
      <c r="C654">
        <v>26.92297173</v>
      </c>
      <c r="D654">
        <v>24.478782649999999</v>
      </c>
      <c r="E654" t="b">
        <f t="shared" si="240"/>
        <v>0</v>
      </c>
      <c r="F654">
        <f t="shared" si="241"/>
        <v>-110.136076</v>
      </c>
      <c r="G654">
        <f t="shared" si="242"/>
        <v>-244.75093465</v>
      </c>
      <c r="H654">
        <f t="shared" si="243"/>
        <v>-379.36579330000006</v>
      </c>
      <c r="I654">
        <f t="shared" si="244"/>
        <v>-513.98065195000004</v>
      </c>
      <c r="J654">
        <f t="shared" si="245"/>
        <v>-648.59551060000001</v>
      </c>
      <c r="L654">
        <f t="shared" si="246"/>
        <v>46999262.688000001</v>
      </c>
      <c r="M654">
        <f t="shared" si="247"/>
        <v>-178420443.12</v>
      </c>
      <c r="N654">
        <f t="shared" si="248"/>
        <v>-337756289.81699997</v>
      </c>
      <c r="O654">
        <f t="shared" si="249"/>
        <v>-386953109.16600007</v>
      </c>
      <c r="P654">
        <f t="shared" si="250"/>
        <v>-472862199.79400003</v>
      </c>
      <c r="Q654">
        <f t="shared" si="251"/>
        <v>-492932588.05599999</v>
      </c>
      <c r="S654">
        <f t="shared" si="252"/>
        <v>51405443.564999998</v>
      </c>
      <c r="T654">
        <f t="shared" si="253"/>
        <v>-200447658.31999999</v>
      </c>
      <c r="U654">
        <f t="shared" si="254"/>
        <v>-369573911.3215</v>
      </c>
      <c r="V654">
        <f t="shared" si="255"/>
        <v>-405921398.83100003</v>
      </c>
      <c r="W654">
        <f t="shared" si="256"/>
        <v>-549959297.58649993</v>
      </c>
      <c r="X654">
        <f t="shared" si="257"/>
        <v>-564278094.222</v>
      </c>
      <c r="Z654">
        <f t="shared" si="258"/>
        <v>55811624.442000002</v>
      </c>
      <c r="AA654">
        <f t="shared" si="259"/>
        <v>-222474873.52000001</v>
      </c>
      <c r="AB654">
        <f t="shared" si="260"/>
        <v>-401391532.82600003</v>
      </c>
      <c r="AC654">
        <f t="shared" si="261"/>
        <v>-515937478.88800007</v>
      </c>
      <c r="AD654">
        <f t="shared" si="262"/>
        <v>-627056395.37900007</v>
      </c>
      <c r="AE654">
        <f t="shared" si="263"/>
        <v>-635623600.38800001</v>
      </c>
    </row>
    <row r="655" spans="1:31" x14ac:dyDescent="0.25">
      <c r="A655">
        <v>38.97058784</v>
      </c>
      <c r="B655">
        <v>119.40853850000001</v>
      </c>
      <c r="C655">
        <v>27.937288280000001</v>
      </c>
      <c r="D655">
        <v>1.4247449599999999</v>
      </c>
      <c r="E655" t="b">
        <f t="shared" si="240"/>
        <v>0</v>
      </c>
      <c r="F655">
        <f t="shared" si="241"/>
        <v>-138.26169644000001</v>
      </c>
      <c r="G655">
        <f t="shared" si="242"/>
        <v>-277.94813784000002</v>
      </c>
      <c r="H655">
        <f t="shared" si="243"/>
        <v>-417.63457923999999</v>
      </c>
      <c r="I655">
        <f t="shared" si="244"/>
        <v>-557.32102064000003</v>
      </c>
      <c r="J655">
        <f t="shared" si="245"/>
        <v>-697.00746204000006</v>
      </c>
      <c r="L655">
        <f t="shared" si="246"/>
        <v>2735510.3232</v>
      </c>
      <c r="M655">
        <f t="shared" si="247"/>
        <v>-223983948.23280001</v>
      </c>
      <c r="N655">
        <f t="shared" si="248"/>
        <v>-383568430.21920002</v>
      </c>
      <c r="O655">
        <f t="shared" si="249"/>
        <v>-425987270.82480001</v>
      </c>
      <c r="P655">
        <f t="shared" si="250"/>
        <v>-512735338.98879993</v>
      </c>
      <c r="Q655">
        <f t="shared" si="251"/>
        <v>-529725671.15040004</v>
      </c>
      <c r="S655">
        <f t="shared" si="252"/>
        <v>2991964.4160000002</v>
      </c>
      <c r="T655">
        <f t="shared" si="253"/>
        <v>-251636287.52079999</v>
      </c>
      <c r="U655">
        <f t="shared" si="254"/>
        <v>-419701688.13840008</v>
      </c>
      <c r="V655">
        <f t="shared" si="255"/>
        <v>-446868999.78679997</v>
      </c>
      <c r="W655">
        <f t="shared" si="256"/>
        <v>-596333492.08479989</v>
      </c>
      <c r="X655">
        <f t="shared" si="257"/>
        <v>-606396491.97480011</v>
      </c>
      <c r="Z655">
        <f t="shared" si="258"/>
        <v>3248418.5088000004</v>
      </c>
      <c r="AA655">
        <f t="shared" si="259"/>
        <v>-279288626.80879998</v>
      </c>
      <c r="AB655">
        <f t="shared" si="260"/>
        <v>-455834946.05760008</v>
      </c>
      <c r="AC655">
        <f t="shared" si="261"/>
        <v>-567983027.76639998</v>
      </c>
      <c r="AD655">
        <f t="shared" si="262"/>
        <v>-679931645.18079996</v>
      </c>
      <c r="AE655">
        <f t="shared" si="263"/>
        <v>-683067312.79920006</v>
      </c>
    </row>
    <row r="656" spans="1:31" x14ac:dyDescent="0.25">
      <c r="A656">
        <v>38.971498750000002</v>
      </c>
      <c r="B656">
        <v>117.5735025</v>
      </c>
      <c r="C656">
        <v>52.10093689</v>
      </c>
      <c r="D656">
        <v>0.35450800999999998</v>
      </c>
      <c r="E656" t="b">
        <f t="shared" si="240"/>
        <v>0</v>
      </c>
      <c r="F656">
        <f t="shared" si="241"/>
        <v>-260.15017644</v>
      </c>
      <c r="G656">
        <f t="shared" si="242"/>
        <v>-520.65486089000001</v>
      </c>
      <c r="H656">
        <f t="shared" si="243"/>
        <v>-781.15954534000002</v>
      </c>
      <c r="I656">
        <f t="shared" si="244"/>
        <v>-1041.66422979</v>
      </c>
      <c r="J656">
        <f t="shared" si="245"/>
        <v>-1302.16891424</v>
      </c>
      <c r="L656">
        <f t="shared" si="246"/>
        <v>680655.37920000008</v>
      </c>
      <c r="M656">
        <f t="shared" si="247"/>
        <v>-421443285.83280003</v>
      </c>
      <c r="N656">
        <f t="shared" si="248"/>
        <v>-718503708.02819991</v>
      </c>
      <c r="O656">
        <f t="shared" si="249"/>
        <v>-796782736.24680007</v>
      </c>
      <c r="P656">
        <f t="shared" si="250"/>
        <v>-958331091.40680003</v>
      </c>
      <c r="Q656">
        <f t="shared" si="251"/>
        <v>-989648374.82239997</v>
      </c>
      <c r="S656">
        <f t="shared" si="252"/>
        <v>744466.821</v>
      </c>
      <c r="T656">
        <f t="shared" si="253"/>
        <v>-473473321.12080002</v>
      </c>
      <c r="U656">
        <f t="shared" si="254"/>
        <v>-786188839.94389999</v>
      </c>
      <c r="V656">
        <f t="shared" si="255"/>
        <v>-835840713.51379991</v>
      </c>
      <c r="W656">
        <f t="shared" si="256"/>
        <v>-1114580725.8752999</v>
      </c>
      <c r="X656">
        <f t="shared" si="257"/>
        <v>-1132886955.3887999</v>
      </c>
      <c r="Z656">
        <f t="shared" si="258"/>
        <v>808278.26280000014</v>
      </c>
      <c r="AA656">
        <f t="shared" si="259"/>
        <v>-525503356.40880001</v>
      </c>
      <c r="AB656">
        <f t="shared" si="260"/>
        <v>-853873971.85960007</v>
      </c>
      <c r="AC656">
        <f t="shared" si="261"/>
        <v>-1062376981.6624</v>
      </c>
      <c r="AD656">
        <f t="shared" si="262"/>
        <v>-1270830360.3438001</v>
      </c>
      <c r="AE656">
        <f t="shared" si="263"/>
        <v>-1276125535.9552</v>
      </c>
    </row>
    <row r="657" spans="1:31" x14ac:dyDescent="0.25">
      <c r="A657">
        <v>38.976898089999999</v>
      </c>
      <c r="B657">
        <v>119.35038849999999</v>
      </c>
      <c r="C657">
        <v>23.124250409999998</v>
      </c>
      <c r="D657">
        <v>3.29338408</v>
      </c>
      <c r="E657" t="b">
        <f t="shared" si="240"/>
        <v>0</v>
      </c>
      <c r="F657">
        <f t="shared" si="241"/>
        <v>-112.32786797</v>
      </c>
      <c r="G657">
        <f t="shared" si="242"/>
        <v>-227.94912001999998</v>
      </c>
      <c r="H657">
        <f t="shared" si="243"/>
        <v>-343.57037206999996</v>
      </c>
      <c r="I657">
        <f t="shared" si="244"/>
        <v>-459.19162411999997</v>
      </c>
      <c r="J657">
        <f t="shared" si="245"/>
        <v>-574.81287616999998</v>
      </c>
      <c r="L657">
        <f t="shared" si="246"/>
        <v>6323297.433600001</v>
      </c>
      <c r="M657">
        <f t="shared" si="247"/>
        <v>-181971146.11140001</v>
      </c>
      <c r="N657">
        <f t="shared" si="248"/>
        <v>-314569785.62759995</v>
      </c>
      <c r="O657">
        <f t="shared" si="249"/>
        <v>-350441779.51139992</v>
      </c>
      <c r="P657">
        <f t="shared" si="250"/>
        <v>-422456294.19039994</v>
      </c>
      <c r="Q657">
        <f t="shared" si="251"/>
        <v>-436857785.88919997</v>
      </c>
      <c r="S657">
        <f t="shared" si="252"/>
        <v>6916106.5680000009</v>
      </c>
      <c r="T657">
        <f t="shared" si="253"/>
        <v>-204436719.70539999</v>
      </c>
      <c r="U657">
        <f t="shared" si="254"/>
        <v>-344203171.23019999</v>
      </c>
      <c r="V657">
        <f t="shared" si="255"/>
        <v>-367620298.11489987</v>
      </c>
      <c r="W657">
        <f t="shared" si="256"/>
        <v>-491335037.80839986</v>
      </c>
      <c r="X657">
        <f t="shared" si="257"/>
        <v>-500087202.26789993</v>
      </c>
      <c r="Z657">
        <f t="shared" si="258"/>
        <v>7508915.7024000008</v>
      </c>
      <c r="AA657">
        <f t="shared" si="259"/>
        <v>-226902293.2994</v>
      </c>
      <c r="AB657">
        <f t="shared" si="260"/>
        <v>-373836556.83279997</v>
      </c>
      <c r="AC657">
        <f t="shared" si="261"/>
        <v>-467255706.01519984</v>
      </c>
      <c r="AD657">
        <f t="shared" si="262"/>
        <v>-560213781.42639995</v>
      </c>
      <c r="AE657">
        <f t="shared" si="263"/>
        <v>-563316618.64659989</v>
      </c>
    </row>
    <row r="658" spans="1:31" x14ac:dyDescent="0.25">
      <c r="A658">
        <v>38.983181049999999</v>
      </c>
      <c r="B658">
        <v>119.2922288</v>
      </c>
      <c r="C658">
        <v>20.09473419</v>
      </c>
      <c r="D658">
        <v>3.028934</v>
      </c>
      <c r="E658" t="b">
        <f t="shared" si="240"/>
        <v>0</v>
      </c>
      <c r="F658">
        <f t="shared" si="241"/>
        <v>-97.444736949999992</v>
      </c>
      <c r="G658">
        <f t="shared" si="242"/>
        <v>-197.91840790000001</v>
      </c>
      <c r="H658">
        <f t="shared" si="243"/>
        <v>-298.39207885000002</v>
      </c>
      <c r="I658">
        <f t="shared" si="244"/>
        <v>-398.8657498</v>
      </c>
      <c r="J658">
        <f t="shared" si="245"/>
        <v>-499.33942075000004</v>
      </c>
      <c r="L658">
        <f t="shared" si="246"/>
        <v>5815553.2800000003</v>
      </c>
      <c r="M658">
        <f t="shared" si="247"/>
        <v>-157860473.859</v>
      </c>
      <c r="N658">
        <f t="shared" si="248"/>
        <v>-273127402.90200001</v>
      </c>
      <c r="O658">
        <f t="shared" si="249"/>
        <v>-304359920.42700005</v>
      </c>
      <c r="P658">
        <f t="shared" si="250"/>
        <v>-366956489.81599998</v>
      </c>
      <c r="Q658">
        <f t="shared" si="251"/>
        <v>-379497959.77000004</v>
      </c>
      <c r="S658">
        <f t="shared" si="252"/>
        <v>6360761.4000000004</v>
      </c>
      <c r="T658">
        <f t="shared" si="253"/>
        <v>-177349421.24899998</v>
      </c>
      <c r="U658">
        <f t="shared" si="254"/>
        <v>-298856795.92900002</v>
      </c>
      <c r="V658">
        <f t="shared" si="255"/>
        <v>-319279524.36949998</v>
      </c>
      <c r="W658">
        <f t="shared" si="256"/>
        <v>-426786352.28599995</v>
      </c>
      <c r="X658">
        <f t="shared" si="257"/>
        <v>-434425296.05250007</v>
      </c>
      <c r="Z658">
        <f t="shared" si="258"/>
        <v>6905969.5200000005</v>
      </c>
      <c r="AA658">
        <f t="shared" si="259"/>
        <v>-196838368.63899997</v>
      </c>
      <c r="AB658">
        <f t="shared" si="260"/>
        <v>-324586188.95600003</v>
      </c>
      <c r="AC658">
        <f t="shared" si="261"/>
        <v>-405813227.236</v>
      </c>
      <c r="AD658">
        <f t="shared" si="262"/>
        <v>-486616214.75599998</v>
      </c>
      <c r="AE658">
        <f t="shared" si="263"/>
        <v>-489352632.33500004</v>
      </c>
    </row>
    <row r="659" spans="1:31" x14ac:dyDescent="0.25">
      <c r="A659">
        <v>38.98399861</v>
      </c>
      <c r="B659">
        <v>119.7074188</v>
      </c>
      <c r="C659">
        <v>15.833525659999999</v>
      </c>
      <c r="D659">
        <v>4.8972258599999998</v>
      </c>
      <c r="E659" t="b">
        <f t="shared" si="240"/>
        <v>0</v>
      </c>
      <c r="F659">
        <f t="shared" si="241"/>
        <v>-74.270402439999984</v>
      </c>
      <c r="G659">
        <f t="shared" si="242"/>
        <v>-153.43803073999999</v>
      </c>
      <c r="H659">
        <f t="shared" si="243"/>
        <v>-232.60565904000001</v>
      </c>
      <c r="I659">
        <f t="shared" si="244"/>
        <v>-311.77328733999997</v>
      </c>
      <c r="J659">
        <f t="shared" si="245"/>
        <v>-390.94091564000001</v>
      </c>
      <c r="L659">
        <f t="shared" si="246"/>
        <v>9402673.6512000002</v>
      </c>
      <c r="M659">
        <f t="shared" si="247"/>
        <v>-120318051.95279998</v>
      </c>
      <c r="N659">
        <f t="shared" si="248"/>
        <v>-211744482.42119995</v>
      </c>
      <c r="O659">
        <f t="shared" si="249"/>
        <v>-237257772.22079998</v>
      </c>
      <c r="P659">
        <f t="shared" si="250"/>
        <v>-286831424.35279995</v>
      </c>
      <c r="Q659">
        <f t="shared" si="251"/>
        <v>-297115095.88639998</v>
      </c>
      <c r="S659">
        <f t="shared" si="252"/>
        <v>10284174.306</v>
      </c>
      <c r="T659">
        <f t="shared" si="253"/>
        <v>-135172132.44079998</v>
      </c>
      <c r="U659">
        <f t="shared" si="254"/>
        <v>-231691426.41739997</v>
      </c>
      <c r="V659">
        <f t="shared" si="255"/>
        <v>-248888055.17279994</v>
      </c>
      <c r="W659">
        <f t="shared" si="256"/>
        <v>-333597417.4537999</v>
      </c>
      <c r="X659">
        <f t="shared" si="257"/>
        <v>-340118596.60679996</v>
      </c>
      <c r="Z659">
        <f t="shared" si="258"/>
        <v>11165674.9608</v>
      </c>
      <c r="AA659">
        <f t="shared" si="259"/>
        <v>-150026212.92879996</v>
      </c>
      <c r="AB659">
        <f t="shared" si="260"/>
        <v>-251638370.4136</v>
      </c>
      <c r="AC659">
        <f t="shared" si="261"/>
        <v>-316343696.29439998</v>
      </c>
      <c r="AD659">
        <f t="shared" si="262"/>
        <v>-380363410.55479997</v>
      </c>
      <c r="AE659">
        <f t="shared" si="263"/>
        <v>-383122097.3272</v>
      </c>
    </row>
    <row r="660" spans="1:31" x14ac:dyDescent="0.25">
      <c r="A660">
        <v>39.000679900000002</v>
      </c>
      <c r="B660">
        <v>118.22893449999999</v>
      </c>
      <c r="C660">
        <v>81.806549070000003</v>
      </c>
      <c r="D660">
        <v>174.67424009999999</v>
      </c>
      <c r="E660" t="b">
        <f t="shared" si="240"/>
        <v>1</v>
      </c>
      <c r="F660">
        <f t="shared" si="241"/>
        <v>-234.35850525000004</v>
      </c>
      <c r="G660">
        <f t="shared" si="242"/>
        <v>-643.39125060000003</v>
      </c>
      <c r="H660">
        <f t="shared" si="243"/>
        <v>-1052.4239959500001</v>
      </c>
      <c r="I660">
        <f t="shared" si="244"/>
        <v>-1461.4567413000002</v>
      </c>
      <c r="J660">
        <f t="shared" si="245"/>
        <v>-1870.4894866500001</v>
      </c>
      <c r="L660">
        <f t="shared" si="246"/>
        <v>157068574.21440002</v>
      </c>
      <c r="M660">
        <f t="shared" si="247"/>
        <v>-379660778.50500005</v>
      </c>
      <c r="N660">
        <f t="shared" si="248"/>
        <v>-887879925.82799995</v>
      </c>
      <c r="O660">
        <f t="shared" si="249"/>
        <v>-1073472475.8690001</v>
      </c>
      <c r="P660">
        <f t="shared" si="250"/>
        <v>-1344540201.9960001</v>
      </c>
      <c r="Q660">
        <f t="shared" si="251"/>
        <v>-1421572009.8540001</v>
      </c>
      <c r="S660">
        <f t="shared" si="252"/>
        <v>171793753.04700002</v>
      </c>
      <c r="T660">
        <f t="shared" si="253"/>
        <v>-426532479.55500007</v>
      </c>
      <c r="U660">
        <f t="shared" si="254"/>
        <v>-971520788.40600002</v>
      </c>
      <c r="V660">
        <f t="shared" si="255"/>
        <v>-1126093675.6664999</v>
      </c>
      <c r="W660">
        <f t="shared" si="256"/>
        <v>-1563758713.191</v>
      </c>
      <c r="X660">
        <f t="shared" si="257"/>
        <v>-1627325853.3855002</v>
      </c>
      <c r="Z660">
        <f t="shared" si="258"/>
        <v>186518931.87960005</v>
      </c>
      <c r="AA660">
        <f t="shared" si="259"/>
        <v>-473404180.60500008</v>
      </c>
      <c r="AB660">
        <f t="shared" si="260"/>
        <v>-1055161650.9840001</v>
      </c>
      <c r="AC660">
        <f t="shared" si="261"/>
        <v>-1431296634.4919999</v>
      </c>
      <c r="AD660">
        <f t="shared" si="262"/>
        <v>-1782977224.3860002</v>
      </c>
      <c r="AE660">
        <f t="shared" si="263"/>
        <v>-1833079696.9170001</v>
      </c>
    </row>
    <row r="661" spans="1:31" x14ac:dyDescent="0.25">
      <c r="A661">
        <v>39.006436690000001</v>
      </c>
      <c r="B661">
        <v>118.1706674</v>
      </c>
      <c r="C661">
        <v>50.139499659999998</v>
      </c>
      <c r="D661">
        <v>1.95888996</v>
      </c>
      <c r="E661" t="b">
        <f t="shared" si="240"/>
        <v>0</v>
      </c>
      <c r="F661">
        <f t="shared" si="241"/>
        <v>-248.73860834000001</v>
      </c>
      <c r="G661">
        <f t="shared" si="242"/>
        <v>-499.43610663999999</v>
      </c>
      <c r="H661">
        <f t="shared" si="243"/>
        <v>-750.13360494000005</v>
      </c>
      <c r="I661">
        <f t="shared" si="244"/>
        <v>-1000.8311032400001</v>
      </c>
      <c r="J661">
        <f t="shared" si="245"/>
        <v>-1251.52860154</v>
      </c>
      <c r="L661">
        <f t="shared" si="246"/>
        <v>3761068.7232000004</v>
      </c>
      <c r="M661">
        <f t="shared" si="247"/>
        <v>-402956545.5108</v>
      </c>
      <c r="N661">
        <f t="shared" si="248"/>
        <v>-689221827.1631999</v>
      </c>
      <c r="O661">
        <f t="shared" si="249"/>
        <v>-765136277.03880012</v>
      </c>
      <c r="P661">
        <f t="shared" si="250"/>
        <v>-920764614.98079991</v>
      </c>
      <c r="Q661">
        <f t="shared" si="251"/>
        <v>-951161737.17040002</v>
      </c>
      <c r="S661">
        <f t="shared" si="252"/>
        <v>4113668.9160000002</v>
      </c>
      <c r="T661">
        <f t="shared" si="253"/>
        <v>-452704267.17880005</v>
      </c>
      <c r="U661">
        <f t="shared" si="254"/>
        <v>-754148521.02639997</v>
      </c>
      <c r="V661">
        <f t="shared" si="255"/>
        <v>-802642957.28579998</v>
      </c>
      <c r="W661">
        <f t="shared" si="256"/>
        <v>-1070889280.4667999</v>
      </c>
      <c r="X661">
        <f t="shared" si="257"/>
        <v>-1088829883.3397999</v>
      </c>
      <c r="Z661">
        <f t="shared" si="258"/>
        <v>4466269.1088000005</v>
      </c>
      <c r="AA661">
        <f t="shared" si="259"/>
        <v>-502451988.84680003</v>
      </c>
      <c r="AB661">
        <f t="shared" si="260"/>
        <v>-819075214.88960004</v>
      </c>
      <c r="AC661">
        <f t="shared" si="261"/>
        <v>-1020181702.7184</v>
      </c>
      <c r="AD661">
        <f t="shared" si="262"/>
        <v>-1221013945.9528</v>
      </c>
      <c r="AE661">
        <f t="shared" si="263"/>
        <v>-1226498029.5091999</v>
      </c>
    </row>
    <row r="662" spans="1:31" x14ac:dyDescent="0.25">
      <c r="A662">
        <v>39.008039789999998</v>
      </c>
      <c r="B662">
        <v>119.0594938</v>
      </c>
      <c r="C662">
        <v>237.5028839</v>
      </c>
      <c r="D662">
        <v>0.24486100999999999</v>
      </c>
      <c r="E662" t="b">
        <f t="shared" si="240"/>
        <v>0</v>
      </c>
      <c r="F662">
        <f t="shared" si="241"/>
        <v>-1187.26955849</v>
      </c>
      <c r="G662">
        <f t="shared" si="242"/>
        <v>-2374.78397799</v>
      </c>
      <c r="H662">
        <f t="shared" si="243"/>
        <v>-3562.2983974899998</v>
      </c>
      <c r="I662">
        <f t="shared" si="244"/>
        <v>-4749.8128169900001</v>
      </c>
      <c r="J662">
        <f t="shared" si="245"/>
        <v>-5937.3272364900004</v>
      </c>
      <c r="L662">
        <f t="shared" si="246"/>
        <v>470133.13919999998</v>
      </c>
      <c r="M662">
        <f t="shared" si="247"/>
        <v>-1923376684.7538002</v>
      </c>
      <c r="N662">
        <f t="shared" si="248"/>
        <v>-3277201889.6262002</v>
      </c>
      <c r="O662">
        <f t="shared" si="249"/>
        <v>-3633544365.4397998</v>
      </c>
      <c r="P662">
        <f t="shared" si="250"/>
        <v>-4369827791.6307993</v>
      </c>
      <c r="Q662">
        <f t="shared" si="251"/>
        <v>-4512368699.7324009</v>
      </c>
      <c r="S662">
        <f t="shared" si="252"/>
        <v>514208.12099999998</v>
      </c>
      <c r="T662">
        <f t="shared" si="253"/>
        <v>-2160830596.4517999</v>
      </c>
      <c r="U662">
        <f t="shared" si="254"/>
        <v>-3585923806.7649002</v>
      </c>
      <c r="V662">
        <f t="shared" si="255"/>
        <v>-3811659285.3142991</v>
      </c>
      <c r="W662">
        <f t="shared" si="256"/>
        <v>-5082299714.1792994</v>
      </c>
      <c r="X662">
        <f t="shared" si="257"/>
        <v>-5165474695.7463007</v>
      </c>
      <c r="Z662">
        <f t="shared" si="258"/>
        <v>558283.10279999999</v>
      </c>
      <c r="AA662">
        <f t="shared" si="259"/>
        <v>-2398284508.1497998</v>
      </c>
      <c r="AB662">
        <f t="shared" si="260"/>
        <v>-3894645723.9036007</v>
      </c>
      <c r="AC662">
        <f t="shared" si="261"/>
        <v>-4844725820.5863991</v>
      </c>
      <c r="AD662">
        <f t="shared" si="262"/>
        <v>-5794771636.7277994</v>
      </c>
      <c r="AE662">
        <f t="shared" si="263"/>
        <v>-5818580691.7602005</v>
      </c>
    </row>
    <row r="663" spans="1:31" x14ac:dyDescent="0.25">
      <c r="A663">
        <v>39.009635709999998</v>
      </c>
      <c r="B663">
        <v>119.4748189</v>
      </c>
      <c r="C663">
        <v>39.583812709999997</v>
      </c>
      <c r="D663">
        <v>0.48972300000000002</v>
      </c>
      <c r="E663" t="b">
        <f t="shared" si="240"/>
        <v>0</v>
      </c>
      <c r="F663">
        <f t="shared" si="241"/>
        <v>-197.42934054999998</v>
      </c>
      <c r="G663">
        <f t="shared" si="242"/>
        <v>-395.34840409999993</v>
      </c>
      <c r="H663">
        <f t="shared" si="243"/>
        <v>-593.26746764999996</v>
      </c>
      <c r="I663">
        <f t="shared" si="244"/>
        <v>-791.18653119999988</v>
      </c>
      <c r="J663">
        <f t="shared" si="245"/>
        <v>-989.10559474999991</v>
      </c>
      <c r="L663">
        <f t="shared" si="246"/>
        <v>940268.16</v>
      </c>
      <c r="M663">
        <f t="shared" si="247"/>
        <v>-319835531.69099998</v>
      </c>
      <c r="N663">
        <f t="shared" si="248"/>
        <v>-545580797.65799987</v>
      </c>
      <c r="O663">
        <f t="shared" si="249"/>
        <v>-605132817.00300002</v>
      </c>
      <c r="P663">
        <f t="shared" si="250"/>
        <v>-727891608.70399988</v>
      </c>
      <c r="Q663">
        <f t="shared" si="251"/>
        <v>-751720252.00999987</v>
      </c>
      <c r="S663">
        <f t="shared" si="252"/>
        <v>1028418.3</v>
      </c>
      <c r="T663">
        <f t="shared" si="253"/>
        <v>-359321399.801</v>
      </c>
      <c r="U663">
        <f t="shared" si="254"/>
        <v>-596976090.19099987</v>
      </c>
      <c r="V663">
        <f t="shared" si="255"/>
        <v>-634796190.38549984</v>
      </c>
      <c r="W663">
        <f t="shared" si="256"/>
        <v>-846569588.38399982</v>
      </c>
      <c r="X663">
        <f t="shared" si="257"/>
        <v>-860521867.43249989</v>
      </c>
      <c r="Z663">
        <f t="shared" si="258"/>
        <v>1116568.4400000002</v>
      </c>
      <c r="AA663">
        <f t="shared" si="259"/>
        <v>-398807267.91099995</v>
      </c>
      <c r="AB663">
        <f t="shared" si="260"/>
        <v>-648371382.72399986</v>
      </c>
      <c r="AC663">
        <f t="shared" si="261"/>
        <v>-806843756.00399995</v>
      </c>
      <c r="AD663">
        <f t="shared" si="262"/>
        <v>-965247568.06399989</v>
      </c>
      <c r="AE663">
        <f t="shared" si="263"/>
        <v>-969323482.8549999</v>
      </c>
    </row>
    <row r="664" spans="1:31" x14ac:dyDescent="0.25">
      <c r="A664">
        <v>39.022451539999999</v>
      </c>
      <c r="B664">
        <v>117.522177</v>
      </c>
      <c r="C664">
        <v>52.10093689</v>
      </c>
      <c r="D664">
        <v>0.59090197</v>
      </c>
      <c r="E664" t="b">
        <f t="shared" si="240"/>
        <v>0</v>
      </c>
      <c r="F664">
        <f t="shared" si="241"/>
        <v>-259.91378248000001</v>
      </c>
      <c r="G664">
        <f t="shared" si="242"/>
        <v>-520.41846693000002</v>
      </c>
      <c r="H664">
        <f t="shared" si="243"/>
        <v>-780.92315138000004</v>
      </c>
      <c r="I664">
        <f t="shared" si="244"/>
        <v>-1041.42783583</v>
      </c>
      <c r="J664">
        <f t="shared" si="245"/>
        <v>-1301.9325202800001</v>
      </c>
      <c r="L664">
        <f t="shared" si="246"/>
        <v>1134531.7824000001</v>
      </c>
      <c r="M664">
        <f t="shared" si="247"/>
        <v>-421060327.61760008</v>
      </c>
      <c r="N664">
        <f t="shared" si="248"/>
        <v>-718177484.36339998</v>
      </c>
      <c r="O664">
        <f t="shared" si="249"/>
        <v>-796541614.40760005</v>
      </c>
      <c r="P664">
        <f t="shared" si="250"/>
        <v>-958113608.96359992</v>
      </c>
      <c r="Q664">
        <f t="shared" si="251"/>
        <v>-989468715.41279995</v>
      </c>
      <c r="S664">
        <f t="shared" si="252"/>
        <v>1240894.1370000001</v>
      </c>
      <c r="T664">
        <f t="shared" si="253"/>
        <v>-473043084.11360008</v>
      </c>
      <c r="U664">
        <f t="shared" si="254"/>
        <v>-785831885.06430006</v>
      </c>
      <c r="V664">
        <f t="shared" si="255"/>
        <v>-835587771.97659981</v>
      </c>
      <c r="W664">
        <f t="shared" si="256"/>
        <v>-1114327784.3381</v>
      </c>
      <c r="X664">
        <f t="shared" si="257"/>
        <v>-1132681292.6436</v>
      </c>
      <c r="Z664">
        <f t="shared" si="258"/>
        <v>1347256.4916000001</v>
      </c>
      <c r="AA664">
        <f t="shared" si="259"/>
        <v>-525025840.60960007</v>
      </c>
      <c r="AB664">
        <f t="shared" si="260"/>
        <v>-853486285.76520002</v>
      </c>
      <c r="AC664">
        <f t="shared" si="261"/>
        <v>-1062055485.8767999</v>
      </c>
      <c r="AD664">
        <f t="shared" si="262"/>
        <v>-1270541959.7126</v>
      </c>
      <c r="AE664">
        <f t="shared" si="263"/>
        <v>-1275893869.8743999</v>
      </c>
    </row>
    <row r="665" spans="1:31" x14ac:dyDescent="0.25">
      <c r="A665">
        <v>39.038498330000003</v>
      </c>
      <c r="B665">
        <v>118.768362</v>
      </c>
      <c r="C665">
        <v>8.4687528600000004</v>
      </c>
      <c r="D665">
        <v>6.3478097900000003</v>
      </c>
      <c r="E665" t="b">
        <f t="shared" si="240"/>
        <v>0</v>
      </c>
      <c r="F665">
        <f t="shared" si="241"/>
        <v>-35.995954510000004</v>
      </c>
      <c r="G665">
        <f t="shared" si="242"/>
        <v>-78.339718810000008</v>
      </c>
      <c r="H665">
        <f t="shared" si="243"/>
        <v>-120.68348311000001</v>
      </c>
      <c r="I665">
        <f t="shared" si="244"/>
        <v>-163.02724741</v>
      </c>
      <c r="J665">
        <f t="shared" si="245"/>
        <v>-205.37101171</v>
      </c>
      <c r="L665">
        <f t="shared" si="246"/>
        <v>12187794.796800001</v>
      </c>
      <c r="M665">
        <f t="shared" si="247"/>
        <v>-58313446.306200013</v>
      </c>
      <c r="N665">
        <f t="shared" si="248"/>
        <v>-108108811.9578</v>
      </c>
      <c r="O665">
        <f t="shared" si="249"/>
        <v>-123097152.77220002</v>
      </c>
      <c r="P665">
        <f t="shared" si="250"/>
        <v>-149985067.61719999</v>
      </c>
      <c r="Q665">
        <f t="shared" si="251"/>
        <v>-156081968.8996</v>
      </c>
      <c r="S665">
        <f t="shared" si="252"/>
        <v>13330400.559</v>
      </c>
      <c r="T665">
        <f t="shared" si="253"/>
        <v>-65512637.208200015</v>
      </c>
      <c r="U665">
        <f t="shared" si="254"/>
        <v>-118292975.4031</v>
      </c>
      <c r="V665">
        <f t="shared" si="255"/>
        <v>-129131326.9277</v>
      </c>
      <c r="W665">
        <f t="shared" si="256"/>
        <v>-174439154.72869998</v>
      </c>
      <c r="X665">
        <f t="shared" si="257"/>
        <v>-178672780.1877</v>
      </c>
      <c r="Z665">
        <f t="shared" si="258"/>
        <v>14473006.321200002</v>
      </c>
      <c r="AA665">
        <f t="shared" si="259"/>
        <v>-72711828.110200018</v>
      </c>
      <c r="AB665">
        <f t="shared" si="260"/>
        <v>-128477138.84840001</v>
      </c>
      <c r="AC665">
        <f t="shared" si="261"/>
        <v>-164129537.02959999</v>
      </c>
      <c r="AD665">
        <f t="shared" si="262"/>
        <v>-198893241.84019998</v>
      </c>
      <c r="AE665">
        <f t="shared" si="263"/>
        <v>-201263591.47580001</v>
      </c>
    </row>
    <row r="666" spans="1:31" x14ac:dyDescent="0.25">
      <c r="A666">
        <v>39.060402160000002</v>
      </c>
      <c r="B666">
        <v>116.5814072</v>
      </c>
      <c r="C666">
        <v>53.31973267</v>
      </c>
      <c r="D666">
        <v>0.73336500000000004</v>
      </c>
      <c r="E666" t="b">
        <f t="shared" si="240"/>
        <v>0</v>
      </c>
      <c r="F666">
        <f t="shared" si="241"/>
        <v>-265.86529834999999</v>
      </c>
      <c r="G666">
        <f t="shared" si="242"/>
        <v>-532.46396169999991</v>
      </c>
      <c r="H666">
        <f t="shared" si="243"/>
        <v>-799.06262504999995</v>
      </c>
      <c r="I666">
        <f t="shared" si="244"/>
        <v>-1065.6612883999999</v>
      </c>
      <c r="J666">
        <f t="shared" si="245"/>
        <v>-1332.25995175</v>
      </c>
      <c r="L666">
        <f t="shared" si="246"/>
        <v>1408060.8</v>
      </c>
      <c r="M666">
        <f t="shared" si="247"/>
        <v>-430701783.32700002</v>
      </c>
      <c r="N666">
        <f t="shared" si="248"/>
        <v>-734800267.14599979</v>
      </c>
      <c r="O666">
        <f t="shared" si="249"/>
        <v>-815043877.551</v>
      </c>
      <c r="P666">
        <f t="shared" si="250"/>
        <v>-980408385.32799983</v>
      </c>
      <c r="Q666">
        <f t="shared" si="251"/>
        <v>-1012517563.33</v>
      </c>
      <c r="S666">
        <f t="shared" si="252"/>
        <v>1540066.5</v>
      </c>
      <c r="T666">
        <f t="shared" si="253"/>
        <v>-483874842.99699998</v>
      </c>
      <c r="U666">
        <f t="shared" si="254"/>
        <v>-804020582.16699994</v>
      </c>
      <c r="V666">
        <f t="shared" si="255"/>
        <v>-854997008.80349982</v>
      </c>
      <c r="W666">
        <f t="shared" si="256"/>
        <v>-1140257578.5879996</v>
      </c>
      <c r="X666">
        <f t="shared" si="257"/>
        <v>-1159066158.0225</v>
      </c>
      <c r="Z666">
        <f t="shared" si="258"/>
        <v>1672072.2000000002</v>
      </c>
      <c r="AA666">
        <f t="shared" si="259"/>
        <v>-537047902.66699994</v>
      </c>
      <c r="AB666">
        <f t="shared" si="260"/>
        <v>-873240897.18799996</v>
      </c>
      <c r="AC666">
        <f t="shared" si="261"/>
        <v>-1086725170.0679998</v>
      </c>
      <c r="AD666">
        <f t="shared" si="262"/>
        <v>-1300106771.8479998</v>
      </c>
      <c r="AE666">
        <f t="shared" si="263"/>
        <v>-1305614752.7149999</v>
      </c>
    </row>
    <row r="667" spans="1:31" x14ac:dyDescent="0.25">
      <c r="A667">
        <v>39.065721709999998</v>
      </c>
      <c r="B667">
        <v>118.9509006</v>
      </c>
      <c r="C667">
        <v>14.14985371</v>
      </c>
      <c r="D667">
        <v>16.324619290000001</v>
      </c>
      <c r="E667" t="b">
        <f t="shared" si="240"/>
        <v>1</v>
      </c>
      <c r="F667">
        <f t="shared" si="241"/>
        <v>-54.424649259999995</v>
      </c>
      <c r="G667">
        <f t="shared" si="242"/>
        <v>-125.17391780999999</v>
      </c>
      <c r="H667">
        <f t="shared" si="243"/>
        <v>-195.92318635999999</v>
      </c>
      <c r="I667">
        <f t="shared" si="244"/>
        <v>-266.67245491</v>
      </c>
      <c r="J667">
        <f t="shared" si="245"/>
        <v>-337.42172346000001</v>
      </c>
      <c r="L667">
        <f t="shared" si="246"/>
        <v>27167719.123200003</v>
      </c>
      <c r="M667">
        <f t="shared" si="247"/>
        <v>-88167931.801200002</v>
      </c>
      <c r="N667">
        <f t="shared" si="248"/>
        <v>-172740006.57779998</v>
      </c>
      <c r="O667">
        <f t="shared" si="249"/>
        <v>-199841650.08719999</v>
      </c>
      <c r="P667">
        <f t="shared" si="250"/>
        <v>-245338658.51719996</v>
      </c>
      <c r="Q667">
        <f t="shared" si="251"/>
        <v>-256440509.82960004</v>
      </c>
      <c r="S667">
        <f t="shared" si="252"/>
        <v>29714692.791000005</v>
      </c>
      <c r="T667">
        <f t="shared" si="253"/>
        <v>-99052861.653200001</v>
      </c>
      <c r="U667">
        <f t="shared" si="254"/>
        <v>-189012615.89309999</v>
      </c>
      <c r="V667">
        <f t="shared" si="255"/>
        <v>-209637809.40519994</v>
      </c>
      <c r="W667">
        <f t="shared" si="256"/>
        <v>-285339526.75369996</v>
      </c>
      <c r="X667">
        <f t="shared" si="257"/>
        <v>-293556899.41020006</v>
      </c>
      <c r="Z667">
        <f t="shared" si="258"/>
        <v>32261666.458800007</v>
      </c>
      <c r="AA667">
        <f t="shared" si="259"/>
        <v>-109937791.5052</v>
      </c>
      <c r="AB667">
        <f t="shared" si="260"/>
        <v>-205285225.20839998</v>
      </c>
      <c r="AC667">
        <f t="shared" si="261"/>
        <v>-266455533.44959995</v>
      </c>
      <c r="AD667">
        <f t="shared" si="262"/>
        <v>-325340394.99019998</v>
      </c>
      <c r="AE667">
        <f t="shared" si="263"/>
        <v>-330673288.99080002</v>
      </c>
    </row>
    <row r="668" spans="1:31" x14ac:dyDescent="0.25">
      <c r="A668">
        <v>39.091599739999999</v>
      </c>
      <c r="B668">
        <v>118.2437427</v>
      </c>
      <c r="C668">
        <v>8.4687528600000004</v>
      </c>
      <c r="D668">
        <v>5.9163E-2</v>
      </c>
      <c r="E668" t="b">
        <f t="shared" si="240"/>
        <v>0</v>
      </c>
      <c r="F668">
        <f t="shared" si="241"/>
        <v>-42.284601300000006</v>
      </c>
      <c r="G668">
        <f t="shared" si="242"/>
        <v>-84.628365600000009</v>
      </c>
      <c r="H668">
        <f t="shared" si="243"/>
        <v>-126.97212990000001</v>
      </c>
      <c r="I668">
        <f t="shared" si="244"/>
        <v>-169.3158942</v>
      </c>
      <c r="J668">
        <f t="shared" si="245"/>
        <v>-211.65965850000001</v>
      </c>
      <c r="L668">
        <f t="shared" si="246"/>
        <v>113592.96000000001</v>
      </c>
      <c r="M668">
        <f t="shared" si="247"/>
        <v>-68501054.106000006</v>
      </c>
      <c r="N668">
        <f t="shared" si="248"/>
        <v>-116787144.528</v>
      </c>
      <c r="O668">
        <f t="shared" si="249"/>
        <v>-129511572.49800001</v>
      </c>
      <c r="P668">
        <f t="shared" si="250"/>
        <v>-155770622.66399997</v>
      </c>
      <c r="Q668">
        <f t="shared" si="251"/>
        <v>-160861340.46000001</v>
      </c>
      <c r="S668">
        <f t="shared" si="252"/>
        <v>124242.3</v>
      </c>
      <c r="T668">
        <f t="shared" si="253"/>
        <v>-76957974.366000012</v>
      </c>
      <c r="U668">
        <f t="shared" si="254"/>
        <v>-127788832.05600001</v>
      </c>
      <c r="V668">
        <f t="shared" si="255"/>
        <v>-135860178.993</v>
      </c>
      <c r="W668">
        <f t="shared" si="256"/>
        <v>-181168006.79399997</v>
      </c>
      <c r="X668">
        <f t="shared" si="257"/>
        <v>-184143902.89500001</v>
      </c>
      <c r="Z668">
        <f t="shared" si="258"/>
        <v>134891.64000000001</v>
      </c>
      <c r="AA668">
        <f t="shared" si="259"/>
        <v>-85414894.626000017</v>
      </c>
      <c r="AB668">
        <f t="shared" si="260"/>
        <v>-138790519.58400002</v>
      </c>
      <c r="AC668">
        <f t="shared" si="261"/>
        <v>-172682096.664</v>
      </c>
      <c r="AD668">
        <f t="shared" si="262"/>
        <v>-206565390.92399999</v>
      </c>
      <c r="AE668">
        <f t="shared" si="263"/>
        <v>-207426465.32999998</v>
      </c>
    </row>
    <row r="669" spans="1:31" x14ac:dyDescent="0.25">
      <c r="A669">
        <v>39.094700709999998</v>
      </c>
      <c r="B669">
        <v>116.1722365</v>
      </c>
      <c r="C669">
        <v>53.31973267</v>
      </c>
      <c r="D669">
        <v>24.03002167</v>
      </c>
      <c r="E669" t="b">
        <f t="shared" si="240"/>
        <v>0</v>
      </c>
      <c r="F669">
        <f t="shared" si="241"/>
        <v>-242.56864167999998</v>
      </c>
      <c r="G669">
        <f t="shared" si="242"/>
        <v>-509.16730502999997</v>
      </c>
      <c r="H669">
        <f t="shared" si="243"/>
        <v>-775.76596838</v>
      </c>
      <c r="I669">
        <f t="shared" si="244"/>
        <v>-1042.3646317299999</v>
      </c>
      <c r="J669">
        <f t="shared" si="245"/>
        <v>-1308.9632950800001</v>
      </c>
      <c r="L669">
        <f t="shared" si="246"/>
        <v>46137641.606400006</v>
      </c>
      <c r="M669">
        <f t="shared" si="247"/>
        <v>-392961199.52160001</v>
      </c>
      <c r="N669">
        <f t="shared" si="248"/>
        <v>-702650880.94139993</v>
      </c>
      <c r="O669">
        <f t="shared" si="249"/>
        <v>-791281287.74759996</v>
      </c>
      <c r="P669">
        <f t="shared" si="250"/>
        <v>-958975461.19159985</v>
      </c>
      <c r="Q669">
        <f t="shared" si="251"/>
        <v>-994812104.26080012</v>
      </c>
      <c r="S669">
        <f t="shared" si="252"/>
        <v>50463045.507000007</v>
      </c>
      <c r="T669">
        <f t="shared" si="253"/>
        <v>-441474927.85759997</v>
      </c>
      <c r="U669">
        <f t="shared" si="254"/>
        <v>-768842630.59529996</v>
      </c>
      <c r="V669">
        <f t="shared" si="255"/>
        <v>-830069586.16659987</v>
      </c>
      <c r="W669">
        <f t="shared" si="256"/>
        <v>-1115330155.9510996</v>
      </c>
      <c r="X669">
        <f t="shared" si="257"/>
        <v>-1138798066.7196002</v>
      </c>
      <c r="Z669">
        <f t="shared" si="258"/>
        <v>54788449.407600008</v>
      </c>
      <c r="AA669">
        <f t="shared" si="259"/>
        <v>-489988656.19359994</v>
      </c>
      <c r="AB669">
        <f t="shared" si="260"/>
        <v>-835034380.24919999</v>
      </c>
      <c r="AC669">
        <f t="shared" si="261"/>
        <v>-1055041716.9967999</v>
      </c>
      <c r="AD669">
        <f t="shared" si="262"/>
        <v>-1271684850.7105999</v>
      </c>
      <c r="AE669">
        <f t="shared" si="263"/>
        <v>-1282784029.1784</v>
      </c>
    </row>
    <row r="670" spans="1:31" x14ac:dyDescent="0.25">
      <c r="A670">
        <v>39.100549610000002</v>
      </c>
      <c r="B670">
        <v>119.9069626</v>
      </c>
      <c r="C670">
        <v>36.944892879999998</v>
      </c>
      <c r="D670">
        <v>4.162642</v>
      </c>
      <c r="E670" t="b">
        <f t="shared" si="240"/>
        <v>0</v>
      </c>
      <c r="F670">
        <f t="shared" si="241"/>
        <v>-180.56182239999998</v>
      </c>
      <c r="G670">
        <f t="shared" si="242"/>
        <v>-365.28628679999997</v>
      </c>
      <c r="H670">
        <f t="shared" si="243"/>
        <v>-550.01075119999996</v>
      </c>
      <c r="I670">
        <f t="shared" si="244"/>
        <v>-734.73521559999995</v>
      </c>
      <c r="J670">
        <f t="shared" si="245"/>
        <v>-919.45967999999993</v>
      </c>
      <c r="L670">
        <f t="shared" si="246"/>
        <v>7992272.6400000006</v>
      </c>
      <c r="M670">
        <f t="shared" si="247"/>
        <v>-292510152.28799999</v>
      </c>
      <c r="N670">
        <f t="shared" si="248"/>
        <v>-504095075.78399992</v>
      </c>
      <c r="O670">
        <f t="shared" si="249"/>
        <v>-561010966.22399998</v>
      </c>
      <c r="P670">
        <f t="shared" si="250"/>
        <v>-675956398.35199988</v>
      </c>
      <c r="Q670">
        <f t="shared" si="251"/>
        <v>-698789356.79999995</v>
      </c>
      <c r="S670">
        <f t="shared" si="252"/>
        <v>8741548.2000000011</v>
      </c>
      <c r="T670">
        <f t="shared" si="253"/>
        <v>-328622516.76799995</v>
      </c>
      <c r="U670">
        <f t="shared" si="254"/>
        <v>-551582293.06799996</v>
      </c>
      <c r="V670">
        <f t="shared" si="255"/>
        <v>-588511503.7839998</v>
      </c>
      <c r="W670">
        <f t="shared" si="256"/>
        <v>-786166680.69199979</v>
      </c>
      <c r="X670">
        <f t="shared" si="257"/>
        <v>-799929921.5999999</v>
      </c>
      <c r="Z670">
        <f t="shared" si="258"/>
        <v>9490823.7600000016</v>
      </c>
      <c r="AA670">
        <f t="shared" si="259"/>
        <v>-364734881.24799997</v>
      </c>
      <c r="AB670">
        <f t="shared" si="260"/>
        <v>-599069510.352</v>
      </c>
      <c r="AC670">
        <f t="shared" si="261"/>
        <v>-748014621.63199985</v>
      </c>
      <c r="AD670">
        <f t="shared" si="262"/>
        <v>-896376963.03199983</v>
      </c>
      <c r="AE670">
        <f t="shared" si="263"/>
        <v>-901070486.39999986</v>
      </c>
    </row>
    <row r="671" spans="1:31" x14ac:dyDescent="0.25">
      <c r="A671">
        <v>39.106746649999998</v>
      </c>
      <c r="B671">
        <v>119.4328852</v>
      </c>
      <c r="C671">
        <v>39.583812709999997</v>
      </c>
      <c r="D671">
        <v>0.48972300000000002</v>
      </c>
      <c r="E671" t="b">
        <f t="shared" si="240"/>
        <v>0</v>
      </c>
      <c r="F671">
        <f t="shared" si="241"/>
        <v>-197.42934054999998</v>
      </c>
      <c r="G671">
        <f t="shared" si="242"/>
        <v>-395.34840409999993</v>
      </c>
      <c r="H671">
        <f t="shared" si="243"/>
        <v>-593.26746764999996</v>
      </c>
      <c r="I671">
        <f t="shared" si="244"/>
        <v>-791.18653119999988</v>
      </c>
      <c r="J671">
        <f t="shared" si="245"/>
        <v>-989.10559474999991</v>
      </c>
      <c r="L671">
        <f t="shared" si="246"/>
        <v>940268.16</v>
      </c>
      <c r="M671">
        <f t="shared" si="247"/>
        <v>-319835531.69099998</v>
      </c>
      <c r="N671">
        <f t="shared" si="248"/>
        <v>-545580797.65799987</v>
      </c>
      <c r="O671">
        <f t="shared" si="249"/>
        <v>-605132817.00300002</v>
      </c>
      <c r="P671">
        <f t="shared" si="250"/>
        <v>-727891608.70399988</v>
      </c>
      <c r="Q671">
        <f t="shared" si="251"/>
        <v>-751720252.00999987</v>
      </c>
      <c r="S671">
        <f t="shared" si="252"/>
        <v>1028418.3</v>
      </c>
      <c r="T671">
        <f t="shared" si="253"/>
        <v>-359321399.801</v>
      </c>
      <c r="U671">
        <f t="shared" si="254"/>
        <v>-596976090.19099987</v>
      </c>
      <c r="V671">
        <f t="shared" si="255"/>
        <v>-634796190.38549984</v>
      </c>
      <c r="W671">
        <f t="shared" si="256"/>
        <v>-846569588.38399982</v>
      </c>
      <c r="X671">
        <f t="shared" si="257"/>
        <v>-860521867.43249989</v>
      </c>
      <c r="Z671">
        <f t="shared" si="258"/>
        <v>1116568.4400000002</v>
      </c>
      <c r="AA671">
        <f t="shared" si="259"/>
        <v>-398807267.91099995</v>
      </c>
      <c r="AB671">
        <f t="shared" si="260"/>
        <v>-648371382.72399986</v>
      </c>
      <c r="AC671">
        <f t="shared" si="261"/>
        <v>-806843756.00399995</v>
      </c>
      <c r="AD671">
        <f t="shared" si="262"/>
        <v>-965247568.06399989</v>
      </c>
      <c r="AE671">
        <f t="shared" si="263"/>
        <v>-969323482.8549999</v>
      </c>
    </row>
    <row r="672" spans="1:31" x14ac:dyDescent="0.25">
      <c r="A672">
        <v>39.113067399999998</v>
      </c>
      <c r="B672">
        <v>119.3746323</v>
      </c>
      <c r="C672">
        <v>39.583812709999997</v>
      </c>
      <c r="D672">
        <v>12.51241207</v>
      </c>
      <c r="E672" t="b">
        <f t="shared" si="240"/>
        <v>0</v>
      </c>
      <c r="F672">
        <f t="shared" si="241"/>
        <v>-185.40665147999997</v>
      </c>
      <c r="G672">
        <f t="shared" si="242"/>
        <v>-383.32571502999997</v>
      </c>
      <c r="H672">
        <f t="shared" si="243"/>
        <v>-581.24477858</v>
      </c>
      <c r="I672">
        <f t="shared" si="244"/>
        <v>-779.16384212999992</v>
      </c>
      <c r="J672">
        <f t="shared" si="245"/>
        <v>-977.08290567999995</v>
      </c>
      <c r="L672">
        <f t="shared" si="246"/>
        <v>24023831.174400002</v>
      </c>
      <c r="M672">
        <f t="shared" si="247"/>
        <v>-300358775.39759994</v>
      </c>
      <c r="N672">
        <f t="shared" si="248"/>
        <v>-528989486.74139994</v>
      </c>
      <c r="O672">
        <f t="shared" si="249"/>
        <v>-592869674.1516</v>
      </c>
      <c r="P672">
        <f t="shared" si="250"/>
        <v>-716830734.7595998</v>
      </c>
      <c r="Q672">
        <f t="shared" si="251"/>
        <v>-742583008.3168</v>
      </c>
      <c r="S672">
        <f t="shared" si="252"/>
        <v>26276065.347000003</v>
      </c>
      <c r="T672">
        <f t="shared" si="253"/>
        <v>-337440105.69359994</v>
      </c>
      <c r="U672">
        <f t="shared" si="254"/>
        <v>-578821829.69529998</v>
      </c>
      <c r="V672">
        <f t="shared" si="255"/>
        <v>-621931913.0805999</v>
      </c>
      <c r="W672">
        <f t="shared" si="256"/>
        <v>-833705311.07909977</v>
      </c>
      <c r="X672">
        <f t="shared" si="257"/>
        <v>-850062127.94159997</v>
      </c>
      <c r="Z672">
        <f t="shared" si="258"/>
        <v>28528299.519600004</v>
      </c>
      <c r="AA672">
        <f t="shared" si="259"/>
        <v>-374521435.98959994</v>
      </c>
      <c r="AB672">
        <f t="shared" si="260"/>
        <v>-628654172.64919996</v>
      </c>
      <c r="AC672">
        <f t="shared" si="261"/>
        <v>-790492898.86880004</v>
      </c>
      <c r="AD672">
        <f t="shared" si="262"/>
        <v>-950579887.39859986</v>
      </c>
      <c r="AE672">
        <f t="shared" si="263"/>
        <v>-957541247.56639993</v>
      </c>
    </row>
    <row r="673" spans="1:31" x14ac:dyDescent="0.25">
      <c r="A673">
        <v>39.11360801</v>
      </c>
      <c r="B673">
        <v>119.79053690000001</v>
      </c>
      <c r="C673">
        <v>63.334102629999997</v>
      </c>
      <c r="D673">
        <v>1.22430599</v>
      </c>
      <c r="E673" t="b">
        <f t="shared" si="240"/>
        <v>0</v>
      </c>
      <c r="F673">
        <f t="shared" si="241"/>
        <v>-315.44620715999997</v>
      </c>
      <c r="G673">
        <f t="shared" si="242"/>
        <v>-632.11672031000001</v>
      </c>
      <c r="H673">
        <f t="shared" si="243"/>
        <v>-948.78723346000004</v>
      </c>
      <c r="I673">
        <f t="shared" si="244"/>
        <v>-1265.45774661</v>
      </c>
      <c r="J673">
        <f t="shared" si="245"/>
        <v>-1582.12825976</v>
      </c>
      <c r="L673">
        <f t="shared" si="246"/>
        <v>2350667.5008</v>
      </c>
      <c r="M673">
        <f t="shared" si="247"/>
        <v>-511022855.59919995</v>
      </c>
      <c r="N673">
        <f t="shared" si="248"/>
        <v>-872321074.02779996</v>
      </c>
      <c r="O673">
        <f t="shared" si="249"/>
        <v>-967762978.1292001</v>
      </c>
      <c r="P673">
        <f t="shared" si="250"/>
        <v>-1164221126.8811998</v>
      </c>
      <c r="Q673">
        <f t="shared" si="251"/>
        <v>-1202417477.4175999</v>
      </c>
      <c r="S673">
        <f t="shared" si="252"/>
        <v>2571042.5789999999</v>
      </c>
      <c r="T673">
        <f t="shared" si="253"/>
        <v>-574112097.03119993</v>
      </c>
      <c r="U673">
        <f t="shared" si="254"/>
        <v>-954496247.66810012</v>
      </c>
      <c r="V673">
        <f t="shared" si="255"/>
        <v>-1015202339.8021998</v>
      </c>
      <c r="W673">
        <f t="shared" si="256"/>
        <v>-1354039788.8726997</v>
      </c>
      <c r="X673">
        <f t="shared" si="257"/>
        <v>-1376451585.9912</v>
      </c>
      <c r="Z673">
        <f t="shared" si="258"/>
        <v>2791417.6572000002</v>
      </c>
      <c r="AA673">
        <f t="shared" si="259"/>
        <v>-637201338.46319997</v>
      </c>
      <c r="AB673">
        <f t="shared" si="260"/>
        <v>-1036671421.3084002</v>
      </c>
      <c r="AC673">
        <f t="shared" si="261"/>
        <v>-1290350637.5056</v>
      </c>
      <c r="AD673">
        <f t="shared" si="262"/>
        <v>-1543858450.8641999</v>
      </c>
      <c r="AE673">
        <f t="shared" si="263"/>
        <v>-1550485694.5648</v>
      </c>
    </row>
    <row r="674" spans="1:31" x14ac:dyDescent="0.25">
      <c r="A674">
        <v>39.119360800000003</v>
      </c>
      <c r="B674">
        <v>119.3163696</v>
      </c>
      <c r="C674">
        <v>10.74713802</v>
      </c>
      <c r="D674">
        <v>84.898956299999995</v>
      </c>
      <c r="E674" t="b">
        <f t="shared" si="240"/>
        <v>1</v>
      </c>
      <c r="F674">
        <f t="shared" si="241"/>
        <v>31.163266199999995</v>
      </c>
      <c r="G674">
        <f t="shared" si="242"/>
        <v>-22.572423900000004</v>
      </c>
      <c r="H674">
        <f t="shared" si="243"/>
        <v>-76.308114000000003</v>
      </c>
      <c r="I674">
        <f t="shared" si="244"/>
        <v>-130.04380409999999</v>
      </c>
      <c r="J674">
        <f t="shared" si="245"/>
        <v>-183.77949419999999</v>
      </c>
      <c r="L674">
        <f t="shared" si="246"/>
        <v>20634504.998399999</v>
      </c>
      <c r="M674">
        <f t="shared" si="247"/>
        <v>17410363.592399999</v>
      </c>
      <c r="N674">
        <f t="shared" si="248"/>
        <v>-31149944.982000001</v>
      </c>
      <c r="O674">
        <f t="shared" si="249"/>
        <v>-77834276.280000001</v>
      </c>
      <c r="P674">
        <f t="shared" si="250"/>
        <v>-119640299.77199998</v>
      </c>
      <c r="Q674">
        <f t="shared" si="251"/>
        <v>-139672415.59199998</v>
      </c>
      <c r="S674">
        <f t="shared" si="252"/>
        <v>22568989.842</v>
      </c>
      <c r="T674">
        <f t="shared" si="253"/>
        <v>19559791.196400002</v>
      </c>
      <c r="U674">
        <f t="shared" si="254"/>
        <v>-34084360.089000002</v>
      </c>
      <c r="V674">
        <f t="shared" si="255"/>
        <v>-81649681.979999989</v>
      </c>
      <c r="W674">
        <f t="shared" si="256"/>
        <v>-139146870.38699996</v>
      </c>
      <c r="X674">
        <f t="shared" si="257"/>
        <v>-159888159.954</v>
      </c>
      <c r="Z674">
        <f t="shared" si="258"/>
        <v>24503474.685600001</v>
      </c>
      <c r="AA674">
        <f t="shared" si="259"/>
        <v>21709218.8004</v>
      </c>
      <c r="AB674">
        <f t="shared" si="260"/>
        <v>-37018775.19600001</v>
      </c>
      <c r="AC674">
        <f t="shared" si="261"/>
        <v>-103779035.03999999</v>
      </c>
      <c r="AD674">
        <f t="shared" si="262"/>
        <v>-158653441.002</v>
      </c>
      <c r="AE674">
        <f t="shared" si="263"/>
        <v>-180103904.31599998</v>
      </c>
    </row>
    <row r="675" spans="1:31" x14ac:dyDescent="0.25">
      <c r="A675">
        <v>39.120096250000003</v>
      </c>
      <c r="B675">
        <v>119.732309</v>
      </c>
      <c r="C675">
        <v>23.811473849999999</v>
      </c>
      <c r="D675">
        <v>0.73458396999999998</v>
      </c>
      <c r="E675" t="b">
        <f t="shared" si="240"/>
        <v>0</v>
      </c>
      <c r="F675">
        <f t="shared" si="241"/>
        <v>-118.32278527999999</v>
      </c>
      <c r="G675">
        <f t="shared" si="242"/>
        <v>-237.38015453</v>
      </c>
      <c r="H675">
        <f t="shared" si="243"/>
        <v>-356.43752377999999</v>
      </c>
      <c r="I675">
        <f t="shared" si="244"/>
        <v>-475.49489302999996</v>
      </c>
      <c r="J675">
        <f t="shared" si="245"/>
        <v>-594.55226227999992</v>
      </c>
      <c r="L675">
        <f t="shared" si="246"/>
        <v>1410401.2224000001</v>
      </c>
      <c r="M675">
        <f t="shared" si="247"/>
        <v>-191682912.15359998</v>
      </c>
      <c r="N675">
        <f t="shared" si="248"/>
        <v>-327584613.25139999</v>
      </c>
      <c r="O675">
        <f t="shared" si="249"/>
        <v>-363566274.25559998</v>
      </c>
      <c r="P675">
        <f t="shared" si="250"/>
        <v>-437455301.58759993</v>
      </c>
      <c r="Q675">
        <f t="shared" si="251"/>
        <v>-451859719.33279997</v>
      </c>
      <c r="S675">
        <f t="shared" si="252"/>
        <v>1542626.3370000001</v>
      </c>
      <c r="T675">
        <f t="shared" si="253"/>
        <v>-215347469.20959997</v>
      </c>
      <c r="U675">
        <f t="shared" si="254"/>
        <v>-358444033.34030002</v>
      </c>
      <c r="V675">
        <f t="shared" si="255"/>
        <v>-381388150.44459993</v>
      </c>
      <c r="W675">
        <f t="shared" si="256"/>
        <v>-508779535.54209989</v>
      </c>
      <c r="X675">
        <f t="shared" si="257"/>
        <v>-517260468.18359995</v>
      </c>
      <c r="Z675">
        <f t="shared" si="258"/>
        <v>1674851.4516</v>
      </c>
      <c r="AA675">
        <f t="shared" si="259"/>
        <v>-239012026.26559997</v>
      </c>
      <c r="AB675">
        <f t="shared" si="260"/>
        <v>-389303453.42920005</v>
      </c>
      <c r="AC675">
        <f t="shared" si="261"/>
        <v>-484755032.34079993</v>
      </c>
      <c r="AD675">
        <f t="shared" si="262"/>
        <v>-580103769.49659991</v>
      </c>
      <c r="AE675">
        <f t="shared" si="263"/>
        <v>-582661217.03439999</v>
      </c>
    </row>
    <row r="676" spans="1:31" x14ac:dyDescent="0.25">
      <c r="A676">
        <v>39.132990769999999</v>
      </c>
      <c r="B676">
        <v>119.61582319999999</v>
      </c>
      <c r="C676">
        <v>13.798432350000001</v>
      </c>
      <c r="D676">
        <v>4.8972258599999998</v>
      </c>
      <c r="E676" t="b">
        <f t="shared" si="240"/>
        <v>0</v>
      </c>
      <c r="F676">
        <f t="shared" si="241"/>
        <v>-64.094935890000002</v>
      </c>
      <c r="G676">
        <f t="shared" si="242"/>
        <v>-133.08709764000002</v>
      </c>
      <c r="H676">
        <f t="shared" si="243"/>
        <v>-202.07925939</v>
      </c>
      <c r="I676">
        <f t="shared" si="244"/>
        <v>-271.07142114000004</v>
      </c>
      <c r="J676">
        <f t="shared" si="245"/>
        <v>-340.06358289000002</v>
      </c>
      <c r="L676">
        <f t="shared" si="246"/>
        <v>9402673.6512000002</v>
      </c>
      <c r="M676">
        <f t="shared" si="247"/>
        <v>-103833796.1418</v>
      </c>
      <c r="N676">
        <f t="shared" si="248"/>
        <v>-183660194.74320003</v>
      </c>
      <c r="O676">
        <f t="shared" si="249"/>
        <v>-206120844.57780001</v>
      </c>
      <c r="P676">
        <f t="shared" si="250"/>
        <v>-249385707.44880003</v>
      </c>
      <c r="Q676">
        <f t="shared" si="251"/>
        <v>-258448322.99640003</v>
      </c>
      <c r="S676">
        <f t="shared" si="252"/>
        <v>10284174.306</v>
      </c>
      <c r="T676">
        <f t="shared" si="253"/>
        <v>-116652783.3198</v>
      </c>
      <c r="U676">
        <f t="shared" si="254"/>
        <v>-200961517.43640006</v>
      </c>
      <c r="V676">
        <f t="shared" si="255"/>
        <v>-216224807.54729998</v>
      </c>
      <c r="W676">
        <f t="shared" si="256"/>
        <v>-290046420.61980003</v>
      </c>
      <c r="X676">
        <f t="shared" si="257"/>
        <v>-295855317.11430001</v>
      </c>
      <c r="Z676">
        <f t="shared" si="258"/>
        <v>11165674.9608</v>
      </c>
      <c r="AA676">
        <f t="shared" si="259"/>
        <v>-129471770.49780001</v>
      </c>
      <c r="AB676">
        <f t="shared" si="260"/>
        <v>-218262840.12960008</v>
      </c>
      <c r="AC676">
        <f t="shared" si="261"/>
        <v>-274827792.77039999</v>
      </c>
      <c r="AD676">
        <f t="shared" si="262"/>
        <v>-330707133.79080003</v>
      </c>
      <c r="AE676">
        <f t="shared" si="263"/>
        <v>-333262311.23220003</v>
      </c>
    </row>
    <row r="677" spans="1:31" x14ac:dyDescent="0.25">
      <c r="A677">
        <v>39.139397039999999</v>
      </c>
      <c r="B677">
        <v>119.5575654</v>
      </c>
      <c r="C677">
        <v>21.03282166</v>
      </c>
      <c r="D677">
        <v>0.22037499999999999</v>
      </c>
      <c r="E677" t="b">
        <f t="shared" si="240"/>
        <v>0</v>
      </c>
      <c r="F677">
        <f t="shared" si="241"/>
        <v>-104.94373329999999</v>
      </c>
      <c r="G677">
        <f t="shared" si="242"/>
        <v>-210.1078416</v>
      </c>
      <c r="H677">
        <f t="shared" si="243"/>
        <v>-315.27194989999998</v>
      </c>
      <c r="I677">
        <f t="shared" si="244"/>
        <v>-420.43605819999999</v>
      </c>
      <c r="J677">
        <f t="shared" si="245"/>
        <v>-525.6001665</v>
      </c>
      <c r="L677">
        <f t="shared" si="246"/>
        <v>423120.00000000006</v>
      </c>
      <c r="M677">
        <f t="shared" si="247"/>
        <v>-170008847.94600001</v>
      </c>
      <c r="N677">
        <f t="shared" si="248"/>
        <v>-289948821.40799999</v>
      </c>
      <c r="O677">
        <f t="shared" si="249"/>
        <v>-321577388.898</v>
      </c>
      <c r="P677">
        <f t="shared" si="250"/>
        <v>-386801173.54399997</v>
      </c>
      <c r="Q677">
        <f t="shared" si="251"/>
        <v>-399456126.54000002</v>
      </c>
      <c r="S677">
        <f t="shared" si="252"/>
        <v>462787.5</v>
      </c>
      <c r="T677">
        <f t="shared" si="253"/>
        <v>-190997594.60600001</v>
      </c>
      <c r="U677">
        <f t="shared" si="254"/>
        <v>-317262840.81599998</v>
      </c>
      <c r="V677">
        <f t="shared" si="255"/>
        <v>-337340986.39299995</v>
      </c>
      <c r="W677">
        <f t="shared" si="256"/>
        <v>-449866582.27399993</v>
      </c>
      <c r="X677">
        <f t="shared" si="257"/>
        <v>-457272144.85500002</v>
      </c>
      <c r="Z677">
        <f t="shared" si="258"/>
        <v>502455.00000000006</v>
      </c>
      <c r="AA677">
        <f t="shared" si="259"/>
        <v>-211986341.266</v>
      </c>
      <c r="AB677">
        <f t="shared" si="260"/>
        <v>-344576860.22400004</v>
      </c>
      <c r="AC677">
        <f t="shared" si="261"/>
        <v>-428769851.8639999</v>
      </c>
      <c r="AD677">
        <f t="shared" si="262"/>
        <v>-512931991.00399995</v>
      </c>
      <c r="AE677">
        <f t="shared" si="263"/>
        <v>-515088163.17000002</v>
      </c>
    </row>
    <row r="678" spans="1:31" x14ac:dyDescent="0.25">
      <c r="A678">
        <v>39.144630739999997</v>
      </c>
      <c r="B678">
        <v>120.3314603</v>
      </c>
      <c r="C678">
        <v>15.098740579999999</v>
      </c>
      <c r="D678">
        <v>2.6930151000000002</v>
      </c>
      <c r="E678" t="b">
        <f t="shared" si="240"/>
        <v>0</v>
      </c>
      <c r="F678">
        <f t="shared" si="241"/>
        <v>-72.800687800000006</v>
      </c>
      <c r="G678">
        <f t="shared" si="242"/>
        <v>-148.29439070000001</v>
      </c>
      <c r="H678">
        <f t="shared" si="243"/>
        <v>-223.7880936</v>
      </c>
      <c r="I678">
        <f t="shared" si="244"/>
        <v>-299.28179649999998</v>
      </c>
      <c r="J678">
        <f t="shared" si="245"/>
        <v>-374.77549939999994</v>
      </c>
      <c r="L678">
        <f t="shared" si="246"/>
        <v>5170588.9920000006</v>
      </c>
      <c r="M678">
        <f t="shared" si="247"/>
        <v>-117937114.23600003</v>
      </c>
      <c r="N678">
        <f t="shared" si="248"/>
        <v>-204646259.16600001</v>
      </c>
      <c r="O678">
        <f t="shared" si="249"/>
        <v>-228263855.472</v>
      </c>
      <c r="P678">
        <f t="shared" si="250"/>
        <v>-275339252.77999997</v>
      </c>
      <c r="Q678">
        <f t="shared" si="251"/>
        <v>-284829379.54399991</v>
      </c>
      <c r="S678">
        <f t="shared" si="252"/>
        <v>5655331.7100000009</v>
      </c>
      <c r="T678">
        <f t="shared" si="253"/>
        <v>-132497251.79600003</v>
      </c>
      <c r="U678">
        <f t="shared" si="254"/>
        <v>-223924529.95700002</v>
      </c>
      <c r="V678">
        <f t="shared" si="255"/>
        <v>-239453260.15199995</v>
      </c>
      <c r="W678">
        <f t="shared" si="256"/>
        <v>-320231522.25499994</v>
      </c>
      <c r="X678">
        <f t="shared" si="257"/>
        <v>-326054684.47799993</v>
      </c>
      <c r="Z678">
        <f t="shared" si="258"/>
        <v>6140074.4280000012</v>
      </c>
      <c r="AA678">
        <f t="shared" si="259"/>
        <v>-147057389.35600004</v>
      </c>
      <c r="AB678">
        <f t="shared" si="260"/>
        <v>-243202800.74800006</v>
      </c>
      <c r="AC678">
        <f t="shared" si="261"/>
        <v>-304351807.29599994</v>
      </c>
      <c r="AD678">
        <f t="shared" si="262"/>
        <v>-365123791.73000002</v>
      </c>
      <c r="AE678">
        <f t="shared" si="263"/>
        <v>-367279989.41199994</v>
      </c>
    </row>
    <row r="679" spans="1:31" x14ac:dyDescent="0.25">
      <c r="A679">
        <v>39.14589926</v>
      </c>
      <c r="B679">
        <v>119.9153822</v>
      </c>
      <c r="C679">
        <v>26.92781067</v>
      </c>
      <c r="D679">
        <v>2.3469951199999999</v>
      </c>
      <c r="E679" t="b">
        <f t="shared" si="240"/>
        <v>0</v>
      </c>
      <c r="F679">
        <f t="shared" si="241"/>
        <v>-132.29205822999998</v>
      </c>
      <c r="G679">
        <f t="shared" si="242"/>
        <v>-266.93111157999999</v>
      </c>
      <c r="H679">
        <f t="shared" si="243"/>
        <v>-401.57016493000003</v>
      </c>
      <c r="I679">
        <f t="shared" si="244"/>
        <v>-536.20921827999996</v>
      </c>
      <c r="J679">
        <f t="shared" si="245"/>
        <v>-670.84827163</v>
      </c>
      <c r="L679">
        <f t="shared" si="246"/>
        <v>4506230.6304000001</v>
      </c>
      <c r="M679">
        <f t="shared" si="247"/>
        <v>-214313134.33259997</v>
      </c>
      <c r="N679">
        <f t="shared" si="248"/>
        <v>-368364933.98039997</v>
      </c>
      <c r="O679">
        <f t="shared" si="249"/>
        <v>-409601568.22860003</v>
      </c>
      <c r="P679">
        <f t="shared" si="250"/>
        <v>-493312480.81759995</v>
      </c>
      <c r="Q679">
        <f t="shared" si="251"/>
        <v>-509844686.43879998</v>
      </c>
      <c r="S679">
        <f t="shared" si="252"/>
        <v>4928689.7520000003</v>
      </c>
      <c r="T679">
        <f t="shared" si="253"/>
        <v>-240771545.97859997</v>
      </c>
      <c r="U679">
        <f t="shared" si="254"/>
        <v>-403065978.48579997</v>
      </c>
      <c r="V679">
        <f t="shared" si="255"/>
        <v>-429680076.47509992</v>
      </c>
      <c r="W679">
        <f t="shared" si="256"/>
        <v>-573743863.55959988</v>
      </c>
      <c r="X679">
        <f t="shared" si="257"/>
        <v>-583637996.31809998</v>
      </c>
      <c r="Z679">
        <f t="shared" si="258"/>
        <v>5351148.8736000005</v>
      </c>
      <c r="AA679">
        <f t="shared" si="259"/>
        <v>-267229957.62459996</v>
      </c>
      <c r="AB679">
        <f t="shared" si="260"/>
        <v>-437767022.99120003</v>
      </c>
      <c r="AC679">
        <f t="shared" si="261"/>
        <v>-546135424.30479991</v>
      </c>
      <c r="AD679">
        <f t="shared" si="262"/>
        <v>-654175246.30159998</v>
      </c>
      <c r="AE679">
        <f t="shared" si="263"/>
        <v>-657431306.19739997</v>
      </c>
    </row>
    <row r="680" spans="1:31" x14ac:dyDescent="0.25">
      <c r="A680">
        <v>39.158451820000003</v>
      </c>
      <c r="B680">
        <v>119.382733</v>
      </c>
      <c r="C680">
        <v>11.872706409999999</v>
      </c>
      <c r="D680">
        <v>2.2355830700000001</v>
      </c>
      <c r="E680" t="b">
        <f t="shared" si="240"/>
        <v>0</v>
      </c>
      <c r="F680">
        <f t="shared" si="241"/>
        <v>-57.127948979999999</v>
      </c>
      <c r="G680">
        <f t="shared" si="242"/>
        <v>-116.49148102999999</v>
      </c>
      <c r="H680">
        <f t="shared" si="243"/>
        <v>-175.85501307999999</v>
      </c>
      <c r="I680">
        <f t="shared" si="244"/>
        <v>-235.21854513</v>
      </c>
      <c r="J680">
        <f t="shared" si="245"/>
        <v>-294.58207717999994</v>
      </c>
      <c r="L680">
        <f t="shared" si="246"/>
        <v>4292319.4944000011</v>
      </c>
      <c r="M680">
        <f t="shared" si="247"/>
        <v>-92547277.347599998</v>
      </c>
      <c r="N680">
        <f t="shared" si="248"/>
        <v>-160758243.82139996</v>
      </c>
      <c r="O680">
        <f t="shared" si="249"/>
        <v>-179372113.3416</v>
      </c>
      <c r="P680">
        <f t="shared" si="250"/>
        <v>-216401061.51959997</v>
      </c>
      <c r="Q680">
        <f t="shared" si="251"/>
        <v>-223882378.65679997</v>
      </c>
      <c r="S680">
        <f t="shared" si="252"/>
        <v>4694724.4470000006</v>
      </c>
      <c r="T680">
        <f t="shared" si="253"/>
        <v>-103972867.1436</v>
      </c>
      <c r="U680">
        <f t="shared" si="254"/>
        <v>-175902136.35529998</v>
      </c>
      <c r="V680">
        <f t="shared" si="255"/>
        <v>-188164863.99559996</v>
      </c>
      <c r="W680">
        <f t="shared" si="256"/>
        <v>-251683843.28909996</v>
      </c>
      <c r="X680">
        <f t="shared" si="257"/>
        <v>-256286407.14659995</v>
      </c>
      <c r="Z680">
        <f t="shared" si="258"/>
        <v>5097129.3996000011</v>
      </c>
      <c r="AA680">
        <f t="shared" si="259"/>
        <v>-115398456.93959999</v>
      </c>
      <c r="AB680">
        <f t="shared" si="260"/>
        <v>-191046028.8892</v>
      </c>
      <c r="AC680">
        <f t="shared" si="261"/>
        <v>-239162817.78879994</v>
      </c>
      <c r="AD680">
        <f t="shared" si="262"/>
        <v>-286966625.05860001</v>
      </c>
      <c r="AE680">
        <f t="shared" si="263"/>
        <v>-288690435.63639992</v>
      </c>
    </row>
    <row r="681" spans="1:31" x14ac:dyDescent="0.25">
      <c r="A681">
        <v>39.165456710000001</v>
      </c>
      <c r="B681">
        <v>119.7406257</v>
      </c>
      <c r="C681">
        <v>28.128671650000001</v>
      </c>
      <c r="D681">
        <v>1.04066002</v>
      </c>
      <c r="E681" t="b">
        <f t="shared" si="240"/>
        <v>0</v>
      </c>
      <c r="F681">
        <f t="shared" si="241"/>
        <v>-139.60269823000002</v>
      </c>
      <c r="G681">
        <f t="shared" si="242"/>
        <v>-280.24605647999999</v>
      </c>
      <c r="H681">
        <f t="shared" si="243"/>
        <v>-420.88941473</v>
      </c>
      <c r="I681">
        <f t="shared" si="244"/>
        <v>-561.53277298</v>
      </c>
      <c r="J681">
        <f t="shared" si="245"/>
        <v>-702.17613123000001</v>
      </c>
      <c r="L681">
        <f t="shared" si="246"/>
        <v>1998067.2384000001</v>
      </c>
      <c r="M681">
        <f t="shared" si="247"/>
        <v>-226156371.13260004</v>
      </c>
      <c r="N681">
        <f t="shared" si="248"/>
        <v>-386739557.94239998</v>
      </c>
      <c r="O681">
        <f t="shared" si="249"/>
        <v>-429307203.02460003</v>
      </c>
      <c r="P681">
        <f t="shared" si="250"/>
        <v>-516610151.14159995</v>
      </c>
      <c r="Q681">
        <f t="shared" si="251"/>
        <v>-533653859.73480004</v>
      </c>
      <c r="S681">
        <f t="shared" si="252"/>
        <v>2185386.0419999999</v>
      </c>
      <c r="T681">
        <f t="shared" si="253"/>
        <v>-254076910.77860004</v>
      </c>
      <c r="U681">
        <f t="shared" si="254"/>
        <v>-423171545.28480005</v>
      </c>
      <c r="V681">
        <f t="shared" si="255"/>
        <v>-450351673.76109993</v>
      </c>
      <c r="W681">
        <f t="shared" si="256"/>
        <v>-600840067.08859992</v>
      </c>
      <c r="X681">
        <f t="shared" si="257"/>
        <v>-610893234.17009997</v>
      </c>
      <c r="Z681">
        <f t="shared" si="258"/>
        <v>2372704.8456000001</v>
      </c>
      <c r="AA681">
        <f t="shared" si="259"/>
        <v>-281997450.42460006</v>
      </c>
      <c r="AB681">
        <f t="shared" si="260"/>
        <v>-459603532.62720007</v>
      </c>
      <c r="AC681">
        <f t="shared" si="261"/>
        <v>-572409604.03279996</v>
      </c>
      <c r="AD681">
        <f t="shared" si="262"/>
        <v>-685069983.03560007</v>
      </c>
      <c r="AE681">
        <f t="shared" si="263"/>
        <v>-688132608.60539997</v>
      </c>
    </row>
    <row r="682" spans="1:31" x14ac:dyDescent="0.25">
      <c r="A682">
        <v>39.170887700000002</v>
      </c>
      <c r="B682">
        <v>118.3753706</v>
      </c>
      <c r="C682">
        <v>8.4687528600000004</v>
      </c>
      <c r="D682">
        <v>3.6848769199999998</v>
      </c>
      <c r="E682" t="b">
        <f t="shared" si="240"/>
        <v>0</v>
      </c>
      <c r="F682">
        <f t="shared" si="241"/>
        <v>-38.658887380000003</v>
      </c>
      <c r="G682">
        <f t="shared" si="242"/>
        <v>-81.002651680000014</v>
      </c>
      <c r="H682">
        <f t="shared" si="243"/>
        <v>-123.34641598000002</v>
      </c>
      <c r="I682">
        <f t="shared" si="244"/>
        <v>-165.69018028000002</v>
      </c>
      <c r="J682">
        <f t="shared" si="245"/>
        <v>-208.03394458000002</v>
      </c>
      <c r="L682">
        <f t="shared" si="246"/>
        <v>7074963.6864</v>
      </c>
      <c r="M682">
        <f t="shared" si="247"/>
        <v>-62627397.55560001</v>
      </c>
      <c r="N682">
        <f t="shared" si="248"/>
        <v>-111783659.3184</v>
      </c>
      <c r="O682">
        <f t="shared" si="249"/>
        <v>-125813344.29960002</v>
      </c>
      <c r="P682">
        <f t="shared" si="250"/>
        <v>-152434965.8576</v>
      </c>
      <c r="Q682">
        <f t="shared" si="251"/>
        <v>-158105797.88080001</v>
      </c>
      <c r="S682">
        <f t="shared" si="252"/>
        <v>7738241.5320000006</v>
      </c>
      <c r="T682">
        <f t="shared" si="253"/>
        <v>-70359175.031600013</v>
      </c>
      <c r="U682">
        <f t="shared" si="254"/>
        <v>-122314004.03680001</v>
      </c>
      <c r="V682">
        <f t="shared" si="255"/>
        <v>-131980665.0986</v>
      </c>
      <c r="W682">
        <f t="shared" si="256"/>
        <v>-177288492.8996</v>
      </c>
      <c r="X682">
        <f t="shared" si="257"/>
        <v>-180989531.78460002</v>
      </c>
      <c r="Z682">
        <f t="shared" si="258"/>
        <v>8401519.3776000012</v>
      </c>
      <c r="AA682">
        <f t="shared" si="259"/>
        <v>-78090952.507600009</v>
      </c>
      <c r="AB682">
        <f t="shared" si="260"/>
        <v>-132844348.75520003</v>
      </c>
      <c r="AC682">
        <f t="shared" si="261"/>
        <v>-167751125.73280001</v>
      </c>
      <c r="AD682">
        <f t="shared" si="262"/>
        <v>-202142019.94160002</v>
      </c>
      <c r="AE682">
        <f t="shared" si="263"/>
        <v>-203873265.6884</v>
      </c>
    </row>
    <row r="683" spans="1:31" x14ac:dyDescent="0.25">
      <c r="A683">
        <v>39.176163649999999</v>
      </c>
      <c r="B683">
        <v>116.3016633</v>
      </c>
      <c r="C683">
        <v>53.31973267</v>
      </c>
      <c r="D683">
        <v>1.4250140200000001</v>
      </c>
      <c r="E683" t="b">
        <f t="shared" si="240"/>
        <v>0</v>
      </c>
      <c r="F683">
        <f t="shared" si="241"/>
        <v>-265.17364932999999</v>
      </c>
      <c r="G683">
        <f t="shared" si="242"/>
        <v>-531.77231267999991</v>
      </c>
      <c r="H683">
        <f t="shared" si="243"/>
        <v>-798.37097602999995</v>
      </c>
      <c r="I683">
        <f t="shared" si="244"/>
        <v>-1064.96963938</v>
      </c>
      <c r="J683">
        <f t="shared" si="245"/>
        <v>-1331.5683027300001</v>
      </c>
      <c r="L683">
        <f t="shared" si="246"/>
        <v>2736026.9184000003</v>
      </c>
      <c r="M683">
        <f t="shared" si="247"/>
        <v>-429581311.91460001</v>
      </c>
      <c r="N683">
        <f t="shared" si="248"/>
        <v>-733845791.49839973</v>
      </c>
      <c r="O683">
        <f t="shared" si="249"/>
        <v>-814338395.55059993</v>
      </c>
      <c r="P683">
        <f t="shared" si="250"/>
        <v>-979772068.22959995</v>
      </c>
      <c r="Q683">
        <f t="shared" si="251"/>
        <v>-1011991910.0748003</v>
      </c>
      <c r="S683">
        <f t="shared" si="252"/>
        <v>2992529.4420000003</v>
      </c>
      <c r="T683">
        <f t="shared" si="253"/>
        <v>-482616041.78060001</v>
      </c>
      <c r="U683">
        <f t="shared" si="254"/>
        <v>-802976192.1467998</v>
      </c>
      <c r="V683">
        <f t="shared" si="255"/>
        <v>-854256944.3520999</v>
      </c>
      <c r="W683">
        <f t="shared" si="256"/>
        <v>-1139517514.1365998</v>
      </c>
      <c r="X683">
        <f t="shared" si="257"/>
        <v>-1158464423.3751001</v>
      </c>
      <c r="Z683">
        <f t="shared" si="258"/>
        <v>3249031.9656000002</v>
      </c>
      <c r="AA683">
        <f t="shared" si="259"/>
        <v>-535650771.64659995</v>
      </c>
      <c r="AB683">
        <f t="shared" si="260"/>
        <v>-872106592.79519987</v>
      </c>
      <c r="AC683">
        <f t="shared" si="261"/>
        <v>-1085784527.4007998</v>
      </c>
      <c r="AD683">
        <f t="shared" si="262"/>
        <v>-1299262960.0436001</v>
      </c>
      <c r="AE683">
        <f t="shared" si="263"/>
        <v>-1304936936.6754003</v>
      </c>
    </row>
    <row r="684" spans="1:31" x14ac:dyDescent="0.25">
      <c r="A684">
        <v>39.192746890000002</v>
      </c>
      <c r="B684">
        <v>118.6164727</v>
      </c>
      <c r="C684">
        <v>8.4687528600000004</v>
      </c>
      <c r="D684">
        <v>0.95589398999999997</v>
      </c>
      <c r="E684" t="b">
        <f t="shared" si="240"/>
        <v>0</v>
      </c>
      <c r="F684">
        <f t="shared" si="241"/>
        <v>-41.387870310000004</v>
      </c>
      <c r="G684">
        <f t="shared" si="242"/>
        <v>-83.73163461</v>
      </c>
      <c r="H684">
        <f t="shared" si="243"/>
        <v>-126.07539891</v>
      </c>
      <c r="I684">
        <f t="shared" si="244"/>
        <v>-168.41916321000002</v>
      </c>
      <c r="J684">
        <f t="shared" si="245"/>
        <v>-210.76292751000003</v>
      </c>
      <c r="L684">
        <f t="shared" si="246"/>
        <v>1835316.4608000002</v>
      </c>
      <c r="M684">
        <f t="shared" si="247"/>
        <v>-67048349.902200006</v>
      </c>
      <c r="N684">
        <f t="shared" si="248"/>
        <v>-115549655.76179999</v>
      </c>
      <c r="O684">
        <f t="shared" si="249"/>
        <v>-128596906.88820001</v>
      </c>
      <c r="P684">
        <f t="shared" si="250"/>
        <v>-154945630.1532</v>
      </c>
      <c r="Q684">
        <f t="shared" si="251"/>
        <v>-160179824.90760002</v>
      </c>
      <c r="S684">
        <f t="shared" si="252"/>
        <v>2007377.379</v>
      </c>
      <c r="T684">
        <f t="shared" si="253"/>
        <v>-75325923.964200005</v>
      </c>
      <c r="U684">
        <f t="shared" si="254"/>
        <v>-126434768.26109999</v>
      </c>
      <c r="V684">
        <f t="shared" si="255"/>
        <v>-134900676.8337</v>
      </c>
      <c r="W684">
        <f t="shared" si="256"/>
        <v>-180208504.63469997</v>
      </c>
      <c r="X684">
        <f t="shared" si="257"/>
        <v>-183363746.93370003</v>
      </c>
      <c r="Z684">
        <f t="shared" si="258"/>
        <v>2179438.2972000004</v>
      </c>
      <c r="AA684">
        <f t="shared" si="259"/>
        <v>-83603498.026200011</v>
      </c>
      <c r="AB684">
        <f t="shared" si="260"/>
        <v>-137319880.7604</v>
      </c>
      <c r="AC684">
        <f t="shared" si="261"/>
        <v>-171462542.5176</v>
      </c>
      <c r="AD684">
        <f t="shared" si="262"/>
        <v>-205471379.1162</v>
      </c>
      <c r="AE684">
        <f t="shared" si="263"/>
        <v>-206547668.9598</v>
      </c>
    </row>
    <row r="685" spans="1:31" x14ac:dyDescent="0.25">
      <c r="A685">
        <v>39.204318999999998</v>
      </c>
      <c r="B685">
        <v>119.807249</v>
      </c>
      <c r="C685">
        <v>26.389209749999999</v>
      </c>
      <c r="D685">
        <v>12.48792458</v>
      </c>
      <c r="E685" t="b">
        <f t="shared" si="240"/>
        <v>0</v>
      </c>
      <c r="F685">
        <f t="shared" si="241"/>
        <v>-119.45812416999999</v>
      </c>
      <c r="G685">
        <f t="shared" si="242"/>
        <v>-251.40417291999998</v>
      </c>
      <c r="H685">
        <f t="shared" si="243"/>
        <v>-383.35022166999994</v>
      </c>
      <c r="I685">
        <f t="shared" si="244"/>
        <v>-515.29627041999993</v>
      </c>
      <c r="J685">
        <f t="shared" si="245"/>
        <v>-647.24231916999997</v>
      </c>
      <c r="L685">
        <f t="shared" si="246"/>
        <v>23976815.193600003</v>
      </c>
      <c r="M685">
        <f t="shared" si="247"/>
        <v>-193522161.15539998</v>
      </c>
      <c r="N685">
        <f t="shared" si="248"/>
        <v>-346937758.62959993</v>
      </c>
      <c r="O685">
        <f t="shared" si="249"/>
        <v>-391017226.10339999</v>
      </c>
      <c r="P685">
        <f t="shared" si="250"/>
        <v>-474072568.7863999</v>
      </c>
      <c r="Q685">
        <f t="shared" si="251"/>
        <v>-491904162.56919998</v>
      </c>
      <c r="S685">
        <f t="shared" si="252"/>
        <v>26224641.618000001</v>
      </c>
      <c r="T685">
        <f t="shared" si="253"/>
        <v>-217413785.98939997</v>
      </c>
      <c r="U685">
        <f t="shared" si="254"/>
        <v>-379620301.1092</v>
      </c>
      <c r="V685">
        <f t="shared" si="255"/>
        <v>-410184737.1868999</v>
      </c>
      <c r="W685">
        <f t="shared" si="256"/>
        <v>-551367009.34939992</v>
      </c>
      <c r="X685">
        <f t="shared" si="257"/>
        <v>-563100817.67789996</v>
      </c>
      <c r="Z685">
        <f t="shared" si="258"/>
        <v>28472468.042400002</v>
      </c>
      <c r="AA685">
        <f t="shared" si="259"/>
        <v>-241305410.82339996</v>
      </c>
      <c r="AB685">
        <f t="shared" si="260"/>
        <v>-412302843.58880001</v>
      </c>
      <c r="AC685">
        <f t="shared" si="261"/>
        <v>-521356301.47119987</v>
      </c>
      <c r="AD685">
        <f t="shared" si="262"/>
        <v>-628661449.91239989</v>
      </c>
      <c r="AE685">
        <f t="shared" si="263"/>
        <v>-634297472.78659999</v>
      </c>
    </row>
    <row r="686" spans="1:31" x14ac:dyDescent="0.25">
      <c r="A686">
        <v>39.204594309999997</v>
      </c>
      <c r="B686">
        <v>118.4996922</v>
      </c>
      <c r="C686">
        <v>8.4687528600000004</v>
      </c>
      <c r="D686">
        <v>3.7871150999999998</v>
      </c>
      <c r="E686" t="b">
        <f t="shared" si="240"/>
        <v>0</v>
      </c>
      <c r="F686">
        <f t="shared" si="241"/>
        <v>-38.556649200000003</v>
      </c>
      <c r="G686">
        <f t="shared" si="242"/>
        <v>-80.900413500000013</v>
      </c>
      <c r="H686">
        <f t="shared" si="243"/>
        <v>-123.24417780000002</v>
      </c>
      <c r="I686">
        <f t="shared" si="244"/>
        <v>-165.58794210000002</v>
      </c>
      <c r="J686">
        <f t="shared" si="245"/>
        <v>-207.93170640000002</v>
      </c>
      <c r="L686">
        <f t="shared" si="246"/>
        <v>7271260.9919999996</v>
      </c>
      <c r="M686">
        <f t="shared" si="247"/>
        <v>-62461771.704000011</v>
      </c>
      <c r="N686">
        <f t="shared" si="248"/>
        <v>-111642570.63000001</v>
      </c>
      <c r="O686">
        <f t="shared" si="249"/>
        <v>-125709061.35600002</v>
      </c>
      <c r="P686">
        <f t="shared" si="250"/>
        <v>-152340906.73200002</v>
      </c>
      <c r="Q686">
        <f t="shared" si="251"/>
        <v>-158028096.86400002</v>
      </c>
      <c r="S686">
        <f t="shared" si="252"/>
        <v>7952941.71</v>
      </c>
      <c r="T686">
        <f t="shared" si="253"/>
        <v>-70173101.544000015</v>
      </c>
      <c r="U686">
        <f t="shared" si="254"/>
        <v>-122159624.38500002</v>
      </c>
      <c r="V686">
        <f t="shared" si="255"/>
        <v>-131871270.24599999</v>
      </c>
      <c r="W686">
        <f t="shared" si="256"/>
        <v>-177179098.04699999</v>
      </c>
      <c r="X686">
        <f t="shared" si="257"/>
        <v>-180900584.56800002</v>
      </c>
      <c r="Z686">
        <f t="shared" si="258"/>
        <v>8634622.4279999994</v>
      </c>
      <c r="AA686">
        <f t="shared" si="259"/>
        <v>-77884431.384000003</v>
      </c>
      <c r="AB686">
        <f t="shared" si="260"/>
        <v>-132676678.14000003</v>
      </c>
      <c r="AC686">
        <f t="shared" si="261"/>
        <v>-167612081.808</v>
      </c>
      <c r="AD686">
        <f t="shared" si="262"/>
        <v>-202017289.36200002</v>
      </c>
      <c r="AE686">
        <f t="shared" si="263"/>
        <v>-203773072.27200004</v>
      </c>
    </row>
    <row r="687" spans="1:31" x14ac:dyDescent="0.25">
      <c r="A687">
        <v>39.210476870000001</v>
      </c>
      <c r="B687">
        <v>118.4412883</v>
      </c>
      <c r="C687">
        <v>8.4687528600000004</v>
      </c>
      <c r="D687">
        <v>0.39322500999999999</v>
      </c>
      <c r="E687" t="b">
        <f t="shared" si="240"/>
        <v>0</v>
      </c>
      <c r="F687">
        <f t="shared" si="241"/>
        <v>-41.950539290000002</v>
      </c>
      <c r="G687">
        <f t="shared" si="242"/>
        <v>-84.294303590000013</v>
      </c>
      <c r="H687">
        <f t="shared" si="243"/>
        <v>-126.63806789000002</v>
      </c>
      <c r="I687">
        <f t="shared" si="244"/>
        <v>-168.98183219000001</v>
      </c>
      <c r="J687">
        <f t="shared" si="245"/>
        <v>-211.32559649000001</v>
      </c>
      <c r="L687">
        <f t="shared" si="246"/>
        <v>754992.0192000001</v>
      </c>
      <c r="M687">
        <f t="shared" si="247"/>
        <v>-67959873.649800003</v>
      </c>
      <c r="N687">
        <f t="shared" si="248"/>
        <v>-116326138.95420001</v>
      </c>
      <c r="O687">
        <f t="shared" si="249"/>
        <v>-129170829.24780002</v>
      </c>
      <c r="P687">
        <f t="shared" si="250"/>
        <v>-155463285.61479998</v>
      </c>
      <c r="Q687">
        <f t="shared" si="251"/>
        <v>-160607453.33240002</v>
      </c>
      <c r="S687">
        <f t="shared" si="252"/>
        <v>825772.52100000007</v>
      </c>
      <c r="T687">
        <f t="shared" si="253"/>
        <v>-76349981.507799998</v>
      </c>
      <c r="U687">
        <f t="shared" si="254"/>
        <v>-127284398.42090003</v>
      </c>
      <c r="V687">
        <f t="shared" si="255"/>
        <v>-135502732.64230001</v>
      </c>
      <c r="W687">
        <f t="shared" si="256"/>
        <v>-180810560.44329998</v>
      </c>
      <c r="X687">
        <f t="shared" si="257"/>
        <v>-183853268.9463</v>
      </c>
      <c r="Z687">
        <f t="shared" si="258"/>
        <v>896553.02280000015</v>
      </c>
      <c r="AA687">
        <f t="shared" si="259"/>
        <v>-84740089.365799993</v>
      </c>
      <c r="AB687">
        <f t="shared" si="260"/>
        <v>-138242657.88760003</v>
      </c>
      <c r="AC687">
        <f t="shared" si="261"/>
        <v>-172227772.33040002</v>
      </c>
      <c r="AD687">
        <f t="shared" si="262"/>
        <v>-206157835.27179998</v>
      </c>
      <c r="AE687">
        <f t="shared" si="263"/>
        <v>-207099084.56020001</v>
      </c>
    </row>
    <row r="688" spans="1:31" x14ac:dyDescent="0.25">
      <c r="A688">
        <v>39.210814419999998</v>
      </c>
      <c r="B688">
        <v>119.74895239999999</v>
      </c>
      <c r="C688">
        <v>34.145671839999999</v>
      </c>
      <c r="D688">
        <v>28.078243260000001</v>
      </c>
      <c r="E688" t="b">
        <f t="shared" si="240"/>
        <v>0</v>
      </c>
      <c r="F688">
        <f t="shared" si="241"/>
        <v>-142.65011594000001</v>
      </c>
      <c r="G688">
        <f t="shared" si="242"/>
        <v>-313.37847513999998</v>
      </c>
      <c r="H688">
        <f t="shared" si="243"/>
        <v>-484.10683433999998</v>
      </c>
      <c r="I688">
        <f t="shared" si="244"/>
        <v>-654.83519353999998</v>
      </c>
      <c r="J688">
        <f t="shared" si="245"/>
        <v>-825.56355273999998</v>
      </c>
      <c r="L688">
        <f t="shared" si="246"/>
        <v>53910227.059200004</v>
      </c>
      <c r="M688">
        <f t="shared" si="247"/>
        <v>-231093187.82280001</v>
      </c>
      <c r="N688">
        <f t="shared" si="248"/>
        <v>-432462295.69319993</v>
      </c>
      <c r="O688">
        <f t="shared" si="249"/>
        <v>-493788971.02679998</v>
      </c>
      <c r="P688">
        <f t="shared" si="250"/>
        <v>-602448378.05679989</v>
      </c>
      <c r="Q688">
        <f t="shared" si="251"/>
        <v>-627428300.08239996</v>
      </c>
      <c r="S688">
        <f t="shared" si="252"/>
        <v>58964310.846000008</v>
      </c>
      <c r="T688">
        <f t="shared" si="253"/>
        <v>-259623211.0108</v>
      </c>
      <c r="U688">
        <f t="shared" si="254"/>
        <v>-473201497.46139997</v>
      </c>
      <c r="V688">
        <f t="shared" si="255"/>
        <v>-517994312.74379987</v>
      </c>
      <c r="W688">
        <f t="shared" si="256"/>
        <v>-700673657.08779991</v>
      </c>
      <c r="X688">
        <f t="shared" si="257"/>
        <v>-718240290.88380003</v>
      </c>
      <c r="Z688">
        <f t="shared" si="258"/>
        <v>64018394.632800013</v>
      </c>
      <c r="AA688">
        <f t="shared" si="259"/>
        <v>-288153234.19880003</v>
      </c>
      <c r="AB688">
        <f t="shared" si="260"/>
        <v>-513940699.22960001</v>
      </c>
      <c r="AC688">
        <f t="shared" si="261"/>
        <v>-658385294.70239985</v>
      </c>
      <c r="AD688">
        <f t="shared" si="262"/>
        <v>-798898936.11879992</v>
      </c>
      <c r="AE688">
        <f t="shared" si="263"/>
        <v>-809052281.68519998</v>
      </c>
    </row>
    <row r="689" spans="1:31" x14ac:dyDescent="0.25">
      <c r="A689">
        <v>39.211933930000001</v>
      </c>
      <c r="B689">
        <v>116.42503929999999</v>
      </c>
      <c r="C689">
        <v>53.31973267</v>
      </c>
      <c r="D689">
        <v>4.36806202</v>
      </c>
      <c r="E689" t="b">
        <f t="shared" si="240"/>
        <v>0</v>
      </c>
      <c r="F689">
        <f t="shared" si="241"/>
        <v>-262.23060132999996</v>
      </c>
      <c r="G689">
        <f t="shared" si="242"/>
        <v>-528.82926467999994</v>
      </c>
      <c r="H689">
        <f t="shared" si="243"/>
        <v>-795.42792802999998</v>
      </c>
      <c r="I689">
        <f t="shared" si="244"/>
        <v>-1062.0265913799999</v>
      </c>
      <c r="J689">
        <f t="shared" si="245"/>
        <v>-1328.6252547300001</v>
      </c>
      <c r="L689">
        <f t="shared" si="246"/>
        <v>8386679.0784</v>
      </c>
      <c r="M689">
        <f t="shared" si="247"/>
        <v>-424813574.15459996</v>
      </c>
      <c r="N689">
        <f t="shared" si="248"/>
        <v>-729784385.25839984</v>
      </c>
      <c r="O689">
        <f t="shared" si="249"/>
        <v>-811336486.59060001</v>
      </c>
      <c r="P689">
        <f t="shared" si="250"/>
        <v>-977064464.06959987</v>
      </c>
      <c r="Q689">
        <f t="shared" si="251"/>
        <v>-1009755193.5948</v>
      </c>
      <c r="S689">
        <f t="shared" si="252"/>
        <v>9172930.2419999987</v>
      </c>
      <c r="T689">
        <f t="shared" si="253"/>
        <v>-477259694.42059994</v>
      </c>
      <c r="U689">
        <f t="shared" si="254"/>
        <v>-798532189.6667999</v>
      </c>
      <c r="V689">
        <f t="shared" si="255"/>
        <v>-851107882.99209988</v>
      </c>
      <c r="W689">
        <f t="shared" si="256"/>
        <v>-1136368452.7765996</v>
      </c>
      <c r="X689">
        <f t="shared" si="257"/>
        <v>-1155903971.6150999</v>
      </c>
      <c r="Z689">
        <f t="shared" si="258"/>
        <v>9959181.4056000002</v>
      </c>
      <c r="AA689">
        <f t="shared" si="259"/>
        <v>-529705814.68659991</v>
      </c>
      <c r="AB689">
        <f t="shared" si="260"/>
        <v>-867279994.07519996</v>
      </c>
      <c r="AC689">
        <f t="shared" si="261"/>
        <v>-1081781982.1207998</v>
      </c>
      <c r="AD689">
        <f t="shared" si="262"/>
        <v>-1295672441.4835999</v>
      </c>
      <c r="AE689">
        <f t="shared" si="263"/>
        <v>-1302052749.6354001</v>
      </c>
    </row>
    <row r="690" spans="1:31" x14ac:dyDescent="0.25">
      <c r="A690">
        <v>39.216765100000003</v>
      </c>
      <c r="B690">
        <v>120.1071228</v>
      </c>
      <c r="C690">
        <v>61.15704727</v>
      </c>
      <c r="D690">
        <v>5.1420869800000002</v>
      </c>
      <c r="E690" t="b">
        <f t="shared" si="240"/>
        <v>0</v>
      </c>
      <c r="F690">
        <f t="shared" si="241"/>
        <v>-300.64314937</v>
      </c>
      <c r="G690">
        <f t="shared" si="242"/>
        <v>-606.42838571999994</v>
      </c>
      <c r="H690">
        <f t="shared" si="243"/>
        <v>-912.21362206999993</v>
      </c>
      <c r="I690">
        <f t="shared" si="244"/>
        <v>-1217.99885842</v>
      </c>
      <c r="J690">
        <f t="shared" si="245"/>
        <v>-1523.7840947700001</v>
      </c>
      <c r="L690">
        <f t="shared" si="246"/>
        <v>9872807.001600001</v>
      </c>
      <c r="M690">
        <f t="shared" si="247"/>
        <v>-487041901.97940004</v>
      </c>
      <c r="N690">
        <f t="shared" si="248"/>
        <v>-836871172.29359984</v>
      </c>
      <c r="O690">
        <f t="shared" si="249"/>
        <v>-930457894.51139998</v>
      </c>
      <c r="P690">
        <f t="shared" si="250"/>
        <v>-1120558949.7463999</v>
      </c>
      <c r="Q690">
        <f t="shared" si="251"/>
        <v>-1158075912.0252001</v>
      </c>
      <c r="S690">
        <f t="shared" si="252"/>
        <v>10798382.658000002</v>
      </c>
      <c r="T690">
        <f t="shared" si="253"/>
        <v>-547170531.85339999</v>
      </c>
      <c r="U690">
        <f t="shared" si="254"/>
        <v>-915706862.43719983</v>
      </c>
      <c r="V690">
        <f t="shared" si="255"/>
        <v>-976068575.61489975</v>
      </c>
      <c r="W690">
        <f t="shared" si="256"/>
        <v>-1303258778.5093999</v>
      </c>
      <c r="X690">
        <f t="shared" si="257"/>
        <v>-1325692162.4499002</v>
      </c>
      <c r="Z690">
        <f t="shared" si="258"/>
        <v>11723958.314400002</v>
      </c>
      <c r="AA690">
        <f t="shared" si="259"/>
        <v>-607299161.72740006</v>
      </c>
      <c r="AB690">
        <f t="shared" si="260"/>
        <v>-994542552.58079994</v>
      </c>
      <c r="AC690">
        <f t="shared" si="261"/>
        <v>-1240610526.0151999</v>
      </c>
      <c r="AD690">
        <f t="shared" si="262"/>
        <v>-1485958607.2724001</v>
      </c>
      <c r="AE690">
        <f t="shared" si="263"/>
        <v>-1493308412.8746002</v>
      </c>
    </row>
    <row r="691" spans="1:31" x14ac:dyDescent="0.25">
      <c r="A691">
        <v>39.221685309999998</v>
      </c>
      <c r="B691">
        <v>120.46534490000001</v>
      </c>
      <c r="C691">
        <v>23.28526115</v>
      </c>
      <c r="D691">
        <v>12.48792458</v>
      </c>
      <c r="E691" t="b">
        <f t="shared" si="240"/>
        <v>0</v>
      </c>
      <c r="F691">
        <f t="shared" si="241"/>
        <v>-103.93838117</v>
      </c>
      <c r="G691">
        <f t="shared" si="242"/>
        <v>-220.36468692</v>
      </c>
      <c r="H691">
        <f t="shared" si="243"/>
        <v>-336.79099266999998</v>
      </c>
      <c r="I691">
        <f t="shared" si="244"/>
        <v>-453.21729841999996</v>
      </c>
      <c r="J691">
        <f t="shared" si="245"/>
        <v>-569.64360417</v>
      </c>
      <c r="L691">
        <f t="shared" si="246"/>
        <v>23976815.193600003</v>
      </c>
      <c r="M691">
        <f t="shared" si="247"/>
        <v>-168380177.49540001</v>
      </c>
      <c r="N691">
        <f t="shared" si="248"/>
        <v>-304103267.94959998</v>
      </c>
      <c r="O691">
        <f t="shared" si="249"/>
        <v>-343526812.52339995</v>
      </c>
      <c r="P691">
        <f t="shared" si="250"/>
        <v>-416959914.54639995</v>
      </c>
      <c r="Q691">
        <f t="shared" si="251"/>
        <v>-432929139.16919994</v>
      </c>
      <c r="S691">
        <f t="shared" si="252"/>
        <v>26224641.618000001</v>
      </c>
      <c r="T691">
        <f t="shared" si="253"/>
        <v>-189167853.72940001</v>
      </c>
      <c r="U691">
        <f t="shared" si="254"/>
        <v>-332750677.24919999</v>
      </c>
      <c r="V691">
        <f t="shared" si="255"/>
        <v>-360366362.15689993</v>
      </c>
      <c r="W691">
        <f t="shared" si="256"/>
        <v>-484942509.3093999</v>
      </c>
      <c r="X691">
        <f t="shared" si="257"/>
        <v>-495589935.62789994</v>
      </c>
      <c r="Z691">
        <f t="shared" si="258"/>
        <v>28472468.042400002</v>
      </c>
      <c r="AA691">
        <f t="shared" si="259"/>
        <v>-209955529.96340001</v>
      </c>
      <c r="AB691">
        <f t="shared" si="260"/>
        <v>-361398086.54879999</v>
      </c>
      <c r="AC691">
        <f t="shared" si="261"/>
        <v>-458035750.03119987</v>
      </c>
      <c r="AD691">
        <f t="shared" si="262"/>
        <v>-552925104.07239997</v>
      </c>
      <c r="AE691">
        <f t="shared" si="263"/>
        <v>-558250732.08659995</v>
      </c>
    </row>
    <row r="692" spans="1:31" x14ac:dyDescent="0.25">
      <c r="A692">
        <v>39.230009199999998</v>
      </c>
      <c r="B692">
        <v>119.9905523</v>
      </c>
      <c r="C692">
        <v>106.57798769999999</v>
      </c>
      <c r="D692">
        <v>1.4691679499999999</v>
      </c>
      <c r="E692" t="b">
        <f t="shared" si="240"/>
        <v>0</v>
      </c>
      <c r="F692">
        <f t="shared" si="241"/>
        <v>-531.42077054999993</v>
      </c>
      <c r="G692">
        <f t="shared" si="242"/>
        <v>-1064.31070905</v>
      </c>
      <c r="H692">
        <f t="shared" si="243"/>
        <v>-1597.20064755</v>
      </c>
      <c r="I692">
        <f t="shared" si="244"/>
        <v>-2130.0905860499997</v>
      </c>
      <c r="J692">
        <f t="shared" si="245"/>
        <v>-2662.9805245499997</v>
      </c>
      <c r="L692">
        <f t="shared" si="246"/>
        <v>2820802.4640000002</v>
      </c>
      <c r="M692">
        <f t="shared" si="247"/>
        <v>-860901648.29100001</v>
      </c>
      <c r="N692">
        <f t="shared" si="248"/>
        <v>-1468748778.4890001</v>
      </c>
      <c r="O692">
        <f t="shared" si="249"/>
        <v>-1629144660.5009999</v>
      </c>
      <c r="P692">
        <f t="shared" si="250"/>
        <v>-1959683339.1659997</v>
      </c>
      <c r="Q692">
        <f t="shared" si="251"/>
        <v>-2023865198.6579998</v>
      </c>
      <c r="S692">
        <f t="shared" si="252"/>
        <v>3085252.6949999998</v>
      </c>
      <c r="T692">
        <f t="shared" si="253"/>
        <v>-967185802.4009999</v>
      </c>
      <c r="U692">
        <f t="shared" si="254"/>
        <v>-1607109170.6655002</v>
      </c>
      <c r="V692">
        <f t="shared" si="255"/>
        <v>-1709004692.8784997</v>
      </c>
      <c r="W692">
        <f t="shared" si="256"/>
        <v>-2279196927.0734992</v>
      </c>
      <c r="X692">
        <f t="shared" si="257"/>
        <v>-2316793056.3584995</v>
      </c>
      <c r="Z692">
        <f t="shared" si="258"/>
        <v>3349702.9260000004</v>
      </c>
      <c r="AA692">
        <f t="shared" si="259"/>
        <v>-1073469956.5109999</v>
      </c>
      <c r="AB692">
        <f t="shared" si="260"/>
        <v>-1745469562.8420002</v>
      </c>
      <c r="AC692">
        <f t="shared" si="261"/>
        <v>-2172192880.6679997</v>
      </c>
      <c r="AD692">
        <f t="shared" si="262"/>
        <v>-2598710514.9809995</v>
      </c>
      <c r="AE692">
        <f t="shared" si="263"/>
        <v>-2609720914.0589995</v>
      </c>
    </row>
    <row r="693" spans="1:31" x14ac:dyDescent="0.25">
      <c r="A693">
        <v>39.242881189999999</v>
      </c>
      <c r="B693">
        <v>119.4573199</v>
      </c>
      <c r="C693">
        <v>18.472446439999999</v>
      </c>
      <c r="D693">
        <v>0.73458396999999998</v>
      </c>
      <c r="E693" t="b">
        <f t="shared" si="240"/>
        <v>0</v>
      </c>
      <c r="F693">
        <f t="shared" si="241"/>
        <v>-91.627648229999991</v>
      </c>
      <c r="G693">
        <f t="shared" si="242"/>
        <v>-183.98988043</v>
      </c>
      <c r="H693">
        <f t="shared" si="243"/>
        <v>-276.35211262999997</v>
      </c>
      <c r="I693">
        <f t="shared" si="244"/>
        <v>-368.71434482999996</v>
      </c>
      <c r="J693">
        <f t="shared" si="245"/>
        <v>-461.07657702999995</v>
      </c>
      <c r="L693">
        <f t="shared" si="246"/>
        <v>1410401.2224000001</v>
      </c>
      <c r="M693">
        <f t="shared" si="247"/>
        <v>-148436790.13259998</v>
      </c>
      <c r="N693">
        <f t="shared" si="248"/>
        <v>-253906034.99339998</v>
      </c>
      <c r="O693">
        <f t="shared" si="249"/>
        <v>-281879154.88259995</v>
      </c>
      <c r="P693">
        <f t="shared" si="250"/>
        <v>-339217197.24359995</v>
      </c>
      <c r="Q693">
        <f t="shared" si="251"/>
        <v>-350418198.54280001</v>
      </c>
      <c r="S693">
        <f t="shared" si="252"/>
        <v>1542626.3370000001</v>
      </c>
      <c r="T693">
        <f t="shared" si="253"/>
        <v>-166762319.77859998</v>
      </c>
      <c r="U693">
        <f t="shared" si="254"/>
        <v>-277824719.44929999</v>
      </c>
      <c r="V693">
        <f t="shared" si="255"/>
        <v>-295696760.5140999</v>
      </c>
      <c r="W693">
        <f t="shared" si="256"/>
        <v>-394524348.96809995</v>
      </c>
      <c r="X693">
        <f t="shared" si="257"/>
        <v>-401136622.01609999</v>
      </c>
      <c r="Z693">
        <f t="shared" si="258"/>
        <v>1674851.4516</v>
      </c>
      <c r="AA693">
        <f t="shared" si="259"/>
        <v>-185087849.42459998</v>
      </c>
      <c r="AB693">
        <f t="shared" si="260"/>
        <v>-301743403.90520006</v>
      </c>
      <c r="AC693">
        <f t="shared" si="261"/>
        <v>-375838873.17679989</v>
      </c>
      <c r="AD693">
        <f t="shared" si="262"/>
        <v>-449831500.69259995</v>
      </c>
      <c r="AE693">
        <f t="shared" si="263"/>
        <v>-451855045.48939997</v>
      </c>
    </row>
    <row r="694" spans="1:31" x14ac:dyDescent="0.25">
      <c r="A694">
        <v>39.266990479999997</v>
      </c>
      <c r="B694">
        <v>120.47411409999999</v>
      </c>
      <c r="C694">
        <v>75.354934689999993</v>
      </c>
      <c r="D694">
        <v>1.4691679499999999</v>
      </c>
      <c r="E694" t="b">
        <f t="shared" si="240"/>
        <v>0</v>
      </c>
      <c r="F694">
        <f t="shared" si="241"/>
        <v>-375.30550549999998</v>
      </c>
      <c r="G694">
        <f t="shared" si="242"/>
        <v>-752.08017894999989</v>
      </c>
      <c r="H694">
        <f t="shared" si="243"/>
        <v>-1128.8548524</v>
      </c>
      <c r="I694">
        <f t="shared" si="244"/>
        <v>-1505.6295258499999</v>
      </c>
      <c r="J694">
        <f t="shared" si="245"/>
        <v>-1882.4041992999998</v>
      </c>
      <c r="L694">
        <f t="shared" si="246"/>
        <v>2820802.4640000002</v>
      </c>
      <c r="M694">
        <f t="shared" si="247"/>
        <v>-607994918.91000009</v>
      </c>
      <c r="N694">
        <f t="shared" si="248"/>
        <v>-1037870646.9509999</v>
      </c>
      <c r="O694">
        <f t="shared" si="249"/>
        <v>-1151431949.4480002</v>
      </c>
      <c r="P694">
        <f t="shared" si="250"/>
        <v>-1385179163.7819998</v>
      </c>
      <c r="Q694">
        <f t="shared" si="251"/>
        <v>-1430627191.4679999</v>
      </c>
      <c r="S694">
        <f t="shared" si="252"/>
        <v>3085252.6949999998</v>
      </c>
      <c r="T694">
        <f t="shared" si="253"/>
        <v>-683056020.00999999</v>
      </c>
      <c r="U694">
        <f t="shared" si="254"/>
        <v>-1135641070.2145</v>
      </c>
      <c r="V694">
        <f t="shared" si="255"/>
        <v>-1207874692.0679998</v>
      </c>
      <c r="W694">
        <f t="shared" si="256"/>
        <v>-1611023592.6594996</v>
      </c>
      <c r="X694">
        <f t="shared" si="257"/>
        <v>-1637691653.391</v>
      </c>
      <c r="Z694">
        <f t="shared" si="258"/>
        <v>3349702.9260000004</v>
      </c>
      <c r="AA694">
        <f t="shared" si="259"/>
        <v>-758117121.11000001</v>
      </c>
      <c r="AB694">
        <f t="shared" si="260"/>
        <v>-1233411493.4779999</v>
      </c>
      <c r="AC694">
        <f t="shared" si="261"/>
        <v>-1535242599.2639999</v>
      </c>
      <c r="AD694">
        <f t="shared" si="262"/>
        <v>-1836868021.5369999</v>
      </c>
      <c r="AE694">
        <f t="shared" si="263"/>
        <v>-1844756115.3139999</v>
      </c>
    </row>
    <row r="695" spans="1:31" x14ac:dyDescent="0.25">
      <c r="A695">
        <v>39.291696420000001</v>
      </c>
      <c r="B695">
        <v>120.65779209999999</v>
      </c>
      <c r="C695">
        <v>31.50655746</v>
      </c>
      <c r="D695">
        <v>9.7945000000000004E-2</v>
      </c>
      <c r="E695" t="b">
        <f t="shared" si="240"/>
        <v>0</v>
      </c>
      <c r="F695">
        <f t="shared" si="241"/>
        <v>-157.43484229999999</v>
      </c>
      <c r="G695">
        <f t="shared" si="242"/>
        <v>-314.96762960000001</v>
      </c>
      <c r="H695">
        <f t="shared" si="243"/>
        <v>-472.5004169</v>
      </c>
      <c r="I695">
        <f t="shared" si="244"/>
        <v>-630.0332042</v>
      </c>
      <c r="J695">
        <f t="shared" si="245"/>
        <v>-787.5659915</v>
      </c>
      <c r="L695">
        <f t="shared" si="246"/>
        <v>188054.40000000002</v>
      </c>
      <c r="M695">
        <f t="shared" si="247"/>
        <v>-255044444.52599999</v>
      </c>
      <c r="N695">
        <f t="shared" si="248"/>
        <v>-434655328.84799999</v>
      </c>
      <c r="O695">
        <f t="shared" si="249"/>
        <v>-481950425.23799998</v>
      </c>
      <c r="P695">
        <f t="shared" si="250"/>
        <v>-579630547.86399996</v>
      </c>
      <c r="Q695">
        <f t="shared" si="251"/>
        <v>-598550153.53999996</v>
      </c>
      <c r="S695">
        <f t="shared" si="252"/>
        <v>205684.5</v>
      </c>
      <c r="T695">
        <f t="shared" si="253"/>
        <v>-286531412.986</v>
      </c>
      <c r="U695">
        <f t="shared" si="254"/>
        <v>-475601120.69600004</v>
      </c>
      <c r="V695">
        <f t="shared" si="255"/>
        <v>-505575446.08299989</v>
      </c>
      <c r="W695">
        <f t="shared" si="256"/>
        <v>-674135528.49399996</v>
      </c>
      <c r="X695">
        <f t="shared" si="257"/>
        <v>-685182412.60500002</v>
      </c>
      <c r="Z695">
        <f t="shared" si="258"/>
        <v>223314.60000000003</v>
      </c>
      <c r="AA695">
        <f t="shared" si="259"/>
        <v>-318018381.44599998</v>
      </c>
      <c r="AB695">
        <f t="shared" si="260"/>
        <v>-516546912.54400009</v>
      </c>
      <c r="AC695">
        <f t="shared" si="261"/>
        <v>-642600566.98399997</v>
      </c>
      <c r="AD695">
        <f t="shared" si="262"/>
        <v>-768640509.12400007</v>
      </c>
      <c r="AE695">
        <f t="shared" si="263"/>
        <v>-771814671.66999996</v>
      </c>
    </row>
    <row r="696" spans="1:31" x14ac:dyDescent="0.25">
      <c r="A696">
        <v>39.31229278</v>
      </c>
      <c r="B696">
        <v>120.48289389999999</v>
      </c>
      <c r="C696">
        <v>27.2617321</v>
      </c>
      <c r="D696">
        <v>18.619251250000001</v>
      </c>
      <c r="E696" t="b">
        <f t="shared" si="240"/>
        <v>0</v>
      </c>
      <c r="F696">
        <f t="shared" si="241"/>
        <v>-117.68940925</v>
      </c>
      <c r="G696">
        <f t="shared" si="242"/>
        <v>-253.99806975000001</v>
      </c>
      <c r="H696">
        <f t="shared" si="243"/>
        <v>-390.30673024999999</v>
      </c>
      <c r="I696">
        <f t="shared" si="244"/>
        <v>-526.61539074999996</v>
      </c>
      <c r="J696">
        <f t="shared" si="245"/>
        <v>-662.92405124999993</v>
      </c>
      <c r="L696">
        <f t="shared" si="246"/>
        <v>35748962.400000006</v>
      </c>
      <c r="M696">
        <f t="shared" si="247"/>
        <v>-190656842.98500001</v>
      </c>
      <c r="N696">
        <f t="shared" si="248"/>
        <v>-350517336.255</v>
      </c>
      <c r="O696">
        <f t="shared" si="249"/>
        <v>-398112864.85500002</v>
      </c>
      <c r="P696">
        <f t="shared" si="250"/>
        <v>-484486159.48999989</v>
      </c>
      <c r="Q696">
        <f t="shared" si="251"/>
        <v>-503822278.94999993</v>
      </c>
      <c r="S696">
        <f t="shared" si="252"/>
        <v>39100427.625</v>
      </c>
      <c r="T696">
        <f t="shared" si="253"/>
        <v>-214194724.83500001</v>
      </c>
      <c r="U696">
        <f t="shared" si="254"/>
        <v>-383537085.32249999</v>
      </c>
      <c r="V696">
        <f t="shared" si="255"/>
        <v>-417628201.36749995</v>
      </c>
      <c r="W696">
        <f t="shared" si="256"/>
        <v>-563478468.10249984</v>
      </c>
      <c r="X696">
        <f t="shared" si="257"/>
        <v>-576743924.58749986</v>
      </c>
      <c r="Z696">
        <f t="shared" si="258"/>
        <v>42451892.850000001</v>
      </c>
      <c r="AA696">
        <f t="shared" si="259"/>
        <v>-237732606.685</v>
      </c>
      <c r="AB696">
        <f t="shared" si="260"/>
        <v>-416556834.39000005</v>
      </c>
      <c r="AC696">
        <f t="shared" si="261"/>
        <v>-530817153.13999993</v>
      </c>
      <c r="AD696">
        <f t="shared" si="262"/>
        <v>-642470776.71499991</v>
      </c>
      <c r="AE696">
        <f t="shared" si="263"/>
        <v>-649665570.2249999</v>
      </c>
    </row>
    <row r="697" spans="1:31" x14ac:dyDescent="0.25">
      <c r="A697">
        <v>39.319103589999997</v>
      </c>
      <c r="B697">
        <v>120.42457330000001</v>
      </c>
      <c r="C697">
        <v>63.334102629999997</v>
      </c>
      <c r="D697">
        <v>1.22430599</v>
      </c>
      <c r="E697" t="b">
        <f t="shared" si="240"/>
        <v>0</v>
      </c>
      <c r="F697">
        <f t="shared" si="241"/>
        <v>-315.44620715999997</v>
      </c>
      <c r="G697">
        <f t="shared" si="242"/>
        <v>-632.11672031000001</v>
      </c>
      <c r="H697">
        <f t="shared" si="243"/>
        <v>-948.78723346000004</v>
      </c>
      <c r="I697">
        <f t="shared" si="244"/>
        <v>-1265.45774661</v>
      </c>
      <c r="J697">
        <f t="shared" si="245"/>
        <v>-1582.12825976</v>
      </c>
      <c r="L697">
        <f t="shared" si="246"/>
        <v>2350667.5008</v>
      </c>
      <c r="M697">
        <f t="shared" si="247"/>
        <v>-511022855.59919995</v>
      </c>
      <c r="N697">
        <f t="shared" si="248"/>
        <v>-872321074.02779996</v>
      </c>
      <c r="O697">
        <f t="shared" si="249"/>
        <v>-967762978.1292001</v>
      </c>
      <c r="P697">
        <f t="shared" si="250"/>
        <v>-1164221126.8811998</v>
      </c>
      <c r="Q697">
        <f t="shared" si="251"/>
        <v>-1202417477.4175999</v>
      </c>
      <c r="S697">
        <f t="shared" si="252"/>
        <v>2571042.5789999999</v>
      </c>
      <c r="T697">
        <f t="shared" si="253"/>
        <v>-574112097.03119993</v>
      </c>
      <c r="U697">
        <f t="shared" si="254"/>
        <v>-954496247.66810012</v>
      </c>
      <c r="V697">
        <f t="shared" si="255"/>
        <v>-1015202339.8021998</v>
      </c>
      <c r="W697">
        <f t="shared" si="256"/>
        <v>-1354039788.8726997</v>
      </c>
      <c r="X697">
        <f t="shared" si="257"/>
        <v>-1376451585.9912</v>
      </c>
      <c r="Z697">
        <f t="shared" si="258"/>
        <v>2791417.6572000002</v>
      </c>
      <c r="AA697">
        <f t="shared" si="259"/>
        <v>-637201338.46319997</v>
      </c>
      <c r="AB697">
        <f t="shared" si="260"/>
        <v>-1036671421.3084002</v>
      </c>
      <c r="AC697">
        <f t="shared" si="261"/>
        <v>-1290350637.5056</v>
      </c>
      <c r="AD697">
        <f t="shared" si="262"/>
        <v>-1543858450.8641999</v>
      </c>
      <c r="AE697">
        <f t="shared" si="263"/>
        <v>-1550485694.5648</v>
      </c>
    </row>
    <row r="698" spans="1:31" x14ac:dyDescent="0.25">
      <c r="A698">
        <v>39.33006056</v>
      </c>
      <c r="B698">
        <v>120.7249977</v>
      </c>
      <c r="C698">
        <v>26.389209749999999</v>
      </c>
      <c r="D698">
        <v>1.8633940200000001</v>
      </c>
      <c r="E698" t="b">
        <f t="shared" si="240"/>
        <v>0</v>
      </c>
      <c r="F698">
        <f t="shared" si="241"/>
        <v>-130.08265473</v>
      </c>
      <c r="G698">
        <f t="shared" si="242"/>
        <v>-262.02870347999999</v>
      </c>
      <c r="H698">
        <f t="shared" si="243"/>
        <v>-393.97475222999998</v>
      </c>
      <c r="I698">
        <f t="shared" si="244"/>
        <v>-525.92080097999997</v>
      </c>
      <c r="J698">
        <f t="shared" si="245"/>
        <v>-657.86684973000001</v>
      </c>
      <c r="L698">
        <f t="shared" si="246"/>
        <v>3577716.5184000004</v>
      </c>
      <c r="M698">
        <f t="shared" si="247"/>
        <v>-210733900.66260001</v>
      </c>
      <c r="N698">
        <f t="shared" si="248"/>
        <v>-361599610.80239993</v>
      </c>
      <c r="O698">
        <f t="shared" si="249"/>
        <v>-401854247.27459997</v>
      </c>
      <c r="P698">
        <f t="shared" si="250"/>
        <v>-483847136.90159994</v>
      </c>
      <c r="Q698">
        <f t="shared" si="251"/>
        <v>-499978805.79480004</v>
      </c>
      <c r="S698">
        <f t="shared" si="252"/>
        <v>3913127.4420000003</v>
      </c>
      <c r="T698">
        <f t="shared" si="253"/>
        <v>-236750431.60860002</v>
      </c>
      <c r="U698">
        <f t="shared" si="254"/>
        <v>-395663342.25479996</v>
      </c>
      <c r="V698">
        <f t="shared" si="255"/>
        <v>-421552984.88609987</v>
      </c>
      <c r="W698">
        <f t="shared" si="256"/>
        <v>-562735257.04859984</v>
      </c>
      <c r="X698">
        <f t="shared" si="257"/>
        <v>-572344159.2651</v>
      </c>
      <c r="Z698">
        <f t="shared" si="258"/>
        <v>4248538.3656000001</v>
      </c>
      <c r="AA698">
        <f t="shared" si="259"/>
        <v>-262766962.5546</v>
      </c>
      <c r="AB698">
        <f t="shared" si="260"/>
        <v>-429727073.70719999</v>
      </c>
      <c r="AC698">
        <f t="shared" si="261"/>
        <v>-535805663.0327999</v>
      </c>
      <c r="AD698">
        <f t="shared" si="262"/>
        <v>-641623377.19559991</v>
      </c>
      <c r="AE698">
        <f t="shared" si="263"/>
        <v>-644709512.73539996</v>
      </c>
    </row>
    <row r="699" spans="1:31" x14ac:dyDescent="0.25">
      <c r="A699">
        <v>39.333663989999998</v>
      </c>
      <c r="B699">
        <v>116.6199962</v>
      </c>
      <c r="C699">
        <v>53.31973267</v>
      </c>
      <c r="D699">
        <v>7.9612717599999998</v>
      </c>
      <c r="E699" t="b">
        <f t="shared" si="240"/>
        <v>0</v>
      </c>
      <c r="F699">
        <f t="shared" si="241"/>
        <v>-258.63739158999999</v>
      </c>
      <c r="G699">
        <f t="shared" si="242"/>
        <v>-525.23605493999992</v>
      </c>
      <c r="H699">
        <f t="shared" si="243"/>
        <v>-791.83471828999996</v>
      </c>
      <c r="I699">
        <f t="shared" si="244"/>
        <v>-1058.4333816399999</v>
      </c>
      <c r="J699">
        <f t="shared" si="245"/>
        <v>-1325.03204499</v>
      </c>
      <c r="L699">
        <f t="shared" si="246"/>
        <v>15285641.779200001</v>
      </c>
      <c r="M699">
        <f t="shared" si="247"/>
        <v>-418992574.37580001</v>
      </c>
      <c r="N699">
        <f t="shared" si="248"/>
        <v>-724825755.81719983</v>
      </c>
      <c r="O699">
        <f t="shared" si="249"/>
        <v>-807671412.65579998</v>
      </c>
      <c r="P699">
        <f t="shared" si="250"/>
        <v>-973758711.10879982</v>
      </c>
      <c r="Q699">
        <f t="shared" si="251"/>
        <v>-1007024354.1924</v>
      </c>
      <c r="S699">
        <f t="shared" si="252"/>
        <v>16718670.696</v>
      </c>
      <c r="T699">
        <f t="shared" si="253"/>
        <v>-470720052.69380003</v>
      </c>
      <c r="U699">
        <f t="shared" si="254"/>
        <v>-793106442.95939994</v>
      </c>
      <c r="V699">
        <f t="shared" si="255"/>
        <v>-847263148.57029986</v>
      </c>
      <c r="W699">
        <f t="shared" si="256"/>
        <v>-1132523718.3547997</v>
      </c>
      <c r="X699">
        <f t="shared" si="257"/>
        <v>-1152777879.1413</v>
      </c>
      <c r="Z699">
        <f t="shared" si="258"/>
        <v>18151699.612800002</v>
      </c>
      <c r="AA699">
        <f t="shared" si="259"/>
        <v>-522447531.01179999</v>
      </c>
      <c r="AB699">
        <f t="shared" si="260"/>
        <v>-861387130.10159993</v>
      </c>
      <c r="AC699">
        <f t="shared" si="261"/>
        <v>-1076895216.8743999</v>
      </c>
      <c r="AD699">
        <f t="shared" si="262"/>
        <v>-1291288725.6007998</v>
      </c>
      <c r="AE699">
        <f t="shared" si="263"/>
        <v>-1298531404.0901999</v>
      </c>
    </row>
    <row r="700" spans="1:31" x14ac:dyDescent="0.25">
      <c r="A700">
        <v>39.340891390000003</v>
      </c>
      <c r="B700">
        <v>118.52246890000001</v>
      </c>
      <c r="C700">
        <v>0</v>
      </c>
      <c r="D700">
        <v>0.17120899000000001</v>
      </c>
      <c r="E700" t="b">
        <f t="shared" si="240"/>
        <v>1</v>
      </c>
      <c r="F700">
        <f t="shared" si="241"/>
        <v>0.17120899000000001</v>
      </c>
      <c r="G700">
        <f t="shared" si="242"/>
        <v>0.17120899000000001</v>
      </c>
      <c r="H700">
        <f t="shared" si="243"/>
        <v>0.17120899000000001</v>
      </c>
      <c r="I700">
        <f t="shared" si="244"/>
        <v>0.17120899000000001</v>
      </c>
      <c r="J700">
        <f t="shared" si="245"/>
        <v>0.17120899000000001</v>
      </c>
      <c r="L700">
        <f t="shared" si="246"/>
        <v>0</v>
      </c>
      <c r="M700">
        <f t="shared" si="247"/>
        <v>0</v>
      </c>
      <c r="N700">
        <f t="shared" si="248"/>
        <v>0</v>
      </c>
      <c r="O700">
        <f t="shared" si="249"/>
        <v>0</v>
      </c>
      <c r="P700">
        <f t="shared" si="250"/>
        <v>0</v>
      </c>
      <c r="Q700">
        <f t="shared" si="251"/>
        <v>0</v>
      </c>
      <c r="S700">
        <f t="shared" si="252"/>
        <v>0</v>
      </c>
      <c r="T700">
        <f t="shared" si="253"/>
        <v>0</v>
      </c>
      <c r="U700">
        <f t="shared" si="254"/>
        <v>0</v>
      </c>
      <c r="V700">
        <f t="shared" si="255"/>
        <v>0</v>
      </c>
      <c r="W700">
        <f t="shared" si="256"/>
        <v>0</v>
      </c>
      <c r="X700">
        <f t="shared" si="257"/>
        <v>0</v>
      </c>
      <c r="AA700">
        <f t="shared" si="259"/>
        <v>0</v>
      </c>
      <c r="AB700">
        <f t="shared" si="260"/>
        <v>0</v>
      </c>
      <c r="AC700">
        <f t="shared" si="261"/>
        <v>0</v>
      </c>
      <c r="AD700">
        <f t="shared" si="262"/>
        <v>0</v>
      </c>
      <c r="AE700">
        <f t="shared" si="263"/>
        <v>0</v>
      </c>
    </row>
    <row r="701" spans="1:31" x14ac:dyDescent="0.25">
      <c r="A701">
        <v>39.348578070000002</v>
      </c>
      <c r="B701">
        <v>116.4440536</v>
      </c>
      <c r="C701">
        <v>53.31973267</v>
      </c>
      <c r="D701">
        <v>0.36423298999999998</v>
      </c>
      <c r="E701" t="b">
        <f t="shared" si="240"/>
        <v>0</v>
      </c>
      <c r="F701">
        <f t="shared" si="241"/>
        <v>-266.23443035999998</v>
      </c>
      <c r="G701">
        <f t="shared" si="242"/>
        <v>-532.83309370999996</v>
      </c>
      <c r="H701">
        <f t="shared" si="243"/>
        <v>-799.43175706</v>
      </c>
      <c r="I701">
        <f t="shared" si="244"/>
        <v>-1066.03042041</v>
      </c>
      <c r="J701">
        <f t="shared" si="245"/>
        <v>-1332.6290837600002</v>
      </c>
      <c r="L701">
        <f t="shared" si="246"/>
        <v>699327.34080000001</v>
      </c>
      <c r="M701">
        <f t="shared" si="247"/>
        <v>-431299777.1832</v>
      </c>
      <c r="N701">
        <f t="shared" si="248"/>
        <v>-735309669.3197999</v>
      </c>
      <c r="O701">
        <f t="shared" si="249"/>
        <v>-815420392.20120001</v>
      </c>
      <c r="P701">
        <f t="shared" si="250"/>
        <v>-980747986.77719998</v>
      </c>
      <c r="Q701">
        <f t="shared" si="251"/>
        <v>-1012798103.6576002</v>
      </c>
      <c r="S701">
        <f t="shared" si="252"/>
        <v>764889.27899999998</v>
      </c>
      <c r="T701">
        <f t="shared" si="253"/>
        <v>-484546663.25519997</v>
      </c>
      <c r="U701">
        <f t="shared" si="254"/>
        <v>-804577971.50209999</v>
      </c>
      <c r="V701">
        <f t="shared" si="255"/>
        <v>-855391980.05419981</v>
      </c>
      <c r="W701">
        <f t="shared" si="256"/>
        <v>-1140652549.8386998</v>
      </c>
      <c r="X701">
        <f t="shared" si="257"/>
        <v>-1159387302.8712001</v>
      </c>
      <c r="Z701">
        <f>D701*(310+0.8+60)</f>
        <v>135.05759269199999</v>
      </c>
      <c r="AA701">
        <f t="shared" si="259"/>
        <v>-537793549.32719994</v>
      </c>
      <c r="AB701">
        <f t="shared" si="260"/>
        <v>-873846273.68440008</v>
      </c>
      <c r="AC701">
        <f t="shared" si="261"/>
        <v>-1087227189.6015999</v>
      </c>
      <c r="AD701">
        <f t="shared" si="262"/>
        <v>-1300557112.9002001</v>
      </c>
      <c r="AE701">
        <f t="shared" si="263"/>
        <v>-1305976502.0848002</v>
      </c>
    </row>
    <row r="702" spans="1:31" x14ac:dyDescent="0.25">
      <c r="A702">
        <v>39.352747520000001</v>
      </c>
      <c r="B702">
        <v>120.132813</v>
      </c>
      <c r="C702">
        <v>63.334102629999997</v>
      </c>
      <c r="D702">
        <v>1.22430599</v>
      </c>
      <c r="E702" t="b">
        <f t="shared" si="240"/>
        <v>0</v>
      </c>
      <c r="F702">
        <f t="shared" si="241"/>
        <v>-315.44620715999997</v>
      </c>
      <c r="G702">
        <f t="shared" si="242"/>
        <v>-632.11672031000001</v>
      </c>
      <c r="H702">
        <f t="shared" si="243"/>
        <v>-948.78723346000004</v>
      </c>
      <c r="I702">
        <f t="shared" si="244"/>
        <v>-1265.45774661</v>
      </c>
      <c r="J702">
        <f t="shared" si="245"/>
        <v>-1582.12825976</v>
      </c>
      <c r="L702">
        <f t="shared" si="246"/>
        <v>2350667.5008</v>
      </c>
      <c r="M702">
        <f t="shared" si="247"/>
        <v>-511022855.59919995</v>
      </c>
      <c r="N702">
        <f t="shared" si="248"/>
        <v>-872321074.02779996</v>
      </c>
      <c r="O702">
        <f t="shared" si="249"/>
        <v>-967762978.1292001</v>
      </c>
      <c r="P702">
        <f t="shared" si="250"/>
        <v>-1164221126.8811998</v>
      </c>
      <c r="Q702">
        <f t="shared" si="251"/>
        <v>-1202417477.4175999</v>
      </c>
      <c r="S702">
        <f t="shared" si="252"/>
        <v>2571042.5789999999</v>
      </c>
      <c r="T702">
        <f t="shared" si="253"/>
        <v>-574112097.03119993</v>
      </c>
      <c r="U702">
        <f t="shared" si="254"/>
        <v>-954496247.66810012</v>
      </c>
      <c r="V702">
        <f t="shared" si="255"/>
        <v>-1015202339.8021998</v>
      </c>
      <c r="W702">
        <f t="shared" si="256"/>
        <v>-1354039788.8726997</v>
      </c>
      <c r="X702">
        <f t="shared" si="257"/>
        <v>-1376451585.9912</v>
      </c>
      <c r="Z702">
        <f t="shared" ref="Z702:Z710" si="264">D702*(310+0.8+60)</f>
        <v>453.97266109200001</v>
      </c>
      <c r="AA702">
        <f t="shared" si="259"/>
        <v>-637201338.46319997</v>
      </c>
      <c r="AB702">
        <f t="shared" si="260"/>
        <v>-1036671421.3084002</v>
      </c>
      <c r="AC702">
        <f t="shared" si="261"/>
        <v>-1290350637.5056</v>
      </c>
      <c r="AD702">
        <f t="shared" si="262"/>
        <v>-1543858450.8641999</v>
      </c>
      <c r="AE702">
        <f t="shared" si="263"/>
        <v>-1550485694.5648</v>
      </c>
    </row>
    <row r="703" spans="1:31" x14ac:dyDescent="0.25">
      <c r="A703">
        <v>39.358382759999998</v>
      </c>
      <c r="B703">
        <v>116.32671999999999</v>
      </c>
      <c r="C703">
        <v>53.31973267</v>
      </c>
      <c r="D703">
        <v>3.6432991000000001</v>
      </c>
      <c r="E703" t="b">
        <f t="shared" si="240"/>
        <v>0</v>
      </c>
      <c r="F703">
        <f t="shared" si="241"/>
        <v>-262.95536425</v>
      </c>
      <c r="G703">
        <f t="shared" si="242"/>
        <v>-529.55402759999993</v>
      </c>
      <c r="H703">
        <f t="shared" si="243"/>
        <v>-796.15269094999996</v>
      </c>
      <c r="I703">
        <f t="shared" si="244"/>
        <v>-1062.7513543</v>
      </c>
      <c r="J703">
        <f t="shared" si="245"/>
        <v>-1329.3500176500002</v>
      </c>
      <c r="L703">
        <f t="shared" si="246"/>
        <v>6995134.2720000008</v>
      </c>
      <c r="M703">
        <f t="shared" si="247"/>
        <v>-425987690.08500004</v>
      </c>
      <c r="N703">
        <f t="shared" si="248"/>
        <v>-730784558.08799982</v>
      </c>
      <c r="O703">
        <f t="shared" si="249"/>
        <v>-812075744.76899993</v>
      </c>
      <c r="P703">
        <f t="shared" si="250"/>
        <v>-977731245.95599985</v>
      </c>
      <c r="Q703">
        <f t="shared" si="251"/>
        <v>-1010306013.414</v>
      </c>
      <c r="S703">
        <f t="shared" si="252"/>
        <v>7650928.1100000003</v>
      </c>
      <c r="T703">
        <f t="shared" si="253"/>
        <v>-478578762.935</v>
      </c>
      <c r="U703">
        <f t="shared" si="254"/>
        <v>-799626581.67599988</v>
      </c>
      <c r="V703">
        <f t="shared" si="255"/>
        <v>-851883379.31649983</v>
      </c>
      <c r="W703">
        <f t="shared" si="256"/>
        <v>-1137143949.1009998</v>
      </c>
      <c r="X703">
        <f t="shared" si="257"/>
        <v>-1156534515.3555</v>
      </c>
      <c r="Z703">
        <f t="shared" si="264"/>
        <v>1350.9353062800001</v>
      </c>
      <c r="AA703">
        <f t="shared" si="259"/>
        <v>-531169835.78500003</v>
      </c>
      <c r="AB703">
        <f t="shared" si="260"/>
        <v>-868468605.26399994</v>
      </c>
      <c r="AC703">
        <f t="shared" si="261"/>
        <v>-1082767659.6919999</v>
      </c>
      <c r="AD703">
        <f t="shared" si="262"/>
        <v>-1296556652.2459998</v>
      </c>
      <c r="AE703">
        <f t="shared" si="263"/>
        <v>-1302763017.2970002</v>
      </c>
    </row>
    <row r="704" spans="1:31" x14ac:dyDescent="0.25">
      <c r="A704">
        <v>39.39604293</v>
      </c>
      <c r="B704">
        <v>120.558864</v>
      </c>
      <c r="C704">
        <v>68.169960020000005</v>
      </c>
      <c r="D704">
        <v>1.7140289500000001</v>
      </c>
      <c r="E704" t="b">
        <f t="shared" si="240"/>
        <v>0</v>
      </c>
      <c r="F704">
        <f t="shared" si="241"/>
        <v>-339.13577115000004</v>
      </c>
      <c r="G704">
        <f t="shared" si="242"/>
        <v>-679.98557125000002</v>
      </c>
      <c r="H704">
        <f t="shared" si="243"/>
        <v>-1020.8353713500001</v>
      </c>
      <c r="I704">
        <f t="shared" si="244"/>
        <v>-1361.6851714500001</v>
      </c>
      <c r="J704">
        <f t="shared" si="245"/>
        <v>-1702.5349715500001</v>
      </c>
      <c r="L704">
        <f t="shared" si="246"/>
        <v>3290935.5840000007</v>
      </c>
      <c r="M704">
        <f t="shared" si="247"/>
        <v>-549399949.26300013</v>
      </c>
      <c r="N704">
        <f t="shared" si="248"/>
        <v>-938380088.32499993</v>
      </c>
      <c r="O704">
        <f t="shared" si="249"/>
        <v>-1041252078.7770001</v>
      </c>
      <c r="P704">
        <f t="shared" si="250"/>
        <v>-1252750357.734</v>
      </c>
      <c r="Q704">
        <f t="shared" si="251"/>
        <v>-1293926578.3780003</v>
      </c>
      <c r="S704">
        <f t="shared" si="252"/>
        <v>3599460.7950000004</v>
      </c>
      <c r="T704">
        <f t="shared" si="253"/>
        <v>-617227103.49300003</v>
      </c>
      <c r="U704">
        <f t="shared" si="254"/>
        <v>-1026778212.5875</v>
      </c>
      <c r="V704">
        <f t="shared" si="255"/>
        <v>-1092293847.3444998</v>
      </c>
      <c r="W704">
        <f t="shared" si="256"/>
        <v>-1457003133.4514999</v>
      </c>
      <c r="X704">
        <f t="shared" si="257"/>
        <v>-1481205425.2485001</v>
      </c>
      <c r="Z704">
        <f t="shared" si="264"/>
        <v>635.56193466000002</v>
      </c>
      <c r="AA704">
        <f t="shared" si="259"/>
        <v>-685054257.72300005</v>
      </c>
      <c r="AB704">
        <f t="shared" si="260"/>
        <v>-1115176336.8500001</v>
      </c>
      <c r="AC704">
        <f t="shared" si="261"/>
        <v>-1388336105.036</v>
      </c>
      <c r="AD704">
        <f t="shared" si="262"/>
        <v>-1661255909.1689999</v>
      </c>
      <c r="AE704">
        <f t="shared" si="263"/>
        <v>-1668484272.1190002</v>
      </c>
    </row>
    <row r="705" spans="1:31" x14ac:dyDescent="0.25">
      <c r="A705">
        <v>39.448182090000003</v>
      </c>
      <c r="B705">
        <v>120.5092968</v>
      </c>
      <c r="C705">
        <v>66.620788570000002</v>
      </c>
      <c r="D705">
        <v>6.1215319600000004</v>
      </c>
      <c r="E705" t="b">
        <f t="shared" si="240"/>
        <v>0</v>
      </c>
      <c r="F705">
        <f t="shared" si="241"/>
        <v>-326.98241088999998</v>
      </c>
      <c r="G705">
        <f t="shared" si="242"/>
        <v>-660.08635374000005</v>
      </c>
      <c r="H705">
        <f t="shared" si="243"/>
        <v>-993.19029659</v>
      </c>
      <c r="I705">
        <f t="shared" si="244"/>
        <v>-1326.29423944</v>
      </c>
      <c r="J705">
        <f t="shared" si="245"/>
        <v>-1659.39818229</v>
      </c>
      <c r="L705">
        <f t="shared" si="246"/>
        <v>11753341.363200003</v>
      </c>
      <c r="M705">
        <f t="shared" si="247"/>
        <v>-529711505.64179999</v>
      </c>
      <c r="N705">
        <f t="shared" si="248"/>
        <v>-910919168.16119993</v>
      </c>
      <c r="O705">
        <f t="shared" si="249"/>
        <v>-1013054102.5218</v>
      </c>
      <c r="P705">
        <f t="shared" si="250"/>
        <v>-1220190700.2848001</v>
      </c>
      <c r="Q705">
        <f t="shared" si="251"/>
        <v>-1261142618.5404</v>
      </c>
      <c r="S705">
        <f t="shared" si="252"/>
        <v>12855217.116000002</v>
      </c>
      <c r="T705">
        <f t="shared" si="253"/>
        <v>-595107987.81980002</v>
      </c>
      <c r="U705">
        <f t="shared" si="254"/>
        <v>-996730394.14740002</v>
      </c>
      <c r="V705">
        <f t="shared" si="255"/>
        <v>-1062713617.3512999</v>
      </c>
      <c r="W705">
        <f t="shared" si="256"/>
        <v>-1419134836.2007999</v>
      </c>
      <c r="X705">
        <f t="shared" si="257"/>
        <v>-1443676418.5922999</v>
      </c>
      <c r="Z705">
        <f t="shared" si="264"/>
        <v>2269.8640507680002</v>
      </c>
      <c r="AA705">
        <f t="shared" si="259"/>
        <v>-660504469.99779999</v>
      </c>
      <c r="AB705">
        <f t="shared" si="260"/>
        <v>-1082541620.1336</v>
      </c>
      <c r="AC705">
        <f t="shared" si="261"/>
        <v>-1350738803.3623998</v>
      </c>
      <c r="AD705">
        <f t="shared" si="262"/>
        <v>-1618078972.1168001</v>
      </c>
      <c r="AE705">
        <f t="shared" si="263"/>
        <v>-1626210218.6441998</v>
      </c>
    </row>
    <row r="706" spans="1:31" x14ac:dyDescent="0.25">
      <c r="A706">
        <v>39.449476449999999</v>
      </c>
      <c r="B706">
        <v>116.3392939</v>
      </c>
      <c r="C706">
        <v>53.31973267</v>
      </c>
      <c r="D706">
        <v>9.5043000000000002E-2</v>
      </c>
      <c r="E706" t="b">
        <f t="shared" si="240"/>
        <v>0</v>
      </c>
      <c r="F706">
        <f t="shared" si="241"/>
        <v>-266.50362035000001</v>
      </c>
      <c r="G706">
        <f t="shared" si="242"/>
        <v>-533.10228369999993</v>
      </c>
      <c r="H706">
        <f t="shared" si="243"/>
        <v>-799.70094704999997</v>
      </c>
      <c r="I706">
        <f t="shared" si="244"/>
        <v>-1066.2996103999999</v>
      </c>
      <c r="J706">
        <f t="shared" si="245"/>
        <v>-1332.89827375</v>
      </c>
      <c r="L706">
        <f t="shared" si="246"/>
        <v>182482.56000000003</v>
      </c>
      <c r="M706">
        <f t="shared" si="247"/>
        <v>-431735864.96700001</v>
      </c>
      <c r="N706">
        <f t="shared" si="248"/>
        <v>-735681151.5059998</v>
      </c>
      <c r="O706">
        <f t="shared" si="249"/>
        <v>-815694965.99099994</v>
      </c>
      <c r="P706">
        <f t="shared" si="250"/>
        <v>-980995641.56799984</v>
      </c>
      <c r="Q706">
        <f t="shared" si="251"/>
        <v>-1013002688.05</v>
      </c>
      <c r="S706">
        <f t="shared" si="252"/>
        <v>199590.30000000002</v>
      </c>
      <c r="T706">
        <f t="shared" si="253"/>
        <v>-485036589.037</v>
      </c>
      <c r="U706">
        <f t="shared" si="254"/>
        <v>-804984448.38699985</v>
      </c>
      <c r="V706">
        <f t="shared" si="255"/>
        <v>-855680013.34349978</v>
      </c>
      <c r="W706">
        <f t="shared" si="256"/>
        <v>-1140940583.1279998</v>
      </c>
      <c r="X706">
        <f t="shared" si="257"/>
        <v>-1159621498.1624999</v>
      </c>
      <c r="Z706">
        <f t="shared" si="264"/>
        <v>35.241944400000001</v>
      </c>
      <c r="AA706">
        <f t="shared" si="259"/>
        <v>-538337313.10699999</v>
      </c>
      <c r="AB706">
        <f t="shared" si="260"/>
        <v>-874287745.26800001</v>
      </c>
      <c r="AC706">
        <f t="shared" si="261"/>
        <v>-1087593287.9879999</v>
      </c>
      <c r="AD706">
        <f t="shared" si="262"/>
        <v>-1300885524.6879997</v>
      </c>
      <c r="AE706">
        <f t="shared" si="263"/>
        <v>-1306240308.2750001</v>
      </c>
    </row>
    <row r="707" spans="1:31" x14ac:dyDescent="0.25">
      <c r="A707">
        <v>39.490122569999997</v>
      </c>
      <c r="B707">
        <v>116.4043686</v>
      </c>
      <c r="C707">
        <v>53.31973267</v>
      </c>
      <c r="D707">
        <v>0.33725699999999997</v>
      </c>
      <c r="E707" t="b">
        <f t="shared" ref="E707:E770" si="265">D707&gt;C707</f>
        <v>0</v>
      </c>
      <c r="F707">
        <f t="shared" ref="F707:F770" si="266">D707-(C707*(2030-2025))</f>
        <v>-266.26140634999996</v>
      </c>
      <c r="G707">
        <f t="shared" ref="G707:G770" si="267">D707-(C707*(2035-2025))</f>
        <v>-532.86006969999994</v>
      </c>
      <c r="H707">
        <f t="shared" ref="H707:H770" si="268">D707-(C707*(2040-2025))</f>
        <v>-799.45873304999998</v>
      </c>
      <c r="I707">
        <f t="shared" ref="I707:I770" si="269">D707-(C707*(2045-2025))</f>
        <v>-1066.0573964</v>
      </c>
      <c r="J707">
        <f t="shared" ref="J707:J770" si="270">D707-(C707*(2050-2025))</f>
        <v>-1332.6560597500002</v>
      </c>
      <c r="L707">
        <f t="shared" ref="L707:L770" si="271">MIN(C707,D707)*1000000*((280/250)+0.8)</f>
        <v>647533.44000000006</v>
      </c>
      <c r="M707">
        <f t="shared" ref="M707:M770" si="272">MIN(F707,C707)*1000000*((230/250)+0.7)</f>
        <v>-431343478.28699994</v>
      </c>
      <c r="N707">
        <f t="shared" ref="N707:N770" si="273">MIN(G707,C707)*1000000*((195/250)+0.6)</f>
        <v>-735346896.18599987</v>
      </c>
      <c r="O707">
        <f t="shared" ref="O707:O770" si="274">MIN(H707,C707)*1000000*((130/250)+0.5)</f>
        <v>-815447907.71099997</v>
      </c>
      <c r="P707">
        <f t="shared" ref="P707:P770" si="275">MIN(I707,C707)*1000000*((105/250)+0.5)</f>
        <v>-980772804.68799984</v>
      </c>
      <c r="Q707">
        <f t="shared" ref="Q707:Q770" si="276">MIN(J707,C707)*1000000*((90/250)+0.4)</f>
        <v>-1012818605.4100002</v>
      </c>
      <c r="S707">
        <f t="shared" ref="S707:S770" si="277">MIN(C707,D707)*1000000*((325/250)+0.8)</f>
        <v>708239.70000000007</v>
      </c>
      <c r="T707">
        <f t="shared" ref="T707:T770" si="278">MIN(F707,C707)*1000000*((280/250)+0.7)</f>
        <v>-484595759.55699992</v>
      </c>
      <c r="U707">
        <f t="shared" ref="U707:U770" si="279">MIN(G707,C707)*1000000*((227.5/250)+0.6)</f>
        <v>-804618705.24699986</v>
      </c>
      <c r="V707">
        <f t="shared" ref="V707:V770" si="280">MIN(H707,C707)*1000000*((142.5/250)+0.5)</f>
        <v>-855420844.36349988</v>
      </c>
      <c r="W707">
        <f t="shared" ref="W707:W770" si="281">MIN(I707,C707)*1000000*((142.5/250)+0.5)</f>
        <v>-1140681414.1479998</v>
      </c>
      <c r="X707">
        <f t="shared" ref="X707:X770" si="282">MIN(J707,C707)*1000000*( (117.5/250)+0.4)</f>
        <v>-1159410771.9825003</v>
      </c>
      <c r="Z707">
        <f t="shared" si="264"/>
        <v>125.05489559999999</v>
      </c>
      <c r="AA707">
        <f t="shared" ref="AA707:AA770" si="283">MIN(C707,F707)*1000000*((330/250)+0.7)</f>
        <v>-537848040.8269999</v>
      </c>
      <c r="AB707">
        <f t="shared" ref="AB707:AB770" si="284">MIN(C707,G707)*1000000*((260/250)+0.6)</f>
        <v>-873890514.30799997</v>
      </c>
      <c r="AC707">
        <f t="shared" ref="AC707:AC770" si="285">MIN(C707,H707)*1000000*((215/250)+0.5)</f>
        <v>-1087263876.948</v>
      </c>
      <c r="AD707">
        <f t="shared" ref="AD707:AD770" si="286">MIN(C707,I707)*1000000*((180/250)+0.5)</f>
        <v>-1300590023.608</v>
      </c>
      <c r="AE707">
        <f t="shared" ref="AE707:AE770" si="287">MIN(C707,J707)*1000000*((145/250)+0.4)</f>
        <v>-1306002938.5550003</v>
      </c>
    </row>
    <row r="708" spans="1:31" x14ac:dyDescent="0.25">
      <c r="A708">
        <v>39.531903010000001</v>
      </c>
      <c r="B708">
        <v>120.58543400000001</v>
      </c>
      <c r="C708">
        <v>19.561555859999999</v>
      </c>
      <c r="D708">
        <v>13.37187481</v>
      </c>
      <c r="E708" t="b">
        <f t="shared" si="265"/>
        <v>0</v>
      </c>
      <c r="F708">
        <f t="shared" si="266"/>
        <v>-84.435904489999999</v>
      </c>
      <c r="G708">
        <f t="shared" si="267"/>
        <v>-182.24368378999998</v>
      </c>
      <c r="H708">
        <f t="shared" si="268"/>
        <v>-280.05146308999997</v>
      </c>
      <c r="I708">
        <f t="shared" si="269"/>
        <v>-377.85924238999996</v>
      </c>
      <c r="J708">
        <f t="shared" si="270"/>
        <v>-475.66702168999996</v>
      </c>
      <c r="L708">
        <f t="shared" si="271"/>
        <v>25673999.635200001</v>
      </c>
      <c r="M708">
        <f t="shared" si="272"/>
        <v>-136786165.27379999</v>
      </c>
      <c r="N708">
        <f t="shared" si="273"/>
        <v>-251496283.63019997</v>
      </c>
      <c r="O708">
        <f t="shared" si="274"/>
        <v>-285652492.35179996</v>
      </c>
      <c r="P708">
        <f t="shared" si="275"/>
        <v>-347630502.99879998</v>
      </c>
      <c r="Q708">
        <f t="shared" si="276"/>
        <v>-361506936.48439997</v>
      </c>
      <c r="S708">
        <f t="shared" si="277"/>
        <v>28080937.101</v>
      </c>
      <c r="T708">
        <f t="shared" si="278"/>
        <v>-153673346.17179999</v>
      </c>
      <c r="U708">
        <f t="shared" si="279"/>
        <v>-275187962.52289999</v>
      </c>
      <c r="V708">
        <f t="shared" si="280"/>
        <v>-299655065.50629991</v>
      </c>
      <c r="W708">
        <f t="shared" si="281"/>
        <v>-404309389.35729992</v>
      </c>
      <c r="X708">
        <f t="shared" si="282"/>
        <v>-413830308.87029994</v>
      </c>
      <c r="Z708">
        <f t="shared" si="264"/>
        <v>4958.2911795480004</v>
      </c>
      <c r="AA708">
        <f t="shared" si="283"/>
        <v>-170560527.06979999</v>
      </c>
      <c r="AB708">
        <f t="shared" si="284"/>
        <v>-298879641.4156</v>
      </c>
      <c r="AC708">
        <f t="shared" si="285"/>
        <v>-380869989.80239993</v>
      </c>
      <c r="AD708">
        <f t="shared" si="286"/>
        <v>-460988275.71579999</v>
      </c>
      <c r="AE708">
        <f t="shared" si="287"/>
        <v>-466153681.25619996</v>
      </c>
    </row>
    <row r="709" spans="1:31" x14ac:dyDescent="0.25">
      <c r="A709">
        <v>39.54610478</v>
      </c>
      <c r="B709">
        <v>116.828768</v>
      </c>
      <c r="C709">
        <v>53.31973267</v>
      </c>
      <c r="D709">
        <v>1.6641390300000001</v>
      </c>
      <c r="E709" t="b">
        <f t="shared" si="265"/>
        <v>0</v>
      </c>
      <c r="F709">
        <f t="shared" si="266"/>
        <v>-264.93452431999998</v>
      </c>
      <c r="G709">
        <f t="shared" si="267"/>
        <v>-531.53318766999996</v>
      </c>
      <c r="H709">
        <f t="shared" si="268"/>
        <v>-798.13185102</v>
      </c>
      <c r="I709">
        <f t="shared" si="269"/>
        <v>-1064.73051437</v>
      </c>
      <c r="J709">
        <f t="shared" si="270"/>
        <v>-1331.3291777200002</v>
      </c>
      <c r="L709">
        <f t="shared" si="271"/>
        <v>3195146.9376000003</v>
      </c>
      <c r="M709">
        <f t="shared" si="272"/>
        <v>-429193929.39840001</v>
      </c>
      <c r="N709">
        <f t="shared" si="273"/>
        <v>-733515798.98459983</v>
      </c>
      <c r="O709">
        <f t="shared" si="274"/>
        <v>-814094488.04040003</v>
      </c>
      <c r="P709">
        <f t="shared" si="275"/>
        <v>-979552073.22039998</v>
      </c>
      <c r="Q709">
        <f t="shared" si="276"/>
        <v>-1011810175.0672002</v>
      </c>
      <c r="S709">
        <f t="shared" si="277"/>
        <v>3494691.963</v>
      </c>
      <c r="T709">
        <f t="shared" si="278"/>
        <v>-482180834.26240003</v>
      </c>
      <c r="U709">
        <f t="shared" si="279"/>
        <v>-802615113.38169992</v>
      </c>
      <c r="V709">
        <f t="shared" si="280"/>
        <v>-854001080.59139991</v>
      </c>
      <c r="W709">
        <f t="shared" si="281"/>
        <v>-1139261650.3758998</v>
      </c>
      <c r="X709">
        <f t="shared" si="282"/>
        <v>-1158256384.6164002</v>
      </c>
      <c r="Z709">
        <f t="shared" si="264"/>
        <v>617.06275232400003</v>
      </c>
      <c r="AA709">
        <f t="shared" si="283"/>
        <v>-535167739.12639999</v>
      </c>
      <c r="AB709">
        <f t="shared" si="284"/>
        <v>-871714427.77880001</v>
      </c>
      <c r="AC709">
        <f t="shared" si="285"/>
        <v>-1085459317.3871999</v>
      </c>
      <c r="AD709">
        <f t="shared" si="286"/>
        <v>-1298971227.5314</v>
      </c>
      <c r="AE709">
        <f t="shared" si="287"/>
        <v>-1304702594.1656003</v>
      </c>
    </row>
    <row r="710" spans="1:31" x14ac:dyDescent="0.25">
      <c r="A710">
        <v>39.594728830000001</v>
      </c>
      <c r="B710">
        <v>120.8372974</v>
      </c>
      <c r="C710">
        <v>21.840236659999999</v>
      </c>
      <c r="D710">
        <v>6.1214999999999999E-2</v>
      </c>
      <c r="E710" t="b">
        <f t="shared" si="265"/>
        <v>0</v>
      </c>
      <c r="F710">
        <f t="shared" si="266"/>
        <v>-109.13996829999999</v>
      </c>
      <c r="G710">
        <f t="shared" si="267"/>
        <v>-218.34115159999999</v>
      </c>
      <c r="H710">
        <f t="shared" si="268"/>
        <v>-327.54233489999996</v>
      </c>
      <c r="I710">
        <f t="shared" si="269"/>
        <v>-436.74351819999998</v>
      </c>
      <c r="J710">
        <f t="shared" si="270"/>
        <v>-545.94470150000006</v>
      </c>
      <c r="L710">
        <f t="shared" si="271"/>
        <v>117532.8</v>
      </c>
      <c r="M710">
        <f t="shared" si="272"/>
        <v>-176806748.646</v>
      </c>
      <c r="N710">
        <f t="shared" si="273"/>
        <v>-301310789.20799994</v>
      </c>
      <c r="O710">
        <f t="shared" si="274"/>
        <v>-334093181.59799999</v>
      </c>
      <c r="P710">
        <f t="shared" si="275"/>
        <v>-401804036.74399996</v>
      </c>
      <c r="Q710">
        <f t="shared" si="276"/>
        <v>-414917973.1400001</v>
      </c>
      <c r="S710">
        <f t="shared" si="277"/>
        <v>128551.5</v>
      </c>
      <c r="T710">
        <f t="shared" si="278"/>
        <v>-198634742.30599999</v>
      </c>
      <c r="U710">
        <f t="shared" si="279"/>
        <v>-329695138.91600001</v>
      </c>
      <c r="V710">
        <f t="shared" si="280"/>
        <v>-350470298.34299994</v>
      </c>
      <c r="W710">
        <f t="shared" si="281"/>
        <v>-467315564.47399992</v>
      </c>
      <c r="X710">
        <f t="shared" si="282"/>
        <v>-474971890.30500013</v>
      </c>
      <c r="Z710">
        <f t="shared" si="264"/>
        <v>22.698522000000001</v>
      </c>
      <c r="AA710">
        <f t="shared" si="283"/>
        <v>-220462735.96599999</v>
      </c>
      <c r="AB710">
        <f t="shared" si="284"/>
        <v>-358079488.62400001</v>
      </c>
      <c r="AC710">
        <f t="shared" si="285"/>
        <v>-445457575.46399993</v>
      </c>
      <c r="AD710">
        <f t="shared" si="286"/>
        <v>-532827092.204</v>
      </c>
      <c r="AE710">
        <f t="shared" si="287"/>
        <v>-535025807.47000009</v>
      </c>
    </row>
    <row r="711" spans="1:31" x14ac:dyDescent="0.25">
      <c r="A711">
        <v>39.606829949999998</v>
      </c>
      <c r="B711">
        <v>116.6588666</v>
      </c>
      <c r="C711">
        <v>0</v>
      </c>
      <c r="D711">
        <v>0.48892598999999998</v>
      </c>
      <c r="E711" t="b">
        <f t="shared" si="265"/>
        <v>1</v>
      </c>
      <c r="F711">
        <f t="shared" si="266"/>
        <v>0.48892598999999998</v>
      </c>
      <c r="G711">
        <f t="shared" si="267"/>
        <v>0.48892598999999998</v>
      </c>
      <c r="H711">
        <f t="shared" si="268"/>
        <v>0.48892598999999998</v>
      </c>
      <c r="I711">
        <f t="shared" si="269"/>
        <v>0.48892598999999998</v>
      </c>
      <c r="J711">
        <f t="shared" si="270"/>
        <v>0.48892598999999998</v>
      </c>
      <c r="L711">
        <f t="shared" si="271"/>
        <v>0</v>
      </c>
      <c r="M711">
        <f t="shared" si="272"/>
        <v>0</v>
      </c>
      <c r="N711">
        <f t="shared" si="273"/>
        <v>0</v>
      </c>
      <c r="O711">
        <f t="shared" si="274"/>
        <v>0</v>
      </c>
      <c r="P711">
        <f t="shared" si="275"/>
        <v>0</v>
      </c>
      <c r="Q711">
        <f t="shared" si="276"/>
        <v>0</v>
      </c>
      <c r="S711">
        <f t="shared" si="277"/>
        <v>0</v>
      </c>
      <c r="T711">
        <f t="shared" si="278"/>
        <v>0</v>
      </c>
      <c r="U711">
        <f t="shared" si="279"/>
        <v>0</v>
      </c>
      <c r="V711">
        <f t="shared" si="280"/>
        <v>0</v>
      </c>
      <c r="W711">
        <f t="shared" si="281"/>
        <v>0</v>
      </c>
      <c r="X711">
        <f t="shared" si="282"/>
        <v>0</v>
      </c>
      <c r="Z711">
        <f>C711*(310+0.8+60)</f>
        <v>0</v>
      </c>
      <c r="AA711">
        <f t="shared" si="283"/>
        <v>0</v>
      </c>
      <c r="AB711">
        <f t="shared" si="284"/>
        <v>0</v>
      </c>
      <c r="AC711">
        <f t="shared" si="285"/>
        <v>0</v>
      </c>
      <c r="AD711">
        <f t="shared" si="286"/>
        <v>0</v>
      </c>
      <c r="AE711">
        <f t="shared" si="287"/>
        <v>0</v>
      </c>
    </row>
    <row r="712" spans="1:31" x14ac:dyDescent="0.25">
      <c r="A712">
        <v>39.629325680000001</v>
      </c>
      <c r="B712">
        <v>120.54464969999999</v>
      </c>
      <c r="C712">
        <v>11.146034240000001</v>
      </c>
      <c r="D712">
        <v>1.83645999</v>
      </c>
      <c r="E712" t="b">
        <f t="shared" si="265"/>
        <v>0</v>
      </c>
      <c r="F712">
        <f t="shared" si="266"/>
        <v>-53.893711209999999</v>
      </c>
      <c r="G712">
        <f t="shared" si="267"/>
        <v>-109.62388241000001</v>
      </c>
      <c r="H712">
        <f t="shared" si="268"/>
        <v>-165.35405360999999</v>
      </c>
      <c r="I712">
        <f t="shared" si="269"/>
        <v>-221.08422480999999</v>
      </c>
      <c r="J712">
        <f t="shared" si="270"/>
        <v>-276.81439601000005</v>
      </c>
      <c r="L712">
        <f t="shared" si="271"/>
        <v>3526003.1808000002</v>
      </c>
      <c r="M712">
        <f t="shared" si="272"/>
        <v>-87307812.1602</v>
      </c>
      <c r="N712">
        <f t="shared" si="273"/>
        <v>-151280957.72580001</v>
      </c>
      <c r="O712">
        <f t="shared" si="274"/>
        <v>-168661134.68219998</v>
      </c>
      <c r="P712">
        <f t="shared" si="275"/>
        <v>-203397486.82519999</v>
      </c>
      <c r="Q712">
        <f t="shared" si="276"/>
        <v>-210378940.96760005</v>
      </c>
      <c r="S712">
        <f t="shared" si="277"/>
        <v>3856565.9790000003</v>
      </c>
      <c r="T712">
        <f t="shared" si="278"/>
        <v>-98086554.402199998</v>
      </c>
      <c r="U712">
        <f t="shared" si="279"/>
        <v>-165532062.43910003</v>
      </c>
      <c r="V712">
        <f t="shared" si="280"/>
        <v>-176928837.36269996</v>
      </c>
      <c r="W712">
        <f t="shared" si="281"/>
        <v>-236560120.54669997</v>
      </c>
      <c r="X712">
        <f t="shared" si="282"/>
        <v>-240828524.52870005</v>
      </c>
      <c r="Z712">
        <f>D712*(310+0.8+60)</f>
        <v>680.95936429200003</v>
      </c>
      <c r="AA712">
        <f t="shared" si="283"/>
        <v>-108865296.6442</v>
      </c>
      <c r="AB712">
        <f t="shared" si="284"/>
        <v>-179783167.15240005</v>
      </c>
      <c r="AC712">
        <f t="shared" si="285"/>
        <v>-224881512.90959996</v>
      </c>
      <c r="AD712">
        <f t="shared" si="286"/>
        <v>-269722754.26819998</v>
      </c>
      <c r="AE712">
        <f t="shared" si="287"/>
        <v>-271278108.08980006</v>
      </c>
    </row>
    <row r="713" spans="1:31" x14ac:dyDescent="0.25">
      <c r="A713">
        <v>39.63712658</v>
      </c>
      <c r="B713">
        <v>116.84198379999999</v>
      </c>
      <c r="C713">
        <v>0</v>
      </c>
      <c r="D713">
        <v>0.11121200000000001</v>
      </c>
      <c r="E713" t="b">
        <f t="shared" si="265"/>
        <v>1</v>
      </c>
      <c r="F713">
        <f t="shared" si="266"/>
        <v>0.11121200000000001</v>
      </c>
      <c r="G713">
        <f t="shared" si="267"/>
        <v>0.11121200000000001</v>
      </c>
      <c r="H713">
        <f t="shared" si="268"/>
        <v>0.11121200000000001</v>
      </c>
      <c r="I713">
        <f t="shared" si="269"/>
        <v>0.11121200000000001</v>
      </c>
      <c r="J713">
        <f t="shared" si="270"/>
        <v>0.11121200000000001</v>
      </c>
      <c r="L713">
        <f t="shared" si="271"/>
        <v>0</v>
      </c>
      <c r="M713">
        <f t="shared" si="272"/>
        <v>0</v>
      </c>
      <c r="N713">
        <f t="shared" si="273"/>
        <v>0</v>
      </c>
      <c r="O713">
        <f t="shared" si="274"/>
        <v>0</v>
      </c>
      <c r="P713">
        <f t="shared" si="275"/>
        <v>0</v>
      </c>
      <c r="Q713">
        <f t="shared" si="276"/>
        <v>0</v>
      </c>
      <c r="S713">
        <f t="shared" si="277"/>
        <v>0</v>
      </c>
      <c r="T713">
        <f t="shared" si="278"/>
        <v>0</v>
      </c>
      <c r="U713">
        <f t="shared" si="279"/>
        <v>0</v>
      </c>
      <c r="V713">
        <f t="shared" si="280"/>
        <v>0</v>
      </c>
      <c r="W713">
        <f t="shared" si="281"/>
        <v>0</v>
      </c>
      <c r="X713">
        <f t="shared" si="282"/>
        <v>0</v>
      </c>
      <c r="Z713">
        <f>C713*(310+0.8+60)</f>
        <v>0</v>
      </c>
      <c r="AA713">
        <f t="shared" si="283"/>
        <v>0</v>
      </c>
      <c r="AB713">
        <f t="shared" si="284"/>
        <v>0</v>
      </c>
      <c r="AC713">
        <f t="shared" si="285"/>
        <v>0</v>
      </c>
      <c r="AD713">
        <f t="shared" si="286"/>
        <v>0</v>
      </c>
      <c r="AE713">
        <f t="shared" si="287"/>
        <v>0</v>
      </c>
    </row>
    <row r="714" spans="1:31" x14ac:dyDescent="0.25">
      <c r="A714">
        <v>39.661827940000002</v>
      </c>
      <c r="B714">
        <v>75.249681910000007</v>
      </c>
      <c r="C714">
        <v>0</v>
      </c>
      <c r="D714">
        <v>0.20591499999999999</v>
      </c>
      <c r="E714" t="b">
        <f t="shared" si="265"/>
        <v>1</v>
      </c>
      <c r="F714">
        <f t="shared" si="266"/>
        <v>0.20591499999999999</v>
      </c>
      <c r="G714">
        <f t="shared" si="267"/>
        <v>0.20591499999999999</v>
      </c>
      <c r="H714">
        <f t="shared" si="268"/>
        <v>0.20591499999999999</v>
      </c>
      <c r="I714">
        <f t="shared" si="269"/>
        <v>0.20591499999999999</v>
      </c>
      <c r="J714">
        <f t="shared" si="270"/>
        <v>0.20591499999999999</v>
      </c>
      <c r="L714">
        <f t="shared" si="271"/>
        <v>0</v>
      </c>
      <c r="M714">
        <f t="shared" si="272"/>
        <v>0</v>
      </c>
      <c r="N714">
        <f t="shared" si="273"/>
        <v>0</v>
      </c>
      <c r="O714">
        <f t="shared" si="274"/>
        <v>0</v>
      </c>
      <c r="P714">
        <f t="shared" si="275"/>
        <v>0</v>
      </c>
      <c r="Q714">
        <f t="shared" si="276"/>
        <v>0</v>
      </c>
      <c r="S714">
        <f t="shared" si="277"/>
        <v>0</v>
      </c>
      <c r="T714">
        <f t="shared" si="278"/>
        <v>0</v>
      </c>
      <c r="U714">
        <f t="shared" si="279"/>
        <v>0</v>
      </c>
      <c r="V714">
        <f t="shared" si="280"/>
        <v>0</v>
      </c>
      <c r="W714">
        <f t="shared" si="281"/>
        <v>0</v>
      </c>
      <c r="X714">
        <f t="shared" si="282"/>
        <v>0</v>
      </c>
      <c r="Z714">
        <f>C714*(310+0.8+60)</f>
        <v>0</v>
      </c>
      <c r="AA714">
        <f t="shared" si="283"/>
        <v>0</v>
      </c>
      <c r="AB714">
        <f t="shared" si="284"/>
        <v>0</v>
      </c>
      <c r="AC714">
        <f t="shared" si="285"/>
        <v>0</v>
      </c>
      <c r="AD714">
        <f t="shared" si="286"/>
        <v>0</v>
      </c>
      <c r="AE714">
        <f t="shared" si="287"/>
        <v>0</v>
      </c>
    </row>
    <row r="715" spans="1:31" x14ac:dyDescent="0.25">
      <c r="A715">
        <v>39.744440730000001</v>
      </c>
      <c r="B715">
        <v>120.7472094</v>
      </c>
      <c r="C715">
        <v>15.833525659999999</v>
      </c>
      <c r="D715">
        <v>13.46737003</v>
      </c>
      <c r="E715" t="b">
        <f t="shared" si="265"/>
        <v>0</v>
      </c>
      <c r="F715">
        <f t="shared" si="266"/>
        <v>-65.700258269999992</v>
      </c>
      <c r="G715">
        <f t="shared" si="267"/>
        <v>-144.86788656999997</v>
      </c>
      <c r="H715">
        <f t="shared" si="268"/>
        <v>-224.03551486999999</v>
      </c>
      <c r="I715">
        <f t="shared" si="269"/>
        <v>-303.20314316999998</v>
      </c>
      <c r="J715">
        <f t="shared" si="270"/>
        <v>-382.37077147000002</v>
      </c>
      <c r="L715">
        <f t="shared" si="271"/>
        <v>25857350.457600001</v>
      </c>
      <c r="M715">
        <f t="shared" si="272"/>
        <v>-106434418.39739999</v>
      </c>
      <c r="N715">
        <f t="shared" si="273"/>
        <v>-199917683.46659994</v>
      </c>
      <c r="O715">
        <f t="shared" si="274"/>
        <v>-228516225.16739997</v>
      </c>
      <c r="P715">
        <f t="shared" si="275"/>
        <v>-278946891.71639997</v>
      </c>
      <c r="Q715">
        <f t="shared" si="276"/>
        <v>-290601786.31720001</v>
      </c>
      <c r="S715">
        <f t="shared" si="277"/>
        <v>28281477.063000001</v>
      </c>
      <c r="T715">
        <f t="shared" si="278"/>
        <v>-119574470.05139998</v>
      </c>
      <c r="U715">
        <f t="shared" si="279"/>
        <v>-218750508.72069994</v>
      </c>
      <c r="V715">
        <f t="shared" si="280"/>
        <v>-239718000.91089994</v>
      </c>
      <c r="W715">
        <f t="shared" si="281"/>
        <v>-324427363.1918999</v>
      </c>
      <c r="X715">
        <f t="shared" si="282"/>
        <v>-332662571.1789</v>
      </c>
      <c r="Z715">
        <f>D715*(310+0.8+60)</f>
        <v>4993.7008071239998</v>
      </c>
      <c r="AA715">
        <f t="shared" si="283"/>
        <v>-132714521.70539998</v>
      </c>
      <c r="AB715">
        <f t="shared" si="284"/>
        <v>-237583333.97479996</v>
      </c>
      <c r="AC715">
        <f t="shared" si="285"/>
        <v>-304688300.22319996</v>
      </c>
      <c r="AD715">
        <f t="shared" si="286"/>
        <v>-369907834.66739994</v>
      </c>
      <c r="AE715">
        <f t="shared" si="287"/>
        <v>-374723356.0406</v>
      </c>
    </row>
    <row r="716" spans="1:31" x14ac:dyDescent="0.25">
      <c r="A716">
        <v>39.80353968</v>
      </c>
      <c r="B716">
        <v>120.6388638</v>
      </c>
      <c r="C716">
        <v>8.9088087100000006</v>
      </c>
      <c r="D716">
        <v>26.137945179999999</v>
      </c>
      <c r="E716" t="b">
        <f t="shared" si="265"/>
        <v>1</v>
      </c>
      <c r="F716">
        <f t="shared" si="266"/>
        <v>-18.406098370000006</v>
      </c>
      <c r="G716">
        <f t="shared" si="267"/>
        <v>-62.950141920000007</v>
      </c>
      <c r="H716">
        <f t="shared" si="268"/>
        <v>-107.49418547000002</v>
      </c>
      <c r="I716">
        <f t="shared" si="269"/>
        <v>-152.03822902000002</v>
      </c>
      <c r="J716">
        <f t="shared" si="270"/>
        <v>-196.58227257000001</v>
      </c>
      <c r="L716">
        <f t="shared" si="271"/>
        <v>17104912.723200005</v>
      </c>
      <c r="M716">
        <f t="shared" si="272"/>
        <v>-29817879.359400008</v>
      </c>
      <c r="N716">
        <f t="shared" si="273"/>
        <v>-86871195.849600002</v>
      </c>
      <c r="O716">
        <f t="shared" si="274"/>
        <v>-109644069.17940001</v>
      </c>
      <c r="P716">
        <f t="shared" si="275"/>
        <v>-139875170.69839999</v>
      </c>
      <c r="Q716">
        <f t="shared" si="276"/>
        <v>-149402527.15320003</v>
      </c>
      <c r="S716">
        <f t="shared" si="277"/>
        <v>18708498.291000001</v>
      </c>
      <c r="T716">
        <f t="shared" si="278"/>
        <v>-33499099.03340001</v>
      </c>
      <c r="U716">
        <f t="shared" si="279"/>
        <v>-95054714.299200013</v>
      </c>
      <c r="V716">
        <f t="shared" si="280"/>
        <v>-115018778.45289999</v>
      </c>
      <c r="W716">
        <f t="shared" si="281"/>
        <v>-162680905.05139998</v>
      </c>
      <c r="X716">
        <f t="shared" si="282"/>
        <v>-171026577.13590002</v>
      </c>
      <c r="Z716">
        <f>C716*(310+0.8+60)</f>
        <v>3303.3862696680003</v>
      </c>
      <c r="AA716">
        <f t="shared" si="283"/>
        <v>-37180318.707400009</v>
      </c>
      <c r="AB716">
        <f t="shared" si="284"/>
        <v>-103238232.74880002</v>
      </c>
      <c r="AC716">
        <f t="shared" si="285"/>
        <v>-146192092.2392</v>
      </c>
      <c r="AD716">
        <f t="shared" si="286"/>
        <v>-185486639.40440002</v>
      </c>
      <c r="AE716">
        <f t="shared" si="287"/>
        <v>-192650627.11860001</v>
      </c>
    </row>
    <row r="717" spans="1:31" x14ac:dyDescent="0.25">
      <c r="A717">
        <v>39.813971960000003</v>
      </c>
      <c r="B717">
        <v>120.94126559999999</v>
      </c>
      <c r="C717">
        <v>45.269817349999997</v>
      </c>
      <c r="D717">
        <v>0.48972300000000002</v>
      </c>
      <c r="E717" t="b">
        <f t="shared" si="265"/>
        <v>0</v>
      </c>
      <c r="F717">
        <f t="shared" si="266"/>
        <v>-225.85936374999997</v>
      </c>
      <c r="G717">
        <f t="shared" si="267"/>
        <v>-452.20845049999991</v>
      </c>
      <c r="H717">
        <f t="shared" si="268"/>
        <v>-678.55753724999988</v>
      </c>
      <c r="I717">
        <f t="shared" si="269"/>
        <v>-904.90662399999985</v>
      </c>
      <c r="J717">
        <f t="shared" si="270"/>
        <v>-1131.2557107499999</v>
      </c>
      <c r="L717">
        <f t="shared" si="271"/>
        <v>940268.16</v>
      </c>
      <c r="M717">
        <f t="shared" si="272"/>
        <v>-365892169.27499998</v>
      </c>
      <c r="N717">
        <f t="shared" si="273"/>
        <v>-624047661.68999982</v>
      </c>
      <c r="O717">
        <f t="shared" si="274"/>
        <v>-692128687.99499989</v>
      </c>
      <c r="P717">
        <f t="shared" si="275"/>
        <v>-832514094.0799998</v>
      </c>
      <c r="Q717">
        <f t="shared" si="276"/>
        <v>-859754340.16999996</v>
      </c>
      <c r="S717">
        <f t="shared" si="277"/>
        <v>1028418.3</v>
      </c>
      <c r="T717">
        <f t="shared" si="278"/>
        <v>-411064042.02499998</v>
      </c>
      <c r="U717">
        <f t="shared" si="279"/>
        <v>-682834760.25499988</v>
      </c>
      <c r="V717">
        <f t="shared" si="280"/>
        <v>-726056564.85749972</v>
      </c>
      <c r="W717">
        <f t="shared" si="281"/>
        <v>-968250087.67999971</v>
      </c>
      <c r="X717">
        <f t="shared" si="282"/>
        <v>-984192468.35249996</v>
      </c>
      <c r="Z717">
        <f>D717*(310+0.8+60)</f>
        <v>181.58928840000002</v>
      </c>
      <c r="AA717">
        <f t="shared" si="283"/>
        <v>-456235914.77499992</v>
      </c>
      <c r="AB717">
        <f t="shared" si="284"/>
        <v>-741621858.81999993</v>
      </c>
      <c r="AC717">
        <f t="shared" si="285"/>
        <v>-922838250.65999973</v>
      </c>
      <c r="AD717">
        <f t="shared" si="286"/>
        <v>-1103986081.2799997</v>
      </c>
      <c r="AE717">
        <f t="shared" si="287"/>
        <v>-1108630596.5350001</v>
      </c>
    </row>
    <row r="718" spans="1:31" x14ac:dyDescent="0.25">
      <c r="A718">
        <v>39.852159059999998</v>
      </c>
      <c r="B718">
        <v>121.0090864</v>
      </c>
      <c r="C718">
        <v>15.833525659999999</v>
      </c>
      <c r="D718">
        <v>4.8972258599999998</v>
      </c>
      <c r="E718" t="b">
        <f t="shared" si="265"/>
        <v>0</v>
      </c>
      <c r="F718">
        <f t="shared" si="266"/>
        <v>-74.270402439999984</v>
      </c>
      <c r="G718">
        <f t="shared" si="267"/>
        <v>-153.43803073999999</v>
      </c>
      <c r="H718">
        <f t="shared" si="268"/>
        <v>-232.60565904000001</v>
      </c>
      <c r="I718">
        <f t="shared" si="269"/>
        <v>-311.77328733999997</v>
      </c>
      <c r="J718">
        <f t="shared" si="270"/>
        <v>-390.94091564000001</v>
      </c>
      <c r="L718">
        <f t="shared" si="271"/>
        <v>9402673.6512000002</v>
      </c>
      <c r="M718">
        <f t="shared" si="272"/>
        <v>-120318051.95279998</v>
      </c>
      <c r="N718">
        <f t="shared" si="273"/>
        <v>-211744482.42119995</v>
      </c>
      <c r="O718">
        <f t="shared" si="274"/>
        <v>-237257772.22079998</v>
      </c>
      <c r="P718">
        <f t="shared" si="275"/>
        <v>-286831424.35279995</v>
      </c>
      <c r="Q718">
        <f t="shared" si="276"/>
        <v>-297115095.88639998</v>
      </c>
      <c r="S718">
        <f t="shared" si="277"/>
        <v>10284174.306</v>
      </c>
      <c r="T718">
        <f t="shared" si="278"/>
        <v>-135172132.44079998</v>
      </c>
      <c r="U718">
        <f t="shared" si="279"/>
        <v>-231691426.41739997</v>
      </c>
      <c r="V718">
        <f t="shared" si="280"/>
        <v>-248888055.17279994</v>
      </c>
      <c r="W718">
        <f t="shared" si="281"/>
        <v>-333597417.4537999</v>
      </c>
      <c r="X718">
        <f t="shared" si="282"/>
        <v>-340118596.60679996</v>
      </c>
      <c r="Z718">
        <f t="shared" ref="Z718:Z720" si="288">D718*(310+0.8+60)</f>
        <v>1815.891348888</v>
      </c>
      <c r="AA718">
        <f t="shared" si="283"/>
        <v>-150026212.92879996</v>
      </c>
      <c r="AB718">
        <f t="shared" si="284"/>
        <v>-251638370.4136</v>
      </c>
      <c r="AC718">
        <f t="shared" si="285"/>
        <v>-316343696.29439998</v>
      </c>
      <c r="AD718">
        <f t="shared" si="286"/>
        <v>-380363410.55479997</v>
      </c>
      <c r="AE718">
        <f t="shared" si="287"/>
        <v>-383122097.3272</v>
      </c>
    </row>
    <row r="719" spans="1:31" x14ac:dyDescent="0.25">
      <c r="A719">
        <v>39.859211199999997</v>
      </c>
      <c r="B719">
        <v>120.9503929</v>
      </c>
      <c r="C719">
        <v>12.76437569</v>
      </c>
      <c r="D719">
        <v>9.2949342700000006</v>
      </c>
      <c r="E719" t="b">
        <f t="shared" si="265"/>
        <v>0</v>
      </c>
      <c r="F719">
        <f t="shared" si="266"/>
        <v>-54.526944180000001</v>
      </c>
      <c r="G719">
        <f t="shared" si="267"/>
        <v>-118.34882263</v>
      </c>
      <c r="H719">
        <f t="shared" si="268"/>
        <v>-182.17070107999999</v>
      </c>
      <c r="I719">
        <f t="shared" si="269"/>
        <v>-245.99257953</v>
      </c>
      <c r="J719">
        <f t="shared" si="270"/>
        <v>-309.81445797999999</v>
      </c>
      <c r="L719">
        <f t="shared" si="271"/>
        <v>17846273.798400003</v>
      </c>
      <c r="M719">
        <f t="shared" si="272"/>
        <v>-88333649.571600005</v>
      </c>
      <c r="N719">
        <f t="shared" si="273"/>
        <v>-163321375.22939998</v>
      </c>
      <c r="O719">
        <f t="shared" si="274"/>
        <v>-185814115.10159999</v>
      </c>
      <c r="P719">
        <f t="shared" si="275"/>
        <v>-226313173.16759998</v>
      </c>
      <c r="Q719">
        <f t="shared" si="276"/>
        <v>-235458988.06479996</v>
      </c>
      <c r="S719">
        <f t="shared" si="277"/>
        <v>19519361.967000004</v>
      </c>
      <c r="T719">
        <f t="shared" si="278"/>
        <v>-99239038.407600001</v>
      </c>
      <c r="U719">
        <f t="shared" si="279"/>
        <v>-178706722.17129999</v>
      </c>
      <c r="V719">
        <f t="shared" si="280"/>
        <v>-194922650.15559995</v>
      </c>
      <c r="W719">
        <f t="shared" si="281"/>
        <v>-263212060.09709996</v>
      </c>
      <c r="X719">
        <f t="shared" si="282"/>
        <v>-269538578.44259995</v>
      </c>
      <c r="Z719">
        <f t="shared" si="288"/>
        <v>3446.5616273160003</v>
      </c>
      <c r="AA719">
        <f t="shared" si="283"/>
        <v>-110144427.2436</v>
      </c>
      <c r="AB719">
        <f t="shared" si="284"/>
        <v>-194092069.11320001</v>
      </c>
      <c r="AC719">
        <f t="shared" si="285"/>
        <v>-247752153.46879995</v>
      </c>
      <c r="AD719">
        <f t="shared" si="286"/>
        <v>-300110947.0266</v>
      </c>
      <c r="AE719">
        <f t="shared" si="287"/>
        <v>-303618168.82039994</v>
      </c>
    </row>
    <row r="720" spans="1:31" x14ac:dyDescent="0.25">
      <c r="A720">
        <v>39.880202740000001</v>
      </c>
      <c r="B720">
        <v>120.7742461</v>
      </c>
      <c r="C720">
        <v>11.00180626</v>
      </c>
      <c r="D720">
        <v>10.822423929999999</v>
      </c>
      <c r="E720" t="b">
        <f t="shared" si="265"/>
        <v>0</v>
      </c>
      <c r="F720">
        <f t="shared" si="266"/>
        <v>-44.186607370000004</v>
      </c>
      <c r="G720">
        <f t="shared" si="267"/>
        <v>-99.195638670000008</v>
      </c>
      <c r="H720">
        <f t="shared" si="268"/>
        <v>-154.20466997</v>
      </c>
      <c r="I720">
        <f t="shared" si="269"/>
        <v>-209.21370127</v>
      </c>
      <c r="J720">
        <f t="shared" si="270"/>
        <v>-264.22273257000001</v>
      </c>
      <c r="L720">
        <f t="shared" si="271"/>
        <v>20779053.945599999</v>
      </c>
      <c r="M720">
        <f t="shared" si="272"/>
        <v>-71582303.939400017</v>
      </c>
      <c r="N720">
        <f t="shared" si="273"/>
        <v>-136889981.3646</v>
      </c>
      <c r="O720">
        <f t="shared" si="274"/>
        <v>-157288763.36939999</v>
      </c>
      <c r="P720">
        <f t="shared" si="275"/>
        <v>-192476605.16839999</v>
      </c>
      <c r="Q720">
        <f t="shared" si="276"/>
        <v>-200809276.75319999</v>
      </c>
      <c r="S720">
        <f t="shared" si="277"/>
        <v>22727090.252999999</v>
      </c>
      <c r="T720">
        <f t="shared" si="278"/>
        <v>-80419625.413400009</v>
      </c>
      <c r="U720">
        <f t="shared" si="279"/>
        <v>-149785414.3917</v>
      </c>
      <c r="V720">
        <f t="shared" si="280"/>
        <v>-164998996.86789998</v>
      </c>
      <c r="W720">
        <f t="shared" si="281"/>
        <v>-223858660.35889998</v>
      </c>
      <c r="X720">
        <f t="shared" si="282"/>
        <v>-229873777.33589998</v>
      </c>
      <c r="Z720">
        <f t="shared" si="288"/>
        <v>4012.954793244</v>
      </c>
      <c r="AA720">
        <f t="shared" si="283"/>
        <v>-89256946.887400016</v>
      </c>
      <c r="AB720">
        <f t="shared" si="284"/>
        <v>-162680847.41880003</v>
      </c>
      <c r="AC720">
        <f t="shared" si="285"/>
        <v>-209718351.15919998</v>
      </c>
      <c r="AD720">
        <f t="shared" si="286"/>
        <v>-255240715.5494</v>
      </c>
      <c r="AE720">
        <f t="shared" si="287"/>
        <v>-258938277.91859999</v>
      </c>
    </row>
    <row r="721" spans="1:31" x14ac:dyDescent="0.25">
      <c r="A721">
        <v>39.925450169999998</v>
      </c>
      <c r="B721">
        <v>120.78328019999999</v>
      </c>
      <c r="C721">
        <v>11.824547770000001</v>
      </c>
      <c r="D721">
        <v>22.86759567</v>
      </c>
      <c r="E721" t="b">
        <f t="shared" si="265"/>
        <v>1</v>
      </c>
      <c r="F721">
        <f t="shared" si="266"/>
        <v>-36.255143180000005</v>
      </c>
      <c r="G721">
        <f t="shared" si="267"/>
        <v>-95.377882030000009</v>
      </c>
      <c r="H721">
        <f t="shared" si="268"/>
        <v>-154.50062087999999</v>
      </c>
      <c r="I721">
        <f t="shared" si="269"/>
        <v>-213.62335973</v>
      </c>
      <c r="J721">
        <f t="shared" si="270"/>
        <v>-272.74609858000002</v>
      </c>
      <c r="L721">
        <f t="shared" si="271"/>
        <v>22703131.718400005</v>
      </c>
      <c r="M721">
        <f t="shared" si="272"/>
        <v>-58733331.951600015</v>
      </c>
      <c r="N721">
        <f t="shared" si="273"/>
        <v>-131621477.20140001</v>
      </c>
      <c r="O721">
        <f t="shared" si="274"/>
        <v>-157590633.2976</v>
      </c>
      <c r="P721">
        <f t="shared" si="275"/>
        <v>-196533490.95160002</v>
      </c>
      <c r="Q721">
        <f t="shared" si="276"/>
        <v>-207287034.92080003</v>
      </c>
      <c r="S721">
        <f t="shared" si="277"/>
        <v>24831550.317000005</v>
      </c>
      <c r="T721">
        <f t="shared" si="278"/>
        <v>-65984360.587600015</v>
      </c>
      <c r="U721">
        <f t="shared" si="279"/>
        <v>-144020601.86530003</v>
      </c>
      <c r="V721">
        <f t="shared" si="280"/>
        <v>-165315664.34159997</v>
      </c>
      <c r="W721">
        <f t="shared" si="281"/>
        <v>-228576994.9111</v>
      </c>
      <c r="X721">
        <f t="shared" si="282"/>
        <v>-237289105.76460004</v>
      </c>
      <c r="Z721">
        <f>C721*(310+0.8+60)</f>
        <v>4384.5423131160005</v>
      </c>
      <c r="AA721">
        <f t="shared" si="283"/>
        <v>-73235389.223600015</v>
      </c>
      <c r="AB721">
        <f t="shared" si="284"/>
        <v>-156419726.52920005</v>
      </c>
      <c r="AC721">
        <f t="shared" si="285"/>
        <v>-210120844.39679998</v>
      </c>
      <c r="AD721">
        <f t="shared" si="286"/>
        <v>-260620498.87060001</v>
      </c>
      <c r="AE721">
        <f t="shared" si="287"/>
        <v>-267291176.60840005</v>
      </c>
    </row>
    <row r="722" spans="1:31" x14ac:dyDescent="0.25">
      <c r="A722">
        <v>39.966488980000001</v>
      </c>
      <c r="B722">
        <v>121.21296529999999</v>
      </c>
      <c r="C722">
        <v>39.583812709999997</v>
      </c>
      <c r="D722">
        <v>0.48972300000000002</v>
      </c>
      <c r="E722" t="b">
        <f t="shared" si="265"/>
        <v>0</v>
      </c>
      <c r="F722">
        <f t="shared" si="266"/>
        <v>-197.42934054999998</v>
      </c>
      <c r="G722">
        <f t="shared" si="267"/>
        <v>-395.34840409999993</v>
      </c>
      <c r="H722">
        <f t="shared" si="268"/>
        <v>-593.26746764999996</v>
      </c>
      <c r="I722">
        <f t="shared" si="269"/>
        <v>-791.18653119999988</v>
      </c>
      <c r="J722">
        <f t="shared" si="270"/>
        <v>-989.10559474999991</v>
      </c>
      <c r="L722">
        <f t="shared" si="271"/>
        <v>940268.16</v>
      </c>
      <c r="M722">
        <f t="shared" si="272"/>
        <v>-319835531.69099998</v>
      </c>
      <c r="N722">
        <f t="shared" si="273"/>
        <v>-545580797.65799987</v>
      </c>
      <c r="O722">
        <f t="shared" si="274"/>
        <v>-605132817.00300002</v>
      </c>
      <c r="P722">
        <f t="shared" si="275"/>
        <v>-727891608.70399988</v>
      </c>
      <c r="Q722">
        <f t="shared" si="276"/>
        <v>-751720252.00999987</v>
      </c>
      <c r="S722">
        <f t="shared" si="277"/>
        <v>1028418.3</v>
      </c>
      <c r="T722">
        <f t="shared" si="278"/>
        <v>-359321399.801</v>
      </c>
      <c r="U722">
        <f t="shared" si="279"/>
        <v>-596976090.19099987</v>
      </c>
      <c r="V722">
        <f t="shared" si="280"/>
        <v>-634796190.38549984</v>
      </c>
      <c r="W722">
        <f t="shared" si="281"/>
        <v>-846569588.38399982</v>
      </c>
      <c r="X722">
        <f t="shared" si="282"/>
        <v>-860521867.43249989</v>
      </c>
      <c r="Z722">
        <f>D722*(310+0.8+60)</f>
        <v>181.58928840000002</v>
      </c>
      <c r="AA722">
        <f t="shared" si="283"/>
        <v>-398807267.91099995</v>
      </c>
      <c r="AB722">
        <f t="shared" si="284"/>
        <v>-648371382.72399986</v>
      </c>
      <c r="AC722">
        <f t="shared" si="285"/>
        <v>-806843756.00399995</v>
      </c>
      <c r="AD722">
        <f t="shared" si="286"/>
        <v>-965247568.06399989</v>
      </c>
      <c r="AE722">
        <f t="shared" si="287"/>
        <v>-969323482.8549999</v>
      </c>
    </row>
    <row r="723" spans="1:31" x14ac:dyDescent="0.25">
      <c r="A723">
        <v>39.968267959999999</v>
      </c>
      <c r="B723">
        <v>105.86136329999999</v>
      </c>
      <c r="C723">
        <v>5.3181140000000002E-2</v>
      </c>
      <c r="D723">
        <v>0.17123701</v>
      </c>
      <c r="E723" t="b">
        <f t="shared" si="265"/>
        <v>1</v>
      </c>
      <c r="F723">
        <f t="shared" si="266"/>
        <v>-9.4668690000000028E-2</v>
      </c>
      <c r="G723">
        <f t="shared" si="267"/>
        <v>-0.36057439000000002</v>
      </c>
      <c r="H723">
        <f t="shared" si="268"/>
        <v>-0.62648009000000004</v>
      </c>
      <c r="I723">
        <f t="shared" si="269"/>
        <v>-0.89238579000000007</v>
      </c>
      <c r="J723">
        <f t="shared" si="270"/>
        <v>-1.1582914900000001</v>
      </c>
      <c r="L723">
        <f t="shared" si="271"/>
        <v>102107.78880000001</v>
      </c>
      <c r="M723">
        <f t="shared" si="272"/>
        <v>-153363.27780000007</v>
      </c>
      <c r="N723">
        <f t="shared" si="273"/>
        <v>-497592.65820000001</v>
      </c>
      <c r="O723">
        <f t="shared" si="274"/>
        <v>-639009.69180000015</v>
      </c>
      <c r="P723">
        <f t="shared" si="275"/>
        <v>-820994.92680000002</v>
      </c>
      <c r="Q723">
        <f t="shared" si="276"/>
        <v>-880301.53240000003</v>
      </c>
      <c r="S723">
        <f t="shared" si="277"/>
        <v>111680.394</v>
      </c>
      <c r="T723">
        <f t="shared" si="278"/>
        <v>-172297.01580000005</v>
      </c>
      <c r="U723">
        <f t="shared" si="279"/>
        <v>-544467.32890000008</v>
      </c>
      <c r="V723">
        <f t="shared" si="280"/>
        <v>-670333.69629999995</v>
      </c>
      <c r="W723">
        <f t="shared" si="281"/>
        <v>-954852.79529999988</v>
      </c>
      <c r="X723">
        <f t="shared" si="282"/>
        <v>-1007713.5963</v>
      </c>
      <c r="Z723">
        <f>C723*(310+0.8+60)</f>
        <v>19.719566712000002</v>
      </c>
      <c r="AA723">
        <f t="shared" si="283"/>
        <v>-191230.75380000006</v>
      </c>
      <c r="AB723">
        <f t="shared" si="284"/>
        <v>-591341.9996000001</v>
      </c>
      <c r="AC723">
        <f t="shared" si="285"/>
        <v>-852012.92240000004</v>
      </c>
      <c r="AD723">
        <f t="shared" si="286"/>
        <v>-1088710.6638</v>
      </c>
      <c r="AE723">
        <f t="shared" si="287"/>
        <v>-1135125.6602</v>
      </c>
    </row>
    <row r="724" spans="1:31" x14ac:dyDescent="0.25">
      <c r="A724">
        <v>39.980753989999997</v>
      </c>
      <c r="B724">
        <v>121.09542570000001</v>
      </c>
      <c r="C724">
        <v>18.176713939999999</v>
      </c>
      <c r="D724">
        <v>24.584072110000001</v>
      </c>
      <c r="E724" t="b">
        <f t="shared" si="265"/>
        <v>1</v>
      </c>
      <c r="F724">
        <f t="shared" si="266"/>
        <v>-66.299497589999987</v>
      </c>
      <c r="G724">
        <f t="shared" si="267"/>
        <v>-157.18306729</v>
      </c>
      <c r="H724">
        <f t="shared" si="268"/>
        <v>-248.06663698999998</v>
      </c>
      <c r="I724">
        <f t="shared" si="269"/>
        <v>-338.95020668999996</v>
      </c>
      <c r="J724">
        <f t="shared" si="270"/>
        <v>-429.83377638999997</v>
      </c>
      <c r="L724">
        <f t="shared" si="271"/>
        <v>34899290.764799997</v>
      </c>
      <c r="M724">
        <f t="shared" si="272"/>
        <v>-107405186.09579998</v>
      </c>
      <c r="N724">
        <f t="shared" si="273"/>
        <v>-216912632.86019996</v>
      </c>
      <c r="O724">
        <f t="shared" si="274"/>
        <v>-253027969.72979999</v>
      </c>
      <c r="P724">
        <f t="shared" si="275"/>
        <v>-311834190.15479994</v>
      </c>
      <c r="Q724">
        <f t="shared" si="276"/>
        <v>-326673670.0564</v>
      </c>
      <c r="S724">
        <f t="shared" si="277"/>
        <v>38171099.273999996</v>
      </c>
      <c r="T724">
        <f t="shared" si="278"/>
        <v>-120665085.61379999</v>
      </c>
      <c r="U724">
        <f t="shared" si="279"/>
        <v>-237346431.60789999</v>
      </c>
      <c r="V724">
        <f t="shared" si="280"/>
        <v>-265431301.57929993</v>
      </c>
      <c r="W724">
        <f t="shared" si="281"/>
        <v>-362676721.15829986</v>
      </c>
      <c r="X724">
        <f t="shared" si="282"/>
        <v>-373955385.45929998</v>
      </c>
      <c r="Z724">
        <f t="shared" ref="Z724:Z725" si="289">C724*(310+0.8+60)</f>
        <v>6739.9255289519997</v>
      </c>
      <c r="AA724">
        <f t="shared" si="283"/>
        <v>-133924985.13179998</v>
      </c>
      <c r="AB724">
        <f t="shared" si="284"/>
        <v>-257780230.3556</v>
      </c>
      <c r="AC724">
        <f t="shared" si="285"/>
        <v>-337370626.30639994</v>
      </c>
      <c r="AD724">
        <f t="shared" si="286"/>
        <v>-413519252.16179991</v>
      </c>
      <c r="AE724">
        <f t="shared" si="287"/>
        <v>-421237100.86219996</v>
      </c>
    </row>
    <row r="725" spans="1:31" x14ac:dyDescent="0.25">
      <c r="A725">
        <v>40.008953849999997</v>
      </c>
      <c r="B725">
        <v>120.86021239999999</v>
      </c>
      <c r="C725">
        <v>35.2842865</v>
      </c>
      <c r="D725">
        <v>175.8096314</v>
      </c>
      <c r="E725" t="b">
        <f t="shared" si="265"/>
        <v>1</v>
      </c>
      <c r="F725">
        <f t="shared" si="266"/>
        <v>-0.61180110000000809</v>
      </c>
      <c r="G725">
        <f t="shared" si="267"/>
        <v>-177.03323360000002</v>
      </c>
      <c r="H725">
        <f t="shared" si="268"/>
        <v>-353.4546661</v>
      </c>
      <c r="I725">
        <f t="shared" si="269"/>
        <v>-529.87609859999998</v>
      </c>
      <c r="J725">
        <f t="shared" si="270"/>
        <v>-706.29753110000001</v>
      </c>
      <c r="L725">
        <f t="shared" si="271"/>
        <v>67745830.079999998</v>
      </c>
      <c r="M725">
        <f t="shared" si="272"/>
        <v>-991117.78200001328</v>
      </c>
      <c r="N725">
        <f t="shared" si="273"/>
        <v>-244305862.368</v>
      </c>
      <c r="O725">
        <f t="shared" si="274"/>
        <v>-360523759.42200005</v>
      </c>
      <c r="P725">
        <f t="shared" si="275"/>
        <v>-487486010.71199995</v>
      </c>
      <c r="Q725">
        <f t="shared" si="276"/>
        <v>-536786123.63600004</v>
      </c>
      <c r="S725">
        <f t="shared" si="277"/>
        <v>74097001.650000006</v>
      </c>
      <c r="T725">
        <f t="shared" si="278"/>
        <v>-1113478.0020000148</v>
      </c>
      <c r="U725">
        <f t="shared" si="279"/>
        <v>-267320182.73600003</v>
      </c>
      <c r="V725">
        <f t="shared" si="280"/>
        <v>-378196492.727</v>
      </c>
      <c r="W725">
        <f t="shared" si="281"/>
        <v>-566967425.50199986</v>
      </c>
      <c r="X725">
        <f t="shared" si="282"/>
        <v>-614478852.05700004</v>
      </c>
      <c r="Z725">
        <f t="shared" si="289"/>
        <v>13083.4134342</v>
      </c>
      <c r="AA725">
        <f t="shared" si="283"/>
        <v>-1235838.2220000164</v>
      </c>
      <c r="AB725">
        <f t="shared" si="284"/>
        <v>-290334503.10400003</v>
      </c>
      <c r="AC725">
        <f t="shared" si="285"/>
        <v>-480698345.89599997</v>
      </c>
      <c r="AD725">
        <f t="shared" si="286"/>
        <v>-646448840.29199994</v>
      </c>
      <c r="AE725">
        <f t="shared" si="287"/>
        <v>-692171580.47800004</v>
      </c>
    </row>
    <row r="726" spans="1:31" x14ac:dyDescent="0.25">
      <c r="A726">
        <v>40.025972090000003</v>
      </c>
      <c r="B726">
        <v>121.1046671</v>
      </c>
      <c r="C726">
        <v>237.9228516</v>
      </c>
      <c r="D726">
        <v>0.24486100999999999</v>
      </c>
      <c r="E726" t="b">
        <f t="shared" si="265"/>
        <v>0</v>
      </c>
      <c r="F726">
        <f t="shared" si="266"/>
        <v>-1189.36939699</v>
      </c>
      <c r="G726">
        <f t="shared" si="267"/>
        <v>-2378.9836549900001</v>
      </c>
      <c r="H726">
        <f t="shared" si="268"/>
        <v>-3568.5979129900002</v>
      </c>
      <c r="I726">
        <f t="shared" si="269"/>
        <v>-4758.2121709900002</v>
      </c>
      <c r="J726">
        <f t="shared" si="270"/>
        <v>-5947.8264289899998</v>
      </c>
      <c r="L726">
        <f t="shared" si="271"/>
        <v>470133.13919999998</v>
      </c>
      <c r="M726">
        <f t="shared" si="272"/>
        <v>-1926778423.1238</v>
      </c>
      <c r="N726">
        <f t="shared" si="273"/>
        <v>-3282997443.8862</v>
      </c>
      <c r="O726">
        <f t="shared" si="274"/>
        <v>-3639969871.2498002</v>
      </c>
      <c r="P726">
        <f t="shared" si="275"/>
        <v>-4377555197.3107996</v>
      </c>
      <c r="Q726">
        <f t="shared" si="276"/>
        <v>-4520348086.0324001</v>
      </c>
      <c r="S726">
        <f t="shared" si="277"/>
        <v>514208.12099999998</v>
      </c>
      <c r="T726">
        <f t="shared" si="278"/>
        <v>-2164652302.5218</v>
      </c>
      <c r="U726">
        <f t="shared" si="279"/>
        <v>-3592265319.0349002</v>
      </c>
      <c r="V726">
        <f t="shared" si="280"/>
        <v>-3818399766.8992996</v>
      </c>
      <c r="W726">
        <f t="shared" si="281"/>
        <v>-5091287022.9592991</v>
      </c>
      <c r="X726">
        <f t="shared" si="282"/>
        <v>-5174608993.2213001</v>
      </c>
      <c r="Z726">
        <f>D726*(310+0.8+60)</f>
        <v>90.794462507999995</v>
      </c>
      <c r="AA726">
        <f t="shared" si="283"/>
        <v>-2402526181.9197998</v>
      </c>
      <c r="AB726">
        <f t="shared" si="284"/>
        <v>-3901533194.1836009</v>
      </c>
      <c r="AC726">
        <f t="shared" si="285"/>
        <v>-4853293161.6664</v>
      </c>
      <c r="AD726">
        <f t="shared" si="286"/>
        <v>-5805018848.6077995</v>
      </c>
      <c r="AE726">
        <f t="shared" si="287"/>
        <v>-5828869900.4102001</v>
      </c>
    </row>
    <row r="727" spans="1:31" x14ac:dyDescent="0.25">
      <c r="A727">
        <v>40.040134799999997</v>
      </c>
      <c r="B727">
        <v>120.987013</v>
      </c>
      <c r="C727">
        <v>60.695182799999998</v>
      </c>
      <c r="D727">
        <v>7.3458380700000001</v>
      </c>
      <c r="E727" t="b">
        <f t="shared" si="265"/>
        <v>0</v>
      </c>
      <c r="F727">
        <f t="shared" si="266"/>
        <v>-296.13007592999998</v>
      </c>
      <c r="G727">
        <f t="shared" si="267"/>
        <v>-599.60598992999996</v>
      </c>
      <c r="H727">
        <f t="shared" si="268"/>
        <v>-903.08190392999995</v>
      </c>
      <c r="I727">
        <f t="shared" si="269"/>
        <v>-1206.5578179300001</v>
      </c>
      <c r="J727">
        <f t="shared" si="270"/>
        <v>-1510.0337319300002</v>
      </c>
      <c r="L727">
        <f t="shared" si="271"/>
        <v>14104009.094400002</v>
      </c>
      <c r="M727">
        <f t="shared" si="272"/>
        <v>-479730723.00659996</v>
      </c>
      <c r="N727">
        <f t="shared" si="273"/>
        <v>-827456266.10339987</v>
      </c>
      <c r="O727">
        <f t="shared" si="274"/>
        <v>-921143542.0086</v>
      </c>
      <c r="P727">
        <f t="shared" si="275"/>
        <v>-1110033192.4956</v>
      </c>
      <c r="Q727">
        <f t="shared" si="276"/>
        <v>-1147625636.2668002</v>
      </c>
      <c r="S727">
        <f t="shared" si="277"/>
        <v>15426259.947000001</v>
      </c>
      <c r="T727">
        <f t="shared" si="278"/>
        <v>-538956738.19259989</v>
      </c>
      <c r="U727">
        <f t="shared" si="279"/>
        <v>-905405044.79429996</v>
      </c>
      <c r="V727">
        <f t="shared" si="280"/>
        <v>-966297637.20509982</v>
      </c>
      <c r="W727">
        <f t="shared" si="281"/>
        <v>-1291016865.1850998</v>
      </c>
      <c r="X727">
        <f t="shared" si="282"/>
        <v>-1313729346.7790999</v>
      </c>
      <c r="Z727">
        <f t="shared" ref="Z727:Z731" si="290">D727*(310+0.8+60)</f>
        <v>2723.836756356</v>
      </c>
      <c r="AA727">
        <f t="shared" si="283"/>
        <v>-598182753.37859988</v>
      </c>
      <c r="AB727">
        <f t="shared" si="284"/>
        <v>-983353823.48520005</v>
      </c>
      <c r="AC727">
        <f t="shared" si="285"/>
        <v>-1228191389.3447998</v>
      </c>
      <c r="AD727">
        <f t="shared" si="286"/>
        <v>-1472000537.8745999</v>
      </c>
      <c r="AE727">
        <f t="shared" si="287"/>
        <v>-1479833057.2914</v>
      </c>
    </row>
    <row r="728" spans="1:31" x14ac:dyDescent="0.25">
      <c r="A728">
        <v>40.047174859999998</v>
      </c>
      <c r="B728">
        <v>120.9281692</v>
      </c>
      <c r="C728">
        <v>63.334102629999997</v>
      </c>
      <c r="D728">
        <v>1.22430599</v>
      </c>
      <c r="E728" t="b">
        <f t="shared" si="265"/>
        <v>0</v>
      </c>
      <c r="F728">
        <f t="shared" si="266"/>
        <v>-315.44620715999997</v>
      </c>
      <c r="G728">
        <f t="shared" si="267"/>
        <v>-632.11672031000001</v>
      </c>
      <c r="H728">
        <f t="shared" si="268"/>
        <v>-948.78723346000004</v>
      </c>
      <c r="I728">
        <f t="shared" si="269"/>
        <v>-1265.45774661</v>
      </c>
      <c r="J728">
        <f t="shared" si="270"/>
        <v>-1582.12825976</v>
      </c>
      <c r="L728">
        <f t="shared" si="271"/>
        <v>2350667.5008</v>
      </c>
      <c r="M728">
        <f t="shared" si="272"/>
        <v>-511022855.59919995</v>
      </c>
      <c r="N728">
        <f t="shared" si="273"/>
        <v>-872321074.02779996</v>
      </c>
      <c r="O728">
        <f t="shared" si="274"/>
        <v>-967762978.1292001</v>
      </c>
      <c r="P728">
        <f t="shared" si="275"/>
        <v>-1164221126.8811998</v>
      </c>
      <c r="Q728">
        <f t="shared" si="276"/>
        <v>-1202417477.4175999</v>
      </c>
      <c r="S728">
        <f t="shared" si="277"/>
        <v>2571042.5789999999</v>
      </c>
      <c r="T728">
        <f t="shared" si="278"/>
        <v>-574112097.03119993</v>
      </c>
      <c r="U728">
        <f t="shared" si="279"/>
        <v>-954496247.66810012</v>
      </c>
      <c r="V728">
        <f t="shared" si="280"/>
        <v>-1015202339.8021998</v>
      </c>
      <c r="W728">
        <f t="shared" si="281"/>
        <v>-1354039788.8726997</v>
      </c>
      <c r="X728">
        <f t="shared" si="282"/>
        <v>-1376451585.9912</v>
      </c>
      <c r="Z728">
        <f t="shared" si="290"/>
        <v>453.97266109200001</v>
      </c>
      <c r="AA728">
        <f t="shared" si="283"/>
        <v>-637201338.46319997</v>
      </c>
      <c r="AB728">
        <f t="shared" si="284"/>
        <v>-1036671421.3084002</v>
      </c>
      <c r="AC728">
        <f t="shared" si="285"/>
        <v>-1290350637.5056</v>
      </c>
      <c r="AD728">
        <f t="shared" si="286"/>
        <v>-1543858450.8641999</v>
      </c>
      <c r="AE728">
        <f t="shared" si="287"/>
        <v>-1550485694.5648</v>
      </c>
    </row>
    <row r="729" spans="1:31" x14ac:dyDescent="0.25">
      <c r="A729">
        <v>40.109267529999997</v>
      </c>
      <c r="B729">
        <v>121.1820635</v>
      </c>
      <c r="C729">
        <v>63.334102629999997</v>
      </c>
      <c r="D729">
        <v>1.22430599</v>
      </c>
      <c r="E729" t="b">
        <f t="shared" si="265"/>
        <v>0</v>
      </c>
      <c r="F729">
        <f t="shared" si="266"/>
        <v>-315.44620715999997</v>
      </c>
      <c r="G729">
        <f t="shared" si="267"/>
        <v>-632.11672031000001</v>
      </c>
      <c r="H729">
        <f t="shared" si="268"/>
        <v>-948.78723346000004</v>
      </c>
      <c r="I729">
        <f t="shared" si="269"/>
        <v>-1265.45774661</v>
      </c>
      <c r="J729">
        <f t="shared" si="270"/>
        <v>-1582.12825976</v>
      </c>
      <c r="L729">
        <f t="shared" si="271"/>
        <v>2350667.5008</v>
      </c>
      <c r="M729">
        <f t="shared" si="272"/>
        <v>-511022855.59919995</v>
      </c>
      <c r="N729">
        <f t="shared" si="273"/>
        <v>-872321074.02779996</v>
      </c>
      <c r="O729">
        <f t="shared" si="274"/>
        <v>-967762978.1292001</v>
      </c>
      <c r="P729">
        <f t="shared" si="275"/>
        <v>-1164221126.8811998</v>
      </c>
      <c r="Q729">
        <f t="shared" si="276"/>
        <v>-1202417477.4175999</v>
      </c>
      <c r="S729">
        <f t="shared" si="277"/>
        <v>2571042.5789999999</v>
      </c>
      <c r="T729">
        <f t="shared" si="278"/>
        <v>-574112097.03119993</v>
      </c>
      <c r="U729">
        <f t="shared" si="279"/>
        <v>-954496247.66810012</v>
      </c>
      <c r="V729">
        <f t="shared" si="280"/>
        <v>-1015202339.8021998</v>
      </c>
      <c r="W729">
        <f t="shared" si="281"/>
        <v>-1354039788.8726997</v>
      </c>
      <c r="X729">
        <f t="shared" si="282"/>
        <v>-1376451585.9912</v>
      </c>
      <c r="Z729">
        <f t="shared" si="290"/>
        <v>453.97266109200001</v>
      </c>
      <c r="AA729">
        <f t="shared" si="283"/>
        <v>-637201338.46319997</v>
      </c>
      <c r="AB729">
        <f t="shared" si="284"/>
        <v>-1036671421.3084002</v>
      </c>
      <c r="AC729">
        <f t="shared" si="285"/>
        <v>-1290350637.5056</v>
      </c>
      <c r="AD729">
        <f t="shared" si="286"/>
        <v>-1543858450.8641999</v>
      </c>
      <c r="AE729">
        <f t="shared" si="287"/>
        <v>-1550485694.5648</v>
      </c>
    </row>
    <row r="730" spans="1:31" x14ac:dyDescent="0.25">
      <c r="A730">
        <v>40.123500839999998</v>
      </c>
      <c r="B730">
        <v>121.06429230000001</v>
      </c>
      <c r="C730">
        <v>63.334102629999997</v>
      </c>
      <c r="D730">
        <v>1.22430599</v>
      </c>
      <c r="E730" t="b">
        <f t="shared" si="265"/>
        <v>0</v>
      </c>
      <c r="F730">
        <f t="shared" si="266"/>
        <v>-315.44620715999997</v>
      </c>
      <c r="G730">
        <f t="shared" si="267"/>
        <v>-632.11672031000001</v>
      </c>
      <c r="H730">
        <f t="shared" si="268"/>
        <v>-948.78723346000004</v>
      </c>
      <c r="I730">
        <f t="shared" si="269"/>
        <v>-1265.45774661</v>
      </c>
      <c r="J730">
        <f t="shared" si="270"/>
        <v>-1582.12825976</v>
      </c>
      <c r="L730">
        <f t="shared" si="271"/>
        <v>2350667.5008</v>
      </c>
      <c r="M730">
        <f t="shared" si="272"/>
        <v>-511022855.59919995</v>
      </c>
      <c r="N730">
        <f t="shared" si="273"/>
        <v>-872321074.02779996</v>
      </c>
      <c r="O730">
        <f t="shared" si="274"/>
        <v>-967762978.1292001</v>
      </c>
      <c r="P730">
        <f t="shared" si="275"/>
        <v>-1164221126.8811998</v>
      </c>
      <c r="Q730">
        <f t="shared" si="276"/>
        <v>-1202417477.4175999</v>
      </c>
      <c r="S730">
        <f t="shared" si="277"/>
        <v>2571042.5789999999</v>
      </c>
      <c r="T730">
        <f t="shared" si="278"/>
        <v>-574112097.03119993</v>
      </c>
      <c r="U730">
        <f t="shared" si="279"/>
        <v>-954496247.66810012</v>
      </c>
      <c r="V730">
        <f t="shared" si="280"/>
        <v>-1015202339.8021998</v>
      </c>
      <c r="W730">
        <f t="shared" si="281"/>
        <v>-1354039788.8726997</v>
      </c>
      <c r="X730">
        <f t="shared" si="282"/>
        <v>-1376451585.9912</v>
      </c>
      <c r="Z730">
        <f t="shared" si="290"/>
        <v>453.97266109200001</v>
      </c>
      <c r="AA730">
        <f t="shared" si="283"/>
        <v>-637201338.46319997</v>
      </c>
      <c r="AB730">
        <f t="shared" si="284"/>
        <v>-1036671421.3084002</v>
      </c>
      <c r="AC730">
        <f t="shared" si="285"/>
        <v>-1290350637.5056</v>
      </c>
      <c r="AD730">
        <f t="shared" si="286"/>
        <v>-1543858450.8641999</v>
      </c>
      <c r="AE730">
        <f t="shared" si="287"/>
        <v>-1550485694.5648</v>
      </c>
    </row>
    <row r="731" spans="1:31" x14ac:dyDescent="0.25">
      <c r="A731">
        <v>40.178091590000001</v>
      </c>
      <c r="B731">
        <v>121.3774761</v>
      </c>
      <c r="C731">
        <v>27.204145430000001</v>
      </c>
      <c r="D731">
        <v>0.48972300000000002</v>
      </c>
      <c r="E731" t="b">
        <f t="shared" si="265"/>
        <v>0</v>
      </c>
      <c r="F731">
        <f t="shared" si="266"/>
        <v>-135.53100415</v>
      </c>
      <c r="G731">
        <f t="shared" si="267"/>
        <v>-271.55173129999997</v>
      </c>
      <c r="H731">
        <f t="shared" si="268"/>
        <v>-407.57245845</v>
      </c>
      <c r="I731">
        <f t="shared" si="269"/>
        <v>-543.59318559999997</v>
      </c>
      <c r="J731">
        <f t="shared" si="270"/>
        <v>-679.61391274999994</v>
      </c>
      <c r="L731">
        <f t="shared" si="271"/>
        <v>940268.16</v>
      </c>
      <c r="M731">
        <f t="shared" si="272"/>
        <v>-219560226.72300002</v>
      </c>
      <c r="N731">
        <f t="shared" si="273"/>
        <v>-374741389.19399989</v>
      </c>
      <c r="O731">
        <f t="shared" si="274"/>
        <v>-415723907.61900002</v>
      </c>
      <c r="P731">
        <f t="shared" si="275"/>
        <v>-500105730.75199997</v>
      </c>
      <c r="Q731">
        <f t="shared" si="276"/>
        <v>-516506573.69</v>
      </c>
      <c r="S731">
        <f t="shared" si="277"/>
        <v>1028418.3</v>
      </c>
      <c r="T731">
        <f t="shared" si="278"/>
        <v>-246666427.55300003</v>
      </c>
      <c r="U731">
        <f t="shared" si="279"/>
        <v>-410043114.26299995</v>
      </c>
      <c r="V731">
        <f t="shared" si="280"/>
        <v>-436102530.54149991</v>
      </c>
      <c r="W731">
        <f t="shared" si="281"/>
        <v>-581644708.59199989</v>
      </c>
      <c r="X731">
        <f t="shared" si="282"/>
        <v>-591264104.09249997</v>
      </c>
      <c r="Z731">
        <f t="shared" si="290"/>
        <v>181.58928840000002</v>
      </c>
      <c r="AA731">
        <f t="shared" si="283"/>
        <v>-273772628.38300002</v>
      </c>
      <c r="AB731">
        <f t="shared" si="284"/>
        <v>-445344839.33199996</v>
      </c>
      <c r="AC731">
        <f t="shared" si="285"/>
        <v>-554298543.49199998</v>
      </c>
      <c r="AD731">
        <f t="shared" si="286"/>
        <v>-663183686.43200004</v>
      </c>
      <c r="AE731">
        <f t="shared" si="287"/>
        <v>-666021634.495</v>
      </c>
    </row>
    <row r="732" spans="1:31" x14ac:dyDescent="0.25">
      <c r="A732">
        <v>40.259125050000002</v>
      </c>
      <c r="B732">
        <v>121.0920466</v>
      </c>
      <c r="C732">
        <v>10.6702919</v>
      </c>
      <c r="D732">
        <v>33.186889649999998</v>
      </c>
      <c r="E732" t="b">
        <f t="shared" si="265"/>
        <v>1</v>
      </c>
      <c r="F732">
        <f t="shared" si="266"/>
        <v>-20.164569850000007</v>
      </c>
      <c r="G732">
        <f t="shared" si="267"/>
        <v>-73.516029350000011</v>
      </c>
      <c r="H732">
        <f t="shared" si="268"/>
        <v>-126.86748885000002</v>
      </c>
      <c r="I732">
        <f t="shared" si="269"/>
        <v>-180.21894835000001</v>
      </c>
      <c r="J732">
        <f t="shared" si="270"/>
        <v>-233.57040784999998</v>
      </c>
      <c r="L732">
        <f t="shared" si="271"/>
        <v>20486960.448000003</v>
      </c>
      <c r="M732">
        <f t="shared" si="272"/>
        <v>-32666603.157000009</v>
      </c>
      <c r="N732">
        <f t="shared" si="273"/>
        <v>-101452120.50300001</v>
      </c>
      <c r="O732">
        <f t="shared" si="274"/>
        <v>-129404838.627</v>
      </c>
      <c r="P732">
        <f t="shared" si="275"/>
        <v>-165801432.48199999</v>
      </c>
      <c r="Q732">
        <f t="shared" si="276"/>
        <v>-177513509.96599999</v>
      </c>
      <c r="S732">
        <f t="shared" si="277"/>
        <v>22407612.990000002</v>
      </c>
      <c r="T732">
        <f t="shared" si="278"/>
        <v>-36699517.127000012</v>
      </c>
      <c r="U732">
        <f t="shared" si="279"/>
        <v>-111009204.31850001</v>
      </c>
      <c r="V732">
        <f t="shared" si="280"/>
        <v>-135748213.0695</v>
      </c>
      <c r="W732">
        <f t="shared" si="281"/>
        <v>-192834274.73449996</v>
      </c>
      <c r="X732">
        <f t="shared" si="282"/>
        <v>-203206254.82949999</v>
      </c>
      <c r="Z732">
        <f>C732*(310+0.8+60)</f>
        <v>3956.5442365200001</v>
      </c>
      <c r="AA732">
        <f t="shared" si="283"/>
        <v>-40732431.09700001</v>
      </c>
      <c r="AB732">
        <f t="shared" si="284"/>
        <v>-120566288.13400002</v>
      </c>
      <c r="AC732">
        <f t="shared" si="285"/>
        <v>-172539784.836</v>
      </c>
      <c r="AD732">
        <f t="shared" si="286"/>
        <v>-219867116.98699999</v>
      </c>
      <c r="AE732">
        <f t="shared" si="287"/>
        <v>-228898999.69299999</v>
      </c>
    </row>
    <row r="733" spans="1:31" x14ac:dyDescent="0.25">
      <c r="A733">
        <v>40.332847940000001</v>
      </c>
      <c r="B733">
        <v>106.6378878</v>
      </c>
      <c r="C733">
        <v>5.3181140000000002E-2</v>
      </c>
      <c r="D733">
        <v>0.22831599</v>
      </c>
      <c r="E733" t="b">
        <f t="shared" si="265"/>
        <v>1</v>
      </c>
      <c r="F733">
        <f t="shared" si="266"/>
        <v>-3.7589710000000026E-2</v>
      </c>
      <c r="G733">
        <f t="shared" si="267"/>
        <v>-0.30349541000000002</v>
      </c>
      <c r="H733">
        <f t="shared" si="268"/>
        <v>-0.56940111000000004</v>
      </c>
      <c r="I733">
        <f t="shared" si="269"/>
        <v>-0.83530681000000007</v>
      </c>
      <c r="J733">
        <f t="shared" si="270"/>
        <v>-1.1012125100000001</v>
      </c>
      <c r="L733">
        <f t="shared" si="271"/>
        <v>102107.78880000001</v>
      </c>
      <c r="M733">
        <f t="shared" si="272"/>
        <v>-60895.330200000048</v>
      </c>
      <c r="N733">
        <f t="shared" si="273"/>
        <v>-418823.66580000002</v>
      </c>
      <c r="O733">
        <f t="shared" si="274"/>
        <v>-580789.13219999999</v>
      </c>
      <c r="P733">
        <f t="shared" si="275"/>
        <v>-768482.26520000002</v>
      </c>
      <c r="Q733">
        <f t="shared" si="276"/>
        <v>-836921.50760000001</v>
      </c>
      <c r="S733">
        <f t="shared" si="277"/>
        <v>111680.394</v>
      </c>
      <c r="T733">
        <f t="shared" si="278"/>
        <v>-68413.27220000005</v>
      </c>
      <c r="U733">
        <f t="shared" si="279"/>
        <v>-458278.06910000008</v>
      </c>
      <c r="V733">
        <f t="shared" si="280"/>
        <v>-609259.18769999989</v>
      </c>
      <c r="W733">
        <f t="shared" si="281"/>
        <v>-893778.28669999994</v>
      </c>
      <c r="X733">
        <f t="shared" si="282"/>
        <v>-958054.88370000001</v>
      </c>
      <c r="Z733">
        <f>C733*(310+0.8+60)</f>
        <v>19.719566712000002</v>
      </c>
      <c r="AA733">
        <f t="shared" si="283"/>
        <v>-75931.21420000006</v>
      </c>
      <c r="AB733">
        <f t="shared" si="284"/>
        <v>-497732.47240000009</v>
      </c>
      <c r="AC733">
        <f t="shared" si="285"/>
        <v>-774385.50959999987</v>
      </c>
      <c r="AD733">
        <f t="shared" si="286"/>
        <v>-1019074.3082000001</v>
      </c>
      <c r="AE733">
        <f t="shared" si="287"/>
        <v>-1079188.2597999999</v>
      </c>
    </row>
    <row r="734" spans="1:31" x14ac:dyDescent="0.25">
      <c r="A734">
        <v>40.356617960000001</v>
      </c>
      <c r="B734">
        <v>121.0515283</v>
      </c>
      <c r="C734">
        <v>58.056259160000003</v>
      </c>
      <c r="D734">
        <v>2.2037520399999999</v>
      </c>
      <c r="E734" t="b">
        <f t="shared" si="265"/>
        <v>0</v>
      </c>
      <c r="F734">
        <f t="shared" si="266"/>
        <v>-288.07754376000003</v>
      </c>
      <c r="G734">
        <f t="shared" si="267"/>
        <v>-578.35883955999998</v>
      </c>
      <c r="H734">
        <f t="shared" si="268"/>
        <v>-868.64013536000004</v>
      </c>
      <c r="I734">
        <f t="shared" si="269"/>
        <v>-1158.9214311600001</v>
      </c>
      <c r="J734">
        <f t="shared" si="270"/>
        <v>-1449.2027269600001</v>
      </c>
      <c r="L734">
        <f t="shared" si="271"/>
        <v>4231203.9168000007</v>
      </c>
      <c r="M734">
        <f t="shared" si="272"/>
        <v>-466685620.89120013</v>
      </c>
      <c r="N734">
        <f t="shared" si="273"/>
        <v>-798135198.5927999</v>
      </c>
      <c r="O734">
        <f t="shared" si="274"/>
        <v>-886012938.06720006</v>
      </c>
      <c r="P734">
        <f t="shared" si="275"/>
        <v>-1066207716.6672</v>
      </c>
      <c r="Q734">
        <f t="shared" si="276"/>
        <v>-1101394072.4895999</v>
      </c>
      <c r="S734">
        <f t="shared" si="277"/>
        <v>4627879.284</v>
      </c>
      <c r="T734">
        <f t="shared" si="278"/>
        <v>-524301129.6432001</v>
      </c>
      <c r="U734">
        <f t="shared" si="279"/>
        <v>-873321847.73559988</v>
      </c>
      <c r="V734">
        <f t="shared" si="280"/>
        <v>-929444944.83519983</v>
      </c>
      <c r="W734">
        <f t="shared" si="281"/>
        <v>-1240045931.3411999</v>
      </c>
      <c r="X734">
        <f t="shared" si="282"/>
        <v>-1260806372.4552</v>
      </c>
      <c r="Z734">
        <f>D734*(310+0.8+60)</f>
        <v>817.15125643199997</v>
      </c>
      <c r="AA734">
        <f t="shared" si="283"/>
        <v>-581916638.39520013</v>
      </c>
      <c r="AB734">
        <f t="shared" si="284"/>
        <v>-948508496.87839997</v>
      </c>
      <c r="AC734">
        <f t="shared" si="285"/>
        <v>-1181350584.0895998</v>
      </c>
      <c r="AD734">
        <f t="shared" si="286"/>
        <v>-1413884146.0152001</v>
      </c>
      <c r="AE734">
        <f t="shared" si="287"/>
        <v>-1420218672.4208</v>
      </c>
    </row>
    <row r="735" spans="1:31" x14ac:dyDescent="0.25">
      <c r="A735">
        <v>40.358809950000001</v>
      </c>
      <c r="B735">
        <v>121.4152955</v>
      </c>
      <c r="C735">
        <v>50.864578250000001</v>
      </c>
      <c r="D735">
        <v>1.22430599</v>
      </c>
      <c r="E735" t="b">
        <f t="shared" si="265"/>
        <v>0</v>
      </c>
      <c r="F735">
        <f t="shared" si="266"/>
        <v>-253.09858525999999</v>
      </c>
      <c r="G735">
        <f t="shared" si="267"/>
        <v>-507.42147650999999</v>
      </c>
      <c r="H735">
        <f t="shared" si="268"/>
        <v>-761.74436776000005</v>
      </c>
      <c r="I735">
        <f t="shared" si="269"/>
        <v>-1016.06725901</v>
      </c>
      <c r="J735">
        <f t="shared" si="270"/>
        <v>-1270.3901502600002</v>
      </c>
      <c r="L735">
        <f t="shared" si="271"/>
        <v>2350667.5008</v>
      </c>
      <c r="M735">
        <f t="shared" si="272"/>
        <v>-410019708.12120003</v>
      </c>
      <c r="N735">
        <f t="shared" si="273"/>
        <v>-700241637.58379996</v>
      </c>
      <c r="O735">
        <f t="shared" si="274"/>
        <v>-776979255.11520004</v>
      </c>
      <c r="P735">
        <f t="shared" si="275"/>
        <v>-934781878.28919995</v>
      </c>
      <c r="Q735">
        <f t="shared" si="276"/>
        <v>-965496514.19760013</v>
      </c>
      <c r="S735">
        <f t="shared" si="277"/>
        <v>2571042.5789999999</v>
      </c>
      <c r="T735">
        <f t="shared" si="278"/>
        <v>-460639425.17320001</v>
      </c>
      <c r="U735">
        <f t="shared" si="279"/>
        <v>-766206429.53009999</v>
      </c>
      <c r="V735">
        <f t="shared" si="280"/>
        <v>-815066473.50319982</v>
      </c>
      <c r="W735">
        <f t="shared" si="281"/>
        <v>-1087191967.1406999</v>
      </c>
      <c r="X735">
        <f t="shared" si="282"/>
        <v>-1105239430.7262001</v>
      </c>
      <c r="Z735">
        <f t="shared" ref="Z735:Z736" si="291">D735*(310+0.8+60)</f>
        <v>453.97266109200001</v>
      </c>
      <c r="AA735">
        <f t="shared" si="283"/>
        <v>-511259142.2252</v>
      </c>
      <c r="AB735">
        <f t="shared" si="284"/>
        <v>-832171221.47640002</v>
      </c>
      <c r="AC735">
        <f t="shared" si="285"/>
        <v>-1035972340.1535999</v>
      </c>
      <c r="AD735">
        <f t="shared" si="286"/>
        <v>-1239602055.9921999</v>
      </c>
      <c r="AE735">
        <f t="shared" si="287"/>
        <v>-1244982347.2548003</v>
      </c>
    </row>
    <row r="736" spans="1:31" x14ac:dyDescent="0.25">
      <c r="A736">
        <v>40.37325568</v>
      </c>
      <c r="B736">
        <v>121.2971727</v>
      </c>
      <c r="C736">
        <v>63.334102629999997</v>
      </c>
      <c r="D736">
        <v>0.10473</v>
      </c>
      <c r="E736" t="b">
        <f t="shared" si="265"/>
        <v>0</v>
      </c>
      <c r="F736">
        <f t="shared" si="266"/>
        <v>-316.56578314999996</v>
      </c>
      <c r="G736">
        <f t="shared" si="267"/>
        <v>-633.23629629999994</v>
      </c>
      <c r="H736">
        <f t="shared" si="268"/>
        <v>-949.90680944999997</v>
      </c>
      <c r="I736">
        <f t="shared" si="269"/>
        <v>-1266.5773225999999</v>
      </c>
      <c r="J736">
        <f t="shared" si="270"/>
        <v>-1583.2478357499999</v>
      </c>
      <c r="L736">
        <f t="shared" si="271"/>
        <v>201081.60000000001</v>
      </c>
      <c r="M736">
        <f t="shared" si="272"/>
        <v>-512836568.70300001</v>
      </c>
      <c r="N736">
        <f t="shared" si="273"/>
        <v>-873866088.89399981</v>
      </c>
      <c r="O736">
        <f t="shared" si="274"/>
        <v>-968904945.63899994</v>
      </c>
      <c r="P736">
        <f t="shared" si="275"/>
        <v>-1165251136.7919998</v>
      </c>
      <c r="Q736">
        <f t="shared" si="276"/>
        <v>-1203268355.1700001</v>
      </c>
      <c r="S736">
        <f t="shared" si="277"/>
        <v>219933</v>
      </c>
      <c r="T736">
        <f t="shared" si="278"/>
        <v>-576149725.33299994</v>
      </c>
      <c r="U736">
        <f t="shared" si="279"/>
        <v>-956186807.41299999</v>
      </c>
      <c r="V736">
        <f t="shared" si="280"/>
        <v>-1016400286.1114998</v>
      </c>
      <c r="W736">
        <f t="shared" si="281"/>
        <v>-1355237735.1819997</v>
      </c>
      <c r="X736">
        <f t="shared" si="282"/>
        <v>-1377425617.1025</v>
      </c>
      <c r="Z736">
        <f t="shared" si="291"/>
        <v>38.833884000000005</v>
      </c>
      <c r="AA736">
        <f t="shared" si="283"/>
        <v>-639462881.96299994</v>
      </c>
      <c r="AB736">
        <f t="shared" si="284"/>
        <v>-1038507525.932</v>
      </c>
      <c r="AC736">
        <f t="shared" si="285"/>
        <v>-1291873260.8519998</v>
      </c>
      <c r="AD736">
        <f t="shared" si="286"/>
        <v>-1545224333.5719998</v>
      </c>
      <c r="AE736">
        <f t="shared" si="287"/>
        <v>-1551582879.0350001</v>
      </c>
    </row>
    <row r="737" spans="1:31" x14ac:dyDescent="0.25">
      <c r="A737">
        <v>40.387590889999998</v>
      </c>
      <c r="B737">
        <v>121.17900400000001</v>
      </c>
      <c r="C737">
        <v>15.68735695</v>
      </c>
      <c r="D737">
        <v>19.064899440000001</v>
      </c>
      <c r="E737" t="b">
        <f t="shared" si="265"/>
        <v>1</v>
      </c>
      <c r="F737">
        <f t="shared" si="266"/>
        <v>-59.371885309999996</v>
      </c>
      <c r="G737">
        <f t="shared" si="267"/>
        <v>-137.80867006</v>
      </c>
      <c r="H737">
        <f t="shared" si="268"/>
        <v>-216.24545480999998</v>
      </c>
      <c r="I737">
        <f t="shared" si="269"/>
        <v>-294.68223956000003</v>
      </c>
      <c r="J737">
        <f t="shared" si="270"/>
        <v>-373.11902431000004</v>
      </c>
      <c r="L737">
        <f t="shared" si="271"/>
        <v>30119725.344000001</v>
      </c>
      <c r="M737">
        <f t="shared" si="272"/>
        <v>-96182454.202199996</v>
      </c>
      <c r="N737">
        <f t="shared" si="273"/>
        <v>-190175964.68279999</v>
      </c>
      <c r="O737">
        <f t="shared" si="274"/>
        <v>-220570363.90619996</v>
      </c>
      <c r="P737">
        <f t="shared" si="275"/>
        <v>-271107660.39519995</v>
      </c>
      <c r="Q737">
        <f t="shared" si="276"/>
        <v>-283570458.47560006</v>
      </c>
      <c r="S737">
        <f t="shared" si="277"/>
        <v>32943449.594999999</v>
      </c>
      <c r="T737">
        <f t="shared" si="278"/>
        <v>-108056831.26419999</v>
      </c>
      <c r="U737">
        <f t="shared" si="279"/>
        <v>-208091091.7906</v>
      </c>
      <c r="V737">
        <f t="shared" si="280"/>
        <v>-231382636.64669994</v>
      </c>
      <c r="W737">
        <f t="shared" si="281"/>
        <v>-315309996.32919997</v>
      </c>
      <c r="X737">
        <f t="shared" si="282"/>
        <v>-324613551.14970005</v>
      </c>
      <c r="Z737">
        <f>C737*(310+0.8+60)</f>
        <v>5816.8719570600006</v>
      </c>
      <c r="AA737">
        <f t="shared" si="283"/>
        <v>-119931208.32619999</v>
      </c>
      <c r="AB737">
        <f t="shared" si="284"/>
        <v>-226006218.89840001</v>
      </c>
      <c r="AC737">
        <f t="shared" si="285"/>
        <v>-294093818.54159993</v>
      </c>
      <c r="AD737">
        <f t="shared" si="286"/>
        <v>-359512332.26319999</v>
      </c>
      <c r="AE737">
        <f t="shared" si="287"/>
        <v>-365656643.82380003</v>
      </c>
    </row>
    <row r="738" spans="1:31" x14ac:dyDescent="0.25">
      <c r="A738">
        <v>40.403980439999998</v>
      </c>
      <c r="B738">
        <v>121.4247793</v>
      </c>
      <c r="C738">
        <v>61.781970979999997</v>
      </c>
      <c r="D738">
        <v>1.0968799600000001</v>
      </c>
      <c r="E738" t="b">
        <f t="shared" si="265"/>
        <v>0</v>
      </c>
      <c r="F738">
        <f t="shared" si="266"/>
        <v>-307.81297493999995</v>
      </c>
      <c r="G738">
        <f t="shared" si="267"/>
        <v>-616.72282983999992</v>
      </c>
      <c r="H738">
        <f t="shared" si="268"/>
        <v>-925.63268473999995</v>
      </c>
      <c r="I738">
        <f t="shared" si="269"/>
        <v>-1234.5425396399999</v>
      </c>
      <c r="J738">
        <f t="shared" si="270"/>
        <v>-1543.4523945399999</v>
      </c>
      <c r="L738">
        <f t="shared" si="271"/>
        <v>2106009.5232000006</v>
      </c>
      <c r="M738">
        <f t="shared" si="272"/>
        <v>-498657019.4027999</v>
      </c>
      <c r="N738">
        <f t="shared" si="273"/>
        <v>-851077505.17919981</v>
      </c>
      <c r="O738">
        <f t="shared" si="274"/>
        <v>-944145338.43479991</v>
      </c>
      <c r="P738">
        <f t="shared" si="275"/>
        <v>-1135779136.4687998</v>
      </c>
      <c r="Q738">
        <f t="shared" si="276"/>
        <v>-1173023819.8504</v>
      </c>
      <c r="S738">
        <f t="shared" si="277"/>
        <v>2303447.9160000007</v>
      </c>
      <c r="T738">
        <f t="shared" si="278"/>
        <v>-560219614.39079988</v>
      </c>
      <c r="U738">
        <f t="shared" si="279"/>
        <v>-931251473.05839992</v>
      </c>
      <c r="V738">
        <f t="shared" si="280"/>
        <v>-990426972.67179978</v>
      </c>
      <c r="W738">
        <f t="shared" si="281"/>
        <v>-1320960517.4147997</v>
      </c>
      <c r="X738">
        <f t="shared" si="282"/>
        <v>-1342803583.2498</v>
      </c>
      <c r="Z738">
        <f>D738*(310+0.8+60)</f>
        <v>406.72308916800006</v>
      </c>
      <c r="AA738">
        <f t="shared" si="283"/>
        <v>-621782209.37879992</v>
      </c>
      <c r="AB738">
        <f t="shared" si="284"/>
        <v>-1011425440.9375999</v>
      </c>
      <c r="AC738">
        <f t="shared" si="285"/>
        <v>-1258860451.2463996</v>
      </c>
      <c r="AD738">
        <f t="shared" si="286"/>
        <v>-1506141898.3607998</v>
      </c>
      <c r="AE738">
        <f t="shared" si="287"/>
        <v>-1512583346.6492</v>
      </c>
    </row>
    <row r="739" spans="1:31" x14ac:dyDescent="0.25">
      <c r="A739">
        <v>40.41250995</v>
      </c>
      <c r="B739">
        <v>121.72972919999999</v>
      </c>
      <c r="C739">
        <v>66.620788570000002</v>
      </c>
      <c r="D739">
        <v>1.22430599</v>
      </c>
      <c r="E739" t="b">
        <f t="shared" si="265"/>
        <v>0</v>
      </c>
      <c r="F739">
        <f t="shared" si="266"/>
        <v>-331.87963686000001</v>
      </c>
      <c r="G739">
        <f t="shared" si="267"/>
        <v>-664.98357971000007</v>
      </c>
      <c r="H739">
        <f t="shared" si="268"/>
        <v>-998.08752256000002</v>
      </c>
      <c r="I739">
        <f t="shared" si="269"/>
        <v>-1331.1914654100001</v>
      </c>
      <c r="J739">
        <f t="shared" si="270"/>
        <v>-1664.2954082600002</v>
      </c>
      <c r="L739">
        <f t="shared" si="271"/>
        <v>2350667.5008</v>
      </c>
      <c r="M739">
        <f t="shared" si="272"/>
        <v>-537645011.71320009</v>
      </c>
      <c r="N739">
        <f t="shared" si="273"/>
        <v>-917677339.99979997</v>
      </c>
      <c r="O739">
        <f t="shared" si="274"/>
        <v>-1018049273.0112001</v>
      </c>
      <c r="P739">
        <f t="shared" si="275"/>
        <v>-1224696148.1772001</v>
      </c>
      <c r="Q739">
        <f t="shared" si="276"/>
        <v>-1264864510.2776003</v>
      </c>
      <c r="S739">
        <f t="shared" si="277"/>
        <v>2571042.5789999999</v>
      </c>
      <c r="T739">
        <f t="shared" si="278"/>
        <v>-604020939.08520007</v>
      </c>
      <c r="U739">
        <f t="shared" si="279"/>
        <v>-1004125205.3621</v>
      </c>
      <c r="V739">
        <f t="shared" si="280"/>
        <v>-1067953649.1391999</v>
      </c>
      <c r="W739">
        <f t="shared" si="281"/>
        <v>-1424374867.9886999</v>
      </c>
      <c r="X739">
        <f t="shared" si="282"/>
        <v>-1447937005.1862001</v>
      </c>
      <c r="Z739">
        <f t="shared" ref="Z739:Z748" si="292">D739*(310+0.8+60)</f>
        <v>453.97266109200001</v>
      </c>
      <c r="AA739">
        <f t="shared" si="283"/>
        <v>-670396866.45720005</v>
      </c>
      <c r="AB739">
        <f t="shared" si="284"/>
        <v>-1090573070.7244</v>
      </c>
      <c r="AC739">
        <f t="shared" si="285"/>
        <v>-1357399030.6815999</v>
      </c>
      <c r="AD739">
        <f t="shared" si="286"/>
        <v>-1624053587.8002</v>
      </c>
      <c r="AE739">
        <f t="shared" si="287"/>
        <v>-1631009500.0948002</v>
      </c>
    </row>
    <row r="740" spans="1:31" x14ac:dyDescent="0.25">
      <c r="A740">
        <v>40.418434019999999</v>
      </c>
      <c r="B740">
        <v>121.3065862</v>
      </c>
      <c r="C740">
        <v>12.764135359999999</v>
      </c>
      <c r="D740">
        <v>0.91333299999999995</v>
      </c>
      <c r="E740" t="b">
        <f t="shared" si="265"/>
        <v>0</v>
      </c>
      <c r="F740">
        <f t="shared" si="266"/>
        <v>-62.907343799999992</v>
      </c>
      <c r="G740">
        <f t="shared" si="267"/>
        <v>-126.72802059999999</v>
      </c>
      <c r="H740">
        <f t="shared" si="268"/>
        <v>-190.54869739999998</v>
      </c>
      <c r="I740">
        <f t="shared" si="269"/>
        <v>-254.36937419999998</v>
      </c>
      <c r="J740">
        <f t="shared" si="270"/>
        <v>-318.19005099999998</v>
      </c>
      <c r="L740">
        <f t="shared" si="271"/>
        <v>1753599.36</v>
      </c>
      <c r="M740">
        <f t="shared" si="272"/>
        <v>-101909896.95599999</v>
      </c>
      <c r="N740">
        <f t="shared" si="273"/>
        <v>-174884668.42799997</v>
      </c>
      <c r="O740">
        <f t="shared" si="274"/>
        <v>-194359671.34799999</v>
      </c>
      <c r="P740">
        <f t="shared" si="275"/>
        <v>-234019824.26399997</v>
      </c>
      <c r="Q740">
        <f t="shared" si="276"/>
        <v>-241824438.75999999</v>
      </c>
      <c r="S740">
        <f t="shared" si="277"/>
        <v>1917999.3</v>
      </c>
      <c r="T740">
        <f t="shared" si="278"/>
        <v>-114491365.71599999</v>
      </c>
      <c r="U740">
        <f t="shared" si="279"/>
        <v>-191359311.10600001</v>
      </c>
      <c r="V740">
        <f t="shared" si="280"/>
        <v>-203887106.21799994</v>
      </c>
      <c r="W740">
        <f t="shared" si="281"/>
        <v>-272175230.39399993</v>
      </c>
      <c r="X740">
        <f t="shared" si="282"/>
        <v>-276825344.37</v>
      </c>
      <c r="Z740">
        <f t="shared" si="292"/>
        <v>338.66387639999999</v>
      </c>
      <c r="AA740">
        <f t="shared" si="283"/>
        <v>-127072834.47599998</v>
      </c>
      <c r="AB740">
        <f t="shared" si="284"/>
        <v>-207833953.78400001</v>
      </c>
      <c r="AC740">
        <f t="shared" si="285"/>
        <v>-259146228.46399996</v>
      </c>
      <c r="AD740">
        <f t="shared" si="286"/>
        <v>-310330636.52399999</v>
      </c>
      <c r="AE740">
        <f t="shared" si="287"/>
        <v>-311826249.98000002</v>
      </c>
    </row>
    <row r="741" spans="1:31" x14ac:dyDescent="0.25">
      <c r="A741">
        <v>40.441875029999999</v>
      </c>
      <c r="B741">
        <v>121.49338880000001</v>
      </c>
      <c r="C741">
        <v>16.147008899999999</v>
      </c>
      <c r="D741">
        <v>1.5915980300000001</v>
      </c>
      <c r="E741" t="b">
        <f t="shared" si="265"/>
        <v>0</v>
      </c>
      <c r="F741">
        <f t="shared" si="266"/>
        <v>-79.143446470000001</v>
      </c>
      <c r="G741">
        <f t="shared" si="267"/>
        <v>-159.87849097</v>
      </c>
      <c r="H741">
        <f t="shared" si="268"/>
        <v>-240.61353546999999</v>
      </c>
      <c r="I741">
        <f t="shared" si="269"/>
        <v>-321.34857997</v>
      </c>
      <c r="J741">
        <f t="shared" si="270"/>
        <v>-402.08362446999996</v>
      </c>
      <c r="L741">
        <f t="shared" si="271"/>
        <v>3055868.2176000001</v>
      </c>
      <c r="M741">
        <f t="shared" si="272"/>
        <v>-128212383.28140001</v>
      </c>
      <c r="N741">
        <f t="shared" si="273"/>
        <v>-220632317.53859997</v>
      </c>
      <c r="O741">
        <f t="shared" si="274"/>
        <v>-245425806.1794</v>
      </c>
      <c r="P741">
        <f t="shared" si="275"/>
        <v>-295640693.57239997</v>
      </c>
      <c r="Q741">
        <f t="shared" si="276"/>
        <v>-305583554.59719998</v>
      </c>
      <c r="S741">
        <f t="shared" si="277"/>
        <v>3342355.8630000004</v>
      </c>
      <c r="T741">
        <f t="shared" si="278"/>
        <v>-144041072.57539999</v>
      </c>
      <c r="U741">
        <f t="shared" si="279"/>
        <v>-241416521.36469999</v>
      </c>
      <c r="V741">
        <f t="shared" si="280"/>
        <v>-257456482.95289996</v>
      </c>
      <c r="W741">
        <f t="shared" si="281"/>
        <v>-343842980.5679</v>
      </c>
      <c r="X741">
        <f t="shared" si="282"/>
        <v>-349812753.28889996</v>
      </c>
      <c r="Z741">
        <f t="shared" si="292"/>
        <v>590.16454952400011</v>
      </c>
      <c r="AA741">
        <f t="shared" si="283"/>
        <v>-159869761.86939999</v>
      </c>
      <c r="AB741">
        <f t="shared" si="284"/>
        <v>-262200725.19080001</v>
      </c>
      <c r="AC741">
        <f t="shared" si="285"/>
        <v>-327234408.2392</v>
      </c>
      <c r="AD741">
        <f t="shared" si="286"/>
        <v>-392045267.56340003</v>
      </c>
      <c r="AE741">
        <f t="shared" si="287"/>
        <v>-394041951.98059994</v>
      </c>
    </row>
    <row r="742" spans="1:31" x14ac:dyDescent="0.25">
      <c r="A742">
        <v>40.539469560000001</v>
      </c>
      <c r="B742">
        <v>121.4532999</v>
      </c>
      <c r="C742">
        <v>19.173845289999999</v>
      </c>
      <c r="D742">
        <v>4.3315958999999999</v>
      </c>
      <c r="E742" t="b">
        <f t="shared" si="265"/>
        <v>0</v>
      </c>
      <c r="F742">
        <f t="shared" si="266"/>
        <v>-91.537630550000003</v>
      </c>
      <c r="G742">
        <f t="shared" si="267"/>
        <v>-187.406857</v>
      </c>
      <c r="H742">
        <f t="shared" si="268"/>
        <v>-283.27608344999999</v>
      </c>
      <c r="I742">
        <f t="shared" si="269"/>
        <v>-379.14530989999997</v>
      </c>
      <c r="J742">
        <f t="shared" si="270"/>
        <v>-475.01453634999996</v>
      </c>
      <c r="L742">
        <f t="shared" si="271"/>
        <v>8316664.1280000014</v>
      </c>
      <c r="M742">
        <f t="shared" si="272"/>
        <v>-148290961.491</v>
      </c>
      <c r="N742">
        <f t="shared" si="273"/>
        <v>-258621462.65999997</v>
      </c>
      <c r="O742">
        <f t="shared" si="274"/>
        <v>-288941605.11900002</v>
      </c>
      <c r="P742">
        <f t="shared" si="275"/>
        <v>-348813685.10799998</v>
      </c>
      <c r="Q742">
        <f t="shared" si="276"/>
        <v>-361011047.62599999</v>
      </c>
      <c r="S742">
        <f t="shared" si="277"/>
        <v>9096351.3900000006</v>
      </c>
      <c r="T742">
        <f t="shared" si="278"/>
        <v>-166598487.60100001</v>
      </c>
      <c r="U742">
        <f t="shared" si="279"/>
        <v>-282984354.06999999</v>
      </c>
      <c r="V742">
        <f t="shared" si="280"/>
        <v>-303105409.29149991</v>
      </c>
      <c r="W742">
        <f t="shared" si="281"/>
        <v>-405685481.59299994</v>
      </c>
      <c r="X742">
        <f t="shared" si="282"/>
        <v>-413262646.62449998</v>
      </c>
      <c r="Z742">
        <f t="shared" si="292"/>
        <v>1606.1557597200001</v>
      </c>
      <c r="AA742">
        <f t="shared" si="283"/>
        <v>-184906013.711</v>
      </c>
      <c r="AB742">
        <f t="shared" si="284"/>
        <v>-307347245.48000002</v>
      </c>
      <c r="AC742">
        <f t="shared" si="285"/>
        <v>-385255473.49199992</v>
      </c>
      <c r="AD742">
        <f t="shared" si="286"/>
        <v>-462557278.07799995</v>
      </c>
      <c r="AE742">
        <f t="shared" si="287"/>
        <v>-465514245.62299997</v>
      </c>
    </row>
    <row r="743" spans="1:31" x14ac:dyDescent="0.25">
      <c r="A743">
        <v>40.553946719999999</v>
      </c>
      <c r="B743">
        <v>121.3348957</v>
      </c>
      <c r="C743">
        <v>18.212173459999999</v>
      </c>
      <c r="D743">
        <v>1.7140289500000001</v>
      </c>
      <c r="E743" t="b">
        <f t="shared" si="265"/>
        <v>0</v>
      </c>
      <c r="F743">
        <f t="shared" si="266"/>
        <v>-89.346838349999999</v>
      </c>
      <c r="G743">
        <f t="shared" si="267"/>
        <v>-180.40770565</v>
      </c>
      <c r="H743">
        <f t="shared" si="268"/>
        <v>-271.46857295000001</v>
      </c>
      <c r="I743">
        <f t="shared" si="269"/>
        <v>-362.52944024999999</v>
      </c>
      <c r="J743">
        <f t="shared" si="270"/>
        <v>-453.59030754999998</v>
      </c>
      <c r="L743">
        <f t="shared" si="271"/>
        <v>3290935.5840000007</v>
      </c>
      <c r="M743">
        <f t="shared" si="272"/>
        <v>-144741878.127</v>
      </c>
      <c r="N743">
        <f t="shared" si="273"/>
        <v>-248962633.79699999</v>
      </c>
      <c r="O743">
        <f t="shared" si="274"/>
        <v>-276897944.40899998</v>
      </c>
      <c r="P743">
        <f t="shared" si="275"/>
        <v>-333527085.02999997</v>
      </c>
      <c r="Q743">
        <f t="shared" si="276"/>
        <v>-344728633.73799998</v>
      </c>
      <c r="S743">
        <f t="shared" si="277"/>
        <v>3599460.7950000004</v>
      </c>
      <c r="T743">
        <f t="shared" si="278"/>
        <v>-162611245.79699999</v>
      </c>
      <c r="U743">
        <f t="shared" si="279"/>
        <v>-272415635.53149998</v>
      </c>
      <c r="V743">
        <f t="shared" si="280"/>
        <v>-290471373.05649996</v>
      </c>
      <c r="W743">
        <f t="shared" si="281"/>
        <v>-387906501.06749994</v>
      </c>
      <c r="X743">
        <f t="shared" si="282"/>
        <v>-394623567.56849998</v>
      </c>
      <c r="Z743">
        <f t="shared" si="292"/>
        <v>635.56193466000002</v>
      </c>
      <c r="AA743">
        <f t="shared" si="283"/>
        <v>-180480613.46699998</v>
      </c>
      <c r="AB743">
        <f t="shared" si="284"/>
        <v>-295868637.26600003</v>
      </c>
      <c r="AC743">
        <f t="shared" si="285"/>
        <v>-369197259.21199995</v>
      </c>
      <c r="AD743">
        <f t="shared" si="286"/>
        <v>-442285917.10500002</v>
      </c>
      <c r="AE743">
        <f t="shared" si="287"/>
        <v>-444518501.39899993</v>
      </c>
    </row>
    <row r="744" spans="1:31" x14ac:dyDescent="0.25">
      <c r="A744">
        <v>40.578179310000003</v>
      </c>
      <c r="B744">
        <v>121.88691059999999</v>
      </c>
      <c r="C744">
        <v>15.833525659999999</v>
      </c>
      <c r="D744">
        <v>9.5495901100000005</v>
      </c>
      <c r="E744" t="b">
        <f t="shared" si="265"/>
        <v>0</v>
      </c>
      <c r="F744">
        <f t="shared" si="266"/>
        <v>-69.618038189999993</v>
      </c>
      <c r="G744">
        <f t="shared" si="267"/>
        <v>-148.78566648999998</v>
      </c>
      <c r="H744">
        <f t="shared" si="268"/>
        <v>-227.95329479</v>
      </c>
      <c r="I744">
        <f t="shared" si="269"/>
        <v>-307.12092308999996</v>
      </c>
      <c r="J744">
        <f t="shared" si="270"/>
        <v>-386.28855139000001</v>
      </c>
      <c r="L744">
        <f t="shared" si="271"/>
        <v>18335213.011200003</v>
      </c>
      <c r="M744">
        <f t="shared" si="272"/>
        <v>-112781221.8678</v>
      </c>
      <c r="N744">
        <f t="shared" si="273"/>
        <v>-205324219.75619996</v>
      </c>
      <c r="O744">
        <f t="shared" si="274"/>
        <v>-232512360.68579999</v>
      </c>
      <c r="P744">
        <f t="shared" si="275"/>
        <v>-282551249.24279994</v>
      </c>
      <c r="Q744">
        <f t="shared" si="276"/>
        <v>-293579299.0564</v>
      </c>
      <c r="S744">
        <f t="shared" si="277"/>
        <v>20054139.231000002</v>
      </c>
      <c r="T744">
        <f t="shared" si="278"/>
        <v>-126704829.50579999</v>
      </c>
      <c r="U744">
        <f t="shared" si="279"/>
        <v>-224666356.39989996</v>
      </c>
      <c r="V744">
        <f t="shared" si="280"/>
        <v>-243910025.42529994</v>
      </c>
      <c r="W744">
        <f t="shared" si="281"/>
        <v>-328619387.7062999</v>
      </c>
      <c r="X744">
        <f t="shared" si="282"/>
        <v>-336071039.70929998</v>
      </c>
      <c r="Z744">
        <f t="shared" si="292"/>
        <v>3540.9880127880001</v>
      </c>
      <c r="AA744">
        <f t="shared" si="283"/>
        <v>-140628437.14379999</v>
      </c>
      <c r="AB744">
        <f t="shared" si="284"/>
        <v>-244008493.04359999</v>
      </c>
      <c r="AC744">
        <f t="shared" si="285"/>
        <v>-310016480.91439998</v>
      </c>
      <c r="AD744">
        <f t="shared" si="286"/>
        <v>-374687526.16979998</v>
      </c>
      <c r="AE744">
        <f t="shared" si="287"/>
        <v>-378562780.36219996</v>
      </c>
    </row>
    <row r="745" spans="1:31" x14ac:dyDescent="0.25">
      <c r="A745">
        <v>40.615173009999999</v>
      </c>
      <c r="B745">
        <v>121.59087049999999</v>
      </c>
      <c r="C745">
        <v>68.557296750000006</v>
      </c>
      <c r="D745">
        <v>1.3467370299999999</v>
      </c>
      <c r="E745" t="b">
        <f t="shared" si="265"/>
        <v>0</v>
      </c>
      <c r="F745">
        <f t="shared" si="266"/>
        <v>-341.43974672000002</v>
      </c>
      <c r="G745">
        <f t="shared" si="267"/>
        <v>-684.22623047000002</v>
      </c>
      <c r="H745">
        <f t="shared" si="268"/>
        <v>-1027.0127142200001</v>
      </c>
      <c r="I745">
        <f t="shared" si="269"/>
        <v>-1369.79919797</v>
      </c>
      <c r="J745">
        <f t="shared" si="270"/>
        <v>-1712.5856817200001</v>
      </c>
      <c r="L745">
        <f t="shared" si="271"/>
        <v>2585735.0976</v>
      </c>
      <c r="M745">
        <f t="shared" si="272"/>
        <v>-553132389.68640006</v>
      </c>
      <c r="N745">
        <f t="shared" si="273"/>
        <v>-944232198.04859996</v>
      </c>
      <c r="O745">
        <f t="shared" si="274"/>
        <v>-1047552968.5044001</v>
      </c>
      <c r="P745">
        <f t="shared" si="275"/>
        <v>-1260215262.1324</v>
      </c>
      <c r="Q745">
        <f t="shared" si="276"/>
        <v>-1301565118.1072001</v>
      </c>
      <c r="S745">
        <f t="shared" si="277"/>
        <v>2828147.7629999998</v>
      </c>
      <c r="T745">
        <f t="shared" si="278"/>
        <v>-621420339.03040004</v>
      </c>
      <c r="U745">
        <f t="shared" si="279"/>
        <v>-1033181608.0097001</v>
      </c>
      <c r="V745">
        <f t="shared" si="280"/>
        <v>-1098903604.2154</v>
      </c>
      <c r="W745">
        <f t="shared" si="281"/>
        <v>-1465685141.8278997</v>
      </c>
      <c r="X745">
        <f t="shared" si="282"/>
        <v>-1489949543.0964</v>
      </c>
      <c r="Z745">
        <f t="shared" si="292"/>
        <v>499.37009072399997</v>
      </c>
      <c r="AA745">
        <f t="shared" si="283"/>
        <v>-689708288.37440002</v>
      </c>
      <c r="AB745">
        <f t="shared" si="284"/>
        <v>-1122131017.9708002</v>
      </c>
      <c r="AC745">
        <f t="shared" si="285"/>
        <v>-1396737291.3392</v>
      </c>
      <c r="AD745">
        <f t="shared" si="286"/>
        <v>-1671155021.5234001</v>
      </c>
      <c r="AE745">
        <f t="shared" si="287"/>
        <v>-1678333968.0855999</v>
      </c>
    </row>
    <row r="746" spans="1:31" x14ac:dyDescent="0.25">
      <c r="A746">
        <v>40.62329914</v>
      </c>
      <c r="B746">
        <v>121.8967109</v>
      </c>
      <c r="C746">
        <v>22.600711820000001</v>
      </c>
      <c r="D746">
        <v>6.0854158399999996</v>
      </c>
      <c r="E746" t="b">
        <f t="shared" si="265"/>
        <v>0</v>
      </c>
      <c r="F746">
        <f t="shared" si="266"/>
        <v>-106.91814326000001</v>
      </c>
      <c r="G746">
        <f t="shared" si="267"/>
        <v>-219.92170236000001</v>
      </c>
      <c r="H746">
        <f t="shared" si="268"/>
        <v>-332.92526146</v>
      </c>
      <c r="I746">
        <f t="shared" si="269"/>
        <v>-445.92882056000002</v>
      </c>
      <c r="J746">
        <f t="shared" si="270"/>
        <v>-558.93237966000004</v>
      </c>
      <c r="L746">
        <f t="shared" si="271"/>
        <v>11683998.412800001</v>
      </c>
      <c r="M746">
        <f t="shared" si="272"/>
        <v>-173207392.08120003</v>
      </c>
      <c r="N746">
        <f t="shared" si="273"/>
        <v>-303491949.2568</v>
      </c>
      <c r="O746">
        <f t="shared" si="274"/>
        <v>-339583766.68919998</v>
      </c>
      <c r="P746">
        <f t="shared" si="275"/>
        <v>-410254514.9152</v>
      </c>
      <c r="Q746">
        <f t="shared" si="276"/>
        <v>-424788608.54160005</v>
      </c>
      <c r="S746">
        <f t="shared" si="277"/>
        <v>12779373.264</v>
      </c>
      <c r="T746">
        <f t="shared" si="278"/>
        <v>-194591020.73320001</v>
      </c>
      <c r="U746">
        <f t="shared" si="279"/>
        <v>-332081770.5636</v>
      </c>
      <c r="V746">
        <f t="shared" si="280"/>
        <v>-356230029.76219994</v>
      </c>
      <c r="W746">
        <f t="shared" si="281"/>
        <v>-477143837.99919993</v>
      </c>
      <c r="X746">
        <f t="shared" si="282"/>
        <v>-486271170.30420005</v>
      </c>
      <c r="Z746">
        <f t="shared" si="292"/>
        <v>2256.4721934720001</v>
      </c>
      <c r="AA746">
        <f t="shared" si="283"/>
        <v>-215974649.38520002</v>
      </c>
      <c r="AB746">
        <f t="shared" si="284"/>
        <v>-360671591.87040007</v>
      </c>
      <c r="AC746">
        <f t="shared" si="285"/>
        <v>-452778355.58559996</v>
      </c>
      <c r="AD746">
        <f t="shared" si="286"/>
        <v>-544033161.08319998</v>
      </c>
      <c r="AE746">
        <f t="shared" si="287"/>
        <v>-547753732.06680012</v>
      </c>
    </row>
    <row r="747" spans="1:31" x14ac:dyDescent="0.25">
      <c r="A747">
        <v>40.638187700000003</v>
      </c>
      <c r="B747">
        <v>121.7782601</v>
      </c>
      <c r="C747">
        <v>47.668087010000001</v>
      </c>
      <c r="D747">
        <v>0.48972300000000002</v>
      </c>
      <c r="E747" t="b">
        <f t="shared" si="265"/>
        <v>0</v>
      </c>
      <c r="F747">
        <f t="shared" si="266"/>
        <v>-237.85071205</v>
      </c>
      <c r="G747">
        <f t="shared" si="267"/>
        <v>-476.19114709999997</v>
      </c>
      <c r="H747">
        <f t="shared" si="268"/>
        <v>-714.53158214999996</v>
      </c>
      <c r="I747">
        <f t="shared" si="269"/>
        <v>-952.87201719999996</v>
      </c>
      <c r="J747">
        <f t="shared" si="270"/>
        <v>-1191.2124522500001</v>
      </c>
      <c r="L747">
        <f t="shared" si="271"/>
        <v>940268.16</v>
      </c>
      <c r="M747">
        <f t="shared" si="272"/>
        <v>-385318153.52100003</v>
      </c>
      <c r="N747">
        <f t="shared" si="273"/>
        <v>-657143782.99799991</v>
      </c>
      <c r="O747">
        <f t="shared" si="274"/>
        <v>-728822213.79299998</v>
      </c>
      <c r="P747">
        <f t="shared" si="275"/>
        <v>-876642255.82399988</v>
      </c>
      <c r="Q747">
        <f t="shared" si="276"/>
        <v>-905321463.71000004</v>
      </c>
      <c r="S747">
        <f t="shared" si="277"/>
        <v>1028418.3</v>
      </c>
      <c r="T747">
        <f t="shared" si="278"/>
        <v>-432888295.93100005</v>
      </c>
      <c r="U747">
        <f t="shared" si="279"/>
        <v>-719048632.12099993</v>
      </c>
      <c r="V747">
        <f t="shared" si="280"/>
        <v>-764548792.90049982</v>
      </c>
      <c r="W747">
        <f t="shared" si="281"/>
        <v>-1019573058.4039998</v>
      </c>
      <c r="X747">
        <f t="shared" si="282"/>
        <v>-1036354833.4575</v>
      </c>
      <c r="Z747">
        <f t="shared" si="292"/>
        <v>181.58928840000002</v>
      </c>
      <c r="AA747">
        <f t="shared" si="283"/>
        <v>-480458438.34100002</v>
      </c>
      <c r="AB747">
        <f t="shared" si="284"/>
        <v>-780953481.24399996</v>
      </c>
      <c r="AC747">
        <f t="shared" si="285"/>
        <v>-971762951.72399986</v>
      </c>
      <c r="AD747">
        <f t="shared" si="286"/>
        <v>-1162503860.984</v>
      </c>
      <c r="AE747">
        <f t="shared" si="287"/>
        <v>-1167388203.2049999</v>
      </c>
    </row>
    <row r="748" spans="1:31" x14ac:dyDescent="0.25">
      <c r="A748">
        <v>40.660925239999997</v>
      </c>
      <c r="B748">
        <v>121.96576589999999</v>
      </c>
      <c r="C748">
        <v>7.0552001000000004</v>
      </c>
      <c r="D748">
        <v>5.2337751399999997</v>
      </c>
      <c r="E748" t="b">
        <f t="shared" si="265"/>
        <v>0</v>
      </c>
      <c r="F748">
        <f t="shared" si="266"/>
        <v>-30.042225360000003</v>
      </c>
      <c r="G748">
        <f t="shared" si="267"/>
        <v>-65.318225859999998</v>
      </c>
      <c r="H748">
        <f t="shared" si="268"/>
        <v>-100.59422635999999</v>
      </c>
      <c r="I748">
        <f t="shared" si="269"/>
        <v>-135.87022686</v>
      </c>
      <c r="J748">
        <f t="shared" si="270"/>
        <v>-171.14622736000001</v>
      </c>
      <c r="L748">
        <f t="shared" si="271"/>
        <v>10048848.2688</v>
      </c>
      <c r="M748">
        <f t="shared" si="272"/>
        <v>-48668405.083200008</v>
      </c>
      <c r="N748">
        <f t="shared" si="273"/>
        <v>-90139151.686799988</v>
      </c>
      <c r="O748">
        <f t="shared" si="274"/>
        <v>-102606110.8872</v>
      </c>
      <c r="P748">
        <f t="shared" si="275"/>
        <v>-125000608.7112</v>
      </c>
      <c r="Q748">
        <f t="shared" si="276"/>
        <v>-130071132.79360001</v>
      </c>
      <c r="S748">
        <f t="shared" si="277"/>
        <v>10990927.794</v>
      </c>
      <c r="T748">
        <f t="shared" si="278"/>
        <v>-54676850.155200005</v>
      </c>
      <c r="U748">
        <f t="shared" si="279"/>
        <v>-98630521.048600003</v>
      </c>
      <c r="V748">
        <f t="shared" si="280"/>
        <v>-107635822.20519999</v>
      </c>
      <c r="W748">
        <f t="shared" si="281"/>
        <v>-145381142.74019998</v>
      </c>
      <c r="X748">
        <f t="shared" si="282"/>
        <v>-148897217.80320001</v>
      </c>
      <c r="Z748">
        <f t="shared" si="292"/>
        <v>1940.683821912</v>
      </c>
      <c r="AA748">
        <f t="shared" si="283"/>
        <v>-60685295.227200009</v>
      </c>
      <c r="AB748">
        <f t="shared" si="284"/>
        <v>-107121890.4104</v>
      </c>
      <c r="AC748">
        <f t="shared" si="285"/>
        <v>-136808147.84959999</v>
      </c>
      <c r="AD748">
        <f t="shared" si="286"/>
        <v>-165761676.76920003</v>
      </c>
      <c r="AE748">
        <f t="shared" si="287"/>
        <v>-167723302.81280002</v>
      </c>
    </row>
    <row r="749" spans="1:31" x14ac:dyDescent="0.25">
      <c r="A749">
        <v>40.667632570000002</v>
      </c>
      <c r="B749">
        <v>121.5412159</v>
      </c>
      <c r="C749">
        <v>15.68735695</v>
      </c>
      <c r="D749">
        <v>29.341726300000001</v>
      </c>
      <c r="E749" t="b">
        <f t="shared" si="265"/>
        <v>1</v>
      </c>
      <c r="F749">
        <f t="shared" si="266"/>
        <v>-49.095058449999996</v>
      </c>
      <c r="G749">
        <f t="shared" si="267"/>
        <v>-127.5318432</v>
      </c>
      <c r="H749">
        <f t="shared" si="268"/>
        <v>-205.96862794999998</v>
      </c>
      <c r="I749">
        <f t="shared" si="269"/>
        <v>-284.4054127</v>
      </c>
      <c r="J749">
        <f t="shared" si="270"/>
        <v>-362.84219745000001</v>
      </c>
      <c r="L749">
        <f t="shared" si="271"/>
        <v>30119725.344000001</v>
      </c>
      <c r="M749">
        <f t="shared" si="272"/>
        <v>-79533994.688999996</v>
      </c>
      <c r="N749">
        <f t="shared" si="273"/>
        <v>-175993943.616</v>
      </c>
      <c r="O749">
        <f t="shared" si="274"/>
        <v>-210088000.509</v>
      </c>
      <c r="P749">
        <f t="shared" si="275"/>
        <v>-261652979.68399996</v>
      </c>
      <c r="Q749">
        <f t="shared" si="276"/>
        <v>-275760070.06199998</v>
      </c>
      <c r="S749">
        <f t="shared" si="277"/>
        <v>32943449.594999999</v>
      </c>
      <c r="T749">
        <f t="shared" si="278"/>
        <v>-89353006.378999993</v>
      </c>
      <c r="U749">
        <f t="shared" si="279"/>
        <v>-192573083.23199999</v>
      </c>
      <c r="V749">
        <f t="shared" si="280"/>
        <v>-220386431.90649995</v>
      </c>
      <c r="W749">
        <f t="shared" si="281"/>
        <v>-304313791.58899993</v>
      </c>
      <c r="X749">
        <f t="shared" si="282"/>
        <v>-315672711.78149998</v>
      </c>
      <c r="Z749">
        <f>C749*(310+0.8+60)</f>
        <v>5816.8719570600006</v>
      </c>
      <c r="AA749">
        <f t="shared" si="283"/>
        <v>-99172018.068999991</v>
      </c>
      <c r="AB749">
        <f t="shared" si="284"/>
        <v>-209152222.84800002</v>
      </c>
      <c r="AC749">
        <f t="shared" si="285"/>
        <v>-280117334.01199996</v>
      </c>
      <c r="AD749">
        <f t="shared" si="286"/>
        <v>-346974603.49399996</v>
      </c>
      <c r="AE749">
        <f t="shared" si="287"/>
        <v>-355585353.50099999</v>
      </c>
    </row>
    <row r="750" spans="1:31" x14ac:dyDescent="0.25">
      <c r="A750">
        <v>40.668415080000003</v>
      </c>
      <c r="B750">
        <v>121.9065232</v>
      </c>
      <c r="C750">
        <v>22.600711820000001</v>
      </c>
      <c r="D750">
        <v>1.26720798</v>
      </c>
      <c r="E750" t="b">
        <f t="shared" si="265"/>
        <v>0</v>
      </c>
      <c r="F750">
        <f t="shared" si="266"/>
        <v>-111.73635112000001</v>
      </c>
      <c r="G750">
        <f t="shared" si="267"/>
        <v>-224.73991022000001</v>
      </c>
      <c r="H750">
        <f t="shared" si="268"/>
        <v>-337.74346931999997</v>
      </c>
      <c r="I750">
        <f t="shared" si="269"/>
        <v>-450.74702841999999</v>
      </c>
      <c r="J750">
        <f t="shared" si="270"/>
        <v>-563.75058752000007</v>
      </c>
      <c r="L750">
        <f t="shared" si="271"/>
        <v>2433039.3216000004</v>
      </c>
      <c r="M750">
        <f t="shared" si="272"/>
        <v>-181012888.81440002</v>
      </c>
      <c r="N750">
        <f t="shared" si="273"/>
        <v>-310141076.10359997</v>
      </c>
      <c r="O750">
        <f t="shared" si="274"/>
        <v>-344498338.70639998</v>
      </c>
      <c r="P750">
        <f t="shared" si="275"/>
        <v>-414687266.14639997</v>
      </c>
      <c r="Q750">
        <f t="shared" si="276"/>
        <v>-428450446.51520008</v>
      </c>
      <c r="S750">
        <f t="shared" si="277"/>
        <v>2661136.7579999999</v>
      </c>
      <c r="T750">
        <f t="shared" si="278"/>
        <v>-203360159.03840002</v>
      </c>
      <c r="U750">
        <f t="shared" si="279"/>
        <v>-339357264.43220001</v>
      </c>
      <c r="V750">
        <f t="shared" si="280"/>
        <v>-361385512.17239994</v>
      </c>
      <c r="W750">
        <f t="shared" si="281"/>
        <v>-482299320.40939993</v>
      </c>
      <c r="X750">
        <f t="shared" si="282"/>
        <v>-490463011.14240009</v>
      </c>
      <c r="Z750">
        <f>D750*(310+0.8+60)</f>
        <v>469.880718984</v>
      </c>
      <c r="AA750">
        <f t="shared" si="283"/>
        <v>-225707429.2624</v>
      </c>
      <c r="AB750">
        <f t="shared" si="284"/>
        <v>-368573452.7608</v>
      </c>
      <c r="AC750">
        <f t="shared" si="285"/>
        <v>-459331118.27519995</v>
      </c>
      <c r="AD750">
        <f t="shared" si="286"/>
        <v>-549911374.6724</v>
      </c>
      <c r="AE750">
        <f t="shared" si="287"/>
        <v>-552475575.76960003</v>
      </c>
    </row>
    <row r="751" spans="1:31" x14ac:dyDescent="0.25">
      <c r="A751">
        <v>40.68942526</v>
      </c>
      <c r="B751">
        <v>121.3633093</v>
      </c>
      <c r="C751">
        <v>44.05892944</v>
      </c>
      <c r="D751">
        <v>2.4486129299999999</v>
      </c>
      <c r="E751" t="b">
        <f t="shared" si="265"/>
        <v>0</v>
      </c>
      <c r="F751">
        <f t="shared" si="266"/>
        <v>-217.84603426999999</v>
      </c>
      <c r="G751">
        <f t="shared" si="267"/>
        <v>-438.14068146999995</v>
      </c>
      <c r="H751">
        <f t="shared" si="268"/>
        <v>-658.43532866999999</v>
      </c>
      <c r="I751">
        <f t="shared" si="269"/>
        <v>-878.72997586999998</v>
      </c>
      <c r="J751">
        <f t="shared" si="270"/>
        <v>-1099.02462307</v>
      </c>
      <c r="L751">
        <f t="shared" si="271"/>
        <v>4701336.8256000001</v>
      </c>
      <c r="M751">
        <f t="shared" si="272"/>
        <v>-352910575.51739997</v>
      </c>
      <c r="N751">
        <f t="shared" si="273"/>
        <v>-604634140.42859995</v>
      </c>
      <c r="O751">
        <f t="shared" si="274"/>
        <v>-671604035.24339998</v>
      </c>
      <c r="P751">
        <f t="shared" si="275"/>
        <v>-808431577.8003999</v>
      </c>
      <c r="Q751">
        <f t="shared" si="276"/>
        <v>-835258713.53319991</v>
      </c>
      <c r="S751">
        <f t="shared" si="277"/>
        <v>5142087.1529999999</v>
      </c>
      <c r="T751">
        <f t="shared" si="278"/>
        <v>-396479782.3714</v>
      </c>
      <c r="U751">
        <f t="shared" si="279"/>
        <v>-661592429.01969993</v>
      </c>
      <c r="V751">
        <f t="shared" si="280"/>
        <v>-704525801.67689979</v>
      </c>
      <c r="W751">
        <f t="shared" si="281"/>
        <v>-940241074.18089986</v>
      </c>
      <c r="X751">
        <f t="shared" si="282"/>
        <v>-956151422.07089996</v>
      </c>
      <c r="Z751">
        <f t="shared" ref="Z751:Z756" si="293">D751*(310+0.8+60)</f>
        <v>907.94567444400002</v>
      </c>
      <c r="AA751">
        <f t="shared" si="283"/>
        <v>-440048989.22539997</v>
      </c>
      <c r="AB751">
        <f t="shared" si="284"/>
        <v>-718550717.61080003</v>
      </c>
      <c r="AC751">
        <f t="shared" si="285"/>
        <v>-895472046.99119985</v>
      </c>
      <c r="AD751">
        <f t="shared" si="286"/>
        <v>-1072050570.5613999</v>
      </c>
      <c r="AE751">
        <f t="shared" si="287"/>
        <v>-1077044130.6085999</v>
      </c>
    </row>
    <row r="752" spans="1:31" x14ac:dyDescent="0.25">
      <c r="A752">
        <v>40.706033210000001</v>
      </c>
      <c r="B752">
        <v>121.97562550000001</v>
      </c>
      <c r="C752">
        <v>22.600711820000001</v>
      </c>
      <c r="D752">
        <v>0.34680101000000002</v>
      </c>
      <c r="E752" t="b">
        <f t="shared" si="265"/>
        <v>0</v>
      </c>
      <c r="F752">
        <f t="shared" si="266"/>
        <v>-112.65675809000001</v>
      </c>
      <c r="G752">
        <f t="shared" si="267"/>
        <v>-225.66031719</v>
      </c>
      <c r="H752">
        <f t="shared" si="268"/>
        <v>-338.66387629000002</v>
      </c>
      <c r="I752">
        <f t="shared" si="269"/>
        <v>-451.66743539000004</v>
      </c>
      <c r="J752">
        <f t="shared" si="270"/>
        <v>-564.67099449</v>
      </c>
      <c r="L752">
        <f t="shared" si="271"/>
        <v>665857.93920000002</v>
      </c>
      <c r="M752">
        <f t="shared" si="272"/>
        <v>-182503948.10580003</v>
      </c>
      <c r="N752">
        <f t="shared" si="273"/>
        <v>-311411237.72219998</v>
      </c>
      <c r="O752">
        <f t="shared" si="274"/>
        <v>-345437153.81580001</v>
      </c>
      <c r="P752">
        <f t="shared" si="275"/>
        <v>-415534040.55879998</v>
      </c>
      <c r="Q752">
        <f t="shared" si="276"/>
        <v>-429149955.81239998</v>
      </c>
      <c r="S752">
        <f t="shared" si="277"/>
        <v>728282.12100000004</v>
      </c>
      <c r="T752">
        <f t="shared" si="278"/>
        <v>-205035299.7238</v>
      </c>
      <c r="U752">
        <f t="shared" si="279"/>
        <v>-340747078.9569</v>
      </c>
      <c r="V752">
        <f t="shared" si="280"/>
        <v>-362370347.63029999</v>
      </c>
      <c r="W752">
        <f t="shared" si="281"/>
        <v>-483284155.86729997</v>
      </c>
      <c r="X752">
        <f t="shared" si="282"/>
        <v>-491263765.20630002</v>
      </c>
      <c r="Z752">
        <f t="shared" si="293"/>
        <v>128.59381450800001</v>
      </c>
      <c r="AA752">
        <f t="shared" si="283"/>
        <v>-227566651.3418</v>
      </c>
      <c r="AB752">
        <f t="shared" si="284"/>
        <v>-370082920.19160002</v>
      </c>
      <c r="AC752">
        <f t="shared" si="285"/>
        <v>-460582871.75440001</v>
      </c>
      <c r="AD752">
        <f t="shared" si="286"/>
        <v>-551034271.17580009</v>
      </c>
      <c r="AE752">
        <f t="shared" si="287"/>
        <v>-553377574.60020006</v>
      </c>
    </row>
    <row r="753" spans="1:31" x14ac:dyDescent="0.25">
      <c r="A753">
        <v>40.818660119999997</v>
      </c>
      <c r="B753">
        <v>121.81729900000001</v>
      </c>
      <c r="C753">
        <v>22.600711820000001</v>
      </c>
      <c r="D753">
        <v>9.4244403800000001</v>
      </c>
      <c r="E753" t="b">
        <f t="shared" si="265"/>
        <v>0</v>
      </c>
      <c r="F753">
        <f t="shared" si="266"/>
        <v>-103.57911872</v>
      </c>
      <c r="G753">
        <f t="shared" si="267"/>
        <v>-216.58267782000001</v>
      </c>
      <c r="H753">
        <f t="shared" si="268"/>
        <v>-329.58623691999998</v>
      </c>
      <c r="I753">
        <f t="shared" si="269"/>
        <v>-442.58979601999999</v>
      </c>
      <c r="J753">
        <f t="shared" si="270"/>
        <v>-555.59335512000007</v>
      </c>
      <c r="L753">
        <f t="shared" si="271"/>
        <v>18094925.529600002</v>
      </c>
      <c r="M753">
        <f t="shared" si="272"/>
        <v>-167798172.32640001</v>
      </c>
      <c r="N753">
        <f t="shared" si="273"/>
        <v>-298884095.39160001</v>
      </c>
      <c r="O753">
        <f t="shared" si="274"/>
        <v>-336177961.65839994</v>
      </c>
      <c r="P753">
        <f t="shared" si="275"/>
        <v>-407182612.33839995</v>
      </c>
      <c r="Q753">
        <f t="shared" si="276"/>
        <v>-422250949.89120013</v>
      </c>
      <c r="S753">
        <f t="shared" si="277"/>
        <v>19791324.798000004</v>
      </c>
      <c r="T753">
        <f t="shared" si="278"/>
        <v>-188513996.0704</v>
      </c>
      <c r="U753">
        <f t="shared" si="279"/>
        <v>-327039843.50820005</v>
      </c>
      <c r="V753">
        <f t="shared" si="280"/>
        <v>-352657273.5043999</v>
      </c>
      <c r="W753">
        <f t="shared" si="281"/>
        <v>-473571081.74139988</v>
      </c>
      <c r="X753">
        <f t="shared" si="282"/>
        <v>-483366218.95440012</v>
      </c>
      <c r="Z753">
        <f t="shared" si="293"/>
        <v>3494.582492904</v>
      </c>
      <c r="AA753">
        <f t="shared" si="283"/>
        <v>-209229819.81439999</v>
      </c>
      <c r="AB753">
        <f t="shared" si="284"/>
        <v>-355195591.62480009</v>
      </c>
      <c r="AC753">
        <f t="shared" si="285"/>
        <v>-448237282.21119988</v>
      </c>
      <c r="AD753">
        <f t="shared" si="286"/>
        <v>-539959551.1444</v>
      </c>
      <c r="AE753">
        <f t="shared" si="287"/>
        <v>-544481488.01760006</v>
      </c>
    </row>
    <row r="754" spans="1:31" x14ac:dyDescent="0.25">
      <c r="A754">
        <v>40.833799499999998</v>
      </c>
      <c r="B754">
        <v>122.0646485</v>
      </c>
      <c r="C754">
        <v>22.600711820000001</v>
      </c>
      <c r="D754">
        <v>1.92786002</v>
      </c>
      <c r="E754" t="b">
        <f t="shared" si="265"/>
        <v>0</v>
      </c>
      <c r="F754">
        <f t="shared" si="266"/>
        <v>-111.07569908000001</v>
      </c>
      <c r="G754">
        <f t="shared" si="267"/>
        <v>-224.07925818000001</v>
      </c>
      <c r="H754">
        <f t="shared" si="268"/>
        <v>-337.08281727999997</v>
      </c>
      <c r="I754">
        <f t="shared" si="269"/>
        <v>-450.08637637999999</v>
      </c>
      <c r="J754">
        <f t="shared" si="270"/>
        <v>-563.08993548000001</v>
      </c>
      <c r="L754">
        <f t="shared" si="271"/>
        <v>3701491.2384000001</v>
      </c>
      <c r="M754">
        <f t="shared" si="272"/>
        <v>-179942632.50960004</v>
      </c>
      <c r="N754">
        <f t="shared" si="273"/>
        <v>-309229376.28839999</v>
      </c>
      <c r="O754">
        <f t="shared" si="274"/>
        <v>-343824473.62559998</v>
      </c>
      <c r="P754">
        <f t="shared" si="275"/>
        <v>-414079466.26959997</v>
      </c>
      <c r="Q754">
        <f t="shared" si="276"/>
        <v>-427948350.9648</v>
      </c>
      <c r="S754">
        <f t="shared" si="277"/>
        <v>4048506.0420000004</v>
      </c>
      <c r="T754">
        <f t="shared" si="278"/>
        <v>-202157772.32560003</v>
      </c>
      <c r="U754">
        <f t="shared" si="279"/>
        <v>-338359679.85180002</v>
      </c>
      <c r="V754">
        <f t="shared" si="280"/>
        <v>-360678614.48959994</v>
      </c>
      <c r="W754">
        <f t="shared" si="281"/>
        <v>-481592422.72659993</v>
      </c>
      <c r="X754">
        <f t="shared" si="282"/>
        <v>-489888243.86760002</v>
      </c>
      <c r="Z754">
        <f t="shared" si="293"/>
        <v>714.85049541600006</v>
      </c>
      <c r="AA754">
        <f t="shared" si="283"/>
        <v>-224372912.14160004</v>
      </c>
      <c r="AB754">
        <f t="shared" si="284"/>
        <v>-367489983.41520005</v>
      </c>
      <c r="AC754">
        <f t="shared" si="285"/>
        <v>-458432631.50079989</v>
      </c>
      <c r="AD754">
        <f t="shared" si="286"/>
        <v>-549105379.18359995</v>
      </c>
      <c r="AE754">
        <f t="shared" si="287"/>
        <v>-551828136.77040005</v>
      </c>
    </row>
    <row r="755" spans="1:31" x14ac:dyDescent="0.25">
      <c r="A755">
        <v>40.848168819999998</v>
      </c>
      <c r="B755">
        <v>121.5796888</v>
      </c>
      <c r="C755">
        <v>58.052211759999999</v>
      </c>
      <c r="D755">
        <v>1.9574470500000001</v>
      </c>
      <c r="E755" t="b">
        <f t="shared" si="265"/>
        <v>0</v>
      </c>
      <c r="F755">
        <f t="shared" si="266"/>
        <v>-288.30361175000002</v>
      </c>
      <c r="G755">
        <f t="shared" si="267"/>
        <v>-578.56467054999996</v>
      </c>
      <c r="H755">
        <f t="shared" si="268"/>
        <v>-868.82572934999996</v>
      </c>
      <c r="I755">
        <f t="shared" si="269"/>
        <v>-1159.0867881500001</v>
      </c>
      <c r="J755">
        <f t="shared" si="270"/>
        <v>-1449.3478469500001</v>
      </c>
      <c r="L755">
        <f t="shared" si="271"/>
        <v>3758298.3360000006</v>
      </c>
      <c r="M755">
        <f t="shared" si="272"/>
        <v>-467051851.03500003</v>
      </c>
      <c r="N755">
        <f t="shared" si="273"/>
        <v>-798419245.35899985</v>
      </c>
      <c r="O755">
        <f t="shared" si="274"/>
        <v>-886202243.93699992</v>
      </c>
      <c r="P755">
        <f t="shared" si="275"/>
        <v>-1066359845.098</v>
      </c>
      <c r="Q755">
        <f t="shared" si="276"/>
        <v>-1101504363.6820002</v>
      </c>
      <c r="S755">
        <f t="shared" si="277"/>
        <v>4110638.8050000002</v>
      </c>
      <c r="T755">
        <f t="shared" si="278"/>
        <v>-524712573.38499999</v>
      </c>
      <c r="U755">
        <f t="shared" si="279"/>
        <v>-873632652.53049994</v>
      </c>
      <c r="V755">
        <f t="shared" si="280"/>
        <v>-929643530.40449977</v>
      </c>
      <c r="W755">
        <f t="shared" si="281"/>
        <v>-1240222863.3204999</v>
      </c>
      <c r="X755">
        <f t="shared" si="282"/>
        <v>-1260932626.8464999</v>
      </c>
      <c r="Z755">
        <f t="shared" si="293"/>
        <v>725.82136614000001</v>
      </c>
      <c r="AA755">
        <f t="shared" si="283"/>
        <v>-582373295.73500001</v>
      </c>
      <c r="AB755">
        <f t="shared" si="284"/>
        <v>-948846059.70200002</v>
      </c>
      <c r="AC755">
        <f t="shared" si="285"/>
        <v>-1181602991.9159997</v>
      </c>
      <c r="AD755">
        <f t="shared" si="286"/>
        <v>-1414085881.543</v>
      </c>
      <c r="AE755">
        <f t="shared" si="287"/>
        <v>-1420360890.0109999</v>
      </c>
    </row>
    <row r="756" spans="1:31" x14ac:dyDescent="0.25">
      <c r="A756">
        <v>40.871321799999997</v>
      </c>
      <c r="B756">
        <v>122.1339869</v>
      </c>
      <c r="C756">
        <v>22.600711820000001</v>
      </c>
      <c r="D756">
        <v>1.0071539899999999</v>
      </c>
      <c r="E756" t="b">
        <f t="shared" si="265"/>
        <v>0</v>
      </c>
      <c r="F756">
        <f t="shared" si="266"/>
        <v>-111.99640511</v>
      </c>
      <c r="G756">
        <f t="shared" si="267"/>
        <v>-224.99996421</v>
      </c>
      <c r="H756">
        <f t="shared" si="268"/>
        <v>-338.00352330999999</v>
      </c>
      <c r="I756">
        <f t="shared" si="269"/>
        <v>-451.00708241000001</v>
      </c>
      <c r="J756">
        <f t="shared" si="270"/>
        <v>-564.01064151000003</v>
      </c>
      <c r="L756">
        <f t="shared" si="271"/>
        <v>1933735.6608000002</v>
      </c>
      <c r="M756">
        <f t="shared" si="272"/>
        <v>-181434176.2782</v>
      </c>
      <c r="N756">
        <f t="shared" si="273"/>
        <v>-310499950.60979998</v>
      </c>
      <c r="O756">
        <f t="shared" si="274"/>
        <v>-344763593.7762</v>
      </c>
      <c r="P756">
        <f t="shared" si="275"/>
        <v>-414926515.81720001</v>
      </c>
      <c r="Q756">
        <f t="shared" si="276"/>
        <v>-428648087.54759997</v>
      </c>
      <c r="S756">
        <f t="shared" si="277"/>
        <v>2115023.3790000002</v>
      </c>
      <c r="T756">
        <f t="shared" si="278"/>
        <v>-203833457.30020002</v>
      </c>
      <c r="U756">
        <f t="shared" si="279"/>
        <v>-339749945.95710003</v>
      </c>
      <c r="V756">
        <f t="shared" si="280"/>
        <v>-361663769.94169992</v>
      </c>
      <c r="W756">
        <f t="shared" si="281"/>
        <v>-482577578.17869997</v>
      </c>
      <c r="X756">
        <f t="shared" si="282"/>
        <v>-490689258.11369997</v>
      </c>
      <c r="Z756">
        <f t="shared" si="293"/>
        <v>373.45269949199997</v>
      </c>
      <c r="AA756">
        <f t="shared" si="283"/>
        <v>-226232738.3222</v>
      </c>
      <c r="AB756">
        <f t="shared" si="284"/>
        <v>-368999941.30440003</v>
      </c>
      <c r="AC756">
        <f t="shared" si="285"/>
        <v>-459684791.70159996</v>
      </c>
      <c r="AD756">
        <f t="shared" si="286"/>
        <v>-550228640.5402</v>
      </c>
      <c r="AE756">
        <f t="shared" si="287"/>
        <v>-552730428.67980003</v>
      </c>
    </row>
    <row r="757" spans="1:31" x14ac:dyDescent="0.25">
      <c r="A757">
        <v>40.922373</v>
      </c>
      <c r="B757">
        <v>121.35139479999999</v>
      </c>
      <c r="C757">
        <v>0</v>
      </c>
      <c r="D757">
        <v>8.3702859899999993</v>
      </c>
      <c r="E757" t="b">
        <f t="shared" si="265"/>
        <v>1</v>
      </c>
      <c r="F757">
        <f t="shared" si="266"/>
        <v>8.3702859899999993</v>
      </c>
      <c r="G757">
        <f t="shared" si="267"/>
        <v>8.3702859899999993</v>
      </c>
      <c r="H757">
        <f t="shared" si="268"/>
        <v>8.3702859899999993</v>
      </c>
      <c r="I757">
        <f t="shared" si="269"/>
        <v>8.3702859899999993</v>
      </c>
      <c r="J757">
        <f t="shared" si="270"/>
        <v>8.3702859899999993</v>
      </c>
      <c r="L757">
        <f t="shared" si="271"/>
        <v>0</v>
      </c>
      <c r="M757">
        <f t="shared" si="272"/>
        <v>0</v>
      </c>
      <c r="N757">
        <f t="shared" si="273"/>
        <v>0</v>
      </c>
      <c r="O757">
        <f t="shared" si="274"/>
        <v>0</v>
      </c>
      <c r="P757">
        <f t="shared" si="275"/>
        <v>0</v>
      </c>
      <c r="Q757">
        <f t="shared" si="276"/>
        <v>0</v>
      </c>
      <c r="S757">
        <f t="shared" si="277"/>
        <v>0</v>
      </c>
      <c r="T757">
        <f t="shared" si="278"/>
        <v>0</v>
      </c>
      <c r="U757">
        <f t="shared" si="279"/>
        <v>0</v>
      </c>
      <c r="V757">
        <f t="shared" si="280"/>
        <v>0</v>
      </c>
      <c r="W757">
        <f t="shared" si="281"/>
        <v>0</v>
      </c>
      <c r="X757">
        <f t="shared" si="282"/>
        <v>0</v>
      </c>
      <c r="Z757">
        <f>C757*(310+0.8+60)</f>
        <v>0</v>
      </c>
      <c r="AA757">
        <f t="shared" si="283"/>
        <v>0</v>
      </c>
      <c r="AB757">
        <f t="shared" si="284"/>
        <v>0</v>
      </c>
      <c r="AC757">
        <f t="shared" si="285"/>
        <v>0</v>
      </c>
      <c r="AD757">
        <f t="shared" si="286"/>
        <v>0</v>
      </c>
      <c r="AE757">
        <f t="shared" si="287"/>
        <v>0</v>
      </c>
    </row>
    <row r="758" spans="1:31" x14ac:dyDescent="0.25">
      <c r="A758">
        <v>40.953972440000001</v>
      </c>
      <c r="B758">
        <v>121.8467041</v>
      </c>
      <c r="C758">
        <v>58.052211759999999</v>
      </c>
      <c r="D758">
        <v>0.45808198999999999</v>
      </c>
      <c r="E758" t="b">
        <f t="shared" si="265"/>
        <v>0</v>
      </c>
      <c r="F758">
        <f t="shared" si="266"/>
        <v>-289.80297681000002</v>
      </c>
      <c r="G758">
        <f t="shared" si="267"/>
        <v>-580.06403561000002</v>
      </c>
      <c r="H758">
        <f t="shared" si="268"/>
        <v>-870.32509441000002</v>
      </c>
      <c r="I758">
        <f t="shared" si="269"/>
        <v>-1160.58615321</v>
      </c>
      <c r="J758">
        <f t="shared" si="270"/>
        <v>-1450.84721201</v>
      </c>
      <c r="L758">
        <f t="shared" si="271"/>
        <v>879517.42080000008</v>
      </c>
      <c r="M758">
        <f t="shared" si="272"/>
        <v>-469480822.43220001</v>
      </c>
      <c r="N758">
        <f t="shared" si="273"/>
        <v>-800488369.14179993</v>
      </c>
      <c r="O758">
        <f t="shared" si="274"/>
        <v>-887731596.29820001</v>
      </c>
      <c r="P758">
        <f t="shared" si="275"/>
        <v>-1067739260.9532</v>
      </c>
      <c r="Q758">
        <f t="shared" si="276"/>
        <v>-1102643881.1276</v>
      </c>
      <c r="S758">
        <f t="shared" si="277"/>
        <v>961972.179</v>
      </c>
      <c r="T758">
        <f t="shared" si="278"/>
        <v>-527441417.7942</v>
      </c>
      <c r="U758">
        <f t="shared" si="279"/>
        <v>-875896693.77110004</v>
      </c>
      <c r="V758">
        <f t="shared" si="280"/>
        <v>-931247851.01869988</v>
      </c>
      <c r="W758">
        <f t="shared" si="281"/>
        <v>-1241827183.9346998</v>
      </c>
      <c r="X758">
        <f t="shared" si="282"/>
        <v>-1262237074.4487</v>
      </c>
      <c r="Z758">
        <f>D758*(310+0.8+60)</f>
        <v>169.85680189199999</v>
      </c>
      <c r="AA758">
        <f t="shared" si="283"/>
        <v>-585402013.15620005</v>
      </c>
      <c r="AB758">
        <f t="shared" si="284"/>
        <v>-951305018.40040004</v>
      </c>
      <c r="AC758">
        <f t="shared" si="285"/>
        <v>-1183642128.3975999</v>
      </c>
      <c r="AD758">
        <f t="shared" si="286"/>
        <v>-1415915106.9161999</v>
      </c>
      <c r="AE758">
        <f t="shared" si="287"/>
        <v>-1421830267.7697999</v>
      </c>
    </row>
    <row r="759" spans="1:31" x14ac:dyDescent="0.25">
      <c r="A759">
        <v>40.961477219999999</v>
      </c>
      <c r="B759">
        <v>122.1539812</v>
      </c>
      <c r="C759">
        <v>58.052211759999999</v>
      </c>
      <c r="D759">
        <v>7.6296000000000003E-2</v>
      </c>
      <c r="E759" t="b">
        <f t="shared" si="265"/>
        <v>0</v>
      </c>
      <c r="F759">
        <f t="shared" si="266"/>
        <v>-290.18476279999999</v>
      </c>
      <c r="G759">
        <f t="shared" si="267"/>
        <v>-580.44582160000004</v>
      </c>
      <c r="H759">
        <f t="shared" si="268"/>
        <v>-870.70688040000005</v>
      </c>
      <c r="I759">
        <f t="shared" si="269"/>
        <v>-1160.9679392</v>
      </c>
      <c r="J759">
        <f t="shared" si="270"/>
        <v>-1451.228998</v>
      </c>
      <c r="L759">
        <f t="shared" si="271"/>
        <v>146488.32000000001</v>
      </c>
      <c r="M759">
        <f t="shared" si="272"/>
        <v>-470099315.73600006</v>
      </c>
      <c r="N759">
        <f t="shared" si="273"/>
        <v>-801015233.80799997</v>
      </c>
      <c r="O759">
        <f t="shared" si="274"/>
        <v>-888121018.00800014</v>
      </c>
      <c r="P759">
        <f t="shared" si="275"/>
        <v>-1068090504.064</v>
      </c>
      <c r="Q759">
        <f t="shared" si="276"/>
        <v>-1102934038.48</v>
      </c>
      <c r="S759">
        <f t="shared" si="277"/>
        <v>160221.6</v>
      </c>
      <c r="T759">
        <f t="shared" si="278"/>
        <v>-528136268.29600006</v>
      </c>
      <c r="U759">
        <f t="shared" si="279"/>
        <v>-876473190.61600006</v>
      </c>
      <c r="V759">
        <f t="shared" si="280"/>
        <v>-931656362.028</v>
      </c>
      <c r="W759">
        <f t="shared" si="281"/>
        <v>-1242235694.9439998</v>
      </c>
      <c r="X759">
        <f t="shared" si="282"/>
        <v>-1262569228.26</v>
      </c>
      <c r="Z759">
        <f>D759*(310+0.8+60)</f>
        <v>28.290556800000001</v>
      </c>
      <c r="AA759">
        <f t="shared" si="283"/>
        <v>-586173220.85600007</v>
      </c>
      <c r="AB759">
        <f t="shared" si="284"/>
        <v>-951931147.42400014</v>
      </c>
      <c r="AC759">
        <f t="shared" si="285"/>
        <v>-1184161357.3440001</v>
      </c>
      <c r="AD759">
        <f t="shared" si="286"/>
        <v>-1416380885.8240001</v>
      </c>
      <c r="AE759">
        <f t="shared" si="287"/>
        <v>-1422204418.04</v>
      </c>
    </row>
    <row r="760" spans="1:31" x14ac:dyDescent="0.25">
      <c r="A760">
        <v>41.013910279999997</v>
      </c>
      <c r="B760">
        <v>121.7374645</v>
      </c>
      <c r="C760">
        <v>58.052211759999999</v>
      </c>
      <c r="D760">
        <v>60.591201779999999</v>
      </c>
      <c r="E760" t="b">
        <f t="shared" si="265"/>
        <v>1</v>
      </c>
      <c r="F760">
        <f t="shared" si="266"/>
        <v>-229.66985701999999</v>
      </c>
      <c r="G760">
        <f t="shared" si="267"/>
        <v>-519.93091582</v>
      </c>
      <c r="H760">
        <f t="shared" si="268"/>
        <v>-810.19197462</v>
      </c>
      <c r="I760">
        <f t="shared" si="269"/>
        <v>-1100.4530334200001</v>
      </c>
      <c r="J760">
        <f t="shared" si="270"/>
        <v>-1390.7140922200001</v>
      </c>
      <c r="L760">
        <f t="shared" si="271"/>
        <v>111460246.5792</v>
      </c>
      <c r="M760">
        <f t="shared" si="272"/>
        <v>-372065168.37239999</v>
      </c>
      <c r="N760">
        <f t="shared" si="273"/>
        <v>-717504663.83159995</v>
      </c>
      <c r="O760">
        <f t="shared" si="274"/>
        <v>-826395814.11240005</v>
      </c>
      <c r="P760">
        <f t="shared" si="275"/>
        <v>-1012416790.7464</v>
      </c>
      <c r="Q760">
        <f t="shared" si="276"/>
        <v>-1056942710.0872</v>
      </c>
      <c r="S760">
        <f t="shared" si="277"/>
        <v>121909644.69599999</v>
      </c>
      <c r="T760">
        <f t="shared" si="278"/>
        <v>-417999139.77639997</v>
      </c>
      <c r="U760">
        <f t="shared" si="279"/>
        <v>-785095682.88820004</v>
      </c>
      <c r="V760">
        <f t="shared" si="280"/>
        <v>-866905412.84339988</v>
      </c>
      <c r="W760">
        <f t="shared" si="281"/>
        <v>-1177484745.7593999</v>
      </c>
      <c r="X760">
        <f t="shared" si="282"/>
        <v>-1209921260.2314</v>
      </c>
      <c r="Z760">
        <f>C760*(310+0.8+60)</f>
        <v>21525.760120608</v>
      </c>
      <c r="AA760">
        <f t="shared" si="283"/>
        <v>-463933111.18039995</v>
      </c>
      <c r="AB760">
        <f t="shared" si="284"/>
        <v>-852686701.94480002</v>
      </c>
      <c r="AC760">
        <f t="shared" si="285"/>
        <v>-1101861085.4831998</v>
      </c>
      <c r="AD760">
        <f t="shared" si="286"/>
        <v>-1342552700.7724001</v>
      </c>
      <c r="AE760">
        <f t="shared" si="287"/>
        <v>-1362899810.3756001</v>
      </c>
    </row>
    <row r="761" spans="1:31" x14ac:dyDescent="0.25">
      <c r="A761">
        <v>41.014126619999999</v>
      </c>
      <c r="B761">
        <v>122.1044954</v>
      </c>
      <c r="C761">
        <v>22.600711820000001</v>
      </c>
      <c r="D761">
        <v>9.9223280000000003</v>
      </c>
      <c r="E761" t="b">
        <f t="shared" si="265"/>
        <v>0</v>
      </c>
      <c r="F761">
        <f t="shared" si="266"/>
        <v>-103.0812311</v>
      </c>
      <c r="G761">
        <f t="shared" si="267"/>
        <v>-216.08479020000001</v>
      </c>
      <c r="H761">
        <f t="shared" si="268"/>
        <v>-329.0883493</v>
      </c>
      <c r="I761">
        <f t="shared" si="269"/>
        <v>-442.09190840000002</v>
      </c>
      <c r="J761">
        <f t="shared" si="270"/>
        <v>-555.09546750000004</v>
      </c>
      <c r="L761">
        <f t="shared" si="271"/>
        <v>19050869.760000002</v>
      </c>
      <c r="M761">
        <f t="shared" si="272"/>
        <v>-166991594.382</v>
      </c>
      <c r="N761">
        <f t="shared" si="273"/>
        <v>-298197010.47600001</v>
      </c>
      <c r="O761">
        <f t="shared" si="274"/>
        <v>-335670116.28600001</v>
      </c>
      <c r="P761">
        <f t="shared" si="275"/>
        <v>-406724555.72799999</v>
      </c>
      <c r="Q761">
        <f t="shared" si="276"/>
        <v>-421872555.30000001</v>
      </c>
      <c r="S761">
        <f t="shared" si="277"/>
        <v>20836888.800000001</v>
      </c>
      <c r="T761">
        <f t="shared" si="278"/>
        <v>-187607840.602</v>
      </c>
      <c r="U761">
        <f t="shared" si="279"/>
        <v>-326288033.20200002</v>
      </c>
      <c r="V761">
        <f t="shared" si="280"/>
        <v>-352124533.75099999</v>
      </c>
      <c r="W761">
        <f t="shared" si="281"/>
        <v>-473038341.98799998</v>
      </c>
      <c r="X761">
        <f t="shared" si="282"/>
        <v>-482933056.72500002</v>
      </c>
      <c r="Z761">
        <f>D761*(310+0.8+60)</f>
        <v>3679.1992224000001</v>
      </c>
      <c r="AA761">
        <f t="shared" si="283"/>
        <v>-208224086.822</v>
      </c>
      <c r="AB761">
        <f t="shared" si="284"/>
        <v>-354379055.92800003</v>
      </c>
      <c r="AC761">
        <f t="shared" si="285"/>
        <v>-447560155.04799998</v>
      </c>
      <c r="AD761">
        <f t="shared" si="286"/>
        <v>-539352128.24800003</v>
      </c>
      <c r="AE761">
        <f t="shared" si="287"/>
        <v>-543993558.14999998</v>
      </c>
    </row>
    <row r="762" spans="1:31" x14ac:dyDescent="0.25">
      <c r="A762">
        <v>41.021676720000002</v>
      </c>
      <c r="B762">
        <v>122.0449818</v>
      </c>
      <c r="C762">
        <v>22.600711820000001</v>
      </c>
      <c r="D762">
        <v>4.6236739199999999</v>
      </c>
      <c r="E762" t="b">
        <f t="shared" si="265"/>
        <v>0</v>
      </c>
      <c r="F762">
        <f t="shared" si="266"/>
        <v>-108.37988518</v>
      </c>
      <c r="G762">
        <f t="shared" si="267"/>
        <v>-221.38344428000002</v>
      </c>
      <c r="H762">
        <f t="shared" si="268"/>
        <v>-334.38700338000001</v>
      </c>
      <c r="I762">
        <f t="shared" si="269"/>
        <v>-447.39056248000003</v>
      </c>
      <c r="J762">
        <f t="shared" si="270"/>
        <v>-560.39412158000005</v>
      </c>
      <c r="L762">
        <f t="shared" si="271"/>
        <v>8877453.9264000002</v>
      </c>
      <c r="M762">
        <f t="shared" si="272"/>
        <v>-175575413.99160004</v>
      </c>
      <c r="N762">
        <f t="shared" si="273"/>
        <v>-305509153.10640001</v>
      </c>
      <c r="O762">
        <f t="shared" si="274"/>
        <v>-341074743.44760001</v>
      </c>
      <c r="P762">
        <f t="shared" si="275"/>
        <v>-411599317.48159999</v>
      </c>
      <c r="Q762">
        <f t="shared" si="276"/>
        <v>-425899532.40080005</v>
      </c>
      <c r="S762">
        <f t="shared" si="277"/>
        <v>9709715.2320000008</v>
      </c>
      <c r="T762">
        <f t="shared" si="278"/>
        <v>-197251391.02760002</v>
      </c>
      <c r="U762">
        <f t="shared" si="279"/>
        <v>-334289000.86280006</v>
      </c>
      <c r="V762">
        <f t="shared" si="280"/>
        <v>-357794093.61659992</v>
      </c>
      <c r="W762">
        <f t="shared" si="281"/>
        <v>-478707901.85359997</v>
      </c>
      <c r="X762">
        <f t="shared" si="282"/>
        <v>-487542885.77460003</v>
      </c>
      <c r="Z762">
        <f t="shared" ref="Z762:Z769" si="294">D762*(310+0.8+60)</f>
        <v>1714.4582895359999</v>
      </c>
      <c r="AA762">
        <f t="shared" si="283"/>
        <v>-218927368.0636</v>
      </c>
      <c r="AB762">
        <f t="shared" si="284"/>
        <v>-363068848.61920005</v>
      </c>
      <c r="AC762">
        <f t="shared" si="285"/>
        <v>-454766324.59679997</v>
      </c>
      <c r="AD762">
        <f t="shared" si="286"/>
        <v>-545816486.2256</v>
      </c>
      <c r="AE762">
        <f t="shared" si="287"/>
        <v>-549186239.14840007</v>
      </c>
    </row>
    <row r="763" spans="1:31" x14ac:dyDescent="0.25">
      <c r="A763">
        <v>41.028703479999997</v>
      </c>
      <c r="B763">
        <v>122.3525612</v>
      </c>
      <c r="C763">
        <v>58.052211759999999</v>
      </c>
      <c r="D763">
        <v>1.1750129499999999</v>
      </c>
      <c r="E763" t="b">
        <f t="shared" si="265"/>
        <v>0</v>
      </c>
      <c r="F763">
        <f t="shared" si="266"/>
        <v>-289.08604585</v>
      </c>
      <c r="G763">
        <f t="shared" si="267"/>
        <v>-579.34710465000001</v>
      </c>
      <c r="H763">
        <f t="shared" si="268"/>
        <v>-869.60816345000001</v>
      </c>
      <c r="I763">
        <f t="shared" si="269"/>
        <v>-1159.8692222499999</v>
      </c>
      <c r="J763">
        <f t="shared" si="270"/>
        <v>-1450.1302810499999</v>
      </c>
      <c r="L763">
        <f t="shared" si="271"/>
        <v>2256024.8640000001</v>
      </c>
      <c r="M763">
        <f t="shared" si="272"/>
        <v>-468319394.27700007</v>
      </c>
      <c r="N763">
        <f t="shared" si="273"/>
        <v>-799499004.41699994</v>
      </c>
      <c r="O763">
        <f t="shared" si="274"/>
        <v>-887000326.7190001</v>
      </c>
      <c r="P763">
        <f t="shared" si="275"/>
        <v>-1067079684.4699999</v>
      </c>
      <c r="Q763">
        <f t="shared" si="276"/>
        <v>-1102099013.598</v>
      </c>
      <c r="S763">
        <f t="shared" si="277"/>
        <v>2467527.1949999998</v>
      </c>
      <c r="T763">
        <f t="shared" si="278"/>
        <v>-526136603.44700009</v>
      </c>
      <c r="U763">
        <f t="shared" si="279"/>
        <v>-874814128.02149999</v>
      </c>
      <c r="V763">
        <f t="shared" si="280"/>
        <v>-930480734.89149988</v>
      </c>
      <c r="W763">
        <f t="shared" si="281"/>
        <v>-1241060067.8074999</v>
      </c>
      <c r="X763">
        <f t="shared" si="282"/>
        <v>-1261613344.5135</v>
      </c>
      <c r="Z763">
        <f t="shared" si="294"/>
        <v>435.69480185999998</v>
      </c>
      <c r="AA763">
        <f t="shared" si="283"/>
        <v>-583953812.6170001</v>
      </c>
      <c r="AB763">
        <f t="shared" si="284"/>
        <v>-950129251.62600005</v>
      </c>
      <c r="AC763">
        <f t="shared" si="285"/>
        <v>-1182667102.2920001</v>
      </c>
      <c r="AD763">
        <f t="shared" si="286"/>
        <v>-1415040451.145</v>
      </c>
      <c r="AE763">
        <f t="shared" si="287"/>
        <v>-1421127675.4289999</v>
      </c>
    </row>
    <row r="764" spans="1:31" x14ac:dyDescent="0.25">
      <c r="A764">
        <v>41.044160189999999</v>
      </c>
      <c r="B764">
        <v>121.8663677</v>
      </c>
      <c r="C764">
        <v>58.052211759999999</v>
      </c>
      <c r="D764">
        <v>2.8880128900000002</v>
      </c>
      <c r="E764" t="b">
        <f t="shared" si="265"/>
        <v>0</v>
      </c>
      <c r="F764">
        <f t="shared" si="266"/>
        <v>-287.37304590999997</v>
      </c>
      <c r="G764">
        <f t="shared" si="267"/>
        <v>-577.63410470999997</v>
      </c>
      <c r="H764">
        <f t="shared" si="268"/>
        <v>-867.89516350999997</v>
      </c>
      <c r="I764">
        <f t="shared" si="269"/>
        <v>-1158.15622231</v>
      </c>
      <c r="J764">
        <f t="shared" si="270"/>
        <v>-1448.41728111</v>
      </c>
      <c r="L764">
        <f t="shared" si="271"/>
        <v>5544984.7488000011</v>
      </c>
      <c r="M764">
        <f t="shared" si="272"/>
        <v>-465544334.37419999</v>
      </c>
      <c r="N764">
        <f t="shared" si="273"/>
        <v>-797135064.49979985</v>
      </c>
      <c r="O764">
        <f t="shared" si="274"/>
        <v>-885253066.7802</v>
      </c>
      <c r="P764">
        <f t="shared" si="275"/>
        <v>-1065503724.5251999</v>
      </c>
      <c r="Q764">
        <f t="shared" si="276"/>
        <v>-1100797133.6436</v>
      </c>
      <c r="S764">
        <f t="shared" si="277"/>
        <v>6064827.0690000001</v>
      </c>
      <c r="T764">
        <f t="shared" si="278"/>
        <v>-523018943.55619997</v>
      </c>
      <c r="U764">
        <f t="shared" si="279"/>
        <v>-872227498.11209989</v>
      </c>
      <c r="V764">
        <f t="shared" si="280"/>
        <v>-928647824.9556998</v>
      </c>
      <c r="W764">
        <f t="shared" si="281"/>
        <v>-1239227157.8716998</v>
      </c>
      <c r="X764">
        <f t="shared" si="282"/>
        <v>-1260123034.5656998</v>
      </c>
      <c r="Z764">
        <f t="shared" si="294"/>
        <v>1070.875179612</v>
      </c>
      <c r="AA764">
        <f t="shared" si="283"/>
        <v>-580493552.73819995</v>
      </c>
      <c r="AB764">
        <f t="shared" si="284"/>
        <v>-947319931.72439992</v>
      </c>
      <c r="AC764">
        <f t="shared" si="285"/>
        <v>-1180337422.3735998</v>
      </c>
      <c r="AD764">
        <f t="shared" si="286"/>
        <v>-1412950591.2182</v>
      </c>
      <c r="AE764">
        <f t="shared" si="287"/>
        <v>-1419448935.4877999</v>
      </c>
    </row>
    <row r="765" spans="1:31" x14ac:dyDescent="0.25">
      <c r="A765">
        <v>41.066057059999999</v>
      </c>
      <c r="B765">
        <v>122.42223079999999</v>
      </c>
      <c r="C765">
        <v>17.020019529999999</v>
      </c>
      <c r="D765">
        <v>1.5397969499999999</v>
      </c>
      <c r="E765" t="b">
        <f t="shared" si="265"/>
        <v>0</v>
      </c>
      <c r="F765">
        <f t="shared" si="266"/>
        <v>-83.560300699999999</v>
      </c>
      <c r="G765">
        <f t="shared" si="267"/>
        <v>-168.66039834999998</v>
      </c>
      <c r="H765">
        <f t="shared" si="268"/>
        <v>-253.76049599999996</v>
      </c>
      <c r="I765">
        <f t="shared" si="269"/>
        <v>-338.86059365</v>
      </c>
      <c r="J765">
        <f t="shared" si="270"/>
        <v>-423.96069130000001</v>
      </c>
      <c r="L765">
        <f t="shared" si="271"/>
        <v>2956410.1440000003</v>
      </c>
      <c r="M765">
        <f t="shared" si="272"/>
        <v>-135367687.134</v>
      </c>
      <c r="N765">
        <f t="shared" si="273"/>
        <v>-232751349.72299996</v>
      </c>
      <c r="O765">
        <f t="shared" si="274"/>
        <v>-258835705.91999999</v>
      </c>
      <c r="P765">
        <f t="shared" si="275"/>
        <v>-311751746.15799993</v>
      </c>
      <c r="Q765">
        <f t="shared" si="276"/>
        <v>-322210125.38800001</v>
      </c>
      <c r="S765">
        <f t="shared" si="277"/>
        <v>3233573.5950000002</v>
      </c>
      <c r="T765">
        <f t="shared" si="278"/>
        <v>-152079747.27400002</v>
      </c>
      <c r="U765">
        <f t="shared" si="279"/>
        <v>-254677201.50849998</v>
      </c>
      <c r="V765">
        <f t="shared" si="280"/>
        <v>-271523730.71999991</v>
      </c>
      <c r="W765">
        <f t="shared" si="281"/>
        <v>-362580835.20549995</v>
      </c>
      <c r="X765">
        <f t="shared" si="282"/>
        <v>-368845801.43099999</v>
      </c>
      <c r="Z765">
        <f t="shared" si="294"/>
        <v>570.95670905999998</v>
      </c>
      <c r="AA765">
        <f t="shared" si="283"/>
        <v>-168791807.414</v>
      </c>
      <c r="AB765">
        <f t="shared" si="284"/>
        <v>-276603053.29400003</v>
      </c>
      <c r="AC765">
        <f t="shared" si="285"/>
        <v>-345114274.55999994</v>
      </c>
      <c r="AD765">
        <f t="shared" si="286"/>
        <v>-413409924.25299996</v>
      </c>
      <c r="AE765">
        <f t="shared" si="287"/>
        <v>-415481477.47399998</v>
      </c>
    </row>
    <row r="766" spans="1:31" x14ac:dyDescent="0.25">
      <c r="A766">
        <v>41.118800899999997</v>
      </c>
      <c r="B766">
        <v>122.3728673</v>
      </c>
      <c r="C766">
        <v>58.052211759999999</v>
      </c>
      <c r="D766">
        <v>2.87428689</v>
      </c>
      <c r="E766" t="b">
        <f t="shared" si="265"/>
        <v>0</v>
      </c>
      <c r="F766">
        <f t="shared" si="266"/>
        <v>-287.38677190999999</v>
      </c>
      <c r="G766">
        <f t="shared" si="267"/>
        <v>-577.64783070999999</v>
      </c>
      <c r="H766">
        <f t="shared" si="268"/>
        <v>-867.90888950999999</v>
      </c>
      <c r="I766">
        <f t="shared" si="269"/>
        <v>-1158.1699483100001</v>
      </c>
      <c r="J766">
        <f t="shared" si="270"/>
        <v>-1448.4310071100001</v>
      </c>
      <c r="L766">
        <f t="shared" si="271"/>
        <v>5518630.8288000003</v>
      </c>
      <c r="M766">
        <f t="shared" si="272"/>
        <v>-465566570.49419999</v>
      </c>
      <c r="N766">
        <f t="shared" si="273"/>
        <v>-797154006.37979996</v>
      </c>
      <c r="O766">
        <f t="shared" si="274"/>
        <v>-885267067.30019999</v>
      </c>
      <c r="P766">
        <f t="shared" si="275"/>
        <v>-1065516352.4452001</v>
      </c>
      <c r="Q766">
        <f t="shared" si="276"/>
        <v>-1100807565.4036002</v>
      </c>
      <c r="S766">
        <f t="shared" si="277"/>
        <v>6036002.4690000005</v>
      </c>
      <c r="T766">
        <f t="shared" si="278"/>
        <v>-523043924.87619996</v>
      </c>
      <c r="U766">
        <f t="shared" si="279"/>
        <v>-872248224.37210011</v>
      </c>
      <c r="V766">
        <f t="shared" si="280"/>
        <v>-928662511.77569985</v>
      </c>
      <c r="W766">
        <f t="shared" si="281"/>
        <v>-1239241844.6917</v>
      </c>
      <c r="X766">
        <f t="shared" si="282"/>
        <v>-1260134976.1857002</v>
      </c>
      <c r="Z766">
        <f t="shared" si="294"/>
        <v>1065.785578812</v>
      </c>
      <c r="AA766">
        <f t="shared" si="283"/>
        <v>-580521279.25819993</v>
      </c>
      <c r="AB766">
        <f t="shared" si="284"/>
        <v>-947342442.36440015</v>
      </c>
      <c r="AC766">
        <f t="shared" si="285"/>
        <v>-1180356089.7335999</v>
      </c>
      <c r="AD766">
        <f t="shared" si="286"/>
        <v>-1412967336.9382002</v>
      </c>
      <c r="AE766">
        <f t="shared" si="287"/>
        <v>-1419462386.9678001</v>
      </c>
    </row>
    <row r="767" spans="1:31" x14ac:dyDescent="0.25">
      <c r="A767">
        <v>41.134331299999999</v>
      </c>
      <c r="B767">
        <v>121.8860798</v>
      </c>
      <c r="C767">
        <v>58.052211759999999</v>
      </c>
      <c r="D767">
        <v>55.749309539999999</v>
      </c>
      <c r="E767" t="b">
        <f t="shared" si="265"/>
        <v>0</v>
      </c>
      <c r="F767">
        <f t="shared" si="266"/>
        <v>-234.51174925999999</v>
      </c>
      <c r="G767">
        <f t="shared" si="267"/>
        <v>-524.77280805999999</v>
      </c>
      <c r="H767">
        <f t="shared" si="268"/>
        <v>-815.03386685999999</v>
      </c>
      <c r="I767">
        <f t="shared" si="269"/>
        <v>-1105.29492566</v>
      </c>
      <c r="J767">
        <f t="shared" si="270"/>
        <v>-1395.55598446</v>
      </c>
      <c r="L767">
        <f t="shared" si="271"/>
        <v>107038674.31680001</v>
      </c>
      <c r="M767">
        <f t="shared" si="272"/>
        <v>-379909033.80120003</v>
      </c>
      <c r="N767">
        <f t="shared" si="273"/>
        <v>-724186475.12279999</v>
      </c>
      <c r="O767">
        <f t="shared" si="274"/>
        <v>-831334544.19720006</v>
      </c>
      <c r="P767">
        <f t="shared" si="275"/>
        <v>-1016871331.6072</v>
      </c>
      <c r="Q767">
        <f t="shared" si="276"/>
        <v>-1060622548.1896</v>
      </c>
      <c r="S767">
        <f t="shared" si="277"/>
        <v>117073550.03400001</v>
      </c>
      <c r="T767">
        <f t="shared" si="278"/>
        <v>-426811383.65319997</v>
      </c>
      <c r="U767">
        <f t="shared" si="279"/>
        <v>-792406940.17060006</v>
      </c>
      <c r="V767">
        <f t="shared" si="280"/>
        <v>-872086237.54019988</v>
      </c>
      <c r="W767">
        <f t="shared" si="281"/>
        <v>-1182665570.4561999</v>
      </c>
      <c r="X767">
        <f t="shared" si="282"/>
        <v>-1214133706.4802001</v>
      </c>
      <c r="Z767">
        <f t="shared" si="294"/>
        <v>20671.843977432</v>
      </c>
      <c r="AA767">
        <f t="shared" si="283"/>
        <v>-473713733.50519997</v>
      </c>
      <c r="AB767">
        <f t="shared" si="284"/>
        <v>-860627405.21840012</v>
      </c>
      <c r="AC767">
        <f t="shared" si="285"/>
        <v>-1108446058.9296</v>
      </c>
      <c r="AD767">
        <f t="shared" si="286"/>
        <v>-1348459809.3052001</v>
      </c>
      <c r="AE767">
        <f t="shared" si="287"/>
        <v>-1367644864.7708001</v>
      </c>
    </row>
    <row r="768" spans="1:31" x14ac:dyDescent="0.25">
      <c r="A768">
        <v>41.149197229999999</v>
      </c>
      <c r="B768">
        <v>121.76680039999999</v>
      </c>
      <c r="C768">
        <v>58.052211759999999</v>
      </c>
      <c r="D768">
        <v>0.83929503000000005</v>
      </c>
      <c r="E768" t="b">
        <f t="shared" si="265"/>
        <v>0</v>
      </c>
      <c r="F768">
        <f t="shared" si="266"/>
        <v>-289.42176376999998</v>
      </c>
      <c r="G768">
        <f t="shared" si="267"/>
        <v>-579.68282256999998</v>
      </c>
      <c r="H768">
        <f t="shared" si="268"/>
        <v>-869.94388136999999</v>
      </c>
      <c r="I768">
        <f t="shared" si="269"/>
        <v>-1160.2049401700001</v>
      </c>
      <c r="J768">
        <f t="shared" si="270"/>
        <v>-1450.4659989700001</v>
      </c>
      <c r="L768">
        <f t="shared" si="271"/>
        <v>1611446.4576000001</v>
      </c>
      <c r="M768">
        <f t="shared" si="272"/>
        <v>-468863257.30739999</v>
      </c>
      <c r="N768">
        <f t="shared" si="273"/>
        <v>-799962295.14659989</v>
      </c>
      <c r="O768">
        <f t="shared" si="274"/>
        <v>-887342758.99740005</v>
      </c>
      <c r="P768">
        <f t="shared" si="275"/>
        <v>-1067388544.9564</v>
      </c>
      <c r="Q768">
        <f t="shared" si="276"/>
        <v>-1102354159.2172</v>
      </c>
      <c r="S768">
        <f t="shared" si="277"/>
        <v>1762519.5630000001</v>
      </c>
      <c r="T768">
        <f t="shared" si="278"/>
        <v>-526747610.0614</v>
      </c>
      <c r="U768">
        <f t="shared" si="279"/>
        <v>-875321062.08069992</v>
      </c>
      <c r="V768">
        <f t="shared" si="280"/>
        <v>-930839953.06589985</v>
      </c>
      <c r="W768">
        <f t="shared" si="281"/>
        <v>-1241419285.9819</v>
      </c>
      <c r="X768">
        <f t="shared" si="282"/>
        <v>-1261905419.1039</v>
      </c>
      <c r="Z768">
        <f t="shared" si="294"/>
        <v>311.210597124</v>
      </c>
      <c r="AA768">
        <f t="shared" si="283"/>
        <v>-584631962.8154</v>
      </c>
      <c r="AB768">
        <f t="shared" si="284"/>
        <v>-950679829.01479995</v>
      </c>
      <c r="AC768">
        <f t="shared" si="285"/>
        <v>-1183123678.6631999</v>
      </c>
      <c r="AD768">
        <f t="shared" si="286"/>
        <v>-1415450027.0074</v>
      </c>
      <c r="AE768">
        <f t="shared" si="287"/>
        <v>-1421456678.9906001</v>
      </c>
    </row>
    <row r="769" spans="1:31" x14ac:dyDescent="0.25">
      <c r="A769">
        <v>41.156137700000002</v>
      </c>
      <c r="B769">
        <v>122.442633</v>
      </c>
      <c r="C769">
        <v>58.052211759999999</v>
      </c>
      <c r="D769">
        <v>1.20201194</v>
      </c>
      <c r="E769" t="b">
        <f t="shared" si="265"/>
        <v>0</v>
      </c>
      <c r="F769">
        <f t="shared" si="266"/>
        <v>-289.05904686000002</v>
      </c>
      <c r="G769">
        <f t="shared" si="267"/>
        <v>-579.32010565999997</v>
      </c>
      <c r="H769">
        <f t="shared" si="268"/>
        <v>-869.58116445999997</v>
      </c>
      <c r="I769">
        <f t="shared" si="269"/>
        <v>-1159.8422232600001</v>
      </c>
      <c r="J769">
        <f t="shared" si="270"/>
        <v>-1450.1032820600001</v>
      </c>
      <c r="L769">
        <f t="shared" si="271"/>
        <v>2307862.9248000002</v>
      </c>
      <c r="M769">
        <f t="shared" si="272"/>
        <v>-468275655.91320008</v>
      </c>
      <c r="N769">
        <f t="shared" si="273"/>
        <v>-799461745.81079984</v>
      </c>
      <c r="O769">
        <f t="shared" si="274"/>
        <v>-886972787.74919999</v>
      </c>
      <c r="P769">
        <f t="shared" si="275"/>
        <v>-1067054845.3992</v>
      </c>
      <c r="Q769">
        <f t="shared" si="276"/>
        <v>-1102078494.3656001</v>
      </c>
      <c r="S769">
        <f t="shared" si="277"/>
        <v>2524225.074</v>
      </c>
      <c r="T769">
        <f t="shared" si="278"/>
        <v>-526087465.28520006</v>
      </c>
      <c r="U769">
        <f t="shared" si="279"/>
        <v>-874773359.54659998</v>
      </c>
      <c r="V769">
        <f t="shared" si="280"/>
        <v>-930451845.9721998</v>
      </c>
      <c r="W769">
        <f t="shared" si="281"/>
        <v>-1241031178.8881998</v>
      </c>
      <c r="X769">
        <f t="shared" si="282"/>
        <v>-1261589855.3922002</v>
      </c>
      <c r="Z769">
        <f t="shared" si="294"/>
        <v>445.70602735200004</v>
      </c>
      <c r="AA769">
        <f t="shared" si="283"/>
        <v>-583899274.65719998</v>
      </c>
      <c r="AB769">
        <f t="shared" si="284"/>
        <v>-950084973.28240001</v>
      </c>
      <c r="AC769">
        <f t="shared" si="285"/>
        <v>-1182630383.6655998</v>
      </c>
      <c r="AD769">
        <f t="shared" si="286"/>
        <v>-1415007512.3771999</v>
      </c>
      <c r="AE769">
        <f t="shared" si="287"/>
        <v>-1421101216.4188001</v>
      </c>
    </row>
    <row r="770" spans="1:31" x14ac:dyDescent="0.25">
      <c r="A770">
        <v>41.156890670000003</v>
      </c>
      <c r="B770">
        <v>122.0748889</v>
      </c>
      <c r="C770">
        <v>26.0837574</v>
      </c>
      <c r="D770">
        <v>34.592369079999997</v>
      </c>
      <c r="E770" t="b">
        <f t="shared" si="265"/>
        <v>1</v>
      </c>
      <c r="F770">
        <f t="shared" si="266"/>
        <v>-95.826417920000011</v>
      </c>
      <c r="G770">
        <f t="shared" si="267"/>
        <v>-226.24520492000002</v>
      </c>
      <c r="H770">
        <f t="shared" si="268"/>
        <v>-356.66399191999994</v>
      </c>
      <c r="I770">
        <f t="shared" si="269"/>
        <v>-487.08277892000001</v>
      </c>
      <c r="J770">
        <f t="shared" si="270"/>
        <v>-617.50156591999996</v>
      </c>
      <c r="L770">
        <f t="shared" si="271"/>
        <v>50080814.208000004</v>
      </c>
      <c r="M770">
        <f t="shared" si="272"/>
        <v>-155238797.03040004</v>
      </c>
      <c r="N770">
        <f t="shared" si="273"/>
        <v>-312218382.78960001</v>
      </c>
      <c r="O770">
        <f t="shared" si="274"/>
        <v>-363797271.75839996</v>
      </c>
      <c r="P770">
        <f t="shared" si="275"/>
        <v>-448116156.60639995</v>
      </c>
      <c r="Q770">
        <f t="shared" si="276"/>
        <v>-469301190.09919995</v>
      </c>
      <c r="S770">
        <f t="shared" si="277"/>
        <v>54775890.539999999</v>
      </c>
      <c r="T770">
        <f t="shared" si="278"/>
        <v>-174404080.61440003</v>
      </c>
      <c r="U770">
        <f t="shared" si="279"/>
        <v>-341630259.42920005</v>
      </c>
      <c r="V770">
        <f t="shared" si="280"/>
        <v>-381630471.35439992</v>
      </c>
      <c r="W770">
        <f t="shared" si="281"/>
        <v>-521178573.44439995</v>
      </c>
      <c r="X770">
        <f t="shared" si="282"/>
        <v>-537226362.35039997</v>
      </c>
      <c r="Z770">
        <f>C770*(310+0.8+60)</f>
        <v>9671.8572439199997</v>
      </c>
      <c r="AA770">
        <f t="shared" si="283"/>
        <v>-193569364.19840002</v>
      </c>
      <c r="AB770">
        <f t="shared" si="284"/>
        <v>-371042136.06880003</v>
      </c>
      <c r="AC770">
        <f t="shared" si="285"/>
        <v>-485063029.01119989</v>
      </c>
      <c r="AD770">
        <f t="shared" si="286"/>
        <v>-594240990.28240001</v>
      </c>
      <c r="AE770">
        <f t="shared" si="287"/>
        <v>-605151534.60159993</v>
      </c>
    </row>
    <row r="771" spans="1:31" x14ac:dyDescent="0.25">
      <c r="A771">
        <v>41.186792920000002</v>
      </c>
      <c r="B771">
        <v>122.20418239999999</v>
      </c>
      <c r="C771">
        <v>26.0837574</v>
      </c>
      <c r="D771">
        <v>13.193712229999999</v>
      </c>
      <c r="E771" t="b">
        <f t="shared" ref="E771:E834" si="295">D771&gt;C771</f>
        <v>0</v>
      </c>
      <c r="F771">
        <f t="shared" ref="F771:F834" si="296">D771-(C771*(2030-2025))</f>
        <v>-117.22507477000001</v>
      </c>
      <c r="G771">
        <f t="shared" ref="G771:G834" si="297">D771-(C771*(2035-2025))</f>
        <v>-247.64386177000003</v>
      </c>
      <c r="H771">
        <f t="shared" ref="H771:H834" si="298">D771-(C771*(2040-2025))</f>
        <v>-378.06264876999995</v>
      </c>
      <c r="I771">
        <f t="shared" ref="I771:I834" si="299">D771-(C771*(2045-2025))</f>
        <v>-508.48143577000002</v>
      </c>
      <c r="J771">
        <f t="shared" ref="J771:J834" si="300">D771-(C771*(2050-2025))</f>
        <v>-638.90022277000003</v>
      </c>
      <c r="L771">
        <f t="shared" ref="L771:L834" si="301">MIN(C771,D771)*1000000*((280/250)+0.8)</f>
        <v>25331927.481599998</v>
      </c>
      <c r="M771">
        <f t="shared" ref="M771:M834" si="302">MIN(F771,C771)*1000000*((230/250)+0.7)</f>
        <v>-189904621.12740004</v>
      </c>
      <c r="N771">
        <f t="shared" ref="N771:N834" si="303">MIN(G771,C771)*1000000*((195/250)+0.6)</f>
        <v>-341748529.24260002</v>
      </c>
      <c r="O771">
        <f t="shared" ref="O771:O834" si="304">MIN(H771,C771)*1000000*((130/250)+0.5)</f>
        <v>-385623901.74540001</v>
      </c>
      <c r="P771">
        <f t="shared" ref="P771:P834" si="305">MIN(I771,C771)*1000000*((105/250)+0.5)</f>
        <v>-467802920.9084</v>
      </c>
      <c r="Q771">
        <f t="shared" ref="Q771:Q834" si="306">MIN(J771,C771)*1000000*((90/250)+0.4)</f>
        <v>-485564169.30519998</v>
      </c>
      <c r="S771">
        <f t="shared" ref="S771:S834" si="307">MIN(C771,D771)*1000000*((325/250)+0.8)</f>
        <v>27706795.682999998</v>
      </c>
      <c r="T771">
        <f t="shared" ref="T771:T834" si="308">MIN(F771,C771)*1000000*((280/250)+0.7)</f>
        <v>-213349636.08140004</v>
      </c>
      <c r="U771">
        <f t="shared" ref="U771:U834" si="309">MIN(G771,C771)*1000000*((227.5/250)+0.6)</f>
        <v>-373942231.27270007</v>
      </c>
      <c r="V771">
        <f t="shared" ref="V771:V834" si="310">MIN(H771,C771)*1000000*((142.5/250)+0.5)</f>
        <v>-404527034.18389994</v>
      </c>
      <c r="W771">
        <f t="shared" ref="W771:W834" si="311">MIN(I771,C771)*1000000*((142.5/250)+0.5)</f>
        <v>-544075136.27389991</v>
      </c>
      <c r="X771">
        <f t="shared" ref="X771:X834" si="312">MIN(J771,C771)*1000000*( (117.5/250)+0.4)</f>
        <v>-555843193.80989993</v>
      </c>
      <c r="Z771">
        <f>D771*(310+0.8+60)</f>
        <v>4892.2284948839997</v>
      </c>
      <c r="AA771">
        <f t="shared" ref="AA771:AA834" si="313">MIN(C771,F771)*1000000*((330/250)+0.7)</f>
        <v>-236794651.03540003</v>
      </c>
      <c r="AB771">
        <f t="shared" ref="AB771:AB834" si="314">MIN(C771,G771)*1000000*((260/250)+0.6)</f>
        <v>-406135933.30280012</v>
      </c>
      <c r="AC771">
        <f t="shared" ref="AC771:AC834" si="315">MIN(C771,H771)*1000000*((215/250)+0.5)</f>
        <v>-514165202.32719994</v>
      </c>
      <c r="AD771">
        <f t="shared" ref="AD771:AD834" si="316">MIN(C771,I771)*1000000*((180/250)+0.5)</f>
        <v>-620347351.63940001</v>
      </c>
      <c r="AE771">
        <f t="shared" ref="AE771:AE834" si="317">MIN(C771,J771)*1000000*((145/250)+0.4)</f>
        <v>-626122218.31459999</v>
      </c>
    </row>
    <row r="772" spans="1:31" x14ac:dyDescent="0.25">
      <c r="A772">
        <v>41.238459540000001</v>
      </c>
      <c r="B772">
        <v>122.5227381</v>
      </c>
      <c r="C772">
        <v>17.020019529999999</v>
      </c>
      <c r="D772">
        <v>4.1065058700000003</v>
      </c>
      <c r="E772" t="b">
        <f t="shared" si="295"/>
        <v>0</v>
      </c>
      <c r="F772">
        <f t="shared" si="296"/>
        <v>-80.993591779999988</v>
      </c>
      <c r="G772">
        <f t="shared" si="297"/>
        <v>-166.09368942999998</v>
      </c>
      <c r="H772">
        <f t="shared" si="298"/>
        <v>-251.19378707999996</v>
      </c>
      <c r="I772">
        <f t="shared" si="299"/>
        <v>-336.29388473</v>
      </c>
      <c r="J772">
        <f t="shared" si="300"/>
        <v>-421.39398238000001</v>
      </c>
      <c r="L772">
        <f t="shared" si="301"/>
        <v>7884491.2704000007</v>
      </c>
      <c r="M772">
        <f t="shared" si="302"/>
        <v>-131209618.68359999</v>
      </c>
      <c r="N772">
        <f t="shared" si="303"/>
        <v>-229209291.41339996</v>
      </c>
      <c r="O772">
        <f t="shared" si="304"/>
        <v>-256217662.82159996</v>
      </c>
      <c r="P772">
        <f t="shared" si="305"/>
        <v>-309390373.95160002</v>
      </c>
      <c r="Q772">
        <f t="shared" si="306"/>
        <v>-320259426.60879999</v>
      </c>
      <c r="S772">
        <f t="shared" si="307"/>
        <v>8623662.3270000014</v>
      </c>
      <c r="T772">
        <f t="shared" si="308"/>
        <v>-147408337.03959998</v>
      </c>
      <c r="U772">
        <f t="shared" si="309"/>
        <v>-250801471.03929996</v>
      </c>
      <c r="V772">
        <f t="shared" si="310"/>
        <v>-268777352.17559993</v>
      </c>
      <c r="W772">
        <f t="shared" si="311"/>
        <v>-359834456.66109997</v>
      </c>
      <c r="X772">
        <f t="shared" si="312"/>
        <v>-366612764.6706</v>
      </c>
      <c r="Z772">
        <f t="shared" ref="Z772:Z783" si="318">D772*(310+0.8+60)</f>
        <v>1522.6923765960003</v>
      </c>
      <c r="AA772">
        <f t="shared" si="313"/>
        <v>-163607055.39559996</v>
      </c>
      <c r="AB772">
        <f t="shared" si="314"/>
        <v>-272393650.6652</v>
      </c>
      <c r="AC772">
        <f t="shared" si="315"/>
        <v>-341623550.42879993</v>
      </c>
      <c r="AD772">
        <f t="shared" si="316"/>
        <v>-410278539.37059999</v>
      </c>
      <c r="AE772">
        <f t="shared" si="317"/>
        <v>-412966102.7324</v>
      </c>
    </row>
    <row r="773" spans="1:31" x14ac:dyDescent="0.25">
      <c r="A773">
        <v>41.283480619999999</v>
      </c>
      <c r="B773">
        <v>122.5330189</v>
      </c>
      <c r="C773">
        <v>17.020019529999999</v>
      </c>
      <c r="D773">
        <v>0.441131</v>
      </c>
      <c r="E773" t="b">
        <f t="shared" si="295"/>
        <v>0</v>
      </c>
      <c r="F773">
        <f t="shared" si="296"/>
        <v>-84.658966649999996</v>
      </c>
      <c r="G773">
        <f t="shared" si="297"/>
        <v>-169.75906429999998</v>
      </c>
      <c r="H773">
        <f t="shared" si="298"/>
        <v>-254.85916194999996</v>
      </c>
      <c r="I773">
        <f t="shared" si="299"/>
        <v>-339.9592596</v>
      </c>
      <c r="J773">
        <f t="shared" si="300"/>
        <v>-425.05935725000001</v>
      </c>
      <c r="L773">
        <f t="shared" si="301"/>
        <v>846971.52</v>
      </c>
      <c r="M773">
        <f t="shared" si="302"/>
        <v>-137147525.97299999</v>
      </c>
      <c r="N773">
        <f t="shared" si="303"/>
        <v>-234267508.73399997</v>
      </c>
      <c r="O773">
        <f t="shared" si="304"/>
        <v>-259956345.18899995</v>
      </c>
      <c r="P773">
        <f t="shared" si="305"/>
        <v>-312762518.83200002</v>
      </c>
      <c r="Q773">
        <f t="shared" si="306"/>
        <v>-323045111.50999999</v>
      </c>
      <c r="S773">
        <f t="shared" si="307"/>
        <v>926375.10000000009</v>
      </c>
      <c r="T773">
        <f t="shared" si="308"/>
        <v>-154079319.303</v>
      </c>
      <c r="U773">
        <f t="shared" si="309"/>
        <v>-256336187.09299996</v>
      </c>
      <c r="V773">
        <f t="shared" si="310"/>
        <v>-272699303.28649992</v>
      </c>
      <c r="W773">
        <f t="shared" si="311"/>
        <v>-363756407.77199996</v>
      </c>
      <c r="X773">
        <f t="shared" si="312"/>
        <v>-369801640.8075</v>
      </c>
      <c r="Z773">
        <f t="shared" si="318"/>
        <v>163.5713748</v>
      </c>
      <c r="AA773">
        <f t="shared" si="313"/>
        <v>-171011112.63299999</v>
      </c>
      <c r="AB773">
        <f t="shared" si="314"/>
        <v>-278404865.45199996</v>
      </c>
      <c r="AC773">
        <f t="shared" si="315"/>
        <v>-346608460.25199991</v>
      </c>
      <c r="AD773">
        <f t="shared" si="316"/>
        <v>-414750296.71200001</v>
      </c>
      <c r="AE773">
        <f t="shared" si="317"/>
        <v>-416558170.10500002</v>
      </c>
    </row>
    <row r="774" spans="1:31" x14ac:dyDescent="0.25">
      <c r="A774">
        <v>41.314296779999999</v>
      </c>
      <c r="B774">
        <v>122.2941903</v>
      </c>
      <c r="C774">
        <v>58.052211759999999</v>
      </c>
      <c r="D774">
        <v>12.6298008</v>
      </c>
      <c r="E774" t="b">
        <f t="shared" si="295"/>
        <v>0</v>
      </c>
      <c r="F774">
        <f t="shared" si="296"/>
        <v>-277.631258</v>
      </c>
      <c r="G774">
        <f t="shared" si="297"/>
        <v>-567.8923168</v>
      </c>
      <c r="H774">
        <f t="shared" si="298"/>
        <v>-858.1533756</v>
      </c>
      <c r="I774">
        <f t="shared" si="299"/>
        <v>-1148.4144343999999</v>
      </c>
      <c r="J774">
        <f t="shared" si="300"/>
        <v>-1438.6754931999999</v>
      </c>
      <c r="L774">
        <f t="shared" si="301"/>
        <v>24249217.536000002</v>
      </c>
      <c r="M774">
        <f t="shared" si="302"/>
        <v>-449762637.96000004</v>
      </c>
      <c r="N774">
        <f t="shared" si="303"/>
        <v>-783691397.1839999</v>
      </c>
      <c r="O774">
        <f t="shared" si="304"/>
        <v>-875316443.11199999</v>
      </c>
      <c r="P774">
        <f t="shared" si="305"/>
        <v>-1056541279.6479998</v>
      </c>
      <c r="Q774">
        <f t="shared" si="306"/>
        <v>-1093393374.8319998</v>
      </c>
      <c r="S774">
        <f t="shared" si="307"/>
        <v>26522581.680000003</v>
      </c>
      <c r="T774">
        <f t="shared" si="308"/>
        <v>-505288889.56</v>
      </c>
      <c r="U774">
        <f t="shared" si="309"/>
        <v>-857517398.36799991</v>
      </c>
      <c r="V774">
        <f t="shared" si="310"/>
        <v>-918224111.89199984</v>
      </c>
      <c r="W774">
        <f t="shared" si="311"/>
        <v>-1228803444.8079996</v>
      </c>
      <c r="X774">
        <f t="shared" si="312"/>
        <v>-1251647679.0839999</v>
      </c>
      <c r="Z774">
        <f t="shared" si="318"/>
        <v>4683.1301366400003</v>
      </c>
      <c r="AA774">
        <f t="shared" si="313"/>
        <v>-560815141.15999997</v>
      </c>
      <c r="AB774">
        <f t="shared" si="314"/>
        <v>-931343399.55200005</v>
      </c>
      <c r="AC774">
        <f t="shared" si="315"/>
        <v>-1167088590.816</v>
      </c>
      <c r="AD774">
        <f t="shared" si="316"/>
        <v>-1401065609.9679997</v>
      </c>
      <c r="AE774">
        <f t="shared" si="317"/>
        <v>-1409901983.3359997</v>
      </c>
    </row>
    <row r="775" spans="1:31" x14ac:dyDescent="0.25">
      <c r="A775">
        <v>41.321931149999998</v>
      </c>
      <c r="B775">
        <v>122.2344518</v>
      </c>
      <c r="C775">
        <v>58.052211759999999</v>
      </c>
      <c r="D775">
        <v>5.0389070499999997</v>
      </c>
      <c r="E775" t="b">
        <f t="shared" si="295"/>
        <v>0</v>
      </c>
      <c r="F775">
        <f t="shared" si="296"/>
        <v>-285.22215175000002</v>
      </c>
      <c r="G775">
        <f t="shared" si="297"/>
        <v>-575.48321054999997</v>
      </c>
      <c r="H775">
        <f t="shared" si="298"/>
        <v>-865.74426934999997</v>
      </c>
      <c r="I775">
        <f t="shared" si="299"/>
        <v>-1156.00532815</v>
      </c>
      <c r="J775">
        <f t="shared" si="300"/>
        <v>-1446.26638695</v>
      </c>
      <c r="L775">
        <f t="shared" si="301"/>
        <v>9674701.5360000003</v>
      </c>
      <c r="M775">
        <f t="shared" si="302"/>
        <v>-462059885.83500004</v>
      </c>
      <c r="N775">
        <f t="shared" si="303"/>
        <v>-794166830.5589999</v>
      </c>
      <c r="O775">
        <f t="shared" si="304"/>
        <v>-883059154.73699999</v>
      </c>
      <c r="P775">
        <f t="shared" si="305"/>
        <v>-1063524901.8979998</v>
      </c>
      <c r="Q775">
        <f t="shared" si="306"/>
        <v>-1099162454.082</v>
      </c>
      <c r="S775">
        <f t="shared" si="307"/>
        <v>10581704.805</v>
      </c>
      <c r="T775">
        <f t="shared" si="308"/>
        <v>-519104316.185</v>
      </c>
      <c r="U775">
        <f t="shared" si="309"/>
        <v>-868979647.93049991</v>
      </c>
      <c r="V775">
        <f t="shared" si="310"/>
        <v>-926346368.20449984</v>
      </c>
      <c r="W775">
        <f t="shared" si="311"/>
        <v>-1236925701.1204996</v>
      </c>
      <c r="X775">
        <f t="shared" si="312"/>
        <v>-1258251756.6465001</v>
      </c>
      <c r="Z775">
        <f t="shared" si="318"/>
        <v>1868.42673414</v>
      </c>
      <c r="AA775">
        <f t="shared" si="313"/>
        <v>-576148746.53499997</v>
      </c>
      <c r="AB775">
        <f t="shared" si="314"/>
        <v>-943792465.30200005</v>
      </c>
      <c r="AC775">
        <f t="shared" si="315"/>
        <v>-1177412206.316</v>
      </c>
      <c r="AD775">
        <f t="shared" si="316"/>
        <v>-1410326500.3429997</v>
      </c>
      <c r="AE775">
        <f t="shared" si="317"/>
        <v>-1417341059.211</v>
      </c>
    </row>
    <row r="776" spans="1:31" x14ac:dyDescent="0.25">
      <c r="A776">
        <v>41.329520530000003</v>
      </c>
      <c r="B776">
        <v>121.80608410000001</v>
      </c>
      <c r="C776">
        <v>58.052211759999999</v>
      </c>
      <c r="D776">
        <v>0.64296900999999995</v>
      </c>
      <c r="E776" t="b">
        <f t="shared" si="295"/>
        <v>0</v>
      </c>
      <c r="F776">
        <f t="shared" si="296"/>
        <v>-289.61808979</v>
      </c>
      <c r="G776">
        <f t="shared" si="297"/>
        <v>-579.87914859</v>
      </c>
      <c r="H776">
        <f t="shared" si="298"/>
        <v>-870.14020739</v>
      </c>
      <c r="I776">
        <f t="shared" si="299"/>
        <v>-1160.4012661900001</v>
      </c>
      <c r="J776">
        <f t="shared" si="300"/>
        <v>-1450.6623249900001</v>
      </c>
      <c r="L776">
        <f t="shared" si="301"/>
        <v>1234500.4992000002</v>
      </c>
      <c r="M776">
        <f t="shared" si="302"/>
        <v>-469181305.45980006</v>
      </c>
      <c r="N776">
        <f t="shared" si="303"/>
        <v>-800233225.05419993</v>
      </c>
      <c r="O776">
        <f t="shared" si="304"/>
        <v>-887543011.53779995</v>
      </c>
      <c r="P776">
        <f t="shared" si="305"/>
        <v>-1067569164.8947999</v>
      </c>
      <c r="Q776">
        <f t="shared" si="306"/>
        <v>-1102503366.9923999</v>
      </c>
      <c r="S776">
        <f t="shared" si="307"/>
        <v>1350234.9210000001</v>
      </c>
      <c r="T776">
        <f t="shared" si="308"/>
        <v>-527104923.41780007</v>
      </c>
      <c r="U776">
        <f t="shared" si="309"/>
        <v>-875617514.37090003</v>
      </c>
      <c r="V776">
        <f t="shared" si="310"/>
        <v>-931050021.90729988</v>
      </c>
      <c r="W776">
        <f t="shared" si="311"/>
        <v>-1241629354.8232999</v>
      </c>
      <c r="X776">
        <f t="shared" si="312"/>
        <v>-1262076222.7413001</v>
      </c>
      <c r="Z776">
        <f t="shared" si="318"/>
        <v>238.41290890799999</v>
      </c>
      <c r="AA776">
        <f t="shared" si="313"/>
        <v>-585028541.37580001</v>
      </c>
      <c r="AB776">
        <f t="shared" si="314"/>
        <v>-951001803.68760014</v>
      </c>
      <c r="AC776">
        <f t="shared" si="315"/>
        <v>-1183390682.0503998</v>
      </c>
      <c r="AD776">
        <f t="shared" si="316"/>
        <v>-1415689544.7518001</v>
      </c>
      <c r="AE776">
        <f t="shared" si="317"/>
        <v>-1421649078.4902</v>
      </c>
    </row>
    <row r="777" spans="1:31" x14ac:dyDescent="0.25">
      <c r="A777">
        <v>41.337116229999999</v>
      </c>
      <c r="B777">
        <v>122.1149374</v>
      </c>
      <c r="C777">
        <v>58.052211759999999</v>
      </c>
      <c r="D777">
        <v>5.9341120700000003</v>
      </c>
      <c r="E777" t="b">
        <f t="shared" si="295"/>
        <v>0</v>
      </c>
      <c r="F777">
        <f t="shared" si="296"/>
        <v>-284.32694672999997</v>
      </c>
      <c r="G777">
        <f t="shared" si="297"/>
        <v>-574.58800553000003</v>
      </c>
      <c r="H777">
        <f t="shared" si="298"/>
        <v>-864.84906433000003</v>
      </c>
      <c r="I777">
        <f t="shared" si="299"/>
        <v>-1155.1101231299999</v>
      </c>
      <c r="J777">
        <f t="shared" si="300"/>
        <v>-1445.3711819299999</v>
      </c>
      <c r="L777">
        <f t="shared" si="301"/>
        <v>11393495.174400002</v>
      </c>
      <c r="M777">
        <f t="shared" si="302"/>
        <v>-460609653.70259994</v>
      </c>
      <c r="N777">
        <f t="shared" si="303"/>
        <v>-792931447.63140011</v>
      </c>
      <c r="O777">
        <f t="shared" si="304"/>
        <v>-882146045.61660004</v>
      </c>
      <c r="P777">
        <f t="shared" si="305"/>
        <v>-1062701313.2795998</v>
      </c>
      <c r="Q777">
        <f t="shared" si="306"/>
        <v>-1098482098.2667999</v>
      </c>
      <c r="S777">
        <f t="shared" si="307"/>
        <v>12461635.347000001</v>
      </c>
      <c r="T777">
        <f t="shared" si="308"/>
        <v>-517475043.04859996</v>
      </c>
      <c r="U777">
        <f t="shared" si="309"/>
        <v>-867627888.35030019</v>
      </c>
      <c r="V777">
        <f t="shared" si="310"/>
        <v>-925388498.83309996</v>
      </c>
      <c r="W777">
        <f t="shared" si="311"/>
        <v>-1235967831.7490997</v>
      </c>
      <c r="X777">
        <f t="shared" si="312"/>
        <v>-1257472928.2790999</v>
      </c>
      <c r="Z777">
        <f t="shared" si="318"/>
        <v>2200.368755556</v>
      </c>
      <c r="AA777">
        <f t="shared" si="313"/>
        <v>-574340432.39459991</v>
      </c>
      <c r="AB777">
        <f t="shared" si="314"/>
        <v>-942324329.06920028</v>
      </c>
      <c r="AC777">
        <f t="shared" si="315"/>
        <v>-1176194727.4888</v>
      </c>
      <c r="AD777">
        <f t="shared" si="316"/>
        <v>-1409234350.2185998</v>
      </c>
      <c r="AE777">
        <f t="shared" si="317"/>
        <v>-1416463758.2913997</v>
      </c>
    </row>
    <row r="778" spans="1:31" x14ac:dyDescent="0.25">
      <c r="A778">
        <v>41.342214370000001</v>
      </c>
      <c r="B778">
        <v>122.7925297</v>
      </c>
      <c r="C778">
        <v>62.738258360000003</v>
      </c>
      <c r="D778">
        <v>5.4980010999999998</v>
      </c>
      <c r="E778" t="b">
        <f t="shared" si="295"/>
        <v>0</v>
      </c>
      <c r="F778">
        <f t="shared" si="296"/>
        <v>-308.19329070000003</v>
      </c>
      <c r="G778">
        <f t="shared" si="297"/>
        <v>-621.88458250000008</v>
      </c>
      <c r="H778">
        <f t="shared" si="298"/>
        <v>-935.57587430000001</v>
      </c>
      <c r="I778">
        <f t="shared" si="299"/>
        <v>-1249.2671661000002</v>
      </c>
      <c r="J778">
        <f t="shared" si="300"/>
        <v>-1562.9584579</v>
      </c>
      <c r="L778">
        <f t="shared" si="301"/>
        <v>10556162.112</v>
      </c>
      <c r="M778">
        <f t="shared" si="302"/>
        <v>-499273130.93400013</v>
      </c>
      <c r="N778">
        <f t="shared" si="303"/>
        <v>-858200723.85000014</v>
      </c>
      <c r="O778">
        <f t="shared" si="304"/>
        <v>-954287391.78600001</v>
      </c>
      <c r="P778">
        <f t="shared" si="305"/>
        <v>-1149325792.812</v>
      </c>
      <c r="Q778">
        <f t="shared" si="306"/>
        <v>-1187848428.0040002</v>
      </c>
      <c r="S778">
        <f t="shared" si="307"/>
        <v>11545802.310000001</v>
      </c>
      <c r="T778">
        <f t="shared" si="308"/>
        <v>-560911789.07400012</v>
      </c>
      <c r="U778">
        <f t="shared" si="309"/>
        <v>-939045719.57500017</v>
      </c>
      <c r="V778">
        <f t="shared" si="310"/>
        <v>-1001066185.5009998</v>
      </c>
      <c r="W778">
        <f t="shared" si="311"/>
        <v>-1336715867.727</v>
      </c>
      <c r="X778">
        <f t="shared" si="312"/>
        <v>-1359773858.3730001</v>
      </c>
      <c r="Z778">
        <f t="shared" si="318"/>
        <v>2038.65880788</v>
      </c>
      <c r="AA778">
        <f t="shared" si="313"/>
        <v>-622550447.21400011</v>
      </c>
      <c r="AB778">
        <f t="shared" si="314"/>
        <v>-1019890715.3000003</v>
      </c>
      <c r="AC778">
        <f t="shared" si="315"/>
        <v>-1272383189.0479999</v>
      </c>
      <c r="AD778">
        <f t="shared" si="316"/>
        <v>-1524105942.6420002</v>
      </c>
      <c r="AE778">
        <f t="shared" si="317"/>
        <v>-1531699288.7420001</v>
      </c>
    </row>
    <row r="779" spans="1:31" x14ac:dyDescent="0.25">
      <c r="A779">
        <v>41.432192020000002</v>
      </c>
      <c r="B779">
        <v>122.8134664</v>
      </c>
      <c r="C779">
        <v>61.735031130000003</v>
      </c>
      <c r="D779">
        <v>13.87740612</v>
      </c>
      <c r="E779" t="b">
        <f t="shared" si="295"/>
        <v>0</v>
      </c>
      <c r="F779">
        <f t="shared" si="296"/>
        <v>-294.79774953000003</v>
      </c>
      <c r="G779">
        <f t="shared" si="297"/>
        <v>-603.47290518</v>
      </c>
      <c r="H779">
        <f t="shared" si="298"/>
        <v>-912.14806082999996</v>
      </c>
      <c r="I779">
        <f t="shared" si="299"/>
        <v>-1220.8232164800002</v>
      </c>
      <c r="J779">
        <f t="shared" si="300"/>
        <v>-1529.4983721300002</v>
      </c>
      <c r="L779">
        <f t="shared" si="301"/>
        <v>26644619.750399999</v>
      </c>
      <c r="M779">
        <f t="shared" si="302"/>
        <v>-477572354.23860008</v>
      </c>
      <c r="N779">
        <f t="shared" si="303"/>
        <v>-832792609.14839983</v>
      </c>
      <c r="O779">
        <f t="shared" si="304"/>
        <v>-930391022.04659998</v>
      </c>
      <c r="P779">
        <f t="shared" si="305"/>
        <v>-1123157359.1616001</v>
      </c>
      <c r="Q779">
        <f t="shared" si="306"/>
        <v>-1162418762.8188002</v>
      </c>
      <c r="S779">
        <f t="shared" si="307"/>
        <v>29142552.851999998</v>
      </c>
      <c r="T779">
        <f t="shared" si="308"/>
        <v>-536531904.14460009</v>
      </c>
      <c r="U779">
        <f t="shared" si="309"/>
        <v>-911244086.82179987</v>
      </c>
      <c r="V779">
        <f t="shared" si="310"/>
        <v>-975998425.08809972</v>
      </c>
      <c r="W779">
        <f t="shared" si="311"/>
        <v>-1306280841.6336</v>
      </c>
      <c r="X779">
        <f t="shared" si="312"/>
        <v>-1330663583.7531004</v>
      </c>
      <c r="Z779">
        <f t="shared" si="318"/>
        <v>5145.7421892960001</v>
      </c>
      <c r="AA779">
        <f t="shared" si="313"/>
        <v>-595491454.05060005</v>
      </c>
      <c r="AB779">
        <f t="shared" si="314"/>
        <v>-989695564.49520004</v>
      </c>
      <c r="AC779">
        <f t="shared" si="315"/>
        <v>-1240521362.7287998</v>
      </c>
      <c r="AD779">
        <f t="shared" si="316"/>
        <v>-1489404324.1056004</v>
      </c>
      <c r="AE779">
        <f t="shared" si="317"/>
        <v>-1498908404.6874003</v>
      </c>
    </row>
    <row r="780" spans="1:31" x14ac:dyDescent="0.25">
      <c r="A780">
        <v>41.443010180000002</v>
      </c>
      <c r="B780">
        <v>84.064284990000004</v>
      </c>
      <c r="C780">
        <v>9.4094677000000004</v>
      </c>
      <c r="D780">
        <v>1.52662206</v>
      </c>
      <c r="E780" t="b">
        <f t="shared" si="295"/>
        <v>0</v>
      </c>
      <c r="F780">
        <f t="shared" si="296"/>
        <v>-45.520716440000001</v>
      </c>
      <c r="G780">
        <f t="shared" si="297"/>
        <v>-92.56805494000001</v>
      </c>
      <c r="H780">
        <f t="shared" si="298"/>
        <v>-139.61539344000002</v>
      </c>
      <c r="I780">
        <f t="shared" si="299"/>
        <v>-186.66273194000001</v>
      </c>
      <c r="J780">
        <f t="shared" si="300"/>
        <v>-233.71007044000001</v>
      </c>
      <c r="L780">
        <f t="shared" si="301"/>
        <v>2931114.3552000001</v>
      </c>
      <c r="M780">
        <f t="shared" si="302"/>
        <v>-73743560.632799998</v>
      </c>
      <c r="N780">
        <f t="shared" si="303"/>
        <v>-127743915.81720001</v>
      </c>
      <c r="O780">
        <f t="shared" si="304"/>
        <v>-142407701.30880004</v>
      </c>
      <c r="P780">
        <f t="shared" si="305"/>
        <v>-171729713.38480002</v>
      </c>
      <c r="Q780">
        <f t="shared" si="306"/>
        <v>-177619653.53439999</v>
      </c>
      <c r="S780">
        <f t="shared" si="307"/>
        <v>3205906.3260000004</v>
      </c>
      <c r="T780">
        <f t="shared" si="308"/>
        <v>-82847703.9208</v>
      </c>
      <c r="U780">
        <f t="shared" si="309"/>
        <v>-139777762.95940003</v>
      </c>
      <c r="V780">
        <f t="shared" si="310"/>
        <v>-149388470.9808</v>
      </c>
      <c r="W780">
        <f t="shared" si="311"/>
        <v>-199729123.1758</v>
      </c>
      <c r="X780">
        <f t="shared" si="312"/>
        <v>-203327761.28279999</v>
      </c>
      <c r="Z780">
        <f t="shared" si="318"/>
        <v>566.07145984800002</v>
      </c>
      <c r="AA780">
        <f t="shared" si="313"/>
        <v>-91951847.208800003</v>
      </c>
      <c r="AB780">
        <f t="shared" si="314"/>
        <v>-151811610.10160002</v>
      </c>
      <c r="AC780">
        <f t="shared" si="315"/>
        <v>-189876935.07840002</v>
      </c>
      <c r="AD780">
        <f t="shared" si="316"/>
        <v>-227728532.96680003</v>
      </c>
      <c r="AE780">
        <f t="shared" si="317"/>
        <v>-229035869.03119999</v>
      </c>
    </row>
    <row r="781" spans="1:31" x14ac:dyDescent="0.25">
      <c r="A781">
        <v>41.479017900000002</v>
      </c>
      <c r="B781">
        <v>122.4545938</v>
      </c>
      <c r="C781">
        <v>17.020019529999999</v>
      </c>
      <c r="D781">
        <v>0.84396201000000004</v>
      </c>
      <c r="E781" t="b">
        <f t="shared" si="295"/>
        <v>0</v>
      </c>
      <c r="F781">
        <f t="shared" si="296"/>
        <v>-84.256135639999997</v>
      </c>
      <c r="G781">
        <f t="shared" si="297"/>
        <v>-169.35623328999998</v>
      </c>
      <c r="H781">
        <f t="shared" si="298"/>
        <v>-254.45633093999996</v>
      </c>
      <c r="I781">
        <f t="shared" si="299"/>
        <v>-339.55642859</v>
      </c>
      <c r="J781">
        <f t="shared" si="300"/>
        <v>-424.65652624000001</v>
      </c>
      <c r="L781">
        <f t="shared" si="301"/>
        <v>1620407.0592000003</v>
      </c>
      <c r="M781">
        <f t="shared" si="302"/>
        <v>-136494939.73680001</v>
      </c>
      <c r="N781">
        <f t="shared" si="303"/>
        <v>-233711601.94019997</v>
      </c>
      <c r="O781">
        <f t="shared" si="304"/>
        <v>-259545457.55879998</v>
      </c>
      <c r="P781">
        <f t="shared" si="305"/>
        <v>-312391914.30279994</v>
      </c>
      <c r="Q781">
        <f t="shared" si="306"/>
        <v>-322738959.94240004</v>
      </c>
      <c r="S781">
        <f t="shared" si="307"/>
        <v>1772320.2210000001</v>
      </c>
      <c r="T781">
        <f t="shared" si="308"/>
        <v>-153346166.86480001</v>
      </c>
      <c r="U781">
        <f t="shared" si="309"/>
        <v>-255727912.26789999</v>
      </c>
      <c r="V781">
        <f t="shared" si="310"/>
        <v>-272268274.10579991</v>
      </c>
      <c r="W781">
        <f t="shared" si="311"/>
        <v>-363325378.59129989</v>
      </c>
      <c r="X781">
        <f t="shared" si="312"/>
        <v>-369451177.82880002</v>
      </c>
      <c r="Z781">
        <f t="shared" si="318"/>
        <v>312.94111330800001</v>
      </c>
      <c r="AA781">
        <f t="shared" si="313"/>
        <v>-170197393.9928</v>
      </c>
      <c r="AB781">
        <f t="shared" si="314"/>
        <v>-277744222.59560001</v>
      </c>
      <c r="AC781">
        <f t="shared" si="315"/>
        <v>-346060610.0783999</v>
      </c>
      <c r="AD781">
        <f t="shared" si="316"/>
        <v>-414258842.87979996</v>
      </c>
      <c r="AE781">
        <f t="shared" si="317"/>
        <v>-416163395.71520001</v>
      </c>
    </row>
    <row r="782" spans="1:31" x14ac:dyDescent="0.25">
      <c r="A782">
        <v>41.506303010000003</v>
      </c>
      <c r="B782">
        <v>122.95411900000001</v>
      </c>
      <c r="C782">
        <v>61.735031130000003</v>
      </c>
      <c r="D782">
        <v>3.32928991</v>
      </c>
      <c r="E782" t="b">
        <f t="shared" si="295"/>
        <v>0</v>
      </c>
      <c r="F782">
        <f t="shared" si="296"/>
        <v>-305.34586574000002</v>
      </c>
      <c r="G782">
        <f t="shared" si="297"/>
        <v>-614.02102138999999</v>
      </c>
      <c r="H782">
        <f t="shared" si="298"/>
        <v>-922.69617704000007</v>
      </c>
      <c r="I782">
        <f t="shared" si="299"/>
        <v>-1231.3713326900001</v>
      </c>
      <c r="J782">
        <f t="shared" si="300"/>
        <v>-1540.0464883400002</v>
      </c>
      <c r="L782">
        <f t="shared" si="301"/>
        <v>6392236.6272000009</v>
      </c>
      <c r="M782">
        <f t="shared" si="302"/>
        <v>-494660302.49880004</v>
      </c>
      <c r="N782">
        <f t="shared" si="303"/>
        <v>-847349009.51819992</v>
      </c>
      <c r="O782">
        <f t="shared" si="304"/>
        <v>-941150100.58080006</v>
      </c>
      <c r="P782">
        <f t="shared" si="305"/>
        <v>-1132861626.0748</v>
      </c>
      <c r="Q782">
        <f t="shared" si="306"/>
        <v>-1170435331.1384001</v>
      </c>
      <c r="S782">
        <f t="shared" si="307"/>
        <v>6991508.8110000007</v>
      </c>
      <c r="T782">
        <f t="shared" si="308"/>
        <v>-555729475.64680004</v>
      </c>
      <c r="U782">
        <f t="shared" si="309"/>
        <v>-927171742.29890001</v>
      </c>
      <c r="V782">
        <f t="shared" si="310"/>
        <v>-987284909.43279994</v>
      </c>
      <c r="W782">
        <f t="shared" si="311"/>
        <v>-1317567325.9782999</v>
      </c>
      <c r="X782">
        <f t="shared" si="312"/>
        <v>-1339840444.8558002</v>
      </c>
      <c r="Z782">
        <f t="shared" si="318"/>
        <v>1234.500698628</v>
      </c>
      <c r="AA782">
        <f t="shared" si="313"/>
        <v>-616798648.79480004</v>
      </c>
      <c r="AB782">
        <f t="shared" si="314"/>
        <v>-1006994475.0796001</v>
      </c>
      <c r="AC782">
        <f t="shared" si="315"/>
        <v>-1254866800.7744</v>
      </c>
      <c r="AD782">
        <f t="shared" si="316"/>
        <v>-1502273025.8817999</v>
      </c>
      <c r="AE782">
        <f t="shared" si="317"/>
        <v>-1509245558.5732002</v>
      </c>
    </row>
    <row r="783" spans="1:31" x14ac:dyDescent="0.25">
      <c r="A783">
        <v>41.524025090000002</v>
      </c>
      <c r="B783">
        <v>122.4648665</v>
      </c>
      <c r="C783">
        <v>17.020019529999999</v>
      </c>
      <c r="D783">
        <v>3.8876130600000001</v>
      </c>
      <c r="E783" t="b">
        <f t="shared" si="295"/>
        <v>0</v>
      </c>
      <c r="F783">
        <f t="shared" si="296"/>
        <v>-81.212484589999988</v>
      </c>
      <c r="G783">
        <f t="shared" si="297"/>
        <v>-166.31258223999998</v>
      </c>
      <c r="H783">
        <f t="shared" si="298"/>
        <v>-251.41267988999996</v>
      </c>
      <c r="I783">
        <f t="shared" si="299"/>
        <v>-336.51277754</v>
      </c>
      <c r="J783">
        <f t="shared" si="300"/>
        <v>-421.61287519000001</v>
      </c>
      <c r="L783">
        <f t="shared" si="301"/>
        <v>7464217.0752000008</v>
      </c>
      <c r="M783">
        <f t="shared" si="302"/>
        <v>-131564225.0358</v>
      </c>
      <c r="N783">
        <f t="shared" si="303"/>
        <v>-229511363.49119994</v>
      </c>
      <c r="O783">
        <f t="shared" si="304"/>
        <v>-256440933.48779997</v>
      </c>
      <c r="P783">
        <f t="shared" si="305"/>
        <v>-309591755.33679998</v>
      </c>
      <c r="Q783">
        <f t="shared" si="306"/>
        <v>-320425785.1444</v>
      </c>
      <c r="S783">
        <f t="shared" si="307"/>
        <v>8163987.4260000009</v>
      </c>
      <c r="T783">
        <f t="shared" si="308"/>
        <v>-147806721.95379999</v>
      </c>
      <c r="U783">
        <f t="shared" si="309"/>
        <v>-251131999.18239996</v>
      </c>
      <c r="V783">
        <f t="shared" si="310"/>
        <v>-269011567.48229992</v>
      </c>
      <c r="W783">
        <f t="shared" si="311"/>
        <v>-360068671.96779996</v>
      </c>
      <c r="X783">
        <f t="shared" si="312"/>
        <v>-366803201.41530001</v>
      </c>
      <c r="Z783">
        <f t="shared" si="318"/>
        <v>1441.526922648</v>
      </c>
      <c r="AA783">
        <f t="shared" si="313"/>
        <v>-164049218.87179998</v>
      </c>
      <c r="AB783">
        <f t="shared" si="314"/>
        <v>-272752634.87360001</v>
      </c>
      <c r="AC783">
        <f t="shared" si="315"/>
        <v>-341921244.65039992</v>
      </c>
      <c r="AD783">
        <f t="shared" si="316"/>
        <v>-410545588.5988</v>
      </c>
      <c r="AE783">
        <f t="shared" si="317"/>
        <v>-413180617.68619996</v>
      </c>
    </row>
    <row r="784" spans="1:31" x14ac:dyDescent="0.25">
      <c r="A784">
        <v>41.567483080000002</v>
      </c>
      <c r="B784">
        <v>106.5271043</v>
      </c>
      <c r="C784">
        <v>5.3181140000000002E-2</v>
      </c>
      <c r="D784">
        <v>1.3105440100000001</v>
      </c>
      <c r="E784" t="b">
        <f t="shared" si="295"/>
        <v>1</v>
      </c>
      <c r="F784">
        <f t="shared" si="296"/>
        <v>1.0446383100000001</v>
      </c>
      <c r="G784">
        <f t="shared" si="297"/>
        <v>0.77873261000000005</v>
      </c>
      <c r="H784">
        <f t="shared" si="298"/>
        <v>0.51282691000000002</v>
      </c>
      <c r="I784">
        <f t="shared" si="299"/>
        <v>0.24692121</v>
      </c>
      <c r="J784">
        <f t="shared" si="300"/>
        <v>-1.8984490000000021E-2</v>
      </c>
      <c r="L784">
        <f t="shared" si="301"/>
        <v>102107.78880000001</v>
      </c>
      <c r="M784">
        <f t="shared" si="302"/>
        <v>86153.446800000005</v>
      </c>
      <c r="N784">
        <f t="shared" si="303"/>
        <v>73389.973199999993</v>
      </c>
      <c r="O784">
        <f t="shared" si="304"/>
        <v>54244.762799999997</v>
      </c>
      <c r="P784">
        <f t="shared" si="305"/>
        <v>48926.648799999995</v>
      </c>
      <c r="Q784">
        <f t="shared" si="306"/>
        <v>-14428.212400000015</v>
      </c>
      <c r="S784">
        <f t="shared" si="307"/>
        <v>111680.394</v>
      </c>
      <c r="T784">
        <f t="shared" si="308"/>
        <v>96789.674800000008</v>
      </c>
      <c r="U784">
        <f t="shared" si="309"/>
        <v>80303.521399999998</v>
      </c>
      <c r="V784">
        <f t="shared" si="310"/>
        <v>56903.81979999999</v>
      </c>
      <c r="W784">
        <f t="shared" si="311"/>
        <v>56903.81979999999</v>
      </c>
      <c r="X784">
        <f t="shared" si="312"/>
        <v>-16516.506300000015</v>
      </c>
      <c r="Z784">
        <f>C784*(310+0.8+60)</f>
        <v>19.719566712000002</v>
      </c>
      <c r="AA784">
        <f t="shared" si="313"/>
        <v>107425.9028</v>
      </c>
      <c r="AB784">
        <f t="shared" si="314"/>
        <v>87217.069600000003</v>
      </c>
      <c r="AC784">
        <f t="shared" si="315"/>
        <v>72326.350399999996</v>
      </c>
      <c r="AD784">
        <f t="shared" si="316"/>
        <v>64880.9908</v>
      </c>
      <c r="AE784">
        <f t="shared" si="317"/>
        <v>-18604.80020000002</v>
      </c>
    </row>
    <row r="785" spans="1:31" x14ac:dyDescent="0.25">
      <c r="A785">
        <v>41.567717219999999</v>
      </c>
      <c r="B785">
        <v>106.4663066</v>
      </c>
      <c r="C785">
        <v>5.3181140000000002E-2</v>
      </c>
      <c r="D785">
        <v>1.6643999999999999E-2</v>
      </c>
      <c r="E785" t="b">
        <f t="shared" si="295"/>
        <v>0</v>
      </c>
      <c r="F785">
        <f t="shared" si="296"/>
        <v>-0.24926170000000003</v>
      </c>
      <c r="G785">
        <f t="shared" si="297"/>
        <v>-0.51516740000000005</v>
      </c>
      <c r="H785">
        <f t="shared" si="298"/>
        <v>-0.78107310000000008</v>
      </c>
      <c r="I785">
        <f t="shared" si="299"/>
        <v>-1.0469788</v>
      </c>
      <c r="J785">
        <f t="shared" si="300"/>
        <v>-1.3128845</v>
      </c>
      <c r="L785">
        <f t="shared" si="301"/>
        <v>31956.480000000003</v>
      </c>
      <c r="M785">
        <f t="shared" si="302"/>
        <v>-403803.95400000009</v>
      </c>
      <c r="N785">
        <f t="shared" si="303"/>
        <v>-710931.0120000001</v>
      </c>
      <c r="O785">
        <f t="shared" si="304"/>
        <v>-796694.56200000015</v>
      </c>
      <c r="P785">
        <f t="shared" si="305"/>
        <v>-963220.49599999981</v>
      </c>
      <c r="Q785">
        <f t="shared" si="306"/>
        <v>-997792.22</v>
      </c>
      <c r="S785">
        <f t="shared" si="307"/>
        <v>34952.400000000001</v>
      </c>
      <c r="T785">
        <f t="shared" si="308"/>
        <v>-453656.29400000011</v>
      </c>
      <c r="U785">
        <f t="shared" si="309"/>
        <v>-777902.77400000009</v>
      </c>
      <c r="V785">
        <f t="shared" si="310"/>
        <v>-835748.21699999995</v>
      </c>
      <c r="W785">
        <f t="shared" si="311"/>
        <v>-1120267.3159999996</v>
      </c>
      <c r="X785">
        <f t="shared" si="312"/>
        <v>-1142209.5149999999</v>
      </c>
      <c r="Z785">
        <f>D785*(310+0.8+60)</f>
        <v>6.1715951999999996</v>
      </c>
      <c r="AA785">
        <f t="shared" si="313"/>
        <v>-503508.63400000008</v>
      </c>
      <c r="AB785">
        <f t="shared" si="314"/>
        <v>-844874.5360000002</v>
      </c>
      <c r="AC785">
        <f t="shared" si="315"/>
        <v>-1062259.416</v>
      </c>
      <c r="AD785">
        <f t="shared" si="316"/>
        <v>-1277314.1359999999</v>
      </c>
      <c r="AE785">
        <f t="shared" si="317"/>
        <v>-1286626.81</v>
      </c>
    </row>
    <row r="786" spans="1:31" x14ac:dyDescent="0.25">
      <c r="A786">
        <v>41.613139889999999</v>
      </c>
      <c r="B786">
        <v>106.5274354</v>
      </c>
      <c r="C786">
        <v>5.3181140000000002E-2</v>
      </c>
      <c r="D786">
        <v>4.2009999999999999E-3</v>
      </c>
      <c r="E786" t="b">
        <f t="shared" si="295"/>
        <v>0</v>
      </c>
      <c r="F786">
        <f t="shared" si="296"/>
        <v>-0.26170470000000001</v>
      </c>
      <c r="G786">
        <f t="shared" si="297"/>
        <v>-0.52761040000000003</v>
      </c>
      <c r="H786">
        <f t="shared" si="298"/>
        <v>-0.79351610000000006</v>
      </c>
      <c r="I786">
        <f t="shared" si="299"/>
        <v>-1.0594218000000002</v>
      </c>
      <c r="J786">
        <f t="shared" si="300"/>
        <v>-1.3253275000000002</v>
      </c>
      <c r="L786">
        <f t="shared" si="301"/>
        <v>8065.920000000001</v>
      </c>
      <c r="M786">
        <f t="shared" si="302"/>
        <v>-423961.61400000006</v>
      </c>
      <c r="N786">
        <f t="shared" si="303"/>
        <v>-728102.35199999996</v>
      </c>
      <c r="O786">
        <f t="shared" si="304"/>
        <v>-809386.42200000014</v>
      </c>
      <c r="P786">
        <f t="shared" si="305"/>
        <v>-974668.05600000022</v>
      </c>
      <c r="Q786">
        <f t="shared" si="306"/>
        <v>-1007248.9000000001</v>
      </c>
      <c r="S786">
        <f t="shared" si="307"/>
        <v>8822.1</v>
      </c>
      <c r="T786">
        <f t="shared" si="308"/>
        <v>-476302.55400000006</v>
      </c>
      <c r="U786">
        <f t="shared" si="309"/>
        <v>-796691.70400000003</v>
      </c>
      <c r="V786">
        <f t="shared" si="310"/>
        <v>-849062.22699999996</v>
      </c>
      <c r="W786">
        <f t="shared" si="311"/>
        <v>-1133581.3260000001</v>
      </c>
      <c r="X786">
        <f t="shared" si="312"/>
        <v>-1153034.9250000003</v>
      </c>
      <c r="Z786">
        <f>D786*(310+0.8+60)</f>
        <v>1.5577308000000001</v>
      </c>
      <c r="AA786">
        <f t="shared" si="313"/>
        <v>-528643.49400000006</v>
      </c>
      <c r="AB786">
        <f t="shared" si="314"/>
        <v>-865281.0560000001</v>
      </c>
      <c r="AC786">
        <f t="shared" si="315"/>
        <v>-1079181.8959999999</v>
      </c>
      <c r="AD786">
        <f t="shared" si="316"/>
        <v>-1292494.5960000004</v>
      </c>
      <c r="AE786">
        <f t="shared" si="317"/>
        <v>-1298820.9500000002</v>
      </c>
    </row>
    <row r="787" spans="1:31" x14ac:dyDescent="0.25">
      <c r="A787">
        <v>41.679017880000004</v>
      </c>
      <c r="B787">
        <v>112.50018059999999</v>
      </c>
      <c r="C787">
        <v>0</v>
      </c>
      <c r="D787">
        <v>1.1779379800000001</v>
      </c>
      <c r="E787" t="b">
        <f t="shared" si="295"/>
        <v>1</v>
      </c>
      <c r="F787">
        <f t="shared" si="296"/>
        <v>1.1779379800000001</v>
      </c>
      <c r="G787">
        <f t="shared" si="297"/>
        <v>1.1779379800000001</v>
      </c>
      <c r="H787">
        <f t="shared" si="298"/>
        <v>1.1779379800000001</v>
      </c>
      <c r="I787">
        <f t="shared" si="299"/>
        <v>1.1779379800000001</v>
      </c>
      <c r="J787">
        <f t="shared" si="300"/>
        <v>1.1779379800000001</v>
      </c>
      <c r="L787">
        <f t="shared" si="301"/>
        <v>0</v>
      </c>
      <c r="M787">
        <f t="shared" si="302"/>
        <v>0</v>
      </c>
      <c r="N787">
        <f t="shared" si="303"/>
        <v>0</v>
      </c>
      <c r="O787">
        <f t="shared" si="304"/>
        <v>0</v>
      </c>
      <c r="P787">
        <f t="shared" si="305"/>
        <v>0</v>
      </c>
      <c r="Q787">
        <f t="shared" si="306"/>
        <v>0</v>
      </c>
      <c r="S787">
        <f t="shared" si="307"/>
        <v>0</v>
      </c>
      <c r="T787">
        <f t="shared" si="308"/>
        <v>0</v>
      </c>
      <c r="U787">
        <f t="shared" si="309"/>
        <v>0</v>
      </c>
      <c r="V787">
        <f t="shared" si="310"/>
        <v>0</v>
      </c>
      <c r="W787">
        <f t="shared" si="311"/>
        <v>0</v>
      </c>
      <c r="X787">
        <f t="shared" si="312"/>
        <v>0</v>
      </c>
      <c r="Z787">
        <f>C787*(310+0.8+60)</f>
        <v>0</v>
      </c>
      <c r="AA787">
        <f t="shared" si="313"/>
        <v>0</v>
      </c>
      <c r="AB787">
        <f t="shared" si="314"/>
        <v>0</v>
      </c>
      <c r="AC787">
        <f t="shared" si="315"/>
        <v>0</v>
      </c>
      <c r="AD787">
        <f t="shared" si="316"/>
        <v>0</v>
      </c>
      <c r="AE787">
        <f t="shared" si="317"/>
        <v>0</v>
      </c>
    </row>
    <row r="788" spans="1:31" x14ac:dyDescent="0.25">
      <c r="A788">
        <v>41.70444182</v>
      </c>
      <c r="B788">
        <v>106.5280987</v>
      </c>
      <c r="C788">
        <v>5.3181140000000002E-2</v>
      </c>
      <c r="D788">
        <v>3.2067999999999999E-2</v>
      </c>
      <c r="E788" t="b">
        <f t="shared" si="295"/>
        <v>0</v>
      </c>
      <c r="F788">
        <f t="shared" si="296"/>
        <v>-0.23383770000000004</v>
      </c>
      <c r="G788">
        <f t="shared" si="297"/>
        <v>-0.49974340000000006</v>
      </c>
      <c r="H788">
        <f t="shared" si="298"/>
        <v>-0.76564910000000008</v>
      </c>
      <c r="I788">
        <f t="shared" si="299"/>
        <v>-1.0315548000000001</v>
      </c>
      <c r="J788">
        <f t="shared" si="300"/>
        <v>-1.2974605000000001</v>
      </c>
      <c r="L788">
        <f t="shared" si="301"/>
        <v>61570.560000000005</v>
      </c>
      <c r="M788">
        <f t="shared" si="302"/>
        <v>-378817.07400000008</v>
      </c>
      <c r="N788">
        <f t="shared" si="303"/>
        <v>-689645.89200000011</v>
      </c>
      <c r="O788">
        <f t="shared" si="304"/>
        <v>-780962.08200000005</v>
      </c>
      <c r="P788">
        <f t="shared" si="305"/>
        <v>-949030.41600000008</v>
      </c>
      <c r="Q788">
        <f t="shared" si="306"/>
        <v>-986069.98000000021</v>
      </c>
      <c r="S788">
        <f t="shared" si="307"/>
        <v>67342.8</v>
      </c>
      <c r="T788">
        <f t="shared" si="308"/>
        <v>-425584.61400000006</v>
      </c>
      <c r="U788">
        <f t="shared" si="309"/>
        <v>-754612.5340000001</v>
      </c>
      <c r="V788">
        <f t="shared" si="310"/>
        <v>-819244.53700000001</v>
      </c>
      <c r="W788">
        <f t="shared" si="311"/>
        <v>-1103763.6359999999</v>
      </c>
      <c r="X788">
        <f t="shared" si="312"/>
        <v>-1128790.6350000002</v>
      </c>
      <c r="Z788">
        <f>D788*(310+0.8+60)</f>
        <v>11.8908144</v>
      </c>
      <c r="AA788">
        <f t="shared" si="313"/>
        <v>-472352.1540000001</v>
      </c>
      <c r="AB788">
        <f t="shared" si="314"/>
        <v>-819579.17600000021</v>
      </c>
      <c r="AC788">
        <f t="shared" si="315"/>
        <v>-1041282.7760000001</v>
      </c>
      <c r="AD788">
        <f t="shared" si="316"/>
        <v>-1258496.8560000001</v>
      </c>
      <c r="AE788">
        <f t="shared" si="317"/>
        <v>-1271511.2900000003</v>
      </c>
    </row>
    <row r="789" spans="1:31" x14ac:dyDescent="0.25">
      <c r="A789">
        <v>41.768028809999997</v>
      </c>
      <c r="B789">
        <v>123.07785579999999</v>
      </c>
      <c r="C789">
        <v>10.32753563</v>
      </c>
      <c r="D789">
        <v>3.7674369799999998</v>
      </c>
      <c r="E789" t="b">
        <f t="shared" si="295"/>
        <v>0</v>
      </c>
      <c r="F789">
        <f t="shared" si="296"/>
        <v>-47.87024117</v>
      </c>
      <c r="G789">
        <f t="shared" si="297"/>
        <v>-99.507919319999999</v>
      </c>
      <c r="H789">
        <f t="shared" si="298"/>
        <v>-151.14559746999998</v>
      </c>
      <c r="I789">
        <f t="shared" si="299"/>
        <v>-202.78327561999998</v>
      </c>
      <c r="J789">
        <f t="shared" si="300"/>
        <v>-254.42095376999998</v>
      </c>
      <c r="L789">
        <f t="shared" si="301"/>
        <v>7233479.0016000001</v>
      </c>
      <c r="M789">
        <f t="shared" si="302"/>
        <v>-77549790.695400015</v>
      </c>
      <c r="N789">
        <f t="shared" si="303"/>
        <v>-137320928.66159999</v>
      </c>
      <c r="O789">
        <f t="shared" si="304"/>
        <v>-154168509.41940001</v>
      </c>
      <c r="P789">
        <f t="shared" si="305"/>
        <v>-186560613.57039997</v>
      </c>
      <c r="Q789">
        <f t="shared" si="306"/>
        <v>-193359924.86519998</v>
      </c>
      <c r="S789">
        <f t="shared" si="307"/>
        <v>7911617.6580000008</v>
      </c>
      <c r="T789">
        <f t="shared" si="308"/>
        <v>-87123838.929400012</v>
      </c>
      <c r="U789">
        <f t="shared" si="309"/>
        <v>-150256958.17319998</v>
      </c>
      <c r="V789">
        <f t="shared" si="310"/>
        <v>-161725789.29289997</v>
      </c>
      <c r="W789">
        <f t="shared" si="311"/>
        <v>-216978104.91339993</v>
      </c>
      <c r="X789">
        <f t="shared" si="312"/>
        <v>-221346229.77989998</v>
      </c>
      <c r="Z789">
        <f t="shared" ref="Z789:Z790" si="319">D789*(310+0.8+60)</f>
        <v>1396.965632184</v>
      </c>
      <c r="AA789">
        <f t="shared" si="313"/>
        <v>-96697887.163400009</v>
      </c>
      <c r="AB789">
        <f t="shared" si="314"/>
        <v>-163192987.6848</v>
      </c>
      <c r="AC789">
        <f t="shared" si="315"/>
        <v>-205558012.55919999</v>
      </c>
      <c r="AD789">
        <f t="shared" si="316"/>
        <v>-247395596.25639996</v>
      </c>
      <c r="AE789">
        <f t="shared" si="317"/>
        <v>-249332534.69459999</v>
      </c>
    </row>
    <row r="790" spans="1:31" x14ac:dyDescent="0.25">
      <c r="A790">
        <v>41.791920140000002</v>
      </c>
      <c r="B790">
        <v>122.8977324</v>
      </c>
      <c r="C790">
        <v>10.32753563</v>
      </c>
      <c r="D790">
        <v>9.0131864499999992</v>
      </c>
      <c r="E790" t="b">
        <f t="shared" si="295"/>
        <v>0</v>
      </c>
      <c r="F790">
        <f t="shared" si="296"/>
        <v>-42.6244917</v>
      </c>
      <c r="G790">
        <f t="shared" si="297"/>
        <v>-94.262169849999992</v>
      </c>
      <c r="H790">
        <f t="shared" si="298"/>
        <v>-145.89984799999999</v>
      </c>
      <c r="I790">
        <f t="shared" si="299"/>
        <v>-197.53752614999999</v>
      </c>
      <c r="J790">
        <f t="shared" si="300"/>
        <v>-249.17520429999999</v>
      </c>
      <c r="L790">
        <f t="shared" si="301"/>
        <v>17305317.984000001</v>
      </c>
      <c r="M790">
        <f t="shared" si="302"/>
        <v>-69051676.554000005</v>
      </c>
      <c r="N790">
        <f t="shared" si="303"/>
        <v>-130081794.39299998</v>
      </c>
      <c r="O790">
        <f t="shared" si="304"/>
        <v>-148817844.96000001</v>
      </c>
      <c r="P790">
        <f t="shared" si="305"/>
        <v>-181734524.05799997</v>
      </c>
      <c r="Q790">
        <f t="shared" si="306"/>
        <v>-189373155.26799998</v>
      </c>
      <c r="S790">
        <f t="shared" si="307"/>
        <v>18927691.544999998</v>
      </c>
      <c r="T790">
        <f t="shared" si="308"/>
        <v>-77576574.894000009</v>
      </c>
      <c r="U790">
        <f t="shared" si="309"/>
        <v>-142335876.47349998</v>
      </c>
      <c r="V790">
        <f t="shared" si="310"/>
        <v>-156112837.35999998</v>
      </c>
      <c r="W790">
        <f t="shared" si="311"/>
        <v>-211365152.98049995</v>
      </c>
      <c r="X790">
        <f t="shared" si="312"/>
        <v>-216782427.741</v>
      </c>
      <c r="Z790">
        <f t="shared" si="319"/>
        <v>3342.0895356599999</v>
      </c>
      <c r="AA790">
        <f t="shared" si="313"/>
        <v>-86101473.234000012</v>
      </c>
      <c r="AB790">
        <f t="shared" si="314"/>
        <v>-154589958.55399999</v>
      </c>
      <c r="AC790">
        <f t="shared" si="315"/>
        <v>-198423793.27999997</v>
      </c>
      <c r="AD790">
        <f t="shared" si="316"/>
        <v>-240995781.90299997</v>
      </c>
      <c r="AE790">
        <f t="shared" si="317"/>
        <v>-244191700.21399999</v>
      </c>
    </row>
    <row r="791" spans="1:31" x14ac:dyDescent="0.25">
      <c r="A791">
        <v>41.812961029999997</v>
      </c>
      <c r="B791">
        <v>123.08855610000001</v>
      </c>
      <c r="C791">
        <v>10.32753563</v>
      </c>
      <c r="D791">
        <v>25.73125267</v>
      </c>
      <c r="E791" t="b">
        <f t="shared" si="295"/>
        <v>1</v>
      </c>
      <c r="F791">
        <f t="shared" si="296"/>
        <v>-25.906425479999999</v>
      </c>
      <c r="G791">
        <f t="shared" si="297"/>
        <v>-77.544103629999995</v>
      </c>
      <c r="H791">
        <f t="shared" si="298"/>
        <v>-129.18178177999999</v>
      </c>
      <c r="I791">
        <f t="shared" si="299"/>
        <v>-180.81945992999999</v>
      </c>
      <c r="J791">
        <f t="shared" si="300"/>
        <v>-232.45713807999999</v>
      </c>
      <c r="L791">
        <f t="shared" si="301"/>
        <v>19828868.409600001</v>
      </c>
      <c r="M791">
        <f t="shared" si="302"/>
        <v>-41968409.277600005</v>
      </c>
      <c r="N791">
        <f t="shared" si="303"/>
        <v>-107010863.00939998</v>
      </c>
      <c r="O791">
        <f t="shared" si="304"/>
        <v>-131765417.4156</v>
      </c>
      <c r="P791">
        <f t="shared" si="305"/>
        <v>-166353903.1356</v>
      </c>
      <c r="Q791">
        <f t="shared" si="306"/>
        <v>-176667424.94079998</v>
      </c>
      <c r="S791">
        <f t="shared" si="307"/>
        <v>21687824.822999999</v>
      </c>
      <c r="T791">
        <f t="shared" si="308"/>
        <v>-47149694.373600006</v>
      </c>
      <c r="U791">
        <f t="shared" si="309"/>
        <v>-117091596.4813</v>
      </c>
      <c r="V791">
        <f t="shared" si="310"/>
        <v>-138224506.50459999</v>
      </c>
      <c r="W791">
        <f t="shared" si="311"/>
        <v>-193476822.12509999</v>
      </c>
      <c r="X791">
        <f t="shared" si="312"/>
        <v>-202237710.12959999</v>
      </c>
      <c r="Z791">
        <f>C791*(310+0.8+60)</f>
        <v>3829.4502116040003</v>
      </c>
      <c r="AA791">
        <f t="shared" si="313"/>
        <v>-52330979.469599999</v>
      </c>
      <c r="AB791">
        <f t="shared" si="314"/>
        <v>-127172329.9532</v>
      </c>
      <c r="AC791">
        <f t="shared" si="315"/>
        <v>-175687223.22079998</v>
      </c>
      <c r="AD791">
        <f t="shared" si="316"/>
        <v>-220599741.1146</v>
      </c>
      <c r="AE791">
        <f t="shared" si="317"/>
        <v>-227807995.31839997</v>
      </c>
    </row>
    <row r="792" spans="1:31" x14ac:dyDescent="0.25">
      <c r="A792">
        <v>41.840864019999998</v>
      </c>
      <c r="B792">
        <v>86.813953589999997</v>
      </c>
      <c r="C792">
        <v>0</v>
      </c>
      <c r="D792">
        <v>0.77887499000000004</v>
      </c>
      <c r="E792" t="b">
        <f t="shared" si="295"/>
        <v>1</v>
      </c>
      <c r="F792">
        <f t="shared" si="296"/>
        <v>0.77887499000000004</v>
      </c>
      <c r="G792">
        <f t="shared" si="297"/>
        <v>0.77887499000000004</v>
      </c>
      <c r="H792">
        <f t="shared" si="298"/>
        <v>0.77887499000000004</v>
      </c>
      <c r="I792">
        <f t="shared" si="299"/>
        <v>0.77887499000000004</v>
      </c>
      <c r="J792">
        <f t="shared" si="300"/>
        <v>0.77887499000000004</v>
      </c>
      <c r="L792">
        <f t="shared" si="301"/>
        <v>0</v>
      </c>
      <c r="M792">
        <f t="shared" si="302"/>
        <v>0</v>
      </c>
      <c r="N792">
        <f t="shared" si="303"/>
        <v>0</v>
      </c>
      <c r="O792">
        <f t="shared" si="304"/>
        <v>0</v>
      </c>
      <c r="P792">
        <f t="shared" si="305"/>
        <v>0</v>
      </c>
      <c r="Q792">
        <f t="shared" si="306"/>
        <v>0</v>
      </c>
      <c r="S792">
        <f t="shared" si="307"/>
        <v>0</v>
      </c>
      <c r="T792">
        <f t="shared" si="308"/>
        <v>0</v>
      </c>
      <c r="U792">
        <f t="shared" si="309"/>
        <v>0</v>
      </c>
      <c r="V792">
        <f t="shared" si="310"/>
        <v>0</v>
      </c>
      <c r="W792">
        <f t="shared" si="311"/>
        <v>0</v>
      </c>
      <c r="X792">
        <f t="shared" si="312"/>
        <v>0</v>
      </c>
      <c r="Z792">
        <f t="shared" ref="Z792:Z793" si="320">C792*(310+0.8+60)</f>
        <v>0</v>
      </c>
      <c r="AA792">
        <f t="shared" si="313"/>
        <v>0</v>
      </c>
      <c r="AB792">
        <f t="shared" si="314"/>
        <v>0</v>
      </c>
      <c r="AC792">
        <f t="shared" si="315"/>
        <v>0</v>
      </c>
      <c r="AD792">
        <f t="shared" si="316"/>
        <v>0</v>
      </c>
      <c r="AE792">
        <f t="shared" si="317"/>
        <v>0</v>
      </c>
    </row>
    <row r="793" spans="1:31" x14ac:dyDescent="0.25">
      <c r="A793">
        <v>41.849860200000002</v>
      </c>
      <c r="B793">
        <v>123.15935639999999</v>
      </c>
      <c r="C793">
        <v>10.32753563</v>
      </c>
      <c r="D793">
        <v>11.707720760000001</v>
      </c>
      <c r="E793" t="b">
        <f t="shared" si="295"/>
        <v>1</v>
      </c>
      <c r="F793">
        <f t="shared" si="296"/>
        <v>-39.929957389999998</v>
      </c>
      <c r="G793">
        <f t="shared" si="297"/>
        <v>-91.567635539999998</v>
      </c>
      <c r="H793">
        <f t="shared" si="298"/>
        <v>-143.20531369</v>
      </c>
      <c r="I793">
        <f t="shared" si="299"/>
        <v>-194.84299184</v>
      </c>
      <c r="J793">
        <f t="shared" si="300"/>
        <v>-246.48066999</v>
      </c>
      <c r="L793">
        <f t="shared" si="301"/>
        <v>19828868.409600001</v>
      </c>
      <c r="M793">
        <f t="shared" si="302"/>
        <v>-64686530.971800007</v>
      </c>
      <c r="N793">
        <f t="shared" si="303"/>
        <v>-126363337.04519998</v>
      </c>
      <c r="O793">
        <f t="shared" si="304"/>
        <v>-146069419.96380001</v>
      </c>
      <c r="P793">
        <f t="shared" si="305"/>
        <v>-179255552.4928</v>
      </c>
      <c r="Q793">
        <f t="shared" si="306"/>
        <v>-187325309.19240001</v>
      </c>
      <c r="S793">
        <f t="shared" si="307"/>
        <v>21687824.822999999</v>
      </c>
      <c r="T793">
        <f t="shared" si="308"/>
        <v>-72672522.4498</v>
      </c>
      <c r="U793">
        <f t="shared" si="309"/>
        <v>-138267129.6654</v>
      </c>
      <c r="V793">
        <f t="shared" si="310"/>
        <v>-153229685.64829996</v>
      </c>
      <c r="W793">
        <f t="shared" si="311"/>
        <v>-208482001.26879996</v>
      </c>
      <c r="X793">
        <f t="shared" si="312"/>
        <v>-214438182.89129999</v>
      </c>
      <c r="Z793">
        <f t="shared" si="320"/>
        <v>3829.4502116040003</v>
      </c>
      <c r="AA793">
        <f t="shared" si="313"/>
        <v>-80658513.9278</v>
      </c>
      <c r="AB793">
        <f t="shared" si="314"/>
        <v>-150170922.28560001</v>
      </c>
      <c r="AC793">
        <f t="shared" si="315"/>
        <v>-194759226.61839998</v>
      </c>
      <c r="AD793">
        <f t="shared" si="316"/>
        <v>-237708450.04480001</v>
      </c>
      <c r="AE793">
        <f t="shared" si="317"/>
        <v>-241551056.59020001</v>
      </c>
    </row>
    <row r="794" spans="1:31" x14ac:dyDescent="0.25">
      <c r="A794">
        <v>41.916494120000003</v>
      </c>
      <c r="B794">
        <v>83.290635390000006</v>
      </c>
      <c r="C794">
        <v>9.4094677000000004</v>
      </c>
      <c r="D794">
        <v>0.42699598999999999</v>
      </c>
      <c r="E794" t="b">
        <f t="shared" si="295"/>
        <v>0</v>
      </c>
      <c r="F794">
        <f t="shared" si="296"/>
        <v>-46.62034251</v>
      </c>
      <c r="G794">
        <f t="shared" si="297"/>
        <v>-93.66768101000001</v>
      </c>
      <c r="H794">
        <f t="shared" si="298"/>
        <v>-140.71501951000002</v>
      </c>
      <c r="I794">
        <f t="shared" si="299"/>
        <v>-187.76235801000001</v>
      </c>
      <c r="J794">
        <f t="shared" si="300"/>
        <v>-234.80969651000001</v>
      </c>
      <c r="L794">
        <f t="shared" si="301"/>
        <v>819832.30080000008</v>
      </c>
      <c r="M794">
        <f t="shared" si="302"/>
        <v>-75524954.8662</v>
      </c>
      <c r="N794">
        <f t="shared" si="303"/>
        <v>-129261399.7938</v>
      </c>
      <c r="O794">
        <f t="shared" si="304"/>
        <v>-143529319.90020001</v>
      </c>
      <c r="P794">
        <f t="shared" si="305"/>
        <v>-172741369.36919999</v>
      </c>
      <c r="Q794">
        <f t="shared" si="306"/>
        <v>-178455369.34760001</v>
      </c>
      <c r="S794">
        <f t="shared" si="307"/>
        <v>896691.57900000003</v>
      </c>
      <c r="T794">
        <f t="shared" si="308"/>
        <v>-84849023.368200004</v>
      </c>
      <c r="U794">
        <f t="shared" si="309"/>
        <v>-141438198.3251</v>
      </c>
      <c r="V794">
        <f t="shared" si="310"/>
        <v>-150565070.8757</v>
      </c>
      <c r="W794">
        <f t="shared" si="311"/>
        <v>-200905723.07069999</v>
      </c>
      <c r="X794">
        <f t="shared" si="312"/>
        <v>-204284435.96370003</v>
      </c>
      <c r="Z794">
        <f>D794*(310+0.8+60)</f>
        <v>158.330113092</v>
      </c>
      <c r="AA794">
        <f t="shared" si="313"/>
        <v>-94173091.870199993</v>
      </c>
      <c r="AB794">
        <f t="shared" si="314"/>
        <v>-153614996.85640001</v>
      </c>
      <c r="AC794">
        <f t="shared" si="315"/>
        <v>-191372426.5336</v>
      </c>
      <c r="AD794">
        <f t="shared" si="316"/>
        <v>-229070076.77220002</v>
      </c>
      <c r="AE794">
        <f t="shared" si="317"/>
        <v>-230113502.57980001</v>
      </c>
    </row>
    <row r="795" spans="1:31" x14ac:dyDescent="0.25">
      <c r="A795">
        <v>41.947962050000001</v>
      </c>
      <c r="B795">
        <v>86.598102420000004</v>
      </c>
      <c r="C795">
        <v>0</v>
      </c>
      <c r="D795">
        <v>6.2896809600000001</v>
      </c>
      <c r="E795" t="b">
        <f t="shared" si="295"/>
        <v>1</v>
      </c>
      <c r="F795">
        <f t="shared" si="296"/>
        <v>6.2896809600000001</v>
      </c>
      <c r="G795">
        <f t="shared" si="297"/>
        <v>6.2896809600000001</v>
      </c>
      <c r="H795">
        <f t="shared" si="298"/>
        <v>6.2896809600000001</v>
      </c>
      <c r="I795">
        <f t="shared" si="299"/>
        <v>6.2896809600000001</v>
      </c>
      <c r="J795">
        <f t="shared" si="300"/>
        <v>6.2896809600000001</v>
      </c>
      <c r="L795">
        <f t="shared" si="301"/>
        <v>0</v>
      </c>
      <c r="M795">
        <f t="shared" si="302"/>
        <v>0</v>
      </c>
      <c r="N795">
        <f t="shared" si="303"/>
        <v>0</v>
      </c>
      <c r="O795">
        <f t="shared" si="304"/>
        <v>0</v>
      </c>
      <c r="P795">
        <f t="shared" si="305"/>
        <v>0</v>
      </c>
      <c r="Q795">
        <f t="shared" si="306"/>
        <v>0</v>
      </c>
      <c r="S795">
        <f t="shared" si="307"/>
        <v>0</v>
      </c>
      <c r="T795">
        <f t="shared" si="308"/>
        <v>0</v>
      </c>
      <c r="U795">
        <f t="shared" si="309"/>
        <v>0</v>
      </c>
      <c r="V795">
        <f t="shared" si="310"/>
        <v>0</v>
      </c>
      <c r="W795">
        <f t="shared" si="311"/>
        <v>0</v>
      </c>
      <c r="X795">
        <f t="shared" si="312"/>
        <v>0</v>
      </c>
      <c r="Z795">
        <f>C795*(310+0.8+60)</f>
        <v>0</v>
      </c>
      <c r="AA795">
        <f t="shared" si="313"/>
        <v>0</v>
      </c>
      <c r="AB795">
        <f t="shared" si="314"/>
        <v>0</v>
      </c>
      <c r="AC795">
        <f t="shared" si="315"/>
        <v>0</v>
      </c>
      <c r="AD795">
        <f t="shared" si="316"/>
        <v>0</v>
      </c>
      <c r="AE795">
        <f t="shared" si="317"/>
        <v>0</v>
      </c>
    </row>
    <row r="796" spans="1:31" x14ac:dyDescent="0.25">
      <c r="A796">
        <v>41.98244725</v>
      </c>
      <c r="B796">
        <v>100.10602040000001</v>
      </c>
      <c r="C796">
        <v>3.9885860000000002E-2</v>
      </c>
      <c r="D796">
        <v>6.9430000000000004E-3</v>
      </c>
      <c r="E796" t="b">
        <f t="shared" si="295"/>
        <v>0</v>
      </c>
      <c r="F796">
        <f t="shared" si="296"/>
        <v>-0.1924863</v>
      </c>
      <c r="G796">
        <f t="shared" si="297"/>
        <v>-0.39191560000000003</v>
      </c>
      <c r="H796">
        <f t="shared" si="298"/>
        <v>-0.59134489999999995</v>
      </c>
      <c r="I796">
        <f t="shared" si="299"/>
        <v>-0.79077419999999998</v>
      </c>
      <c r="J796">
        <f t="shared" si="300"/>
        <v>-0.99020350000000001</v>
      </c>
      <c r="L796">
        <f t="shared" si="301"/>
        <v>13330.560000000001</v>
      </c>
      <c r="M796">
        <f t="shared" si="302"/>
        <v>-311827.80599999998</v>
      </c>
      <c r="N796">
        <f t="shared" si="303"/>
        <v>-540843.52800000005</v>
      </c>
      <c r="O796">
        <f t="shared" si="304"/>
        <v>-603171.79799999995</v>
      </c>
      <c r="P796">
        <f t="shared" si="305"/>
        <v>-727512.26399999985</v>
      </c>
      <c r="Q796">
        <f t="shared" si="306"/>
        <v>-752554.66</v>
      </c>
      <c r="S796">
        <f t="shared" si="307"/>
        <v>14580.300000000001</v>
      </c>
      <c r="T796">
        <f t="shared" si="308"/>
        <v>-350325.06599999999</v>
      </c>
      <c r="U796">
        <f t="shared" si="309"/>
        <v>-591792.5560000001</v>
      </c>
      <c r="V796">
        <f t="shared" si="310"/>
        <v>-632739.04299999983</v>
      </c>
      <c r="W796">
        <f t="shared" si="311"/>
        <v>-846128.39399999985</v>
      </c>
      <c r="X796">
        <f t="shared" si="312"/>
        <v>-861477.04500000004</v>
      </c>
      <c r="Z796">
        <f>D796*(310+0.8+60)</f>
        <v>2.5744644000000001</v>
      </c>
      <c r="AA796">
        <f t="shared" si="313"/>
        <v>-388822.326</v>
      </c>
      <c r="AB796">
        <f t="shared" si="314"/>
        <v>-642741.58400000015</v>
      </c>
      <c r="AC796">
        <f t="shared" si="315"/>
        <v>-804229.06399999978</v>
      </c>
      <c r="AD796">
        <f t="shared" si="316"/>
        <v>-964744.52399999998</v>
      </c>
      <c r="AE796">
        <f t="shared" si="317"/>
        <v>-970399.42999999993</v>
      </c>
    </row>
    <row r="797" spans="1:31" x14ac:dyDescent="0.25">
      <c r="A797">
        <v>42.013113820000001</v>
      </c>
      <c r="B797">
        <v>107.75391380000001</v>
      </c>
      <c r="C797">
        <v>12.724843030000001</v>
      </c>
      <c r="D797">
        <v>6.9438E-2</v>
      </c>
      <c r="E797" t="b">
        <f t="shared" si="295"/>
        <v>0</v>
      </c>
      <c r="F797">
        <f t="shared" si="296"/>
        <v>-63.554777150000007</v>
      </c>
      <c r="G797">
        <f t="shared" si="297"/>
        <v>-127.1789923</v>
      </c>
      <c r="H797">
        <f t="shared" si="298"/>
        <v>-190.80320745000003</v>
      </c>
      <c r="I797">
        <f t="shared" si="299"/>
        <v>-254.42742260000003</v>
      </c>
      <c r="J797">
        <f t="shared" si="300"/>
        <v>-318.05163775</v>
      </c>
      <c r="L797">
        <f t="shared" si="301"/>
        <v>133320.96000000002</v>
      </c>
      <c r="M797">
        <f t="shared" si="302"/>
        <v>-102958738.98300001</v>
      </c>
      <c r="N797">
        <f t="shared" si="303"/>
        <v>-175507009.37399998</v>
      </c>
      <c r="O797">
        <f t="shared" si="304"/>
        <v>-194619271.59900001</v>
      </c>
      <c r="P797">
        <f t="shared" si="305"/>
        <v>-234073228.792</v>
      </c>
      <c r="Q797">
        <f t="shared" si="306"/>
        <v>-241719244.69</v>
      </c>
      <c r="S797">
        <f t="shared" si="307"/>
        <v>145819.80000000002</v>
      </c>
      <c r="T797">
        <f t="shared" si="308"/>
        <v>-115669694.41300002</v>
      </c>
      <c r="U797">
        <f t="shared" si="309"/>
        <v>-192040278.373</v>
      </c>
      <c r="V797">
        <f t="shared" si="310"/>
        <v>-204159431.97149998</v>
      </c>
      <c r="W797">
        <f t="shared" si="311"/>
        <v>-272237342.18199998</v>
      </c>
      <c r="X797">
        <f t="shared" si="312"/>
        <v>-276704924.84249997</v>
      </c>
      <c r="Z797">
        <f t="shared" ref="Z797:Z799" si="321">D797*(310+0.8+60)</f>
        <v>25.747610399999999</v>
      </c>
      <c r="AA797">
        <f t="shared" si="313"/>
        <v>-128380649.84300001</v>
      </c>
      <c r="AB797">
        <f t="shared" si="314"/>
        <v>-208573547.37200001</v>
      </c>
      <c r="AC797">
        <f t="shared" si="315"/>
        <v>-259492362.132</v>
      </c>
      <c r="AD797">
        <f t="shared" si="316"/>
        <v>-310401455.57200003</v>
      </c>
      <c r="AE797">
        <f t="shared" si="317"/>
        <v>-311690604.995</v>
      </c>
    </row>
    <row r="798" spans="1:31" x14ac:dyDescent="0.25">
      <c r="A798">
        <v>42.101720659999998</v>
      </c>
      <c r="B798">
        <v>107.93984709999999</v>
      </c>
      <c r="C798">
        <v>12.724843030000001</v>
      </c>
      <c r="D798">
        <v>2.6920619000000001</v>
      </c>
      <c r="E798" t="b">
        <f t="shared" si="295"/>
        <v>0</v>
      </c>
      <c r="F798">
        <f t="shared" si="296"/>
        <v>-60.932153250000006</v>
      </c>
      <c r="G798">
        <f t="shared" si="297"/>
        <v>-124.55636840000001</v>
      </c>
      <c r="H798">
        <f t="shared" si="298"/>
        <v>-188.18058355000002</v>
      </c>
      <c r="I798">
        <f t="shared" si="299"/>
        <v>-251.80479870000002</v>
      </c>
      <c r="J798">
        <f t="shared" si="300"/>
        <v>-315.42901384999999</v>
      </c>
      <c r="L798">
        <f t="shared" si="301"/>
        <v>5168758.8480000002</v>
      </c>
      <c r="M798">
        <f t="shared" si="302"/>
        <v>-98710088.265000015</v>
      </c>
      <c r="N798">
        <f t="shared" si="303"/>
        <v>-171887788.39199999</v>
      </c>
      <c r="O798">
        <f t="shared" si="304"/>
        <v>-191944195.22100002</v>
      </c>
      <c r="P798">
        <f t="shared" si="305"/>
        <v>-231660414.80399999</v>
      </c>
      <c r="Q798">
        <f t="shared" si="306"/>
        <v>-239726050.52599996</v>
      </c>
      <c r="S798">
        <f t="shared" si="307"/>
        <v>5653329.9900000002</v>
      </c>
      <c r="T798">
        <f t="shared" si="308"/>
        <v>-110896518.91500002</v>
      </c>
      <c r="U798">
        <f t="shared" si="309"/>
        <v>-188080116.28400001</v>
      </c>
      <c r="V798">
        <f t="shared" si="310"/>
        <v>-201353224.3985</v>
      </c>
      <c r="W798">
        <f t="shared" si="311"/>
        <v>-269431134.60899997</v>
      </c>
      <c r="X798">
        <f t="shared" si="312"/>
        <v>-274423242.04949999</v>
      </c>
      <c r="Z798">
        <f t="shared" si="321"/>
        <v>998.21655252000005</v>
      </c>
      <c r="AA798">
        <f t="shared" si="313"/>
        <v>-123082949.56500001</v>
      </c>
      <c r="AB798">
        <f t="shared" si="314"/>
        <v>-204272444.17600003</v>
      </c>
      <c r="AC798">
        <f t="shared" si="315"/>
        <v>-255925593.62799999</v>
      </c>
      <c r="AD798">
        <f t="shared" si="316"/>
        <v>-307201854.41400003</v>
      </c>
      <c r="AE798">
        <f t="shared" si="317"/>
        <v>-309120433.57299995</v>
      </c>
    </row>
    <row r="799" spans="1:31" x14ac:dyDescent="0.25">
      <c r="A799">
        <v>42.149091759999997</v>
      </c>
      <c r="B799">
        <v>107.8185216</v>
      </c>
      <c r="C799">
        <v>12.724843030000001</v>
      </c>
      <c r="D799">
        <v>0.30413899</v>
      </c>
      <c r="E799" t="b">
        <f t="shared" si="295"/>
        <v>0</v>
      </c>
      <c r="F799">
        <f t="shared" si="296"/>
        <v>-63.320076160000006</v>
      </c>
      <c r="G799">
        <f t="shared" si="297"/>
        <v>-126.94429131000001</v>
      </c>
      <c r="H799">
        <f t="shared" si="298"/>
        <v>-190.56850646000001</v>
      </c>
      <c r="I799">
        <f t="shared" si="299"/>
        <v>-254.19272161000001</v>
      </c>
      <c r="J799">
        <f t="shared" si="300"/>
        <v>-317.81693675999998</v>
      </c>
      <c r="L799">
        <f t="shared" si="301"/>
        <v>583946.86080000002</v>
      </c>
      <c r="M799">
        <f t="shared" si="302"/>
        <v>-102578523.37920001</v>
      </c>
      <c r="N799">
        <f t="shared" si="303"/>
        <v>-175183122.00780001</v>
      </c>
      <c r="O799">
        <f t="shared" si="304"/>
        <v>-194379876.58920002</v>
      </c>
      <c r="P799">
        <f t="shared" si="305"/>
        <v>-233857303.88119999</v>
      </c>
      <c r="Q799">
        <f t="shared" si="306"/>
        <v>-241540871.93759999</v>
      </c>
      <c r="S799">
        <f t="shared" si="307"/>
        <v>638691.87899999996</v>
      </c>
      <c r="T799">
        <f t="shared" si="308"/>
        <v>-115242538.6112</v>
      </c>
      <c r="U799">
        <f t="shared" si="309"/>
        <v>-191685879.87810004</v>
      </c>
      <c r="V799">
        <f t="shared" si="310"/>
        <v>-203908301.91219997</v>
      </c>
      <c r="W799">
        <f t="shared" si="311"/>
        <v>-271986212.12269998</v>
      </c>
      <c r="X799">
        <f t="shared" si="312"/>
        <v>-276500734.98119998</v>
      </c>
      <c r="Z799">
        <f t="shared" si="321"/>
        <v>112.774737492</v>
      </c>
      <c r="AA799">
        <f t="shared" si="313"/>
        <v>-127906553.84320001</v>
      </c>
      <c r="AB799">
        <f t="shared" si="314"/>
        <v>-208188637.74840003</v>
      </c>
      <c r="AC799">
        <f t="shared" si="315"/>
        <v>-259173168.78559998</v>
      </c>
      <c r="AD799">
        <f t="shared" si="316"/>
        <v>-310115120.3642</v>
      </c>
      <c r="AE799">
        <f t="shared" si="317"/>
        <v>-311460598.0248</v>
      </c>
    </row>
    <row r="800" spans="1:31" x14ac:dyDescent="0.25">
      <c r="A800">
        <v>42.409253210000003</v>
      </c>
      <c r="B800">
        <v>122.42007719999999</v>
      </c>
      <c r="C800">
        <v>0</v>
      </c>
      <c r="D800">
        <v>4.1579999999999999E-2</v>
      </c>
      <c r="E800" t="b">
        <f t="shared" si="295"/>
        <v>1</v>
      </c>
      <c r="F800">
        <f t="shared" si="296"/>
        <v>4.1579999999999999E-2</v>
      </c>
      <c r="G800">
        <f t="shared" si="297"/>
        <v>4.1579999999999999E-2</v>
      </c>
      <c r="H800">
        <f t="shared" si="298"/>
        <v>4.1579999999999999E-2</v>
      </c>
      <c r="I800">
        <f t="shared" si="299"/>
        <v>4.1579999999999999E-2</v>
      </c>
      <c r="J800">
        <f t="shared" si="300"/>
        <v>4.1579999999999999E-2</v>
      </c>
      <c r="L800">
        <f t="shared" si="301"/>
        <v>0</v>
      </c>
      <c r="M800">
        <f t="shared" si="302"/>
        <v>0</v>
      </c>
      <c r="N800">
        <f t="shared" si="303"/>
        <v>0</v>
      </c>
      <c r="O800">
        <f t="shared" si="304"/>
        <v>0</v>
      </c>
      <c r="P800">
        <f t="shared" si="305"/>
        <v>0</v>
      </c>
      <c r="Q800">
        <f t="shared" si="306"/>
        <v>0</v>
      </c>
      <c r="S800">
        <f t="shared" si="307"/>
        <v>0</v>
      </c>
      <c r="T800">
        <f t="shared" si="308"/>
        <v>0</v>
      </c>
      <c r="U800">
        <f t="shared" si="309"/>
        <v>0</v>
      </c>
      <c r="V800">
        <f t="shared" si="310"/>
        <v>0</v>
      </c>
      <c r="W800">
        <f t="shared" si="311"/>
        <v>0</v>
      </c>
      <c r="X800">
        <f t="shared" si="312"/>
        <v>0</v>
      </c>
      <c r="Z800">
        <f>C800*(310+0.8+60)</f>
        <v>0</v>
      </c>
      <c r="AA800">
        <f t="shared" si="313"/>
        <v>0</v>
      </c>
      <c r="AB800">
        <f t="shared" si="314"/>
        <v>0</v>
      </c>
      <c r="AC800">
        <f t="shared" si="315"/>
        <v>0</v>
      </c>
      <c r="AD800">
        <f t="shared" si="316"/>
        <v>0</v>
      </c>
      <c r="AE800">
        <f t="shared" si="317"/>
        <v>0</v>
      </c>
    </row>
    <row r="801" spans="1:31" x14ac:dyDescent="0.25">
      <c r="A801">
        <v>42.441830850000002</v>
      </c>
      <c r="B801">
        <v>114.3593067</v>
      </c>
      <c r="C801">
        <v>0</v>
      </c>
      <c r="D801">
        <v>0.40274099000000002</v>
      </c>
      <c r="E801" t="b">
        <f t="shared" si="295"/>
        <v>1</v>
      </c>
      <c r="F801">
        <f t="shared" si="296"/>
        <v>0.40274099000000002</v>
      </c>
      <c r="G801">
        <f t="shared" si="297"/>
        <v>0.40274099000000002</v>
      </c>
      <c r="H801">
        <f t="shared" si="298"/>
        <v>0.40274099000000002</v>
      </c>
      <c r="I801">
        <f t="shared" si="299"/>
        <v>0.40274099000000002</v>
      </c>
      <c r="J801">
        <f t="shared" si="300"/>
        <v>0.40274099000000002</v>
      </c>
      <c r="L801">
        <f t="shared" si="301"/>
        <v>0</v>
      </c>
      <c r="M801">
        <f t="shared" si="302"/>
        <v>0</v>
      </c>
      <c r="N801">
        <f t="shared" si="303"/>
        <v>0</v>
      </c>
      <c r="O801">
        <f t="shared" si="304"/>
        <v>0</v>
      </c>
      <c r="P801">
        <f t="shared" si="305"/>
        <v>0</v>
      </c>
      <c r="Q801">
        <f t="shared" si="306"/>
        <v>0</v>
      </c>
      <c r="S801">
        <f t="shared" si="307"/>
        <v>0</v>
      </c>
      <c r="T801">
        <f t="shared" si="308"/>
        <v>0</v>
      </c>
      <c r="U801">
        <f t="shared" si="309"/>
        <v>0</v>
      </c>
      <c r="V801">
        <f t="shared" si="310"/>
        <v>0</v>
      </c>
      <c r="W801">
        <f t="shared" si="311"/>
        <v>0</v>
      </c>
      <c r="X801">
        <f t="shared" si="312"/>
        <v>0</v>
      </c>
      <c r="Z801">
        <f>C801*(310+0.8+60)</f>
        <v>0</v>
      </c>
      <c r="AA801">
        <f t="shared" si="313"/>
        <v>0</v>
      </c>
      <c r="AB801">
        <f t="shared" si="314"/>
        <v>0</v>
      </c>
      <c r="AC801">
        <f t="shared" si="315"/>
        <v>0</v>
      </c>
      <c r="AD801">
        <f t="shared" si="316"/>
        <v>0</v>
      </c>
      <c r="AE801">
        <f t="shared" si="317"/>
        <v>0</v>
      </c>
    </row>
    <row r="802" spans="1:31" x14ac:dyDescent="0.25">
      <c r="A802">
        <v>42.44960708</v>
      </c>
      <c r="B802">
        <v>112.6317487</v>
      </c>
      <c r="C802">
        <v>5.9636301999999999</v>
      </c>
      <c r="D802">
        <v>1.2443300500000001</v>
      </c>
      <c r="E802" t="b">
        <f t="shared" si="295"/>
        <v>0</v>
      </c>
      <c r="F802">
        <f t="shared" si="296"/>
        <v>-28.573820950000002</v>
      </c>
      <c r="G802">
        <f t="shared" si="297"/>
        <v>-58.391971949999999</v>
      </c>
      <c r="H802">
        <f t="shared" si="298"/>
        <v>-88.210122949999999</v>
      </c>
      <c r="I802">
        <f t="shared" si="299"/>
        <v>-118.02827395</v>
      </c>
      <c r="J802">
        <f t="shared" si="300"/>
        <v>-147.84642495</v>
      </c>
      <c r="L802">
        <f t="shared" si="301"/>
        <v>2389113.6960000005</v>
      </c>
      <c r="M802">
        <f t="shared" si="302"/>
        <v>-46289589.93900001</v>
      </c>
      <c r="N802">
        <f t="shared" si="303"/>
        <v>-80580921.290999994</v>
      </c>
      <c r="O802">
        <f t="shared" si="304"/>
        <v>-89974325.409000009</v>
      </c>
      <c r="P802">
        <f t="shared" si="305"/>
        <v>-108586012.03399999</v>
      </c>
      <c r="Q802">
        <f t="shared" si="306"/>
        <v>-112363282.962</v>
      </c>
      <c r="S802">
        <f t="shared" si="307"/>
        <v>2613093.105</v>
      </c>
      <c r="T802">
        <f t="shared" si="308"/>
        <v>-52004354.129000008</v>
      </c>
      <c r="U802">
        <f t="shared" si="309"/>
        <v>-88171877.644499987</v>
      </c>
      <c r="V802">
        <f t="shared" si="310"/>
        <v>-94384831.556499988</v>
      </c>
      <c r="W802">
        <f t="shared" si="311"/>
        <v>-126290253.12649998</v>
      </c>
      <c r="X802">
        <f t="shared" si="312"/>
        <v>-128626389.70649999</v>
      </c>
      <c r="Z802">
        <f>D802*(310+0.8+60)</f>
        <v>461.39758254000003</v>
      </c>
      <c r="AA802">
        <f t="shared" si="313"/>
        <v>-57719118.319000006</v>
      </c>
      <c r="AB802">
        <f t="shared" si="314"/>
        <v>-95762833.997999996</v>
      </c>
      <c r="AC802">
        <f t="shared" si="315"/>
        <v>-119965767.212</v>
      </c>
      <c r="AD802">
        <f t="shared" si="316"/>
        <v>-143994494.21900001</v>
      </c>
      <c r="AE802">
        <f t="shared" si="317"/>
        <v>-144889496.45099998</v>
      </c>
    </row>
    <row r="803" spans="1:31" x14ac:dyDescent="0.25">
      <c r="A803">
        <v>42.540542709999997</v>
      </c>
      <c r="B803">
        <v>112.6401805</v>
      </c>
      <c r="C803">
        <v>5.9636301999999999</v>
      </c>
      <c r="D803">
        <v>1.1477960300000001</v>
      </c>
      <c r="E803" t="b">
        <f t="shared" si="295"/>
        <v>0</v>
      </c>
      <c r="F803">
        <f t="shared" si="296"/>
        <v>-28.670354970000002</v>
      </c>
      <c r="G803">
        <f t="shared" si="297"/>
        <v>-58.488505969999999</v>
      </c>
      <c r="H803">
        <f t="shared" si="298"/>
        <v>-88.306656970000006</v>
      </c>
      <c r="I803">
        <f t="shared" si="299"/>
        <v>-118.12480797000001</v>
      </c>
      <c r="J803">
        <f t="shared" si="300"/>
        <v>-147.94295897000001</v>
      </c>
      <c r="L803">
        <f t="shared" si="301"/>
        <v>2203768.3776000002</v>
      </c>
      <c r="M803">
        <f t="shared" si="302"/>
        <v>-46445975.051400006</v>
      </c>
      <c r="N803">
        <f t="shared" si="303"/>
        <v>-80714138.238599986</v>
      </c>
      <c r="O803">
        <f t="shared" si="304"/>
        <v>-90072790.109400004</v>
      </c>
      <c r="P803">
        <f t="shared" si="305"/>
        <v>-108674823.33239999</v>
      </c>
      <c r="Q803">
        <f t="shared" si="306"/>
        <v>-112436648.81720001</v>
      </c>
      <c r="S803">
        <f t="shared" si="307"/>
        <v>2410371.6630000002</v>
      </c>
      <c r="T803">
        <f t="shared" si="308"/>
        <v>-52180046.045400009</v>
      </c>
      <c r="U803">
        <f t="shared" si="309"/>
        <v>-88317644.014699996</v>
      </c>
      <c r="V803">
        <f t="shared" si="310"/>
        <v>-94488122.957899988</v>
      </c>
      <c r="W803">
        <f t="shared" si="311"/>
        <v>-126393544.52789998</v>
      </c>
      <c r="X803">
        <f t="shared" si="312"/>
        <v>-128710374.3039</v>
      </c>
      <c r="Z803">
        <f>D803*(310+0.8+60)</f>
        <v>425.60276792400003</v>
      </c>
      <c r="AA803">
        <f t="shared" si="313"/>
        <v>-57914117.039400004</v>
      </c>
      <c r="AB803">
        <f t="shared" si="314"/>
        <v>-95921149.790800005</v>
      </c>
      <c r="AC803">
        <f t="shared" si="315"/>
        <v>-120097053.47919999</v>
      </c>
      <c r="AD803">
        <f t="shared" si="316"/>
        <v>-144112265.7234</v>
      </c>
      <c r="AE803">
        <f t="shared" si="317"/>
        <v>-144984099.7906</v>
      </c>
    </row>
    <row r="804" spans="1:31" x14ac:dyDescent="0.25">
      <c r="A804">
        <v>42.697868759999999</v>
      </c>
      <c r="B804">
        <v>123.0513028</v>
      </c>
      <c r="C804">
        <v>0.39520844999999999</v>
      </c>
      <c r="D804">
        <v>1.23505902</v>
      </c>
      <c r="E804" t="b">
        <f t="shared" si="295"/>
        <v>1</v>
      </c>
      <c r="F804">
        <f t="shared" si="296"/>
        <v>-0.74098322999999988</v>
      </c>
      <c r="G804">
        <f t="shared" si="297"/>
        <v>-2.7170254799999998</v>
      </c>
      <c r="H804">
        <f t="shared" si="298"/>
        <v>-4.6930677299999992</v>
      </c>
      <c r="I804">
        <f t="shared" si="299"/>
        <v>-6.66910998</v>
      </c>
      <c r="J804">
        <f t="shared" si="300"/>
        <v>-8.6451522300000008</v>
      </c>
      <c r="L804">
        <f t="shared" si="301"/>
        <v>758800.22400000005</v>
      </c>
      <c r="M804">
        <f t="shared" si="302"/>
        <v>-1200392.8325999998</v>
      </c>
      <c r="N804">
        <f t="shared" si="303"/>
        <v>-3749495.1623999998</v>
      </c>
      <c r="O804">
        <f t="shared" si="304"/>
        <v>-4786929.0845999997</v>
      </c>
      <c r="P804">
        <f t="shared" si="305"/>
        <v>-6135581.1815999998</v>
      </c>
      <c r="Q804">
        <f t="shared" si="306"/>
        <v>-6570315.6948000006</v>
      </c>
      <c r="S804">
        <f t="shared" si="307"/>
        <v>829937.74500000011</v>
      </c>
      <c r="T804">
        <f t="shared" si="308"/>
        <v>-1348589.4785999998</v>
      </c>
      <c r="U804">
        <f t="shared" si="309"/>
        <v>-4102708.4748</v>
      </c>
      <c r="V804">
        <f t="shared" si="310"/>
        <v>-5021582.4710999988</v>
      </c>
      <c r="W804">
        <f t="shared" si="311"/>
        <v>-7135947.6785999993</v>
      </c>
      <c r="X804">
        <f t="shared" si="312"/>
        <v>-7521282.4401000002</v>
      </c>
      <c r="Z804">
        <f>C804*(310+0.8+60)</f>
        <v>146.54329326000001</v>
      </c>
      <c r="AA804">
        <f t="shared" si="313"/>
        <v>-1496786.1245999997</v>
      </c>
      <c r="AB804">
        <f t="shared" si="314"/>
        <v>-4455921.7872000001</v>
      </c>
      <c r="AC804">
        <f t="shared" si="315"/>
        <v>-6382572.1127999984</v>
      </c>
      <c r="AD804">
        <f t="shared" si="316"/>
        <v>-8136314.1756000007</v>
      </c>
      <c r="AE804">
        <f t="shared" si="317"/>
        <v>-8472249.1853999998</v>
      </c>
    </row>
    <row r="805" spans="1:31" x14ac:dyDescent="0.25">
      <c r="A805">
        <v>42.782075669999998</v>
      </c>
      <c r="B805">
        <v>88.195514829999993</v>
      </c>
      <c r="C805">
        <v>6.7394113500000001</v>
      </c>
      <c r="D805">
        <v>0.45589200000000002</v>
      </c>
      <c r="E805" t="b">
        <f t="shared" si="295"/>
        <v>0</v>
      </c>
      <c r="F805">
        <f t="shared" si="296"/>
        <v>-33.241164750000003</v>
      </c>
      <c r="G805">
        <f t="shared" si="297"/>
        <v>-66.938221499999997</v>
      </c>
      <c r="H805">
        <f t="shared" si="298"/>
        <v>-100.63527825</v>
      </c>
      <c r="I805">
        <f t="shared" si="299"/>
        <v>-134.332335</v>
      </c>
      <c r="J805">
        <f t="shared" si="300"/>
        <v>-168.02939175</v>
      </c>
      <c r="L805">
        <f t="shared" si="301"/>
        <v>875312.64000000001</v>
      </c>
      <c r="M805">
        <f t="shared" si="302"/>
        <v>-53850686.895000011</v>
      </c>
      <c r="N805">
        <f t="shared" si="303"/>
        <v>-92374745.669999987</v>
      </c>
      <c r="O805">
        <f t="shared" si="304"/>
        <v>-102647983.815</v>
      </c>
      <c r="P805">
        <f t="shared" si="305"/>
        <v>-123585748.19999999</v>
      </c>
      <c r="Q805">
        <f t="shared" si="306"/>
        <v>-127702337.73</v>
      </c>
      <c r="S805">
        <f t="shared" si="307"/>
        <v>957373.20000000007</v>
      </c>
      <c r="T805">
        <f t="shared" si="308"/>
        <v>-60498919.845000006</v>
      </c>
      <c r="U805">
        <f t="shared" si="309"/>
        <v>-101076714.465</v>
      </c>
      <c r="V805">
        <f t="shared" si="310"/>
        <v>-107679747.72749998</v>
      </c>
      <c r="W805">
        <f t="shared" si="311"/>
        <v>-143735598.44999999</v>
      </c>
      <c r="X805">
        <f t="shared" si="312"/>
        <v>-146185570.82249999</v>
      </c>
      <c r="Z805">
        <f>D805*(310+0.8+60)</f>
        <v>169.04475360000001</v>
      </c>
      <c r="AA805">
        <f t="shared" si="313"/>
        <v>-67147152.795000002</v>
      </c>
      <c r="AB805">
        <f t="shared" si="314"/>
        <v>-109778683.26000001</v>
      </c>
      <c r="AC805">
        <f t="shared" si="315"/>
        <v>-136863978.41999999</v>
      </c>
      <c r="AD805">
        <f t="shared" si="316"/>
        <v>-163885448.69999999</v>
      </c>
      <c r="AE805">
        <f t="shared" si="317"/>
        <v>-164668803.91499999</v>
      </c>
    </row>
    <row r="806" spans="1:31" x14ac:dyDescent="0.25">
      <c r="A806">
        <v>42.80177011</v>
      </c>
      <c r="B806">
        <v>89.760981979999997</v>
      </c>
      <c r="C806">
        <v>27.577732090000001</v>
      </c>
      <c r="D806">
        <v>4.8719878200000002</v>
      </c>
      <c r="E806" t="b">
        <f t="shared" si="295"/>
        <v>0</v>
      </c>
      <c r="F806">
        <f t="shared" si="296"/>
        <v>-133.01667263000002</v>
      </c>
      <c r="G806">
        <f t="shared" si="297"/>
        <v>-270.90533307999999</v>
      </c>
      <c r="H806">
        <f t="shared" si="298"/>
        <v>-408.79399353000002</v>
      </c>
      <c r="I806">
        <f t="shared" si="299"/>
        <v>-546.68265398000005</v>
      </c>
      <c r="J806">
        <f t="shared" si="300"/>
        <v>-684.57131443000003</v>
      </c>
      <c r="L806">
        <f t="shared" si="301"/>
        <v>9354216.6144000012</v>
      </c>
      <c r="M806">
        <f t="shared" si="302"/>
        <v>-215487009.66060004</v>
      </c>
      <c r="N806">
        <f t="shared" si="303"/>
        <v>-373849359.65039992</v>
      </c>
      <c r="O806">
        <f t="shared" si="304"/>
        <v>-416969873.40060002</v>
      </c>
      <c r="P806">
        <f t="shared" si="305"/>
        <v>-502948041.66159999</v>
      </c>
      <c r="Q806">
        <f t="shared" si="306"/>
        <v>-520274198.96680003</v>
      </c>
      <c r="S806">
        <f t="shared" si="307"/>
        <v>10231174.422</v>
      </c>
      <c r="T806">
        <f t="shared" si="308"/>
        <v>-242090344.18660003</v>
      </c>
      <c r="U806">
        <f t="shared" si="309"/>
        <v>-409067052.9508</v>
      </c>
      <c r="V806">
        <f t="shared" si="310"/>
        <v>-437409573.07709998</v>
      </c>
      <c r="W806">
        <f t="shared" si="311"/>
        <v>-584950439.75859988</v>
      </c>
      <c r="X806">
        <f t="shared" si="312"/>
        <v>-595577043.55410004</v>
      </c>
      <c r="Z806">
        <f t="shared" ref="Z806:Z807" si="322">D806*(310+0.8+60)</f>
        <v>1806.5330836560001</v>
      </c>
      <c r="AA806">
        <f t="shared" si="313"/>
        <v>-268693678.71260005</v>
      </c>
      <c r="AB806">
        <f t="shared" si="314"/>
        <v>-444284746.25120002</v>
      </c>
      <c r="AC806">
        <f t="shared" si="315"/>
        <v>-555959831.20079994</v>
      </c>
      <c r="AD806">
        <f t="shared" si="316"/>
        <v>-666952837.8556</v>
      </c>
      <c r="AE806">
        <f t="shared" si="317"/>
        <v>-670879888.1414001</v>
      </c>
    </row>
    <row r="807" spans="1:31" x14ac:dyDescent="0.25">
      <c r="A807">
        <v>42.832395820000002</v>
      </c>
      <c r="B807">
        <v>123.0838121</v>
      </c>
      <c r="C807">
        <v>0.39520844999999999</v>
      </c>
      <c r="D807">
        <v>2.4410000000000001E-2</v>
      </c>
      <c r="E807" t="b">
        <f t="shared" si="295"/>
        <v>0</v>
      </c>
      <c r="F807">
        <f t="shared" si="296"/>
        <v>-1.9516322499999998</v>
      </c>
      <c r="G807">
        <f t="shared" si="297"/>
        <v>-3.9276744999999997</v>
      </c>
      <c r="H807">
        <f t="shared" si="298"/>
        <v>-5.9037167500000001</v>
      </c>
      <c r="I807">
        <f t="shared" si="299"/>
        <v>-7.879759</v>
      </c>
      <c r="J807">
        <f t="shared" si="300"/>
        <v>-9.8558012500000007</v>
      </c>
      <c r="L807">
        <f t="shared" si="301"/>
        <v>46867.200000000004</v>
      </c>
      <c r="M807">
        <f t="shared" si="302"/>
        <v>-3161644.2449999996</v>
      </c>
      <c r="N807">
        <f t="shared" si="303"/>
        <v>-5420190.8099999987</v>
      </c>
      <c r="O807">
        <f t="shared" si="304"/>
        <v>-6021791.085</v>
      </c>
      <c r="P807">
        <f t="shared" si="305"/>
        <v>-7249378.2799999993</v>
      </c>
      <c r="Q807">
        <f t="shared" si="306"/>
        <v>-7490408.9500000002</v>
      </c>
      <c r="S807">
        <f t="shared" si="307"/>
        <v>51261</v>
      </c>
      <c r="T807">
        <f t="shared" si="308"/>
        <v>-3551970.6949999998</v>
      </c>
      <c r="U807">
        <f t="shared" si="309"/>
        <v>-5930788.4949999992</v>
      </c>
      <c r="V807">
        <f t="shared" si="310"/>
        <v>-6316976.9224999994</v>
      </c>
      <c r="W807">
        <f t="shared" si="311"/>
        <v>-8431342.129999999</v>
      </c>
      <c r="X807">
        <f t="shared" si="312"/>
        <v>-8574547.0875000004</v>
      </c>
      <c r="Z807">
        <f t="shared" si="322"/>
        <v>9.0512280000000001</v>
      </c>
      <c r="AA807">
        <f t="shared" si="313"/>
        <v>-3942297.1449999996</v>
      </c>
      <c r="AB807">
        <f t="shared" si="314"/>
        <v>-6441386.1799999997</v>
      </c>
      <c r="AC807">
        <f t="shared" si="315"/>
        <v>-8029054.7799999993</v>
      </c>
      <c r="AD807">
        <f t="shared" si="316"/>
        <v>-9613305.9800000004</v>
      </c>
      <c r="AE807">
        <f t="shared" si="317"/>
        <v>-9658685.2249999996</v>
      </c>
    </row>
    <row r="808" spans="1:31" x14ac:dyDescent="0.25">
      <c r="A808">
        <v>42.859225459999998</v>
      </c>
      <c r="B808">
        <v>120.58082020000001</v>
      </c>
      <c r="C808">
        <v>0</v>
      </c>
      <c r="D808">
        <v>2.0375180199999998</v>
      </c>
      <c r="E808" t="b">
        <f t="shared" si="295"/>
        <v>1</v>
      </c>
      <c r="F808">
        <f t="shared" si="296"/>
        <v>2.0375180199999998</v>
      </c>
      <c r="G808">
        <f t="shared" si="297"/>
        <v>2.0375180199999998</v>
      </c>
      <c r="H808">
        <f t="shared" si="298"/>
        <v>2.0375180199999998</v>
      </c>
      <c r="I808">
        <f t="shared" si="299"/>
        <v>2.0375180199999998</v>
      </c>
      <c r="J808">
        <f t="shared" si="300"/>
        <v>2.0375180199999998</v>
      </c>
      <c r="L808">
        <f t="shared" si="301"/>
        <v>0</v>
      </c>
      <c r="M808">
        <f t="shared" si="302"/>
        <v>0</v>
      </c>
      <c r="N808">
        <f t="shared" si="303"/>
        <v>0</v>
      </c>
      <c r="O808">
        <f t="shared" si="304"/>
        <v>0</v>
      </c>
      <c r="P808">
        <f t="shared" si="305"/>
        <v>0</v>
      </c>
      <c r="Q808">
        <f t="shared" si="306"/>
        <v>0</v>
      </c>
      <c r="S808">
        <f t="shared" si="307"/>
        <v>0</v>
      </c>
      <c r="T808">
        <f t="shared" si="308"/>
        <v>0</v>
      </c>
      <c r="U808">
        <f t="shared" si="309"/>
        <v>0</v>
      </c>
      <c r="V808">
        <f t="shared" si="310"/>
        <v>0</v>
      </c>
      <c r="W808">
        <f t="shared" si="311"/>
        <v>0</v>
      </c>
      <c r="X808">
        <f t="shared" si="312"/>
        <v>0</v>
      </c>
      <c r="Z808">
        <f>C808*(310+0.8+60)</f>
        <v>0</v>
      </c>
      <c r="AA808">
        <f t="shared" si="313"/>
        <v>0</v>
      </c>
      <c r="AB808">
        <f t="shared" si="314"/>
        <v>0</v>
      </c>
      <c r="AC808">
        <f t="shared" si="315"/>
        <v>0</v>
      </c>
      <c r="AD808">
        <f t="shared" si="316"/>
        <v>0</v>
      </c>
      <c r="AE808">
        <f t="shared" si="317"/>
        <v>0</v>
      </c>
    </row>
    <row r="809" spans="1:31" x14ac:dyDescent="0.25">
      <c r="A809">
        <v>42.871939150000003</v>
      </c>
      <c r="B809">
        <v>88.865057750000005</v>
      </c>
      <c r="C809">
        <v>6.7394113500000001</v>
      </c>
      <c r="D809">
        <v>1.8903549900000001</v>
      </c>
      <c r="E809" t="b">
        <f t="shared" si="295"/>
        <v>0</v>
      </c>
      <c r="F809">
        <f t="shared" si="296"/>
        <v>-31.806701760000003</v>
      </c>
      <c r="G809">
        <f t="shared" si="297"/>
        <v>-65.503758509999997</v>
      </c>
      <c r="H809">
        <f t="shared" si="298"/>
        <v>-99.200815259999999</v>
      </c>
      <c r="I809">
        <f t="shared" si="299"/>
        <v>-132.89787201000001</v>
      </c>
      <c r="J809">
        <f t="shared" si="300"/>
        <v>-166.59492876000002</v>
      </c>
      <c r="L809">
        <f t="shared" si="301"/>
        <v>3629481.5808000001</v>
      </c>
      <c r="M809">
        <f t="shared" si="302"/>
        <v>-51526856.851200007</v>
      </c>
      <c r="N809">
        <f t="shared" si="303"/>
        <v>-90395186.743799984</v>
      </c>
      <c r="O809">
        <f t="shared" si="304"/>
        <v>-101184831.5652</v>
      </c>
      <c r="P809">
        <f t="shared" si="305"/>
        <v>-122266042.24920002</v>
      </c>
      <c r="Q809">
        <f t="shared" si="306"/>
        <v>-126612145.85760002</v>
      </c>
      <c r="S809">
        <f t="shared" si="307"/>
        <v>3969745.4790000003</v>
      </c>
      <c r="T809">
        <f t="shared" si="308"/>
        <v>-57888197.203200005</v>
      </c>
      <c r="U809">
        <f t="shared" si="309"/>
        <v>-98910675.350099996</v>
      </c>
      <c r="V809">
        <f t="shared" si="310"/>
        <v>-106144872.32819998</v>
      </c>
      <c r="W809">
        <f t="shared" si="311"/>
        <v>-142200723.05070001</v>
      </c>
      <c r="X809">
        <f t="shared" si="312"/>
        <v>-144937588.02120003</v>
      </c>
      <c r="Z809">
        <f>D809*(310+0.8+60)</f>
        <v>700.94363029200008</v>
      </c>
      <c r="AA809">
        <f t="shared" si="313"/>
        <v>-64249537.555200003</v>
      </c>
      <c r="AB809">
        <f t="shared" si="314"/>
        <v>-107426163.95640001</v>
      </c>
      <c r="AC809">
        <f t="shared" si="315"/>
        <v>-134913108.7536</v>
      </c>
      <c r="AD809">
        <f t="shared" si="316"/>
        <v>-162135403.85220003</v>
      </c>
      <c r="AE809">
        <f t="shared" si="317"/>
        <v>-163263030.18480003</v>
      </c>
    </row>
    <row r="810" spans="1:31" x14ac:dyDescent="0.25">
      <c r="A810">
        <v>42.88433689</v>
      </c>
      <c r="B810">
        <v>90.055912789999994</v>
      </c>
      <c r="C810">
        <v>27.577732090000001</v>
      </c>
      <c r="D810">
        <v>11.573603629999999</v>
      </c>
      <c r="E810" t="b">
        <f t="shared" si="295"/>
        <v>0</v>
      </c>
      <c r="F810">
        <f t="shared" si="296"/>
        <v>-126.31505682000001</v>
      </c>
      <c r="G810">
        <f t="shared" si="297"/>
        <v>-264.20371727000003</v>
      </c>
      <c r="H810">
        <f t="shared" si="298"/>
        <v>-402.09237772000006</v>
      </c>
      <c r="I810">
        <f t="shared" si="299"/>
        <v>-539.98103817000003</v>
      </c>
      <c r="J810">
        <f t="shared" si="300"/>
        <v>-677.86969862000001</v>
      </c>
      <c r="L810">
        <f t="shared" si="301"/>
        <v>22221318.969599999</v>
      </c>
      <c r="M810">
        <f t="shared" si="302"/>
        <v>-204630392.04840001</v>
      </c>
      <c r="N810">
        <f t="shared" si="303"/>
        <v>-364601129.83260006</v>
      </c>
      <c r="O810">
        <f t="shared" si="304"/>
        <v>-410134225.27440012</v>
      </c>
      <c r="P810">
        <f t="shared" si="305"/>
        <v>-496782555.1164</v>
      </c>
      <c r="Q810">
        <f t="shared" si="306"/>
        <v>-515180970.95120001</v>
      </c>
      <c r="S810">
        <f t="shared" si="307"/>
        <v>24304567.623</v>
      </c>
      <c r="T810">
        <f t="shared" si="308"/>
        <v>-229893403.41240001</v>
      </c>
      <c r="U810">
        <f t="shared" si="309"/>
        <v>-398947613.07770008</v>
      </c>
      <c r="V810">
        <f t="shared" si="310"/>
        <v>-430238844.16040003</v>
      </c>
      <c r="W810">
        <f t="shared" si="311"/>
        <v>-577779710.84189999</v>
      </c>
      <c r="X810">
        <f t="shared" si="312"/>
        <v>-589746637.79939997</v>
      </c>
      <c r="Z810">
        <f t="shared" ref="Z810:Z813" si="323">D810*(310+0.8+60)</f>
        <v>4291.4922260040003</v>
      </c>
      <c r="AA810">
        <f t="shared" si="313"/>
        <v>-255156414.77640003</v>
      </c>
      <c r="AB810">
        <f t="shared" si="314"/>
        <v>-433294096.3228001</v>
      </c>
      <c r="AC810">
        <f t="shared" si="315"/>
        <v>-546845633.69920003</v>
      </c>
      <c r="AD810">
        <f t="shared" si="316"/>
        <v>-658776866.5674001</v>
      </c>
      <c r="AE810">
        <f t="shared" si="317"/>
        <v>-664312304.64759994</v>
      </c>
    </row>
    <row r="811" spans="1:31" x14ac:dyDescent="0.25">
      <c r="A811">
        <v>42.90672893</v>
      </c>
      <c r="B811">
        <v>89.862453709999997</v>
      </c>
      <c r="C811">
        <v>27.577732090000001</v>
      </c>
      <c r="D811">
        <v>1.07205105</v>
      </c>
      <c r="E811" t="b">
        <f t="shared" si="295"/>
        <v>0</v>
      </c>
      <c r="F811">
        <f t="shared" si="296"/>
        <v>-136.8166094</v>
      </c>
      <c r="G811">
        <f t="shared" si="297"/>
        <v>-274.70526984999998</v>
      </c>
      <c r="H811">
        <f t="shared" si="298"/>
        <v>-412.59393030000001</v>
      </c>
      <c r="I811">
        <f t="shared" si="299"/>
        <v>-550.48259074999999</v>
      </c>
      <c r="J811">
        <f t="shared" si="300"/>
        <v>-688.37125119999996</v>
      </c>
      <c r="L811">
        <f t="shared" si="301"/>
        <v>2058338.0160000003</v>
      </c>
      <c r="M811">
        <f t="shared" si="302"/>
        <v>-221642907.22800002</v>
      </c>
      <c r="N811">
        <f t="shared" si="303"/>
        <v>-379093272.39299995</v>
      </c>
      <c r="O811">
        <f t="shared" si="304"/>
        <v>-420845808.90600002</v>
      </c>
      <c r="P811">
        <f t="shared" si="305"/>
        <v>-506443983.48999995</v>
      </c>
      <c r="Q811">
        <f t="shared" si="306"/>
        <v>-523162150.91199994</v>
      </c>
      <c r="S811">
        <f t="shared" si="307"/>
        <v>2251307.2050000001</v>
      </c>
      <c r="T811">
        <f t="shared" si="308"/>
        <v>-249006229.10800001</v>
      </c>
      <c r="U811">
        <f t="shared" si="309"/>
        <v>-414804957.47349995</v>
      </c>
      <c r="V811">
        <f t="shared" si="310"/>
        <v>-441475505.42099994</v>
      </c>
      <c r="W811">
        <f t="shared" si="311"/>
        <v>-589016372.10249996</v>
      </c>
      <c r="X811">
        <f t="shared" si="312"/>
        <v>-598882988.54399991</v>
      </c>
      <c r="Z811">
        <f t="shared" si="323"/>
        <v>397.51652934000003</v>
      </c>
      <c r="AA811">
        <f t="shared" si="313"/>
        <v>-276369550.98800004</v>
      </c>
      <c r="AB811">
        <f t="shared" si="314"/>
        <v>-450516642.55399996</v>
      </c>
      <c r="AC811">
        <f t="shared" si="315"/>
        <v>-561127745.20799994</v>
      </c>
      <c r="AD811">
        <f t="shared" si="316"/>
        <v>-671588760.71500003</v>
      </c>
      <c r="AE811">
        <f t="shared" si="317"/>
        <v>-674603826.17599988</v>
      </c>
    </row>
    <row r="812" spans="1:31" x14ac:dyDescent="0.25">
      <c r="A812">
        <v>42.921181009999998</v>
      </c>
      <c r="B812">
        <v>89.60779934</v>
      </c>
      <c r="C812">
        <v>9.2198610300000006</v>
      </c>
      <c r="D812">
        <v>5.3032989500000003</v>
      </c>
      <c r="E812" t="b">
        <f t="shared" si="295"/>
        <v>0</v>
      </c>
      <c r="F812">
        <f t="shared" si="296"/>
        <v>-40.796006200000008</v>
      </c>
      <c r="G812">
        <f t="shared" si="297"/>
        <v>-86.895311350000014</v>
      </c>
      <c r="H812">
        <f t="shared" si="298"/>
        <v>-132.99461650000001</v>
      </c>
      <c r="I812">
        <f t="shared" si="299"/>
        <v>-179.09392165000003</v>
      </c>
      <c r="J812">
        <f t="shared" si="300"/>
        <v>-225.19322680000002</v>
      </c>
      <c r="L812">
        <f t="shared" si="301"/>
        <v>10182333.984000001</v>
      </c>
      <c r="M812">
        <f t="shared" si="302"/>
        <v>-66089530.044000022</v>
      </c>
      <c r="N812">
        <f t="shared" si="303"/>
        <v>-119915529.663</v>
      </c>
      <c r="O812">
        <f t="shared" si="304"/>
        <v>-135654508.83000001</v>
      </c>
      <c r="P812">
        <f t="shared" si="305"/>
        <v>-164766407.91800001</v>
      </c>
      <c r="Q812">
        <f t="shared" si="306"/>
        <v>-171146852.368</v>
      </c>
      <c r="S812">
        <f t="shared" si="307"/>
        <v>11136927.795000002</v>
      </c>
      <c r="T812">
        <f t="shared" si="308"/>
        <v>-74248731.284000024</v>
      </c>
      <c r="U812">
        <f t="shared" si="309"/>
        <v>-131211920.13850002</v>
      </c>
      <c r="V812">
        <f t="shared" si="310"/>
        <v>-142304239.65499997</v>
      </c>
      <c r="W812">
        <f t="shared" si="311"/>
        <v>-191630496.16550002</v>
      </c>
      <c r="X812">
        <f t="shared" si="312"/>
        <v>-195918107.31600001</v>
      </c>
      <c r="Z812">
        <f t="shared" si="323"/>
        <v>1966.4632506600001</v>
      </c>
      <c r="AA812">
        <f t="shared" si="313"/>
        <v>-82407932.524000019</v>
      </c>
      <c r="AB812">
        <f t="shared" si="314"/>
        <v>-142508310.61400002</v>
      </c>
      <c r="AC812">
        <f t="shared" si="315"/>
        <v>-180872678.44</v>
      </c>
      <c r="AD812">
        <f t="shared" si="316"/>
        <v>-218494584.41300005</v>
      </c>
      <c r="AE812">
        <f t="shared" si="317"/>
        <v>-220689362.264</v>
      </c>
    </row>
    <row r="813" spans="1:31" x14ac:dyDescent="0.25">
      <c r="A813">
        <v>42.927339600000003</v>
      </c>
      <c r="B813">
        <v>89.291997890000005</v>
      </c>
      <c r="C813">
        <v>9.2198610300000006</v>
      </c>
      <c r="D813">
        <v>4.2390470499999999</v>
      </c>
      <c r="E813" t="b">
        <f t="shared" si="295"/>
        <v>0</v>
      </c>
      <c r="F813">
        <f t="shared" si="296"/>
        <v>-41.86025810000001</v>
      </c>
      <c r="G813">
        <f t="shared" si="297"/>
        <v>-87.959563250000016</v>
      </c>
      <c r="H813">
        <f t="shared" si="298"/>
        <v>-134.05886839999999</v>
      </c>
      <c r="I813">
        <f t="shared" si="299"/>
        <v>-180.15817355000001</v>
      </c>
      <c r="J813">
        <f t="shared" si="300"/>
        <v>-226.25747870000001</v>
      </c>
      <c r="L813">
        <f t="shared" si="301"/>
        <v>8138970.3360000001</v>
      </c>
      <c r="M813">
        <f t="shared" si="302"/>
        <v>-67813618.122000024</v>
      </c>
      <c r="N813">
        <f t="shared" si="303"/>
        <v>-121384197.28500001</v>
      </c>
      <c r="O813">
        <f t="shared" si="304"/>
        <v>-136740045.76800001</v>
      </c>
      <c r="P813">
        <f t="shared" si="305"/>
        <v>-165745519.66600001</v>
      </c>
      <c r="Q813">
        <f t="shared" si="306"/>
        <v>-171955683.81200001</v>
      </c>
      <c r="S813">
        <f t="shared" si="307"/>
        <v>8901998.8049999997</v>
      </c>
      <c r="T813">
        <f t="shared" si="308"/>
        <v>-76185669.742000014</v>
      </c>
      <c r="U813">
        <f t="shared" si="309"/>
        <v>-132818940.50750002</v>
      </c>
      <c r="V813">
        <f t="shared" si="310"/>
        <v>-143442989.18799996</v>
      </c>
      <c r="W813">
        <f t="shared" si="311"/>
        <v>-192769245.69849998</v>
      </c>
      <c r="X813">
        <f t="shared" si="312"/>
        <v>-196844006.46900001</v>
      </c>
      <c r="Z813">
        <f t="shared" si="323"/>
        <v>1571.83864614</v>
      </c>
      <c r="AA813">
        <f t="shared" si="313"/>
        <v>-84557721.362000018</v>
      </c>
      <c r="AB813">
        <f t="shared" si="314"/>
        <v>-144253683.73000005</v>
      </c>
      <c r="AC813">
        <f t="shared" si="315"/>
        <v>-182320061.02399996</v>
      </c>
      <c r="AD813">
        <f t="shared" si="316"/>
        <v>-219792971.73100001</v>
      </c>
      <c r="AE813">
        <f t="shared" si="317"/>
        <v>-221732329.12600002</v>
      </c>
    </row>
    <row r="814" spans="1:31" x14ac:dyDescent="0.25">
      <c r="A814">
        <v>42.93274134</v>
      </c>
      <c r="B814">
        <v>88.976145160000002</v>
      </c>
      <c r="C814">
        <v>6.7394113500000001</v>
      </c>
      <c r="D814">
        <v>8.2791271200000001</v>
      </c>
      <c r="E814" t="b">
        <f t="shared" si="295"/>
        <v>1</v>
      </c>
      <c r="F814">
        <f t="shared" si="296"/>
        <v>-25.417929630000003</v>
      </c>
      <c r="G814">
        <f t="shared" si="297"/>
        <v>-59.114986380000005</v>
      </c>
      <c r="H814">
        <f t="shared" si="298"/>
        <v>-92.812043130000006</v>
      </c>
      <c r="I814">
        <f t="shared" si="299"/>
        <v>-126.50909988000001</v>
      </c>
      <c r="J814">
        <f t="shared" si="300"/>
        <v>-160.20615663000001</v>
      </c>
      <c r="L814">
        <f t="shared" si="301"/>
        <v>12939669.792000001</v>
      </c>
      <c r="M814">
        <f t="shared" si="302"/>
        <v>-41177046.00060001</v>
      </c>
      <c r="N814">
        <f t="shared" si="303"/>
        <v>-81578681.204400003</v>
      </c>
      <c r="O814">
        <f t="shared" si="304"/>
        <v>-94668283.992600009</v>
      </c>
      <c r="P814">
        <f t="shared" si="305"/>
        <v>-116388371.88959999</v>
      </c>
      <c r="Q814">
        <f t="shared" si="306"/>
        <v>-121756679.0388</v>
      </c>
      <c r="S814">
        <f t="shared" si="307"/>
        <v>14152763.835000001</v>
      </c>
      <c r="T814">
        <f t="shared" si="308"/>
        <v>-46260631.926600009</v>
      </c>
      <c r="U814">
        <f t="shared" si="309"/>
        <v>-89263629.433800012</v>
      </c>
      <c r="V814">
        <f t="shared" si="310"/>
        <v>-99308886.149099991</v>
      </c>
      <c r="W814">
        <f t="shared" si="311"/>
        <v>-135364736.8716</v>
      </c>
      <c r="X814">
        <f t="shared" si="312"/>
        <v>-139379356.26809999</v>
      </c>
      <c r="Z814">
        <f>C814*(310+0.8+60)</f>
        <v>2498.9737285800002</v>
      </c>
      <c r="AA814">
        <f t="shared" si="313"/>
        <v>-51344217.852600008</v>
      </c>
      <c r="AB814">
        <f t="shared" si="314"/>
        <v>-96948577.663200006</v>
      </c>
      <c r="AC814">
        <f t="shared" si="315"/>
        <v>-126224378.6568</v>
      </c>
      <c r="AD814">
        <f t="shared" si="316"/>
        <v>-154341101.8536</v>
      </c>
      <c r="AE814">
        <f t="shared" si="317"/>
        <v>-157002033.49739999</v>
      </c>
    </row>
    <row r="815" spans="1:31" x14ac:dyDescent="0.25">
      <c r="A815">
        <v>42.964358670000003</v>
      </c>
      <c r="B815">
        <v>89.220287260000006</v>
      </c>
      <c r="C815">
        <v>9.2198610300000006</v>
      </c>
      <c r="D815">
        <v>4.90819502</v>
      </c>
      <c r="E815" t="b">
        <f t="shared" si="295"/>
        <v>0</v>
      </c>
      <c r="F815">
        <f t="shared" si="296"/>
        <v>-41.191110130000006</v>
      </c>
      <c r="G815">
        <f t="shared" si="297"/>
        <v>-87.290415280000019</v>
      </c>
      <c r="H815">
        <f t="shared" si="298"/>
        <v>-133.38972043000001</v>
      </c>
      <c r="I815">
        <f t="shared" si="299"/>
        <v>-179.48902558000003</v>
      </c>
      <c r="J815">
        <f t="shared" si="300"/>
        <v>-225.58833073000002</v>
      </c>
      <c r="L815">
        <f t="shared" si="301"/>
        <v>9423734.4384000003</v>
      </c>
      <c r="M815">
        <f t="shared" si="302"/>
        <v>-66729598.410600007</v>
      </c>
      <c r="N815">
        <f t="shared" si="303"/>
        <v>-120460773.08640002</v>
      </c>
      <c r="O815">
        <f t="shared" si="304"/>
        <v>-136057514.83860001</v>
      </c>
      <c r="P815">
        <f t="shared" si="305"/>
        <v>-165129903.53360003</v>
      </c>
      <c r="Q815">
        <f t="shared" si="306"/>
        <v>-171447131.35480002</v>
      </c>
      <c r="S815">
        <f t="shared" si="307"/>
        <v>10307209.541999999</v>
      </c>
      <c r="T815">
        <f t="shared" si="308"/>
        <v>-74967820.436600015</v>
      </c>
      <c r="U815">
        <f t="shared" si="309"/>
        <v>-131808527.07280003</v>
      </c>
      <c r="V815">
        <f t="shared" si="310"/>
        <v>-142727000.8601</v>
      </c>
      <c r="W815">
        <f t="shared" si="311"/>
        <v>-192053257.37060001</v>
      </c>
      <c r="X815">
        <f t="shared" si="312"/>
        <v>-196261847.7351</v>
      </c>
      <c r="Z815">
        <f>D815*(310+0.8+60)</f>
        <v>1819.9587134160001</v>
      </c>
      <c r="AA815">
        <f t="shared" si="313"/>
        <v>-83206042.462600008</v>
      </c>
      <c r="AB815">
        <f t="shared" si="314"/>
        <v>-143156281.05920005</v>
      </c>
      <c r="AC815">
        <f t="shared" si="315"/>
        <v>-181410019.78479999</v>
      </c>
      <c r="AD815">
        <f t="shared" si="316"/>
        <v>-218976611.20760006</v>
      </c>
      <c r="AE815">
        <f t="shared" si="317"/>
        <v>-221076564.11540002</v>
      </c>
    </row>
    <row r="816" spans="1:31" x14ac:dyDescent="0.25">
      <c r="A816">
        <v>43.003240959999999</v>
      </c>
      <c r="B816">
        <v>89.525767689999995</v>
      </c>
      <c r="C816">
        <v>9.2198610300000006</v>
      </c>
      <c r="D816">
        <v>0.70706301999999999</v>
      </c>
      <c r="E816" t="b">
        <f t="shared" si="295"/>
        <v>0</v>
      </c>
      <c r="F816">
        <f t="shared" si="296"/>
        <v>-45.392242130000007</v>
      </c>
      <c r="G816">
        <f t="shared" si="297"/>
        <v>-91.491547280000006</v>
      </c>
      <c r="H816">
        <f t="shared" si="298"/>
        <v>-137.59085243000001</v>
      </c>
      <c r="I816">
        <f t="shared" si="299"/>
        <v>-183.69015758000003</v>
      </c>
      <c r="J816">
        <f t="shared" si="300"/>
        <v>-229.78946273000003</v>
      </c>
      <c r="L816">
        <f t="shared" si="301"/>
        <v>1357560.9984000002</v>
      </c>
      <c r="M816">
        <f t="shared" si="302"/>
        <v>-73535432.250600025</v>
      </c>
      <c r="N816">
        <f t="shared" si="303"/>
        <v>-126258335.2464</v>
      </c>
      <c r="O816">
        <f t="shared" si="304"/>
        <v>-140342669.4786</v>
      </c>
      <c r="P816">
        <f t="shared" si="305"/>
        <v>-168994944.97360003</v>
      </c>
      <c r="Q816">
        <f t="shared" si="306"/>
        <v>-174639991.67480001</v>
      </c>
      <c r="S816">
        <f t="shared" si="307"/>
        <v>1484832.3420000002</v>
      </c>
      <c r="T816">
        <f t="shared" si="308"/>
        <v>-82613880.676600024</v>
      </c>
      <c r="U816">
        <f t="shared" si="309"/>
        <v>-138152236.3928</v>
      </c>
      <c r="V816">
        <f t="shared" si="310"/>
        <v>-147222212.10009998</v>
      </c>
      <c r="W816">
        <f t="shared" si="311"/>
        <v>-196548468.61060002</v>
      </c>
      <c r="X816">
        <f t="shared" si="312"/>
        <v>-199916832.5751</v>
      </c>
      <c r="Z816">
        <f t="shared" ref="Z816:Z820" si="324">D816*(310+0.8+60)</f>
        <v>262.17896781600001</v>
      </c>
      <c r="AA816">
        <f t="shared" si="313"/>
        <v>-91692329.102600023</v>
      </c>
      <c r="AB816">
        <f t="shared" si="314"/>
        <v>-150046137.53920001</v>
      </c>
      <c r="AC816">
        <f t="shared" si="315"/>
        <v>-187123559.3048</v>
      </c>
      <c r="AD816">
        <f t="shared" si="316"/>
        <v>-224101992.24760005</v>
      </c>
      <c r="AE816">
        <f t="shared" si="317"/>
        <v>-225193673.4754</v>
      </c>
    </row>
    <row r="817" spans="1:31" x14ac:dyDescent="0.25">
      <c r="A817">
        <v>43.024847870000002</v>
      </c>
      <c r="B817">
        <v>89.331821950000005</v>
      </c>
      <c r="C817">
        <v>9.2198610300000006</v>
      </c>
      <c r="D817">
        <v>3.8397440899999999</v>
      </c>
      <c r="E817" t="b">
        <f t="shared" si="295"/>
        <v>0</v>
      </c>
      <c r="F817">
        <f t="shared" si="296"/>
        <v>-42.25956106000001</v>
      </c>
      <c r="G817">
        <f t="shared" si="297"/>
        <v>-88.358866210000016</v>
      </c>
      <c r="H817">
        <f t="shared" si="298"/>
        <v>-134.45817135999999</v>
      </c>
      <c r="I817">
        <f t="shared" si="299"/>
        <v>-180.55747651000001</v>
      </c>
      <c r="J817">
        <f t="shared" si="300"/>
        <v>-226.65678166000001</v>
      </c>
      <c r="L817">
        <f t="shared" si="301"/>
        <v>7372308.6528000003</v>
      </c>
      <c r="M817">
        <f t="shared" si="302"/>
        <v>-68460488.917200014</v>
      </c>
      <c r="N817">
        <f t="shared" si="303"/>
        <v>-121935235.36980002</v>
      </c>
      <c r="O817">
        <f t="shared" si="304"/>
        <v>-137147334.78719997</v>
      </c>
      <c r="P817">
        <f t="shared" si="305"/>
        <v>-166112878.3892</v>
      </c>
      <c r="Q817">
        <f t="shared" si="306"/>
        <v>-172259154.0616</v>
      </c>
      <c r="S817">
        <f t="shared" si="307"/>
        <v>8063462.5889999997</v>
      </c>
      <c r="T817">
        <f t="shared" si="308"/>
        <v>-76912401.129200026</v>
      </c>
      <c r="U817">
        <f t="shared" si="309"/>
        <v>-133421887.97710003</v>
      </c>
      <c r="V817">
        <f t="shared" si="310"/>
        <v>-143870243.35519996</v>
      </c>
      <c r="W817">
        <f t="shared" si="311"/>
        <v>-193196499.86570001</v>
      </c>
      <c r="X817">
        <f t="shared" si="312"/>
        <v>-197191400.0442</v>
      </c>
      <c r="Z817">
        <f t="shared" si="324"/>
        <v>1423.7771085720001</v>
      </c>
      <c r="AA817">
        <f t="shared" si="313"/>
        <v>-85364313.341200024</v>
      </c>
      <c r="AB817">
        <f t="shared" si="314"/>
        <v>-144908540.58440006</v>
      </c>
      <c r="AC817">
        <f t="shared" si="315"/>
        <v>-182863113.04959998</v>
      </c>
      <c r="AD817">
        <f t="shared" si="316"/>
        <v>-220280121.34220001</v>
      </c>
      <c r="AE817">
        <f t="shared" si="317"/>
        <v>-222123646.02680001</v>
      </c>
    </row>
    <row r="818" spans="1:31" x14ac:dyDescent="0.25">
      <c r="A818">
        <v>43.041411920000002</v>
      </c>
      <c r="B818">
        <v>89.831579399999995</v>
      </c>
      <c r="C818">
        <v>27.577732090000001</v>
      </c>
      <c r="D818">
        <v>1.2335959700000001</v>
      </c>
      <c r="E818" t="b">
        <f t="shared" si="295"/>
        <v>0</v>
      </c>
      <c r="F818">
        <f t="shared" si="296"/>
        <v>-136.65506447999999</v>
      </c>
      <c r="G818">
        <f t="shared" si="297"/>
        <v>-274.54372493</v>
      </c>
      <c r="H818">
        <f t="shared" si="298"/>
        <v>-412.43238538000003</v>
      </c>
      <c r="I818">
        <f t="shared" si="299"/>
        <v>-550.32104583</v>
      </c>
      <c r="J818">
        <f t="shared" si="300"/>
        <v>-688.20970627999998</v>
      </c>
      <c r="L818">
        <f t="shared" si="301"/>
        <v>2368504.2624000004</v>
      </c>
      <c r="M818">
        <f t="shared" si="302"/>
        <v>-221381204.4576</v>
      </c>
      <c r="N818">
        <f t="shared" si="303"/>
        <v>-378870340.4034</v>
      </c>
      <c r="O818">
        <f t="shared" si="304"/>
        <v>-420681033.08760005</v>
      </c>
      <c r="P818">
        <f t="shared" si="305"/>
        <v>-506295362.16360003</v>
      </c>
      <c r="Q818">
        <f t="shared" si="306"/>
        <v>-523039376.77279997</v>
      </c>
      <c r="S818">
        <f t="shared" si="307"/>
        <v>2590551.5370000005</v>
      </c>
      <c r="T818">
        <f t="shared" si="308"/>
        <v>-248712217.3536</v>
      </c>
      <c r="U818">
        <f t="shared" si="309"/>
        <v>-414561024.64429998</v>
      </c>
      <c r="V818">
        <f t="shared" si="310"/>
        <v>-441302652.35659999</v>
      </c>
      <c r="W818">
        <f t="shared" si="311"/>
        <v>-588843519.0381</v>
      </c>
      <c r="X818">
        <f t="shared" si="312"/>
        <v>-598742444.46359992</v>
      </c>
      <c r="Z818">
        <f t="shared" si="324"/>
        <v>457.41738567600004</v>
      </c>
      <c r="AA818">
        <f t="shared" si="313"/>
        <v>-276043230.24959999</v>
      </c>
      <c r="AB818">
        <f t="shared" si="314"/>
        <v>-450251708.88520002</v>
      </c>
      <c r="AC818">
        <f t="shared" si="315"/>
        <v>-560908044.11680007</v>
      </c>
      <c r="AD818">
        <f t="shared" si="316"/>
        <v>-671391675.91260004</v>
      </c>
      <c r="AE818">
        <f t="shared" si="317"/>
        <v>-674445512.15439999</v>
      </c>
    </row>
    <row r="819" spans="1:31" x14ac:dyDescent="0.25">
      <c r="A819">
        <v>43.047436189999999</v>
      </c>
      <c r="B819">
        <v>90.647816449999993</v>
      </c>
      <c r="C819">
        <v>27.577732090000001</v>
      </c>
      <c r="D819">
        <v>24.61328125</v>
      </c>
      <c r="E819" t="b">
        <f t="shared" si="295"/>
        <v>0</v>
      </c>
      <c r="F819">
        <f t="shared" si="296"/>
        <v>-113.2753792</v>
      </c>
      <c r="G819">
        <f t="shared" si="297"/>
        <v>-251.16403965000001</v>
      </c>
      <c r="H819">
        <f t="shared" si="298"/>
        <v>-389.05270010000004</v>
      </c>
      <c r="I819">
        <f t="shared" si="299"/>
        <v>-526.94136055000001</v>
      </c>
      <c r="J819">
        <f t="shared" si="300"/>
        <v>-664.83002099999999</v>
      </c>
      <c r="L819">
        <f t="shared" si="301"/>
        <v>47257500</v>
      </c>
      <c r="M819">
        <f t="shared" si="302"/>
        <v>-183506114.30400002</v>
      </c>
      <c r="N819">
        <f t="shared" si="303"/>
        <v>-346606374.71700001</v>
      </c>
      <c r="O819">
        <f t="shared" si="304"/>
        <v>-396833754.10200006</v>
      </c>
      <c r="P819">
        <f t="shared" si="305"/>
        <v>-484786051.70599997</v>
      </c>
      <c r="Q819">
        <f t="shared" si="306"/>
        <v>-505270815.95999998</v>
      </c>
      <c r="S819">
        <f t="shared" si="307"/>
        <v>51687890.625</v>
      </c>
      <c r="T819">
        <f t="shared" si="308"/>
        <v>-206161190.14400002</v>
      </c>
      <c r="U819">
        <f t="shared" si="309"/>
        <v>-379257699.87150002</v>
      </c>
      <c r="V819">
        <f t="shared" si="310"/>
        <v>-416286389.10699993</v>
      </c>
      <c r="W819">
        <f t="shared" si="311"/>
        <v>-563827255.78849995</v>
      </c>
      <c r="X819">
        <f t="shared" si="312"/>
        <v>-578402118.26999998</v>
      </c>
      <c r="Z819">
        <f t="shared" si="324"/>
        <v>9126.6046875000011</v>
      </c>
      <c r="AA819">
        <f t="shared" si="313"/>
        <v>-228816265.984</v>
      </c>
      <c r="AB819">
        <f t="shared" si="314"/>
        <v>-411909025.02600002</v>
      </c>
      <c r="AC819">
        <f t="shared" si="315"/>
        <v>-529111672.13599998</v>
      </c>
      <c r="AD819">
        <f t="shared" si="316"/>
        <v>-642868459.87100005</v>
      </c>
      <c r="AE819">
        <f t="shared" si="317"/>
        <v>-651533420.58000004</v>
      </c>
    </row>
    <row r="820" spans="1:31" x14ac:dyDescent="0.25">
      <c r="A820">
        <v>43.05403862</v>
      </c>
      <c r="B820">
        <v>89.198889570000006</v>
      </c>
      <c r="C820">
        <v>9.2198610300000006</v>
      </c>
      <c r="D820">
        <v>1.0483189799999999</v>
      </c>
      <c r="E820" t="b">
        <f t="shared" si="295"/>
        <v>0</v>
      </c>
      <c r="F820">
        <f t="shared" si="296"/>
        <v>-45.050986170000009</v>
      </c>
      <c r="G820">
        <f t="shared" si="297"/>
        <v>-91.150291320000008</v>
      </c>
      <c r="H820">
        <f t="shared" si="298"/>
        <v>-137.24959647</v>
      </c>
      <c r="I820">
        <f t="shared" si="299"/>
        <v>-183.34890162000002</v>
      </c>
      <c r="J820">
        <f t="shared" si="300"/>
        <v>-229.44820677000001</v>
      </c>
      <c r="L820">
        <f t="shared" si="301"/>
        <v>2012772.4415999998</v>
      </c>
      <c r="M820">
        <f t="shared" si="302"/>
        <v>-72982597.59540002</v>
      </c>
      <c r="N820">
        <f t="shared" si="303"/>
        <v>-125787402.02160001</v>
      </c>
      <c r="O820">
        <f t="shared" si="304"/>
        <v>-139994588.3994</v>
      </c>
      <c r="P820">
        <f t="shared" si="305"/>
        <v>-168680989.49040002</v>
      </c>
      <c r="Q820">
        <f t="shared" si="306"/>
        <v>-174380637.14520001</v>
      </c>
      <c r="S820">
        <f t="shared" si="307"/>
        <v>2201469.858</v>
      </c>
      <c r="T820">
        <f t="shared" si="308"/>
        <v>-81992794.829400018</v>
      </c>
      <c r="U820">
        <f t="shared" si="309"/>
        <v>-137636939.89320001</v>
      </c>
      <c r="V820">
        <f t="shared" si="310"/>
        <v>-146857068.22289997</v>
      </c>
      <c r="W820">
        <f t="shared" si="311"/>
        <v>-196183324.73340002</v>
      </c>
      <c r="X820">
        <f t="shared" si="312"/>
        <v>-199619939.8899</v>
      </c>
      <c r="Z820">
        <f t="shared" si="324"/>
        <v>388.71667778399996</v>
      </c>
      <c r="AA820">
        <f t="shared" si="313"/>
        <v>-91002992.063400015</v>
      </c>
      <c r="AB820">
        <f t="shared" si="314"/>
        <v>-149486477.76480001</v>
      </c>
      <c r="AC820">
        <f t="shared" si="315"/>
        <v>-186659451.19919997</v>
      </c>
      <c r="AD820">
        <f t="shared" si="316"/>
        <v>-223685659.97640005</v>
      </c>
      <c r="AE820">
        <f t="shared" si="317"/>
        <v>-224859242.63460001</v>
      </c>
    </row>
    <row r="821" spans="1:31" x14ac:dyDescent="0.25">
      <c r="A821">
        <v>43.056083209999997</v>
      </c>
      <c r="B821">
        <v>90.331556599999999</v>
      </c>
      <c r="C821">
        <v>27.577732090000001</v>
      </c>
      <c r="D821">
        <v>28.505289080000001</v>
      </c>
      <c r="E821" t="b">
        <f t="shared" si="295"/>
        <v>1</v>
      </c>
      <c r="F821">
        <f t="shared" si="296"/>
        <v>-109.38337137000001</v>
      </c>
      <c r="G821">
        <f t="shared" si="297"/>
        <v>-247.27203182</v>
      </c>
      <c r="H821">
        <f t="shared" si="298"/>
        <v>-385.16069227000003</v>
      </c>
      <c r="I821">
        <f t="shared" si="299"/>
        <v>-523.04935272</v>
      </c>
      <c r="J821">
        <f t="shared" si="300"/>
        <v>-660.93801316999998</v>
      </c>
      <c r="L821">
        <f t="shared" si="301"/>
        <v>52949245.612800002</v>
      </c>
      <c r="M821">
        <f t="shared" si="302"/>
        <v>-177201061.61940002</v>
      </c>
      <c r="N821">
        <f t="shared" si="303"/>
        <v>-341235403.91159993</v>
      </c>
      <c r="O821">
        <f t="shared" si="304"/>
        <v>-392863906.11540008</v>
      </c>
      <c r="P821">
        <f t="shared" si="305"/>
        <v>-481205404.50239998</v>
      </c>
      <c r="Q821">
        <f t="shared" si="306"/>
        <v>-502312890.00919998</v>
      </c>
      <c r="S821">
        <f t="shared" si="307"/>
        <v>57913237.388999999</v>
      </c>
      <c r="T821">
        <f t="shared" si="308"/>
        <v>-199077735.89340001</v>
      </c>
      <c r="U821">
        <f t="shared" si="309"/>
        <v>-373380768.04820001</v>
      </c>
      <c r="V821">
        <f t="shared" si="310"/>
        <v>-412121940.72889996</v>
      </c>
      <c r="W821">
        <f t="shared" si="311"/>
        <v>-559662807.41039991</v>
      </c>
      <c r="X821">
        <f t="shared" si="312"/>
        <v>-575016071.45789993</v>
      </c>
      <c r="Z821">
        <f>C821*(310+0.8+60)</f>
        <v>10225.823058972001</v>
      </c>
      <c r="AA821">
        <f t="shared" si="313"/>
        <v>-220954410.1674</v>
      </c>
      <c r="AB821">
        <f t="shared" si="314"/>
        <v>-405526132.18480003</v>
      </c>
      <c r="AC821">
        <f t="shared" si="315"/>
        <v>-523818541.48720002</v>
      </c>
      <c r="AD821">
        <f t="shared" si="316"/>
        <v>-638120210.31840003</v>
      </c>
      <c r="AE821">
        <f t="shared" si="317"/>
        <v>-647719252.9066</v>
      </c>
    </row>
    <row r="822" spans="1:31" x14ac:dyDescent="0.25">
      <c r="A822">
        <v>43.063399879999999</v>
      </c>
      <c r="B822">
        <v>90.392823079999999</v>
      </c>
      <c r="C822">
        <v>27.577732090000001</v>
      </c>
      <c r="D822">
        <v>21.10395432</v>
      </c>
      <c r="E822" t="b">
        <f t="shared" si="295"/>
        <v>0</v>
      </c>
      <c r="F822">
        <f t="shared" si="296"/>
        <v>-116.78470613</v>
      </c>
      <c r="G822">
        <f t="shared" si="297"/>
        <v>-254.67336657999999</v>
      </c>
      <c r="H822">
        <f t="shared" si="298"/>
        <v>-392.56202703000002</v>
      </c>
      <c r="I822">
        <f t="shared" si="299"/>
        <v>-530.45068748000006</v>
      </c>
      <c r="J822">
        <f t="shared" si="300"/>
        <v>-668.33934793000003</v>
      </c>
      <c r="L822">
        <f t="shared" si="301"/>
        <v>40519592.294400007</v>
      </c>
      <c r="M822">
        <f t="shared" si="302"/>
        <v>-189191223.93060002</v>
      </c>
      <c r="N822">
        <f t="shared" si="303"/>
        <v>-351449245.88039994</v>
      </c>
      <c r="O822">
        <f t="shared" si="304"/>
        <v>-400413267.57060003</v>
      </c>
      <c r="P822">
        <f t="shared" si="305"/>
        <v>-488014632.48160005</v>
      </c>
      <c r="Q822">
        <f t="shared" si="306"/>
        <v>-507937904.42680007</v>
      </c>
      <c r="S822">
        <f t="shared" si="307"/>
        <v>44318304.072000004</v>
      </c>
      <c r="T822">
        <f t="shared" si="308"/>
        <v>-212548165.15660003</v>
      </c>
      <c r="U822">
        <f t="shared" si="309"/>
        <v>-384556783.53579998</v>
      </c>
      <c r="V822">
        <f t="shared" si="310"/>
        <v>-420041368.92209995</v>
      </c>
      <c r="W822">
        <f t="shared" si="311"/>
        <v>-567582235.60360003</v>
      </c>
      <c r="X822">
        <f t="shared" si="312"/>
        <v>-581455232.69910002</v>
      </c>
      <c r="Z822">
        <f>D822*(310+0.8+60)</f>
        <v>7825.3462618559997</v>
      </c>
      <c r="AA822">
        <f t="shared" si="313"/>
        <v>-235905106.38260001</v>
      </c>
      <c r="AB822">
        <f t="shared" si="314"/>
        <v>-417664321.19120002</v>
      </c>
      <c r="AC822">
        <f t="shared" si="315"/>
        <v>-533884356.7608</v>
      </c>
      <c r="AD822">
        <f t="shared" si="316"/>
        <v>-647149838.72560012</v>
      </c>
      <c r="AE822">
        <f t="shared" si="317"/>
        <v>-654972560.97140002</v>
      </c>
    </row>
    <row r="823" spans="1:31" x14ac:dyDescent="0.25">
      <c r="A823">
        <v>43.069693299999997</v>
      </c>
      <c r="B823">
        <v>89.32119118</v>
      </c>
      <c r="C823">
        <v>9.2198610300000006</v>
      </c>
      <c r="D823">
        <v>4.2531800300000002</v>
      </c>
      <c r="E823" t="b">
        <f t="shared" si="295"/>
        <v>0</v>
      </c>
      <c r="F823">
        <f t="shared" si="296"/>
        <v>-41.846125120000004</v>
      </c>
      <c r="G823">
        <f t="shared" si="297"/>
        <v>-87.945430270000017</v>
      </c>
      <c r="H823">
        <f t="shared" si="298"/>
        <v>-134.04473541999999</v>
      </c>
      <c r="I823">
        <f t="shared" si="299"/>
        <v>-180.14404057000002</v>
      </c>
      <c r="J823">
        <f t="shared" si="300"/>
        <v>-226.24334572000001</v>
      </c>
      <c r="L823">
        <f t="shared" si="301"/>
        <v>8166105.6576000014</v>
      </c>
      <c r="M823">
        <f t="shared" si="302"/>
        <v>-67790722.694400012</v>
      </c>
      <c r="N823">
        <f t="shared" si="303"/>
        <v>-121364693.77260001</v>
      </c>
      <c r="O823">
        <f t="shared" si="304"/>
        <v>-136725630.1284</v>
      </c>
      <c r="P823">
        <f t="shared" si="305"/>
        <v>-165732517.32440001</v>
      </c>
      <c r="Q823">
        <f t="shared" si="306"/>
        <v>-171944942.74720001</v>
      </c>
      <c r="S823">
        <f t="shared" si="307"/>
        <v>8931678.063000001</v>
      </c>
      <c r="T823">
        <f t="shared" si="308"/>
        <v>-76159947.718400016</v>
      </c>
      <c r="U823">
        <f t="shared" si="309"/>
        <v>-132797599.70770001</v>
      </c>
      <c r="V823">
        <f t="shared" si="310"/>
        <v>-143427866.89939997</v>
      </c>
      <c r="W823">
        <f t="shared" si="311"/>
        <v>-192754123.40990001</v>
      </c>
      <c r="X823">
        <f t="shared" si="312"/>
        <v>-196831710.7764</v>
      </c>
      <c r="Z823">
        <f t="shared" ref="Z823:Z831" si="325">D823*(310+0.8+60)</f>
        <v>1577.0791551240002</v>
      </c>
      <c r="AA823">
        <f t="shared" si="313"/>
        <v>-84529172.742400005</v>
      </c>
      <c r="AB823">
        <f t="shared" si="314"/>
        <v>-144230505.64280003</v>
      </c>
      <c r="AC823">
        <f t="shared" si="315"/>
        <v>-182300840.17119998</v>
      </c>
      <c r="AD823">
        <f t="shared" si="316"/>
        <v>-219775729.49540001</v>
      </c>
      <c r="AE823">
        <f t="shared" si="317"/>
        <v>-221718478.80559999</v>
      </c>
    </row>
    <row r="824" spans="1:31" x14ac:dyDescent="0.25">
      <c r="A824">
        <v>43.09238105</v>
      </c>
      <c r="B824">
        <v>90.638014519999999</v>
      </c>
      <c r="C824">
        <v>27.577732090000001</v>
      </c>
      <c r="D824">
        <v>0.115249</v>
      </c>
      <c r="E824" t="b">
        <f t="shared" si="295"/>
        <v>0</v>
      </c>
      <c r="F824">
        <f t="shared" si="296"/>
        <v>-137.77341145</v>
      </c>
      <c r="G824">
        <f t="shared" si="297"/>
        <v>-275.6620719</v>
      </c>
      <c r="H824">
        <f t="shared" si="298"/>
        <v>-413.55073235000003</v>
      </c>
      <c r="I824">
        <f t="shared" si="299"/>
        <v>-551.43939280000006</v>
      </c>
      <c r="J824">
        <f t="shared" si="300"/>
        <v>-689.32805325000004</v>
      </c>
      <c r="L824">
        <f t="shared" si="301"/>
        <v>221278.08000000002</v>
      </c>
      <c r="M824">
        <f t="shared" si="302"/>
        <v>-223192926.54899999</v>
      </c>
      <c r="N824">
        <f t="shared" si="303"/>
        <v>-380413659.22199994</v>
      </c>
      <c r="O824">
        <f t="shared" si="304"/>
        <v>-421821746.99700004</v>
      </c>
      <c r="P824">
        <f t="shared" si="305"/>
        <v>-507324241.37600005</v>
      </c>
      <c r="Q824">
        <f t="shared" si="306"/>
        <v>-523889320.47000003</v>
      </c>
      <c r="S824">
        <f t="shared" si="307"/>
        <v>242022.90000000002</v>
      </c>
      <c r="T824">
        <f t="shared" si="308"/>
        <v>-250747608.83899999</v>
      </c>
      <c r="U824">
        <f t="shared" si="309"/>
        <v>-416249728.56899995</v>
      </c>
      <c r="V824">
        <f t="shared" si="310"/>
        <v>-442499283.61449999</v>
      </c>
      <c r="W824">
        <f t="shared" si="311"/>
        <v>-590040150.296</v>
      </c>
      <c r="X824">
        <f t="shared" si="312"/>
        <v>-599715406.32749999</v>
      </c>
      <c r="Z824">
        <f t="shared" si="325"/>
        <v>42.734329200000005</v>
      </c>
      <c r="AA824">
        <f t="shared" si="313"/>
        <v>-278302291.12900001</v>
      </c>
      <c r="AB824">
        <f t="shared" si="314"/>
        <v>-452085797.91600001</v>
      </c>
      <c r="AC824">
        <f t="shared" si="315"/>
        <v>-562428995.99599993</v>
      </c>
      <c r="AD824">
        <f t="shared" si="316"/>
        <v>-672756059.21600008</v>
      </c>
      <c r="AE824">
        <f t="shared" si="317"/>
        <v>-675541492.18499994</v>
      </c>
    </row>
    <row r="825" spans="1:31" x14ac:dyDescent="0.25">
      <c r="A825">
        <v>43.123773620000001</v>
      </c>
      <c r="B825">
        <v>90.127587590000005</v>
      </c>
      <c r="C825">
        <v>27.577732090000001</v>
      </c>
      <c r="D825">
        <v>2.2950410799999998</v>
      </c>
      <c r="E825" t="b">
        <f t="shared" si="295"/>
        <v>0</v>
      </c>
      <c r="F825">
        <f t="shared" si="296"/>
        <v>-135.59361937</v>
      </c>
      <c r="G825">
        <f t="shared" si="297"/>
        <v>-273.48227982000003</v>
      </c>
      <c r="H825">
        <f t="shared" si="298"/>
        <v>-411.37094027000006</v>
      </c>
      <c r="I825">
        <f t="shared" si="299"/>
        <v>-549.25960071999998</v>
      </c>
      <c r="J825">
        <f t="shared" si="300"/>
        <v>-687.14826116999996</v>
      </c>
      <c r="L825">
        <f t="shared" si="301"/>
        <v>4406478.8736000005</v>
      </c>
      <c r="M825">
        <f t="shared" si="302"/>
        <v>-219661663.37940001</v>
      </c>
      <c r="N825">
        <f t="shared" si="303"/>
        <v>-377405546.15160006</v>
      </c>
      <c r="O825">
        <f t="shared" si="304"/>
        <v>-419598359.07540005</v>
      </c>
      <c r="P825">
        <f t="shared" si="305"/>
        <v>-505318832.66240001</v>
      </c>
      <c r="Q825">
        <f t="shared" si="306"/>
        <v>-522232678.4892</v>
      </c>
      <c r="S825">
        <f t="shared" si="307"/>
        <v>4819586.2680000002</v>
      </c>
      <c r="T825">
        <f t="shared" si="308"/>
        <v>-246780387.25340003</v>
      </c>
      <c r="U825">
        <f t="shared" si="309"/>
        <v>-412958242.52820009</v>
      </c>
      <c r="V825">
        <f t="shared" si="310"/>
        <v>-440166906.08889997</v>
      </c>
      <c r="W825">
        <f t="shared" si="311"/>
        <v>-587707772.77039993</v>
      </c>
      <c r="X825">
        <f t="shared" si="312"/>
        <v>-597818987.21789992</v>
      </c>
      <c r="Z825">
        <f t="shared" si="325"/>
        <v>851.00123246399994</v>
      </c>
      <c r="AA825">
        <f t="shared" si="313"/>
        <v>-273899111.12740004</v>
      </c>
      <c r="AB825">
        <f t="shared" si="314"/>
        <v>-448510938.90480012</v>
      </c>
      <c r="AC825">
        <f t="shared" si="315"/>
        <v>-559464478.76719999</v>
      </c>
      <c r="AD825">
        <f t="shared" si="316"/>
        <v>-670096712.87839997</v>
      </c>
      <c r="AE825">
        <f t="shared" si="317"/>
        <v>-673405295.94659996</v>
      </c>
    </row>
    <row r="826" spans="1:31" x14ac:dyDescent="0.25">
      <c r="A826">
        <v>43.153242550000002</v>
      </c>
      <c r="B826">
        <v>90.372879310000002</v>
      </c>
      <c r="C826">
        <v>27.577732090000001</v>
      </c>
      <c r="D826">
        <v>2.35851312</v>
      </c>
      <c r="E826" t="b">
        <f t="shared" si="295"/>
        <v>0</v>
      </c>
      <c r="F826">
        <f t="shared" si="296"/>
        <v>-135.53014733000001</v>
      </c>
      <c r="G826">
        <f t="shared" si="297"/>
        <v>-273.41880778000001</v>
      </c>
      <c r="H826">
        <f t="shared" si="298"/>
        <v>-411.30746823000004</v>
      </c>
      <c r="I826">
        <f t="shared" si="299"/>
        <v>-549.19612868000002</v>
      </c>
      <c r="J826">
        <f t="shared" si="300"/>
        <v>-687.08478912999999</v>
      </c>
      <c r="L826">
        <f t="shared" si="301"/>
        <v>4528345.1904000007</v>
      </c>
      <c r="M826">
        <f t="shared" si="302"/>
        <v>-219558838.67460003</v>
      </c>
      <c r="N826">
        <f t="shared" si="303"/>
        <v>-377317954.73640001</v>
      </c>
      <c r="O826">
        <f t="shared" si="304"/>
        <v>-419533617.59460002</v>
      </c>
      <c r="P826">
        <f t="shared" si="305"/>
        <v>-505260438.38560003</v>
      </c>
      <c r="Q826">
        <f t="shared" si="306"/>
        <v>-522184439.73879999</v>
      </c>
      <c r="S826">
        <f t="shared" si="307"/>
        <v>4952877.5520000001</v>
      </c>
      <c r="T826">
        <f t="shared" si="308"/>
        <v>-246664868.14060003</v>
      </c>
      <c r="U826">
        <f t="shared" si="309"/>
        <v>-412862399.74780005</v>
      </c>
      <c r="V826">
        <f t="shared" si="310"/>
        <v>-440098991.00609994</v>
      </c>
      <c r="W826">
        <f t="shared" si="311"/>
        <v>-587639857.68760002</v>
      </c>
      <c r="X826">
        <f t="shared" si="312"/>
        <v>-597763766.5431</v>
      </c>
      <c r="Z826">
        <f t="shared" si="325"/>
        <v>874.53666489600005</v>
      </c>
      <c r="AA826">
        <f t="shared" si="313"/>
        <v>-273770897.60660005</v>
      </c>
      <c r="AB826">
        <f t="shared" si="314"/>
        <v>-448406844.7592001</v>
      </c>
      <c r="AC826">
        <f t="shared" si="315"/>
        <v>-559378156.79279995</v>
      </c>
      <c r="AD826">
        <f t="shared" si="316"/>
        <v>-670019276.98960006</v>
      </c>
      <c r="AE826">
        <f t="shared" si="317"/>
        <v>-673343093.34739995</v>
      </c>
    </row>
    <row r="827" spans="1:31" x14ac:dyDescent="0.25">
      <c r="A827">
        <v>43.160838269999999</v>
      </c>
      <c r="B827">
        <v>89.677998099999996</v>
      </c>
      <c r="C827">
        <v>9.2198610300000006</v>
      </c>
      <c r="D827">
        <v>0.38656899</v>
      </c>
      <c r="E827" t="b">
        <f t="shared" si="295"/>
        <v>0</v>
      </c>
      <c r="F827">
        <f t="shared" si="296"/>
        <v>-45.712736160000006</v>
      </c>
      <c r="G827">
        <f t="shared" si="297"/>
        <v>-91.812041310000012</v>
      </c>
      <c r="H827">
        <f t="shared" si="298"/>
        <v>-137.91134646</v>
      </c>
      <c r="I827">
        <f t="shared" si="299"/>
        <v>-184.01065161000002</v>
      </c>
      <c r="J827">
        <f t="shared" si="300"/>
        <v>-230.10995676000002</v>
      </c>
      <c r="L827">
        <f t="shared" si="301"/>
        <v>742212.4608</v>
      </c>
      <c r="M827">
        <f t="shared" si="302"/>
        <v>-74054632.579200014</v>
      </c>
      <c r="N827">
        <f t="shared" si="303"/>
        <v>-126700617.00780001</v>
      </c>
      <c r="O827">
        <f t="shared" si="304"/>
        <v>-140669573.3892</v>
      </c>
      <c r="P827">
        <f t="shared" si="305"/>
        <v>-169289799.48120001</v>
      </c>
      <c r="Q827">
        <f t="shared" si="306"/>
        <v>-174883567.1376</v>
      </c>
      <c r="S827">
        <f t="shared" si="307"/>
        <v>811794.87899999996</v>
      </c>
      <c r="T827">
        <f t="shared" si="308"/>
        <v>-83197179.811200008</v>
      </c>
      <c r="U827">
        <f t="shared" si="309"/>
        <v>-138636182.37810004</v>
      </c>
      <c r="V827">
        <f t="shared" si="310"/>
        <v>-147565140.71219999</v>
      </c>
      <c r="W827">
        <f t="shared" si="311"/>
        <v>-196891397.2227</v>
      </c>
      <c r="X827">
        <f t="shared" si="312"/>
        <v>-200195662.38120002</v>
      </c>
      <c r="Z827">
        <f t="shared" si="325"/>
        <v>143.33978149200001</v>
      </c>
      <c r="AA827">
        <f t="shared" si="313"/>
        <v>-92339727.043200016</v>
      </c>
      <c r="AB827">
        <f t="shared" si="314"/>
        <v>-150571747.74840003</v>
      </c>
      <c r="AC827">
        <f t="shared" si="315"/>
        <v>-187559431.18559998</v>
      </c>
      <c r="AD827">
        <f t="shared" si="316"/>
        <v>-224492994.96420002</v>
      </c>
      <c r="AE827">
        <f t="shared" si="317"/>
        <v>-225507757.62480003</v>
      </c>
    </row>
    <row r="828" spans="1:31" x14ac:dyDescent="0.25">
      <c r="A828">
        <v>43.182254280000002</v>
      </c>
      <c r="B828">
        <v>90.618373379999994</v>
      </c>
      <c r="C828">
        <v>27.577732090000001</v>
      </c>
      <c r="D828">
        <v>2.0868179800000002</v>
      </c>
      <c r="E828" t="b">
        <f t="shared" si="295"/>
        <v>0</v>
      </c>
      <c r="F828">
        <f t="shared" si="296"/>
        <v>-135.80184247</v>
      </c>
      <c r="G828">
        <f t="shared" si="297"/>
        <v>-273.69050292000003</v>
      </c>
      <c r="H828">
        <f t="shared" si="298"/>
        <v>-411.57916337000006</v>
      </c>
      <c r="I828">
        <f t="shared" si="299"/>
        <v>-549.46782382000004</v>
      </c>
      <c r="J828">
        <f t="shared" si="300"/>
        <v>-687.35648427000001</v>
      </c>
      <c r="L828">
        <f t="shared" si="301"/>
        <v>4006690.5216000006</v>
      </c>
      <c r="M828">
        <f t="shared" si="302"/>
        <v>-219998984.80140001</v>
      </c>
      <c r="N828">
        <f t="shared" si="303"/>
        <v>-377692894.02959996</v>
      </c>
      <c r="O828">
        <f t="shared" si="304"/>
        <v>-419810746.63740009</v>
      </c>
      <c r="P828">
        <f t="shared" si="305"/>
        <v>-505510397.91439998</v>
      </c>
      <c r="Q828">
        <f t="shared" si="306"/>
        <v>-522390928.04519999</v>
      </c>
      <c r="S828">
        <f t="shared" si="307"/>
        <v>4382317.7580000004</v>
      </c>
      <c r="T828">
        <f t="shared" si="308"/>
        <v>-247159353.29539999</v>
      </c>
      <c r="U828">
        <f t="shared" si="309"/>
        <v>-413272659.40920001</v>
      </c>
      <c r="V828">
        <f t="shared" si="310"/>
        <v>-440389704.80589998</v>
      </c>
      <c r="W828">
        <f t="shared" si="311"/>
        <v>-587930571.48739994</v>
      </c>
      <c r="X828">
        <f t="shared" si="312"/>
        <v>-598000141.31489992</v>
      </c>
      <c r="Z828">
        <f t="shared" si="325"/>
        <v>773.79210698400004</v>
      </c>
      <c r="AA828">
        <f t="shared" si="313"/>
        <v>-274319721.78939998</v>
      </c>
      <c r="AB828">
        <f t="shared" si="314"/>
        <v>-448852424.78880006</v>
      </c>
      <c r="AC828">
        <f t="shared" si="315"/>
        <v>-559747662.1832</v>
      </c>
      <c r="AD828">
        <f t="shared" si="316"/>
        <v>-670350745.06040001</v>
      </c>
      <c r="AE828">
        <f t="shared" si="317"/>
        <v>-673609354.58459997</v>
      </c>
    </row>
    <row r="829" spans="1:31" x14ac:dyDescent="0.25">
      <c r="A829">
        <v>43.188516579999998</v>
      </c>
      <c r="B829">
        <v>89.166691549999996</v>
      </c>
      <c r="C829">
        <v>9.2198610300000006</v>
      </c>
      <c r="D829">
        <v>1.2910440000000001</v>
      </c>
      <c r="E829" t="b">
        <f t="shared" si="295"/>
        <v>0</v>
      </c>
      <c r="F829">
        <f t="shared" si="296"/>
        <v>-44.808261150000007</v>
      </c>
      <c r="G829">
        <f t="shared" si="297"/>
        <v>-90.907566300000013</v>
      </c>
      <c r="H829">
        <f t="shared" si="298"/>
        <v>-137.00687145000001</v>
      </c>
      <c r="I829">
        <f t="shared" si="299"/>
        <v>-183.10617660000003</v>
      </c>
      <c r="J829">
        <f t="shared" si="300"/>
        <v>-229.20548175000002</v>
      </c>
      <c r="L829">
        <f t="shared" si="301"/>
        <v>2478804.48</v>
      </c>
      <c r="M829">
        <f t="shared" si="302"/>
        <v>-72589383.063000008</v>
      </c>
      <c r="N829">
        <f t="shared" si="303"/>
        <v>-125452441.494</v>
      </c>
      <c r="O829">
        <f t="shared" si="304"/>
        <v>-139747008.87900001</v>
      </c>
      <c r="P829">
        <f t="shared" si="305"/>
        <v>-168457682.472</v>
      </c>
      <c r="Q829">
        <f t="shared" si="306"/>
        <v>-174196166.13000003</v>
      </c>
      <c r="S829">
        <f t="shared" si="307"/>
        <v>2711192.4</v>
      </c>
      <c r="T829">
        <f t="shared" si="308"/>
        <v>-81551035.293000013</v>
      </c>
      <c r="U829">
        <f t="shared" si="309"/>
        <v>-137270425.11300001</v>
      </c>
      <c r="V829">
        <f t="shared" si="310"/>
        <v>-146597352.4515</v>
      </c>
      <c r="W829">
        <f t="shared" si="311"/>
        <v>-195923608.96199998</v>
      </c>
      <c r="X829">
        <f t="shared" si="312"/>
        <v>-199408769.12250003</v>
      </c>
      <c r="Z829">
        <f t="shared" si="325"/>
        <v>478.71911520000003</v>
      </c>
      <c r="AA829">
        <f t="shared" si="313"/>
        <v>-90512687.523000017</v>
      </c>
      <c r="AB829">
        <f t="shared" si="314"/>
        <v>-149088408.73200002</v>
      </c>
      <c r="AC829">
        <f t="shared" si="315"/>
        <v>-186329345.17200002</v>
      </c>
      <c r="AD829">
        <f t="shared" si="316"/>
        <v>-223389535.45200002</v>
      </c>
      <c r="AE829">
        <f t="shared" si="317"/>
        <v>-224621372.11500004</v>
      </c>
    </row>
    <row r="830" spans="1:31" x14ac:dyDescent="0.25">
      <c r="A830">
        <v>43.228397299999997</v>
      </c>
      <c r="B830">
        <v>91.426923599999995</v>
      </c>
      <c r="C830">
        <v>10.37234402</v>
      </c>
      <c r="D830">
        <v>1.0543090100000001</v>
      </c>
      <c r="E830" t="b">
        <f t="shared" si="295"/>
        <v>0</v>
      </c>
      <c r="F830">
        <f t="shared" si="296"/>
        <v>-50.807411090000002</v>
      </c>
      <c r="G830">
        <f t="shared" si="297"/>
        <v>-102.66913119</v>
      </c>
      <c r="H830">
        <f t="shared" si="298"/>
        <v>-154.53085128999999</v>
      </c>
      <c r="I830">
        <f t="shared" si="299"/>
        <v>-206.39257139</v>
      </c>
      <c r="J830">
        <f t="shared" si="300"/>
        <v>-258.25429149000001</v>
      </c>
      <c r="L830">
        <f t="shared" si="301"/>
        <v>2024273.2992000002</v>
      </c>
      <c r="M830">
        <f t="shared" si="302"/>
        <v>-82308005.965800017</v>
      </c>
      <c r="N830">
        <f t="shared" si="303"/>
        <v>-141683401.0422</v>
      </c>
      <c r="O830">
        <f t="shared" si="304"/>
        <v>-157621468.31579998</v>
      </c>
      <c r="P830">
        <f t="shared" si="305"/>
        <v>-189881165.67879999</v>
      </c>
      <c r="Q830">
        <f t="shared" si="306"/>
        <v>-196273261.53240001</v>
      </c>
      <c r="S830">
        <f t="shared" si="307"/>
        <v>2214048.9210000001</v>
      </c>
      <c r="T830">
        <f t="shared" si="308"/>
        <v>-92469488.183800012</v>
      </c>
      <c r="U830">
        <f t="shared" si="309"/>
        <v>-155030388.09689999</v>
      </c>
      <c r="V830">
        <f t="shared" si="310"/>
        <v>-165348010.88029996</v>
      </c>
      <c r="W830">
        <f t="shared" si="311"/>
        <v>-220840051.38729995</v>
      </c>
      <c r="X830">
        <f t="shared" si="312"/>
        <v>-224681233.59630001</v>
      </c>
      <c r="Z830">
        <f t="shared" si="325"/>
        <v>390.93778090800004</v>
      </c>
      <c r="AA830">
        <f t="shared" si="313"/>
        <v>-102630970.40180001</v>
      </c>
      <c r="AB830">
        <f t="shared" si="314"/>
        <v>-168377375.1516</v>
      </c>
      <c r="AC830">
        <f t="shared" si="315"/>
        <v>-210161957.75439996</v>
      </c>
      <c r="AD830">
        <f t="shared" si="316"/>
        <v>-251798937.09579998</v>
      </c>
      <c r="AE830">
        <f t="shared" si="317"/>
        <v>-253089205.6602</v>
      </c>
    </row>
    <row r="831" spans="1:31" x14ac:dyDescent="0.25">
      <c r="A831">
        <v>43.255924399999998</v>
      </c>
      <c r="B831">
        <v>121.9237152</v>
      </c>
      <c r="C831">
        <v>0.39520844999999999</v>
      </c>
      <c r="D831">
        <v>0.181954</v>
      </c>
      <c r="E831" t="b">
        <f t="shared" si="295"/>
        <v>0</v>
      </c>
      <c r="F831">
        <f t="shared" si="296"/>
        <v>-1.7940882499999999</v>
      </c>
      <c r="G831">
        <f t="shared" si="297"/>
        <v>-3.7701304999999996</v>
      </c>
      <c r="H831">
        <f t="shared" si="298"/>
        <v>-5.7461727499999995</v>
      </c>
      <c r="I831">
        <f t="shared" si="299"/>
        <v>-7.7222149999999994</v>
      </c>
      <c r="J831">
        <f t="shared" si="300"/>
        <v>-9.6982572500000011</v>
      </c>
      <c r="L831">
        <f t="shared" si="301"/>
        <v>349351.68000000005</v>
      </c>
      <c r="M831">
        <f t="shared" si="302"/>
        <v>-2906422.9650000003</v>
      </c>
      <c r="N831">
        <f t="shared" si="303"/>
        <v>-5202780.0899999989</v>
      </c>
      <c r="O831">
        <f t="shared" si="304"/>
        <v>-5861096.2049999991</v>
      </c>
      <c r="P831">
        <f t="shared" si="305"/>
        <v>-7104437.7999999989</v>
      </c>
      <c r="Q831">
        <f t="shared" si="306"/>
        <v>-7370675.5100000016</v>
      </c>
      <c r="S831">
        <f t="shared" si="307"/>
        <v>382103.4</v>
      </c>
      <c r="T831">
        <f t="shared" si="308"/>
        <v>-3265240.6150000002</v>
      </c>
      <c r="U831">
        <f t="shared" si="309"/>
        <v>-5692897.0549999997</v>
      </c>
      <c r="V831">
        <f t="shared" si="310"/>
        <v>-6148404.8424999984</v>
      </c>
      <c r="W831">
        <f t="shared" si="311"/>
        <v>-8262770.049999998</v>
      </c>
      <c r="X831">
        <f t="shared" si="312"/>
        <v>-8437483.807500001</v>
      </c>
      <c r="Z831">
        <f t="shared" si="325"/>
        <v>67.468543199999999</v>
      </c>
      <c r="AA831">
        <f t="shared" si="313"/>
        <v>-3624058.2650000001</v>
      </c>
      <c r="AB831">
        <f t="shared" si="314"/>
        <v>-6183014.0199999996</v>
      </c>
      <c r="AC831">
        <f t="shared" si="315"/>
        <v>-7814794.9399999976</v>
      </c>
      <c r="AD831">
        <f t="shared" si="316"/>
        <v>-9421102.2999999989</v>
      </c>
      <c r="AE831">
        <f t="shared" si="317"/>
        <v>-9504292.1050000023</v>
      </c>
    </row>
    <row r="832" spans="1:31" x14ac:dyDescent="0.25">
      <c r="A832">
        <v>43.303355600000003</v>
      </c>
      <c r="B832">
        <v>125.0371217</v>
      </c>
      <c r="C832">
        <v>3.370339E-2</v>
      </c>
      <c r="D832">
        <v>30.30833054</v>
      </c>
      <c r="E832" t="b">
        <f t="shared" si="295"/>
        <v>1</v>
      </c>
      <c r="F832">
        <f t="shared" si="296"/>
        <v>30.139813589999999</v>
      </c>
      <c r="G832">
        <f t="shared" si="297"/>
        <v>29.971296639999998</v>
      </c>
      <c r="H832">
        <f t="shared" si="298"/>
        <v>29.802779690000001</v>
      </c>
      <c r="I832">
        <f t="shared" si="299"/>
        <v>29.63426274</v>
      </c>
      <c r="J832">
        <f t="shared" si="300"/>
        <v>29.46574579</v>
      </c>
      <c r="L832">
        <f t="shared" si="301"/>
        <v>64710.508800000003</v>
      </c>
      <c r="M832">
        <f t="shared" si="302"/>
        <v>54599.491800000003</v>
      </c>
      <c r="N832">
        <f t="shared" si="303"/>
        <v>46510.678199999995</v>
      </c>
      <c r="O832">
        <f t="shared" si="304"/>
        <v>34377.457799999996</v>
      </c>
      <c r="P832">
        <f t="shared" si="305"/>
        <v>31007.118799999997</v>
      </c>
      <c r="Q832">
        <f t="shared" si="306"/>
        <v>25614.576399999998</v>
      </c>
      <c r="S832">
        <f t="shared" si="307"/>
        <v>70777.119000000006</v>
      </c>
      <c r="T832">
        <f t="shared" si="308"/>
        <v>61340.169800000003</v>
      </c>
      <c r="U832">
        <f t="shared" si="309"/>
        <v>50892.118900000001</v>
      </c>
      <c r="V832">
        <f t="shared" si="310"/>
        <v>36062.627299999993</v>
      </c>
      <c r="W832">
        <f t="shared" si="311"/>
        <v>36062.627299999993</v>
      </c>
      <c r="X832">
        <f t="shared" si="312"/>
        <v>29321.9493</v>
      </c>
      <c r="Z832">
        <f>C832*(310+0.8+60)</f>
        <v>12.497217012</v>
      </c>
      <c r="AA832">
        <f t="shared" si="313"/>
        <v>68080.847800000003</v>
      </c>
      <c r="AB832">
        <f t="shared" si="314"/>
        <v>55273.559600000001</v>
      </c>
      <c r="AC832">
        <f t="shared" si="315"/>
        <v>45836.610399999998</v>
      </c>
      <c r="AD832">
        <f t="shared" si="316"/>
        <v>41118.135799999996</v>
      </c>
      <c r="AE832">
        <f t="shared" si="317"/>
        <v>33029.322200000002</v>
      </c>
    </row>
    <row r="833" spans="1:31" x14ac:dyDescent="0.25">
      <c r="A833">
        <v>43.402095070000001</v>
      </c>
      <c r="B833">
        <v>111.7836582</v>
      </c>
      <c r="C833">
        <v>5.9636301999999999</v>
      </c>
      <c r="D833">
        <v>2.4871919199999999</v>
      </c>
      <c r="E833" t="b">
        <f t="shared" si="295"/>
        <v>0</v>
      </c>
      <c r="F833">
        <f t="shared" si="296"/>
        <v>-27.33095908</v>
      </c>
      <c r="G833">
        <f t="shared" si="297"/>
        <v>-57.14911008</v>
      </c>
      <c r="H833">
        <f t="shared" si="298"/>
        <v>-86.96726108</v>
      </c>
      <c r="I833">
        <f t="shared" si="299"/>
        <v>-116.78541208</v>
      </c>
      <c r="J833">
        <f t="shared" si="300"/>
        <v>-146.60356308000001</v>
      </c>
      <c r="L833">
        <f t="shared" si="301"/>
        <v>4775408.4863999998</v>
      </c>
      <c r="M833">
        <f t="shared" si="302"/>
        <v>-44276153.709600002</v>
      </c>
      <c r="N833">
        <f t="shared" si="303"/>
        <v>-78865771.910399988</v>
      </c>
      <c r="O833">
        <f t="shared" si="304"/>
        <v>-88706606.301599994</v>
      </c>
      <c r="P833">
        <f t="shared" si="305"/>
        <v>-107442579.11359999</v>
      </c>
      <c r="Q833">
        <f t="shared" si="306"/>
        <v>-111418707.94080001</v>
      </c>
      <c r="S833">
        <f t="shared" si="307"/>
        <v>5223103.0319999997</v>
      </c>
      <c r="T833">
        <f t="shared" si="308"/>
        <v>-49742345.525600001</v>
      </c>
      <c r="U833">
        <f t="shared" si="309"/>
        <v>-86295156.220799997</v>
      </c>
      <c r="V833">
        <f t="shared" si="310"/>
        <v>-93054969.355599985</v>
      </c>
      <c r="W833">
        <f t="shared" si="311"/>
        <v>-124960390.92559998</v>
      </c>
      <c r="X833">
        <f t="shared" si="312"/>
        <v>-127545099.8796</v>
      </c>
      <c r="Z833">
        <f>D833*(310+0.8+60)</f>
        <v>922.250763936</v>
      </c>
      <c r="AA833">
        <f t="shared" si="313"/>
        <v>-55208537.341599993</v>
      </c>
      <c r="AB833">
        <f t="shared" si="314"/>
        <v>-93724540.531200007</v>
      </c>
      <c r="AC833">
        <f t="shared" si="315"/>
        <v>-118275475.06879999</v>
      </c>
      <c r="AD833">
        <f t="shared" si="316"/>
        <v>-142478202.7376</v>
      </c>
      <c r="AE833">
        <f t="shared" si="317"/>
        <v>-143671491.8184</v>
      </c>
    </row>
    <row r="834" spans="1:31" x14ac:dyDescent="0.25">
      <c r="A834">
        <v>43.442001439999999</v>
      </c>
      <c r="B834">
        <v>111.9119796</v>
      </c>
      <c r="C834">
        <v>5.9636301999999999</v>
      </c>
      <c r="D834">
        <v>0.68049300000000001</v>
      </c>
      <c r="E834" t="b">
        <f t="shared" si="295"/>
        <v>0</v>
      </c>
      <c r="F834">
        <f t="shared" si="296"/>
        <v>-29.137658000000002</v>
      </c>
      <c r="G834">
        <f t="shared" si="297"/>
        <v>-58.955809000000002</v>
      </c>
      <c r="H834">
        <f t="shared" si="298"/>
        <v>-88.773960000000002</v>
      </c>
      <c r="I834">
        <f t="shared" si="299"/>
        <v>-118.592111</v>
      </c>
      <c r="J834">
        <f t="shared" si="300"/>
        <v>-148.41026199999999</v>
      </c>
      <c r="L834">
        <f t="shared" si="301"/>
        <v>1306546.56</v>
      </c>
      <c r="M834">
        <f t="shared" si="302"/>
        <v>-47203005.960000001</v>
      </c>
      <c r="N834">
        <f t="shared" si="303"/>
        <v>-81359016.419999987</v>
      </c>
      <c r="O834">
        <f t="shared" si="304"/>
        <v>-90549439.200000003</v>
      </c>
      <c r="P834">
        <f t="shared" si="305"/>
        <v>-109104742.11999999</v>
      </c>
      <c r="Q834">
        <f t="shared" si="306"/>
        <v>-112791799.12</v>
      </c>
      <c r="S834">
        <f t="shared" si="307"/>
        <v>1429035.3</v>
      </c>
      <c r="T834">
        <f t="shared" si="308"/>
        <v>-53030537.560000002</v>
      </c>
      <c r="U834">
        <f t="shared" si="309"/>
        <v>-89023271.590000004</v>
      </c>
      <c r="V834">
        <f t="shared" si="310"/>
        <v>-94988137.199999988</v>
      </c>
      <c r="W834">
        <f t="shared" si="311"/>
        <v>-126893558.76999998</v>
      </c>
      <c r="X834">
        <f t="shared" si="312"/>
        <v>-129116927.94</v>
      </c>
      <c r="Z834">
        <f t="shared" ref="Z834:Z836" si="326">D834*(310+0.8+60)</f>
        <v>252.32680440000001</v>
      </c>
      <c r="AA834">
        <f t="shared" si="313"/>
        <v>-58858069.160000004</v>
      </c>
      <c r="AB834">
        <f t="shared" si="314"/>
        <v>-96687526.760000005</v>
      </c>
      <c r="AC834">
        <f t="shared" si="315"/>
        <v>-120732585.59999999</v>
      </c>
      <c r="AD834">
        <f t="shared" si="316"/>
        <v>-144682375.41999999</v>
      </c>
      <c r="AE834">
        <f t="shared" si="317"/>
        <v>-145442056.75999999</v>
      </c>
    </row>
    <row r="835" spans="1:31" x14ac:dyDescent="0.25">
      <c r="A835">
        <v>43.523296950000002</v>
      </c>
      <c r="B835">
        <v>113.8606827</v>
      </c>
      <c r="C835">
        <v>6.3704409599999998</v>
      </c>
      <c r="D835">
        <v>0.40274099000000002</v>
      </c>
      <c r="E835" t="b">
        <f t="shared" ref="E835:E898" si="327">D835&gt;C835</f>
        <v>0</v>
      </c>
      <c r="F835">
        <f t="shared" ref="F835:F898" si="328">D835-(C835*(2030-2025))</f>
        <v>-31.449463809999997</v>
      </c>
      <c r="G835">
        <f t="shared" ref="G835:G898" si="329">D835-(C835*(2035-2025))</f>
        <v>-63.30166861</v>
      </c>
      <c r="H835">
        <f t="shared" ref="H835:H898" si="330">D835-(C835*(2040-2025))</f>
        <v>-95.153873410000003</v>
      </c>
      <c r="I835">
        <f t="shared" ref="I835:I898" si="331">D835-(C835*(2045-2025))</f>
        <v>-127.00607821</v>
      </c>
      <c r="J835">
        <f t="shared" ref="J835:J898" si="332">D835-(C835*(2050-2025))</f>
        <v>-158.85828300999998</v>
      </c>
      <c r="L835">
        <f t="shared" ref="L835:L898" si="333">MIN(C835,D835)*1000000*((280/250)+0.8)</f>
        <v>773262.70080000011</v>
      </c>
      <c r="M835">
        <f t="shared" ref="M835:M898" si="334">MIN(F835,C835)*1000000*((230/250)+0.7)</f>
        <v>-50948131.372200005</v>
      </c>
      <c r="N835">
        <f t="shared" ref="N835:N898" si="335">MIN(G835,C835)*1000000*((195/250)+0.6)</f>
        <v>-87356302.681799993</v>
      </c>
      <c r="O835">
        <f t="shared" ref="O835:O898" si="336">MIN(H835,C835)*1000000*((130/250)+0.5)</f>
        <v>-97056950.878199995</v>
      </c>
      <c r="P835">
        <f t="shared" ref="P835:P898" si="337">MIN(I835,C835)*1000000*((105/250)+0.5)</f>
        <v>-116845591.95319998</v>
      </c>
      <c r="Q835">
        <f t="shared" ref="Q835:Q898" si="338">MIN(J835,C835)*1000000*((90/250)+0.4)</f>
        <v>-120732295.08759999</v>
      </c>
      <c r="S835">
        <f t="shared" ref="S835:S898" si="339">MIN(C835,D835)*1000000*((325/250)+0.8)</f>
        <v>845756.07900000014</v>
      </c>
      <c r="T835">
        <f t="shared" ref="T835:T898" si="340">MIN(F835,C835)*1000000*((280/250)+0.7)</f>
        <v>-57238024.134199999</v>
      </c>
      <c r="U835">
        <f t="shared" ref="U835:U898" si="341">MIN(G835,C835)*1000000*((227.5/250)+0.6)</f>
        <v>-95585519.601099998</v>
      </c>
      <c r="V835">
        <f t="shared" ref="V835:V898" si="342">MIN(H835,C835)*1000000*((142.5/250)+0.5)</f>
        <v>-101814644.54869998</v>
      </c>
      <c r="W835">
        <f t="shared" ref="W835:W898" si="343">MIN(I835,C835)*1000000*((142.5/250)+0.5)</f>
        <v>-135896503.68469998</v>
      </c>
      <c r="X835">
        <f t="shared" ref="X835:X898" si="344">MIN(J835,C835)*1000000*( (117.5/250)+0.4)</f>
        <v>-138206706.21869999</v>
      </c>
      <c r="Z835">
        <f t="shared" si="326"/>
        <v>149.33635909200001</v>
      </c>
      <c r="AA835">
        <f t="shared" ref="AA835:AA898" si="345">MIN(C835,F835)*1000000*((330/250)+0.7)</f>
        <v>-63527916.896200001</v>
      </c>
      <c r="AB835">
        <f t="shared" ref="AB835:AB898" si="346">MIN(C835,G835)*1000000*((260/250)+0.6)</f>
        <v>-103814736.5204</v>
      </c>
      <c r="AC835">
        <f t="shared" ref="AC835:AC898" si="347">MIN(C835,H835)*1000000*((215/250)+0.5)</f>
        <v>-129409267.83759998</v>
      </c>
      <c r="AD835">
        <f t="shared" ref="AD835:AD898" si="348">MIN(C835,I835)*1000000*((180/250)+0.5)</f>
        <v>-154947415.41619998</v>
      </c>
      <c r="AE835">
        <f t="shared" ref="AE835:AE898" si="349">MIN(C835,J835)*1000000*((145/250)+0.4)</f>
        <v>-155681117.34979999</v>
      </c>
    </row>
    <row r="836" spans="1:31" x14ac:dyDescent="0.25">
      <c r="A836">
        <v>43.547668350000002</v>
      </c>
      <c r="B836">
        <v>120.5978284</v>
      </c>
      <c r="C836">
        <v>1.24208367</v>
      </c>
      <c r="D836">
        <v>0.67676800000000004</v>
      </c>
      <c r="E836" t="b">
        <f t="shared" si="327"/>
        <v>0</v>
      </c>
      <c r="F836">
        <f t="shared" si="328"/>
        <v>-5.5336503499999994</v>
      </c>
      <c r="G836">
        <f t="shared" si="329"/>
        <v>-11.7440687</v>
      </c>
      <c r="H836">
        <f t="shared" si="330"/>
        <v>-17.954487050000001</v>
      </c>
      <c r="I836">
        <f t="shared" si="331"/>
        <v>-24.164905399999999</v>
      </c>
      <c r="J836">
        <f t="shared" si="332"/>
        <v>-30.37532375</v>
      </c>
      <c r="L836">
        <f t="shared" si="333"/>
        <v>1299394.5600000001</v>
      </c>
      <c r="M836">
        <f t="shared" si="334"/>
        <v>-8964513.5669999998</v>
      </c>
      <c r="N836">
        <f t="shared" si="335"/>
        <v>-16206814.805999998</v>
      </c>
      <c r="O836">
        <f t="shared" si="336"/>
        <v>-18313576.791000001</v>
      </c>
      <c r="P836">
        <f t="shared" si="337"/>
        <v>-22231712.967999998</v>
      </c>
      <c r="Q836">
        <f t="shared" si="338"/>
        <v>-23085246.050000001</v>
      </c>
      <c r="S836">
        <f t="shared" si="339"/>
        <v>1421212.8</v>
      </c>
      <c r="T836">
        <f t="shared" si="340"/>
        <v>-10071243.637</v>
      </c>
      <c r="U836">
        <f t="shared" si="341"/>
        <v>-17733543.737</v>
      </c>
      <c r="V836">
        <f t="shared" si="342"/>
        <v>-19211301.143499997</v>
      </c>
      <c r="W836">
        <f t="shared" si="343"/>
        <v>-25856448.777999993</v>
      </c>
      <c r="X836">
        <f t="shared" si="344"/>
        <v>-26426531.662500001</v>
      </c>
      <c r="Z836">
        <f t="shared" si="326"/>
        <v>250.94557440000003</v>
      </c>
      <c r="AA836">
        <f t="shared" si="345"/>
        <v>-11177973.706999999</v>
      </c>
      <c r="AB836">
        <f t="shared" si="346"/>
        <v>-19260272.668000001</v>
      </c>
      <c r="AC836">
        <f t="shared" si="347"/>
        <v>-24418102.388</v>
      </c>
      <c r="AD836">
        <f t="shared" si="348"/>
        <v>-29481184.587999996</v>
      </c>
      <c r="AE836">
        <f t="shared" si="349"/>
        <v>-29767817.274999999</v>
      </c>
    </row>
    <row r="837" spans="1:31" x14ac:dyDescent="0.25">
      <c r="A837">
        <v>43.561503770000002</v>
      </c>
      <c r="B837">
        <v>125.49045150000001</v>
      </c>
      <c r="C837">
        <v>0</v>
      </c>
      <c r="D837">
        <v>3.6600000000000001E-3</v>
      </c>
      <c r="E837" t="b">
        <f t="shared" si="327"/>
        <v>1</v>
      </c>
      <c r="F837">
        <f t="shared" si="328"/>
        <v>3.6600000000000001E-3</v>
      </c>
      <c r="G837">
        <f t="shared" si="329"/>
        <v>3.6600000000000001E-3</v>
      </c>
      <c r="H837">
        <f t="shared" si="330"/>
        <v>3.6600000000000001E-3</v>
      </c>
      <c r="I837">
        <f t="shared" si="331"/>
        <v>3.6600000000000001E-3</v>
      </c>
      <c r="J837">
        <f t="shared" si="332"/>
        <v>3.6600000000000001E-3</v>
      </c>
      <c r="L837">
        <f t="shared" si="333"/>
        <v>0</v>
      </c>
      <c r="M837">
        <f t="shared" si="334"/>
        <v>0</v>
      </c>
      <c r="N837">
        <f t="shared" si="335"/>
        <v>0</v>
      </c>
      <c r="O837">
        <f t="shared" si="336"/>
        <v>0</v>
      </c>
      <c r="P837">
        <f t="shared" si="337"/>
        <v>0</v>
      </c>
      <c r="Q837">
        <f t="shared" si="338"/>
        <v>0</v>
      </c>
      <c r="S837">
        <f t="shared" si="339"/>
        <v>0</v>
      </c>
      <c r="T837">
        <f t="shared" si="340"/>
        <v>0</v>
      </c>
      <c r="U837">
        <f t="shared" si="341"/>
        <v>0</v>
      </c>
      <c r="V837">
        <f t="shared" si="342"/>
        <v>0</v>
      </c>
      <c r="W837">
        <f t="shared" si="343"/>
        <v>0</v>
      </c>
      <c r="X837">
        <f t="shared" si="344"/>
        <v>0</v>
      </c>
      <c r="Z837">
        <f>C837*(310+0.8+60)</f>
        <v>0</v>
      </c>
      <c r="AA837">
        <f t="shared" si="345"/>
        <v>0</v>
      </c>
      <c r="AB837">
        <f t="shared" si="346"/>
        <v>0</v>
      </c>
      <c r="AC837">
        <f t="shared" si="347"/>
        <v>0</v>
      </c>
      <c r="AD837">
        <f t="shared" si="348"/>
        <v>0</v>
      </c>
      <c r="AE837">
        <f t="shared" si="349"/>
        <v>0</v>
      </c>
    </row>
    <row r="838" spans="1:31" x14ac:dyDescent="0.25">
      <c r="A838">
        <v>43.63233134</v>
      </c>
      <c r="B838">
        <v>125.63809809999999</v>
      </c>
      <c r="C838">
        <v>0</v>
      </c>
      <c r="D838">
        <v>3.88001204</v>
      </c>
      <c r="E838" t="b">
        <f t="shared" si="327"/>
        <v>1</v>
      </c>
      <c r="F838">
        <f t="shared" si="328"/>
        <v>3.88001204</v>
      </c>
      <c r="G838">
        <f t="shared" si="329"/>
        <v>3.88001204</v>
      </c>
      <c r="H838">
        <f t="shared" si="330"/>
        <v>3.88001204</v>
      </c>
      <c r="I838">
        <f t="shared" si="331"/>
        <v>3.88001204</v>
      </c>
      <c r="J838">
        <f t="shared" si="332"/>
        <v>3.88001204</v>
      </c>
      <c r="L838">
        <f t="shared" si="333"/>
        <v>0</v>
      </c>
      <c r="M838">
        <f t="shared" si="334"/>
        <v>0</v>
      </c>
      <c r="N838">
        <f t="shared" si="335"/>
        <v>0</v>
      </c>
      <c r="O838">
        <f t="shared" si="336"/>
        <v>0</v>
      </c>
      <c r="P838">
        <f t="shared" si="337"/>
        <v>0</v>
      </c>
      <c r="Q838">
        <f t="shared" si="338"/>
        <v>0</v>
      </c>
      <c r="S838">
        <f t="shared" si="339"/>
        <v>0</v>
      </c>
      <c r="T838">
        <f t="shared" si="340"/>
        <v>0</v>
      </c>
      <c r="U838">
        <f t="shared" si="341"/>
        <v>0</v>
      </c>
      <c r="V838">
        <f t="shared" si="342"/>
        <v>0</v>
      </c>
      <c r="W838">
        <f t="shared" si="343"/>
        <v>0</v>
      </c>
      <c r="X838">
        <f t="shared" si="344"/>
        <v>0</v>
      </c>
      <c r="Z838">
        <f t="shared" ref="Z838:Z846" si="350">C838*(310+0.8+60)</f>
        <v>0</v>
      </c>
      <c r="AA838">
        <f t="shared" si="345"/>
        <v>0</v>
      </c>
      <c r="AB838">
        <f t="shared" si="346"/>
        <v>0</v>
      </c>
      <c r="AC838">
        <f t="shared" si="347"/>
        <v>0</v>
      </c>
      <c r="AD838">
        <f t="shared" si="348"/>
        <v>0</v>
      </c>
      <c r="AE838">
        <f t="shared" si="349"/>
        <v>0</v>
      </c>
    </row>
    <row r="839" spans="1:31" x14ac:dyDescent="0.25">
      <c r="A839">
        <v>43.667678950000003</v>
      </c>
      <c r="B839">
        <v>125.7120329</v>
      </c>
      <c r="C839">
        <v>0</v>
      </c>
      <c r="D839">
        <v>5.0410000000000003E-3</v>
      </c>
      <c r="E839" t="b">
        <f t="shared" si="327"/>
        <v>1</v>
      </c>
      <c r="F839">
        <f t="shared" si="328"/>
        <v>5.0410000000000003E-3</v>
      </c>
      <c r="G839">
        <f t="shared" si="329"/>
        <v>5.0410000000000003E-3</v>
      </c>
      <c r="H839">
        <f t="shared" si="330"/>
        <v>5.0410000000000003E-3</v>
      </c>
      <c r="I839">
        <f t="shared" si="331"/>
        <v>5.0410000000000003E-3</v>
      </c>
      <c r="J839">
        <f t="shared" si="332"/>
        <v>5.0410000000000003E-3</v>
      </c>
      <c r="L839">
        <f t="shared" si="333"/>
        <v>0</v>
      </c>
      <c r="M839">
        <f t="shared" si="334"/>
        <v>0</v>
      </c>
      <c r="N839">
        <f t="shared" si="335"/>
        <v>0</v>
      </c>
      <c r="O839">
        <f t="shared" si="336"/>
        <v>0</v>
      </c>
      <c r="P839">
        <f t="shared" si="337"/>
        <v>0</v>
      </c>
      <c r="Q839">
        <f t="shared" si="338"/>
        <v>0</v>
      </c>
      <c r="S839">
        <f t="shared" si="339"/>
        <v>0</v>
      </c>
      <c r="T839">
        <f t="shared" si="340"/>
        <v>0</v>
      </c>
      <c r="U839">
        <f t="shared" si="341"/>
        <v>0</v>
      </c>
      <c r="V839">
        <f t="shared" si="342"/>
        <v>0</v>
      </c>
      <c r="W839">
        <f t="shared" si="343"/>
        <v>0</v>
      </c>
      <c r="X839">
        <f t="shared" si="344"/>
        <v>0</v>
      </c>
      <c r="Z839">
        <f t="shared" si="350"/>
        <v>0</v>
      </c>
      <c r="AA839">
        <f t="shared" si="345"/>
        <v>0</v>
      </c>
      <c r="AB839">
        <f t="shared" si="346"/>
        <v>0</v>
      </c>
      <c r="AC839">
        <f t="shared" si="347"/>
        <v>0</v>
      </c>
      <c r="AD839">
        <f t="shared" si="348"/>
        <v>0</v>
      </c>
      <c r="AE839">
        <f t="shared" si="349"/>
        <v>0</v>
      </c>
    </row>
    <row r="840" spans="1:31" x14ac:dyDescent="0.25">
      <c r="A840">
        <v>43.71367438</v>
      </c>
      <c r="B840">
        <v>120.7593359</v>
      </c>
      <c r="C840">
        <v>1.24208367</v>
      </c>
      <c r="D840">
        <v>5.5021271699999996</v>
      </c>
      <c r="E840" t="b">
        <f t="shared" si="327"/>
        <v>1</v>
      </c>
      <c r="F840">
        <f t="shared" si="328"/>
        <v>-0.7082911799999998</v>
      </c>
      <c r="G840">
        <f t="shared" si="329"/>
        <v>-6.9187095299999992</v>
      </c>
      <c r="H840">
        <f t="shared" si="330"/>
        <v>-13.12912788</v>
      </c>
      <c r="I840">
        <f t="shared" si="331"/>
        <v>-19.339546229999996</v>
      </c>
      <c r="J840">
        <f t="shared" si="332"/>
        <v>-25.549964580000001</v>
      </c>
      <c r="L840">
        <f t="shared" si="333"/>
        <v>2384800.6464</v>
      </c>
      <c r="M840">
        <f t="shared" si="334"/>
        <v>-1147431.7115999998</v>
      </c>
      <c r="N840">
        <f t="shared" si="335"/>
        <v>-9547819.151399998</v>
      </c>
      <c r="O840">
        <f t="shared" si="336"/>
        <v>-13391710.437600002</v>
      </c>
      <c r="P840">
        <f t="shared" si="337"/>
        <v>-17792382.531599995</v>
      </c>
      <c r="Q840">
        <f t="shared" si="338"/>
        <v>-19417973.080800001</v>
      </c>
      <c r="S840">
        <f t="shared" si="339"/>
        <v>2608375.7069999999</v>
      </c>
      <c r="T840">
        <f t="shared" si="340"/>
        <v>-1289089.9475999996</v>
      </c>
      <c r="U840">
        <f t="shared" si="341"/>
        <v>-10447251.390299998</v>
      </c>
      <c r="V840">
        <f t="shared" si="342"/>
        <v>-14048166.831599999</v>
      </c>
      <c r="W840">
        <f t="shared" si="343"/>
        <v>-20693314.466099992</v>
      </c>
      <c r="X840">
        <f t="shared" si="344"/>
        <v>-22228469.184600003</v>
      </c>
      <c r="Z840">
        <f t="shared" si="350"/>
        <v>460.56462483600001</v>
      </c>
      <c r="AA840">
        <f t="shared" si="345"/>
        <v>-1430748.1835999996</v>
      </c>
      <c r="AB840">
        <f t="shared" si="346"/>
        <v>-11346683.6292</v>
      </c>
      <c r="AC840">
        <f t="shared" si="347"/>
        <v>-17855613.9168</v>
      </c>
      <c r="AD840">
        <f t="shared" si="348"/>
        <v>-23594246.400599994</v>
      </c>
      <c r="AE840">
        <f t="shared" si="349"/>
        <v>-25038965.288400002</v>
      </c>
    </row>
    <row r="841" spans="1:31" x14ac:dyDescent="0.25">
      <c r="A841">
        <v>43.738241539999997</v>
      </c>
      <c r="B841">
        <v>125.8601254</v>
      </c>
      <c r="C841">
        <v>0</v>
      </c>
      <c r="D841">
        <v>2.1957890999999998</v>
      </c>
      <c r="E841" t="b">
        <f t="shared" si="327"/>
        <v>1</v>
      </c>
      <c r="F841">
        <f t="shared" si="328"/>
        <v>2.1957890999999998</v>
      </c>
      <c r="G841">
        <f t="shared" si="329"/>
        <v>2.1957890999999998</v>
      </c>
      <c r="H841">
        <f t="shared" si="330"/>
        <v>2.1957890999999998</v>
      </c>
      <c r="I841">
        <f t="shared" si="331"/>
        <v>2.1957890999999998</v>
      </c>
      <c r="J841">
        <f t="shared" si="332"/>
        <v>2.1957890999999998</v>
      </c>
      <c r="L841">
        <f t="shared" si="333"/>
        <v>0</v>
      </c>
      <c r="M841">
        <f t="shared" si="334"/>
        <v>0</v>
      </c>
      <c r="N841">
        <f t="shared" si="335"/>
        <v>0</v>
      </c>
      <c r="O841">
        <f t="shared" si="336"/>
        <v>0</v>
      </c>
      <c r="P841">
        <f t="shared" si="337"/>
        <v>0</v>
      </c>
      <c r="Q841">
        <f t="shared" si="338"/>
        <v>0</v>
      </c>
      <c r="S841">
        <f t="shared" si="339"/>
        <v>0</v>
      </c>
      <c r="T841">
        <f t="shared" si="340"/>
        <v>0</v>
      </c>
      <c r="U841">
        <f t="shared" si="341"/>
        <v>0</v>
      </c>
      <c r="V841">
        <f t="shared" si="342"/>
        <v>0</v>
      </c>
      <c r="W841">
        <f t="shared" si="343"/>
        <v>0</v>
      </c>
      <c r="X841">
        <f t="shared" si="344"/>
        <v>0</v>
      </c>
      <c r="Z841">
        <f t="shared" si="350"/>
        <v>0</v>
      </c>
      <c r="AA841">
        <f t="shared" si="345"/>
        <v>0</v>
      </c>
      <c r="AB841">
        <f t="shared" si="346"/>
        <v>0</v>
      </c>
      <c r="AC841">
        <f t="shared" si="347"/>
        <v>0</v>
      </c>
      <c r="AD841">
        <f t="shared" si="348"/>
        <v>0</v>
      </c>
      <c r="AE841">
        <f t="shared" si="349"/>
        <v>0</v>
      </c>
    </row>
    <row r="842" spans="1:31" x14ac:dyDescent="0.25">
      <c r="A842">
        <v>43.783813690000002</v>
      </c>
      <c r="B842">
        <v>124.593784</v>
      </c>
      <c r="C842">
        <v>0.30014151</v>
      </c>
      <c r="D842">
        <v>1.09819102</v>
      </c>
      <c r="E842" t="b">
        <f t="shared" si="327"/>
        <v>1</v>
      </c>
      <c r="F842">
        <f t="shared" si="328"/>
        <v>-0.40251652999999998</v>
      </c>
      <c r="G842">
        <f t="shared" si="329"/>
        <v>-1.90322408</v>
      </c>
      <c r="H842">
        <f t="shared" si="330"/>
        <v>-3.4039316300000007</v>
      </c>
      <c r="I842">
        <f t="shared" si="331"/>
        <v>-4.9046391800000002</v>
      </c>
      <c r="J842">
        <f t="shared" si="332"/>
        <v>-6.4053467299999998</v>
      </c>
      <c r="L842">
        <f t="shared" si="333"/>
        <v>576271.69920000003</v>
      </c>
      <c r="M842">
        <f t="shared" si="334"/>
        <v>-652076.77859999996</v>
      </c>
      <c r="N842">
        <f t="shared" si="335"/>
        <v>-2626449.2303999998</v>
      </c>
      <c r="O842">
        <f t="shared" si="336"/>
        <v>-3472010.2626000009</v>
      </c>
      <c r="P842">
        <f t="shared" si="337"/>
        <v>-4512268.0455999998</v>
      </c>
      <c r="Q842">
        <f t="shared" si="338"/>
        <v>-4868063.5148</v>
      </c>
      <c r="S842">
        <f t="shared" si="339"/>
        <v>630297.17100000009</v>
      </c>
      <c r="T842">
        <f t="shared" si="340"/>
        <v>-732580.08459999994</v>
      </c>
      <c r="U842">
        <f t="shared" si="341"/>
        <v>-2873868.3607999999</v>
      </c>
      <c r="V842">
        <f t="shared" si="342"/>
        <v>-3642206.8441000003</v>
      </c>
      <c r="W842">
        <f t="shared" si="343"/>
        <v>-5247963.9226000002</v>
      </c>
      <c r="X842">
        <f t="shared" si="344"/>
        <v>-5572651.6550999992</v>
      </c>
      <c r="Z842">
        <f t="shared" si="350"/>
        <v>111.29247190800001</v>
      </c>
      <c r="AA842">
        <f t="shared" si="345"/>
        <v>-813083.39059999993</v>
      </c>
      <c r="AB842">
        <f t="shared" si="346"/>
        <v>-3121287.4912000005</v>
      </c>
      <c r="AC842">
        <f t="shared" si="347"/>
        <v>-4629347.0168000003</v>
      </c>
      <c r="AD842">
        <f t="shared" si="348"/>
        <v>-5983659.7996000005</v>
      </c>
      <c r="AE842">
        <f t="shared" si="349"/>
        <v>-6277239.7953999992</v>
      </c>
    </row>
    <row r="843" spans="1:31" x14ac:dyDescent="0.25">
      <c r="A843">
        <v>43.792467969999997</v>
      </c>
      <c r="B843">
        <v>124.53221480000001</v>
      </c>
      <c r="C843">
        <v>0.30014151</v>
      </c>
      <c r="D843">
        <v>2.9620139600000002</v>
      </c>
      <c r="E843" t="b">
        <f t="shared" si="327"/>
        <v>1</v>
      </c>
      <c r="F843">
        <f t="shared" si="328"/>
        <v>1.4613064100000002</v>
      </c>
      <c r="G843">
        <f t="shared" si="329"/>
        <v>-3.9401139999999835E-2</v>
      </c>
      <c r="H843">
        <f t="shared" si="330"/>
        <v>-1.5401086900000003</v>
      </c>
      <c r="I843">
        <f t="shared" si="331"/>
        <v>-3.0408162399999998</v>
      </c>
      <c r="J843">
        <f t="shared" si="332"/>
        <v>-4.5415237899999994</v>
      </c>
      <c r="L843">
        <f t="shared" si="333"/>
        <v>576271.69920000003</v>
      </c>
      <c r="M843">
        <f t="shared" si="334"/>
        <v>486229.24620000005</v>
      </c>
      <c r="N843">
        <f t="shared" si="335"/>
        <v>-54373.573199999766</v>
      </c>
      <c r="O843">
        <f t="shared" si="336"/>
        <v>-1570910.8638000002</v>
      </c>
      <c r="P843">
        <f t="shared" si="337"/>
        <v>-2797550.9407999995</v>
      </c>
      <c r="Q843">
        <f t="shared" si="338"/>
        <v>-3451558.0803999994</v>
      </c>
      <c r="S843">
        <f t="shared" si="339"/>
        <v>630297.17100000009</v>
      </c>
      <c r="T843">
        <f t="shared" si="340"/>
        <v>546257.54820000008</v>
      </c>
      <c r="U843">
        <f t="shared" si="341"/>
        <v>-59495.721399999748</v>
      </c>
      <c r="V843">
        <f t="shared" si="342"/>
        <v>-1647916.2982999999</v>
      </c>
      <c r="W843">
        <f t="shared" si="343"/>
        <v>-3253673.3767999993</v>
      </c>
      <c r="X843">
        <f t="shared" si="344"/>
        <v>-3951125.6972999992</v>
      </c>
      <c r="Z843">
        <f t="shared" si="350"/>
        <v>111.29247190800001</v>
      </c>
      <c r="AA843">
        <f t="shared" si="345"/>
        <v>606285.85019999999</v>
      </c>
      <c r="AB843">
        <f t="shared" si="346"/>
        <v>-64617.869599999729</v>
      </c>
      <c r="AC843">
        <f t="shared" si="347"/>
        <v>-2094547.8184</v>
      </c>
      <c r="AD843">
        <f t="shared" si="348"/>
        <v>-3709795.8127999995</v>
      </c>
      <c r="AE843">
        <f t="shared" si="349"/>
        <v>-4450693.314199999</v>
      </c>
    </row>
    <row r="844" spans="1:31" x14ac:dyDescent="0.25">
      <c r="A844">
        <v>43.801093690000002</v>
      </c>
      <c r="B844">
        <v>124.4706304</v>
      </c>
      <c r="C844">
        <v>0.30014151</v>
      </c>
      <c r="D844">
        <v>4.74019718</v>
      </c>
      <c r="E844" t="b">
        <f t="shared" si="327"/>
        <v>1</v>
      </c>
      <c r="F844">
        <f t="shared" si="328"/>
        <v>3.23948963</v>
      </c>
      <c r="G844">
        <f t="shared" si="329"/>
        <v>1.73878208</v>
      </c>
      <c r="H844">
        <f t="shared" si="330"/>
        <v>0.23807452999999956</v>
      </c>
      <c r="I844">
        <f t="shared" si="331"/>
        <v>-1.26263302</v>
      </c>
      <c r="J844">
        <f t="shared" si="332"/>
        <v>-2.7633405699999996</v>
      </c>
      <c r="L844">
        <f t="shared" si="333"/>
        <v>576271.69920000003</v>
      </c>
      <c r="M844">
        <f t="shared" si="334"/>
        <v>486229.24620000005</v>
      </c>
      <c r="N844">
        <f t="shared" si="335"/>
        <v>414195.28379999998</v>
      </c>
      <c r="O844">
        <f t="shared" si="336"/>
        <v>242836.02059999955</v>
      </c>
      <c r="P844">
        <f t="shared" si="337"/>
        <v>-1161622.3783999998</v>
      </c>
      <c r="Q844">
        <f t="shared" si="338"/>
        <v>-2100138.8331999998</v>
      </c>
      <c r="S844">
        <f t="shared" si="339"/>
        <v>630297.17100000009</v>
      </c>
      <c r="T844">
        <f t="shared" si="340"/>
        <v>546257.54820000008</v>
      </c>
      <c r="U844">
        <f t="shared" si="341"/>
        <v>453213.6801</v>
      </c>
      <c r="V844">
        <f t="shared" si="342"/>
        <v>254739.74709999948</v>
      </c>
      <c r="W844">
        <f t="shared" si="343"/>
        <v>-1351017.3313999998</v>
      </c>
      <c r="X844">
        <f t="shared" si="344"/>
        <v>-2404106.2958999993</v>
      </c>
      <c r="Z844">
        <f t="shared" si="350"/>
        <v>111.29247190800001</v>
      </c>
      <c r="AA844">
        <f t="shared" si="345"/>
        <v>606285.85019999999</v>
      </c>
      <c r="AB844">
        <f t="shared" si="346"/>
        <v>492232.07640000008</v>
      </c>
      <c r="AC844">
        <f t="shared" si="347"/>
        <v>323781.36079999938</v>
      </c>
      <c r="AD844">
        <f t="shared" si="348"/>
        <v>-1540412.2844</v>
      </c>
      <c r="AE844">
        <f t="shared" si="349"/>
        <v>-2708073.7585999994</v>
      </c>
    </row>
    <row r="845" spans="1:31" x14ac:dyDescent="0.25">
      <c r="A845">
        <v>43.843793759999997</v>
      </c>
      <c r="B845">
        <v>124.1624825</v>
      </c>
      <c r="C845">
        <v>0.30014151</v>
      </c>
      <c r="D845">
        <v>3.5052399599999999</v>
      </c>
      <c r="E845" t="b">
        <f t="shared" si="327"/>
        <v>1</v>
      </c>
      <c r="F845">
        <f t="shared" si="328"/>
        <v>2.0045324099999999</v>
      </c>
      <c r="G845">
        <f t="shared" si="329"/>
        <v>0.50382485999999993</v>
      </c>
      <c r="H845">
        <f t="shared" si="330"/>
        <v>-0.99688269000000052</v>
      </c>
      <c r="I845">
        <f t="shared" si="331"/>
        <v>-2.4975902400000001</v>
      </c>
      <c r="J845">
        <f t="shared" si="332"/>
        <v>-3.9982977899999996</v>
      </c>
      <c r="L845">
        <f t="shared" si="333"/>
        <v>576271.69920000003</v>
      </c>
      <c r="M845">
        <f t="shared" si="334"/>
        <v>486229.24620000005</v>
      </c>
      <c r="N845">
        <f t="shared" si="335"/>
        <v>414195.28379999998</v>
      </c>
      <c r="O845">
        <f t="shared" si="336"/>
        <v>-1016820.3438000005</v>
      </c>
      <c r="P845">
        <f t="shared" si="337"/>
        <v>-2297783.0208000001</v>
      </c>
      <c r="Q845">
        <f t="shared" si="338"/>
        <v>-3038706.3203999996</v>
      </c>
      <c r="S845">
        <f t="shared" si="339"/>
        <v>630297.17100000009</v>
      </c>
      <c r="T845">
        <f t="shared" si="340"/>
        <v>546257.54820000008</v>
      </c>
      <c r="U845">
        <f t="shared" si="341"/>
        <v>453213.6801</v>
      </c>
      <c r="V845">
        <f t="shared" si="342"/>
        <v>-1066664.4783000003</v>
      </c>
      <c r="W845">
        <f t="shared" si="343"/>
        <v>-2672421.5567999999</v>
      </c>
      <c r="X845">
        <f t="shared" si="344"/>
        <v>-3478519.0772999995</v>
      </c>
      <c r="Z845">
        <f t="shared" si="350"/>
        <v>111.29247190800001</v>
      </c>
      <c r="AA845">
        <f t="shared" si="345"/>
        <v>606285.85019999999</v>
      </c>
      <c r="AB845">
        <f t="shared" si="346"/>
        <v>492232.07640000008</v>
      </c>
      <c r="AC845">
        <f t="shared" si="347"/>
        <v>-1355760.4584000006</v>
      </c>
      <c r="AD845">
        <f t="shared" si="348"/>
        <v>-3047060.0928000002</v>
      </c>
      <c r="AE845">
        <f t="shared" si="349"/>
        <v>-3918331.8341999995</v>
      </c>
    </row>
    <row r="846" spans="1:31" x14ac:dyDescent="0.25">
      <c r="A846">
        <v>43.844202150000001</v>
      </c>
      <c r="B846">
        <v>121.2317297</v>
      </c>
      <c r="C846">
        <v>0.26926291000000002</v>
      </c>
      <c r="D846">
        <v>0.33158200999999998</v>
      </c>
      <c r="E846" t="b">
        <f t="shared" si="327"/>
        <v>1</v>
      </c>
      <c r="F846">
        <f t="shared" si="328"/>
        <v>-1.0147325400000002</v>
      </c>
      <c r="G846">
        <f t="shared" si="329"/>
        <v>-2.3610470900000005</v>
      </c>
      <c r="H846">
        <f t="shared" si="330"/>
        <v>-3.7073616400000002</v>
      </c>
      <c r="I846">
        <f t="shared" si="331"/>
        <v>-5.0536761900000009</v>
      </c>
      <c r="J846">
        <f t="shared" si="332"/>
        <v>-6.3999907400000007</v>
      </c>
      <c r="L846">
        <f t="shared" si="333"/>
        <v>516984.78720000008</v>
      </c>
      <c r="M846">
        <f t="shared" si="334"/>
        <v>-1643866.7148000007</v>
      </c>
      <c r="N846">
        <f t="shared" si="335"/>
        <v>-3258244.9842000003</v>
      </c>
      <c r="O846">
        <f t="shared" si="336"/>
        <v>-3781508.8728</v>
      </c>
      <c r="P846">
        <f t="shared" si="337"/>
        <v>-4649382.094800001</v>
      </c>
      <c r="Q846">
        <f t="shared" si="338"/>
        <v>-4863992.9624000005</v>
      </c>
      <c r="S846">
        <f t="shared" si="339"/>
        <v>565452.11100000015</v>
      </c>
      <c r="T846">
        <f t="shared" si="340"/>
        <v>-1846813.2228000006</v>
      </c>
      <c r="U846">
        <f t="shared" si="341"/>
        <v>-3565181.1059000003</v>
      </c>
      <c r="V846">
        <f t="shared" si="342"/>
        <v>-3966876.9547999995</v>
      </c>
      <c r="W846">
        <f t="shared" si="343"/>
        <v>-5407433.5233000005</v>
      </c>
      <c r="X846">
        <f t="shared" si="344"/>
        <v>-5567991.9438000005</v>
      </c>
      <c r="Z846">
        <f t="shared" si="350"/>
        <v>99.842687028000014</v>
      </c>
      <c r="AA846">
        <f t="shared" si="345"/>
        <v>-2049759.7308000005</v>
      </c>
      <c r="AB846">
        <f t="shared" si="346"/>
        <v>-3872117.2276000008</v>
      </c>
      <c r="AC846">
        <f t="shared" si="347"/>
        <v>-5042011.8303999994</v>
      </c>
      <c r="AD846">
        <f t="shared" si="348"/>
        <v>-6165484.9518000018</v>
      </c>
      <c r="AE846">
        <f t="shared" si="349"/>
        <v>-6271990.9252000004</v>
      </c>
    </row>
    <row r="847" spans="1:31" x14ac:dyDescent="0.25">
      <c r="A847">
        <v>43.854302089999997</v>
      </c>
      <c r="B847">
        <v>124.4208904</v>
      </c>
      <c r="C847">
        <v>0.30014151</v>
      </c>
      <c r="D847">
        <v>1.9081999999999998E-2</v>
      </c>
      <c r="E847" t="b">
        <f t="shared" si="327"/>
        <v>0</v>
      </c>
      <c r="F847">
        <f t="shared" si="328"/>
        <v>-1.48162555</v>
      </c>
      <c r="G847">
        <f t="shared" si="329"/>
        <v>-2.9823331</v>
      </c>
      <c r="H847">
        <f t="shared" si="330"/>
        <v>-4.4830406500000004</v>
      </c>
      <c r="I847">
        <f t="shared" si="331"/>
        <v>-5.9837482</v>
      </c>
      <c r="J847">
        <f t="shared" si="332"/>
        <v>-7.4844557499999995</v>
      </c>
      <c r="L847">
        <f t="shared" si="333"/>
        <v>36637.440000000002</v>
      </c>
      <c r="M847">
        <f t="shared" si="334"/>
        <v>-2400233.3910000003</v>
      </c>
      <c r="N847">
        <f t="shared" si="335"/>
        <v>-4115619.6779999998</v>
      </c>
      <c r="O847">
        <f t="shared" si="336"/>
        <v>-4572701.4630000005</v>
      </c>
      <c r="P847">
        <f t="shared" si="337"/>
        <v>-5505048.3439999996</v>
      </c>
      <c r="Q847">
        <f t="shared" si="338"/>
        <v>-5688186.3699999992</v>
      </c>
      <c r="S847">
        <f t="shared" si="339"/>
        <v>40072.200000000004</v>
      </c>
      <c r="T847">
        <f t="shared" si="340"/>
        <v>-2696558.5010000002</v>
      </c>
      <c r="U847">
        <f t="shared" si="341"/>
        <v>-4503322.9810000006</v>
      </c>
      <c r="V847">
        <f t="shared" si="342"/>
        <v>-4796853.4954999993</v>
      </c>
      <c r="W847">
        <f t="shared" si="343"/>
        <v>-6402610.5739999991</v>
      </c>
      <c r="X847">
        <f t="shared" si="344"/>
        <v>-6511476.5024999995</v>
      </c>
      <c r="Z847">
        <f>D847*(310+0.8+60)</f>
        <v>7.0756055999999994</v>
      </c>
      <c r="AA847">
        <f t="shared" si="345"/>
        <v>-2992883.611</v>
      </c>
      <c r="AB847">
        <f t="shared" si="346"/>
        <v>-4891026.2840000009</v>
      </c>
      <c r="AC847">
        <f t="shared" si="347"/>
        <v>-6096935.284</v>
      </c>
      <c r="AD847">
        <f t="shared" si="348"/>
        <v>-7300172.8040000005</v>
      </c>
      <c r="AE847">
        <f t="shared" si="349"/>
        <v>-7334766.6349999988</v>
      </c>
    </row>
    <row r="848" spans="1:31" x14ac:dyDescent="0.25">
      <c r="A848">
        <v>43.858933749999998</v>
      </c>
      <c r="B848">
        <v>86.639677750000004</v>
      </c>
      <c r="C848">
        <v>1.1536998700000001</v>
      </c>
      <c r="D848">
        <v>0.51573597999999998</v>
      </c>
      <c r="E848" t="b">
        <f t="shared" si="327"/>
        <v>0</v>
      </c>
      <c r="F848">
        <f t="shared" si="328"/>
        <v>-5.2527633700000012</v>
      </c>
      <c r="G848">
        <f t="shared" si="329"/>
        <v>-11.021262720000001</v>
      </c>
      <c r="H848">
        <f t="shared" si="330"/>
        <v>-16.789762070000002</v>
      </c>
      <c r="I848">
        <f t="shared" si="331"/>
        <v>-22.558261420000004</v>
      </c>
      <c r="J848">
        <f t="shared" si="332"/>
        <v>-28.326760770000003</v>
      </c>
      <c r="L848">
        <f t="shared" si="333"/>
        <v>990213.08160000003</v>
      </c>
      <c r="M848">
        <f t="shared" si="334"/>
        <v>-8509476.659400003</v>
      </c>
      <c r="N848">
        <f t="shared" si="335"/>
        <v>-15209342.5536</v>
      </c>
      <c r="O848">
        <f t="shared" si="336"/>
        <v>-17125557.3114</v>
      </c>
      <c r="P848">
        <f t="shared" si="337"/>
        <v>-20753600.506400004</v>
      </c>
      <c r="Q848">
        <f t="shared" si="338"/>
        <v>-21528338.185200002</v>
      </c>
      <c r="S848">
        <f t="shared" si="339"/>
        <v>1083045.558</v>
      </c>
      <c r="T848">
        <f t="shared" si="340"/>
        <v>-9560029.3334000017</v>
      </c>
      <c r="U848">
        <f t="shared" si="341"/>
        <v>-16642106.707200002</v>
      </c>
      <c r="V848">
        <f t="shared" si="342"/>
        <v>-17965045.414899997</v>
      </c>
      <c r="W848">
        <f t="shared" si="343"/>
        <v>-24137339.719400004</v>
      </c>
      <c r="X848">
        <f t="shared" si="344"/>
        <v>-24644281.869900003</v>
      </c>
      <c r="Z848">
        <f>D848*(310+0.8+60)</f>
        <v>191.23490138400001</v>
      </c>
      <c r="AA848">
        <f t="shared" si="345"/>
        <v>-10610582.007400002</v>
      </c>
      <c r="AB848">
        <f t="shared" si="346"/>
        <v>-18074870.860800002</v>
      </c>
      <c r="AC848">
        <f t="shared" si="347"/>
        <v>-22834076.415199999</v>
      </c>
      <c r="AD848">
        <f t="shared" si="348"/>
        <v>-27521078.932400007</v>
      </c>
      <c r="AE848">
        <f t="shared" si="349"/>
        <v>-27760225.554600004</v>
      </c>
    </row>
    <row r="849" spans="1:31" x14ac:dyDescent="0.25">
      <c r="A849">
        <v>43.881666250000002</v>
      </c>
      <c r="B849">
        <v>124.55609990000001</v>
      </c>
      <c r="C849">
        <v>0.30014151</v>
      </c>
      <c r="D849">
        <v>0.96980703000000001</v>
      </c>
      <c r="E849" t="b">
        <f t="shared" si="327"/>
        <v>1</v>
      </c>
      <c r="F849">
        <f t="shared" si="328"/>
        <v>-0.53090051999999999</v>
      </c>
      <c r="G849">
        <f t="shared" si="329"/>
        <v>-2.0316080699999999</v>
      </c>
      <c r="H849">
        <f t="shared" si="330"/>
        <v>-3.5323156200000003</v>
      </c>
      <c r="I849">
        <f t="shared" si="331"/>
        <v>-5.0330231699999999</v>
      </c>
      <c r="J849">
        <f t="shared" si="332"/>
        <v>-6.5337307199999994</v>
      </c>
      <c r="L849">
        <f t="shared" si="333"/>
        <v>576271.69920000003</v>
      </c>
      <c r="M849">
        <f t="shared" si="334"/>
        <v>-860058.84240000008</v>
      </c>
      <c r="N849">
        <f t="shared" si="335"/>
        <v>-2803619.1365999994</v>
      </c>
      <c r="O849">
        <f t="shared" si="336"/>
        <v>-3602961.9324000003</v>
      </c>
      <c r="P849">
        <f t="shared" si="337"/>
        <v>-4630381.3163999999</v>
      </c>
      <c r="Q849">
        <f t="shared" si="338"/>
        <v>-4965635.3471999997</v>
      </c>
      <c r="S849">
        <f t="shared" si="339"/>
        <v>630297.17100000009</v>
      </c>
      <c r="T849">
        <f t="shared" si="340"/>
        <v>-966238.94640000002</v>
      </c>
      <c r="U849">
        <f t="shared" si="341"/>
        <v>-3067728.1856999998</v>
      </c>
      <c r="V849">
        <f t="shared" si="342"/>
        <v>-3779577.7133999998</v>
      </c>
      <c r="W849">
        <f t="shared" si="343"/>
        <v>-5385334.7918999987</v>
      </c>
      <c r="X849">
        <f t="shared" si="344"/>
        <v>-5684345.7264</v>
      </c>
      <c r="Z849">
        <f>C849*(310+0.8+60)</f>
        <v>111.29247190800001</v>
      </c>
      <c r="AA849">
        <f t="shared" si="345"/>
        <v>-1072419.0504000001</v>
      </c>
      <c r="AB849">
        <f t="shared" si="346"/>
        <v>-3331837.2348000002</v>
      </c>
      <c r="AC849">
        <f t="shared" si="347"/>
        <v>-4803949.2431999994</v>
      </c>
      <c r="AD849">
        <f t="shared" si="348"/>
        <v>-6140288.2673999993</v>
      </c>
      <c r="AE849">
        <f t="shared" si="349"/>
        <v>-6403056.1055999994</v>
      </c>
    </row>
    <row r="850" spans="1:31" x14ac:dyDescent="0.25">
      <c r="A850">
        <v>43.919624300000002</v>
      </c>
      <c r="B850">
        <v>121.3755304</v>
      </c>
      <c r="C850">
        <v>0.26926291000000002</v>
      </c>
      <c r="D850">
        <v>0.88668000999999996</v>
      </c>
      <c r="E850" t="b">
        <f t="shared" si="327"/>
        <v>1</v>
      </c>
      <c r="F850">
        <f t="shared" si="328"/>
        <v>-0.45963454000000026</v>
      </c>
      <c r="G850">
        <f t="shared" si="329"/>
        <v>-1.8059490900000004</v>
      </c>
      <c r="H850">
        <f t="shared" si="330"/>
        <v>-3.1522636400000001</v>
      </c>
      <c r="I850">
        <f t="shared" si="331"/>
        <v>-4.4985781900000008</v>
      </c>
      <c r="J850">
        <f t="shared" si="332"/>
        <v>-5.8448927400000006</v>
      </c>
      <c r="L850">
        <f t="shared" si="333"/>
        <v>516984.78720000008</v>
      </c>
      <c r="M850">
        <f t="shared" si="334"/>
        <v>-744607.95480000053</v>
      </c>
      <c r="N850">
        <f t="shared" si="335"/>
        <v>-2492209.7442000001</v>
      </c>
      <c r="O850">
        <f t="shared" si="336"/>
        <v>-3215308.9128</v>
      </c>
      <c r="P850">
        <f t="shared" si="337"/>
        <v>-4138691.9347999999</v>
      </c>
      <c r="Q850">
        <f t="shared" si="338"/>
        <v>-4442118.4824000001</v>
      </c>
      <c r="S850">
        <f t="shared" si="339"/>
        <v>565452.11100000015</v>
      </c>
      <c r="T850">
        <f t="shared" si="340"/>
        <v>-836534.86280000047</v>
      </c>
      <c r="U850">
        <f t="shared" si="341"/>
        <v>-2726983.1259000003</v>
      </c>
      <c r="V850">
        <f t="shared" si="342"/>
        <v>-3372922.0947999996</v>
      </c>
      <c r="W850">
        <f t="shared" si="343"/>
        <v>-4813478.6633000001</v>
      </c>
      <c r="X850">
        <f t="shared" si="344"/>
        <v>-5085056.6837999998</v>
      </c>
      <c r="Z850">
        <f>C850*(310+0.8+60)</f>
        <v>99.842687028000014</v>
      </c>
      <c r="AA850">
        <f t="shared" si="345"/>
        <v>-928461.77080000052</v>
      </c>
      <c r="AB850">
        <f t="shared" si="346"/>
        <v>-2961756.5076000006</v>
      </c>
      <c r="AC850">
        <f t="shared" si="347"/>
        <v>-4287078.5504000001</v>
      </c>
      <c r="AD850">
        <f t="shared" si="348"/>
        <v>-5488265.3918000003</v>
      </c>
      <c r="AE850">
        <f t="shared" si="349"/>
        <v>-5727994.8852000004</v>
      </c>
    </row>
    <row r="851" spans="1:31" x14ac:dyDescent="0.25">
      <c r="A851">
        <v>44.00553996</v>
      </c>
      <c r="B851">
        <v>116.7593581</v>
      </c>
      <c r="C851">
        <v>6.8444890999999997</v>
      </c>
      <c r="D851">
        <v>8.6077000000000001E-2</v>
      </c>
      <c r="E851" t="b">
        <f t="shared" si="327"/>
        <v>0</v>
      </c>
      <c r="F851">
        <f t="shared" si="328"/>
        <v>-34.136368499999996</v>
      </c>
      <c r="G851">
        <f t="shared" si="329"/>
        <v>-68.358813999999995</v>
      </c>
      <c r="H851">
        <f t="shared" si="330"/>
        <v>-102.58125949999999</v>
      </c>
      <c r="I851">
        <f t="shared" si="331"/>
        <v>-136.80370500000001</v>
      </c>
      <c r="J851">
        <f t="shared" si="332"/>
        <v>-171.0261505</v>
      </c>
      <c r="L851">
        <f t="shared" si="333"/>
        <v>165267.84000000003</v>
      </c>
      <c r="M851">
        <f t="shared" si="334"/>
        <v>-55300916.969999991</v>
      </c>
      <c r="N851">
        <f t="shared" si="335"/>
        <v>-94335163.319999993</v>
      </c>
      <c r="O851">
        <f t="shared" si="336"/>
        <v>-104632884.68999998</v>
      </c>
      <c r="P851">
        <f t="shared" si="337"/>
        <v>-125859408.59999999</v>
      </c>
      <c r="Q851">
        <f t="shared" si="338"/>
        <v>-129979874.38</v>
      </c>
      <c r="S851">
        <f t="shared" si="339"/>
        <v>180761.7</v>
      </c>
      <c r="T851">
        <f t="shared" si="340"/>
        <v>-62128190.669999987</v>
      </c>
      <c r="U851">
        <f t="shared" si="341"/>
        <v>-103221809.14</v>
      </c>
      <c r="V851">
        <f t="shared" si="342"/>
        <v>-109761947.66499996</v>
      </c>
      <c r="W851">
        <f t="shared" si="343"/>
        <v>-146379964.34999996</v>
      </c>
      <c r="X851">
        <f t="shared" si="344"/>
        <v>-148792750.935</v>
      </c>
      <c r="Z851">
        <f>D851*(310+0.8+60)</f>
        <v>31.9173516</v>
      </c>
      <c r="AA851">
        <f t="shared" si="345"/>
        <v>-68955464.36999999</v>
      </c>
      <c r="AB851">
        <f t="shared" si="346"/>
        <v>-112108454.96000001</v>
      </c>
      <c r="AC851">
        <f t="shared" si="347"/>
        <v>-139510512.91999996</v>
      </c>
      <c r="AD851">
        <f t="shared" si="348"/>
        <v>-166900520.09999999</v>
      </c>
      <c r="AE851">
        <f t="shared" si="349"/>
        <v>-167605627.49000001</v>
      </c>
    </row>
    <row r="852" spans="1:31" x14ac:dyDescent="0.25">
      <c r="A852">
        <v>44.078221569999997</v>
      </c>
      <c r="B852">
        <v>87.861687259999997</v>
      </c>
      <c r="C852">
        <v>0.57684994000000001</v>
      </c>
      <c r="D852">
        <v>0.24584900000000001</v>
      </c>
      <c r="E852" t="b">
        <f t="shared" si="327"/>
        <v>0</v>
      </c>
      <c r="F852">
        <f t="shared" si="328"/>
        <v>-2.6384006999999996</v>
      </c>
      <c r="G852">
        <f t="shared" si="329"/>
        <v>-5.5226503999999998</v>
      </c>
      <c r="H852">
        <f t="shared" si="330"/>
        <v>-8.4069000999999997</v>
      </c>
      <c r="I852">
        <f t="shared" si="331"/>
        <v>-11.291149799999999</v>
      </c>
      <c r="J852">
        <f t="shared" si="332"/>
        <v>-14.175399500000001</v>
      </c>
      <c r="L852">
        <f t="shared" si="333"/>
        <v>472030.08</v>
      </c>
      <c r="M852">
        <f t="shared" si="334"/>
        <v>-4274209.1339999996</v>
      </c>
      <c r="N852">
        <f t="shared" si="335"/>
        <v>-7621257.5519999983</v>
      </c>
      <c r="O852">
        <f t="shared" si="336"/>
        <v>-8575038.102</v>
      </c>
      <c r="P852">
        <f t="shared" si="337"/>
        <v>-10387857.815999998</v>
      </c>
      <c r="Q852">
        <f t="shared" si="338"/>
        <v>-10773303.620000001</v>
      </c>
      <c r="S852">
        <f t="shared" si="339"/>
        <v>516282.9</v>
      </c>
      <c r="T852">
        <f t="shared" si="340"/>
        <v>-4801889.2739999993</v>
      </c>
      <c r="U852">
        <f t="shared" si="341"/>
        <v>-8339202.1039999994</v>
      </c>
      <c r="V852">
        <f t="shared" si="342"/>
        <v>-8995383.1069999989</v>
      </c>
      <c r="W852">
        <f t="shared" si="343"/>
        <v>-12081530.285999997</v>
      </c>
      <c r="X852">
        <f t="shared" si="344"/>
        <v>-12332597.565000001</v>
      </c>
      <c r="Z852">
        <f t="shared" ref="Z852:Z853" si="351">D852*(310+0.8+60)</f>
        <v>91.160809200000003</v>
      </c>
      <c r="AA852">
        <f t="shared" si="345"/>
        <v>-5329569.4139999999</v>
      </c>
      <c r="AB852">
        <f t="shared" si="346"/>
        <v>-9057146.6559999995</v>
      </c>
      <c r="AC852">
        <f t="shared" si="347"/>
        <v>-11433384.135999998</v>
      </c>
      <c r="AD852">
        <f t="shared" si="348"/>
        <v>-13775202.755999999</v>
      </c>
      <c r="AE852">
        <f t="shared" si="349"/>
        <v>-13891891.510000002</v>
      </c>
    </row>
    <row r="853" spans="1:31" x14ac:dyDescent="0.25">
      <c r="A853">
        <v>44.094809570000002</v>
      </c>
      <c r="B853">
        <v>116.2028961</v>
      </c>
      <c r="C853">
        <v>6.8444890999999997</v>
      </c>
      <c r="D853">
        <v>0.14443099000000001</v>
      </c>
      <c r="E853" t="b">
        <f t="shared" si="327"/>
        <v>0</v>
      </c>
      <c r="F853">
        <f t="shared" si="328"/>
        <v>-34.078014510000003</v>
      </c>
      <c r="G853">
        <f t="shared" si="329"/>
        <v>-68.300460009999995</v>
      </c>
      <c r="H853">
        <f t="shared" si="330"/>
        <v>-102.52290550999999</v>
      </c>
      <c r="I853">
        <f t="shared" si="331"/>
        <v>-136.74535101000001</v>
      </c>
      <c r="J853">
        <f t="shared" si="332"/>
        <v>-170.96779651</v>
      </c>
      <c r="L853">
        <f t="shared" si="333"/>
        <v>277307.50080000004</v>
      </c>
      <c r="M853">
        <f t="shared" si="334"/>
        <v>-55206383.506200016</v>
      </c>
      <c r="N853">
        <f t="shared" si="335"/>
        <v>-94254634.813799977</v>
      </c>
      <c r="O853">
        <f t="shared" si="336"/>
        <v>-104573363.62019999</v>
      </c>
      <c r="P853">
        <f t="shared" si="337"/>
        <v>-125805722.92920001</v>
      </c>
      <c r="Q853">
        <f t="shared" si="338"/>
        <v>-129935525.3476</v>
      </c>
      <c r="S853">
        <f t="shared" si="339"/>
        <v>303305.07900000003</v>
      </c>
      <c r="T853">
        <f t="shared" si="340"/>
        <v>-62021986.408200011</v>
      </c>
      <c r="U853">
        <f t="shared" si="341"/>
        <v>-103133694.61509998</v>
      </c>
      <c r="V853">
        <f t="shared" si="342"/>
        <v>-109699508.89569998</v>
      </c>
      <c r="W853">
        <f t="shared" si="343"/>
        <v>-146317525.58070001</v>
      </c>
      <c r="X853">
        <f t="shared" si="344"/>
        <v>-148741982.9637</v>
      </c>
      <c r="Z853">
        <f t="shared" si="351"/>
        <v>53.555011092000008</v>
      </c>
      <c r="AA853">
        <f t="shared" si="345"/>
        <v>-68837589.310200006</v>
      </c>
      <c r="AB853">
        <f t="shared" si="346"/>
        <v>-112012754.41639999</v>
      </c>
      <c r="AC853">
        <f t="shared" si="347"/>
        <v>-139431151.49359998</v>
      </c>
      <c r="AD853">
        <f t="shared" si="348"/>
        <v>-166829328.23220003</v>
      </c>
      <c r="AE853">
        <f t="shared" si="349"/>
        <v>-167548440.57979998</v>
      </c>
    </row>
    <row r="854" spans="1:31" x14ac:dyDescent="0.25">
      <c r="A854">
        <v>44.098680109999997</v>
      </c>
      <c r="B854">
        <v>86.379403190000005</v>
      </c>
      <c r="C854">
        <v>1.1536998700000001</v>
      </c>
      <c r="D854">
        <v>5.8879990600000003</v>
      </c>
      <c r="E854" t="b">
        <f t="shared" si="327"/>
        <v>1</v>
      </c>
      <c r="F854">
        <f t="shared" si="328"/>
        <v>0.11949970999999948</v>
      </c>
      <c r="G854">
        <f t="shared" si="329"/>
        <v>-5.6489996400000013</v>
      </c>
      <c r="H854">
        <f t="shared" si="330"/>
        <v>-11.41749899</v>
      </c>
      <c r="I854">
        <f t="shared" si="331"/>
        <v>-17.185998340000005</v>
      </c>
      <c r="J854">
        <f t="shared" si="332"/>
        <v>-22.954497690000004</v>
      </c>
      <c r="L854">
        <f t="shared" si="333"/>
        <v>2215103.7504000003</v>
      </c>
      <c r="M854">
        <f t="shared" si="334"/>
        <v>193589.53019999916</v>
      </c>
      <c r="N854">
        <f t="shared" si="335"/>
        <v>-7795619.5032000011</v>
      </c>
      <c r="O854">
        <f t="shared" si="336"/>
        <v>-11645848.969800001</v>
      </c>
      <c r="P854">
        <f t="shared" si="337"/>
        <v>-15811118.472800002</v>
      </c>
      <c r="Q854">
        <f t="shared" si="338"/>
        <v>-17445418.244400006</v>
      </c>
      <c r="S854">
        <f t="shared" si="339"/>
        <v>2422769.7270000004</v>
      </c>
      <c r="T854">
        <f t="shared" si="340"/>
        <v>217489.47219999906</v>
      </c>
      <c r="U854">
        <f t="shared" si="341"/>
        <v>-8529989.4564000033</v>
      </c>
      <c r="V854">
        <f t="shared" si="342"/>
        <v>-12216723.919299999</v>
      </c>
      <c r="W854">
        <f t="shared" si="343"/>
        <v>-18389018.2238</v>
      </c>
      <c r="X854">
        <f t="shared" si="344"/>
        <v>-19970412.990300003</v>
      </c>
      <c r="Z854">
        <f>C854*(310+0.8+60)</f>
        <v>427.79191179600002</v>
      </c>
      <c r="AA854">
        <f t="shared" si="345"/>
        <v>241389.41419999895</v>
      </c>
      <c r="AB854">
        <f t="shared" si="346"/>
        <v>-9264359.4096000027</v>
      </c>
      <c r="AC854">
        <f t="shared" si="347"/>
        <v>-15527798.626399999</v>
      </c>
      <c r="AD854">
        <f t="shared" si="348"/>
        <v>-20966917.974800006</v>
      </c>
      <c r="AE854">
        <f t="shared" si="349"/>
        <v>-22495407.736200005</v>
      </c>
    </row>
    <row r="855" spans="1:31" x14ac:dyDescent="0.25">
      <c r="A855">
        <v>44.108479469999999</v>
      </c>
      <c r="B855">
        <v>88.430553840000002</v>
      </c>
      <c r="C855">
        <v>0.99019259000000004</v>
      </c>
      <c r="D855">
        <v>0.60714900000000005</v>
      </c>
      <c r="E855" t="b">
        <f t="shared" si="327"/>
        <v>0</v>
      </c>
      <c r="F855">
        <f t="shared" si="328"/>
        <v>-4.3438139500000004</v>
      </c>
      <c r="G855">
        <f t="shared" si="329"/>
        <v>-9.2947769000000005</v>
      </c>
      <c r="H855">
        <f t="shared" si="330"/>
        <v>-14.245739850000001</v>
      </c>
      <c r="I855">
        <f t="shared" si="331"/>
        <v>-19.196702800000001</v>
      </c>
      <c r="J855">
        <f t="shared" si="332"/>
        <v>-24.147665750000002</v>
      </c>
      <c r="L855">
        <f t="shared" si="333"/>
        <v>1165726.08</v>
      </c>
      <c r="M855">
        <f t="shared" si="334"/>
        <v>-7036978.5990000004</v>
      </c>
      <c r="N855">
        <f t="shared" si="335"/>
        <v>-12826792.122</v>
      </c>
      <c r="O855">
        <f t="shared" si="336"/>
        <v>-14530654.647000002</v>
      </c>
      <c r="P855">
        <f t="shared" si="337"/>
        <v>-17660966.575999998</v>
      </c>
      <c r="Q855">
        <f t="shared" si="338"/>
        <v>-18352225.969999999</v>
      </c>
      <c r="S855">
        <f t="shared" si="339"/>
        <v>1275012.9000000001</v>
      </c>
      <c r="T855">
        <f t="shared" si="340"/>
        <v>-7905741.3890000004</v>
      </c>
      <c r="U855">
        <f t="shared" si="341"/>
        <v>-14035113.119000001</v>
      </c>
      <c r="V855">
        <f t="shared" si="342"/>
        <v>-15242941.6395</v>
      </c>
      <c r="W855">
        <f t="shared" si="343"/>
        <v>-20540471.995999999</v>
      </c>
      <c r="X855">
        <f t="shared" si="344"/>
        <v>-21008469.202500001</v>
      </c>
      <c r="Z855">
        <f>D855*(310+0.8+60)</f>
        <v>225.13084920000003</v>
      </c>
      <c r="AA855">
        <f t="shared" si="345"/>
        <v>-8774504.1789999995</v>
      </c>
      <c r="AB855">
        <f t="shared" si="346"/>
        <v>-15243434.116000002</v>
      </c>
      <c r="AC855">
        <f t="shared" si="347"/>
        <v>-19374206.195999999</v>
      </c>
      <c r="AD855">
        <f t="shared" si="348"/>
        <v>-23419977.416000001</v>
      </c>
      <c r="AE855">
        <f t="shared" si="349"/>
        <v>-23664712.434999999</v>
      </c>
    </row>
    <row r="856" spans="1:31" x14ac:dyDescent="0.25">
      <c r="A856">
        <v>44.123084720000001</v>
      </c>
      <c r="B856">
        <v>89.259099410000005</v>
      </c>
      <c r="C856">
        <v>4.0650010099999996</v>
      </c>
      <c r="D856">
        <v>4.7651238400000002</v>
      </c>
      <c r="E856" t="b">
        <f t="shared" si="327"/>
        <v>1</v>
      </c>
      <c r="F856">
        <f t="shared" si="328"/>
        <v>-15.559881209999997</v>
      </c>
      <c r="G856">
        <f t="shared" si="329"/>
        <v>-35.884886259999995</v>
      </c>
      <c r="H856">
        <f t="shared" si="330"/>
        <v>-56.209891309999989</v>
      </c>
      <c r="I856">
        <f t="shared" si="331"/>
        <v>-76.534896359999991</v>
      </c>
      <c r="J856">
        <f t="shared" si="332"/>
        <v>-96.859901409999992</v>
      </c>
      <c r="L856">
        <f t="shared" si="333"/>
        <v>7804801.9391999999</v>
      </c>
      <c r="M856">
        <f t="shared" si="334"/>
        <v>-25207007.560199998</v>
      </c>
      <c r="N856">
        <f t="shared" si="335"/>
        <v>-49521143.038799994</v>
      </c>
      <c r="O856">
        <f t="shared" si="336"/>
        <v>-57334089.136199988</v>
      </c>
      <c r="P856">
        <f t="shared" si="337"/>
        <v>-70412104.651199982</v>
      </c>
      <c r="Q856">
        <f t="shared" si="338"/>
        <v>-73613525.071600005</v>
      </c>
      <c r="S856">
        <f t="shared" si="339"/>
        <v>8536502.1209999993</v>
      </c>
      <c r="T856">
        <f t="shared" si="340"/>
        <v>-28318983.802199997</v>
      </c>
      <c r="U856">
        <f t="shared" si="341"/>
        <v>-54186178.252599999</v>
      </c>
      <c r="V856">
        <f t="shared" si="342"/>
        <v>-60144583.70169998</v>
      </c>
      <c r="W856">
        <f t="shared" si="343"/>
        <v>-81892339.105199978</v>
      </c>
      <c r="X856">
        <f t="shared" si="344"/>
        <v>-84268114.226699993</v>
      </c>
      <c r="Z856">
        <f>C856*(310+0.8+60)</f>
        <v>1507.302374508</v>
      </c>
      <c r="AA856">
        <f t="shared" si="345"/>
        <v>-31430960.044199996</v>
      </c>
      <c r="AB856">
        <f t="shared" si="346"/>
        <v>-58851213.466399997</v>
      </c>
      <c r="AC856">
        <f t="shared" si="347"/>
        <v>-76445452.181599975</v>
      </c>
      <c r="AD856">
        <f t="shared" si="348"/>
        <v>-93372573.559199974</v>
      </c>
      <c r="AE856">
        <f t="shared" si="349"/>
        <v>-94922703.381799996</v>
      </c>
    </row>
    <row r="857" spans="1:31" x14ac:dyDescent="0.25">
      <c r="A857">
        <v>44.180376420000002</v>
      </c>
      <c r="B857">
        <v>85.389232899999996</v>
      </c>
      <c r="C857">
        <v>0.72106236000000001</v>
      </c>
      <c r="D857">
        <v>1.8795649999999999</v>
      </c>
      <c r="E857" t="b">
        <f t="shared" si="327"/>
        <v>1</v>
      </c>
      <c r="F857">
        <f t="shared" si="328"/>
        <v>-1.7257468</v>
      </c>
      <c r="G857">
        <f t="shared" si="329"/>
        <v>-5.3310586000000004</v>
      </c>
      <c r="H857">
        <f t="shared" si="330"/>
        <v>-8.9363704000000013</v>
      </c>
      <c r="I857">
        <f t="shared" si="331"/>
        <v>-12.5416822</v>
      </c>
      <c r="J857">
        <f t="shared" si="332"/>
        <v>-16.146993999999999</v>
      </c>
      <c r="L857">
        <f t="shared" si="333"/>
        <v>1384439.7312</v>
      </c>
      <c r="M857">
        <f t="shared" si="334"/>
        <v>-2795709.8160000001</v>
      </c>
      <c r="N857">
        <f t="shared" si="335"/>
        <v>-7356860.8679999998</v>
      </c>
      <c r="O857">
        <f t="shared" si="336"/>
        <v>-9115097.8080000002</v>
      </c>
      <c r="P857">
        <f t="shared" si="337"/>
        <v>-11538347.624</v>
      </c>
      <c r="Q857">
        <f t="shared" si="338"/>
        <v>-12271715.439999999</v>
      </c>
      <c r="S857">
        <f t="shared" si="339"/>
        <v>1514230.956</v>
      </c>
      <c r="T857">
        <f t="shared" si="340"/>
        <v>-3140859.176</v>
      </c>
      <c r="U857">
        <f t="shared" si="341"/>
        <v>-8049898.4860000005</v>
      </c>
      <c r="V857">
        <f t="shared" si="342"/>
        <v>-9561916.3279999997</v>
      </c>
      <c r="W857">
        <f t="shared" si="343"/>
        <v>-13419599.954</v>
      </c>
      <c r="X857">
        <f t="shared" si="344"/>
        <v>-14047884.779999999</v>
      </c>
      <c r="Z857">
        <f>C857*(310+0.8+60)</f>
        <v>267.36992308800001</v>
      </c>
      <c r="AA857">
        <f t="shared" si="345"/>
        <v>-3486008.5360000003</v>
      </c>
      <c r="AB857">
        <f t="shared" si="346"/>
        <v>-8742936.1040000021</v>
      </c>
      <c r="AC857">
        <f t="shared" si="347"/>
        <v>-12153463.743999999</v>
      </c>
      <c r="AD857">
        <f t="shared" si="348"/>
        <v>-15300852.284000002</v>
      </c>
      <c r="AE857">
        <f t="shared" si="349"/>
        <v>-15824054.119999999</v>
      </c>
    </row>
    <row r="858" spans="1:31" x14ac:dyDescent="0.25">
      <c r="A858">
        <v>44.183477359999998</v>
      </c>
      <c r="B858">
        <v>114.25170679999999</v>
      </c>
      <c r="C858">
        <v>6.3704409599999998</v>
      </c>
      <c r="D858">
        <v>0.43200701000000002</v>
      </c>
      <c r="E858" t="b">
        <f t="shared" si="327"/>
        <v>0</v>
      </c>
      <c r="F858">
        <f t="shared" si="328"/>
        <v>-31.42019779</v>
      </c>
      <c r="G858">
        <f t="shared" si="329"/>
        <v>-63.272402589999999</v>
      </c>
      <c r="H858">
        <f t="shared" si="330"/>
        <v>-95.124607389999994</v>
      </c>
      <c r="I858">
        <f t="shared" si="331"/>
        <v>-126.97681218999999</v>
      </c>
      <c r="J858">
        <f t="shared" si="332"/>
        <v>-158.82901698999999</v>
      </c>
      <c r="L858">
        <f t="shared" si="333"/>
        <v>829453.45920000004</v>
      </c>
      <c r="M858">
        <f t="shared" si="334"/>
        <v>-50900720.419799998</v>
      </c>
      <c r="N858">
        <f t="shared" si="335"/>
        <v>-87315915.574199989</v>
      </c>
      <c r="O858">
        <f t="shared" si="336"/>
        <v>-97027099.537799999</v>
      </c>
      <c r="P858">
        <f t="shared" si="337"/>
        <v>-116818667.21479997</v>
      </c>
      <c r="Q858">
        <f t="shared" si="338"/>
        <v>-120710052.91239999</v>
      </c>
      <c r="S858">
        <f t="shared" si="339"/>
        <v>907214.72100000002</v>
      </c>
      <c r="T858">
        <f t="shared" si="340"/>
        <v>-57184759.977799997</v>
      </c>
      <c r="U858">
        <f t="shared" si="341"/>
        <v>-95541327.910899997</v>
      </c>
      <c r="V858">
        <f t="shared" si="342"/>
        <v>-101783329.90729998</v>
      </c>
      <c r="W858">
        <f t="shared" si="343"/>
        <v>-135865189.04329997</v>
      </c>
      <c r="X858">
        <f t="shared" si="344"/>
        <v>-138181244.78129998</v>
      </c>
      <c r="Z858">
        <f>D858*(310+0.8+60)</f>
        <v>160.18819930800001</v>
      </c>
      <c r="AA858">
        <f t="shared" si="345"/>
        <v>-63468799.535799995</v>
      </c>
      <c r="AB858">
        <f t="shared" si="346"/>
        <v>-103766740.2476</v>
      </c>
      <c r="AC858">
        <f t="shared" si="347"/>
        <v>-129369466.05039999</v>
      </c>
      <c r="AD858">
        <f t="shared" si="348"/>
        <v>-154911710.87179998</v>
      </c>
      <c r="AE858">
        <f t="shared" si="349"/>
        <v>-155652436.65019998</v>
      </c>
    </row>
    <row r="859" spans="1:31" x14ac:dyDescent="0.25">
      <c r="A859">
        <v>44.185672109999999</v>
      </c>
      <c r="B859">
        <v>88.667336309999996</v>
      </c>
      <c r="C859">
        <v>0.99019259000000004</v>
      </c>
      <c r="D859">
        <v>2.80169201</v>
      </c>
      <c r="E859" t="b">
        <f t="shared" si="327"/>
        <v>1</v>
      </c>
      <c r="F859">
        <f t="shared" si="328"/>
        <v>-2.1492709400000001</v>
      </c>
      <c r="G859">
        <f t="shared" si="329"/>
        <v>-7.1002338900000002</v>
      </c>
      <c r="H859">
        <f t="shared" si="330"/>
        <v>-12.051196840000001</v>
      </c>
      <c r="I859">
        <f t="shared" si="331"/>
        <v>-17.00215979</v>
      </c>
      <c r="J859">
        <f t="shared" si="332"/>
        <v>-21.953122740000001</v>
      </c>
      <c r="L859">
        <f t="shared" si="333"/>
        <v>1901169.7728000004</v>
      </c>
      <c r="M859">
        <f t="shared" si="334"/>
        <v>-3481818.9228000003</v>
      </c>
      <c r="N859">
        <f t="shared" si="335"/>
        <v>-9798322.7682000007</v>
      </c>
      <c r="O859">
        <f t="shared" si="336"/>
        <v>-12292220.776800001</v>
      </c>
      <c r="P859">
        <f t="shared" si="337"/>
        <v>-15641987.006799998</v>
      </c>
      <c r="Q859">
        <f t="shared" si="338"/>
        <v>-16684373.282400003</v>
      </c>
      <c r="S859">
        <f t="shared" si="339"/>
        <v>2079404.4390000002</v>
      </c>
      <c r="T859">
        <f t="shared" si="340"/>
        <v>-3911673.1107999999</v>
      </c>
      <c r="U859">
        <f t="shared" si="341"/>
        <v>-10721353.173900001</v>
      </c>
      <c r="V859">
        <f t="shared" si="342"/>
        <v>-12894780.618799999</v>
      </c>
      <c r="W859">
        <f t="shared" si="343"/>
        <v>-18192310.975299995</v>
      </c>
      <c r="X859">
        <f t="shared" si="344"/>
        <v>-19099216.783800002</v>
      </c>
      <c r="Z859">
        <f>C859*(310+0.8+60)</f>
        <v>367.16341237200004</v>
      </c>
      <c r="AA859">
        <f t="shared" si="345"/>
        <v>-4341527.2988</v>
      </c>
      <c r="AB859">
        <f t="shared" si="346"/>
        <v>-11644383.579600003</v>
      </c>
      <c r="AC859">
        <f t="shared" si="347"/>
        <v>-16389627.702400001</v>
      </c>
      <c r="AD859">
        <f t="shared" si="348"/>
        <v>-20742634.943799999</v>
      </c>
      <c r="AE859">
        <f t="shared" si="349"/>
        <v>-21514060.2852</v>
      </c>
    </row>
    <row r="860" spans="1:31" x14ac:dyDescent="0.25">
      <c r="A860">
        <v>44.242405609999999</v>
      </c>
      <c r="B860">
        <v>88.396390510000003</v>
      </c>
      <c r="C860">
        <v>0.99019259000000004</v>
      </c>
      <c r="D860">
        <v>4.9582000000000001E-2</v>
      </c>
      <c r="E860" t="b">
        <f t="shared" si="327"/>
        <v>0</v>
      </c>
      <c r="F860">
        <f t="shared" si="328"/>
        <v>-4.9013809500000001</v>
      </c>
      <c r="G860">
        <f t="shared" si="329"/>
        <v>-9.852343900000001</v>
      </c>
      <c r="H860">
        <f t="shared" si="330"/>
        <v>-14.803306850000002</v>
      </c>
      <c r="I860">
        <f t="shared" si="331"/>
        <v>-19.754269799999999</v>
      </c>
      <c r="J860">
        <f t="shared" si="332"/>
        <v>-24.70523275</v>
      </c>
      <c r="L860">
        <f t="shared" si="333"/>
        <v>95197.440000000002</v>
      </c>
      <c r="M860">
        <f t="shared" si="334"/>
        <v>-7940237.1390000004</v>
      </c>
      <c r="N860">
        <f t="shared" si="335"/>
        <v>-13596234.581999999</v>
      </c>
      <c r="O860">
        <f t="shared" si="336"/>
        <v>-15099372.987000002</v>
      </c>
      <c r="P860">
        <f t="shared" si="337"/>
        <v>-18173928.215999998</v>
      </c>
      <c r="Q860">
        <f t="shared" si="338"/>
        <v>-18775976.890000001</v>
      </c>
      <c r="S860">
        <f t="shared" si="339"/>
        <v>104122.20000000001</v>
      </c>
      <c r="T860">
        <f t="shared" si="340"/>
        <v>-8920513.3289999999</v>
      </c>
      <c r="U860">
        <f t="shared" si="341"/>
        <v>-14877039.289000001</v>
      </c>
      <c r="V860">
        <f t="shared" si="342"/>
        <v>-15839538.329499999</v>
      </c>
      <c r="W860">
        <f t="shared" si="343"/>
        <v>-21137068.685999997</v>
      </c>
      <c r="X860">
        <f t="shared" si="344"/>
        <v>-21493552.4925</v>
      </c>
      <c r="Z860">
        <f>D860*(310+0.8+60)</f>
        <v>18.3850056</v>
      </c>
      <c r="AA860">
        <f t="shared" si="345"/>
        <v>-9900789.5190000013</v>
      </c>
      <c r="AB860">
        <f t="shared" si="346"/>
        <v>-16157843.996000001</v>
      </c>
      <c r="AC860">
        <f t="shared" si="347"/>
        <v>-20132497.316</v>
      </c>
      <c r="AD860">
        <f t="shared" si="348"/>
        <v>-24100209.155999999</v>
      </c>
      <c r="AE860">
        <f t="shared" si="349"/>
        <v>-24211128.094999999</v>
      </c>
    </row>
    <row r="861" spans="1:31" x14ac:dyDescent="0.25">
      <c r="A861">
        <v>44.257211079999998</v>
      </c>
      <c r="B861">
        <v>89.22652377</v>
      </c>
      <c r="C861">
        <v>4.0650010099999996</v>
      </c>
      <c r="D861">
        <v>7.7794241900000003</v>
      </c>
      <c r="E861" t="b">
        <f t="shared" si="327"/>
        <v>1</v>
      </c>
      <c r="F861">
        <f t="shared" si="328"/>
        <v>-12.545580859999998</v>
      </c>
      <c r="G861">
        <f t="shared" si="329"/>
        <v>-32.870585909999996</v>
      </c>
      <c r="H861">
        <f t="shared" si="330"/>
        <v>-53.19559095999999</v>
      </c>
      <c r="I861">
        <f t="shared" si="331"/>
        <v>-73.520596009999991</v>
      </c>
      <c r="J861">
        <f t="shared" si="332"/>
        <v>-93.845601059999993</v>
      </c>
      <c r="L861">
        <f t="shared" si="333"/>
        <v>7804801.9391999999</v>
      </c>
      <c r="M861">
        <f t="shared" si="334"/>
        <v>-20323840.993199997</v>
      </c>
      <c r="N861">
        <f t="shared" si="335"/>
        <v>-45361408.555799991</v>
      </c>
      <c r="O861">
        <f t="shared" si="336"/>
        <v>-54259502.779199995</v>
      </c>
      <c r="P861">
        <f t="shared" si="337"/>
        <v>-67638948.329199985</v>
      </c>
      <c r="Q861">
        <f t="shared" si="338"/>
        <v>-71322656.805599988</v>
      </c>
      <c r="S861">
        <f t="shared" si="339"/>
        <v>8536502.1209999993</v>
      </c>
      <c r="T861">
        <f t="shared" si="340"/>
        <v>-22832957.165199995</v>
      </c>
      <c r="U861">
        <f t="shared" si="341"/>
        <v>-49634584.724099994</v>
      </c>
      <c r="V861">
        <f t="shared" si="342"/>
        <v>-56919282.327199988</v>
      </c>
      <c r="W861">
        <f t="shared" si="343"/>
        <v>-78667037.730699971</v>
      </c>
      <c r="X861">
        <f t="shared" si="344"/>
        <v>-81645672.922199994</v>
      </c>
      <c r="Z861">
        <f>C861*(310+0.8+60)</f>
        <v>1507.302374508</v>
      </c>
      <c r="AA861">
        <f t="shared" si="345"/>
        <v>-25342073.337199993</v>
      </c>
      <c r="AB861">
        <f t="shared" si="346"/>
        <v>-53907760.892399997</v>
      </c>
      <c r="AC861">
        <f t="shared" si="347"/>
        <v>-72346003.705599979</v>
      </c>
      <c r="AD861">
        <f t="shared" si="348"/>
        <v>-89695127.132199988</v>
      </c>
      <c r="AE861">
        <f t="shared" si="349"/>
        <v>-91968689.038799986</v>
      </c>
    </row>
    <row r="862" spans="1:31" x14ac:dyDescent="0.25">
      <c r="A862">
        <v>44.280025479999999</v>
      </c>
      <c r="B862">
        <v>84.841987630000006</v>
      </c>
      <c r="C862">
        <v>9.2245469999999996E-2</v>
      </c>
      <c r="D862">
        <v>0.44358301</v>
      </c>
      <c r="E862" t="b">
        <f t="shared" si="327"/>
        <v>1</v>
      </c>
      <c r="F862">
        <f t="shared" si="328"/>
        <v>-1.7644339999999981E-2</v>
      </c>
      <c r="G862">
        <f t="shared" si="329"/>
        <v>-0.47887168999999996</v>
      </c>
      <c r="H862">
        <f t="shared" si="330"/>
        <v>-0.94009904</v>
      </c>
      <c r="I862">
        <f t="shared" si="331"/>
        <v>-1.4013263899999999</v>
      </c>
      <c r="J862">
        <f t="shared" si="332"/>
        <v>-1.8625537399999998</v>
      </c>
      <c r="L862">
        <f t="shared" si="333"/>
        <v>177111.30240000002</v>
      </c>
      <c r="M862">
        <f t="shared" si="334"/>
        <v>-28583.830799999974</v>
      </c>
      <c r="N862">
        <f t="shared" si="335"/>
        <v>-660842.93219999992</v>
      </c>
      <c r="O862">
        <f t="shared" si="336"/>
        <v>-958901.02080000006</v>
      </c>
      <c r="P862">
        <f t="shared" si="337"/>
        <v>-1289220.2787999997</v>
      </c>
      <c r="Q862">
        <f t="shared" si="338"/>
        <v>-1415540.8423999997</v>
      </c>
      <c r="S862">
        <f t="shared" si="339"/>
        <v>193715.48700000002</v>
      </c>
      <c r="T862">
        <f t="shared" si="340"/>
        <v>-32112.698799999969</v>
      </c>
      <c r="U862">
        <f t="shared" si="341"/>
        <v>-723096.25189999992</v>
      </c>
      <c r="V862">
        <f t="shared" si="342"/>
        <v>-1005905.9727999999</v>
      </c>
      <c r="W862">
        <f t="shared" si="343"/>
        <v>-1499419.2372999997</v>
      </c>
      <c r="X862">
        <f t="shared" si="344"/>
        <v>-1620421.7537999998</v>
      </c>
      <c r="Z862">
        <f>C862*(310+0.8+60)</f>
        <v>34.204620276</v>
      </c>
      <c r="AA862">
        <f t="shared" si="345"/>
        <v>-35641.566799999964</v>
      </c>
      <c r="AB862">
        <f t="shared" si="346"/>
        <v>-785349.57160000002</v>
      </c>
      <c r="AC862">
        <f t="shared" si="347"/>
        <v>-1278534.6943999999</v>
      </c>
      <c r="AD862">
        <f t="shared" si="348"/>
        <v>-1709618.1957999999</v>
      </c>
      <c r="AE862">
        <f t="shared" si="349"/>
        <v>-1825302.6651999997</v>
      </c>
    </row>
    <row r="863" spans="1:31" x14ac:dyDescent="0.25">
      <c r="A863">
        <v>44.28906096</v>
      </c>
      <c r="B863">
        <v>112.30044650000001</v>
      </c>
      <c r="C863">
        <v>6.3704409599999998</v>
      </c>
      <c r="D863">
        <v>1.4415719499999999</v>
      </c>
      <c r="E863" t="b">
        <f t="shared" si="327"/>
        <v>0</v>
      </c>
      <c r="F863">
        <f t="shared" si="328"/>
        <v>-30.410632849999999</v>
      </c>
      <c r="G863">
        <f t="shared" si="329"/>
        <v>-62.262837650000002</v>
      </c>
      <c r="H863">
        <f t="shared" si="330"/>
        <v>-94.115042450000004</v>
      </c>
      <c r="I863">
        <f t="shared" si="331"/>
        <v>-125.96724725</v>
      </c>
      <c r="J863">
        <f t="shared" si="332"/>
        <v>-157.81945205</v>
      </c>
      <c r="L863">
        <f t="shared" si="333"/>
        <v>2767818.1440000003</v>
      </c>
      <c r="M863">
        <f t="shared" si="334"/>
        <v>-49265225.217</v>
      </c>
      <c r="N863">
        <f t="shared" si="335"/>
        <v>-85922715.956999987</v>
      </c>
      <c r="O863">
        <f t="shared" si="336"/>
        <v>-95997343.29900001</v>
      </c>
      <c r="P863">
        <f t="shared" si="337"/>
        <v>-115889867.46999998</v>
      </c>
      <c r="Q863">
        <f t="shared" si="338"/>
        <v>-119942783.55799998</v>
      </c>
      <c r="S863">
        <f t="shared" si="339"/>
        <v>3027301.0950000002</v>
      </c>
      <c r="T863">
        <f t="shared" si="340"/>
        <v>-55347351.787</v>
      </c>
      <c r="U863">
        <f t="shared" si="341"/>
        <v>-94016884.851500005</v>
      </c>
      <c r="V863">
        <f t="shared" si="342"/>
        <v>-100703095.42149998</v>
      </c>
      <c r="W863">
        <f t="shared" si="343"/>
        <v>-134784954.55749997</v>
      </c>
      <c r="X863">
        <f t="shared" si="344"/>
        <v>-137302923.28349999</v>
      </c>
      <c r="Z863">
        <f>D863*(310+0.8+60)</f>
        <v>534.53487905999998</v>
      </c>
      <c r="AA863">
        <f t="shared" si="345"/>
        <v>-61429478.356999993</v>
      </c>
      <c r="AB863">
        <f t="shared" si="346"/>
        <v>-102111053.74600001</v>
      </c>
      <c r="AC863">
        <f t="shared" si="347"/>
        <v>-127996457.73199999</v>
      </c>
      <c r="AD863">
        <f t="shared" si="348"/>
        <v>-153680041.64500001</v>
      </c>
      <c r="AE863">
        <f t="shared" si="349"/>
        <v>-154663063.00899997</v>
      </c>
    </row>
    <row r="864" spans="1:31" x14ac:dyDescent="0.25">
      <c r="A864">
        <v>44.319629630000001</v>
      </c>
      <c r="B864">
        <v>88.633591010000004</v>
      </c>
      <c r="C864">
        <v>0.99019259000000004</v>
      </c>
      <c r="D864">
        <v>2.0048689799999999</v>
      </c>
      <c r="E864" t="b">
        <f t="shared" si="327"/>
        <v>1</v>
      </c>
      <c r="F864">
        <f t="shared" si="328"/>
        <v>-2.9460939700000002</v>
      </c>
      <c r="G864">
        <f t="shared" si="329"/>
        <v>-7.8970569200000007</v>
      </c>
      <c r="H864">
        <f t="shared" si="330"/>
        <v>-12.848019870000002</v>
      </c>
      <c r="I864">
        <f t="shared" si="331"/>
        <v>-17.798982819999999</v>
      </c>
      <c r="J864">
        <f t="shared" si="332"/>
        <v>-22.74994577</v>
      </c>
      <c r="L864">
        <f t="shared" si="333"/>
        <v>1901169.7728000004</v>
      </c>
      <c r="M864">
        <f t="shared" si="334"/>
        <v>-4772672.2314000009</v>
      </c>
      <c r="N864">
        <f t="shared" si="335"/>
        <v>-10897938.5496</v>
      </c>
      <c r="O864">
        <f t="shared" si="336"/>
        <v>-13104980.267400002</v>
      </c>
      <c r="P864">
        <f t="shared" si="337"/>
        <v>-16375064.194399999</v>
      </c>
      <c r="Q864">
        <f t="shared" si="338"/>
        <v>-17289958.7852</v>
      </c>
      <c r="S864">
        <f t="shared" si="339"/>
        <v>2079404.4390000002</v>
      </c>
      <c r="T864">
        <f t="shared" si="340"/>
        <v>-5361891.0254000006</v>
      </c>
      <c r="U864">
        <f t="shared" si="341"/>
        <v>-11924555.949200001</v>
      </c>
      <c r="V864">
        <f t="shared" si="342"/>
        <v>-13747381.260899998</v>
      </c>
      <c r="W864">
        <f t="shared" si="343"/>
        <v>-19044911.617399998</v>
      </c>
      <c r="X864">
        <f t="shared" si="344"/>
        <v>-19792452.819899999</v>
      </c>
      <c r="Z864">
        <f>C864*(310+0.8+60)</f>
        <v>367.16341237200004</v>
      </c>
      <c r="AA864">
        <f t="shared" si="345"/>
        <v>-5951109.8194000004</v>
      </c>
      <c r="AB864">
        <f t="shared" si="346"/>
        <v>-12951173.348800002</v>
      </c>
      <c r="AC864">
        <f t="shared" si="347"/>
        <v>-17473307.023200002</v>
      </c>
      <c r="AD864">
        <f t="shared" si="348"/>
        <v>-21714759.040399998</v>
      </c>
      <c r="AE864">
        <f t="shared" si="349"/>
        <v>-22294946.854599997</v>
      </c>
    </row>
    <row r="865" spans="1:31" x14ac:dyDescent="0.25">
      <c r="A865">
        <v>44.335754029999997</v>
      </c>
      <c r="B865">
        <v>88.757986759999994</v>
      </c>
      <c r="C865">
        <v>4.0650010099999996</v>
      </c>
      <c r="D865">
        <v>3.2373490299999998</v>
      </c>
      <c r="E865" t="b">
        <f t="shared" si="327"/>
        <v>0</v>
      </c>
      <c r="F865">
        <f t="shared" si="328"/>
        <v>-17.087656019999997</v>
      </c>
      <c r="G865">
        <f t="shared" si="329"/>
        <v>-37.412661069999999</v>
      </c>
      <c r="H865">
        <f t="shared" si="330"/>
        <v>-57.737666119999993</v>
      </c>
      <c r="I865">
        <f t="shared" si="331"/>
        <v>-78.062671169999987</v>
      </c>
      <c r="J865">
        <f t="shared" si="332"/>
        <v>-98.387676219999989</v>
      </c>
      <c r="L865">
        <f t="shared" si="333"/>
        <v>6215710.1376</v>
      </c>
      <c r="M865">
        <f t="shared" si="334"/>
        <v>-27682002.752399996</v>
      </c>
      <c r="N865">
        <f t="shared" si="335"/>
        <v>-51629472.276599996</v>
      </c>
      <c r="O865">
        <f t="shared" si="336"/>
        <v>-58892419.442399994</v>
      </c>
      <c r="P865">
        <f t="shared" si="337"/>
        <v>-71817657.476399988</v>
      </c>
      <c r="Q865">
        <f t="shared" si="338"/>
        <v>-74774633.92719999</v>
      </c>
      <c r="S865">
        <f t="shared" si="339"/>
        <v>6798432.9629999995</v>
      </c>
      <c r="T865">
        <f t="shared" si="340"/>
        <v>-31099533.956399992</v>
      </c>
      <c r="U865">
        <f t="shared" si="341"/>
        <v>-56493118.215700001</v>
      </c>
      <c r="V865">
        <f t="shared" si="342"/>
        <v>-61779302.74839998</v>
      </c>
      <c r="W865">
        <f t="shared" si="343"/>
        <v>-83527058.151899979</v>
      </c>
      <c r="X865">
        <f t="shared" si="344"/>
        <v>-85597278.311399981</v>
      </c>
      <c r="Z865">
        <f>D865*(310+0.8+60)</f>
        <v>1200.409020324</v>
      </c>
      <c r="AA865">
        <f t="shared" si="345"/>
        <v>-34517065.160399988</v>
      </c>
      <c r="AB865">
        <f t="shared" si="346"/>
        <v>-61356764.154800005</v>
      </c>
      <c r="AC865">
        <f t="shared" si="347"/>
        <v>-78523225.923199981</v>
      </c>
      <c r="AD865">
        <f t="shared" si="348"/>
        <v>-95236458.827399984</v>
      </c>
      <c r="AE865">
        <f t="shared" si="349"/>
        <v>-96419922.695599988</v>
      </c>
    </row>
    <row r="866" spans="1:31" x14ac:dyDescent="0.25">
      <c r="A866">
        <v>44.416933999999998</v>
      </c>
      <c r="B866">
        <v>125.0233862</v>
      </c>
      <c r="C866">
        <v>14.23618984</v>
      </c>
      <c r="D866">
        <v>4.8970000000000003E-3</v>
      </c>
      <c r="E866" t="b">
        <f t="shared" si="327"/>
        <v>0</v>
      </c>
      <c r="F866">
        <f t="shared" si="328"/>
        <v>-71.176052200000001</v>
      </c>
      <c r="G866">
        <f t="shared" si="329"/>
        <v>-142.3570014</v>
      </c>
      <c r="H866">
        <f t="shared" si="330"/>
        <v>-213.53795059999999</v>
      </c>
      <c r="I866">
        <f t="shared" si="331"/>
        <v>-284.71889979999997</v>
      </c>
      <c r="J866">
        <f t="shared" si="332"/>
        <v>-355.89984899999996</v>
      </c>
      <c r="L866">
        <f t="shared" si="333"/>
        <v>9402.2400000000016</v>
      </c>
      <c r="M866">
        <f t="shared" si="334"/>
        <v>-115305204.56400001</v>
      </c>
      <c r="N866">
        <f t="shared" si="335"/>
        <v>-196452661.93199998</v>
      </c>
      <c r="O866">
        <f t="shared" si="336"/>
        <v>-217808709.61199999</v>
      </c>
      <c r="P866">
        <f t="shared" si="337"/>
        <v>-261941387.81599993</v>
      </c>
      <c r="Q866">
        <f t="shared" si="338"/>
        <v>-270483885.23999995</v>
      </c>
      <c r="S866">
        <f t="shared" si="339"/>
        <v>10283.700000000001</v>
      </c>
      <c r="T866">
        <f t="shared" si="340"/>
        <v>-129540415.00400001</v>
      </c>
      <c r="U866">
        <f t="shared" si="341"/>
        <v>-214959072.11400002</v>
      </c>
      <c r="V866">
        <f t="shared" si="342"/>
        <v>-228485607.14199996</v>
      </c>
      <c r="W866">
        <f t="shared" si="343"/>
        <v>-304649222.78599989</v>
      </c>
      <c r="X866">
        <f t="shared" si="344"/>
        <v>-309632868.62999994</v>
      </c>
      <c r="Z866">
        <f>D866*(310+0.8+60)</f>
        <v>1.8158076000000001</v>
      </c>
      <c r="AA866">
        <f t="shared" si="345"/>
        <v>-143775625.44400001</v>
      </c>
      <c r="AB866">
        <f t="shared" si="346"/>
        <v>-233465482.29600003</v>
      </c>
      <c r="AC866">
        <f t="shared" si="347"/>
        <v>-290411612.81599998</v>
      </c>
      <c r="AD866">
        <f t="shared" si="348"/>
        <v>-347357057.75599992</v>
      </c>
      <c r="AE866">
        <f t="shared" si="349"/>
        <v>-348781852.01999992</v>
      </c>
    </row>
    <row r="867" spans="1:31" x14ac:dyDescent="0.25">
      <c r="A867">
        <v>44.514306560000001</v>
      </c>
      <c r="B867">
        <v>88.713100159999996</v>
      </c>
      <c r="C867">
        <v>0.99019259000000004</v>
      </c>
      <c r="D867">
        <v>4.4148359299999997</v>
      </c>
      <c r="E867" t="b">
        <f t="shared" si="327"/>
        <v>1</v>
      </c>
      <c r="F867">
        <f t="shared" si="328"/>
        <v>-0.53612702000000034</v>
      </c>
      <c r="G867">
        <f t="shared" si="329"/>
        <v>-5.4870899700000004</v>
      </c>
      <c r="H867">
        <f t="shared" si="330"/>
        <v>-10.438052920000001</v>
      </c>
      <c r="I867">
        <f t="shared" si="331"/>
        <v>-15.389015870000001</v>
      </c>
      <c r="J867">
        <f t="shared" si="332"/>
        <v>-20.339978820000002</v>
      </c>
      <c r="L867">
        <f t="shared" si="333"/>
        <v>1901169.7728000004</v>
      </c>
      <c r="M867">
        <f t="shared" si="334"/>
        <v>-868525.7724000006</v>
      </c>
      <c r="N867">
        <f t="shared" si="335"/>
        <v>-7572184.1586000007</v>
      </c>
      <c r="O867">
        <f t="shared" si="336"/>
        <v>-10646813.978399999</v>
      </c>
      <c r="P867">
        <f t="shared" si="337"/>
        <v>-14157894.600399999</v>
      </c>
      <c r="Q867">
        <f t="shared" si="338"/>
        <v>-15458383.903200002</v>
      </c>
      <c r="S867">
        <f t="shared" si="339"/>
        <v>2079404.4390000002</v>
      </c>
      <c r="T867">
        <f t="shared" si="340"/>
        <v>-975751.1764000007</v>
      </c>
      <c r="U867">
        <f t="shared" si="341"/>
        <v>-8285505.854700001</v>
      </c>
      <c r="V867">
        <f t="shared" si="342"/>
        <v>-11168716.624399999</v>
      </c>
      <c r="W867">
        <f t="shared" si="343"/>
        <v>-16466246.980899999</v>
      </c>
      <c r="X867">
        <f t="shared" si="344"/>
        <v>-17695781.573400002</v>
      </c>
      <c r="Z867">
        <f>C867*(310+0.8+60)</f>
        <v>367.16341237200004</v>
      </c>
      <c r="AA867">
        <f t="shared" si="345"/>
        <v>-1082976.5804000008</v>
      </c>
      <c r="AB867">
        <f t="shared" si="346"/>
        <v>-8998827.5508000012</v>
      </c>
      <c r="AC867">
        <f t="shared" si="347"/>
        <v>-14195751.971199999</v>
      </c>
      <c r="AD867">
        <f t="shared" si="348"/>
        <v>-18774599.361400001</v>
      </c>
      <c r="AE867">
        <f t="shared" si="349"/>
        <v>-19933179.243600003</v>
      </c>
    </row>
    <row r="868" spans="1:31" x14ac:dyDescent="0.25">
      <c r="A868">
        <v>44.557088030000003</v>
      </c>
      <c r="B868">
        <v>124.3516212</v>
      </c>
      <c r="C868">
        <v>14.23618984</v>
      </c>
      <c r="D868">
        <v>1.58841503</v>
      </c>
      <c r="E868" t="b">
        <f t="shared" si="327"/>
        <v>0</v>
      </c>
      <c r="F868">
        <f t="shared" si="328"/>
        <v>-69.592534170000008</v>
      </c>
      <c r="G868">
        <f t="shared" si="329"/>
        <v>-140.77348337000001</v>
      </c>
      <c r="H868">
        <f t="shared" si="330"/>
        <v>-211.95443256999999</v>
      </c>
      <c r="I868">
        <f t="shared" si="331"/>
        <v>-283.13538176999998</v>
      </c>
      <c r="J868">
        <f t="shared" si="332"/>
        <v>-354.31633096999997</v>
      </c>
      <c r="L868">
        <f t="shared" si="333"/>
        <v>3049756.8576000002</v>
      </c>
      <c r="M868">
        <f t="shared" si="334"/>
        <v>-112739905.35540001</v>
      </c>
      <c r="N868">
        <f t="shared" si="335"/>
        <v>-194267407.05059999</v>
      </c>
      <c r="O868">
        <f t="shared" si="336"/>
        <v>-216193521.22139999</v>
      </c>
      <c r="P868">
        <f t="shared" si="337"/>
        <v>-260484551.22839996</v>
      </c>
      <c r="Q868">
        <f t="shared" si="338"/>
        <v>-269280411.53719997</v>
      </c>
      <c r="S868">
        <f t="shared" si="339"/>
        <v>3335671.5630000001</v>
      </c>
      <c r="T868">
        <f t="shared" si="340"/>
        <v>-126658412.1894</v>
      </c>
      <c r="U868">
        <f t="shared" si="341"/>
        <v>-212567959.88870001</v>
      </c>
      <c r="V868">
        <f t="shared" si="342"/>
        <v>-226791242.84989995</v>
      </c>
      <c r="W868">
        <f t="shared" si="343"/>
        <v>-302954858.49389994</v>
      </c>
      <c r="X868">
        <f t="shared" si="344"/>
        <v>-308255207.94389999</v>
      </c>
      <c r="Z868">
        <f>D868*(310+0.8+60)</f>
        <v>588.98429312400003</v>
      </c>
      <c r="AA868">
        <f t="shared" si="345"/>
        <v>-140576919.02340001</v>
      </c>
      <c r="AB868">
        <f t="shared" si="346"/>
        <v>-230868512.72680002</v>
      </c>
      <c r="AC868">
        <f t="shared" si="347"/>
        <v>-288258028.29519999</v>
      </c>
      <c r="AD868">
        <f t="shared" si="348"/>
        <v>-345425165.75939995</v>
      </c>
      <c r="AE868">
        <f t="shared" si="349"/>
        <v>-347230004.35059994</v>
      </c>
    </row>
    <row r="869" spans="1:31" x14ac:dyDescent="0.25">
      <c r="A869">
        <v>44.624476280000003</v>
      </c>
      <c r="B869">
        <v>123.8529071</v>
      </c>
      <c r="C869">
        <v>14.23618984</v>
      </c>
      <c r="D869">
        <v>2.1936790899999998</v>
      </c>
      <c r="E869" t="b">
        <f t="shared" si="327"/>
        <v>0</v>
      </c>
      <c r="F869">
        <f t="shared" si="328"/>
        <v>-68.987270109999997</v>
      </c>
      <c r="G869">
        <f t="shared" si="329"/>
        <v>-140.16821931000001</v>
      </c>
      <c r="H869">
        <f t="shared" si="330"/>
        <v>-211.34916851</v>
      </c>
      <c r="I869">
        <f t="shared" si="331"/>
        <v>-282.53011771000001</v>
      </c>
      <c r="J869">
        <f t="shared" si="332"/>
        <v>-353.71106691</v>
      </c>
      <c r="L869">
        <f t="shared" si="333"/>
        <v>4211863.8528000005</v>
      </c>
      <c r="M869">
        <f t="shared" si="334"/>
        <v>-111759377.57820001</v>
      </c>
      <c r="N869">
        <f t="shared" si="335"/>
        <v>-193432142.6478</v>
      </c>
      <c r="O869">
        <f t="shared" si="336"/>
        <v>-215576151.8802</v>
      </c>
      <c r="P869">
        <f t="shared" si="337"/>
        <v>-259927708.29320002</v>
      </c>
      <c r="Q869">
        <f t="shared" si="338"/>
        <v>-268820410.85160005</v>
      </c>
      <c r="S869">
        <f t="shared" si="339"/>
        <v>4606726.0889999997</v>
      </c>
      <c r="T869">
        <f t="shared" si="340"/>
        <v>-125556831.6002</v>
      </c>
      <c r="U869">
        <f t="shared" si="341"/>
        <v>-211654011.15810001</v>
      </c>
      <c r="V869">
        <f t="shared" si="342"/>
        <v>-226143610.30569994</v>
      </c>
      <c r="W869">
        <f t="shared" si="343"/>
        <v>-302307225.9497</v>
      </c>
      <c r="X869">
        <f t="shared" si="344"/>
        <v>-307728628.21170002</v>
      </c>
      <c r="Z869">
        <f t="shared" ref="Z869:Z874" si="352">D869*(310+0.8+60)</f>
        <v>813.41620657199996</v>
      </c>
      <c r="AA869">
        <f t="shared" si="345"/>
        <v>-139354285.62220001</v>
      </c>
      <c r="AB869">
        <f t="shared" si="346"/>
        <v>-229875879.66840002</v>
      </c>
      <c r="AC869">
        <f t="shared" si="347"/>
        <v>-287434869.17359996</v>
      </c>
      <c r="AD869">
        <f t="shared" si="348"/>
        <v>-344686743.60620004</v>
      </c>
      <c r="AE869">
        <f t="shared" si="349"/>
        <v>-346636845.57179999</v>
      </c>
    </row>
    <row r="870" spans="1:31" x14ac:dyDescent="0.25">
      <c r="A870">
        <v>44.643969089999999</v>
      </c>
      <c r="B870">
        <v>124.0517957</v>
      </c>
      <c r="C870">
        <v>14.23618984</v>
      </c>
      <c r="D870">
        <v>1.3392569999999999</v>
      </c>
      <c r="E870" t="b">
        <f t="shared" si="327"/>
        <v>0</v>
      </c>
      <c r="F870">
        <f t="shared" si="328"/>
        <v>-69.841692199999997</v>
      </c>
      <c r="G870">
        <f t="shared" si="329"/>
        <v>-141.0226414</v>
      </c>
      <c r="H870">
        <f t="shared" si="330"/>
        <v>-212.20359059999998</v>
      </c>
      <c r="I870">
        <f t="shared" si="331"/>
        <v>-283.38453980000003</v>
      </c>
      <c r="J870">
        <f t="shared" si="332"/>
        <v>-354.56548900000001</v>
      </c>
      <c r="L870">
        <f t="shared" si="333"/>
        <v>2571373.4400000004</v>
      </c>
      <c r="M870">
        <f t="shared" si="334"/>
        <v>-113143541.36400001</v>
      </c>
      <c r="N870">
        <f t="shared" si="335"/>
        <v>-194611245.132</v>
      </c>
      <c r="O870">
        <f t="shared" si="336"/>
        <v>-216447662.412</v>
      </c>
      <c r="P870">
        <f t="shared" si="337"/>
        <v>-260713776.616</v>
      </c>
      <c r="Q870">
        <f t="shared" si="338"/>
        <v>-269469771.63999999</v>
      </c>
      <c r="S870">
        <f t="shared" si="339"/>
        <v>2812439.7</v>
      </c>
      <c r="T870">
        <f t="shared" si="340"/>
        <v>-127111879.80400001</v>
      </c>
      <c r="U870">
        <f t="shared" si="341"/>
        <v>-212944188.514</v>
      </c>
      <c r="V870">
        <f t="shared" si="342"/>
        <v>-227057841.94199997</v>
      </c>
      <c r="W870">
        <f t="shared" si="343"/>
        <v>-303221457.58599997</v>
      </c>
      <c r="X870">
        <f t="shared" si="344"/>
        <v>-308471975.43000001</v>
      </c>
      <c r="Z870">
        <f t="shared" si="352"/>
        <v>496.59649559999997</v>
      </c>
      <c r="AA870">
        <f t="shared" si="345"/>
        <v>-141080218.24400002</v>
      </c>
      <c r="AB870">
        <f t="shared" si="346"/>
        <v>-231277131.89600003</v>
      </c>
      <c r="AC870">
        <f t="shared" si="347"/>
        <v>-288596883.21599996</v>
      </c>
      <c r="AD870">
        <f t="shared" si="348"/>
        <v>-345729138.55599999</v>
      </c>
      <c r="AE870">
        <f t="shared" si="349"/>
        <v>-347474179.21999997</v>
      </c>
    </row>
    <row r="871" spans="1:31" x14ac:dyDescent="0.25">
      <c r="A871">
        <v>44.673621660000002</v>
      </c>
      <c r="B871">
        <v>115.7776944</v>
      </c>
      <c r="C871">
        <v>6.8444890999999997</v>
      </c>
      <c r="D871">
        <v>4.4870867700000003</v>
      </c>
      <c r="E871" t="b">
        <f t="shared" si="327"/>
        <v>0</v>
      </c>
      <c r="F871">
        <f t="shared" si="328"/>
        <v>-29.735358729999998</v>
      </c>
      <c r="G871">
        <f t="shared" si="329"/>
        <v>-63.957804230000001</v>
      </c>
      <c r="H871">
        <f t="shared" si="330"/>
        <v>-98.180249729999986</v>
      </c>
      <c r="I871">
        <f t="shared" si="331"/>
        <v>-132.40269523000001</v>
      </c>
      <c r="J871">
        <f t="shared" si="332"/>
        <v>-166.62514073</v>
      </c>
      <c r="L871">
        <f t="shared" si="333"/>
        <v>8615206.5984000023</v>
      </c>
      <c r="M871">
        <f t="shared" si="334"/>
        <v>-48171281.1426</v>
      </c>
      <c r="N871">
        <f t="shared" si="335"/>
        <v>-88261769.837400004</v>
      </c>
      <c r="O871">
        <f t="shared" si="336"/>
        <v>-100143854.72459999</v>
      </c>
      <c r="P871">
        <f t="shared" si="337"/>
        <v>-121810479.6116</v>
      </c>
      <c r="Q871">
        <f t="shared" si="338"/>
        <v>-126635106.95479999</v>
      </c>
      <c r="S871">
        <f t="shared" si="339"/>
        <v>9422882.217000002</v>
      </c>
      <c r="T871">
        <f t="shared" si="340"/>
        <v>-54118352.888599999</v>
      </c>
      <c r="U871">
        <f t="shared" si="341"/>
        <v>-96576284.3873</v>
      </c>
      <c r="V871">
        <f t="shared" si="342"/>
        <v>-105052867.21109997</v>
      </c>
      <c r="W871">
        <f t="shared" si="343"/>
        <v>-141670883.89609998</v>
      </c>
      <c r="X871">
        <f t="shared" si="344"/>
        <v>-144963872.43509999</v>
      </c>
      <c r="Z871">
        <f t="shared" si="352"/>
        <v>1663.8117743160001</v>
      </c>
      <c r="AA871">
        <f t="shared" si="345"/>
        <v>-60065424.634599991</v>
      </c>
      <c r="AB871">
        <f t="shared" si="346"/>
        <v>-104890798.93720001</v>
      </c>
      <c r="AC871">
        <f t="shared" si="347"/>
        <v>-133525139.63279997</v>
      </c>
      <c r="AD871">
        <f t="shared" si="348"/>
        <v>-161531288.18059999</v>
      </c>
      <c r="AE871">
        <f t="shared" si="349"/>
        <v>-163292637.9154</v>
      </c>
    </row>
    <row r="872" spans="1:31" x14ac:dyDescent="0.25">
      <c r="A872">
        <v>44.704869719999998</v>
      </c>
      <c r="B872">
        <v>115.9737743</v>
      </c>
      <c r="C872">
        <v>6.8444890999999997</v>
      </c>
      <c r="D872">
        <v>0.65827298000000001</v>
      </c>
      <c r="E872" t="b">
        <f t="shared" si="327"/>
        <v>0</v>
      </c>
      <c r="F872">
        <f t="shared" si="328"/>
        <v>-33.56417252</v>
      </c>
      <c r="G872">
        <f t="shared" si="329"/>
        <v>-67.786618019999992</v>
      </c>
      <c r="H872">
        <f t="shared" si="330"/>
        <v>-102.00906351999998</v>
      </c>
      <c r="I872">
        <f t="shared" si="331"/>
        <v>-136.23150902</v>
      </c>
      <c r="J872">
        <f t="shared" si="332"/>
        <v>-170.45395452</v>
      </c>
      <c r="L872">
        <f t="shared" si="333"/>
        <v>1263884.1216</v>
      </c>
      <c r="M872">
        <f t="shared" si="334"/>
        <v>-54373959.482400008</v>
      </c>
      <c r="N872">
        <f t="shared" si="335"/>
        <v>-93545532.867599994</v>
      </c>
      <c r="O872">
        <f t="shared" si="336"/>
        <v>-104049244.79039998</v>
      </c>
      <c r="P872">
        <f t="shared" si="337"/>
        <v>-125332988.2984</v>
      </c>
      <c r="Q872">
        <f t="shared" si="338"/>
        <v>-129545005.43520001</v>
      </c>
      <c r="S872">
        <f t="shared" si="339"/>
        <v>1382373.2579999999</v>
      </c>
      <c r="T872">
        <f t="shared" si="340"/>
        <v>-61086793.986400008</v>
      </c>
      <c r="U872">
        <f t="shared" si="341"/>
        <v>-102357793.2102</v>
      </c>
      <c r="V872">
        <f t="shared" si="342"/>
        <v>-109149697.96639997</v>
      </c>
      <c r="W872">
        <f t="shared" si="343"/>
        <v>-145767714.6514</v>
      </c>
      <c r="X872">
        <f t="shared" si="344"/>
        <v>-148294940.43240002</v>
      </c>
      <c r="Z872">
        <f t="shared" si="352"/>
        <v>244.08762098400001</v>
      </c>
      <c r="AA872">
        <f t="shared" si="345"/>
        <v>-67799628.490400001</v>
      </c>
      <c r="AB872">
        <f t="shared" si="346"/>
        <v>-111170053.5528</v>
      </c>
      <c r="AC872">
        <f t="shared" si="347"/>
        <v>-138732326.38719997</v>
      </c>
      <c r="AD872">
        <f t="shared" si="348"/>
        <v>-166202441.00440001</v>
      </c>
      <c r="AE872">
        <f t="shared" si="349"/>
        <v>-167044875.4296</v>
      </c>
    </row>
    <row r="873" spans="1:31" x14ac:dyDescent="0.25">
      <c r="A873">
        <v>44.730164240000001</v>
      </c>
      <c r="B873">
        <v>123.7512189</v>
      </c>
      <c r="C873">
        <v>1.70243645</v>
      </c>
      <c r="D873">
        <v>0.16887700999999999</v>
      </c>
      <c r="E873" t="b">
        <f t="shared" si="327"/>
        <v>0</v>
      </c>
      <c r="F873">
        <f t="shared" si="328"/>
        <v>-8.3433052400000012</v>
      </c>
      <c r="G873">
        <f t="shared" si="329"/>
        <v>-16.855487490000002</v>
      </c>
      <c r="H873">
        <f t="shared" si="330"/>
        <v>-25.36766974</v>
      </c>
      <c r="I873">
        <f t="shared" si="331"/>
        <v>-33.879851989999999</v>
      </c>
      <c r="J873">
        <f t="shared" si="332"/>
        <v>-42.392034239999994</v>
      </c>
      <c r="L873">
        <f t="shared" si="333"/>
        <v>324243.85920000001</v>
      </c>
      <c r="M873">
        <f t="shared" si="334"/>
        <v>-13516154.488800002</v>
      </c>
      <c r="N873">
        <f t="shared" si="335"/>
        <v>-23260572.736200001</v>
      </c>
      <c r="O873">
        <f t="shared" si="336"/>
        <v>-25875023.134799998</v>
      </c>
      <c r="P873">
        <f t="shared" si="337"/>
        <v>-31169463.830800001</v>
      </c>
      <c r="Q873">
        <f t="shared" si="338"/>
        <v>-32217946.022399995</v>
      </c>
      <c r="S873">
        <f t="shared" si="339"/>
        <v>354641.72099999996</v>
      </c>
      <c r="T873">
        <f t="shared" si="340"/>
        <v>-15184815.536800003</v>
      </c>
      <c r="U873">
        <f t="shared" si="341"/>
        <v>-25451786.109900005</v>
      </c>
      <c r="V873">
        <f t="shared" si="342"/>
        <v>-27143406.621799994</v>
      </c>
      <c r="W873">
        <f t="shared" si="343"/>
        <v>-36251441.629299998</v>
      </c>
      <c r="X873">
        <f t="shared" si="344"/>
        <v>-36881069.788799994</v>
      </c>
      <c r="Z873">
        <f t="shared" si="352"/>
        <v>62.619595308000001</v>
      </c>
      <c r="AA873">
        <f t="shared" si="345"/>
        <v>-16853476.584800001</v>
      </c>
      <c r="AB873">
        <f t="shared" si="346"/>
        <v>-27642999.483600006</v>
      </c>
      <c r="AC873">
        <f t="shared" si="347"/>
        <v>-34500030.846399993</v>
      </c>
      <c r="AD873">
        <f t="shared" si="348"/>
        <v>-41333419.4278</v>
      </c>
      <c r="AE873">
        <f t="shared" si="349"/>
        <v>-41544193.555199996</v>
      </c>
    </row>
    <row r="874" spans="1:31" x14ac:dyDescent="0.25">
      <c r="A874">
        <v>44.754593020000002</v>
      </c>
      <c r="B874">
        <v>115.9170534</v>
      </c>
      <c r="C874">
        <v>6.8444890999999997</v>
      </c>
      <c r="D874">
        <v>4.1065659500000002</v>
      </c>
      <c r="E874" t="b">
        <f t="shared" si="327"/>
        <v>0</v>
      </c>
      <c r="F874">
        <f t="shared" si="328"/>
        <v>-30.115879549999999</v>
      </c>
      <c r="G874">
        <f t="shared" si="329"/>
        <v>-64.338325049999995</v>
      </c>
      <c r="H874">
        <f t="shared" si="330"/>
        <v>-98.560770549999987</v>
      </c>
      <c r="I874">
        <f t="shared" si="331"/>
        <v>-132.78321604999999</v>
      </c>
      <c r="J874">
        <f t="shared" si="332"/>
        <v>-167.00566154999999</v>
      </c>
      <c r="L874">
        <f t="shared" si="333"/>
        <v>7884606.6240000008</v>
      </c>
      <c r="M874">
        <f t="shared" si="334"/>
        <v>-48787724.871000007</v>
      </c>
      <c r="N874">
        <f t="shared" si="335"/>
        <v>-88786888.568999991</v>
      </c>
      <c r="O874">
        <f t="shared" si="336"/>
        <v>-100531985.96099998</v>
      </c>
      <c r="P874">
        <f t="shared" si="337"/>
        <v>-122160558.76599999</v>
      </c>
      <c r="Q874">
        <f t="shared" si="338"/>
        <v>-126924302.77799998</v>
      </c>
      <c r="S874">
        <f t="shared" si="339"/>
        <v>8623788.495000001</v>
      </c>
      <c r="T874">
        <f t="shared" si="340"/>
        <v>-54810900.781000003</v>
      </c>
      <c r="U874">
        <f t="shared" si="341"/>
        <v>-97150870.825499997</v>
      </c>
      <c r="V874">
        <f t="shared" si="342"/>
        <v>-105460024.48849997</v>
      </c>
      <c r="W874">
        <f t="shared" si="343"/>
        <v>-142078041.17349997</v>
      </c>
      <c r="X874">
        <f t="shared" si="344"/>
        <v>-145294925.54849997</v>
      </c>
      <c r="Z874">
        <f t="shared" si="352"/>
        <v>1522.7146542600001</v>
      </c>
      <c r="AA874">
        <f t="shared" si="345"/>
        <v>-60834076.691</v>
      </c>
      <c r="AB874">
        <f t="shared" si="346"/>
        <v>-105514853.082</v>
      </c>
      <c r="AC874">
        <f t="shared" si="347"/>
        <v>-134042647.94799997</v>
      </c>
      <c r="AD874">
        <f t="shared" si="348"/>
        <v>-161995523.581</v>
      </c>
      <c r="AE874">
        <f t="shared" si="349"/>
        <v>-163665548.31899998</v>
      </c>
    </row>
    <row r="875" spans="1:31" x14ac:dyDescent="0.25">
      <c r="A875">
        <v>44.758135209999999</v>
      </c>
      <c r="B875">
        <v>123.8878746</v>
      </c>
      <c r="C875">
        <v>14.23618984</v>
      </c>
      <c r="D875">
        <v>47.46687317</v>
      </c>
      <c r="E875" t="b">
        <f t="shared" si="327"/>
        <v>1</v>
      </c>
      <c r="F875">
        <f t="shared" si="328"/>
        <v>-23.714076030000001</v>
      </c>
      <c r="G875">
        <f t="shared" si="329"/>
        <v>-94.895025230000002</v>
      </c>
      <c r="H875">
        <f t="shared" si="330"/>
        <v>-166.07597442999997</v>
      </c>
      <c r="I875">
        <f t="shared" si="331"/>
        <v>-237.25692363000002</v>
      </c>
      <c r="J875">
        <f t="shared" si="332"/>
        <v>-308.43787283</v>
      </c>
      <c r="L875">
        <f t="shared" si="333"/>
        <v>27333484.492800001</v>
      </c>
      <c r="M875">
        <f t="shared" si="334"/>
        <v>-38416803.168600008</v>
      </c>
      <c r="N875">
        <f t="shared" si="335"/>
        <v>-130955134.81739999</v>
      </c>
      <c r="O875">
        <f t="shared" si="336"/>
        <v>-169397493.91859999</v>
      </c>
      <c r="P875">
        <f t="shared" si="337"/>
        <v>-218276369.7396</v>
      </c>
      <c r="Q875">
        <f t="shared" si="338"/>
        <v>-234412783.35079998</v>
      </c>
      <c r="S875">
        <f t="shared" si="339"/>
        <v>29895998.664000001</v>
      </c>
      <c r="T875">
        <f t="shared" si="340"/>
        <v>-43159618.374600001</v>
      </c>
      <c r="U875">
        <f t="shared" si="341"/>
        <v>-143291488.09729999</v>
      </c>
      <c r="V875">
        <f t="shared" si="342"/>
        <v>-177701292.64009994</v>
      </c>
      <c r="W875">
        <f t="shared" si="343"/>
        <v>-253864908.2841</v>
      </c>
      <c r="X875">
        <f t="shared" si="344"/>
        <v>-268340949.36209998</v>
      </c>
      <c r="Z875">
        <f>C875*(310+0.8+60)</f>
        <v>5278.7791926720001</v>
      </c>
      <c r="AA875">
        <f t="shared" si="345"/>
        <v>-47902433.580600001</v>
      </c>
      <c r="AB875">
        <f t="shared" si="346"/>
        <v>-155627841.37720001</v>
      </c>
      <c r="AC875">
        <f t="shared" si="347"/>
        <v>-225863325.22479996</v>
      </c>
      <c r="AD875">
        <f t="shared" si="348"/>
        <v>-289453446.82860005</v>
      </c>
      <c r="AE875">
        <f t="shared" si="349"/>
        <v>-302269115.37339997</v>
      </c>
    </row>
    <row r="876" spans="1:31" x14ac:dyDescent="0.25">
      <c r="A876">
        <v>44.799666369999997</v>
      </c>
      <c r="B876">
        <v>115.9235575</v>
      </c>
      <c r="C876">
        <v>6.8444890999999997</v>
      </c>
      <c r="D876">
        <v>14.67003345</v>
      </c>
      <c r="E876" t="b">
        <f t="shared" si="327"/>
        <v>1</v>
      </c>
      <c r="F876">
        <f t="shared" si="328"/>
        <v>-19.552412050000001</v>
      </c>
      <c r="G876">
        <f t="shared" si="329"/>
        <v>-53.77485755</v>
      </c>
      <c r="H876">
        <f t="shared" si="330"/>
        <v>-87.997303049999985</v>
      </c>
      <c r="I876">
        <f t="shared" si="331"/>
        <v>-122.21974854999999</v>
      </c>
      <c r="J876">
        <f t="shared" si="332"/>
        <v>-156.44219404999998</v>
      </c>
      <c r="L876">
        <f t="shared" si="333"/>
        <v>13141419.072000001</v>
      </c>
      <c r="M876">
        <f t="shared" si="334"/>
        <v>-31674907.521000002</v>
      </c>
      <c r="N876">
        <f t="shared" si="335"/>
        <v>-74209303.418999985</v>
      </c>
      <c r="O876">
        <f t="shared" si="336"/>
        <v>-89757249.110999987</v>
      </c>
      <c r="P876">
        <f t="shared" si="337"/>
        <v>-112442168.66599999</v>
      </c>
      <c r="Q876">
        <f t="shared" si="338"/>
        <v>-118896067.47799999</v>
      </c>
      <c r="S876">
        <f t="shared" si="339"/>
        <v>14373427.109999999</v>
      </c>
      <c r="T876">
        <f t="shared" si="340"/>
        <v>-35585389.931000002</v>
      </c>
      <c r="U876">
        <f t="shared" si="341"/>
        <v>-81200034.9005</v>
      </c>
      <c r="V876">
        <f t="shared" si="342"/>
        <v>-94157114.26349996</v>
      </c>
      <c r="W876">
        <f t="shared" si="343"/>
        <v>-130775130.94849998</v>
      </c>
      <c r="X876">
        <f t="shared" si="344"/>
        <v>-136104708.82349998</v>
      </c>
      <c r="Z876">
        <f t="shared" ref="Z876:Z877" si="353">C876*(310+0.8+60)</f>
        <v>2537.9365582800001</v>
      </c>
      <c r="AA876">
        <f t="shared" si="345"/>
        <v>-39495872.340999998</v>
      </c>
      <c r="AB876">
        <f t="shared" si="346"/>
        <v>-88190766.381999999</v>
      </c>
      <c r="AC876">
        <f t="shared" si="347"/>
        <v>-119676332.14799997</v>
      </c>
      <c r="AD876">
        <f t="shared" si="348"/>
        <v>-149108093.23100001</v>
      </c>
      <c r="AE876">
        <f t="shared" si="349"/>
        <v>-153313350.16899997</v>
      </c>
    </row>
    <row r="877" spans="1:31" x14ac:dyDescent="0.25">
      <c r="A877">
        <v>44.818424319999998</v>
      </c>
      <c r="B877">
        <v>88.571356649999998</v>
      </c>
      <c r="C877">
        <v>0.99019259000000004</v>
      </c>
      <c r="D877">
        <v>1.6505880399999999</v>
      </c>
      <c r="E877" t="b">
        <f t="shared" si="327"/>
        <v>1</v>
      </c>
      <c r="F877">
        <f t="shared" si="328"/>
        <v>-3.3003749100000004</v>
      </c>
      <c r="G877">
        <f t="shared" si="329"/>
        <v>-8.2513378599999996</v>
      </c>
      <c r="H877">
        <f t="shared" si="330"/>
        <v>-13.202300810000001</v>
      </c>
      <c r="I877">
        <f t="shared" si="331"/>
        <v>-18.153263760000002</v>
      </c>
      <c r="J877">
        <f t="shared" si="332"/>
        <v>-23.104226710000002</v>
      </c>
      <c r="L877">
        <f t="shared" si="333"/>
        <v>1901169.7728000004</v>
      </c>
      <c r="M877">
        <f t="shared" si="334"/>
        <v>-5346607.3542000018</v>
      </c>
      <c r="N877">
        <f t="shared" si="335"/>
        <v>-11386846.246799998</v>
      </c>
      <c r="O877">
        <f t="shared" si="336"/>
        <v>-13466346.826200001</v>
      </c>
      <c r="P877">
        <f t="shared" si="337"/>
        <v>-16701002.6592</v>
      </c>
      <c r="Q877">
        <f t="shared" si="338"/>
        <v>-17559212.299600001</v>
      </c>
      <c r="S877">
        <f t="shared" si="339"/>
        <v>2079404.4390000002</v>
      </c>
      <c r="T877">
        <f t="shared" si="340"/>
        <v>-6006682.3362000016</v>
      </c>
      <c r="U877">
        <f t="shared" si="341"/>
        <v>-12459520.168599999</v>
      </c>
      <c r="V877">
        <f t="shared" si="342"/>
        <v>-14126461.866699999</v>
      </c>
      <c r="W877">
        <f t="shared" si="343"/>
        <v>-19423992.223199997</v>
      </c>
      <c r="X877">
        <f t="shared" si="344"/>
        <v>-20100677.2377</v>
      </c>
      <c r="Z877">
        <f t="shared" si="353"/>
        <v>367.16341237200004</v>
      </c>
      <c r="AA877">
        <f t="shared" si="345"/>
        <v>-6666757.3182000015</v>
      </c>
      <c r="AB877">
        <f t="shared" si="346"/>
        <v>-13532194.090399999</v>
      </c>
      <c r="AC877">
        <f t="shared" si="347"/>
        <v>-17955129.101599999</v>
      </c>
      <c r="AD877">
        <f t="shared" si="348"/>
        <v>-22146981.7872</v>
      </c>
      <c r="AE877">
        <f t="shared" si="349"/>
        <v>-22642142.175799999</v>
      </c>
    </row>
    <row r="878" spans="1:31" x14ac:dyDescent="0.25">
      <c r="A878">
        <v>44.851422579999998</v>
      </c>
      <c r="B878">
        <v>124.5606665</v>
      </c>
      <c r="C878">
        <v>14.23618984</v>
      </c>
      <c r="D878">
        <v>0.97934401000000004</v>
      </c>
      <c r="E878" t="b">
        <f t="shared" si="327"/>
        <v>0</v>
      </c>
      <c r="F878">
        <f t="shared" si="328"/>
        <v>-70.201605189999995</v>
      </c>
      <c r="G878">
        <f t="shared" si="329"/>
        <v>-141.38255439</v>
      </c>
      <c r="H878">
        <f t="shared" si="330"/>
        <v>-212.56350358999998</v>
      </c>
      <c r="I878">
        <f t="shared" si="331"/>
        <v>-283.74445279000003</v>
      </c>
      <c r="J878">
        <f t="shared" si="332"/>
        <v>-354.92540199000001</v>
      </c>
      <c r="L878">
        <f t="shared" si="333"/>
        <v>1880340.4992000002</v>
      </c>
      <c r="M878">
        <f t="shared" si="334"/>
        <v>-113726600.4078</v>
      </c>
      <c r="N878">
        <f t="shared" si="335"/>
        <v>-195107925.05819997</v>
      </c>
      <c r="O878">
        <f t="shared" si="336"/>
        <v>-216814773.66179997</v>
      </c>
      <c r="P878">
        <f t="shared" si="337"/>
        <v>-261044896.5668</v>
      </c>
      <c r="Q878">
        <f t="shared" si="338"/>
        <v>-269743305.51240003</v>
      </c>
      <c r="S878">
        <f t="shared" si="339"/>
        <v>2056622.4210000001</v>
      </c>
      <c r="T878">
        <f t="shared" si="340"/>
        <v>-127766921.44580001</v>
      </c>
      <c r="U878">
        <f t="shared" si="341"/>
        <v>-213487657.12889999</v>
      </c>
      <c r="V878">
        <f t="shared" si="342"/>
        <v>-227442948.84129995</v>
      </c>
      <c r="W878">
        <f t="shared" si="343"/>
        <v>-303606564.4853</v>
      </c>
      <c r="X878">
        <f t="shared" si="344"/>
        <v>-308785099.7313</v>
      </c>
      <c r="Z878">
        <f>D878*(310+0.8+60)</f>
        <v>363.14075890800001</v>
      </c>
      <c r="AA878">
        <f t="shared" si="345"/>
        <v>-141807242.48379999</v>
      </c>
      <c r="AB878">
        <f t="shared" si="346"/>
        <v>-231867389.19959998</v>
      </c>
      <c r="AC878">
        <f t="shared" si="347"/>
        <v>-289086364.88239992</v>
      </c>
      <c r="AD878">
        <f t="shared" si="348"/>
        <v>-346168232.40380001</v>
      </c>
      <c r="AE878">
        <f t="shared" si="349"/>
        <v>-347826893.95020002</v>
      </c>
    </row>
    <row r="879" spans="1:31" x14ac:dyDescent="0.25">
      <c r="A879">
        <v>44.899499050000003</v>
      </c>
      <c r="B879">
        <v>84.648643669999998</v>
      </c>
      <c r="C879">
        <v>10.58811188</v>
      </c>
      <c r="D879">
        <v>5.7098188399999996</v>
      </c>
      <c r="E879" t="b">
        <f t="shared" si="327"/>
        <v>0</v>
      </c>
      <c r="F879">
        <f t="shared" si="328"/>
        <v>-47.230740560000001</v>
      </c>
      <c r="G879">
        <f t="shared" si="329"/>
        <v>-100.17129996</v>
      </c>
      <c r="H879">
        <f t="shared" si="330"/>
        <v>-153.11185936000001</v>
      </c>
      <c r="I879">
        <f t="shared" si="331"/>
        <v>-206.05241875999999</v>
      </c>
      <c r="J879">
        <f t="shared" si="332"/>
        <v>-258.99297815999995</v>
      </c>
      <c r="L879">
        <f t="shared" si="333"/>
        <v>10962852.172800001</v>
      </c>
      <c r="M879">
        <f t="shared" si="334"/>
        <v>-76513799.707200006</v>
      </c>
      <c r="N879">
        <f t="shared" si="335"/>
        <v>-138236393.94479999</v>
      </c>
      <c r="O879">
        <f t="shared" si="336"/>
        <v>-156174096.54720002</v>
      </c>
      <c r="P879">
        <f t="shared" si="337"/>
        <v>-189568225.25919998</v>
      </c>
      <c r="Q879">
        <f t="shared" si="338"/>
        <v>-196834663.40159994</v>
      </c>
      <c r="S879">
        <f t="shared" si="339"/>
        <v>11990619.563999999</v>
      </c>
      <c r="T879">
        <f t="shared" si="340"/>
        <v>-85959947.819200009</v>
      </c>
      <c r="U879">
        <f t="shared" si="341"/>
        <v>-151258662.93959999</v>
      </c>
      <c r="V879">
        <f t="shared" si="342"/>
        <v>-163829689.51519999</v>
      </c>
      <c r="W879">
        <f t="shared" si="343"/>
        <v>-220476088.07319996</v>
      </c>
      <c r="X879">
        <f t="shared" si="344"/>
        <v>-225323890.99919996</v>
      </c>
      <c r="Z879">
        <f t="shared" ref="Z879:Z880" si="354">D879*(310+0.8+60)</f>
        <v>2117.2008258719998</v>
      </c>
      <c r="AA879">
        <f t="shared" si="345"/>
        <v>-95406095.931200013</v>
      </c>
      <c r="AB879">
        <f t="shared" si="346"/>
        <v>-164280931.93439999</v>
      </c>
      <c r="AC879">
        <f t="shared" si="347"/>
        <v>-208232128.72960001</v>
      </c>
      <c r="AD879">
        <f t="shared" si="348"/>
        <v>-251383950.88719997</v>
      </c>
      <c r="AE879">
        <f t="shared" si="349"/>
        <v>-253813118.59679994</v>
      </c>
    </row>
    <row r="880" spans="1:31" x14ac:dyDescent="0.25">
      <c r="A880">
        <v>44.93143809</v>
      </c>
      <c r="B880">
        <v>83.984664339999995</v>
      </c>
      <c r="C880">
        <v>0.81119478</v>
      </c>
      <c r="D880">
        <v>3.6082000000000003E-2</v>
      </c>
      <c r="E880" t="b">
        <f t="shared" si="327"/>
        <v>0</v>
      </c>
      <c r="F880">
        <f t="shared" si="328"/>
        <v>-4.0198918999999993</v>
      </c>
      <c r="G880">
        <f t="shared" si="329"/>
        <v>-8.075865799999999</v>
      </c>
      <c r="H880">
        <f t="shared" si="330"/>
        <v>-12.1318397</v>
      </c>
      <c r="I880">
        <f t="shared" si="331"/>
        <v>-16.187813599999998</v>
      </c>
      <c r="J880">
        <f t="shared" si="332"/>
        <v>-20.2437875</v>
      </c>
      <c r="L880">
        <f t="shared" si="333"/>
        <v>69277.440000000002</v>
      </c>
      <c r="M880">
        <f t="shared" si="334"/>
        <v>-6512224.8779999996</v>
      </c>
      <c r="N880">
        <f t="shared" si="335"/>
        <v>-11144694.803999998</v>
      </c>
      <c r="O880">
        <f t="shared" si="336"/>
        <v>-12374476.494000001</v>
      </c>
      <c r="P880">
        <f t="shared" si="337"/>
        <v>-14892788.511999996</v>
      </c>
      <c r="Q880">
        <f t="shared" si="338"/>
        <v>-15385278.5</v>
      </c>
      <c r="S880">
        <f t="shared" si="339"/>
        <v>75772.2</v>
      </c>
      <c r="T880">
        <f t="shared" si="340"/>
        <v>-7316203.2579999994</v>
      </c>
      <c r="U880">
        <f t="shared" si="341"/>
        <v>-12194557.357999999</v>
      </c>
      <c r="V880">
        <f t="shared" si="342"/>
        <v>-12981068.478999998</v>
      </c>
      <c r="W880">
        <f t="shared" si="343"/>
        <v>-17320960.551999994</v>
      </c>
      <c r="X880">
        <f t="shared" si="344"/>
        <v>-17612095.125</v>
      </c>
      <c r="Z880">
        <f t="shared" si="354"/>
        <v>13.379205600000002</v>
      </c>
      <c r="AA880">
        <f t="shared" si="345"/>
        <v>-8120181.6379999993</v>
      </c>
      <c r="AB880">
        <f t="shared" si="346"/>
        <v>-13244419.911999999</v>
      </c>
      <c r="AC880">
        <f t="shared" si="347"/>
        <v>-16499301.992000001</v>
      </c>
      <c r="AD880">
        <f t="shared" si="348"/>
        <v>-19749132.591999996</v>
      </c>
      <c r="AE880">
        <f t="shared" si="349"/>
        <v>-19838911.75</v>
      </c>
    </row>
    <row r="881" spans="1:31" x14ac:dyDescent="0.25">
      <c r="A881">
        <v>44.961134770000001</v>
      </c>
      <c r="B881">
        <v>123.7466235</v>
      </c>
      <c r="C881">
        <v>1.70243645</v>
      </c>
      <c r="D881">
        <v>3.3127219700000001</v>
      </c>
      <c r="E881" t="b">
        <f t="shared" si="327"/>
        <v>1</v>
      </c>
      <c r="F881">
        <f t="shared" si="328"/>
        <v>-5.1994602800000003</v>
      </c>
      <c r="G881">
        <f t="shared" si="329"/>
        <v>-13.711642530000001</v>
      </c>
      <c r="H881">
        <f t="shared" si="330"/>
        <v>-22.223824780000001</v>
      </c>
      <c r="I881">
        <f t="shared" si="331"/>
        <v>-30.736007030000003</v>
      </c>
      <c r="J881">
        <f t="shared" si="332"/>
        <v>-39.248189279999998</v>
      </c>
      <c r="L881">
        <f t="shared" si="333"/>
        <v>3268677.9840000002</v>
      </c>
      <c r="M881">
        <f t="shared" si="334"/>
        <v>-8423125.6536000017</v>
      </c>
      <c r="N881">
        <f t="shared" si="335"/>
        <v>-18922066.691399999</v>
      </c>
      <c r="O881">
        <f t="shared" si="336"/>
        <v>-22668301.275600001</v>
      </c>
      <c r="P881">
        <f t="shared" si="337"/>
        <v>-28277126.467600003</v>
      </c>
      <c r="Q881">
        <f t="shared" si="338"/>
        <v>-29828623.8528</v>
      </c>
      <c r="S881">
        <f t="shared" si="339"/>
        <v>3575116.5449999999</v>
      </c>
      <c r="T881">
        <f t="shared" si="340"/>
        <v>-9463017.7096000016</v>
      </c>
      <c r="U881">
        <f t="shared" si="341"/>
        <v>-20704580.2203</v>
      </c>
      <c r="V881">
        <f t="shared" si="342"/>
        <v>-23779492.514599998</v>
      </c>
      <c r="W881">
        <f t="shared" si="343"/>
        <v>-32887527.522100002</v>
      </c>
      <c r="X881">
        <f t="shared" si="344"/>
        <v>-34145924.673600003</v>
      </c>
      <c r="Z881">
        <f>C881*(310+0.8+60)</f>
        <v>631.26343566000003</v>
      </c>
      <c r="AA881">
        <f t="shared" si="345"/>
        <v>-10502909.765600001</v>
      </c>
      <c r="AB881">
        <f t="shared" si="346"/>
        <v>-22487093.749200005</v>
      </c>
      <c r="AC881">
        <f t="shared" si="347"/>
        <v>-30224401.700799998</v>
      </c>
      <c r="AD881">
        <f t="shared" si="348"/>
        <v>-37497928.576600008</v>
      </c>
      <c r="AE881">
        <f t="shared" si="349"/>
        <v>-38463225.494400002</v>
      </c>
    </row>
    <row r="882" spans="1:31" x14ac:dyDescent="0.25">
      <c r="A882">
        <v>44.97155996</v>
      </c>
      <c r="B882">
        <v>89.050645549999999</v>
      </c>
      <c r="C882">
        <v>4.0650010099999996</v>
      </c>
      <c r="D882">
        <v>6.6617870300000002</v>
      </c>
      <c r="E882" t="b">
        <f t="shared" si="327"/>
        <v>1</v>
      </c>
      <c r="F882">
        <f t="shared" si="328"/>
        <v>-13.663218019999999</v>
      </c>
      <c r="G882">
        <f t="shared" si="329"/>
        <v>-33.988223069999997</v>
      </c>
      <c r="H882">
        <f t="shared" si="330"/>
        <v>-54.313228119999991</v>
      </c>
      <c r="I882">
        <f t="shared" si="331"/>
        <v>-74.638233169999992</v>
      </c>
      <c r="J882">
        <f t="shared" si="332"/>
        <v>-94.963238219999994</v>
      </c>
      <c r="L882">
        <f t="shared" si="333"/>
        <v>7804801.9391999999</v>
      </c>
      <c r="M882">
        <f t="shared" si="334"/>
        <v>-22134413.192400001</v>
      </c>
      <c r="N882">
        <f t="shared" si="335"/>
        <v>-46903747.836599983</v>
      </c>
      <c r="O882">
        <f t="shared" si="336"/>
        <v>-55399492.682399988</v>
      </c>
      <c r="P882">
        <f t="shared" si="337"/>
        <v>-68667174.51639998</v>
      </c>
      <c r="Q882">
        <f t="shared" si="338"/>
        <v>-72172061.047199994</v>
      </c>
      <c r="S882">
        <f t="shared" si="339"/>
        <v>8536502.1209999993</v>
      </c>
      <c r="T882">
        <f t="shared" si="340"/>
        <v>-24867056.796399999</v>
      </c>
      <c r="U882">
        <f t="shared" si="341"/>
        <v>-51322216.83569999</v>
      </c>
      <c r="V882">
        <f t="shared" si="342"/>
        <v>-58115154.088399984</v>
      </c>
      <c r="W882">
        <f t="shared" si="343"/>
        <v>-79862909.491899967</v>
      </c>
      <c r="X882">
        <f t="shared" si="344"/>
        <v>-82618017.251399994</v>
      </c>
      <c r="Z882">
        <f t="shared" ref="Z882:Z884" si="355">C882*(310+0.8+60)</f>
        <v>1507.302374508</v>
      </c>
      <c r="AA882">
        <f t="shared" si="345"/>
        <v>-27599700.400399998</v>
      </c>
      <c r="AB882">
        <f t="shared" si="346"/>
        <v>-55740685.83479999</v>
      </c>
      <c r="AC882">
        <f t="shared" si="347"/>
        <v>-73865990.243199974</v>
      </c>
      <c r="AD882">
        <f t="shared" si="348"/>
        <v>-91058644.467399985</v>
      </c>
      <c r="AE882">
        <f t="shared" si="349"/>
        <v>-93063973.455599993</v>
      </c>
    </row>
    <row r="883" spans="1:31" x14ac:dyDescent="0.25">
      <c r="A883">
        <v>44.980356919999998</v>
      </c>
      <c r="B883">
        <v>88.400135579999997</v>
      </c>
      <c r="C883">
        <v>0.99019259000000004</v>
      </c>
      <c r="D883">
        <v>33.434310910000001</v>
      </c>
      <c r="E883" t="b">
        <f t="shared" si="327"/>
        <v>1</v>
      </c>
      <c r="F883">
        <f t="shared" si="328"/>
        <v>28.48334796</v>
      </c>
      <c r="G883">
        <f t="shared" si="329"/>
        <v>23.532385009999999</v>
      </c>
      <c r="H883">
        <f t="shared" si="330"/>
        <v>18.581422060000001</v>
      </c>
      <c r="I883">
        <f t="shared" si="331"/>
        <v>13.63045911</v>
      </c>
      <c r="J883">
        <f t="shared" si="332"/>
        <v>8.6794961599999993</v>
      </c>
      <c r="L883">
        <f t="shared" si="333"/>
        <v>1901169.7728000004</v>
      </c>
      <c r="M883">
        <f t="shared" si="334"/>
        <v>1604111.9958000001</v>
      </c>
      <c r="N883">
        <f t="shared" si="335"/>
        <v>1366465.7742000001</v>
      </c>
      <c r="O883">
        <f t="shared" si="336"/>
        <v>1009996.4418000001</v>
      </c>
      <c r="P883">
        <f t="shared" si="337"/>
        <v>910977.18279999995</v>
      </c>
      <c r="Q883">
        <f t="shared" si="338"/>
        <v>752546.36840000004</v>
      </c>
      <c r="S883">
        <f t="shared" si="339"/>
        <v>2079404.4390000002</v>
      </c>
      <c r="T883">
        <f t="shared" si="340"/>
        <v>1802150.5138000003</v>
      </c>
      <c r="U883">
        <f t="shared" si="341"/>
        <v>1495190.8109000002</v>
      </c>
      <c r="V883">
        <f t="shared" si="342"/>
        <v>1059506.0713</v>
      </c>
      <c r="W883">
        <f t="shared" si="343"/>
        <v>1059506.0713</v>
      </c>
      <c r="X883">
        <f t="shared" si="344"/>
        <v>861467.55330000003</v>
      </c>
      <c r="Z883">
        <f t="shared" si="355"/>
        <v>367.16341237200004</v>
      </c>
      <c r="AA883">
        <f t="shared" si="345"/>
        <v>2000189.0318000002</v>
      </c>
      <c r="AB883">
        <f t="shared" si="346"/>
        <v>1623915.8476000002</v>
      </c>
      <c r="AC883">
        <f t="shared" si="347"/>
        <v>1346661.9224</v>
      </c>
      <c r="AD883">
        <f t="shared" si="348"/>
        <v>1208034.9598000001</v>
      </c>
      <c r="AE883">
        <f t="shared" si="349"/>
        <v>970388.73820000002</v>
      </c>
    </row>
    <row r="884" spans="1:31" x14ac:dyDescent="0.25">
      <c r="A884">
        <v>44.991649610000003</v>
      </c>
      <c r="B884">
        <v>124.2090982</v>
      </c>
      <c r="C884">
        <v>1.70243645</v>
      </c>
      <c r="D884">
        <v>11.0540266</v>
      </c>
      <c r="E884" t="b">
        <f t="shared" si="327"/>
        <v>1</v>
      </c>
      <c r="F884">
        <f t="shared" si="328"/>
        <v>2.5418443499999999</v>
      </c>
      <c r="G884">
        <f t="shared" si="329"/>
        <v>-5.9703379000000005</v>
      </c>
      <c r="H884">
        <f t="shared" si="330"/>
        <v>-14.482520149999999</v>
      </c>
      <c r="I884">
        <f t="shared" si="331"/>
        <v>-22.994702400000001</v>
      </c>
      <c r="J884">
        <f t="shared" si="332"/>
        <v>-31.506884649999996</v>
      </c>
      <c r="L884">
        <f t="shared" si="333"/>
        <v>3268677.9840000002</v>
      </c>
      <c r="M884">
        <f t="shared" si="334"/>
        <v>2757947.0490000001</v>
      </c>
      <c r="N884">
        <f t="shared" si="335"/>
        <v>-8239066.3020000001</v>
      </c>
      <c r="O884">
        <f t="shared" si="336"/>
        <v>-14772170.552999999</v>
      </c>
      <c r="P884">
        <f t="shared" si="337"/>
        <v>-21155126.208000001</v>
      </c>
      <c r="Q884">
        <f t="shared" si="338"/>
        <v>-23945232.333999995</v>
      </c>
      <c r="S884">
        <f t="shared" si="339"/>
        <v>3575116.5449999999</v>
      </c>
      <c r="T884">
        <f t="shared" si="340"/>
        <v>3098434.3390000002</v>
      </c>
      <c r="U884">
        <f t="shared" si="341"/>
        <v>-9015210.2290000003</v>
      </c>
      <c r="V884">
        <f t="shared" si="342"/>
        <v>-15496296.560499996</v>
      </c>
      <c r="W884">
        <f t="shared" si="343"/>
        <v>-24604331.568</v>
      </c>
      <c r="X884">
        <f t="shared" si="344"/>
        <v>-27410989.645499997</v>
      </c>
      <c r="Z884">
        <f t="shared" si="355"/>
        <v>631.26343566000003</v>
      </c>
      <c r="AA884">
        <f t="shared" si="345"/>
        <v>3438921.6289999997</v>
      </c>
      <c r="AB884">
        <f t="shared" si="346"/>
        <v>-9791354.1560000014</v>
      </c>
      <c r="AC884">
        <f t="shared" si="347"/>
        <v>-19696227.403999995</v>
      </c>
      <c r="AD884">
        <f t="shared" si="348"/>
        <v>-28053536.928000003</v>
      </c>
      <c r="AE884">
        <f t="shared" si="349"/>
        <v>-30876746.956999995</v>
      </c>
    </row>
    <row r="885" spans="1:31" x14ac:dyDescent="0.25">
      <c r="A885">
        <v>44.994440089999998</v>
      </c>
      <c r="B885">
        <v>124.85987609999999</v>
      </c>
      <c r="C885">
        <v>14.23618984</v>
      </c>
      <c r="D885">
        <v>1.4729590400000001</v>
      </c>
      <c r="E885" t="b">
        <f t="shared" si="327"/>
        <v>0</v>
      </c>
      <c r="F885">
        <f t="shared" si="328"/>
        <v>-69.707990159999994</v>
      </c>
      <c r="G885">
        <f t="shared" si="329"/>
        <v>-140.88893935999999</v>
      </c>
      <c r="H885">
        <f t="shared" si="330"/>
        <v>-212.06988855999998</v>
      </c>
      <c r="I885">
        <f t="shared" si="331"/>
        <v>-283.25083776000002</v>
      </c>
      <c r="J885">
        <f t="shared" si="332"/>
        <v>-354.43178696000001</v>
      </c>
      <c r="L885">
        <f t="shared" si="333"/>
        <v>2828081.3568000002</v>
      </c>
      <c r="M885">
        <f t="shared" si="334"/>
        <v>-112926944.0592</v>
      </c>
      <c r="N885">
        <f t="shared" si="335"/>
        <v>-194426736.31679997</v>
      </c>
      <c r="O885">
        <f t="shared" si="336"/>
        <v>-216311286.33119997</v>
      </c>
      <c r="P885">
        <f t="shared" si="337"/>
        <v>-260590770.73920003</v>
      </c>
      <c r="Q885">
        <f t="shared" si="338"/>
        <v>-269368158.08960003</v>
      </c>
      <c r="S885">
        <f t="shared" si="339"/>
        <v>3093213.9840000002</v>
      </c>
      <c r="T885">
        <f t="shared" si="340"/>
        <v>-126868542.09119999</v>
      </c>
      <c r="U885">
        <f t="shared" si="341"/>
        <v>-212742298.43359998</v>
      </c>
      <c r="V885">
        <f t="shared" si="342"/>
        <v>-226914780.75919995</v>
      </c>
      <c r="W885">
        <f t="shared" si="343"/>
        <v>-303078396.40320003</v>
      </c>
      <c r="X885">
        <f t="shared" si="344"/>
        <v>-308355654.6552</v>
      </c>
      <c r="Z885">
        <f>D885*(310+0.8+60)</f>
        <v>546.17321203200004</v>
      </c>
      <c r="AA885">
        <f t="shared" si="345"/>
        <v>-140810140.1232</v>
      </c>
      <c r="AB885">
        <f t="shared" si="346"/>
        <v>-231057860.55039999</v>
      </c>
      <c r="AC885">
        <f t="shared" si="347"/>
        <v>-288415048.44159997</v>
      </c>
      <c r="AD885">
        <f t="shared" si="348"/>
        <v>-345566022.06720006</v>
      </c>
      <c r="AE885">
        <f t="shared" si="349"/>
        <v>-347343151.22080004</v>
      </c>
    </row>
    <row r="886" spans="1:31" x14ac:dyDescent="0.25">
      <c r="A886">
        <v>45.002743680000002</v>
      </c>
      <c r="B886">
        <v>115.6322199</v>
      </c>
      <c r="C886">
        <v>6.3704409599999998</v>
      </c>
      <c r="D886">
        <v>1.5682519699999999</v>
      </c>
      <c r="E886" t="b">
        <f t="shared" si="327"/>
        <v>0</v>
      </c>
      <c r="F886">
        <f t="shared" si="328"/>
        <v>-30.28395283</v>
      </c>
      <c r="G886">
        <f t="shared" si="329"/>
        <v>-62.13615763</v>
      </c>
      <c r="H886">
        <f t="shared" si="330"/>
        <v>-93.988362429999995</v>
      </c>
      <c r="I886">
        <f t="shared" si="331"/>
        <v>-125.84056722999999</v>
      </c>
      <c r="J886">
        <f t="shared" si="332"/>
        <v>-157.69277202999999</v>
      </c>
      <c r="L886">
        <f t="shared" si="333"/>
        <v>3011043.7824000004</v>
      </c>
      <c r="M886">
        <f t="shared" si="334"/>
        <v>-49060003.584600009</v>
      </c>
      <c r="N886">
        <f t="shared" si="335"/>
        <v>-85747897.529399991</v>
      </c>
      <c r="O886">
        <f t="shared" si="336"/>
        <v>-95868129.678599998</v>
      </c>
      <c r="P886">
        <f t="shared" si="337"/>
        <v>-115773321.85159998</v>
      </c>
      <c r="Q886">
        <f t="shared" si="338"/>
        <v>-119846506.74279998</v>
      </c>
      <c r="S886">
        <f t="shared" si="339"/>
        <v>3293329.1370000001</v>
      </c>
      <c r="T886">
        <f t="shared" si="340"/>
        <v>-55116794.150600009</v>
      </c>
      <c r="U886">
        <f t="shared" si="341"/>
        <v>-93825598.021300003</v>
      </c>
      <c r="V886">
        <f t="shared" si="342"/>
        <v>-100567547.80009998</v>
      </c>
      <c r="W886">
        <f t="shared" si="343"/>
        <v>-134649406.93609998</v>
      </c>
      <c r="X886">
        <f t="shared" si="344"/>
        <v>-137192711.66609997</v>
      </c>
      <c r="Z886">
        <f>D886*(310+0.8+60)</f>
        <v>581.50783047599998</v>
      </c>
      <c r="AA886">
        <f t="shared" si="345"/>
        <v>-61173584.716600001</v>
      </c>
      <c r="AB886">
        <f t="shared" si="346"/>
        <v>-101903298.51320001</v>
      </c>
      <c r="AC886">
        <f t="shared" si="347"/>
        <v>-127824172.90479998</v>
      </c>
      <c r="AD886">
        <f t="shared" si="348"/>
        <v>-153525492.02059999</v>
      </c>
      <c r="AE886">
        <f t="shared" si="349"/>
        <v>-154538916.58939996</v>
      </c>
    </row>
    <row r="887" spans="1:31" x14ac:dyDescent="0.25">
      <c r="A887">
        <v>45.041965920000003</v>
      </c>
      <c r="B887">
        <v>84.669068929999995</v>
      </c>
      <c r="C887">
        <v>10.58811188</v>
      </c>
      <c r="D887">
        <v>0.49581598999999998</v>
      </c>
      <c r="E887" t="b">
        <f t="shared" si="327"/>
        <v>0</v>
      </c>
      <c r="F887">
        <f t="shared" si="328"/>
        <v>-52.444743410000001</v>
      </c>
      <c r="G887">
        <f t="shared" si="329"/>
        <v>-105.38530281</v>
      </c>
      <c r="H887">
        <f t="shared" si="330"/>
        <v>-158.32586221</v>
      </c>
      <c r="I887">
        <f t="shared" si="331"/>
        <v>-211.26642160999998</v>
      </c>
      <c r="J887">
        <f t="shared" si="332"/>
        <v>-264.20698100999999</v>
      </c>
      <c r="L887">
        <f t="shared" si="333"/>
        <v>951966.70080000011</v>
      </c>
      <c r="M887">
        <f t="shared" si="334"/>
        <v>-84960484.324200019</v>
      </c>
      <c r="N887">
        <f t="shared" si="335"/>
        <v>-145431717.87779999</v>
      </c>
      <c r="O887">
        <f t="shared" si="336"/>
        <v>-161492379.4542</v>
      </c>
      <c r="P887">
        <f t="shared" si="337"/>
        <v>-194365107.88119996</v>
      </c>
      <c r="Q887">
        <f t="shared" si="338"/>
        <v>-200797305.56759998</v>
      </c>
      <c r="S887">
        <f t="shared" si="339"/>
        <v>1041213.579</v>
      </c>
      <c r="T887">
        <f t="shared" si="340"/>
        <v>-95449433.006200016</v>
      </c>
      <c r="U887">
        <f t="shared" si="341"/>
        <v>-159131807.24310002</v>
      </c>
      <c r="V887">
        <f t="shared" si="342"/>
        <v>-169408672.56469998</v>
      </c>
      <c r="W887">
        <f t="shared" si="343"/>
        <v>-226055071.12269995</v>
      </c>
      <c r="X887">
        <f t="shared" si="344"/>
        <v>-229860073.47869998</v>
      </c>
      <c r="Z887">
        <f>C887*(310+0.8+60)</f>
        <v>3926.0718851040001</v>
      </c>
      <c r="AA887">
        <f t="shared" si="345"/>
        <v>-105938381.68820001</v>
      </c>
      <c r="AB887">
        <f t="shared" si="346"/>
        <v>-172831896.60840002</v>
      </c>
      <c r="AC887">
        <f t="shared" si="347"/>
        <v>-215323172.6056</v>
      </c>
      <c r="AD887">
        <f t="shared" si="348"/>
        <v>-257745034.36419997</v>
      </c>
      <c r="AE887">
        <f t="shared" si="349"/>
        <v>-258922841.38979998</v>
      </c>
    </row>
    <row r="888" spans="1:31" x14ac:dyDescent="0.25">
      <c r="A888">
        <v>45.063602920000001</v>
      </c>
      <c r="B888">
        <v>124.35848559999999</v>
      </c>
      <c r="C888">
        <v>1.70243645</v>
      </c>
      <c r="D888">
        <v>7.0518097900000001</v>
      </c>
      <c r="E888" t="b">
        <f t="shared" si="327"/>
        <v>1</v>
      </c>
      <c r="F888">
        <f t="shared" si="328"/>
        <v>-1.4603724600000003</v>
      </c>
      <c r="G888">
        <f t="shared" si="329"/>
        <v>-9.9725547100000007</v>
      </c>
      <c r="H888">
        <f t="shared" si="330"/>
        <v>-18.484736959999999</v>
      </c>
      <c r="I888">
        <f t="shared" si="331"/>
        <v>-26.996919210000001</v>
      </c>
      <c r="J888">
        <f t="shared" si="332"/>
        <v>-35.509101459999997</v>
      </c>
      <c r="L888">
        <f t="shared" si="333"/>
        <v>3268677.9840000002</v>
      </c>
      <c r="M888">
        <f t="shared" si="334"/>
        <v>-2365803.3852000008</v>
      </c>
      <c r="N888">
        <f t="shared" si="335"/>
        <v>-13762125.4998</v>
      </c>
      <c r="O888">
        <f t="shared" si="336"/>
        <v>-18854431.699200001</v>
      </c>
      <c r="P888">
        <f t="shared" si="337"/>
        <v>-24837165.6732</v>
      </c>
      <c r="Q888">
        <f t="shared" si="338"/>
        <v>-26986917.109599996</v>
      </c>
      <c r="S888">
        <f t="shared" si="339"/>
        <v>3575116.5449999999</v>
      </c>
      <c r="T888">
        <f t="shared" si="340"/>
        <v>-2657877.8772000009</v>
      </c>
      <c r="U888">
        <f t="shared" si="341"/>
        <v>-15058557.612100001</v>
      </c>
      <c r="V888">
        <f t="shared" si="342"/>
        <v>-19778668.547199998</v>
      </c>
      <c r="W888">
        <f t="shared" si="343"/>
        <v>-28886703.554699998</v>
      </c>
      <c r="X888">
        <f t="shared" si="344"/>
        <v>-30892918.270199995</v>
      </c>
      <c r="Z888">
        <f>C888*(310+0.8+60)</f>
        <v>631.26343566000003</v>
      </c>
      <c r="AA888">
        <f t="shared" si="345"/>
        <v>-2949952.369200001</v>
      </c>
      <c r="AB888">
        <f t="shared" si="346"/>
        <v>-16354989.724400003</v>
      </c>
      <c r="AC888">
        <f t="shared" si="347"/>
        <v>-25139242.2656</v>
      </c>
      <c r="AD888">
        <f t="shared" si="348"/>
        <v>-32936241.4362</v>
      </c>
      <c r="AE888">
        <f t="shared" si="349"/>
        <v>-34798919.430799991</v>
      </c>
    </row>
    <row r="889" spans="1:31" x14ac:dyDescent="0.25">
      <c r="A889">
        <v>45.12794444</v>
      </c>
      <c r="B889">
        <v>87.776367629999996</v>
      </c>
      <c r="C889">
        <v>2.0064427899999999</v>
      </c>
      <c r="D889">
        <v>0.71719801000000005</v>
      </c>
      <c r="E889" t="b">
        <f t="shared" si="327"/>
        <v>0</v>
      </c>
      <c r="F889">
        <f t="shared" si="328"/>
        <v>-9.3150159399999986</v>
      </c>
      <c r="G889">
        <f t="shared" si="329"/>
        <v>-19.347229889999998</v>
      </c>
      <c r="H889">
        <f t="shared" si="330"/>
        <v>-29.379443839999997</v>
      </c>
      <c r="I889">
        <f t="shared" si="331"/>
        <v>-39.41165779</v>
      </c>
      <c r="J889">
        <f t="shared" si="332"/>
        <v>-49.443871739999999</v>
      </c>
      <c r="L889">
        <f t="shared" si="333"/>
        <v>1377020.1792000001</v>
      </c>
      <c r="M889">
        <f t="shared" si="334"/>
        <v>-15090325.822799999</v>
      </c>
      <c r="N889">
        <f t="shared" si="335"/>
        <v>-26699177.248199992</v>
      </c>
      <c r="O889">
        <f t="shared" si="336"/>
        <v>-29967032.716799997</v>
      </c>
      <c r="P889">
        <f t="shared" si="337"/>
        <v>-36258725.1668</v>
      </c>
      <c r="Q889">
        <f t="shared" si="338"/>
        <v>-37577342.522399999</v>
      </c>
      <c r="S889">
        <f t="shared" si="339"/>
        <v>1506115.821</v>
      </c>
      <c r="T889">
        <f t="shared" si="340"/>
        <v>-16953329.0108</v>
      </c>
      <c r="U889">
        <f t="shared" si="341"/>
        <v>-29214317.133899994</v>
      </c>
      <c r="V889">
        <f t="shared" si="342"/>
        <v>-31436004.908799991</v>
      </c>
      <c r="W889">
        <f t="shared" si="343"/>
        <v>-42170473.835299991</v>
      </c>
      <c r="X889">
        <f t="shared" si="344"/>
        <v>-43016168.413800001</v>
      </c>
      <c r="Z889">
        <f>D889*(310+0.8+60)</f>
        <v>265.93702210800001</v>
      </c>
      <c r="AA889">
        <f t="shared" si="345"/>
        <v>-18816332.198799998</v>
      </c>
      <c r="AB889">
        <f t="shared" si="346"/>
        <v>-31729457.019599997</v>
      </c>
      <c r="AC889">
        <f t="shared" si="347"/>
        <v>-39956043.622399993</v>
      </c>
      <c r="AD889">
        <f t="shared" si="348"/>
        <v>-48082222.503799997</v>
      </c>
      <c r="AE889">
        <f t="shared" si="349"/>
        <v>-48454994.305200003</v>
      </c>
    </row>
    <row r="890" spans="1:31" x14ac:dyDescent="0.25">
      <c r="A890">
        <v>45.176844449999997</v>
      </c>
      <c r="B890">
        <v>116.9437776</v>
      </c>
      <c r="C890">
        <v>6.3704409599999998</v>
      </c>
      <c r="D890">
        <v>1.74567294</v>
      </c>
      <c r="E890" t="b">
        <f t="shared" si="327"/>
        <v>0</v>
      </c>
      <c r="F890">
        <f t="shared" si="328"/>
        <v>-30.10653186</v>
      </c>
      <c r="G890">
        <f t="shared" si="329"/>
        <v>-61.95873666</v>
      </c>
      <c r="H890">
        <f t="shared" si="330"/>
        <v>-93.810941459999995</v>
      </c>
      <c r="I890">
        <f t="shared" si="331"/>
        <v>-125.66314625999999</v>
      </c>
      <c r="J890">
        <f t="shared" si="332"/>
        <v>-157.51535106</v>
      </c>
      <c r="L890">
        <f t="shared" si="333"/>
        <v>3351692.0448000003</v>
      </c>
      <c r="M890">
        <f t="shared" si="334"/>
        <v>-48772581.613200001</v>
      </c>
      <c r="N890">
        <f t="shared" si="335"/>
        <v>-85503056.590799987</v>
      </c>
      <c r="O890">
        <f t="shared" si="336"/>
        <v>-95687160.289199993</v>
      </c>
      <c r="P890">
        <f t="shared" si="337"/>
        <v>-115610094.55919999</v>
      </c>
      <c r="Q890">
        <f t="shared" si="338"/>
        <v>-119711666.8056</v>
      </c>
      <c r="S890">
        <f t="shared" si="339"/>
        <v>3665913.1740000001</v>
      </c>
      <c r="T890">
        <f t="shared" si="340"/>
        <v>-54793887.985200003</v>
      </c>
      <c r="U890">
        <f t="shared" si="341"/>
        <v>-93557692.356600001</v>
      </c>
      <c r="V890">
        <f t="shared" si="342"/>
        <v>-100377707.36219998</v>
      </c>
      <c r="W890">
        <f t="shared" si="343"/>
        <v>-134459566.49819997</v>
      </c>
      <c r="X890">
        <f t="shared" si="344"/>
        <v>-137038355.42219999</v>
      </c>
      <c r="Z890">
        <f t="shared" ref="Z890:Z891" si="356">D890*(310+0.8+60)</f>
        <v>647.29552615199998</v>
      </c>
      <c r="AA890">
        <f t="shared" si="345"/>
        <v>-60815194.357199997</v>
      </c>
      <c r="AB890">
        <f t="shared" si="346"/>
        <v>-101612328.1224</v>
      </c>
      <c r="AC890">
        <f t="shared" si="347"/>
        <v>-127582880.38559999</v>
      </c>
      <c r="AD890">
        <f t="shared" si="348"/>
        <v>-153309038.43719998</v>
      </c>
      <c r="AE890">
        <f t="shared" si="349"/>
        <v>-154365044.0388</v>
      </c>
    </row>
    <row r="891" spans="1:31" x14ac:dyDescent="0.25">
      <c r="A891">
        <v>45.198293409999998</v>
      </c>
      <c r="B891">
        <v>124.7210225</v>
      </c>
      <c r="C891">
        <v>14.23618984</v>
      </c>
      <c r="D891">
        <v>5.1105141600000001</v>
      </c>
      <c r="E891" t="b">
        <f t="shared" si="327"/>
        <v>0</v>
      </c>
      <c r="F891">
        <f t="shared" si="328"/>
        <v>-66.070435040000007</v>
      </c>
      <c r="G891">
        <f t="shared" si="329"/>
        <v>-137.25138423999999</v>
      </c>
      <c r="H891">
        <f t="shared" si="330"/>
        <v>-208.43233343999998</v>
      </c>
      <c r="I891">
        <f t="shared" si="331"/>
        <v>-279.61328264000002</v>
      </c>
      <c r="J891">
        <f t="shared" si="332"/>
        <v>-350.79423184000001</v>
      </c>
      <c r="L891">
        <f t="shared" si="333"/>
        <v>9812187.1872000005</v>
      </c>
      <c r="M891">
        <f t="shared" si="334"/>
        <v>-107034104.76480001</v>
      </c>
      <c r="N891">
        <f t="shared" si="335"/>
        <v>-189406910.25119996</v>
      </c>
      <c r="O891">
        <f t="shared" si="336"/>
        <v>-212600980.10879996</v>
      </c>
      <c r="P891">
        <f t="shared" si="337"/>
        <v>-257244220.02880001</v>
      </c>
      <c r="Q891">
        <f t="shared" si="338"/>
        <v>-266603616.19840002</v>
      </c>
      <c r="S891">
        <f t="shared" si="339"/>
        <v>10732079.736000001</v>
      </c>
      <c r="T891">
        <f t="shared" si="340"/>
        <v>-120248191.77280001</v>
      </c>
      <c r="U891">
        <f t="shared" si="341"/>
        <v>-207249590.20239997</v>
      </c>
      <c r="V891">
        <f t="shared" si="342"/>
        <v>-223022596.78079993</v>
      </c>
      <c r="W891">
        <f t="shared" si="343"/>
        <v>-299186212.42479998</v>
      </c>
      <c r="X891">
        <f t="shared" si="344"/>
        <v>-305190981.7008</v>
      </c>
      <c r="Z891">
        <f t="shared" si="356"/>
        <v>1894.9786505280001</v>
      </c>
      <c r="AA891">
        <f t="shared" si="345"/>
        <v>-133462278.78080001</v>
      </c>
      <c r="AB891">
        <f t="shared" si="346"/>
        <v>-225092270.15359998</v>
      </c>
      <c r="AC891">
        <f t="shared" si="347"/>
        <v>-283467973.47839993</v>
      </c>
      <c r="AD891">
        <f t="shared" si="348"/>
        <v>-341128204.82080007</v>
      </c>
      <c r="AE891">
        <f t="shared" si="349"/>
        <v>-343778347.20320004</v>
      </c>
    </row>
    <row r="892" spans="1:31" x14ac:dyDescent="0.25">
      <c r="A892">
        <v>45.223644090000001</v>
      </c>
      <c r="B892">
        <v>84.939525459999999</v>
      </c>
      <c r="C892">
        <v>10.58811188</v>
      </c>
      <c r="D892">
        <v>26.16229057</v>
      </c>
      <c r="E892" t="b">
        <f t="shared" si="327"/>
        <v>1</v>
      </c>
      <c r="F892">
        <f t="shared" si="328"/>
        <v>-26.778268829999998</v>
      </c>
      <c r="G892">
        <f t="shared" si="329"/>
        <v>-79.71882823</v>
      </c>
      <c r="H892">
        <f t="shared" si="330"/>
        <v>-132.65938763</v>
      </c>
      <c r="I892">
        <f t="shared" si="331"/>
        <v>-185.59994702999998</v>
      </c>
      <c r="J892">
        <f t="shared" si="332"/>
        <v>-238.54050642999997</v>
      </c>
      <c r="L892">
        <f t="shared" si="333"/>
        <v>20329174.809599999</v>
      </c>
      <c r="M892">
        <f t="shared" si="334"/>
        <v>-43380795.504600003</v>
      </c>
      <c r="N892">
        <f t="shared" si="335"/>
        <v>-110011982.95739999</v>
      </c>
      <c r="O892">
        <f t="shared" si="336"/>
        <v>-135312575.38260001</v>
      </c>
      <c r="P892">
        <f t="shared" si="337"/>
        <v>-170751951.26759997</v>
      </c>
      <c r="Q892">
        <f t="shared" si="338"/>
        <v>-181290784.88679999</v>
      </c>
      <c r="S892">
        <f t="shared" si="339"/>
        <v>22235034.947999999</v>
      </c>
      <c r="T892">
        <f t="shared" si="340"/>
        <v>-48736449.270599999</v>
      </c>
      <c r="U892">
        <f t="shared" si="341"/>
        <v>-120375430.62730001</v>
      </c>
      <c r="V892">
        <f t="shared" si="342"/>
        <v>-141945544.76409999</v>
      </c>
      <c r="W892">
        <f t="shared" si="343"/>
        <v>-198591943.32209995</v>
      </c>
      <c r="X892">
        <f t="shared" si="344"/>
        <v>-207530240.59409997</v>
      </c>
      <c r="Z892">
        <f>C892*(310+0.8+60)</f>
        <v>3926.0718851040001</v>
      </c>
      <c r="AA892">
        <f t="shared" si="345"/>
        <v>-54092103.036599994</v>
      </c>
      <c r="AB892">
        <f t="shared" si="346"/>
        <v>-130738878.29720002</v>
      </c>
      <c r="AC892">
        <f t="shared" si="347"/>
        <v>-180416767.17679998</v>
      </c>
      <c r="AD892">
        <f t="shared" si="348"/>
        <v>-226431935.37659997</v>
      </c>
      <c r="AE892">
        <f t="shared" si="349"/>
        <v>-233769696.30139998</v>
      </c>
    </row>
    <row r="893" spans="1:31" x14ac:dyDescent="0.25">
      <c r="A893">
        <v>45.225318799999997</v>
      </c>
      <c r="B893">
        <v>87.815316890000005</v>
      </c>
      <c r="C893">
        <v>2.0064427899999999</v>
      </c>
      <c r="D893">
        <v>0.25060901000000002</v>
      </c>
      <c r="E893" t="b">
        <f t="shared" si="327"/>
        <v>0</v>
      </c>
      <c r="F893">
        <f t="shared" si="328"/>
        <v>-9.7816049399999994</v>
      </c>
      <c r="G893">
        <f t="shared" si="329"/>
        <v>-19.813818889999997</v>
      </c>
      <c r="H893">
        <f t="shared" si="330"/>
        <v>-29.846032839999996</v>
      </c>
      <c r="I893">
        <f t="shared" si="331"/>
        <v>-39.878246789999999</v>
      </c>
      <c r="J893">
        <f t="shared" si="332"/>
        <v>-49.910460739999998</v>
      </c>
      <c r="L893">
        <f t="shared" si="333"/>
        <v>481169.29920000007</v>
      </c>
      <c r="M893">
        <f t="shared" si="334"/>
        <v>-15846200.002800001</v>
      </c>
      <c r="N893">
        <f t="shared" si="335"/>
        <v>-27343070.068199992</v>
      </c>
      <c r="O893">
        <f t="shared" si="336"/>
        <v>-30442953.496799998</v>
      </c>
      <c r="P893">
        <f t="shared" si="337"/>
        <v>-36687987.046799995</v>
      </c>
      <c r="Q893">
        <f t="shared" si="338"/>
        <v>-37931950.1624</v>
      </c>
      <c r="S893">
        <f t="shared" si="339"/>
        <v>526278.92100000009</v>
      </c>
      <c r="T893">
        <f t="shared" si="340"/>
        <v>-17802520.990800001</v>
      </c>
      <c r="U893">
        <f t="shared" si="341"/>
        <v>-29918866.523899995</v>
      </c>
      <c r="V893">
        <f t="shared" si="342"/>
        <v>-31935255.138799991</v>
      </c>
      <c r="W893">
        <f t="shared" si="343"/>
        <v>-42669724.065299995</v>
      </c>
      <c r="X893">
        <f t="shared" si="344"/>
        <v>-43422100.843799993</v>
      </c>
      <c r="Z893">
        <f>D893*(310+0.8+60)</f>
        <v>92.925820908000006</v>
      </c>
      <c r="AA893">
        <f t="shared" si="345"/>
        <v>-19758841.978799999</v>
      </c>
      <c r="AB893">
        <f t="shared" si="346"/>
        <v>-32494662.979599997</v>
      </c>
      <c r="AC893">
        <f t="shared" si="347"/>
        <v>-40590604.662399992</v>
      </c>
      <c r="AD893">
        <f t="shared" si="348"/>
        <v>-48651461.083799995</v>
      </c>
      <c r="AE893">
        <f t="shared" si="349"/>
        <v>-48912251.525199994</v>
      </c>
    </row>
    <row r="894" spans="1:31" x14ac:dyDescent="0.25">
      <c r="A894">
        <v>45.232829580000001</v>
      </c>
      <c r="B894">
        <v>124.4696376</v>
      </c>
      <c r="C894">
        <v>1.70243645</v>
      </c>
      <c r="D894">
        <v>21.820411679999999</v>
      </c>
      <c r="E894" t="b">
        <f t="shared" si="327"/>
        <v>1</v>
      </c>
      <c r="F894">
        <f t="shared" si="328"/>
        <v>13.308229429999999</v>
      </c>
      <c r="G894">
        <f t="shared" si="329"/>
        <v>4.7960471799999986</v>
      </c>
      <c r="H894">
        <f t="shared" si="330"/>
        <v>-3.71613507</v>
      </c>
      <c r="I894">
        <f t="shared" si="331"/>
        <v>-12.228317320000002</v>
      </c>
      <c r="J894">
        <f t="shared" si="332"/>
        <v>-20.740499569999997</v>
      </c>
      <c r="L894">
        <f t="shared" si="333"/>
        <v>3268677.9840000002</v>
      </c>
      <c r="M894">
        <f t="shared" si="334"/>
        <v>2757947.0490000001</v>
      </c>
      <c r="N894">
        <f t="shared" si="335"/>
        <v>2349362.301</v>
      </c>
      <c r="O894">
        <f t="shared" si="336"/>
        <v>-3790457.7714</v>
      </c>
      <c r="P894">
        <f t="shared" si="337"/>
        <v>-11250051.934400002</v>
      </c>
      <c r="Q894">
        <f t="shared" si="338"/>
        <v>-15762779.673199998</v>
      </c>
      <c r="S894">
        <f t="shared" si="339"/>
        <v>3575116.5449999999</v>
      </c>
      <c r="T894">
        <f t="shared" si="340"/>
        <v>3098434.3390000002</v>
      </c>
      <c r="U894">
        <f t="shared" si="341"/>
        <v>2570679.0395</v>
      </c>
      <c r="V894">
        <f t="shared" si="342"/>
        <v>-3976264.5248999991</v>
      </c>
      <c r="W894">
        <f t="shared" si="343"/>
        <v>-13084299.532400001</v>
      </c>
      <c r="X894">
        <f t="shared" si="344"/>
        <v>-18044234.625899997</v>
      </c>
      <c r="Z894">
        <f>C894*(310+0.8+60)</f>
        <v>631.26343566000003</v>
      </c>
      <c r="AA894">
        <f t="shared" si="345"/>
        <v>3438921.6289999997</v>
      </c>
      <c r="AB894">
        <f t="shared" si="346"/>
        <v>2791995.7779999999</v>
      </c>
      <c r="AC894">
        <f t="shared" si="347"/>
        <v>-5053943.695199999</v>
      </c>
      <c r="AD894">
        <f t="shared" si="348"/>
        <v>-14918547.130400002</v>
      </c>
      <c r="AE894">
        <f t="shared" si="349"/>
        <v>-20325689.578599997</v>
      </c>
    </row>
    <row r="895" spans="1:31" x14ac:dyDescent="0.25">
      <c r="A895">
        <v>45.237475719999999</v>
      </c>
      <c r="B895">
        <v>85.328552040000005</v>
      </c>
      <c r="C895">
        <v>0.72106236000000001</v>
      </c>
      <c r="D895">
        <v>1.06621802</v>
      </c>
      <c r="E895" t="b">
        <f t="shared" si="327"/>
        <v>1</v>
      </c>
      <c r="F895">
        <f t="shared" si="328"/>
        <v>-2.53909378</v>
      </c>
      <c r="G895">
        <f t="shared" si="329"/>
        <v>-6.1444055799999999</v>
      </c>
      <c r="H895">
        <f t="shared" si="330"/>
        <v>-9.7497173799999999</v>
      </c>
      <c r="I895">
        <f t="shared" si="331"/>
        <v>-13.355029179999999</v>
      </c>
      <c r="J895">
        <f t="shared" si="332"/>
        <v>-16.960340979999998</v>
      </c>
      <c r="L895">
        <f t="shared" si="333"/>
        <v>1384439.7312</v>
      </c>
      <c r="M895">
        <f t="shared" si="334"/>
        <v>-4113331.9235999999</v>
      </c>
      <c r="N895">
        <f t="shared" si="335"/>
        <v>-8479279.7003999986</v>
      </c>
      <c r="O895">
        <f t="shared" si="336"/>
        <v>-9944711.7275999989</v>
      </c>
      <c r="P895">
        <f t="shared" si="337"/>
        <v>-12286626.8456</v>
      </c>
      <c r="Q895">
        <f t="shared" si="338"/>
        <v>-12889859.144799998</v>
      </c>
      <c r="S895">
        <f t="shared" si="339"/>
        <v>1514230.956</v>
      </c>
      <c r="T895">
        <f t="shared" si="340"/>
        <v>-4621150.6795999995</v>
      </c>
      <c r="U895">
        <f t="shared" si="341"/>
        <v>-9278052.4257999994</v>
      </c>
      <c r="V895">
        <f t="shared" si="342"/>
        <v>-10432197.596599998</v>
      </c>
      <c r="W895">
        <f t="shared" si="343"/>
        <v>-14289881.222599998</v>
      </c>
      <c r="X895">
        <f t="shared" si="344"/>
        <v>-14755496.652599998</v>
      </c>
      <c r="Z895">
        <f t="shared" ref="Z895:Z896" si="357">C895*(310+0.8+60)</f>
        <v>267.36992308800001</v>
      </c>
      <c r="AA895">
        <f t="shared" si="345"/>
        <v>-5128969.4355999995</v>
      </c>
      <c r="AB895">
        <f t="shared" si="346"/>
        <v>-10076825.1512</v>
      </c>
      <c r="AC895">
        <f t="shared" si="347"/>
        <v>-13259615.636799997</v>
      </c>
      <c r="AD895">
        <f t="shared" si="348"/>
        <v>-16293135.599599998</v>
      </c>
      <c r="AE895">
        <f t="shared" si="349"/>
        <v>-16621134.160399996</v>
      </c>
    </row>
    <row r="896" spans="1:31" x14ac:dyDescent="0.25">
      <c r="A896">
        <v>45.256039530000002</v>
      </c>
      <c r="B896">
        <v>123.95430020000001</v>
      </c>
      <c r="C896">
        <v>0.44901341</v>
      </c>
      <c r="D896">
        <v>12.56952763</v>
      </c>
      <c r="E896" t="b">
        <f t="shared" si="327"/>
        <v>1</v>
      </c>
      <c r="F896">
        <f t="shared" si="328"/>
        <v>10.32446058</v>
      </c>
      <c r="G896">
        <f t="shared" si="329"/>
        <v>8.0793935300000008</v>
      </c>
      <c r="H896">
        <f t="shared" si="330"/>
        <v>5.8343264799999996</v>
      </c>
      <c r="I896">
        <f t="shared" si="331"/>
        <v>3.5892594300000003</v>
      </c>
      <c r="J896">
        <f t="shared" si="332"/>
        <v>1.3441923799999991</v>
      </c>
      <c r="L896">
        <f t="shared" si="333"/>
        <v>862105.74719999998</v>
      </c>
      <c r="M896">
        <f t="shared" si="334"/>
        <v>727401.72420000006</v>
      </c>
      <c r="N896">
        <f t="shared" si="335"/>
        <v>619638.50579999993</v>
      </c>
      <c r="O896">
        <f t="shared" si="336"/>
        <v>457993.67819999997</v>
      </c>
      <c r="P896">
        <f t="shared" si="337"/>
        <v>413092.33719999995</v>
      </c>
      <c r="Q896">
        <f t="shared" si="338"/>
        <v>341250.19159999996</v>
      </c>
      <c r="S896">
        <f t="shared" si="339"/>
        <v>942928.16099999996</v>
      </c>
      <c r="T896">
        <f t="shared" si="340"/>
        <v>817204.40619999997</v>
      </c>
      <c r="U896">
        <f t="shared" si="341"/>
        <v>678010.24910000002</v>
      </c>
      <c r="V896">
        <f t="shared" si="342"/>
        <v>480444.34869999991</v>
      </c>
      <c r="W896">
        <f t="shared" si="343"/>
        <v>480444.34869999991</v>
      </c>
      <c r="X896">
        <f t="shared" si="344"/>
        <v>390641.6667</v>
      </c>
      <c r="Z896">
        <f t="shared" si="357"/>
        <v>166.49417242800001</v>
      </c>
      <c r="AA896">
        <f t="shared" si="345"/>
        <v>907007.0882</v>
      </c>
      <c r="AB896">
        <f t="shared" si="346"/>
        <v>736381.99239999999</v>
      </c>
      <c r="AC896">
        <f t="shared" si="347"/>
        <v>610658.23759999988</v>
      </c>
      <c r="AD896">
        <f t="shared" si="348"/>
        <v>547796.3602</v>
      </c>
      <c r="AE896">
        <f t="shared" si="349"/>
        <v>440033.14179999998</v>
      </c>
    </row>
    <row r="897" spans="1:31" x14ac:dyDescent="0.25">
      <c r="A897">
        <v>45.277576609999997</v>
      </c>
      <c r="B897">
        <v>84.988273559999996</v>
      </c>
      <c r="C897">
        <v>10.58811188</v>
      </c>
      <c r="D897">
        <v>3.4324939300000001</v>
      </c>
      <c r="E897" t="b">
        <f t="shared" si="327"/>
        <v>0</v>
      </c>
      <c r="F897">
        <f t="shared" si="328"/>
        <v>-49.508065469999998</v>
      </c>
      <c r="G897">
        <f t="shared" si="329"/>
        <v>-102.44862486999999</v>
      </c>
      <c r="H897">
        <f t="shared" si="330"/>
        <v>-155.38918427000002</v>
      </c>
      <c r="I897">
        <f t="shared" si="331"/>
        <v>-208.32974367</v>
      </c>
      <c r="J897">
        <f t="shared" si="332"/>
        <v>-261.27030306999995</v>
      </c>
      <c r="L897">
        <f t="shared" si="333"/>
        <v>6590388.3456000006</v>
      </c>
      <c r="M897">
        <f t="shared" si="334"/>
        <v>-80203066.061399996</v>
      </c>
      <c r="N897">
        <f t="shared" si="335"/>
        <v>-141379102.32059997</v>
      </c>
      <c r="O897">
        <f t="shared" si="336"/>
        <v>-158496967.95540002</v>
      </c>
      <c r="P897">
        <f t="shared" si="337"/>
        <v>-191663364.17639998</v>
      </c>
      <c r="Q897">
        <f t="shared" si="338"/>
        <v>-198565430.33319998</v>
      </c>
      <c r="S897">
        <f t="shared" si="339"/>
        <v>7208237.2530000005</v>
      </c>
      <c r="T897">
        <f t="shared" si="340"/>
        <v>-90104679.155400008</v>
      </c>
      <c r="U897">
        <f t="shared" si="341"/>
        <v>-154697423.5537</v>
      </c>
      <c r="V897">
        <f t="shared" si="342"/>
        <v>-166266427.16889998</v>
      </c>
      <c r="W897">
        <f t="shared" si="343"/>
        <v>-222912825.72689995</v>
      </c>
      <c r="X897">
        <f t="shared" si="344"/>
        <v>-227305163.67089996</v>
      </c>
      <c r="Z897">
        <f>D897*(310+0.8+60)</f>
        <v>1272.768749244</v>
      </c>
      <c r="AA897">
        <f t="shared" si="345"/>
        <v>-100006292.2494</v>
      </c>
      <c r="AB897">
        <f t="shared" si="346"/>
        <v>-168015744.7868</v>
      </c>
      <c r="AC897">
        <f t="shared" si="347"/>
        <v>-211329290.6072</v>
      </c>
      <c r="AD897">
        <f t="shared" si="348"/>
        <v>-254162287.27739999</v>
      </c>
      <c r="AE897">
        <f t="shared" si="349"/>
        <v>-256044897.00859997</v>
      </c>
    </row>
    <row r="898" spans="1:31" x14ac:dyDescent="0.25">
      <c r="A898">
        <v>45.295050510000003</v>
      </c>
      <c r="B898">
        <v>115.9956667</v>
      </c>
      <c r="C898">
        <v>6.3704409599999998</v>
      </c>
      <c r="D898">
        <v>6.3535819099999999</v>
      </c>
      <c r="E898" t="b">
        <f t="shared" si="327"/>
        <v>0</v>
      </c>
      <c r="F898">
        <f t="shared" si="328"/>
        <v>-25.49862289</v>
      </c>
      <c r="G898">
        <f t="shared" si="329"/>
        <v>-57.350827689999996</v>
      </c>
      <c r="H898">
        <f t="shared" si="330"/>
        <v>-89.203032489999998</v>
      </c>
      <c r="I898">
        <f t="shared" si="331"/>
        <v>-121.05523728999999</v>
      </c>
      <c r="J898">
        <f t="shared" si="332"/>
        <v>-152.90744208999999</v>
      </c>
      <c r="L898">
        <f t="shared" si="333"/>
        <v>12198877.267200001</v>
      </c>
      <c r="M898">
        <f t="shared" si="334"/>
        <v>-41307769.081800006</v>
      </c>
      <c r="N898">
        <f t="shared" si="335"/>
        <v>-79144142.212199986</v>
      </c>
      <c r="O898">
        <f t="shared" si="336"/>
        <v>-90987093.139799997</v>
      </c>
      <c r="P898">
        <f t="shared" si="337"/>
        <v>-111370818.30679998</v>
      </c>
      <c r="Q898">
        <f t="shared" si="338"/>
        <v>-116209655.9884</v>
      </c>
      <c r="S898">
        <f t="shared" si="339"/>
        <v>13342522.011000002</v>
      </c>
      <c r="T898">
        <f t="shared" si="340"/>
        <v>-46407493.6598</v>
      </c>
      <c r="U898">
        <f t="shared" si="341"/>
        <v>-86599749.81189999</v>
      </c>
      <c r="V898">
        <f t="shared" si="342"/>
        <v>-95447244.764299974</v>
      </c>
      <c r="W898">
        <f t="shared" si="343"/>
        <v>-129529103.90029997</v>
      </c>
      <c r="X898">
        <f t="shared" si="344"/>
        <v>-133029474.61830001</v>
      </c>
      <c r="Z898">
        <f t="shared" ref="Z898:Z901" si="358">D898*(310+0.8+60)</f>
        <v>2355.9081722280002</v>
      </c>
      <c r="AA898">
        <f t="shared" si="345"/>
        <v>-51507218.237800002</v>
      </c>
      <c r="AB898">
        <f t="shared" si="346"/>
        <v>-94055357.411600009</v>
      </c>
      <c r="AC898">
        <f t="shared" si="347"/>
        <v>-121316124.18639998</v>
      </c>
      <c r="AD898">
        <f t="shared" si="348"/>
        <v>-147687389.49379998</v>
      </c>
      <c r="AE898">
        <f t="shared" si="349"/>
        <v>-149849293.2482</v>
      </c>
    </row>
    <row r="899" spans="1:31" x14ac:dyDescent="0.25">
      <c r="A899">
        <v>45.310043559999997</v>
      </c>
      <c r="B899">
        <v>126.191456</v>
      </c>
      <c r="C899">
        <v>0.75035375000000004</v>
      </c>
      <c r="D899">
        <v>0.34505299</v>
      </c>
      <c r="E899" t="b">
        <f t="shared" ref="E899:E962" si="359">D899&gt;C899</f>
        <v>0</v>
      </c>
      <c r="F899">
        <f t="shared" ref="F899:F962" si="360">D899-(C899*(2030-2025))</f>
        <v>-3.40671576</v>
      </c>
      <c r="G899">
        <f t="shared" ref="G899:G962" si="361">D899-(C899*(2035-2025))</f>
        <v>-7.1584845100000001</v>
      </c>
      <c r="H899">
        <f t="shared" ref="H899:H962" si="362">D899-(C899*(2040-2025))</f>
        <v>-10.910253260000001</v>
      </c>
      <c r="I899">
        <f t="shared" ref="I899:I962" si="363">D899-(C899*(2045-2025))</f>
        <v>-14.662022010000001</v>
      </c>
      <c r="J899">
        <f t="shared" ref="J899:J962" si="364">D899-(C899*(2050-2025))</f>
        <v>-18.413790760000001</v>
      </c>
      <c r="L899">
        <f t="shared" ref="L899:L962" si="365">MIN(C899,D899)*1000000*((280/250)+0.8)</f>
        <v>662501.74080000003</v>
      </c>
      <c r="M899">
        <f t="shared" ref="M899:M962" si="366">MIN(F899,C899)*1000000*((230/250)+0.7)</f>
        <v>-5518879.5312000001</v>
      </c>
      <c r="N899">
        <f t="shared" ref="N899:N962" si="367">MIN(G899,C899)*1000000*((195/250)+0.6)</f>
        <v>-9878708.6237999983</v>
      </c>
      <c r="O899">
        <f t="shared" ref="O899:O962" si="368">MIN(H899,C899)*1000000*((130/250)+0.5)</f>
        <v>-11128458.325200003</v>
      </c>
      <c r="P899">
        <f t="shared" ref="P899:P962" si="369">MIN(I899,C899)*1000000*((105/250)+0.5)</f>
        <v>-13489060.249200001</v>
      </c>
      <c r="Q899">
        <f t="shared" ref="Q899:Q962" si="370">MIN(J899,C899)*1000000*((90/250)+0.4)</f>
        <v>-13994480.977600001</v>
      </c>
      <c r="S899">
        <f t="shared" ref="S899:S962" si="371">MIN(C899,D899)*1000000*((325/250)+0.8)</f>
        <v>724611.27899999998</v>
      </c>
      <c r="T899">
        <f t="shared" ref="T899:T962" si="372">MIN(F899,C899)*1000000*((280/250)+0.7)</f>
        <v>-6200222.6831999999</v>
      </c>
      <c r="U899">
        <f t="shared" ref="U899:U962" si="373">MIN(G899,C899)*1000000*((227.5/250)+0.6)</f>
        <v>-10809311.610099999</v>
      </c>
      <c r="V899">
        <f t="shared" ref="V899:V962" si="374">MIN(H899,C899)*1000000*((142.5/250)+0.5)</f>
        <v>-11673970.9882</v>
      </c>
      <c r="W899">
        <f t="shared" ref="W899:W962" si="375">MIN(I899,C899)*1000000*((142.5/250)+0.5)</f>
        <v>-15688363.5507</v>
      </c>
      <c r="X899">
        <f t="shared" ref="X899:X962" si="376">MIN(J899,C899)*1000000*( (117.5/250)+0.4)</f>
        <v>-16019997.961200001</v>
      </c>
      <c r="Z899">
        <f t="shared" si="358"/>
        <v>127.94564869200001</v>
      </c>
      <c r="AA899">
        <f t="shared" ref="AA899:AA962" si="377">MIN(C899,F899)*1000000*((330/250)+0.7)</f>
        <v>-6881565.8351999996</v>
      </c>
      <c r="AB899">
        <f t="shared" ref="AB899:AB962" si="378">MIN(C899,G899)*1000000*((260/250)+0.6)</f>
        <v>-11739914.5964</v>
      </c>
      <c r="AC899">
        <f t="shared" ref="AC899:AC962" si="379">MIN(C899,H899)*1000000*((215/250)+0.5)</f>
        <v>-14837944.433600001</v>
      </c>
      <c r="AD899">
        <f t="shared" ref="AD899:AD962" si="380">MIN(C899,I899)*1000000*((180/250)+0.5)</f>
        <v>-17887666.852200001</v>
      </c>
      <c r="AE899">
        <f t="shared" ref="AE899:AE962" si="381">MIN(C899,J899)*1000000*((145/250)+0.4)</f>
        <v>-18045514.944800001</v>
      </c>
    </row>
    <row r="900" spans="1:31" x14ac:dyDescent="0.25">
      <c r="A900">
        <v>45.316456049999999</v>
      </c>
      <c r="B900">
        <v>88.508215860000007</v>
      </c>
      <c r="C900">
        <v>2.0064427899999999</v>
      </c>
      <c r="D900">
        <v>0.97312200000000004</v>
      </c>
      <c r="E900" t="b">
        <f t="shared" si="359"/>
        <v>0</v>
      </c>
      <c r="F900">
        <f t="shared" si="360"/>
        <v>-9.0590919499999991</v>
      </c>
      <c r="G900">
        <f t="shared" si="361"/>
        <v>-19.091305899999998</v>
      </c>
      <c r="H900">
        <f t="shared" si="362"/>
        <v>-29.123519849999997</v>
      </c>
      <c r="I900">
        <f t="shared" si="363"/>
        <v>-39.155733799999993</v>
      </c>
      <c r="J900">
        <f t="shared" si="364"/>
        <v>-49.187947749999992</v>
      </c>
      <c r="L900">
        <f t="shared" si="365"/>
        <v>1868394.2400000002</v>
      </c>
      <c r="M900">
        <f t="shared" si="366"/>
        <v>-14675728.958999999</v>
      </c>
      <c r="N900">
        <f t="shared" si="367"/>
        <v>-26346002.141999997</v>
      </c>
      <c r="O900">
        <f t="shared" si="368"/>
        <v>-29705990.246999998</v>
      </c>
      <c r="P900">
        <f t="shared" si="369"/>
        <v>-36023275.095999986</v>
      </c>
      <c r="Q900">
        <f t="shared" si="370"/>
        <v>-37382840.289999992</v>
      </c>
      <c r="S900">
        <f t="shared" si="371"/>
        <v>2043556.2000000002</v>
      </c>
      <c r="T900">
        <f t="shared" si="372"/>
        <v>-16487547.348999999</v>
      </c>
      <c r="U900">
        <f t="shared" si="373"/>
        <v>-28827871.908999998</v>
      </c>
      <c r="V900">
        <f t="shared" si="374"/>
        <v>-31162166.239499994</v>
      </c>
      <c r="W900">
        <f t="shared" si="375"/>
        <v>-41896635.165999986</v>
      </c>
      <c r="X900">
        <f t="shared" si="376"/>
        <v>-42793514.542499997</v>
      </c>
      <c r="Z900">
        <f t="shared" si="358"/>
        <v>360.83363760000003</v>
      </c>
      <c r="AA900">
        <f t="shared" si="377"/>
        <v>-18299365.739</v>
      </c>
      <c r="AB900">
        <f t="shared" si="378"/>
        <v>-31309741.675999999</v>
      </c>
      <c r="AC900">
        <f t="shared" si="379"/>
        <v>-39607986.995999992</v>
      </c>
      <c r="AD900">
        <f t="shared" si="380"/>
        <v>-47769995.235999987</v>
      </c>
      <c r="AE900">
        <f t="shared" si="381"/>
        <v>-48204188.794999994</v>
      </c>
    </row>
    <row r="901" spans="1:31" x14ac:dyDescent="0.25">
      <c r="A901">
        <v>45.321671799999997</v>
      </c>
      <c r="B901">
        <v>124.49394359999999</v>
      </c>
      <c r="C901">
        <v>14.23618984</v>
      </c>
      <c r="D901">
        <v>7.6229448299999998</v>
      </c>
      <c r="E901" t="b">
        <f t="shared" si="359"/>
        <v>0</v>
      </c>
      <c r="F901">
        <f t="shared" si="360"/>
        <v>-63.558004369999999</v>
      </c>
      <c r="G901">
        <f t="shared" si="361"/>
        <v>-134.73895357000001</v>
      </c>
      <c r="H901">
        <f t="shared" si="362"/>
        <v>-205.91990276999999</v>
      </c>
      <c r="I901">
        <f t="shared" si="363"/>
        <v>-277.10085197000001</v>
      </c>
      <c r="J901">
        <f t="shared" si="364"/>
        <v>-348.28180116999999</v>
      </c>
      <c r="L901">
        <f t="shared" si="365"/>
        <v>14636054.073600002</v>
      </c>
      <c r="M901">
        <f t="shared" si="366"/>
        <v>-102963967.0794</v>
      </c>
      <c r="N901">
        <f t="shared" si="367"/>
        <v>-185939755.92659998</v>
      </c>
      <c r="O901">
        <f t="shared" si="368"/>
        <v>-210038300.82539999</v>
      </c>
      <c r="P901">
        <f t="shared" si="369"/>
        <v>-254932783.81240001</v>
      </c>
      <c r="Q901">
        <f t="shared" si="370"/>
        <v>-264694168.8892</v>
      </c>
      <c r="S901">
        <f t="shared" si="371"/>
        <v>16008184.143000001</v>
      </c>
      <c r="T901">
        <f t="shared" si="372"/>
        <v>-115675567.9534</v>
      </c>
      <c r="U901">
        <f t="shared" si="373"/>
        <v>-203455819.89069998</v>
      </c>
      <c r="V901">
        <f t="shared" si="374"/>
        <v>-220334295.96389994</v>
      </c>
      <c r="W901">
        <f t="shared" si="375"/>
        <v>-296497911.60789996</v>
      </c>
      <c r="X901">
        <f t="shared" si="376"/>
        <v>-303005167.01789999</v>
      </c>
      <c r="Z901">
        <f t="shared" si="358"/>
        <v>2826.5879429639999</v>
      </c>
      <c r="AA901">
        <f t="shared" si="377"/>
        <v>-128387168.8274</v>
      </c>
      <c r="AB901">
        <f t="shared" si="378"/>
        <v>-220971883.85480002</v>
      </c>
      <c r="AC901">
        <f t="shared" si="379"/>
        <v>-280051067.76719993</v>
      </c>
      <c r="AD901">
        <f t="shared" si="380"/>
        <v>-338063039.4034</v>
      </c>
      <c r="AE901">
        <f t="shared" si="381"/>
        <v>-341316165.14660001</v>
      </c>
    </row>
    <row r="902" spans="1:31" x14ac:dyDescent="0.25">
      <c r="A902">
        <v>45.322772880000002</v>
      </c>
      <c r="B902">
        <v>124.82090100000001</v>
      </c>
      <c r="C902">
        <v>0.35140180999999998</v>
      </c>
      <c r="D902">
        <v>19.3736496</v>
      </c>
      <c r="E902" t="b">
        <f t="shared" si="359"/>
        <v>1</v>
      </c>
      <c r="F902">
        <f t="shared" si="360"/>
        <v>17.61664055</v>
      </c>
      <c r="G902">
        <f t="shared" si="361"/>
        <v>15.859631500000001</v>
      </c>
      <c r="H902">
        <f t="shared" si="362"/>
        <v>14.10262245</v>
      </c>
      <c r="I902">
        <f t="shared" si="363"/>
        <v>12.345613400000001</v>
      </c>
      <c r="J902">
        <f t="shared" si="364"/>
        <v>10.588604350000001</v>
      </c>
      <c r="L902">
        <f t="shared" si="365"/>
        <v>674691.4752000001</v>
      </c>
      <c r="M902">
        <f t="shared" si="366"/>
        <v>569270.93220000004</v>
      </c>
      <c r="N902">
        <f t="shared" si="367"/>
        <v>484934.49779999995</v>
      </c>
      <c r="O902">
        <f t="shared" si="368"/>
        <v>358429.84620000003</v>
      </c>
      <c r="P902">
        <f t="shared" si="369"/>
        <v>323289.66519999999</v>
      </c>
      <c r="Q902">
        <f t="shared" si="370"/>
        <v>267065.37560000003</v>
      </c>
      <c r="S902">
        <f t="shared" si="371"/>
        <v>737943.80099999998</v>
      </c>
      <c r="T902">
        <f t="shared" si="372"/>
        <v>639551.2942</v>
      </c>
      <c r="U902">
        <f t="shared" si="373"/>
        <v>530616.73309999995</v>
      </c>
      <c r="V902">
        <f t="shared" si="374"/>
        <v>375999.93669999996</v>
      </c>
      <c r="W902">
        <f t="shared" si="375"/>
        <v>375999.93669999996</v>
      </c>
      <c r="X902">
        <f t="shared" si="376"/>
        <v>305719.5747</v>
      </c>
      <c r="Z902">
        <f>C902*(310+0.8+60)</f>
        <v>130.299791148</v>
      </c>
      <c r="AA902">
        <f t="shared" si="377"/>
        <v>709831.65619999997</v>
      </c>
      <c r="AB902">
        <f t="shared" si="378"/>
        <v>576298.96840000001</v>
      </c>
      <c r="AC902">
        <f t="shared" si="379"/>
        <v>477906.46159999998</v>
      </c>
      <c r="AD902">
        <f t="shared" si="380"/>
        <v>428710.20819999999</v>
      </c>
      <c r="AE902">
        <f t="shared" si="381"/>
        <v>344373.77379999997</v>
      </c>
    </row>
    <row r="903" spans="1:31" x14ac:dyDescent="0.25">
      <c r="A903">
        <v>45.325903420000003</v>
      </c>
      <c r="B903">
        <v>85.301388529999997</v>
      </c>
      <c r="C903">
        <v>0.72106236000000001</v>
      </c>
      <c r="D903">
        <v>9.02046013</v>
      </c>
      <c r="E903" t="b">
        <f t="shared" si="359"/>
        <v>1</v>
      </c>
      <c r="F903">
        <f t="shared" si="360"/>
        <v>5.4151483300000001</v>
      </c>
      <c r="G903">
        <f t="shared" si="361"/>
        <v>1.8098365300000001</v>
      </c>
      <c r="H903">
        <f t="shared" si="362"/>
        <v>-1.7954752700000007</v>
      </c>
      <c r="I903">
        <f t="shared" si="363"/>
        <v>-5.4007870699999998</v>
      </c>
      <c r="J903">
        <f t="shared" si="364"/>
        <v>-9.0060988699999989</v>
      </c>
      <c r="L903">
        <f t="shared" si="365"/>
        <v>1384439.7312</v>
      </c>
      <c r="M903">
        <f t="shared" si="366"/>
        <v>1168121.0232000002</v>
      </c>
      <c r="N903">
        <f t="shared" si="367"/>
        <v>995066.0567999999</v>
      </c>
      <c r="O903">
        <f t="shared" si="368"/>
        <v>-1831384.7754000009</v>
      </c>
      <c r="P903">
        <f t="shared" si="369"/>
        <v>-4968724.1043999987</v>
      </c>
      <c r="Q903">
        <f t="shared" si="370"/>
        <v>-6844635.1411999995</v>
      </c>
      <c r="S903">
        <f t="shared" si="371"/>
        <v>1514230.956</v>
      </c>
      <c r="T903">
        <f t="shared" si="372"/>
        <v>1312333.4952</v>
      </c>
      <c r="U903">
        <f t="shared" si="373"/>
        <v>1088804.1636000001</v>
      </c>
      <c r="V903">
        <f t="shared" si="374"/>
        <v>-1921158.5389000005</v>
      </c>
      <c r="W903">
        <f t="shared" si="375"/>
        <v>-5778842.1648999983</v>
      </c>
      <c r="X903">
        <f t="shared" si="376"/>
        <v>-7835306.0168999992</v>
      </c>
      <c r="Z903">
        <f t="shared" ref="Z903:Z904" si="382">C903*(310+0.8+60)</f>
        <v>267.36992308800001</v>
      </c>
      <c r="AA903">
        <f t="shared" si="377"/>
        <v>1456545.9672000001</v>
      </c>
      <c r="AB903">
        <f t="shared" si="378"/>
        <v>1182542.2704</v>
      </c>
      <c r="AC903">
        <f t="shared" si="379"/>
        <v>-2441846.3672000007</v>
      </c>
      <c r="AD903">
        <f t="shared" si="380"/>
        <v>-6588960.2253999989</v>
      </c>
      <c r="AE903">
        <f t="shared" si="381"/>
        <v>-8825976.8925999999</v>
      </c>
    </row>
    <row r="904" spans="1:31" x14ac:dyDescent="0.25">
      <c r="A904">
        <v>45.365925279999999</v>
      </c>
      <c r="B904">
        <v>84.960653699999995</v>
      </c>
      <c r="C904">
        <v>10.58811188</v>
      </c>
      <c r="D904">
        <v>16.370607379999999</v>
      </c>
      <c r="E904" t="b">
        <f t="shared" si="359"/>
        <v>1</v>
      </c>
      <c r="F904">
        <f t="shared" si="360"/>
        <v>-36.569952020000002</v>
      </c>
      <c r="G904">
        <f t="shared" si="361"/>
        <v>-89.51051142</v>
      </c>
      <c r="H904">
        <f t="shared" si="362"/>
        <v>-142.45107082000001</v>
      </c>
      <c r="I904">
        <f t="shared" si="363"/>
        <v>-195.39163022</v>
      </c>
      <c r="J904">
        <f t="shared" si="364"/>
        <v>-248.33218961999998</v>
      </c>
      <c r="L904">
        <f t="shared" si="365"/>
        <v>20329174.809599999</v>
      </c>
      <c r="M904">
        <f t="shared" si="366"/>
        <v>-59243322.272400007</v>
      </c>
      <c r="N904">
        <f t="shared" si="367"/>
        <v>-123524505.7596</v>
      </c>
      <c r="O904">
        <f t="shared" si="368"/>
        <v>-145300092.23640004</v>
      </c>
      <c r="P904">
        <f t="shared" si="369"/>
        <v>-179760299.80239999</v>
      </c>
      <c r="Q904">
        <f t="shared" si="370"/>
        <v>-188732464.11119998</v>
      </c>
      <c r="S904">
        <f t="shared" si="371"/>
        <v>22235034.947999999</v>
      </c>
      <c r="T904">
        <f t="shared" si="372"/>
        <v>-66557312.676400006</v>
      </c>
      <c r="U904">
        <f t="shared" si="373"/>
        <v>-135160872.24419999</v>
      </c>
      <c r="V904">
        <f t="shared" si="374"/>
        <v>-152422645.77739999</v>
      </c>
      <c r="W904">
        <f t="shared" si="375"/>
        <v>-209069044.33539996</v>
      </c>
      <c r="X904">
        <f t="shared" si="376"/>
        <v>-216049004.96939999</v>
      </c>
      <c r="Z904">
        <f t="shared" si="382"/>
        <v>3926.0718851040001</v>
      </c>
      <c r="AA904">
        <f t="shared" si="377"/>
        <v>-73871303.080400005</v>
      </c>
      <c r="AB904">
        <f t="shared" si="378"/>
        <v>-146797238.72880003</v>
      </c>
      <c r="AC904">
        <f t="shared" si="379"/>
        <v>-193733456.3152</v>
      </c>
      <c r="AD904">
        <f t="shared" si="380"/>
        <v>-238377788.86840001</v>
      </c>
      <c r="AE904">
        <f t="shared" si="381"/>
        <v>-243365545.82759997</v>
      </c>
    </row>
    <row r="905" spans="1:31" x14ac:dyDescent="0.25">
      <c r="A905">
        <v>45.380355219999998</v>
      </c>
      <c r="B905">
        <v>116.0727244</v>
      </c>
      <c r="C905">
        <v>6.3704409599999998</v>
      </c>
      <c r="D905">
        <v>5.5550441700000004</v>
      </c>
      <c r="E905" t="b">
        <f t="shared" si="359"/>
        <v>0</v>
      </c>
      <c r="F905">
        <f t="shared" si="360"/>
        <v>-26.29716063</v>
      </c>
      <c r="G905">
        <f t="shared" si="361"/>
        <v>-58.149365429999996</v>
      </c>
      <c r="H905">
        <f t="shared" si="362"/>
        <v>-90.001570229999999</v>
      </c>
      <c r="I905">
        <f t="shared" si="363"/>
        <v>-121.85377502999999</v>
      </c>
      <c r="J905">
        <f t="shared" si="364"/>
        <v>-153.70597982999999</v>
      </c>
      <c r="L905">
        <f t="shared" si="365"/>
        <v>10665684.806400003</v>
      </c>
      <c r="M905">
        <f t="shared" si="366"/>
        <v>-42601400.220600002</v>
      </c>
      <c r="N905">
        <f t="shared" si="367"/>
        <v>-80246124.29339999</v>
      </c>
      <c r="O905">
        <f t="shared" si="368"/>
        <v>-91801601.634599999</v>
      </c>
      <c r="P905">
        <f t="shared" si="369"/>
        <v>-112105473.02759999</v>
      </c>
      <c r="Q905">
        <f t="shared" si="370"/>
        <v>-116816544.67079999</v>
      </c>
      <c r="S905">
        <f t="shared" si="371"/>
        <v>11665592.757000003</v>
      </c>
      <c r="T905">
        <f t="shared" si="372"/>
        <v>-47860832.346599996</v>
      </c>
      <c r="U905">
        <f t="shared" si="373"/>
        <v>-87805541.7993</v>
      </c>
      <c r="V905">
        <f t="shared" si="374"/>
        <v>-96301680.146099985</v>
      </c>
      <c r="W905">
        <f t="shared" si="375"/>
        <v>-130383539.28209998</v>
      </c>
      <c r="X905">
        <f t="shared" si="376"/>
        <v>-133724202.45209998</v>
      </c>
      <c r="Z905">
        <f>D905*(310+0.8+60)</f>
        <v>2059.8103782360004</v>
      </c>
      <c r="AA905">
        <f t="shared" si="377"/>
        <v>-53120264.472599998</v>
      </c>
      <c r="AB905">
        <f t="shared" si="378"/>
        <v>-95364959.305200011</v>
      </c>
      <c r="AC905">
        <f t="shared" si="379"/>
        <v>-122402135.51279999</v>
      </c>
      <c r="AD905">
        <f t="shared" si="380"/>
        <v>-148661605.53659999</v>
      </c>
      <c r="AE905">
        <f t="shared" si="381"/>
        <v>-150631860.23339999</v>
      </c>
    </row>
    <row r="906" spans="1:31" x14ac:dyDescent="0.25">
      <c r="A906">
        <v>45.480542980000003</v>
      </c>
      <c r="B906">
        <v>124.34122499999999</v>
      </c>
      <c r="C906">
        <v>0.44901341</v>
      </c>
      <c r="D906">
        <v>0.65264398000000001</v>
      </c>
      <c r="E906" t="b">
        <f t="shared" si="359"/>
        <v>1</v>
      </c>
      <c r="F906">
        <f t="shared" si="360"/>
        <v>-1.5924230699999997</v>
      </c>
      <c r="G906">
        <f t="shared" si="361"/>
        <v>-3.8374901199999996</v>
      </c>
      <c r="H906">
        <f t="shared" si="362"/>
        <v>-6.0825571700000003</v>
      </c>
      <c r="I906">
        <f t="shared" si="363"/>
        <v>-8.3276242199999988</v>
      </c>
      <c r="J906">
        <f t="shared" si="364"/>
        <v>-10.57269127</v>
      </c>
      <c r="L906">
        <f t="shared" si="365"/>
        <v>862105.74719999998</v>
      </c>
      <c r="M906">
        <f t="shared" si="366"/>
        <v>-2579725.3733999999</v>
      </c>
      <c r="N906">
        <f t="shared" si="367"/>
        <v>-5295736.3655999992</v>
      </c>
      <c r="O906">
        <f t="shared" si="368"/>
        <v>-6204208.3134000003</v>
      </c>
      <c r="P906">
        <f t="shared" si="369"/>
        <v>-7661414.282399998</v>
      </c>
      <c r="Q906">
        <f t="shared" si="370"/>
        <v>-8035245.3651999999</v>
      </c>
      <c r="S906">
        <f t="shared" si="371"/>
        <v>942928.16099999996</v>
      </c>
      <c r="T906">
        <f t="shared" si="372"/>
        <v>-2898209.9874</v>
      </c>
      <c r="U906">
        <f t="shared" si="373"/>
        <v>-5794610.0811999999</v>
      </c>
      <c r="V906">
        <f t="shared" si="374"/>
        <v>-6508336.1718999986</v>
      </c>
      <c r="W906">
        <f t="shared" si="375"/>
        <v>-8910557.9153999966</v>
      </c>
      <c r="X906">
        <f t="shared" si="376"/>
        <v>-9198241.4048999995</v>
      </c>
      <c r="Z906">
        <f>C906*(310+0.8+60)</f>
        <v>166.49417242800001</v>
      </c>
      <c r="AA906">
        <f t="shared" si="377"/>
        <v>-3216694.6013999996</v>
      </c>
      <c r="AB906">
        <f t="shared" si="378"/>
        <v>-6293483.7967999997</v>
      </c>
      <c r="AC906">
        <f t="shared" si="379"/>
        <v>-8272277.7511999989</v>
      </c>
      <c r="AD906">
        <f t="shared" si="380"/>
        <v>-10159701.548399998</v>
      </c>
      <c r="AE906">
        <f t="shared" si="381"/>
        <v>-10361237.444599999</v>
      </c>
    </row>
    <row r="907" spans="1:31" x14ac:dyDescent="0.25">
      <c r="A907">
        <v>45.48268917</v>
      </c>
      <c r="B907">
        <v>124.9966706</v>
      </c>
      <c r="C907">
        <v>0.35140180999999998</v>
      </c>
      <c r="D907">
        <v>1.0390789499999999</v>
      </c>
      <c r="E907" t="b">
        <f t="shared" si="359"/>
        <v>1</v>
      </c>
      <c r="F907">
        <f t="shared" si="360"/>
        <v>-0.71793010000000002</v>
      </c>
      <c r="G907">
        <f t="shared" si="361"/>
        <v>-2.47493915</v>
      </c>
      <c r="H907">
        <f t="shared" si="362"/>
        <v>-4.2319481999999997</v>
      </c>
      <c r="I907">
        <f t="shared" si="363"/>
        <v>-5.9889572500000003</v>
      </c>
      <c r="J907">
        <f t="shared" si="364"/>
        <v>-7.7459662999999992</v>
      </c>
      <c r="L907">
        <f t="shared" si="365"/>
        <v>674691.4752000001</v>
      </c>
      <c r="M907">
        <f t="shared" si="366"/>
        <v>-1163046.7620000001</v>
      </c>
      <c r="N907">
        <f t="shared" si="367"/>
        <v>-3415416.0269999998</v>
      </c>
      <c r="O907">
        <f t="shared" si="368"/>
        <v>-4316587.1639999989</v>
      </c>
      <c r="P907">
        <f t="shared" si="369"/>
        <v>-5509840.6699999999</v>
      </c>
      <c r="Q907">
        <f t="shared" si="370"/>
        <v>-5886934.3879999993</v>
      </c>
      <c r="S907">
        <f t="shared" si="371"/>
        <v>737943.80099999998</v>
      </c>
      <c r="T907">
        <f t="shared" si="372"/>
        <v>-1306632.7819999999</v>
      </c>
      <c r="U907">
        <f t="shared" si="373"/>
        <v>-3737158.1165</v>
      </c>
      <c r="V907">
        <f t="shared" si="374"/>
        <v>-4528184.5739999982</v>
      </c>
      <c r="W907">
        <f t="shared" si="375"/>
        <v>-6408184.2574999994</v>
      </c>
      <c r="X907">
        <f t="shared" si="376"/>
        <v>-6738990.6809999989</v>
      </c>
      <c r="Z907">
        <f t="shared" ref="Z907:Z908" si="383">C907*(310+0.8+60)</f>
        <v>130.299791148</v>
      </c>
      <c r="AA907">
        <f t="shared" si="377"/>
        <v>-1450218.8019999999</v>
      </c>
      <c r="AB907">
        <f t="shared" si="378"/>
        <v>-4058900.2060000002</v>
      </c>
      <c r="AC907">
        <f t="shared" si="379"/>
        <v>-5755449.5519999983</v>
      </c>
      <c r="AD907">
        <f t="shared" si="380"/>
        <v>-7306527.8449999997</v>
      </c>
      <c r="AE907">
        <f t="shared" si="381"/>
        <v>-7591046.9739999985</v>
      </c>
    </row>
    <row r="908" spans="1:31" x14ac:dyDescent="0.25">
      <c r="A908">
        <v>45.49496181</v>
      </c>
      <c r="B908">
        <v>123.8871724</v>
      </c>
      <c r="C908">
        <v>0.44901341</v>
      </c>
      <c r="D908">
        <v>11.41964531</v>
      </c>
      <c r="E908" t="b">
        <f t="shared" si="359"/>
        <v>1</v>
      </c>
      <c r="F908">
        <f t="shared" si="360"/>
        <v>9.1745782600000005</v>
      </c>
      <c r="G908">
        <f t="shared" si="361"/>
        <v>6.9295112100000003</v>
      </c>
      <c r="H908">
        <f t="shared" si="362"/>
        <v>4.68444416</v>
      </c>
      <c r="I908">
        <f t="shared" si="363"/>
        <v>2.4393771100000006</v>
      </c>
      <c r="J908">
        <f t="shared" si="364"/>
        <v>0.1943100599999994</v>
      </c>
      <c r="L908">
        <f t="shared" si="365"/>
        <v>862105.74719999998</v>
      </c>
      <c r="M908">
        <f t="shared" si="366"/>
        <v>727401.72420000006</v>
      </c>
      <c r="N908">
        <f t="shared" si="367"/>
        <v>619638.50579999993</v>
      </c>
      <c r="O908">
        <f t="shared" si="368"/>
        <v>457993.67819999997</v>
      </c>
      <c r="P908">
        <f t="shared" si="369"/>
        <v>413092.33719999995</v>
      </c>
      <c r="Q908">
        <f t="shared" si="370"/>
        <v>147675.64559999952</v>
      </c>
      <c r="S908">
        <f t="shared" si="371"/>
        <v>942928.16099999996</v>
      </c>
      <c r="T908">
        <f t="shared" si="372"/>
        <v>817204.40619999997</v>
      </c>
      <c r="U908">
        <f t="shared" si="373"/>
        <v>678010.24910000002</v>
      </c>
      <c r="V908">
        <f t="shared" si="374"/>
        <v>480444.34869999991</v>
      </c>
      <c r="W908">
        <f t="shared" si="375"/>
        <v>480444.34869999991</v>
      </c>
      <c r="X908">
        <f t="shared" si="376"/>
        <v>169049.75219999946</v>
      </c>
      <c r="Z908">
        <f t="shared" si="383"/>
        <v>166.49417242800001</v>
      </c>
      <c r="AA908">
        <f t="shared" si="377"/>
        <v>907007.0882</v>
      </c>
      <c r="AB908">
        <f t="shared" si="378"/>
        <v>736381.99239999999</v>
      </c>
      <c r="AC908">
        <f t="shared" si="379"/>
        <v>610658.23759999988</v>
      </c>
      <c r="AD908">
        <f t="shared" si="380"/>
        <v>547796.3602</v>
      </c>
      <c r="AE908">
        <f t="shared" si="381"/>
        <v>190423.85879999941</v>
      </c>
    </row>
    <row r="909" spans="1:31" x14ac:dyDescent="0.25">
      <c r="A909">
        <v>45.518201929999996</v>
      </c>
      <c r="B909">
        <v>125.072276</v>
      </c>
      <c r="C909">
        <v>5.49817467</v>
      </c>
      <c r="D909">
        <v>2.6035790400000001</v>
      </c>
      <c r="E909" t="b">
        <f t="shared" si="359"/>
        <v>0</v>
      </c>
      <c r="F909">
        <f t="shared" si="360"/>
        <v>-24.887294310000001</v>
      </c>
      <c r="G909">
        <f t="shared" si="361"/>
        <v>-52.378167660000003</v>
      </c>
      <c r="H909">
        <f t="shared" si="362"/>
        <v>-79.869041010000004</v>
      </c>
      <c r="I909">
        <f t="shared" si="363"/>
        <v>-107.35991436</v>
      </c>
      <c r="J909">
        <f t="shared" si="364"/>
        <v>-134.85078770999999</v>
      </c>
      <c r="L909">
        <f t="shared" si="365"/>
        <v>4998871.7568000006</v>
      </c>
      <c r="M909">
        <f t="shared" si="366"/>
        <v>-40317416.782200009</v>
      </c>
      <c r="N909">
        <f t="shared" si="367"/>
        <v>-72281871.370800003</v>
      </c>
      <c r="O909">
        <f t="shared" si="368"/>
        <v>-81466421.830200002</v>
      </c>
      <c r="P909">
        <f t="shared" si="369"/>
        <v>-98771121.211199999</v>
      </c>
      <c r="Q909">
        <f t="shared" si="370"/>
        <v>-102486598.65959999</v>
      </c>
      <c r="S909">
        <f t="shared" si="371"/>
        <v>5467515.9840000002</v>
      </c>
      <c r="T909">
        <f t="shared" si="372"/>
        <v>-45294875.644200005</v>
      </c>
      <c r="U909">
        <f t="shared" si="373"/>
        <v>-79091033.166600004</v>
      </c>
      <c r="V909">
        <f t="shared" si="374"/>
        <v>-85459873.880699992</v>
      </c>
      <c r="W909">
        <f t="shared" si="375"/>
        <v>-114875108.36519998</v>
      </c>
      <c r="X909">
        <f t="shared" si="376"/>
        <v>-117320185.30769998</v>
      </c>
      <c r="Z909">
        <f>D909*(310+0.8+60)</f>
        <v>965.40710803200011</v>
      </c>
      <c r="AA909">
        <f t="shared" si="377"/>
        <v>-50272334.506200008</v>
      </c>
      <c r="AB909">
        <f t="shared" si="378"/>
        <v>-85900194.962400019</v>
      </c>
      <c r="AC909">
        <f t="shared" si="379"/>
        <v>-108621895.7736</v>
      </c>
      <c r="AD909">
        <f t="shared" si="380"/>
        <v>-130979095.5192</v>
      </c>
      <c r="AE909">
        <f t="shared" si="381"/>
        <v>-132153771.95579998</v>
      </c>
    </row>
    <row r="910" spans="1:31" x14ac:dyDescent="0.25">
      <c r="A910">
        <v>45.520647179999997</v>
      </c>
      <c r="B910">
        <v>87.277038869999998</v>
      </c>
      <c r="C910">
        <v>18.492280959999999</v>
      </c>
      <c r="D910">
        <v>30.983476639999999</v>
      </c>
      <c r="E910" t="b">
        <f t="shared" si="359"/>
        <v>1</v>
      </c>
      <c r="F910">
        <f t="shared" si="360"/>
        <v>-61.477928159999998</v>
      </c>
      <c r="G910">
        <f t="shared" si="361"/>
        <v>-153.93933296</v>
      </c>
      <c r="H910">
        <f t="shared" si="362"/>
        <v>-246.40073775999997</v>
      </c>
      <c r="I910">
        <f t="shared" si="363"/>
        <v>-338.86214256</v>
      </c>
      <c r="J910">
        <f t="shared" si="364"/>
        <v>-431.32354735999996</v>
      </c>
      <c r="L910">
        <f t="shared" si="365"/>
        <v>35505179.4432</v>
      </c>
      <c r="M910">
        <f t="shared" si="366"/>
        <v>-99594243.619200006</v>
      </c>
      <c r="N910">
        <f t="shared" si="367"/>
        <v>-212436279.48479998</v>
      </c>
      <c r="O910">
        <f t="shared" si="368"/>
        <v>-251328752.51519996</v>
      </c>
      <c r="P910">
        <f t="shared" si="369"/>
        <v>-311753171.1552</v>
      </c>
      <c r="Q910">
        <f t="shared" si="370"/>
        <v>-327805895.99359995</v>
      </c>
      <c r="S910">
        <f t="shared" si="371"/>
        <v>38833790.015999995</v>
      </c>
      <c r="T910">
        <f t="shared" si="372"/>
        <v>-111889829.25119999</v>
      </c>
      <c r="U910">
        <f t="shared" si="373"/>
        <v>-232448392.7696</v>
      </c>
      <c r="V910">
        <f t="shared" si="374"/>
        <v>-263648789.40319991</v>
      </c>
      <c r="W910">
        <f t="shared" si="375"/>
        <v>-362582492.53919995</v>
      </c>
      <c r="X910">
        <f t="shared" si="376"/>
        <v>-375251486.20319998</v>
      </c>
      <c r="Z910">
        <f>C910*(310+0.8+60)</f>
        <v>6856.9377799679996</v>
      </c>
      <c r="AA910">
        <f t="shared" si="377"/>
        <v>-124185414.88319999</v>
      </c>
      <c r="AB910">
        <f t="shared" si="378"/>
        <v>-252460506.05440003</v>
      </c>
      <c r="AC910">
        <f t="shared" si="379"/>
        <v>-335105003.35359991</v>
      </c>
      <c r="AD910">
        <f t="shared" si="380"/>
        <v>-413411813.92320001</v>
      </c>
      <c r="AE910">
        <f t="shared" si="381"/>
        <v>-422697076.41279995</v>
      </c>
    </row>
    <row r="911" spans="1:31" x14ac:dyDescent="0.25">
      <c r="A911">
        <v>45.53502855</v>
      </c>
      <c r="B911">
        <v>124.618132</v>
      </c>
      <c r="C911">
        <v>5.49817467</v>
      </c>
      <c r="D911">
        <v>4.4334039699999996</v>
      </c>
      <c r="E911" t="b">
        <f t="shared" si="359"/>
        <v>0</v>
      </c>
      <c r="F911">
        <f t="shared" si="360"/>
        <v>-23.057469380000001</v>
      </c>
      <c r="G911">
        <f t="shared" si="361"/>
        <v>-50.548342730000002</v>
      </c>
      <c r="H911">
        <f t="shared" si="362"/>
        <v>-78.039216080000003</v>
      </c>
      <c r="I911">
        <f t="shared" si="363"/>
        <v>-105.53008943</v>
      </c>
      <c r="J911">
        <f t="shared" si="364"/>
        <v>-133.02096277999999</v>
      </c>
      <c r="L911">
        <f t="shared" si="365"/>
        <v>8512135.6224000007</v>
      </c>
      <c r="M911">
        <f t="shared" si="366"/>
        <v>-37353100.395599999</v>
      </c>
      <c r="N911">
        <f t="shared" si="367"/>
        <v>-69756712.967399999</v>
      </c>
      <c r="O911">
        <f t="shared" si="368"/>
        <v>-79600000.401600003</v>
      </c>
      <c r="P911">
        <f t="shared" si="369"/>
        <v>-97087682.275600001</v>
      </c>
      <c r="Q911">
        <f t="shared" si="370"/>
        <v>-101095931.7128</v>
      </c>
      <c r="S911">
        <f t="shared" si="371"/>
        <v>9310148.3369999994</v>
      </c>
      <c r="T911">
        <f t="shared" si="372"/>
        <v>-41964594.271600001</v>
      </c>
      <c r="U911">
        <f t="shared" si="373"/>
        <v>-76327997.522300005</v>
      </c>
      <c r="V911">
        <f t="shared" si="374"/>
        <v>-83501961.205599979</v>
      </c>
      <c r="W911">
        <f t="shared" si="375"/>
        <v>-112917195.69009998</v>
      </c>
      <c r="X911">
        <f t="shared" si="376"/>
        <v>-115728237.61859998</v>
      </c>
      <c r="Z911">
        <f>D911*(310+0.8+60)</f>
        <v>1643.906192076</v>
      </c>
      <c r="AA911">
        <f t="shared" si="377"/>
        <v>-46576088.147599995</v>
      </c>
      <c r="AB911">
        <f t="shared" si="378"/>
        <v>-82899282.07720001</v>
      </c>
      <c r="AC911">
        <f t="shared" si="379"/>
        <v>-106133333.86879998</v>
      </c>
      <c r="AD911">
        <f t="shared" si="380"/>
        <v>-128746709.10460001</v>
      </c>
      <c r="AE911">
        <f t="shared" si="381"/>
        <v>-130360543.52439998</v>
      </c>
    </row>
    <row r="912" spans="1:31" x14ac:dyDescent="0.25">
      <c r="A912">
        <v>45.542531969999999</v>
      </c>
      <c r="B912">
        <v>84.905199030000006</v>
      </c>
      <c r="C912">
        <v>10.58811188</v>
      </c>
      <c r="D912">
        <v>267.20285030000002</v>
      </c>
      <c r="E912" t="b">
        <f t="shared" si="359"/>
        <v>1</v>
      </c>
      <c r="F912">
        <f t="shared" si="360"/>
        <v>214.26229090000004</v>
      </c>
      <c r="G912">
        <f t="shared" si="361"/>
        <v>161.32173150000003</v>
      </c>
      <c r="H912">
        <f t="shared" si="362"/>
        <v>108.38117210000001</v>
      </c>
      <c r="I912">
        <f t="shared" si="363"/>
        <v>55.440612700000031</v>
      </c>
      <c r="J912">
        <f t="shared" si="364"/>
        <v>2.5000533000000473</v>
      </c>
      <c r="L912">
        <f t="shared" si="365"/>
        <v>20329174.809599999</v>
      </c>
      <c r="M912">
        <f t="shared" si="366"/>
        <v>17152741.2456</v>
      </c>
      <c r="N912">
        <f t="shared" si="367"/>
        <v>14611594.394399997</v>
      </c>
      <c r="O912">
        <f t="shared" si="368"/>
        <v>10799874.1176</v>
      </c>
      <c r="P912">
        <f t="shared" si="369"/>
        <v>9741062.9295999985</v>
      </c>
      <c r="Q912">
        <f t="shared" si="370"/>
        <v>1900040.508000036</v>
      </c>
      <c r="S912">
        <f t="shared" si="371"/>
        <v>22235034.947999999</v>
      </c>
      <c r="T912">
        <f t="shared" si="372"/>
        <v>19270363.621599998</v>
      </c>
      <c r="U912">
        <f t="shared" si="373"/>
        <v>15988048.938799998</v>
      </c>
      <c r="V912">
        <f t="shared" si="374"/>
        <v>11329279.711599996</v>
      </c>
      <c r="W912">
        <f t="shared" si="375"/>
        <v>11329279.711599996</v>
      </c>
      <c r="X912">
        <f t="shared" si="376"/>
        <v>2175046.3710000413</v>
      </c>
      <c r="Z912">
        <f>C912*(310+0.8+60)</f>
        <v>3926.0718851040001</v>
      </c>
      <c r="AA912">
        <f t="shared" si="377"/>
        <v>21387985.997599997</v>
      </c>
      <c r="AB912">
        <f t="shared" si="378"/>
        <v>17364503.483199999</v>
      </c>
      <c r="AC912">
        <f t="shared" si="379"/>
        <v>14399832.156799998</v>
      </c>
      <c r="AD912">
        <f t="shared" si="380"/>
        <v>12917496.493599998</v>
      </c>
      <c r="AE912">
        <f t="shared" si="381"/>
        <v>2450052.2340000463</v>
      </c>
    </row>
    <row r="913" spans="1:31" x14ac:dyDescent="0.25">
      <c r="A913">
        <v>45.547002030000002</v>
      </c>
      <c r="B913">
        <v>88.513729260000005</v>
      </c>
      <c r="C913">
        <v>2.0064427899999999</v>
      </c>
      <c r="D913">
        <v>1.4844E-2</v>
      </c>
      <c r="E913" t="b">
        <f t="shared" si="359"/>
        <v>0</v>
      </c>
      <c r="F913">
        <f t="shared" si="360"/>
        <v>-10.017369949999999</v>
      </c>
      <c r="G913">
        <f t="shared" si="361"/>
        <v>-20.049583899999998</v>
      </c>
      <c r="H913">
        <f t="shared" si="362"/>
        <v>-30.081797849999997</v>
      </c>
      <c r="I913">
        <f t="shared" si="363"/>
        <v>-40.1140118</v>
      </c>
      <c r="J913">
        <f t="shared" si="364"/>
        <v>-50.146225749999999</v>
      </c>
      <c r="L913">
        <f t="shared" si="365"/>
        <v>28500.480000000003</v>
      </c>
      <c r="M913">
        <f t="shared" si="366"/>
        <v>-16228139.319</v>
      </c>
      <c r="N913">
        <f t="shared" si="367"/>
        <v>-27668425.781999994</v>
      </c>
      <c r="O913">
        <f t="shared" si="368"/>
        <v>-30683433.807</v>
      </c>
      <c r="P913">
        <f t="shared" si="369"/>
        <v>-36904890.855999991</v>
      </c>
      <c r="Q913">
        <f t="shared" si="370"/>
        <v>-38111131.57</v>
      </c>
      <c r="S913">
        <f t="shared" si="371"/>
        <v>31172.400000000001</v>
      </c>
      <c r="T913">
        <f t="shared" si="372"/>
        <v>-18231613.309</v>
      </c>
      <c r="U913">
        <f t="shared" si="373"/>
        <v>-30274871.688999999</v>
      </c>
      <c r="V913">
        <f t="shared" si="374"/>
        <v>-32187523.699499995</v>
      </c>
      <c r="W913">
        <f t="shared" si="375"/>
        <v>-42921992.625999987</v>
      </c>
      <c r="X913">
        <f t="shared" si="376"/>
        <v>-43627216.402499996</v>
      </c>
      <c r="Z913">
        <f>D913*(310+0.8+60)</f>
        <v>5.5041551999999996</v>
      </c>
      <c r="AA913">
        <f t="shared" si="377"/>
        <v>-20235087.298999999</v>
      </c>
      <c r="AB913">
        <f t="shared" si="378"/>
        <v>-32881317.596000001</v>
      </c>
      <c r="AC913">
        <f t="shared" si="379"/>
        <v>-40911245.07599999</v>
      </c>
      <c r="AD913">
        <f t="shared" si="380"/>
        <v>-48939094.395999998</v>
      </c>
      <c r="AE913">
        <f t="shared" si="381"/>
        <v>-49143301.234999999</v>
      </c>
    </row>
    <row r="914" spans="1:31" x14ac:dyDescent="0.25">
      <c r="A914">
        <v>45.550357150000004</v>
      </c>
      <c r="B914">
        <v>124.1637734</v>
      </c>
      <c r="C914">
        <v>0.44901341</v>
      </c>
      <c r="D914">
        <v>55.28937912</v>
      </c>
      <c r="E914" t="b">
        <f t="shared" si="359"/>
        <v>1</v>
      </c>
      <c r="F914">
        <f t="shared" si="360"/>
        <v>53.044312069999997</v>
      </c>
      <c r="G914">
        <f t="shared" si="361"/>
        <v>50.799245020000001</v>
      </c>
      <c r="H914">
        <f t="shared" si="362"/>
        <v>48.554177969999998</v>
      </c>
      <c r="I914">
        <f t="shared" si="363"/>
        <v>46.309110920000002</v>
      </c>
      <c r="J914">
        <f t="shared" si="364"/>
        <v>44.064043869999999</v>
      </c>
      <c r="L914">
        <f t="shared" si="365"/>
        <v>862105.74719999998</v>
      </c>
      <c r="M914">
        <f t="shared" si="366"/>
        <v>727401.72420000006</v>
      </c>
      <c r="N914">
        <f t="shared" si="367"/>
        <v>619638.50579999993</v>
      </c>
      <c r="O914">
        <f t="shared" si="368"/>
        <v>457993.67819999997</v>
      </c>
      <c r="P914">
        <f t="shared" si="369"/>
        <v>413092.33719999995</v>
      </c>
      <c r="Q914">
        <f t="shared" si="370"/>
        <v>341250.19159999996</v>
      </c>
      <c r="S914">
        <f t="shared" si="371"/>
        <v>942928.16099999996</v>
      </c>
      <c r="T914">
        <f t="shared" si="372"/>
        <v>817204.40619999997</v>
      </c>
      <c r="U914">
        <f t="shared" si="373"/>
        <v>678010.24910000002</v>
      </c>
      <c r="V914">
        <f t="shared" si="374"/>
        <v>480444.34869999991</v>
      </c>
      <c r="W914">
        <f t="shared" si="375"/>
        <v>480444.34869999991</v>
      </c>
      <c r="X914">
        <f t="shared" si="376"/>
        <v>390641.6667</v>
      </c>
      <c r="Z914">
        <f>C914*(310+0.8+60)</f>
        <v>166.49417242800001</v>
      </c>
      <c r="AA914">
        <f t="shared" si="377"/>
        <v>907007.0882</v>
      </c>
      <c r="AB914">
        <f t="shared" si="378"/>
        <v>736381.99239999999</v>
      </c>
      <c r="AC914">
        <f t="shared" si="379"/>
        <v>610658.23759999988</v>
      </c>
      <c r="AD914">
        <f t="shared" si="380"/>
        <v>547796.3602</v>
      </c>
      <c r="AE914">
        <f t="shared" si="381"/>
        <v>440033.14179999998</v>
      </c>
    </row>
    <row r="915" spans="1:31" x14ac:dyDescent="0.25">
      <c r="A915">
        <v>45.594181570000003</v>
      </c>
      <c r="B915">
        <v>126.1454263</v>
      </c>
      <c r="C915">
        <v>0.82538909000000005</v>
      </c>
      <c r="D915">
        <v>0.11821</v>
      </c>
      <c r="E915" t="b">
        <f t="shared" si="359"/>
        <v>0</v>
      </c>
      <c r="F915">
        <f t="shared" si="360"/>
        <v>-4.0087354499999996</v>
      </c>
      <c r="G915">
        <f t="shared" si="361"/>
        <v>-8.1356809000000005</v>
      </c>
      <c r="H915">
        <f t="shared" si="362"/>
        <v>-12.262626350000001</v>
      </c>
      <c r="I915">
        <f t="shared" si="363"/>
        <v>-16.389571799999999</v>
      </c>
      <c r="J915">
        <f t="shared" si="364"/>
        <v>-20.51651725</v>
      </c>
      <c r="L915">
        <f t="shared" si="365"/>
        <v>226963.20000000001</v>
      </c>
      <c r="M915">
        <f t="shared" si="366"/>
        <v>-6494151.4289999995</v>
      </c>
      <c r="N915">
        <f t="shared" si="367"/>
        <v>-11227239.641999999</v>
      </c>
      <c r="O915">
        <f t="shared" si="368"/>
        <v>-12507878.877000002</v>
      </c>
      <c r="P915">
        <f t="shared" si="369"/>
        <v>-15078406.055999998</v>
      </c>
      <c r="Q915">
        <f t="shared" si="370"/>
        <v>-15592553.109999999</v>
      </c>
      <c r="S915">
        <f t="shared" si="371"/>
        <v>248241</v>
      </c>
      <c r="T915">
        <f t="shared" si="372"/>
        <v>-7295898.5189999994</v>
      </c>
      <c r="U915">
        <f t="shared" si="373"/>
        <v>-12284878.159</v>
      </c>
      <c r="V915">
        <f t="shared" si="374"/>
        <v>-13121010.194499999</v>
      </c>
      <c r="W915">
        <f t="shared" si="375"/>
        <v>-17536841.825999998</v>
      </c>
      <c r="X915">
        <f t="shared" si="376"/>
        <v>-17849370.0075</v>
      </c>
      <c r="Z915">
        <f>D915*(310+0.8+60)</f>
        <v>43.832267999999999</v>
      </c>
      <c r="AA915">
        <f t="shared" si="377"/>
        <v>-8097645.6089999992</v>
      </c>
      <c r="AB915">
        <f t="shared" si="378"/>
        <v>-13342516.676000001</v>
      </c>
      <c r="AC915">
        <f t="shared" si="379"/>
        <v>-16677171.836000001</v>
      </c>
      <c r="AD915">
        <f t="shared" si="380"/>
        <v>-19995277.595999997</v>
      </c>
      <c r="AE915">
        <f t="shared" si="381"/>
        <v>-20106186.905000001</v>
      </c>
    </row>
    <row r="916" spans="1:31" x14ac:dyDescent="0.25">
      <c r="A916">
        <v>45.597694160000003</v>
      </c>
      <c r="B916">
        <v>124.8323194</v>
      </c>
      <c r="C916">
        <v>5.49817467</v>
      </c>
      <c r="D916">
        <v>7.5514178300000001</v>
      </c>
      <c r="E916" t="b">
        <f t="shared" si="359"/>
        <v>1</v>
      </c>
      <c r="F916">
        <f t="shared" si="360"/>
        <v>-19.939455520000003</v>
      </c>
      <c r="G916">
        <f t="shared" si="361"/>
        <v>-47.430328870000004</v>
      </c>
      <c r="H916">
        <f t="shared" si="362"/>
        <v>-74.921202219999998</v>
      </c>
      <c r="I916">
        <f t="shared" si="363"/>
        <v>-102.41207557</v>
      </c>
      <c r="J916">
        <f t="shared" si="364"/>
        <v>-129.90294892</v>
      </c>
      <c r="L916">
        <f t="shared" si="365"/>
        <v>10556495.366400002</v>
      </c>
      <c r="M916">
        <f t="shared" si="366"/>
        <v>-32301917.942400008</v>
      </c>
      <c r="N916">
        <f t="shared" si="367"/>
        <v>-65453853.840599999</v>
      </c>
      <c r="O916">
        <f t="shared" si="368"/>
        <v>-76419626.264400005</v>
      </c>
      <c r="P916">
        <f t="shared" si="369"/>
        <v>-94219109.524399981</v>
      </c>
      <c r="Q916">
        <f t="shared" si="370"/>
        <v>-98726241.179200009</v>
      </c>
      <c r="S916">
        <f t="shared" si="371"/>
        <v>11546166.807</v>
      </c>
      <c r="T916">
        <f t="shared" si="372"/>
        <v>-36289809.046400011</v>
      </c>
      <c r="U916">
        <f t="shared" si="373"/>
        <v>-71619796.593700007</v>
      </c>
      <c r="V916">
        <f t="shared" si="374"/>
        <v>-80165686.375399992</v>
      </c>
      <c r="W916">
        <f t="shared" si="375"/>
        <v>-109580920.85989998</v>
      </c>
      <c r="X916">
        <f t="shared" si="376"/>
        <v>-113015565.56039999</v>
      </c>
      <c r="Z916">
        <f>C916*(310+0.8+60)</f>
        <v>2038.723167636</v>
      </c>
      <c r="AA916">
        <f t="shared" si="377"/>
        <v>-40277700.150400005</v>
      </c>
      <c r="AB916">
        <f t="shared" si="378"/>
        <v>-77785739.346800014</v>
      </c>
      <c r="AC916">
        <f t="shared" si="379"/>
        <v>-101892835.01919998</v>
      </c>
      <c r="AD916">
        <f t="shared" si="380"/>
        <v>-124942732.19539998</v>
      </c>
      <c r="AE916">
        <f t="shared" si="381"/>
        <v>-127304889.94159999</v>
      </c>
    </row>
    <row r="917" spans="1:31" x14ac:dyDescent="0.25">
      <c r="A917">
        <v>45.603180899999998</v>
      </c>
      <c r="B917">
        <v>124.1125186</v>
      </c>
      <c r="C917">
        <v>0.44901341</v>
      </c>
      <c r="D917">
        <v>8.2838401800000003</v>
      </c>
      <c r="E917" t="b">
        <f t="shared" si="359"/>
        <v>1</v>
      </c>
      <c r="F917">
        <f t="shared" si="360"/>
        <v>6.0387731300000009</v>
      </c>
      <c r="G917">
        <f t="shared" si="361"/>
        <v>3.7937060800000006</v>
      </c>
      <c r="H917">
        <f t="shared" si="362"/>
        <v>1.5486390300000004</v>
      </c>
      <c r="I917">
        <f t="shared" si="363"/>
        <v>-0.69642801999999904</v>
      </c>
      <c r="J917">
        <f t="shared" si="364"/>
        <v>-2.9414950700000002</v>
      </c>
      <c r="L917">
        <f t="shared" si="365"/>
        <v>862105.74719999998</v>
      </c>
      <c r="M917">
        <f t="shared" si="366"/>
        <v>727401.72420000006</v>
      </c>
      <c r="N917">
        <f t="shared" si="367"/>
        <v>619638.50579999993</v>
      </c>
      <c r="O917">
        <f t="shared" si="368"/>
        <v>457993.67819999997</v>
      </c>
      <c r="P917">
        <f t="shared" si="369"/>
        <v>-640713.77839999914</v>
      </c>
      <c r="Q917">
        <f t="shared" si="370"/>
        <v>-2235536.2532000002</v>
      </c>
      <c r="S917">
        <f t="shared" si="371"/>
        <v>942928.16099999996</v>
      </c>
      <c r="T917">
        <f t="shared" si="372"/>
        <v>817204.40619999997</v>
      </c>
      <c r="U917">
        <f t="shared" si="373"/>
        <v>678010.24910000002</v>
      </c>
      <c r="V917">
        <f t="shared" si="374"/>
        <v>480444.34869999991</v>
      </c>
      <c r="W917">
        <f t="shared" si="375"/>
        <v>-745177.98139999888</v>
      </c>
      <c r="X917">
        <f t="shared" si="376"/>
        <v>-2559100.7109000003</v>
      </c>
      <c r="Z917">
        <f t="shared" ref="Z917:Z919" si="384">C917*(310+0.8+60)</f>
        <v>166.49417242800001</v>
      </c>
      <c r="AA917">
        <f t="shared" si="377"/>
        <v>907007.0882</v>
      </c>
      <c r="AB917">
        <f t="shared" si="378"/>
        <v>736381.99239999999</v>
      </c>
      <c r="AC917">
        <f t="shared" si="379"/>
        <v>610658.23759999988</v>
      </c>
      <c r="AD917">
        <f t="shared" si="380"/>
        <v>-849642.18439999886</v>
      </c>
      <c r="AE917">
        <f t="shared" si="381"/>
        <v>-2882665.1686000004</v>
      </c>
    </row>
    <row r="918" spans="1:31" x14ac:dyDescent="0.25">
      <c r="A918">
        <v>45.624503560000001</v>
      </c>
      <c r="B918">
        <v>124.97115100000001</v>
      </c>
      <c r="C918">
        <v>5.49817467</v>
      </c>
      <c r="D918">
        <v>30.03130913</v>
      </c>
      <c r="E918" t="b">
        <f t="shared" si="359"/>
        <v>1</v>
      </c>
      <c r="F918">
        <f t="shared" si="360"/>
        <v>2.5404357799999993</v>
      </c>
      <c r="G918">
        <f t="shared" si="361"/>
        <v>-24.950437570000002</v>
      </c>
      <c r="H918">
        <f t="shared" si="362"/>
        <v>-52.441310920000006</v>
      </c>
      <c r="I918">
        <f t="shared" si="363"/>
        <v>-79.932184270000008</v>
      </c>
      <c r="J918">
        <f t="shared" si="364"/>
        <v>-107.42305761999999</v>
      </c>
      <c r="L918">
        <f t="shared" si="365"/>
        <v>10556495.366400002</v>
      </c>
      <c r="M918">
        <f t="shared" si="366"/>
        <v>4115505.963599999</v>
      </c>
      <c r="N918">
        <f t="shared" si="367"/>
        <v>-34431603.846599996</v>
      </c>
      <c r="O918">
        <f t="shared" si="368"/>
        <v>-53490137.138400011</v>
      </c>
      <c r="P918">
        <f t="shared" si="369"/>
        <v>-73537609.528400004</v>
      </c>
      <c r="Q918">
        <f t="shared" si="370"/>
        <v>-81641523.791199997</v>
      </c>
      <c r="S918">
        <f t="shared" si="371"/>
        <v>11546166.807</v>
      </c>
      <c r="T918">
        <f t="shared" si="372"/>
        <v>4623593.1195999989</v>
      </c>
      <c r="U918">
        <f t="shared" si="373"/>
        <v>-37675160.730700001</v>
      </c>
      <c r="V918">
        <f t="shared" si="374"/>
        <v>-56112202.6844</v>
      </c>
      <c r="W918">
        <f t="shared" si="375"/>
        <v>-85527437.168899998</v>
      </c>
      <c r="X918">
        <f t="shared" si="376"/>
        <v>-93458060.129399985</v>
      </c>
      <c r="Z918">
        <f t="shared" si="384"/>
        <v>2038.723167636</v>
      </c>
      <c r="AA918">
        <f t="shared" si="377"/>
        <v>5131680.2755999984</v>
      </c>
      <c r="AB918">
        <f t="shared" si="378"/>
        <v>-40918717.614800006</v>
      </c>
      <c r="AC918">
        <f t="shared" si="379"/>
        <v>-71320182.851199999</v>
      </c>
      <c r="AD918">
        <f t="shared" si="380"/>
        <v>-97517264.809400007</v>
      </c>
      <c r="AE918">
        <f t="shared" si="381"/>
        <v>-105274596.46759999</v>
      </c>
    </row>
    <row r="919" spans="1:31" x14ac:dyDescent="0.25">
      <c r="A919">
        <v>45.627500269999999</v>
      </c>
      <c r="B919">
        <v>86.721858560000001</v>
      </c>
      <c r="C919">
        <v>18.492280959999999</v>
      </c>
      <c r="D919">
        <v>22.56075478</v>
      </c>
      <c r="E919" t="b">
        <f t="shared" si="359"/>
        <v>1</v>
      </c>
      <c r="F919">
        <f t="shared" si="360"/>
        <v>-69.90065002</v>
      </c>
      <c r="G919">
        <f t="shared" si="361"/>
        <v>-162.36205482</v>
      </c>
      <c r="H919">
        <f t="shared" si="362"/>
        <v>-254.82345961999997</v>
      </c>
      <c r="I919">
        <f t="shared" si="363"/>
        <v>-347.28486441999996</v>
      </c>
      <c r="J919">
        <f t="shared" si="364"/>
        <v>-439.74626921999993</v>
      </c>
      <c r="L919">
        <f t="shared" si="365"/>
        <v>35505179.4432</v>
      </c>
      <c r="M919">
        <f t="shared" si="366"/>
        <v>-113239053.0324</v>
      </c>
      <c r="N919">
        <f t="shared" si="367"/>
        <v>-224059635.65159997</v>
      </c>
      <c r="O919">
        <f t="shared" si="368"/>
        <v>-259919928.81239998</v>
      </c>
      <c r="P919">
        <f t="shared" si="369"/>
        <v>-319502075.26639992</v>
      </c>
      <c r="Q919">
        <f t="shared" si="370"/>
        <v>-334207164.60719991</v>
      </c>
      <c r="S919">
        <f t="shared" si="371"/>
        <v>38833790.015999995</v>
      </c>
      <c r="T919">
        <f t="shared" si="372"/>
        <v>-127219183.03639999</v>
      </c>
      <c r="U919">
        <f t="shared" si="373"/>
        <v>-245166702.7782</v>
      </c>
      <c r="V919">
        <f t="shared" si="374"/>
        <v>-272661101.79339993</v>
      </c>
      <c r="W919">
        <f t="shared" si="375"/>
        <v>-371594804.92939991</v>
      </c>
      <c r="X919">
        <f t="shared" si="376"/>
        <v>-382579254.2213999</v>
      </c>
      <c r="Z919">
        <f t="shared" si="384"/>
        <v>6856.9377799679996</v>
      </c>
      <c r="AA919">
        <f t="shared" si="377"/>
        <v>-141199313.0404</v>
      </c>
      <c r="AB919">
        <f t="shared" si="378"/>
        <v>-266273769.9048</v>
      </c>
      <c r="AC919">
        <f t="shared" si="379"/>
        <v>-346559905.08319992</v>
      </c>
      <c r="AD919">
        <f t="shared" si="380"/>
        <v>-423687534.59239995</v>
      </c>
      <c r="AE919">
        <f t="shared" si="381"/>
        <v>-430951343.8355999</v>
      </c>
    </row>
    <row r="920" spans="1:31" x14ac:dyDescent="0.25">
      <c r="A920">
        <v>45.63339714</v>
      </c>
      <c r="B920">
        <v>125.2364243</v>
      </c>
      <c r="C920">
        <v>5.49817467</v>
      </c>
      <c r="D920">
        <v>24.151086809999999</v>
      </c>
      <c r="E920" t="b">
        <f t="shared" si="359"/>
        <v>1</v>
      </c>
      <c r="F920">
        <f t="shared" si="360"/>
        <v>-3.3397865400000022</v>
      </c>
      <c r="G920">
        <f t="shared" si="361"/>
        <v>-30.830659890000003</v>
      </c>
      <c r="H920">
        <f t="shared" si="362"/>
        <v>-58.321533240000008</v>
      </c>
      <c r="I920">
        <f t="shared" si="363"/>
        <v>-85.812406590000009</v>
      </c>
      <c r="J920">
        <f t="shared" si="364"/>
        <v>-113.30327994</v>
      </c>
      <c r="L920">
        <f t="shared" si="365"/>
        <v>10556495.366400002</v>
      </c>
      <c r="M920">
        <f t="shared" si="366"/>
        <v>-5410454.1948000044</v>
      </c>
      <c r="N920">
        <f t="shared" si="367"/>
        <v>-42546310.648200005</v>
      </c>
      <c r="O920">
        <f t="shared" si="368"/>
        <v>-59487963.904800013</v>
      </c>
      <c r="P920">
        <f t="shared" si="369"/>
        <v>-78947414.06279999</v>
      </c>
      <c r="Q920">
        <f t="shared" si="370"/>
        <v>-86110492.7544</v>
      </c>
      <c r="S920">
        <f t="shared" si="371"/>
        <v>11546166.807</v>
      </c>
      <c r="T920">
        <f t="shared" si="372"/>
        <v>-6078411.5028000046</v>
      </c>
      <c r="U920">
        <f t="shared" si="373"/>
        <v>-46554296.433900006</v>
      </c>
      <c r="V920">
        <f t="shared" si="374"/>
        <v>-62404040.566799998</v>
      </c>
      <c r="W920">
        <f t="shared" si="375"/>
        <v>-91819275.051299989</v>
      </c>
      <c r="X920">
        <f t="shared" si="376"/>
        <v>-98573853.547800004</v>
      </c>
      <c r="Z920">
        <f>C920*(310+0.8+60)</f>
        <v>2038.723167636</v>
      </c>
      <c r="AA920">
        <f t="shared" si="377"/>
        <v>-6746368.8108000048</v>
      </c>
      <c r="AB920">
        <f t="shared" si="378"/>
        <v>-50562282.219600014</v>
      </c>
      <c r="AC920">
        <f t="shared" si="379"/>
        <v>-79317285.206400007</v>
      </c>
      <c r="AD920">
        <f t="shared" si="380"/>
        <v>-104691136.0398</v>
      </c>
      <c r="AE920">
        <f t="shared" si="381"/>
        <v>-111037214.34119999</v>
      </c>
    </row>
    <row r="921" spans="1:31" x14ac:dyDescent="0.25">
      <c r="A921">
        <v>45.636384159999999</v>
      </c>
      <c r="B921">
        <v>116.88839059999999</v>
      </c>
      <c r="C921">
        <v>6.3704409599999998</v>
      </c>
      <c r="D921">
        <v>3.6107790500000001</v>
      </c>
      <c r="E921" t="b">
        <f t="shared" si="359"/>
        <v>0</v>
      </c>
      <c r="F921">
        <f t="shared" si="360"/>
        <v>-28.241425749999998</v>
      </c>
      <c r="G921">
        <f t="shared" si="361"/>
        <v>-60.09363055</v>
      </c>
      <c r="H921">
        <f t="shared" si="362"/>
        <v>-91.945835349999996</v>
      </c>
      <c r="I921">
        <f t="shared" si="363"/>
        <v>-123.79804014999999</v>
      </c>
      <c r="J921">
        <f t="shared" si="364"/>
        <v>-155.65024495</v>
      </c>
      <c r="L921">
        <f t="shared" si="365"/>
        <v>6932695.7760000015</v>
      </c>
      <c r="M921">
        <f t="shared" si="366"/>
        <v>-45751109.714999996</v>
      </c>
      <c r="N921">
        <f t="shared" si="367"/>
        <v>-82929210.158999994</v>
      </c>
      <c r="O921">
        <f t="shared" si="368"/>
        <v>-93784752.056999996</v>
      </c>
      <c r="P921">
        <f t="shared" si="369"/>
        <v>-113894196.93799998</v>
      </c>
      <c r="Q921">
        <f t="shared" si="370"/>
        <v>-118294186.16199999</v>
      </c>
      <c r="S921">
        <f t="shared" si="371"/>
        <v>7582636.0050000008</v>
      </c>
      <c r="T921">
        <f t="shared" si="372"/>
        <v>-51399394.864999995</v>
      </c>
      <c r="U921">
        <f t="shared" si="373"/>
        <v>-90741382.130499989</v>
      </c>
      <c r="V921">
        <f t="shared" si="374"/>
        <v>-98382043.82449998</v>
      </c>
      <c r="W921">
        <f t="shared" si="375"/>
        <v>-132463902.96049997</v>
      </c>
      <c r="X921">
        <f t="shared" si="376"/>
        <v>-135415713.1065</v>
      </c>
      <c r="Z921">
        <f>D921*(310+0.8+60)</f>
        <v>1338.8768717400001</v>
      </c>
      <c r="AA921">
        <f t="shared" si="377"/>
        <v>-57047680.014999993</v>
      </c>
      <c r="AB921">
        <f t="shared" si="378"/>
        <v>-98553554.101999998</v>
      </c>
      <c r="AC921">
        <f t="shared" si="379"/>
        <v>-125046336.07599998</v>
      </c>
      <c r="AD921">
        <f t="shared" si="380"/>
        <v>-151033608.98299998</v>
      </c>
      <c r="AE921">
        <f t="shared" si="381"/>
        <v>-152537240.051</v>
      </c>
    </row>
    <row r="922" spans="1:31" x14ac:dyDescent="0.25">
      <c r="A922">
        <v>45.663914779999999</v>
      </c>
      <c r="B922">
        <v>85.394656389999994</v>
      </c>
      <c r="C922">
        <v>13.102680210000001</v>
      </c>
      <c r="D922">
        <v>0.12565599</v>
      </c>
      <c r="E922" t="b">
        <f t="shared" si="359"/>
        <v>0</v>
      </c>
      <c r="F922">
        <f t="shared" si="360"/>
        <v>-65.38774506</v>
      </c>
      <c r="G922">
        <f t="shared" si="361"/>
        <v>-130.90114610999998</v>
      </c>
      <c r="H922">
        <f t="shared" si="362"/>
        <v>-196.41454716000001</v>
      </c>
      <c r="I922">
        <f t="shared" si="363"/>
        <v>-261.92794821000001</v>
      </c>
      <c r="J922">
        <f t="shared" si="364"/>
        <v>-327.44134926000004</v>
      </c>
      <c r="L922">
        <f t="shared" si="365"/>
        <v>241259.50080000001</v>
      </c>
      <c r="M922">
        <f t="shared" si="366"/>
        <v>-105928146.99720001</v>
      </c>
      <c r="N922">
        <f t="shared" si="367"/>
        <v>-180643581.63179997</v>
      </c>
      <c r="O922">
        <f t="shared" si="368"/>
        <v>-200342838.10320002</v>
      </c>
      <c r="P922">
        <f t="shared" si="369"/>
        <v>-240973712.35319999</v>
      </c>
      <c r="Q922">
        <f t="shared" si="370"/>
        <v>-248855425.43760005</v>
      </c>
      <c r="S922">
        <f t="shared" si="371"/>
        <v>263877.57899999997</v>
      </c>
      <c r="T922">
        <f t="shared" si="372"/>
        <v>-119005696.00920001</v>
      </c>
      <c r="U922">
        <f t="shared" si="373"/>
        <v>-197660730.62609997</v>
      </c>
      <c r="V922">
        <f t="shared" si="374"/>
        <v>-210163565.4612</v>
      </c>
      <c r="W922">
        <f t="shared" si="375"/>
        <v>-280262904.58469999</v>
      </c>
      <c r="X922">
        <f t="shared" si="376"/>
        <v>-284873973.85620004</v>
      </c>
      <c r="Z922">
        <f>D922*(310+0.8+60)</f>
        <v>46.593241092</v>
      </c>
      <c r="AA922">
        <f t="shared" si="377"/>
        <v>-132083245.0212</v>
      </c>
      <c r="AB922">
        <f t="shared" si="378"/>
        <v>-214677879.62039998</v>
      </c>
      <c r="AC922">
        <f t="shared" si="379"/>
        <v>-267123784.1376</v>
      </c>
      <c r="AD922">
        <f t="shared" si="380"/>
        <v>-319552096.81620002</v>
      </c>
      <c r="AE922">
        <f t="shared" si="381"/>
        <v>-320892522.27480006</v>
      </c>
    </row>
    <row r="923" spans="1:31" x14ac:dyDescent="0.25">
      <c r="A923">
        <v>45.666617119999998</v>
      </c>
      <c r="B923">
        <v>124.3264528</v>
      </c>
      <c r="C923">
        <v>5.49817467</v>
      </c>
      <c r="D923">
        <v>14.995493890000001</v>
      </c>
      <c r="E923" t="b">
        <f t="shared" si="359"/>
        <v>1</v>
      </c>
      <c r="F923">
        <f t="shared" si="360"/>
        <v>-12.495379460000001</v>
      </c>
      <c r="G923">
        <f t="shared" si="361"/>
        <v>-39.986252810000003</v>
      </c>
      <c r="H923">
        <f t="shared" si="362"/>
        <v>-67.477126159999997</v>
      </c>
      <c r="I923">
        <f t="shared" si="363"/>
        <v>-94.967999509999999</v>
      </c>
      <c r="J923">
        <f t="shared" si="364"/>
        <v>-122.45887285999999</v>
      </c>
      <c r="L923">
        <f t="shared" si="365"/>
        <v>10556495.366400002</v>
      </c>
      <c r="M923">
        <f t="shared" si="366"/>
        <v>-20242514.725200001</v>
      </c>
      <c r="N923">
        <f t="shared" si="367"/>
        <v>-55181028.877800003</v>
      </c>
      <c r="O923">
        <f t="shared" si="368"/>
        <v>-68826668.683200002</v>
      </c>
      <c r="P923">
        <f t="shared" si="369"/>
        <v>-87370559.549199998</v>
      </c>
      <c r="Q923">
        <f t="shared" si="370"/>
        <v>-93068743.373599991</v>
      </c>
      <c r="S923">
        <f t="shared" si="371"/>
        <v>11546166.807</v>
      </c>
      <c r="T923">
        <f t="shared" si="372"/>
        <v>-22741590.617200002</v>
      </c>
      <c r="U923">
        <f t="shared" si="373"/>
        <v>-60379241.743100002</v>
      </c>
      <c r="V923">
        <f t="shared" si="374"/>
        <v>-72200524.991199985</v>
      </c>
      <c r="W923">
        <f t="shared" si="375"/>
        <v>-101615759.47569999</v>
      </c>
      <c r="X923">
        <f t="shared" si="376"/>
        <v>-106539219.38819999</v>
      </c>
      <c r="Z923">
        <f>C923*(310+0.8+60)</f>
        <v>2038.723167636</v>
      </c>
      <c r="AA923">
        <f t="shared" si="377"/>
        <v>-25240666.509200003</v>
      </c>
      <c r="AB923">
        <f t="shared" si="378"/>
        <v>-65577454.60840001</v>
      </c>
      <c r="AC923">
        <f t="shared" si="379"/>
        <v>-91768891.577599987</v>
      </c>
      <c r="AD923">
        <f t="shared" si="380"/>
        <v>-115860959.4022</v>
      </c>
      <c r="AE923">
        <f t="shared" si="381"/>
        <v>-120009695.40279998</v>
      </c>
    </row>
    <row r="924" spans="1:31" x14ac:dyDescent="0.25">
      <c r="A924">
        <v>45.799722469999999</v>
      </c>
      <c r="B924">
        <v>124.36288759999999</v>
      </c>
      <c r="C924">
        <v>5.49817467</v>
      </c>
      <c r="D924">
        <v>15.894377710000001</v>
      </c>
      <c r="E924" t="b">
        <f t="shared" si="359"/>
        <v>1</v>
      </c>
      <c r="F924">
        <f t="shared" si="360"/>
        <v>-11.596495640000001</v>
      </c>
      <c r="G924">
        <f t="shared" si="361"/>
        <v>-39.087368990000002</v>
      </c>
      <c r="H924">
        <f t="shared" si="362"/>
        <v>-66.578242340000003</v>
      </c>
      <c r="I924">
        <f t="shared" si="363"/>
        <v>-94.069115690000004</v>
      </c>
      <c r="J924">
        <f t="shared" si="364"/>
        <v>-121.55998903999999</v>
      </c>
      <c r="L924">
        <f t="shared" si="365"/>
        <v>10556495.366400002</v>
      </c>
      <c r="M924">
        <f t="shared" si="366"/>
        <v>-18786322.936800003</v>
      </c>
      <c r="N924">
        <f t="shared" si="367"/>
        <v>-53940569.206199996</v>
      </c>
      <c r="O924">
        <f t="shared" si="368"/>
        <v>-67909807.186800003</v>
      </c>
      <c r="P924">
        <f t="shared" si="369"/>
        <v>-86543586.434799984</v>
      </c>
      <c r="Q924">
        <f t="shared" si="370"/>
        <v>-92385591.670399994</v>
      </c>
      <c r="S924">
        <f t="shared" si="371"/>
        <v>11546166.807</v>
      </c>
      <c r="T924">
        <f t="shared" si="372"/>
        <v>-21105622.064800002</v>
      </c>
      <c r="U924">
        <f t="shared" si="373"/>
        <v>-59021927.174900003</v>
      </c>
      <c r="V924">
        <f t="shared" si="374"/>
        <v>-71238719.303799987</v>
      </c>
      <c r="W924">
        <f t="shared" si="375"/>
        <v>-100653953.78829998</v>
      </c>
      <c r="X924">
        <f t="shared" si="376"/>
        <v>-105757190.46479999</v>
      </c>
      <c r="Z924">
        <f t="shared" ref="Z924:Z926" si="385">C924*(310+0.8+60)</f>
        <v>2038.723167636</v>
      </c>
      <c r="AA924">
        <f t="shared" si="377"/>
        <v>-23424921.1928</v>
      </c>
      <c r="AB924">
        <f t="shared" si="378"/>
        <v>-64103285.143600009</v>
      </c>
      <c r="AC924">
        <f t="shared" si="379"/>
        <v>-90546409.582399994</v>
      </c>
      <c r="AD924">
        <f t="shared" si="380"/>
        <v>-114764321.1418</v>
      </c>
      <c r="AE924">
        <f t="shared" si="381"/>
        <v>-119128789.25919999</v>
      </c>
    </row>
    <row r="925" spans="1:31" x14ac:dyDescent="0.25">
      <c r="A925">
        <v>45.800658110000001</v>
      </c>
      <c r="B925">
        <v>125.6799609</v>
      </c>
      <c r="C925">
        <v>1.9456416400000001</v>
      </c>
      <c r="D925">
        <v>42.116260529999998</v>
      </c>
      <c r="E925" t="b">
        <f t="shared" si="359"/>
        <v>1</v>
      </c>
      <c r="F925">
        <f t="shared" si="360"/>
        <v>32.388052329999994</v>
      </c>
      <c r="G925">
        <f t="shared" si="361"/>
        <v>22.659844129999996</v>
      </c>
      <c r="H925">
        <f t="shared" si="362"/>
        <v>12.931635929999999</v>
      </c>
      <c r="I925">
        <f t="shared" si="363"/>
        <v>3.2034277299999943</v>
      </c>
      <c r="J925">
        <f t="shared" si="364"/>
        <v>-6.5247804700000032</v>
      </c>
      <c r="L925">
        <f t="shared" si="365"/>
        <v>3735631.9488000004</v>
      </c>
      <c r="M925">
        <f t="shared" si="366"/>
        <v>3151939.4568000003</v>
      </c>
      <c r="N925">
        <f t="shared" si="367"/>
        <v>2684985.4632000001</v>
      </c>
      <c r="O925">
        <f t="shared" si="368"/>
        <v>1984554.4728000001</v>
      </c>
      <c r="P925">
        <f t="shared" si="369"/>
        <v>1789990.3088</v>
      </c>
      <c r="Q925">
        <f t="shared" si="370"/>
        <v>-4958833.157200003</v>
      </c>
      <c r="S925">
        <f t="shared" si="371"/>
        <v>4085847.4440000006</v>
      </c>
      <c r="T925">
        <f t="shared" si="372"/>
        <v>3541067.7848000005</v>
      </c>
      <c r="U925">
        <f t="shared" si="373"/>
        <v>2937918.8764000004</v>
      </c>
      <c r="V925">
        <f t="shared" si="374"/>
        <v>2081836.5547999998</v>
      </c>
      <c r="W925">
        <f t="shared" si="375"/>
        <v>2081836.5547999998</v>
      </c>
      <c r="X925">
        <f t="shared" si="376"/>
        <v>-5676559.0089000026</v>
      </c>
      <c r="Z925">
        <f t="shared" si="385"/>
        <v>721.443920112</v>
      </c>
      <c r="AA925">
        <f t="shared" si="377"/>
        <v>3930196.1128000002</v>
      </c>
      <c r="AB925">
        <f t="shared" si="378"/>
        <v>3190852.2896000003</v>
      </c>
      <c r="AC925">
        <f t="shared" si="379"/>
        <v>2646072.6304000001</v>
      </c>
      <c r="AD925">
        <f t="shared" si="380"/>
        <v>2373682.8008000003</v>
      </c>
      <c r="AE925">
        <f t="shared" si="381"/>
        <v>-6394284.860600003</v>
      </c>
    </row>
    <row r="926" spans="1:31" x14ac:dyDescent="0.25">
      <c r="A926">
        <v>45.801130729999997</v>
      </c>
      <c r="B926">
        <v>124.6921487</v>
      </c>
      <c r="C926">
        <v>1.10745227</v>
      </c>
      <c r="D926">
        <v>20.73853111</v>
      </c>
      <c r="E926" t="b">
        <f t="shared" si="359"/>
        <v>1</v>
      </c>
      <c r="F926">
        <f t="shared" si="360"/>
        <v>15.201269760000001</v>
      </c>
      <c r="G926">
        <f t="shared" si="361"/>
        <v>9.664008410000001</v>
      </c>
      <c r="H926">
        <f t="shared" si="362"/>
        <v>4.1267470599999996</v>
      </c>
      <c r="I926">
        <f t="shared" si="363"/>
        <v>-1.4105142899999983</v>
      </c>
      <c r="J926">
        <f t="shared" si="364"/>
        <v>-6.9477756399999997</v>
      </c>
      <c r="L926">
        <f t="shared" si="365"/>
        <v>2126308.3584000003</v>
      </c>
      <c r="M926">
        <f t="shared" si="366"/>
        <v>1794072.6774000002</v>
      </c>
      <c r="N926">
        <f t="shared" si="367"/>
        <v>1528284.1325999999</v>
      </c>
      <c r="O926">
        <f t="shared" si="368"/>
        <v>1129601.3154</v>
      </c>
      <c r="P926">
        <f t="shared" si="369"/>
        <v>-1297673.1467999981</v>
      </c>
      <c r="Q926">
        <f t="shared" si="370"/>
        <v>-5280309.4863999998</v>
      </c>
      <c r="S926">
        <f t="shared" si="371"/>
        <v>2325649.767</v>
      </c>
      <c r="T926">
        <f t="shared" si="372"/>
        <v>2015563.1314000001</v>
      </c>
      <c r="U926">
        <f t="shared" si="373"/>
        <v>1672252.9277000001</v>
      </c>
      <c r="V926">
        <f t="shared" si="374"/>
        <v>1184973.9288999999</v>
      </c>
      <c r="W926">
        <f t="shared" si="375"/>
        <v>-1509250.2902999979</v>
      </c>
      <c r="X926">
        <f t="shared" si="376"/>
        <v>-6044564.8067999994</v>
      </c>
      <c r="Z926">
        <f t="shared" si="385"/>
        <v>410.643301716</v>
      </c>
      <c r="AA926">
        <f t="shared" si="377"/>
        <v>2237053.5854000002</v>
      </c>
      <c r="AB926">
        <f t="shared" si="378"/>
        <v>1816221.7228000001</v>
      </c>
      <c r="AC926">
        <f t="shared" si="379"/>
        <v>1506135.0872</v>
      </c>
      <c r="AD926">
        <f t="shared" si="380"/>
        <v>-1720827.4337999977</v>
      </c>
      <c r="AE926">
        <f t="shared" si="381"/>
        <v>-6808820.1272</v>
      </c>
    </row>
    <row r="927" spans="1:31" x14ac:dyDescent="0.25">
      <c r="A927">
        <v>45.818372619999998</v>
      </c>
      <c r="B927">
        <v>85.809332510000004</v>
      </c>
      <c r="C927">
        <v>18.492280959999999</v>
      </c>
      <c r="D927">
        <v>7.4918289199999997</v>
      </c>
      <c r="E927" t="b">
        <f t="shared" si="359"/>
        <v>0</v>
      </c>
      <c r="F927">
        <f t="shared" si="360"/>
        <v>-84.969575879999994</v>
      </c>
      <c r="G927">
        <f t="shared" si="361"/>
        <v>-177.43098068</v>
      </c>
      <c r="H927">
        <f t="shared" si="362"/>
        <v>-269.89238547999997</v>
      </c>
      <c r="I927">
        <f t="shared" si="363"/>
        <v>-362.35379028</v>
      </c>
      <c r="J927">
        <f t="shared" si="364"/>
        <v>-454.81519507999997</v>
      </c>
      <c r="L927">
        <f t="shared" si="365"/>
        <v>14384311.526400002</v>
      </c>
      <c r="M927">
        <f t="shared" si="366"/>
        <v>-137650712.92559999</v>
      </c>
      <c r="N927">
        <f t="shared" si="367"/>
        <v>-244854753.33839998</v>
      </c>
      <c r="O927">
        <f t="shared" si="368"/>
        <v>-275290233.18959999</v>
      </c>
      <c r="P927">
        <f t="shared" si="369"/>
        <v>-333365487.05759996</v>
      </c>
      <c r="Q927">
        <f t="shared" si="370"/>
        <v>-345659548.2608</v>
      </c>
      <c r="S927">
        <f t="shared" si="371"/>
        <v>15732840.732000001</v>
      </c>
      <c r="T927">
        <f t="shared" si="372"/>
        <v>-154644628.10159999</v>
      </c>
      <c r="U927">
        <f t="shared" si="373"/>
        <v>-267920780.82680002</v>
      </c>
      <c r="V927">
        <f t="shared" si="374"/>
        <v>-288784852.46359992</v>
      </c>
      <c r="W927">
        <f t="shared" si="375"/>
        <v>-387718555.5995999</v>
      </c>
      <c r="X927">
        <f t="shared" si="376"/>
        <v>-395689219.71959996</v>
      </c>
      <c r="Z927">
        <f>D927*(310+0.8+60)</f>
        <v>2777.9701635359997</v>
      </c>
      <c r="AA927">
        <f t="shared" si="377"/>
        <v>-171638543.27759999</v>
      </c>
      <c r="AB927">
        <f t="shared" si="378"/>
        <v>-290986808.31520003</v>
      </c>
      <c r="AC927">
        <f t="shared" si="379"/>
        <v>-367053644.25279993</v>
      </c>
      <c r="AD927">
        <f t="shared" si="380"/>
        <v>-442071624.14159995</v>
      </c>
      <c r="AE927">
        <f t="shared" si="381"/>
        <v>-445718891.17839998</v>
      </c>
    </row>
    <row r="928" spans="1:31" x14ac:dyDescent="0.25">
      <c r="A928">
        <v>45.836879979999999</v>
      </c>
      <c r="B928">
        <v>125.4268392</v>
      </c>
      <c r="C928">
        <v>1.9456416400000001</v>
      </c>
      <c r="D928">
        <v>0.23003501000000001</v>
      </c>
      <c r="E928" t="b">
        <f t="shared" si="359"/>
        <v>0</v>
      </c>
      <c r="F928">
        <f t="shared" si="360"/>
        <v>-9.498173190000001</v>
      </c>
      <c r="G928">
        <f t="shared" si="361"/>
        <v>-19.22638139</v>
      </c>
      <c r="H928">
        <f t="shared" si="362"/>
        <v>-28.954589589999998</v>
      </c>
      <c r="I928">
        <f t="shared" si="363"/>
        <v>-38.682797790000002</v>
      </c>
      <c r="J928">
        <f t="shared" si="364"/>
        <v>-48.41100599</v>
      </c>
      <c r="L928">
        <f t="shared" si="365"/>
        <v>441667.21920000005</v>
      </c>
      <c r="M928">
        <f t="shared" si="366"/>
        <v>-15387040.567800004</v>
      </c>
      <c r="N928">
        <f t="shared" si="367"/>
        <v>-26532406.3182</v>
      </c>
      <c r="O928">
        <f t="shared" si="368"/>
        <v>-29533681.381799996</v>
      </c>
      <c r="P928">
        <f t="shared" si="369"/>
        <v>-35588173.966799997</v>
      </c>
      <c r="Q928">
        <f t="shared" si="370"/>
        <v>-36792364.5524</v>
      </c>
      <c r="S928">
        <f t="shared" si="371"/>
        <v>483073.52100000007</v>
      </c>
      <c r="T928">
        <f t="shared" si="372"/>
        <v>-17286675.205800004</v>
      </c>
      <c r="U928">
        <f t="shared" si="373"/>
        <v>-29031835.898900002</v>
      </c>
      <c r="V928">
        <f t="shared" si="374"/>
        <v>-30981410.861299992</v>
      </c>
      <c r="W928">
        <f t="shared" si="375"/>
        <v>-41390593.635299996</v>
      </c>
      <c r="X928">
        <f t="shared" si="376"/>
        <v>-42117575.211300001</v>
      </c>
      <c r="Z928">
        <f t="shared" ref="Z928:Z931" si="386">D928*(310+0.8+60)</f>
        <v>85.296981708000004</v>
      </c>
      <c r="AA928">
        <f t="shared" si="377"/>
        <v>-19186309.843800005</v>
      </c>
      <c r="AB928">
        <f t="shared" si="378"/>
        <v>-31531265.479600005</v>
      </c>
      <c r="AC928">
        <f t="shared" si="379"/>
        <v>-39378241.842399992</v>
      </c>
      <c r="AD928">
        <f t="shared" si="380"/>
        <v>-47193013.303799994</v>
      </c>
      <c r="AE928">
        <f t="shared" si="381"/>
        <v>-47442785.870200001</v>
      </c>
    </row>
    <row r="929" spans="1:31" x14ac:dyDescent="0.25">
      <c r="A929">
        <v>45.870812559999997</v>
      </c>
      <c r="B929">
        <v>125.8326725</v>
      </c>
      <c r="C929">
        <v>2.93583441</v>
      </c>
      <c r="D929">
        <v>7.633E-3</v>
      </c>
      <c r="E929" t="b">
        <f t="shared" si="359"/>
        <v>0</v>
      </c>
      <c r="F929">
        <f t="shared" si="360"/>
        <v>-14.67153905</v>
      </c>
      <c r="G929">
        <f t="shared" si="361"/>
        <v>-29.350711100000002</v>
      </c>
      <c r="H929">
        <f t="shared" si="362"/>
        <v>-44.029883150000003</v>
      </c>
      <c r="I929">
        <f t="shared" si="363"/>
        <v>-58.709055200000002</v>
      </c>
      <c r="J929">
        <f t="shared" si="364"/>
        <v>-73.38822725</v>
      </c>
      <c r="L929">
        <f t="shared" si="365"/>
        <v>14655.36</v>
      </c>
      <c r="M929">
        <f t="shared" si="366"/>
        <v>-23767893.261</v>
      </c>
      <c r="N929">
        <f t="shared" si="367"/>
        <v>-40503981.317999996</v>
      </c>
      <c r="O929">
        <f t="shared" si="368"/>
        <v>-44910480.813000008</v>
      </c>
      <c r="P929">
        <f t="shared" si="369"/>
        <v>-54012330.784000002</v>
      </c>
      <c r="Q929">
        <f t="shared" si="370"/>
        <v>-55775052.710000001</v>
      </c>
      <c r="S929">
        <f t="shared" si="371"/>
        <v>16029.300000000001</v>
      </c>
      <c r="T929">
        <f t="shared" si="372"/>
        <v>-26702201.070999999</v>
      </c>
      <c r="U929">
        <f t="shared" si="373"/>
        <v>-44319573.761</v>
      </c>
      <c r="V929">
        <f t="shared" si="374"/>
        <v>-47111974.9705</v>
      </c>
      <c r="W929">
        <f t="shared" si="375"/>
        <v>-62818689.063999996</v>
      </c>
      <c r="X929">
        <f t="shared" si="376"/>
        <v>-63847757.707500003</v>
      </c>
      <c r="Z929">
        <f t="shared" si="386"/>
        <v>2.8303164000000001</v>
      </c>
      <c r="AA929">
        <f t="shared" si="377"/>
        <v>-29636508.880999997</v>
      </c>
      <c r="AB929">
        <f t="shared" si="378"/>
        <v>-48135166.204000004</v>
      </c>
      <c r="AC929">
        <f t="shared" si="379"/>
        <v>-59880641.084000006</v>
      </c>
      <c r="AD929">
        <f t="shared" si="380"/>
        <v>-71625047.343999997</v>
      </c>
      <c r="AE929">
        <f t="shared" si="381"/>
        <v>-71920462.704999998</v>
      </c>
    </row>
    <row r="930" spans="1:31" x14ac:dyDescent="0.25">
      <c r="A930">
        <v>45.884502079999997</v>
      </c>
      <c r="B930">
        <v>86.911455160000003</v>
      </c>
      <c r="C930">
        <v>18.492280959999999</v>
      </c>
      <c r="D930">
        <v>11.509568209999999</v>
      </c>
      <c r="E930" t="b">
        <f t="shared" si="359"/>
        <v>0</v>
      </c>
      <c r="F930">
        <f t="shared" si="360"/>
        <v>-80.951836589999999</v>
      </c>
      <c r="G930">
        <f t="shared" si="361"/>
        <v>-173.41324139</v>
      </c>
      <c r="H930">
        <f t="shared" si="362"/>
        <v>-265.87464618999996</v>
      </c>
      <c r="I930">
        <f t="shared" si="363"/>
        <v>-358.33605098999999</v>
      </c>
      <c r="J930">
        <f t="shared" si="364"/>
        <v>-450.79745578999996</v>
      </c>
      <c r="L930">
        <f t="shared" si="365"/>
        <v>22098370.963199999</v>
      </c>
      <c r="M930">
        <f t="shared" si="366"/>
        <v>-131141975.27580002</v>
      </c>
      <c r="N930">
        <f t="shared" si="367"/>
        <v>-239310273.11819997</v>
      </c>
      <c r="O930">
        <f t="shared" si="368"/>
        <v>-271192139.11379999</v>
      </c>
      <c r="P930">
        <f t="shared" si="369"/>
        <v>-329669166.91079998</v>
      </c>
      <c r="Q930">
        <f t="shared" si="370"/>
        <v>-342606066.40039998</v>
      </c>
      <c r="S930">
        <f t="shared" si="371"/>
        <v>24170093.241</v>
      </c>
      <c r="T930">
        <f t="shared" si="372"/>
        <v>-147332342.59380001</v>
      </c>
      <c r="U930">
        <f t="shared" si="373"/>
        <v>-261853994.49889997</v>
      </c>
      <c r="V930">
        <f t="shared" si="374"/>
        <v>-284485871.42329991</v>
      </c>
      <c r="W930">
        <f t="shared" si="375"/>
        <v>-383419574.55929995</v>
      </c>
      <c r="X930">
        <f t="shared" si="376"/>
        <v>-392193786.53729999</v>
      </c>
      <c r="Z930">
        <f t="shared" si="386"/>
        <v>4267.7478922680002</v>
      </c>
      <c r="AA930">
        <f t="shared" si="377"/>
        <v>-163522709.9118</v>
      </c>
      <c r="AB930">
        <f t="shared" si="378"/>
        <v>-284397715.87959999</v>
      </c>
      <c r="AC930">
        <f t="shared" si="379"/>
        <v>-361589518.81839991</v>
      </c>
      <c r="AD930">
        <f t="shared" si="380"/>
        <v>-437169982.20780003</v>
      </c>
      <c r="AE930">
        <f t="shared" si="381"/>
        <v>-441781506.67419994</v>
      </c>
    </row>
    <row r="931" spans="1:31" x14ac:dyDescent="0.25">
      <c r="A931">
        <v>45.890336689999998</v>
      </c>
      <c r="B931">
        <v>125.0466528</v>
      </c>
      <c r="C931">
        <v>1.9456416400000001</v>
      </c>
      <c r="D931">
        <v>0.53997302000000003</v>
      </c>
      <c r="E931" t="b">
        <f t="shared" si="359"/>
        <v>0</v>
      </c>
      <c r="F931">
        <f t="shared" si="360"/>
        <v>-9.1882351800000013</v>
      </c>
      <c r="G931">
        <f t="shared" si="361"/>
        <v>-18.91644338</v>
      </c>
      <c r="H931">
        <f t="shared" si="362"/>
        <v>-28.644651579999998</v>
      </c>
      <c r="I931">
        <f t="shared" si="363"/>
        <v>-38.372859780000006</v>
      </c>
      <c r="J931">
        <f t="shared" si="364"/>
        <v>-48.101067980000003</v>
      </c>
      <c r="L931">
        <f t="shared" si="365"/>
        <v>1036748.1984000001</v>
      </c>
      <c r="M931">
        <f t="shared" si="366"/>
        <v>-14884940.991600003</v>
      </c>
      <c r="N931">
        <f t="shared" si="367"/>
        <v>-26104691.864399996</v>
      </c>
      <c r="O931">
        <f t="shared" si="368"/>
        <v>-29217544.6116</v>
      </c>
      <c r="P931">
        <f t="shared" si="369"/>
        <v>-35303030.997600004</v>
      </c>
      <c r="Q931">
        <f t="shared" si="370"/>
        <v>-36556811.664800003</v>
      </c>
      <c r="S931">
        <f t="shared" si="371"/>
        <v>1133943.3420000002</v>
      </c>
      <c r="T931">
        <f t="shared" si="372"/>
        <v>-16722588.027600003</v>
      </c>
      <c r="U931">
        <f t="shared" si="373"/>
        <v>-28563829.503799997</v>
      </c>
      <c r="V931">
        <f t="shared" si="374"/>
        <v>-30649777.190599993</v>
      </c>
      <c r="W931">
        <f t="shared" si="375"/>
        <v>-41058959.964600004</v>
      </c>
      <c r="X931">
        <f t="shared" si="376"/>
        <v>-41847929.1426</v>
      </c>
      <c r="Z931">
        <f t="shared" si="386"/>
        <v>200.221995816</v>
      </c>
      <c r="AA931">
        <f t="shared" si="377"/>
        <v>-18560235.063600004</v>
      </c>
      <c r="AB931">
        <f t="shared" si="378"/>
        <v>-31022967.143199999</v>
      </c>
      <c r="AC931">
        <f t="shared" si="379"/>
        <v>-38956726.148799993</v>
      </c>
      <c r="AD931">
        <f t="shared" si="380"/>
        <v>-46814888.931600012</v>
      </c>
      <c r="AE931">
        <f t="shared" si="381"/>
        <v>-47139046.620400004</v>
      </c>
    </row>
    <row r="932" spans="1:31" x14ac:dyDescent="0.25">
      <c r="A932">
        <v>45.89051766</v>
      </c>
      <c r="B932">
        <v>128.95339670000001</v>
      </c>
      <c r="C932">
        <v>0</v>
      </c>
      <c r="D932">
        <v>7.6337000000000002E-2</v>
      </c>
      <c r="E932" t="b">
        <f t="shared" si="359"/>
        <v>1</v>
      </c>
      <c r="F932">
        <f t="shared" si="360"/>
        <v>7.6337000000000002E-2</v>
      </c>
      <c r="G932">
        <f t="shared" si="361"/>
        <v>7.6337000000000002E-2</v>
      </c>
      <c r="H932">
        <f t="shared" si="362"/>
        <v>7.6337000000000002E-2</v>
      </c>
      <c r="I932">
        <f t="shared" si="363"/>
        <v>7.6337000000000002E-2</v>
      </c>
      <c r="J932">
        <f t="shared" si="364"/>
        <v>7.6337000000000002E-2</v>
      </c>
      <c r="L932">
        <f t="shared" si="365"/>
        <v>0</v>
      </c>
      <c r="M932">
        <f t="shared" si="366"/>
        <v>0</v>
      </c>
      <c r="N932">
        <f t="shared" si="367"/>
        <v>0</v>
      </c>
      <c r="O932">
        <f t="shared" si="368"/>
        <v>0</v>
      </c>
      <c r="P932">
        <f t="shared" si="369"/>
        <v>0</v>
      </c>
      <c r="Q932">
        <f t="shared" si="370"/>
        <v>0</v>
      </c>
      <c r="S932">
        <f t="shared" si="371"/>
        <v>0</v>
      </c>
      <c r="T932">
        <f t="shared" si="372"/>
        <v>0</v>
      </c>
      <c r="U932">
        <f t="shared" si="373"/>
        <v>0</v>
      </c>
      <c r="V932">
        <f t="shared" si="374"/>
        <v>0</v>
      </c>
      <c r="W932">
        <f t="shared" si="375"/>
        <v>0</v>
      </c>
      <c r="X932">
        <f t="shared" si="376"/>
        <v>0</v>
      </c>
      <c r="Z932">
        <f>C932*(310+0.8+60)</f>
        <v>0</v>
      </c>
      <c r="AA932">
        <f t="shared" si="377"/>
        <v>0</v>
      </c>
      <c r="AB932">
        <f t="shared" si="378"/>
        <v>0</v>
      </c>
      <c r="AC932">
        <f t="shared" si="379"/>
        <v>0</v>
      </c>
      <c r="AD932">
        <f t="shared" si="380"/>
        <v>0</v>
      </c>
      <c r="AE932">
        <f t="shared" si="381"/>
        <v>0</v>
      </c>
    </row>
    <row r="933" spans="1:31" x14ac:dyDescent="0.25">
      <c r="A933">
        <v>45.902968299999998</v>
      </c>
      <c r="B933">
        <v>123.9304772</v>
      </c>
      <c r="C933">
        <v>55.767822270000003</v>
      </c>
      <c r="D933">
        <v>23.341514589999999</v>
      </c>
      <c r="E933" t="b">
        <f t="shared" si="359"/>
        <v>0</v>
      </c>
      <c r="F933">
        <f t="shared" si="360"/>
        <v>-255.49759675999999</v>
      </c>
      <c r="G933">
        <f t="shared" si="361"/>
        <v>-534.33670811000002</v>
      </c>
      <c r="H933">
        <f t="shared" si="362"/>
        <v>-813.17581946000007</v>
      </c>
      <c r="I933">
        <f t="shared" si="363"/>
        <v>-1092.0149308099999</v>
      </c>
      <c r="J933">
        <f t="shared" si="364"/>
        <v>-1370.8540421600001</v>
      </c>
      <c r="L933">
        <f t="shared" si="365"/>
        <v>44815708.012800001</v>
      </c>
      <c r="M933">
        <f t="shared" si="366"/>
        <v>-413906106.75120002</v>
      </c>
      <c r="N933">
        <f t="shared" si="367"/>
        <v>-737384657.1918</v>
      </c>
      <c r="O933">
        <f t="shared" si="368"/>
        <v>-829439335.84920001</v>
      </c>
      <c r="P933">
        <f t="shared" si="369"/>
        <v>-1004653736.3451998</v>
      </c>
      <c r="Q933">
        <f t="shared" si="370"/>
        <v>-1041849072.0416001</v>
      </c>
      <c r="S933">
        <f t="shared" si="371"/>
        <v>49017180.638999999</v>
      </c>
      <c r="T933">
        <f t="shared" si="372"/>
        <v>-465005626.10320002</v>
      </c>
      <c r="U933">
        <f t="shared" si="373"/>
        <v>-806848429.24610007</v>
      </c>
      <c r="V933">
        <f t="shared" si="374"/>
        <v>-870098126.82219994</v>
      </c>
      <c r="W933">
        <f t="shared" si="375"/>
        <v>-1168455975.9666998</v>
      </c>
      <c r="X933">
        <f t="shared" si="376"/>
        <v>-1192643016.6792002</v>
      </c>
      <c r="Z933">
        <f>D933*(310+0.8+60)</f>
        <v>8655.0336099720007</v>
      </c>
      <c r="AA933">
        <f t="shared" si="377"/>
        <v>-516105145.45519996</v>
      </c>
      <c r="AB933">
        <f t="shared" si="378"/>
        <v>-876312201.30040014</v>
      </c>
      <c r="AC933">
        <f t="shared" si="379"/>
        <v>-1105919114.4656</v>
      </c>
      <c r="AD933">
        <f t="shared" si="380"/>
        <v>-1332258215.5881999</v>
      </c>
      <c r="AE933">
        <f t="shared" si="381"/>
        <v>-1343436961.3168001</v>
      </c>
    </row>
    <row r="934" spans="1:31" x14ac:dyDescent="0.25">
      <c r="A934">
        <v>45.90372816</v>
      </c>
      <c r="B934">
        <v>85.452814250000003</v>
      </c>
      <c r="C934">
        <v>0.57684994000000001</v>
      </c>
      <c r="D934">
        <v>33.699977869999998</v>
      </c>
      <c r="E934" t="b">
        <f t="shared" si="359"/>
        <v>1</v>
      </c>
      <c r="F934">
        <f t="shared" si="360"/>
        <v>30.81572817</v>
      </c>
      <c r="G934">
        <f t="shared" si="361"/>
        <v>27.931478469999998</v>
      </c>
      <c r="H934">
        <f t="shared" si="362"/>
        <v>25.047228769999997</v>
      </c>
      <c r="I934">
        <f t="shared" si="363"/>
        <v>22.162979069999999</v>
      </c>
      <c r="J934">
        <f t="shared" si="364"/>
        <v>19.278729369999997</v>
      </c>
      <c r="L934">
        <f t="shared" si="365"/>
        <v>1107551.8848000001</v>
      </c>
      <c r="M934">
        <f t="shared" si="366"/>
        <v>934496.90280000016</v>
      </c>
      <c r="N934">
        <f t="shared" si="367"/>
        <v>796052.91720000003</v>
      </c>
      <c r="O934">
        <f t="shared" si="368"/>
        <v>588386.93880000012</v>
      </c>
      <c r="P934">
        <f t="shared" si="369"/>
        <v>530701.94480000006</v>
      </c>
      <c r="Q934">
        <f t="shared" si="370"/>
        <v>438405.95440000005</v>
      </c>
      <c r="S934">
        <f t="shared" si="371"/>
        <v>1211384.8740000001</v>
      </c>
      <c r="T934">
        <f t="shared" si="372"/>
        <v>1049866.8908000002</v>
      </c>
      <c r="U934">
        <f t="shared" si="373"/>
        <v>871043.40940000012</v>
      </c>
      <c r="V934">
        <f t="shared" si="374"/>
        <v>617229.43579999998</v>
      </c>
      <c r="W934">
        <f t="shared" si="375"/>
        <v>617229.43579999998</v>
      </c>
      <c r="X934">
        <f t="shared" si="376"/>
        <v>501859.44780000002</v>
      </c>
      <c r="Z934">
        <f>C934*(310+8+60)</f>
        <v>218.04927732000002</v>
      </c>
      <c r="AA934">
        <f t="shared" si="377"/>
        <v>1165236.8788000001</v>
      </c>
      <c r="AB934">
        <f t="shared" si="378"/>
        <v>946033.90160000022</v>
      </c>
      <c r="AC934">
        <f t="shared" si="379"/>
        <v>784515.91839999997</v>
      </c>
      <c r="AD934">
        <f t="shared" si="380"/>
        <v>703756.92680000002</v>
      </c>
      <c r="AE934">
        <f t="shared" si="381"/>
        <v>565312.9412</v>
      </c>
    </row>
    <row r="935" spans="1:31" x14ac:dyDescent="0.25">
      <c r="A935">
        <v>45.942740350000001</v>
      </c>
      <c r="B935">
        <v>124.6658709</v>
      </c>
      <c r="C935">
        <v>1.10745227</v>
      </c>
      <c r="D935">
        <v>104.183548</v>
      </c>
      <c r="E935" t="b">
        <f t="shared" si="359"/>
        <v>1</v>
      </c>
      <c r="F935">
        <f t="shared" si="360"/>
        <v>98.646286650000008</v>
      </c>
      <c r="G935">
        <f t="shared" si="361"/>
        <v>93.109025299999999</v>
      </c>
      <c r="H935">
        <f t="shared" si="362"/>
        <v>87.571763950000005</v>
      </c>
      <c r="I935">
        <f t="shared" si="363"/>
        <v>82.034502599999996</v>
      </c>
      <c r="J935">
        <f t="shared" si="364"/>
        <v>76.497241250000002</v>
      </c>
      <c r="L935">
        <f t="shared" si="365"/>
        <v>2126308.3584000003</v>
      </c>
      <c r="M935">
        <f t="shared" si="366"/>
        <v>1794072.6774000002</v>
      </c>
      <c r="N935">
        <f t="shared" si="367"/>
        <v>1528284.1325999999</v>
      </c>
      <c r="O935">
        <f t="shared" si="368"/>
        <v>1129601.3154</v>
      </c>
      <c r="P935">
        <f t="shared" si="369"/>
        <v>1018856.0883999999</v>
      </c>
      <c r="Q935">
        <f t="shared" si="370"/>
        <v>841663.72519999999</v>
      </c>
      <c r="S935">
        <f t="shared" si="371"/>
        <v>2325649.767</v>
      </c>
      <c r="T935">
        <f t="shared" si="372"/>
        <v>2015563.1314000001</v>
      </c>
      <c r="U935">
        <f t="shared" si="373"/>
        <v>1672252.9277000001</v>
      </c>
      <c r="V935">
        <f t="shared" si="374"/>
        <v>1184973.9288999999</v>
      </c>
      <c r="W935">
        <f t="shared" si="375"/>
        <v>1184973.9288999999</v>
      </c>
      <c r="X935">
        <f t="shared" si="376"/>
        <v>963483.47490000003</v>
      </c>
      <c r="Z935">
        <f t="shared" ref="Z935:Z940" si="387">C935*(310+8+60)</f>
        <v>418.61695806</v>
      </c>
      <c r="AA935">
        <f t="shared" si="377"/>
        <v>2237053.5854000002</v>
      </c>
      <c r="AB935">
        <f t="shared" si="378"/>
        <v>1816221.7228000001</v>
      </c>
      <c r="AC935">
        <f t="shared" si="379"/>
        <v>1506135.0872</v>
      </c>
      <c r="AD935">
        <f t="shared" si="380"/>
        <v>1351091.7694000001</v>
      </c>
      <c r="AE935">
        <f t="shared" si="381"/>
        <v>1085303.2246000001</v>
      </c>
    </row>
    <row r="936" spans="1:31" x14ac:dyDescent="0.25">
      <c r="A936">
        <v>45.969611800000003</v>
      </c>
      <c r="B936">
        <v>125.4655302</v>
      </c>
      <c r="C936">
        <v>2.93583441</v>
      </c>
      <c r="D936">
        <v>17.71791267</v>
      </c>
      <c r="E936" t="b">
        <f t="shared" si="359"/>
        <v>1</v>
      </c>
      <c r="F936">
        <f t="shared" si="360"/>
        <v>3.0387406200000004</v>
      </c>
      <c r="G936">
        <f t="shared" si="361"/>
        <v>-11.64043143</v>
      </c>
      <c r="H936">
        <f t="shared" si="362"/>
        <v>-26.319603480000001</v>
      </c>
      <c r="I936">
        <f t="shared" si="363"/>
        <v>-40.998775530000003</v>
      </c>
      <c r="J936">
        <f t="shared" si="364"/>
        <v>-55.677947579999994</v>
      </c>
      <c r="L936">
        <f t="shared" si="365"/>
        <v>5636802.0672000004</v>
      </c>
      <c r="M936">
        <f t="shared" si="366"/>
        <v>4756051.7442000005</v>
      </c>
      <c r="N936">
        <f t="shared" si="367"/>
        <v>-16063795.373399999</v>
      </c>
      <c r="O936">
        <f t="shared" si="368"/>
        <v>-26845995.549600001</v>
      </c>
      <c r="P936">
        <f t="shared" si="369"/>
        <v>-37718873.487599999</v>
      </c>
      <c r="Q936">
        <f t="shared" si="370"/>
        <v>-42315240.160799995</v>
      </c>
      <c r="S936">
        <f t="shared" si="371"/>
        <v>6165252.2610000009</v>
      </c>
      <c r="T936">
        <f t="shared" si="372"/>
        <v>5343218.6262000008</v>
      </c>
      <c r="U936">
        <f t="shared" si="373"/>
        <v>-17577051.4593</v>
      </c>
      <c r="V936">
        <f t="shared" si="374"/>
        <v>-28161975.723599996</v>
      </c>
      <c r="W936">
        <f t="shared" si="375"/>
        <v>-43868689.817099996</v>
      </c>
      <c r="X936">
        <f t="shared" si="376"/>
        <v>-48439814.394599989</v>
      </c>
      <c r="Z936">
        <f t="shared" si="387"/>
        <v>1109.7454069800001</v>
      </c>
      <c r="AA936">
        <f t="shared" si="377"/>
        <v>5930385.5082</v>
      </c>
      <c r="AB936">
        <f t="shared" si="378"/>
        <v>-19090307.545200001</v>
      </c>
      <c r="AC936">
        <f t="shared" si="379"/>
        <v>-35794660.732799999</v>
      </c>
      <c r="AD936">
        <f t="shared" si="380"/>
        <v>-50018506.146600001</v>
      </c>
      <c r="AE936">
        <f t="shared" si="381"/>
        <v>-54564388.62839999</v>
      </c>
    </row>
    <row r="937" spans="1:31" x14ac:dyDescent="0.25">
      <c r="A937">
        <v>45.978886510000002</v>
      </c>
      <c r="B937">
        <v>125.0719521</v>
      </c>
      <c r="C937">
        <v>1.9456416400000001</v>
      </c>
      <c r="D937">
        <v>32.767604830000003</v>
      </c>
      <c r="E937" t="b">
        <f t="shared" si="359"/>
        <v>1</v>
      </c>
      <c r="F937">
        <f t="shared" si="360"/>
        <v>23.039396630000002</v>
      </c>
      <c r="G937">
        <f t="shared" si="361"/>
        <v>13.311188430000001</v>
      </c>
      <c r="H937">
        <f t="shared" si="362"/>
        <v>3.582980230000004</v>
      </c>
      <c r="I937">
        <f t="shared" si="363"/>
        <v>-6.1452279700000005</v>
      </c>
      <c r="J937">
        <f t="shared" si="364"/>
        <v>-15.873436169999998</v>
      </c>
      <c r="L937">
        <f t="shared" si="365"/>
        <v>3735631.9488000004</v>
      </c>
      <c r="M937">
        <f t="shared" si="366"/>
        <v>3151939.4568000003</v>
      </c>
      <c r="N937">
        <f t="shared" si="367"/>
        <v>2684985.4632000001</v>
      </c>
      <c r="O937">
        <f t="shared" si="368"/>
        <v>1984554.4728000001</v>
      </c>
      <c r="P937">
        <f t="shared" si="369"/>
        <v>-5653609.7324000001</v>
      </c>
      <c r="Q937">
        <f t="shared" si="370"/>
        <v>-12063811.489199998</v>
      </c>
      <c r="S937">
        <f t="shared" si="371"/>
        <v>4085847.4440000006</v>
      </c>
      <c r="T937">
        <f t="shared" si="372"/>
        <v>3541067.7848000005</v>
      </c>
      <c r="U937">
        <f t="shared" si="373"/>
        <v>2937918.8764000004</v>
      </c>
      <c r="V937">
        <f t="shared" si="374"/>
        <v>2081836.5547999998</v>
      </c>
      <c r="W937">
        <f t="shared" si="375"/>
        <v>-6575393.9278999995</v>
      </c>
      <c r="X937">
        <f t="shared" si="376"/>
        <v>-13809889.467899999</v>
      </c>
      <c r="Z937">
        <f t="shared" si="387"/>
        <v>735.45253992000005</v>
      </c>
      <c r="AA937">
        <f t="shared" si="377"/>
        <v>3930196.1128000002</v>
      </c>
      <c r="AB937">
        <f t="shared" si="378"/>
        <v>3190852.2896000003</v>
      </c>
      <c r="AC937">
        <f t="shared" si="379"/>
        <v>2646072.6304000001</v>
      </c>
      <c r="AD937">
        <f t="shared" si="380"/>
        <v>-7497178.1234000009</v>
      </c>
      <c r="AE937">
        <f t="shared" si="381"/>
        <v>-15555967.446599998</v>
      </c>
    </row>
    <row r="938" spans="1:31" x14ac:dyDescent="0.25">
      <c r="A938">
        <v>45.985604260000002</v>
      </c>
      <c r="B938">
        <v>124.3481053</v>
      </c>
      <c r="C938">
        <v>4.5470686000000002</v>
      </c>
      <c r="D938">
        <v>20.09030533</v>
      </c>
      <c r="E938" t="b">
        <f t="shared" si="359"/>
        <v>1</v>
      </c>
      <c r="F938">
        <f t="shared" si="360"/>
        <v>-2.6450376700000007</v>
      </c>
      <c r="G938">
        <f t="shared" si="361"/>
        <v>-25.380380670000001</v>
      </c>
      <c r="H938">
        <f t="shared" si="362"/>
        <v>-48.115723670000001</v>
      </c>
      <c r="I938">
        <f t="shared" si="363"/>
        <v>-70.851066669999994</v>
      </c>
      <c r="J938">
        <f t="shared" si="364"/>
        <v>-93.586409669999995</v>
      </c>
      <c r="L938">
        <f t="shared" si="365"/>
        <v>8730371.7120000012</v>
      </c>
      <c r="M938">
        <f t="shared" si="366"/>
        <v>-4284961.0254000016</v>
      </c>
      <c r="N938">
        <f t="shared" si="367"/>
        <v>-35024925.324599996</v>
      </c>
      <c r="O938">
        <f t="shared" si="368"/>
        <v>-49078038.143400006</v>
      </c>
      <c r="P938">
        <f t="shared" si="369"/>
        <v>-65182981.336399995</v>
      </c>
      <c r="Q938">
        <f t="shared" si="370"/>
        <v>-71125671.349199995</v>
      </c>
      <c r="S938">
        <f t="shared" si="371"/>
        <v>9548844.0600000024</v>
      </c>
      <c r="T938">
        <f t="shared" si="372"/>
        <v>-4813968.5594000015</v>
      </c>
      <c r="U938">
        <f t="shared" si="373"/>
        <v>-38324374.811700001</v>
      </c>
      <c r="V938">
        <f t="shared" si="374"/>
        <v>-51483824.326899998</v>
      </c>
      <c r="W938">
        <f t="shared" si="375"/>
        <v>-75810641.336899996</v>
      </c>
      <c r="X938">
        <f t="shared" si="376"/>
        <v>-81420176.412900001</v>
      </c>
      <c r="Z938">
        <f t="shared" si="387"/>
        <v>1718.7919308</v>
      </c>
      <c r="AA938">
        <f t="shared" si="377"/>
        <v>-5342976.0934000015</v>
      </c>
      <c r="AB938">
        <f t="shared" si="378"/>
        <v>-41623824.298800007</v>
      </c>
      <c r="AC938">
        <f t="shared" si="379"/>
        <v>-65437384.191199996</v>
      </c>
      <c r="AD938">
        <f t="shared" si="380"/>
        <v>-86438301.337400004</v>
      </c>
      <c r="AE938">
        <f t="shared" si="381"/>
        <v>-91714681.476600006</v>
      </c>
    </row>
    <row r="939" spans="1:31" x14ac:dyDescent="0.25">
      <c r="A939">
        <v>45.996512510000002</v>
      </c>
      <c r="B939">
        <v>125.27515390000001</v>
      </c>
      <c r="C939">
        <v>2.93583441</v>
      </c>
      <c r="D939">
        <v>10.17576504</v>
      </c>
      <c r="E939" t="b">
        <f t="shared" si="359"/>
        <v>1</v>
      </c>
      <c r="F939">
        <f t="shared" si="360"/>
        <v>-4.5034070100000001</v>
      </c>
      <c r="G939">
        <f t="shared" si="361"/>
        <v>-19.182579060000002</v>
      </c>
      <c r="H939">
        <f t="shared" si="362"/>
        <v>-33.86175111</v>
      </c>
      <c r="I939">
        <f t="shared" si="363"/>
        <v>-48.540923159999998</v>
      </c>
      <c r="J939">
        <f t="shared" si="364"/>
        <v>-63.220095209999997</v>
      </c>
      <c r="L939">
        <f t="shared" si="365"/>
        <v>5636802.0672000004</v>
      </c>
      <c r="M939">
        <f t="shared" si="366"/>
        <v>-7295519.3562000003</v>
      </c>
      <c r="N939">
        <f t="shared" si="367"/>
        <v>-26471959.1028</v>
      </c>
      <c r="O939">
        <f t="shared" si="368"/>
        <v>-34538986.132200003</v>
      </c>
      <c r="P939">
        <f t="shared" si="369"/>
        <v>-44657649.307199992</v>
      </c>
      <c r="Q939">
        <f t="shared" si="370"/>
        <v>-48047272.359599993</v>
      </c>
      <c r="S939">
        <f t="shared" si="371"/>
        <v>6165252.2610000009</v>
      </c>
      <c r="T939">
        <f t="shared" si="372"/>
        <v>-8196200.7582</v>
      </c>
      <c r="U939">
        <f t="shared" si="373"/>
        <v>-28965694.380600005</v>
      </c>
      <c r="V939">
        <f t="shared" si="374"/>
        <v>-36232073.687699996</v>
      </c>
      <c r="W939">
        <f t="shared" si="375"/>
        <v>-51938787.781199992</v>
      </c>
      <c r="X939">
        <f t="shared" si="376"/>
        <v>-55001482.832699992</v>
      </c>
      <c r="Z939">
        <f t="shared" si="387"/>
        <v>1109.7454069800001</v>
      </c>
      <c r="AA939">
        <f t="shared" si="377"/>
        <v>-9096882.1601999998</v>
      </c>
      <c r="AB939">
        <f t="shared" si="378"/>
        <v>-31459429.658400007</v>
      </c>
      <c r="AC939">
        <f t="shared" si="379"/>
        <v>-46051981.509599999</v>
      </c>
      <c r="AD939">
        <f t="shared" si="380"/>
        <v>-59219926.255199991</v>
      </c>
      <c r="AE939">
        <f t="shared" si="381"/>
        <v>-61955693.305799991</v>
      </c>
    </row>
    <row r="940" spans="1:31" x14ac:dyDescent="0.25">
      <c r="A940">
        <v>46.073958040000001</v>
      </c>
      <c r="B940">
        <v>85.665393989999998</v>
      </c>
      <c r="C940">
        <v>0.57684994000000001</v>
      </c>
      <c r="D940">
        <v>14.413458820000001</v>
      </c>
      <c r="E940" t="b">
        <f t="shared" si="359"/>
        <v>1</v>
      </c>
      <c r="F940">
        <f t="shared" si="360"/>
        <v>11.529209120000001</v>
      </c>
      <c r="G940">
        <f t="shared" si="361"/>
        <v>8.6449594200000011</v>
      </c>
      <c r="H940">
        <f t="shared" si="362"/>
        <v>5.7607097200000013</v>
      </c>
      <c r="I940">
        <f t="shared" si="363"/>
        <v>2.8764600200000014</v>
      </c>
      <c r="J940">
        <f t="shared" si="364"/>
        <v>-7.7896800000001321E-3</v>
      </c>
      <c r="L940">
        <f t="shared" si="365"/>
        <v>1107551.8848000001</v>
      </c>
      <c r="M940">
        <f t="shared" si="366"/>
        <v>934496.90280000016</v>
      </c>
      <c r="N940">
        <f t="shared" si="367"/>
        <v>796052.91720000003</v>
      </c>
      <c r="O940">
        <f t="shared" si="368"/>
        <v>588386.93880000012</v>
      </c>
      <c r="P940">
        <f t="shared" si="369"/>
        <v>530701.94480000006</v>
      </c>
      <c r="Q940">
        <f t="shared" si="370"/>
        <v>-5920.1568000001007</v>
      </c>
      <c r="S940">
        <f t="shared" si="371"/>
        <v>1211384.8740000001</v>
      </c>
      <c r="T940">
        <f t="shared" si="372"/>
        <v>1049866.8908000002</v>
      </c>
      <c r="U940">
        <f t="shared" si="373"/>
        <v>871043.40940000012</v>
      </c>
      <c r="V940">
        <f t="shared" si="374"/>
        <v>617229.43579999998</v>
      </c>
      <c r="W940">
        <f t="shared" si="375"/>
        <v>617229.43579999998</v>
      </c>
      <c r="X940">
        <f t="shared" si="376"/>
        <v>-6777.0216000001146</v>
      </c>
      <c r="Z940">
        <f t="shared" si="387"/>
        <v>218.04927732000002</v>
      </c>
      <c r="AA940">
        <f t="shared" si="377"/>
        <v>1165236.8788000001</v>
      </c>
      <c r="AB940">
        <f t="shared" si="378"/>
        <v>946033.90160000022</v>
      </c>
      <c r="AC940">
        <f t="shared" si="379"/>
        <v>784515.91839999997</v>
      </c>
      <c r="AD940">
        <f t="shared" si="380"/>
        <v>703756.92680000002</v>
      </c>
      <c r="AE940">
        <f t="shared" si="381"/>
        <v>-7633.8864000001295</v>
      </c>
    </row>
    <row r="941" spans="1:31" x14ac:dyDescent="0.25">
      <c r="A941">
        <v>46.088737729999998</v>
      </c>
      <c r="B941">
        <v>123.9144805</v>
      </c>
      <c r="C941">
        <v>55.767822270000003</v>
      </c>
      <c r="D941">
        <v>6.3751602199999997</v>
      </c>
      <c r="E941" t="b">
        <f t="shared" si="359"/>
        <v>0</v>
      </c>
      <c r="F941">
        <f t="shared" si="360"/>
        <v>-272.46395113</v>
      </c>
      <c r="G941">
        <f t="shared" si="361"/>
        <v>-551.30306247999999</v>
      </c>
      <c r="H941">
        <f t="shared" si="362"/>
        <v>-830.14217383000005</v>
      </c>
      <c r="I941">
        <f t="shared" si="363"/>
        <v>-1108.98128518</v>
      </c>
      <c r="J941">
        <f t="shared" si="364"/>
        <v>-1387.8203965300002</v>
      </c>
      <c r="L941">
        <f t="shared" si="365"/>
        <v>12240307.622400001</v>
      </c>
      <c r="M941">
        <f t="shared" si="366"/>
        <v>-441391600.83060002</v>
      </c>
      <c r="N941">
        <f t="shared" si="367"/>
        <v>-760798226.22239995</v>
      </c>
      <c r="O941">
        <f t="shared" si="368"/>
        <v>-846745017.30660009</v>
      </c>
      <c r="P941">
        <f t="shared" si="369"/>
        <v>-1020262782.3656</v>
      </c>
      <c r="Q941">
        <f t="shared" si="370"/>
        <v>-1054743501.3628001</v>
      </c>
      <c r="S941">
        <f t="shared" si="371"/>
        <v>13387836.461999999</v>
      </c>
      <c r="T941">
        <f t="shared" si="372"/>
        <v>-495884391.05660003</v>
      </c>
      <c r="U941">
        <f t="shared" si="373"/>
        <v>-832467624.3448</v>
      </c>
      <c r="V941">
        <f t="shared" si="374"/>
        <v>-888252125.99809992</v>
      </c>
      <c r="W941">
        <f t="shared" si="375"/>
        <v>-1186609975.1425998</v>
      </c>
      <c r="X941">
        <f t="shared" si="376"/>
        <v>-1207403744.9811001</v>
      </c>
      <c r="Z941">
        <f>D941*(310+0.8+60)</f>
        <v>2363.9094095760001</v>
      </c>
      <c r="AA941">
        <f t="shared" si="377"/>
        <v>-550377181.28260005</v>
      </c>
      <c r="AB941">
        <f t="shared" si="378"/>
        <v>-904137022.46720004</v>
      </c>
      <c r="AC941">
        <f t="shared" si="379"/>
        <v>-1128993356.4087999</v>
      </c>
      <c r="AD941">
        <f t="shared" si="380"/>
        <v>-1352957167.9196</v>
      </c>
      <c r="AE941">
        <f t="shared" si="381"/>
        <v>-1360063988.5994003</v>
      </c>
    </row>
    <row r="942" spans="1:31" x14ac:dyDescent="0.25">
      <c r="A942">
        <v>46.093234449999997</v>
      </c>
      <c r="B942">
        <v>125.5679181</v>
      </c>
      <c r="C942">
        <v>2.93583441</v>
      </c>
      <c r="D942">
        <v>0.44828200000000001</v>
      </c>
      <c r="E942" t="b">
        <f t="shared" si="359"/>
        <v>0</v>
      </c>
      <c r="F942">
        <f t="shared" si="360"/>
        <v>-14.230890049999999</v>
      </c>
      <c r="G942">
        <f t="shared" si="361"/>
        <v>-28.910062100000001</v>
      </c>
      <c r="H942">
        <f t="shared" si="362"/>
        <v>-43.589234150000003</v>
      </c>
      <c r="I942">
        <f t="shared" si="363"/>
        <v>-58.268406200000001</v>
      </c>
      <c r="J942">
        <f t="shared" si="364"/>
        <v>-72.947578249999992</v>
      </c>
      <c r="L942">
        <f t="shared" si="365"/>
        <v>860701.44000000006</v>
      </c>
      <c r="M942">
        <f t="shared" si="366"/>
        <v>-23054041.881000001</v>
      </c>
      <c r="N942">
        <f t="shared" si="367"/>
        <v>-39895885.697999999</v>
      </c>
      <c r="O942">
        <f t="shared" si="368"/>
        <v>-44461018.833000004</v>
      </c>
      <c r="P942">
        <f t="shared" si="369"/>
        <v>-53606933.703999996</v>
      </c>
      <c r="Q942">
        <f t="shared" si="370"/>
        <v>-55440159.469999991</v>
      </c>
      <c r="S942">
        <f t="shared" si="371"/>
        <v>941392.20000000007</v>
      </c>
      <c r="T942">
        <f t="shared" si="372"/>
        <v>-25900219.890999999</v>
      </c>
      <c r="U942">
        <f t="shared" si="373"/>
        <v>-43654193.771000005</v>
      </c>
      <c r="V942">
        <f t="shared" si="374"/>
        <v>-46640480.5405</v>
      </c>
      <c r="W942">
        <f t="shared" si="375"/>
        <v>-62347194.633999996</v>
      </c>
      <c r="X942">
        <f t="shared" si="376"/>
        <v>-63464393.077499986</v>
      </c>
      <c r="Z942">
        <f t="shared" ref="Z942:Z944" si="388">D942*(310+0.8+60)</f>
        <v>166.22296560000001</v>
      </c>
      <c r="AA942">
        <f t="shared" si="377"/>
        <v>-28746397.900999997</v>
      </c>
      <c r="AB942">
        <f t="shared" si="378"/>
        <v>-47412501.844000004</v>
      </c>
      <c r="AC942">
        <f t="shared" si="379"/>
        <v>-59281358.444000006</v>
      </c>
      <c r="AD942">
        <f t="shared" si="380"/>
        <v>-71087455.563999996</v>
      </c>
      <c r="AE942">
        <f t="shared" si="381"/>
        <v>-71488626.684999987</v>
      </c>
    </row>
    <row r="943" spans="1:31" x14ac:dyDescent="0.25">
      <c r="A943">
        <v>46.09702102</v>
      </c>
      <c r="B943">
        <v>123.850728</v>
      </c>
      <c r="C943">
        <v>55.767822270000003</v>
      </c>
      <c r="D943">
        <v>1.5969489800000001</v>
      </c>
      <c r="E943" t="b">
        <f t="shared" si="359"/>
        <v>0</v>
      </c>
      <c r="F943">
        <f t="shared" si="360"/>
        <v>-277.24216237000002</v>
      </c>
      <c r="G943">
        <f t="shared" si="361"/>
        <v>-556.08127372000001</v>
      </c>
      <c r="H943">
        <f t="shared" si="362"/>
        <v>-834.92038507000007</v>
      </c>
      <c r="I943">
        <f t="shared" si="363"/>
        <v>-1113.75949642</v>
      </c>
      <c r="J943">
        <f t="shared" si="364"/>
        <v>-1392.5986077700002</v>
      </c>
      <c r="L943">
        <f t="shared" si="365"/>
        <v>3066142.0416000001</v>
      </c>
      <c r="M943">
        <f t="shared" si="366"/>
        <v>-449132303.03940004</v>
      </c>
      <c r="N943">
        <f t="shared" si="367"/>
        <v>-767392157.73360002</v>
      </c>
      <c r="O943">
        <f t="shared" si="368"/>
        <v>-851618792.77140009</v>
      </c>
      <c r="P943">
        <f t="shared" si="369"/>
        <v>-1024658736.7064</v>
      </c>
      <c r="Q943">
        <f t="shared" si="370"/>
        <v>-1058374941.9052001</v>
      </c>
      <c r="S943">
        <f t="shared" si="371"/>
        <v>3353592.858</v>
      </c>
      <c r="T943">
        <f t="shared" si="372"/>
        <v>-504580735.51340002</v>
      </c>
      <c r="U943">
        <f t="shared" si="373"/>
        <v>-839682723.31720006</v>
      </c>
      <c r="V943">
        <f t="shared" si="374"/>
        <v>-893364812.02489996</v>
      </c>
      <c r="W943">
        <f t="shared" si="375"/>
        <v>-1191722661.1694</v>
      </c>
      <c r="X943">
        <f t="shared" si="376"/>
        <v>-1211560788.7599001</v>
      </c>
      <c r="Z943">
        <f t="shared" si="388"/>
        <v>592.14868178400002</v>
      </c>
      <c r="AA943">
        <f t="shared" si="377"/>
        <v>-560029167.98740005</v>
      </c>
      <c r="AB943">
        <f t="shared" si="378"/>
        <v>-911973288.90080011</v>
      </c>
      <c r="AC943">
        <f t="shared" si="379"/>
        <v>-1135491723.6952</v>
      </c>
      <c r="AD943">
        <f t="shared" si="380"/>
        <v>-1358786585.6324</v>
      </c>
      <c r="AE943">
        <f t="shared" si="381"/>
        <v>-1364746635.6146002</v>
      </c>
    </row>
    <row r="944" spans="1:31" x14ac:dyDescent="0.25">
      <c r="A944">
        <v>46.101478749999998</v>
      </c>
      <c r="B944">
        <v>124.51215139999999</v>
      </c>
      <c r="C944">
        <v>1.10745227</v>
      </c>
      <c r="D944">
        <v>0.93863600000000003</v>
      </c>
      <c r="E944" t="b">
        <f t="shared" si="359"/>
        <v>0</v>
      </c>
      <c r="F944">
        <f t="shared" si="360"/>
        <v>-4.5986253499999998</v>
      </c>
      <c r="G944">
        <f t="shared" si="361"/>
        <v>-10.135886699999999</v>
      </c>
      <c r="H944">
        <f t="shared" si="362"/>
        <v>-15.67314805</v>
      </c>
      <c r="I944">
        <f t="shared" si="363"/>
        <v>-21.2104094</v>
      </c>
      <c r="J944">
        <f t="shared" si="364"/>
        <v>-26.747670750000001</v>
      </c>
      <c r="L944">
        <f t="shared" si="365"/>
        <v>1802181.12</v>
      </c>
      <c r="M944">
        <f t="shared" si="366"/>
        <v>-7449773.0669999998</v>
      </c>
      <c r="N944">
        <f t="shared" si="367"/>
        <v>-13987523.645999998</v>
      </c>
      <c r="O944">
        <f t="shared" si="368"/>
        <v>-15986611.011000002</v>
      </c>
      <c r="P944">
        <f t="shared" si="369"/>
        <v>-19513576.647999998</v>
      </c>
      <c r="Q944">
        <f t="shared" si="370"/>
        <v>-20328229.77</v>
      </c>
      <c r="S944">
        <f t="shared" si="371"/>
        <v>1971135.6</v>
      </c>
      <c r="T944">
        <f t="shared" si="372"/>
        <v>-8369498.1369999992</v>
      </c>
      <c r="U944">
        <f t="shared" si="373"/>
        <v>-15305188.916999999</v>
      </c>
      <c r="V944">
        <f t="shared" si="374"/>
        <v>-16770268.413499998</v>
      </c>
      <c r="W944">
        <f t="shared" si="375"/>
        <v>-22695138.057999995</v>
      </c>
      <c r="X944">
        <f t="shared" si="376"/>
        <v>-23270473.552499998</v>
      </c>
      <c r="Z944">
        <f t="shared" si="388"/>
        <v>348.04622879999999</v>
      </c>
      <c r="AA944">
        <f t="shared" si="377"/>
        <v>-9289223.2069999985</v>
      </c>
      <c r="AB944">
        <f t="shared" si="378"/>
        <v>-16622854.187999999</v>
      </c>
      <c r="AC944">
        <f t="shared" si="379"/>
        <v>-21315481.347999997</v>
      </c>
      <c r="AD944">
        <f t="shared" si="380"/>
        <v>-25876699.467999998</v>
      </c>
      <c r="AE944">
        <f t="shared" si="381"/>
        <v>-26212717.335000001</v>
      </c>
    </row>
    <row r="945" spans="1:31" x14ac:dyDescent="0.25">
      <c r="A945">
        <v>46.111236929999997</v>
      </c>
      <c r="B945">
        <v>124.7792395</v>
      </c>
      <c r="C945">
        <v>1.10745227</v>
      </c>
      <c r="D945">
        <v>29.126134870000001</v>
      </c>
      <c r="E945" t="b">
        <f t="shared" si="359"/>
        <v>1</v>
      </c>
      <c r="F945">
        <f t="shared" si="360"/>
        <v>23.58887352</v>
      </c>
      <c r="G945">
        <f t="shared" si="361"/>
        <v>18.051612170000002</v>
      </c>
      <c r="H945">
        <f t="shared" si="362"/>
        <v>12.514350820000001</v>
      </c>
      <c r="I945">
        <f t="shared" si="363"/>
        <v>6.9770894700000028</v>
      </c>
      <c r="J945">
        <f t="shared" si="364"/>
        <v>1.4398281200000014</v>
      </c>
      <c r="L945">
        <f t="shared" si="365"/>
        <v>2126308.3584000003</v>
      </c>
      <c r="M945">
        <f t="shared" si="366"/>
        <v>1794072.6774000002</v>
      </c>
      <c r="N945">
        <f t="shared" si="367"/>
        <v>1528284.1325999999</v>
      </c>
      <c r="O945">
        <f t="shared" si="368"/>
        <v>1129601.3154</v>
      </c>
      <c r="P945">
        <f t="shared" si="369"/>
        <v>1018856.0883999999</v>
      </c>
      <c r="Q945">
        <f t="shared" si="370"/>
        <v>841663.72519999999</v>
      </c>
      <c r="S945">
        <f t="shared" si="371"/>
        <v>2325649.767</v>
      </c>
      <c r="T945">
        <f t="shared" si="372"/>
        <v>2015563.1314000001</v>
      </c>
      <c r="U945">
        <f t="shared" si="373"/>
        <v>1672252.9277000001</v>
      </c>
      <c r="V945">
        <f t="shared" si="374"/>
        <v>1184973.9288999999</v>
      </c>
      <c r="W945">
        <f t="shared" si="375"/>
        <v>1184973.9288999999</v>
      </c>
      <c r="X945">
        <f t="shared" si="376"/>
        <v>963483.47490000003</v>
      </c>
      <c r="Z945">
        <f>C945*(310+0.8+60)</f>
        <v>410.643301716</v>
      </c>
      <c r="AA945">
        <f t="shared" si="377"/>
        <v>2237053.5854000002</v>
      </c>
      <c r="AB945">
        <f t="shared" si="378"/>
        <v>1816221.7228000001</v>
      </c>
      <c r="AC945">
        <f t="shared" si="379"/>
        <v>1506135.0872</v>
      </c>
      <c r="AD945">
        <f t="shared" si="380"/>
        <v>1351091.7694000001</v>
      </c>
      <c r="AE945">
        <f t="shared" si="381"/>
        <v>1085303.2246000001</v>
      </c>
    </row>
    <row r="946" spans="1:31" x14ac:dyDescent="0.25">
      <c r="A946">
        <v>46.119915229999997</v>
      </c>
      <c r="B946">
        <v>124.71557439999999</v>
      </c>
      <c r="C946">
        <v>1.10745227</v>
      </c>
      <c r="D946">
        <v>15.110604289999999</v>
      </c>
      <c r="E946" t="b">
        <f t="shared" si="359"/>
        <v>1</v>
      </c>
      <c r="F946">
        <f t="shared" si="360"/>
        <v>9.5733429399999999</v>
      </c>
      <c r="G946">
        <f t="shared" si="361"/>
        <v>4.0360815900000002</v>
      </c>
      <c r="H946">
        <f t="shared" si="362"/>
        <v>-1.5011797600000012</v>
      </c>
      <c r="I946">
        <f t="shared" si="363"/>
        <v>-7.0384411099999991</v>
      </c>
      <c r="J946">
        <f t="shared" si="364"/>
        <v>-12.57570246</v>
      </c>
      <c r="L946">
        <f t="shared" si="365"/>
        <v>2126308.3584000003</v>
      </c>
      <c r="M946">
        <f t="shared" si="366"/>
        <v>1794072.6774000002</v>
      </c>
      <c r="N946">
        <f t="shared" si="367"/>
        <v>1528284.1325999999</v>
      </c>
      <c r="O946">
        <f t="shared" si="368"/>
        <v>-1531203.3552000013</v>
      </c>
      <c r="P946">
        <f t="shared" si="369"/>
        <v>-6475365.8211999992</v>
      </c>
      <c r="Q946">
        <f t="shared" si="370"/>
        <v>-9557533.8696000017</v>
      </c>
      <c r="S946">
        <f t="shared" si="371"/>
        <v>2325649.767</v>
      </c>
      <c r="T946">
        <f t="shared" si="372"/>
        <v>2015563.1314000001</v>
      </c>
      <c r="U946">
        <f t="shared" si="373"/>
        <v>1672252.9277000001</v>
      </c>
      <c r="V946">
        <f t="shared" si="374"/>
        <v>-1606262.3432000009</v>
      </c>
      <c r="W946">
        <f t="shared" si="375"/>
        <v>-7531131.9876999985</v>
      </c>
      <c r="X946">
        <f t="shared" si="376"/>
        <v>-10940861.1402</v>
      </c>
      <c r="Z946">
        <f>C946*(310+0.8+60)</f>
        <v>410.643301716</v>
      </c>
      <c r="AA946">
        <f t="shared" si="377"/>
        <v>2237053.5854000002</v>
      </c>
      <c r="AB946">
        <f t="shared" si="378"/>
        <v>1816221.7228000001</v>
      </c>
      <c r="AC946">
        <f t="shared" si="379"/>
        <v>-2041604.4736000013</v>
      </c>
      <c r="AD946">
        <f t="shared" si="380"/>
        <v>-8586898.1541999988</v>
      </c>
      <c r="AE946">
        <f t="shared" si="381"/>
        <v>-12324188.410800001</v>
      </c>
    </row>
    <row r="947" spans="1:31" x14ac:dyDescent="0.25">
      <c r="A947">
        <v>46.14825467</v>
      </c>
      <c r="B947">
        <v>86.173259569999999</v>
      </c>
      <c r="C947">
        <v>18.492280959999999</v>
      </c>
      <c r="D947">
        <v>5.0437970200000004</v>
      </c>
      <c r="E947" t="b">
        <f t="shared" si="359"/>
        <v>0</v>
      </c>
      <c r="F947">
        <f t="shared" si="360"/>
        <v>-87.417607779999997</v>
      </c>
      <c r="G947">
        <f t="shared" si="361"/>
        <v>-179.87901257999999</v>
      </c>
      <c r="H947">
        <f t="shared" si="362"/>
        <v>-272.34041737999996</v>
      </c>
      <c r="I947">
        <f t="shared" si="363"/>
        <v>-364.80182217999999</v>
      </c>
      <c r="J947">
        <f t="shared" si="364"/>
        <v>-457.26322697999996</v>
      </c>
      <c r="L947">
        <f t="shared" si="365"/>
        <v>9684090.278400002</v>
      </c>
      <c r="M947">
        <f t="shared" si="366"/>
        <v>-141616524.60360003</v>
      </c>
      <c r="N947">
        <f t="shared" si="367"/>
        <v>-248233037.36039996</v>
      </c>
      <c r="O947">
        <f t="shared" si="368"/>
        <v>-277787225.72759992</v>
      </c>
      <c r="P947">
        <f t="shared" si="369"/>
        <v>-335617676.40559995</v>
      </c>
      <c r="Q947">
        <f t="shared" si="370"/>
        <v>-347520052.50479996</v>
      </c>
      <c r="S947">
        <f t="shared" si="371"/>
        <v>10591973.742000001</v>
      </c>
      <c r="T947">
        <f t="shared" si="372"/>
        <v>-159100046.15960002</v>
      </c>
      <c r="U947">
        <f t="shared" si="373"/>
        <v>-271617308.99579996</v>
      </c>
      <c r="V947">
        <f t="shared" si="374"/>
        <v>-291404246.59659988</v>
      </c>
      <c r="W947">
        <f t="shared" si="375"/>
        <v>-390337949.73259997</v>
      </c>
      <c r="X947">
        <f t="shared" si="376"/>
        <v>-397819007.47259998</v>
      </c>
      <c r="Z947">
        <f>D947*(310+0.8+60)</f>
        <v>1870.2399350160001</v>
      </c>
      <c r="AA947">
        <f t="shared" si="377"/>
        <v>-176583567.71560001</v>
      </c>
      <c r="AB947">
        <f t="shared" si="378"/>
        <v>-295001580.63120002</v>
      </c>
      <c r="AC947">
        <f t="shared" si="379"/>
        <v>-370382967.63679987</v>
      </c>
      <c r="AD947">
        <f t="shared" si="380"/>
        <v>-445058223.0596</v>
      </c>
      <c r="AE947">
        <f t="shared" si="381"/>
        <v>-448117962.44039994</v>
      </c>
    </row>
    <row r="948" spans="1:31" x14ac:dyDescent="0.25">
      <c r="A948">
        <v>46.164726729999998</v>
      </c>
      <c r="B948">
        <v>125.0590874</v>
      </c>
      <c r="C948">
        <v>4.2213473300000004</v>
      </c>
      <c r="D948">
        <v>12.268920899999999</v>
      </c>
      <c r="E948" t="b">
        <f t="shared" si="359"/>
        <v>1</v>
      </c>
      <c r="F948">
        <f t="shared" si="360"/>
        <v>-8.8378157500000025</v>
      </c>
      <c r="G948">
        <f t="shared" si="361"/>
        <v>-29.944552400000006</v>
      </c>
      <c r="H948">
        <f t="shared" si="362"/>
        <v>-51.051289050000008</v>
      </c>
      <c r="I948">
        <f t="shared" si="363"/>
        <v>-72.15802570000001</v>
      </c>
      <c r="J948">
        <f t="shared" si="364"/>
        <v>-93.264762350000012</v>
      </c>
      <c r="L948">
        <f t="shared" si="365"/>
        <v>8104986.8736000005</v>
      </c>
      <c r="M948">
        <f t="shared" si="366"/>
        <v>-14317261.515000004</v>
      </c>
      <c r="N948">
        <f t="shared" si="367"/>
        <v>-41323482.312000006</v>
      </c>
      <c r="O948">
        <f t="shared" si="368"/>
        <v>-52072314.831000015</v>
      </c>
      <c r="P948">
        <f t="shared" si="369"/>
        <v>-66385383.644000001</v>
      </c>
      <c r="Q948">
        <f t="shared" si="370"/>
        <v>-70881219.386000007</v>
      </c>
      <c r="S948">
        <f t="shared" si="371"/>
        <v>8864829.3930000011</v>
      </c>
      <c r="T948">
        <f t="shared" si="372"/>
        <v>-16084824.665000005</v>
      </c>
      <c r="U948">
        <f t="shared" si="373"/>
        <v>-45216274.124000013</v>
      </c>
      <c r="V948">
        <f t="shared" si="374"/>
        <v>-54624879.283500008</v>
      </c>
      <c r="W948">
        <f t="shared" si="375"/>
        <v>-77209087.498999998</v>
      </c>
      <c r="X948">
        <f t="shared" si="376"/>
        <v>-81140343.244500011</v>
      </c>
      <c r="Z948">
        <f>C948*(310+0.8+60)</f>
        <v>1565.2755899640001</v>
      </c>
      <c r="AA948">
        <f t="shared" si="377"/>
        <v>-17852387.815000005</v>
      </c>
      <c r="AB948">
        <f t="shared" si="378"/>
        <v>-49109065.936000012</v>
      </c>
      <c r="AC948">
        <f t="shared" si="379"/>
        <v>-69429753.10800001</v>
      </c>
      <c r="AD948">
        <f t="shared" si="380"/>
        <v>-88032791.354000002</v>
      </c>
      <c r="AE948">
        <f t="shared" si="381"/>
        <v>-91399467.103</v>
      </c>
    </row>
    <row r="949" spans="1:31" x14ac:dyDescent="0.25">
      <c r="A949">
        <v>46.17984062</v>
      </c>
      <c r="B949">
        <v>124.2694626</v>
      </c>
      <c r="C949">
        <v>4.5470686000000002</v>
      </c>
      <c r="D949">
        <v>23.28520966</v>
      </c>
      <c r="E949" t="b">
        <f t="shared" si="359"/>
        <v>1</v>
      </c>
      <c r="F949">
        <f t="shared" si="360"/>
        <v>0.54986665999999929</v>
      </c>
      <c r="G949">
        <f t="shared" si="361"/>
        <v>-22.185476340000001</v>
      </c>
      <c r="H949">
        <f t="shared" si="362"/>
        <v>-44.920819340000001</v>
      </c>
      <c r="I949">
        <f t="shared" si="363"/>
        <v>-67.656162340000009</v>
      </c>
      <c r="J949">
        <f t="shared" si="364"/>
        <v>-90.391505340000009</v>
      </c>
      <c r="L949">
        <f t="shared" si="365"/>
        <v>8730371.7120000012</v>
      </c>
      <c r="M949">
        <f t="shared" si="366"/>
        <v>890783.98919999902</v>
      </c>
      <c r="N949">
        <f t="shared" si="367"/>
        <v>-30615957.349199999</v>
      </c>
      <c r="O949">
        <f t="shared" si="368"/>
        <v>-45819235.726800002</v>
      </c>
      <c r="P949">
        <f t="shared" si="369"/>
        <v>-62243669.352799997</v>
      </c>
      <c r="Q949">
        <f t="shared" si="370"/>
        <v>-68697544.058400005</v>
      </c>
      <c r="S949">
        <f t="shared" si="371"/>
        <v>9548844.0600000024</v>
      </c>
      <c r="T949">
        <f t="shared" si="372"/>
        <v>1000757.3211999988</v>
      </c>
      <c r="U949">
        <f t="shared" si="373"/>
        <v>-33500069.273400001</v>
      </c>
      <c r="V949">
        <f t="shared" si="374"/>
        <v>-48065276.693799995</v>
      </c>
      <c r="W949">
        <f t="shared" si="375"/>
        <v>-72392093.703799993</v>
      </c>
      <c r="X949">
        <f t="shared" si="376"/>
        <v>-78640609.645800009</v>
      </c>
      <c r="Z949">
        <f>C949*(310+0.8+60)</f>
        <v>1686.05303688</v>
      </c>
      <c r="AA949">
        <f t="shared" si="377"/>
        <v>1110730.6531999987</v>
      </c>
      <c r="AB949">
        <f t="shared" si="378"/>
        <v>-36384181.1976</v>
      </c>
      <c r="AC949">
        <f t="shared" si="379"/>
        <v>-61092314.3024</v>
      </c>
      <c r="AD949">
        <f t="shared" si="380"/>
        <v>-82540518.054800004</v>
      </c>
      <c r="AE949">
        <f t="shared" si="381"/>
        <v>-88583675.233199999</v>
      </c>
    </row>
    <row r="950" spans="1:31" x14ac:dyDescent="0.25">
      <c r="A950">
        <v>46.18571996</v>
      </c>
      <c r="B950">
        <v>123.8745303</v>
      </c>
      <c r="C950">
        <v>55.767822270000003</v>
      </c>
      <c r="D950">
        <v>0.23644799999999999</v>
      </c>
      <c r="E950" t="b">
        <f t="shared" si="359"/>
        <v>0</v>
      </c>
      <c r="F950">
        <f t="shared" si="360"/>
        <v>-278.60266335</v>
      </c>
      <c r="G950">
        <f t="shared" si="361"/>
        <v>-557.4417747</v>
      </c>
      <c r="H950">
        <f t="shared" si="362"/>
        <v>-836.28088605000005</v>
      </c>
      <c r="I950">
        <f t="shared" si="363"/>
        <v>-1115.1199973999999</v>
      </c>
      <c r="J950">
        <f t="shared" si="364"/>
        <v>-1393.95910875</v>
      </c>
      <c r="L950">
        <f t="shared" si="365"/>
        <v>453980.16000000003</v>
      </c>
      <c r="M950">
        <f t="shared" si="366"/>
        <v>-451336314.62700009</v>
      </c>
      <c r="N950">
        <f t="shared" si="367"/>
        <v>-769269649.08599997</v>
      </c>
      <c r="O950">
        <f t="shared" si="368"/>
        <v>-853006503.77100015</v>
      </c>
      <c r="P950">
        <f t="shared" si="369"/>
        <v>-1025910397.6079998</v>
      </c>
      <c r="Q950">
        <f t="shared" si="370"/>
        <v>-1059408922.65</v>
      </c>
      <c r="S950">
        <f t="shared" si="371"/>
        <v>496540.80000000005</v>
      </c>
      <c r="T950">
        <f t="shared" si="372"/>
        <v>-507056847.29700005</v>
      </c>
      <c r="U950">
        <f t="shared" si="373"/>
        <v>-841737079.79700005</v>
      </c>
      <c r="V950">
        <f t="shared" si="374"/>
        <v>-894820548.07349992</v>
      </c>
      <c r="W950">
        <f t="shared" si="375"/>
        <v>-1193178397.2179997</v>
      </c>
      <c r="X950">
        <f t="shared" si="376"/>
        <v>-1212744424.6125</v>
      </c>
      <c r="Z950">
        <f>D950*(310+0.8+60)</f>
        <v>87.674918399999996</v>
      </c>
      <c r="AA950">
        <f t="shared" si="377"/>
        <v>-562777379.96700001</v>
      </c>
      <c r="AB950">
        <f t="shared" si="378"/>
        <v>-914204510.50800014</v>
      </c>
      <c r="AC950">
        <f t="shared" si="379"/>
        <v>-1137342005.0279999</v>
      </c>
      <c r="AD950">
        <f t="shared" si="380"/>
        <v>-1360446396.8279998</v>
      </c>
      <c r="AE950">
        <f t="shared" si="381"/>
        <v>-1366079926.575</v>
      </c>
    </row>
    <row r="951" spans="1:31" x14ac:dyDescent="0.25">
      <c r="A951">
        <v>46.191257049999997</v>
      </c>
      <c r="B951">
        <v>125.1991776</v>
      </c>
      <c r="C951">
        <v>4.2213473300000004</v>
      </c>
      <c r="D951">
        <v>9.2068357499999998</v>
      </c>
      <c r="E951" t="b">
        <f t="shared" si="359"/>
        <v>1</v>
      </c>
      <c r="F951">
        <f t="shared" si="360"/>
        <v>-11.899900900000002</v>
      </c>
      <c r="G951">
        <f t="shared" si="361"/>
        <v>-33.006637550000008</v>
      </c>
      <c r="H951">
        <f t="shared" si="362"/>
        <v>-54.11337420000001</v>
      </c>
      <c r="I951">
        <f t="shared" si="363"/>
        <v>-75.220110850000012</v>
      </c>
      <c r="J951">
        <f t="shared" si="364"/>
        <v>-96.326847500000014</v>
      </c>
      <c r="L951">
        <f t="shared" si="365"/>
        <v>8104986.8736000005</v>
      </c>
      <c r="M951">
        <f t="shared" si="366"/>
        <v>-19277839.458000004</v>
      </c>
      <c r="N951">
        <f t="shared" si="367"/>
        <v>-45549159.819000006</v>
      </c>
      <c r="O951">
        <f t="shared" si="368"/>
        <v>-55195641.684000015</v>
      </c>
      <c r="P951">
        <f t="shared" si="369"/>
        <v>-69202501.982000008</v>
      </c>
      <c r="Q951">
        <f t="shared" si="370"/>
        <v>-73208404.100000009</v>
      </c>
      <c r="S951">
        <f t="shared" si="371"/>
        <v>8864829.3930000011</v>
      </c>
      <c r="T951">
        <f t="shared" si="372"/>
        <v>-21657819.638000004</v>
      </c>
      <c r="U951">
        <f t="shared" si="373"/>
        <v>-49840022.700500011</v>
      </c>
      <c r="V951">
        <f t="shared" si="374"/>
        <v>-57901310.394000001</v>
      </c>
      <c r="W951">
        <f t="shared" si="375"/>
        <v>-80485518.609499991</v>
      </c>
      <c r="X951">
        <f t="shared" si="376"/>
        <v>-83804357.325000018</v>
      </c>
      <c r="Z951">
        <f>C951*(310+0.8+60)</f>
        <v>1565.2755899640001</v>
      </c>
      <c r="AA951">
        <f t="shared" si="377"/>
        <v>-24037799.818000004</v>
      </c>
      <c r="AB951">
        <f t="shared" si="378"/>
        <v>-54130885.582000017</v>
      </c>
      <c r="AC951">
        <f t="shared" si="379"/>
        <v>-73594188.912</v>
      </c>
      <c r="AD951">
        <f t="shared" si="380"/>
        <v>-91768535.237000003</v>
      </c>
      <c r="AE951">
        <f t="shared" si="381"/>
        <v>-94400310.550000012</v>
      </c>
    </row>
    <row r="952" spans="1:31" x14ac:dyDescent="0.25">
      <c r="A952">
        <v>46.196697460000003</v>
      </c>
      <c r="B952">
        <v>124.141857</v>
      </c>
      <c r="C952">
        <v>55.767822270000003</v>
      </c>
      <c r="D952">
        <v>2.4134340299999999</v>
      </c>
      <c r="E952" t="b">
        <f t="shared" si="359"/>
        <v>0</v>
      </c>
      <c r="F952">
        <f t="shared" si="360"/>
        <v>-276.42567731999998</v>
      </c>
      <c r="G952">
        <f t="shared" si="361"/>
        <v>-555.26478867000003</v>
      </c>
      <c r="H952">
        <f t="shared" si="362"/>
        <v>-834.10390002000008</v>
      </c>
      <c r="I952">
        <f t="shared" si="363"/>
        <v>-1112.94301137</v>
      </c>
      <c r="J952">
        <f t="shared" si="364"/>
        <v>-1391.7821227200002</v>
      </c>
      <c r="L952">
        <f t="shared" si="365"/>
        <v>4633793.3376000002</v>
      </c>
      <c r="M952">
        <f t="shared" si="366"/>
        <v>-447809597.25840002</v>
      </c>
      <c r="N952">
        <f t="shared" si="367"/>
        <v>-766265408.36460006</v>
      </c>
      <c r="O952">
        <f t="shared" si="368"/>
        <v>-850785978.02040017</v>
      </c>
      <c r="P952">
        <f t="shared" si="369"/>
        <v>-1023907570.4604</v>
      </c>
      <c r="Q952">
        <f t="shared" si="370"/>
        <v>-1057754413.2672002</v>
      </c>
      <c r="S952">
        <f t="shared" si="371"/>
        <v>5068211.4629999995</v>
      </c>
      <c r="T952">
        <f t="shared" si="372"/>
        <v>-503094732.72240001</v>
      </c>
      <c r="U952">
        <f t="shared" si="373"/>
        <v>-838449830.89170015</v>
      </c>
      <c r="V952">
        <f t="shared" si="374"/>
        <v>-892491173.02139997</v>
      </c>
      <c r="W952">
        <f t="shared" si="375"/>
        <v>-1190849022.1659</v>
      </c>
      <c r="X952">
        <f t="shared" si="376"/>
        <v>-1210850446.7664003</v>
      </c>
      <c r="Z952">
        <f>D952*(310+0.8+60)</f>
        <v>894.90133832399999</v>
      </c>
      <c r="AA952">
        <f t="shared" si="377"/>
        <v>-558379868.18639994</v>
      </c>
      <c r="AB952">
        <f t="shared" si="378"/>
        <v>-910634253.41880023</v>
      </c>
      <c r="AC952">
        <f t="shared" si="379"/>
        <v>-1134381304.0272</v>
      </c>
      <c r="AD952">
        <f t="shared" si="380"/>
        <v>-1357790473.8714001</v>
      </c>
      <c r="AE952">
        <f t="shared" si="381"/>
        <v>-1363946480.2656002</v>
      </c>
    </row>
    <row r="953" spans="1:31" x14ac:dyDescent="0.25">
      <c r="A953">
        <v>46.204805280000002</v>
      </c>
      <c r="B953">
        <v>116.58852210000001</v>
      </c>
      <c r="C953">
        <v>6.3704409599999998</v>
      </c>
      <c r="D953">
        <v>8.8339090299999992</v>
      </c>
      <c r="E953" t="b">
        <f t="shared" si="359"/>
        <v>1</v>
      </c>
      <c r="F953">
        <f t="shared" si="360"/>
        <v>-23.018295770000002</v>
      </c>
      <c r="G953">
        <f t="shared" si="361"/>
        <v>-54.870500569999997</v>
      </c>
      <c r="H953">
        <f t="shared" si="362"/>
        <v>-86.72270537</v>
      </c>
      <c r="I953">
        <f t="shared" si="363"/>
        <v>-118.57491017</v>
      </c>
      <c r="J953">
        <f t="shared" si="364"/>
        <v>-150.42711496999999</v>
      </c>
      <c r="L953">
        <f t="shared" si="365"/>
        <v>12231246.643200001</v>
      </c>
      <c r="M953">
        <f t="shared" si="366"/>
        <v>-37289639.147400007</v>
      </c>
      <c r="N953">
        <f t="shared" si="367"/>
        <v>-75721290.786599994</v>
      </c>
      <c r="O953">
        <f t="shared" si="368"/>
        <v>-88457159.477400005</v>
      </c>
      <c r="P953">
        <f t="shared" si="369"/>
        <v>-109088917.3564</v>
      </c>
      <c r="Q953">
        <f t="shared" si="370"/>
        <v>-114324607.37720001</v>
      </c>
      <c r="S953">
        <f t="shared" si="371"/>
        <v>13377926.016000001</v>
      </c>
      <c r="T953">
        <f t="shared" si="372"/>
        <v>-41893298.301400006</v>
      </c>
      <c r="U953">
        <f t="shared" si="373"/>
        <v>-82854455.860699996</v>
      </c>
      <c r="V953">
        <f t="shared" si="374"/>
        <v>-92793294.74589999</v>
      </c>
      <c r="W953">
        <f t="shared" si="375"/>
        <v>-126875153.88189998</v>
      </c>
      <c r="X953">
        <f t="shared" si="376"/>
        <v>-130871590.0239</v>
      </c>
      <c r="Z953">
        <f>C953*(310+0.8+60)</f>
        <v>2362.1595079680001</v>
      </c>
      <c r="AA953">
        <f t="shared" si="377"/>
        <v>-46496957.455400005</v>
      </c>
      <c r="AB953">
        <f t="shared" si="378"/>
        <v>-89987620.934800014</v>
      </c>
      <c r="AC953">
        <f t="shared" si="379"/>
        <v>-117942879.30319999</v>
      </c>
      <c r="AD953">
        <f t="shared" si="380"/>
        <v>-144661390.40740001</v>
      </c>
      <c r="AE953">
        <f t="shared" si="381"/>
        <v>-147418572.6706</v>
      </c>
    </row>
    <row r="954" spans="1:31" x14ac:dyDescent="0.25">
      <c r="A954">
        <v>46.221761890000003</v>
      </c>
      <c r="B954">
        <v>123.9503292</v>
      </c>
      <c r="C954">
        <v>55.767822270000003</v>
      </c>
      <c r="D954">
        <v>9.5080999999999999E-2</v>
      </c>
      <c r="E954" t="b">
        <f t="shared" si="359"/>
        <v>0</v>
      </c>
      <c r="F954">
        <f t="shared" si="360"/>
        <v>-278.74403035</v>
      </c>
      <c r="G954">
        <f t="shared" si="361"/>
        <v>-557.58314169999994</v>
      </c>
      <c r="H954">
        <f t="shared" si="362"/>
        <v>-836.42225304999999</v>
      </c>
      <c r="I954">
        <f t="shared" si="363"/>
        <v>-1115.2613644</v>
      </c>
      <c r="J954">
        <f t="shared" si="364"/>
        <v>-1394.1004757500002</v>
      </c>
      <c r="L954">
        <f t="shared" si="365"/>
        <v>182555.52000000002</v>
      </c>
      <c r="M954">
        <f t="shared" si="366"/>
        <v>-451565329.16700006</v>
      </c>
      <c r="N954">
        <f t="shared" si="367"/>
        <v>-769464735.54599988</v>
      </c>
      <c r="O954">
        <f t="shared" si="368"/>
        <v>-853150698.11099994</v>
      </c>
      <c r="P954">
        <f t="shared" si="369"/>
        <v>-1026040455.248</v>
      </c>
      <c r="Q954">
        <f t="shared" si="370"/>
        <v>-1059516361.5700002</v>
      </c>
      <c r="S954">
        <f t="shared" si="371"/>
        <v>199670.1</v>
      </c>
      <c r="T954">
        <f t="shared" si="372"/>
        <v>-507314135.23700005</v>
      </c>
      <c r="U954">
        <f t="shared" si="373"/>
        <v>-841950543.96699989</v>
      </c>
      <c r="V954">
        <f t="shared" si="374"/>
        <v>-894971810.76349986</v>
      </c>
      <c r="W954">
        <f t="shared" si="375"/>
        <v>-1193329659.908</v>
      </c>
      <c r="X954">
        <f t="shared" si="376"/>
        <v>-1212867413.9025002</v>
      </c>
      <c r="Z954">
        <f>D954*(310+0.8+60)</f>
        <v>35.256034800000002</v>
      </c>
      <c r="AA954">
        <f t="shared" si="377"/>
        <v>-563062941.30700004</v>
      </c>
      <c r="AB954">
        <f t="shared" si="378"/>
        <v>-914436352.38800001</v>
      </c>
      <c r="AC954">
        <f t="shared" si="379"/>
        <v>-1137534264.1479998</v>
      </c>
      <c r="AD954">
        <f t="shared" si="380"/>
        <v>-1360618864.5680001</v>
      </c>
      <c r="AE954">
        <f t="shared" si="381"/>
        <v>-1366218466.2350001</v>
      </c>
    </row>
    <row r="955" spans="1:31" x14ac:dyDescent="0.25">
      <c r="A955">
        <v>46.25145019</v>
      </c>
      <c r="B955">
        <v>124.4215501</v>
      </c>
      <c r="C955">
        <v>4.5470686000000002</v>
      </c>
      <c r="D955">
        <v>4.3015918700000002</v>
      </c>
      <c r="E955" t="b">
        <f t="shared" si="359"/>
        <v>0</v>
      </c>
      <c r="F955">
        <f t="shared" si="360"/>
        <v>-18.433751130000001</v>
      </c>
      <c r="G955">
        <f t="shared" si="361"/>
        <v>-41.169094129999998</v>
      </c>
      <c r="H955">
        <f t="shared" si="362"/>
        <v>-63.904437129999998</v>
      </c>
      <c r="I955">
        <f t="shared" si="363"/>
        <v>-86.639780130000005</v>
      </c>
      <c r="J955">
        <f t="shared" si="364"/>
        <v>-109.37512313000001</v>
      </c>
      <c r="L955">
        <f t="shared" si="365"/>
        <v>8259056.3904000008</v>
      </c>
      <c r="M955">
        <f t="shared" si="366"/>
        <v>-29862676.830600005</v>
      </c>
      <c r="N955">
        <f t="shared" si="367"/>
        <v>-56813349.899399988</v>
      </c>
      <c r="O955">
        <f t="shared" si="368"/>
        <v>-65182525.872599997</v>
      </c>
      <c r="P955">
        <f t="shared" si="369"/>
        <v>-79708597.719600007</v>
      </c>
      <c r="Q955">
        <f t="shared" si="370"/>
        <v>-83125093.578800008</v>
      </c>
      <c r="S955">
        <f t="shared" si="371"/>
        <v>9033342.9270000011</v>
      </c>
      <c r="T955">
        <f t="shared" si="372"/>
        <v>-33549427.056600004</v>
      </c>
      <c r="U955">
        <f t="shared" si="373"/>
        <v>-62165332.13629999</v>
      </c>
      <c r="V955">
        <f t="shared" si="374"/>
        <v>-68377747.729099989</v>
      </c>
      <c r="W955">
        <f t="shared" si="375"/>
        <v>-92704564.739099994</v>
      </c>
      <c r="X955">
        <f t="shared" si="376"/>
        <v>-95156357.123100013</v>
      </c>
      <c r="Z955">
        <f>D955*(310+0.8+60)</f>
        <v>1595.0302653960002</v>
      </c>
      <c r="AA955">
        <f t="shared" si="377"/>
        <v>-37236177.282600008</v>
      </c>
      <c r="AB955">
        <f t="shared" si="378"/>
        <v>-67517314.373199999</v>
      </c>
      <c r="AC955">
        <f t="shared" si="379"/>
        <v>-86910034.496799991</v>
      </c>
      <c r="AD955">
        <f t="shared" si="380"/>
        <v>-105700531.75860001</v>
      </c>
      <c r="AE955">
        <f t="shared" si="381"/>
        <v>-107187620.6674</v>
      </c>
    </row>
    <row r="956" spans="1:31" x14ac:dyDescent="0.25">
      <c r="A956">
        <v>46.312730739999999</v>
      </c>
      <c r="B956">
        <v>124.30606280000001</v>
      </c>
      <c r="C956">
        <v>4.5470686000000002</v>
      </c>
      <c r="D956">
        <v>40.58763123</v>
      </c>
      <c r="E956" t="b">
        <f t="shared" si="359"/>
        <v>1</v>
      </c>
      <c r="F956">
        <f t="shared" si="360"/>
        <v>17.852288229999999</v>
      </c>
      <c r="G956">
        <f t="shared" si="361"/>
        <v>-4.8830547700000011</v>
      </c>
      <c r="H956">
        <f t="shared" si="362"/>
        <v>-27.618397770000001</v>
      </c>
      <c r="I956">
        <f t="shared" si="363"/>
        <v>-50.353740770000002</v>
      </c>
      <c r="J956">
        <f t="shared" si="364"/>
        <v>-73.089083770000002</v>
      </c>
      <c r="L956">
        <f t="shared" si="365"/>
        <v>8730371.7120000012</v>
      </c>
      <c r="M956">
        <f t="shared" si="366"/>
        <v>7366251.1320000011</v>
      </c>
      <c r="N956">
        <f t="shared" si="367"/>
        <v>-6738615.5826000012</v>
      </c>
      <c r="O956">
        <f t="shared" si="368"/>
        <v>-28170765.725400001</v>
      </c>
      <c r="P956">
        <f t="shared" si="369"/>
        <v>-46325441.508400001</v>
      </c>
      <c r="Q956">
        <f t="shared" si="370"/>
        <v>-55547703.665199995</v>
      </c>
      <c r="S956">
        <f t="shared" si="371"/>
        <v>9548844.0600000024</v>
      </c>
      <c r="T956">
        <f t="shared" si="372"/>
        <v>8275664.8520000009</v>
      </c>
      <c r="U956">
        <f t="shared" si="373"/>
        <v>-7373412.7027000021</v>
      </c>
      <c r="V956">
        <f t="shared" si="374"/>
        <v>-29551685.613899995</v>
      </c>
      <c r="W956">
        <f t="shared" si="375"/>
        <v>-53878502.623899996</v>
      </c>
      <c r="X956">
        <f t="shared" si="376"/>
        <v>-63587502.879899994</v>
      </c>
      <c r="Z956">
        <f>C956*(310+0.8+60)</f>
        <v>1686.05303688</v>
      </c>
      <c r="AA956">
        <f t="shared" si="377"/>
        <v>9185078.5720000006</v>
      </c>
      <c r="AB956">
        <f t="shared" si="378"/>
        <v>-8008209.822800003</v>
      </c>
      <c r="AC956">
        <f t="shared" si="379"/>
        <v>-37561020.967199996</v>
      </c>
      <c r="AD956">
        <f t="shared" si="380"/>
        <v>-61431563.739399999</v>
      </c>
      <c r="AE956">
        <f t="shared" si="381"/>
        <v>-71627302.094599992</v>
      </c>
    </row>
    <row r="957" spans="1:31" x14ac:dyDescent="0.25">
      <c r="A957">
        <v>46.332507409999998</v>
      </c>
      <c r="B957">
        <v>124.8419394</v>
      </c>
      <c r="C957">
        <v>5.3287997200000001</v>
      </c>
      <c r="D957">
        <v>211.63348389999999</v>
      </c>
      <c r="E957" t="b">
        <f t="shared" si="359"/>
        <v>1</v>
      </c>
      <c r="F957">
        <f t="shared" si="360"/>
        <v>184.98948529999998</v>
      </c>
      <c r="G957">
        <f t="shared" si="361"/>
        <v>158.34548669999998</v>
      </c>
      <c r="H957">
        <f t="shared" si="362"/>
        <v>131.70148810000001</v>
      </c>
      <c r="I957">
        <f t="shared" si="363"/>
        <v>105.05748949999999</v>
      </c>
      <c r="J957">
        <f t="shared" si="364"/>
        <v>78.413490899999971</v>
      </c>
      <c r="L957">
        <f t="shared" si="365"/>
        <v>10231295.462400001</v>
      </c>
      <c r="M957">
        <f t="shared" si="366"/>
        <v>8632655.5463999994</v>
      </c>
      <c r="N957">
        <f t="shared" si="367"/>
        <v>7353743.6135999989</v>
      </c>
      <c r="O957">
        <f t="shared" si="368"/>
        <v>5435375.7143999999</v>
      </c>
      <c r="P957">
        <f t="shared" si="369"/>
        <v>4902495.7423999989</v>
      </c>
      <c r="Q957">
        <f t="shared" si="370"/>
        <v>4049887.7871999997</v>
      </c>
      <c r="S957">
        <f t="shared" si="371"/>
        <v>11190479.412</v>
      </c>
      <c r="T957">
        <f t="shared" si="372"/>
        <v>9698415.4903999995</v>
      </c>
      <c r="U957">
        <f t="shared" si="373"/>
        <v>8046487.5771999992</v>
      </c>
      <c r="V957">
        <f t="shared" si="374"/>
        <v>5701815.7003999986</v>
      </c>
      <c r="W957">
        <f t="shared" si="375"/>
        <v>5701815.7003999986</v>
      </c>
      <c r="X957">
        <f t="shared" si="376"/>
        <v>4636055.7563999994</v>
      </c>
      <c r="Z957">
        <f>C957*(310+0.8+60)</f>
        <v>1975.9189361760002</v>
      </c>
      <c r="AA957">
        <f t="shared" si="377"/>
        <v>10764175.4344</v>
      </c>
      <c r="AB957">
        <f t="shared" si="378"/>
        <v>8739231.5407999996</v>
      </c>
      <c r="AC957">
        <f t="shared" si="379"/>
        <v>7247167.6191999987</v>
      </c>
      <c r="AD957">
        <f t="shared" si="380"/>
        <v>6501135.6583999991</v>
      </c>
      <c r="AE957">
        <f t="shared" si="381"/>
        <v>5222223.7255999995</v>
      </c>
    </row>
    <row r="958" spans="1:31" x14ac:dyDescent="0.25">
      <c r="A958">
        <v>46.396265270000001</v>
      </c>
      <c r="B958">
        <v>117.60257540000001</v>
      </c>
      <c r="C958">
        <v>6.3704409599999998</v>
      </c>
      <c r="D958">
        <v>2.6204099699999999</v>
      </c>
      <c r="E958" t="b">
        <f t="shared" si="359"/>
        <v>0</v>
      </c>
      <c r="F958">
        <f t="shared" si="360"/>
        <v>-29.231794829999998</v>
      </c>
      <c r="G958">
        <f t="shared" si="361"/>
        <v>-61.083999630000001</v>
      </c>
      <c r="H958">
        <f t="shared" si="362"/>
        <v>-92.936204430000004</v>
      </c>
      <c r="I958">
        <f t="shared" si="363"/>
        <v>-124.78840923</v>
      </c>
      <c r="J958">
        <f t="shared" si="364"/>
        <v>-156.64061402999999</v>
      </c>
      <c r="L958">
        <f t="shared" si="365"/>
        <v>5031187.1424000002</v>
      </c>
      <c r="M958">
        <f t="shared" si="366"/>
        <v>-47355507.624600001</v>
      </c>
      <c r="N958">
        <f t="shared" si="367"/>
        <v>-84295919.489399999</v>
      </c>
      <c r="O958">
        <f t="shared" si="368"/>
        <v>-94794928.518600002</v>
      </c>
      <c r="P958">
        <f t="shared" si="369"/>
        <v>-114805336.49159999</v>
      </c>
      <c r="Q958">
        <f t="shared" si="370"/>
        <v>-119046866.6628</v>
      </c>
      <c r="S958">
        <f t="shared" si="371"/>
        <v>5502860.9369999999</v>
      </c>
      <c r="T958">
        <f t="shared" si="372"/>
        <v>-53201866.590599999</v>
      </c>
      <c r="U958">
        <f t="shared" si="373"/>
        <v>-92236839.441300005</v>
      </c>
      <c r="V958">
        <f t="shared" si="374"/>
        <v>-99441738.740099996</v>
      </c>
      <c r="W958">
        <f t="shared" si="375"/>
        <v>-133523597.87609999</v>
      </c>
      <c r="X958">
        <f t="shared" si="376"/>
        <v>-136277334.20609999</v>
      </c>
      <c r="Z958">
        <f>D958*(310+0.8+60)</f>
        <v>971.64801687599993</v>
      </c>
      <c r="AA958">
        <f t="shared" si="377"/>
        <v>-59048225.556599997</v>
      </c>
      <c r="AB958">
        <f t="shared" si="378"/>
        <v>-100177759.39320001</v>
      </c>
      <c r="AC958">
        <f t="shared" si="379"/>
        <v>-126393238.0248</v>
      </c>
      <c r="AD958">
        <f t="shared" si="380"/>
        <v>-152241859.2606</v>
      </c>
      <c r="AE958">
        <f t="shared" si="381"/>
        <v>-153507801.74939999</v>
      </c>
    </row>
    <row r="959" spans="1:31" x14ac:dyDescent="0.25">
      <c r="A959">
        <v>46.455619259999999</v>
      </c>
      <c r="B959">
        <v>124.61124390000001</v>
      </c>
      <c r="C959">
        <v>4.5470686000000002</v>
      </c>
      <c r="D959">
        <v>1.38860798</v>
      </c>
      <c r="E959" t="b">
        <f t="shared" si="359"/>
        <v>0</v>
      </c>
      <c r="F959">
        <f t="shared" si="360"/>
        <v>-21.346735020000001</v>
      </c>
      <c r="G959">
        <f t="shared" si="361"/>
        <v>-44.082078019999997</v>
      </c>
      <c r="H959">
        <f t="shared" si="362"/>
        <v>-66.817421019999998</v>
      </c>
      <c r="I959">
        <f t="shared" si="363"/>
        <v>-89.552764019999998</v>
      </c>
      <c r="J959">
        <f t="shared" si="364"/>
        <v>-112.28810702</v>
      </c>
      <c r="L959">
        <f t="shared" si="365"/>
        <v>2666127.3216000004</v>
      </c>
      <c r="M959">
        <f t="shared" si="366"/>
        <v>-34581710.7324</v>
      </c>
      <c r="N959">
        <f t="shared" si="367"/>
        <v>-60833267.667599991</v>
      </c>
      <c r="O959">
        <f t="shared" si="368"/>
        <v>-68153769.440399989</v>
      </c>
      <c r="P959">
        <f t="shared" si="369"/>
        <v>-82388542.898399994</v>
      </c>
      <c r="Q959">
        <f t="shared" si="370"/>
        <v>-85338961.335199997</v>
      </c>
      <c r="S959">
        <f t="shared" si="371"/>
        <v>2916076.7579999999</v>
      </c>
      <c r="T959">
        <f t="shared" si="372"/>
        <v>-38851057.736400001</v>
      </c>
      <c r="U959">
        <f t="shared" si="373"/>
        <v>-66563937.810199991</v>
      </c>
      <c r="V959">
        <f t="shared" si="374"/>
        <v>-71494640.491399989</v>
      </c>
      <c r="W959">
        <f t="shared" si="375"/>
        <v>-95821457.501399979</v>
      </c>
      <c r="X959">
        <f t="shared" si="376"/>
        <v>-97690653.1074</v>
      </c>
      <c r="Z959">
        <f t="shared" ref="Z959:Z962" si="389">D959*(310+0.8+60)</f>
        <v>514.89583898399997</v>
      </c>
      <c r="AA959">
        <f t="shared" si="377"/>
        <v>-43120404.740400001</v>
      </c>
      <c r="AB959">
        <f t="shared" si="378"/>
        <v>-72294607.952800006</v>
      </c>
      <c r="AC959">
        <f t="shared" si="379"/>
        <v>-90871692.587199986</v>
      </c>
      <c r="AD959">
        <f t="shared" si="380"/>
        <v>-109254372.10439999</v>
      </c>
      <c r="AE959">
        <f t="shared" si="381"/>
        <v>-110042344.87959999</v>
      </c>
    </row>
    <row r="960" spans="1:31" x14ac:dyDescent="0.25">
      <c r="A960">
        <v>46.499850989999999</v>
      </c>
      <c r="B960">
        <v>124.62370420000001</v>
      </c>
      <c r="C960">
        <v>3.6697926500000002</v>
      </c>
      <c r="D960">
        <v>0.20250398999999999</v>
      </c>
      <c r="E960" t="b">
        <f t="shared" si="359"/>
        <v>0</v>
      </c>
      <c r="F960">
        <f t="shared" si="360"/>
        <v>-18.14645926</v>
      </c>
      <c r="G960">
        <f t="shared" si="361"/>
        <v>-36.495422510000004</v>
      </c>
      <c r="H960">
        <f t="shared" si="362"/>
        <v>-54.844385760000009</v>
      </c>
      <c r="I960">
        <f t="shared" si="363"/>
        <v>-73.193349010000006</v>
      </c>
      <c r="J960">
        <f t="shared" si="364"/>
        <v>-91.542312260000003</v>
      </c>
      <c r="L960">
        <f t="shared" si="365"/>
        <v>388807.66080000001</v>
      </c>
      <c r="M960">
        <f t="shared" si="366"/>
        <v>-29397264.001200005</v>
      </c>
      <c r="N960">
        <f t="shared" si="367"/>
        <v>-50363683.063800007</v>
      </c>
      <c r="O960">
        <f t="shared" si="368"/>
        <v>-55941273.475200005</v>
      </c>
      <c r="P960">
        <f t="shared" si="369"/>
        <v>-67337881.089200005</v>
      </c>
      <c r="Q960">
        <f t="shared" si="370"/>
        <v>-69572157.317600012</v>
      </c>
      <c r="S960">
        <f t="shared" si="371"/>
        <v>425258.37900000002</v>
      </c>
      <c r="T960">
        <f t="shared" si="372"/>
        <v>-33026555.853200004</v>
      </c>
      <c r="U960">
        <f t="shared" si="373"/>
        <v>-55108087.990100011</v>
      </c>
      <c r="V960">
        <f t="shared" si="374"/>
        <v>-58683492.7632</v>
      </c>
      <c r="W960">
        <f t="shared" si="375"/>
        <v>-78316883.440699995</v>
      </c>
      <c r="X960">
        <f t="shared" si="376"/>
        <v>-79641811.666199997</v>
      </c>
      <c r="Z960">
        <f t="shared" si="389"/>
        <v>75.088479492000005</v>
      </c>
      <c r="AA960">
        <f t="shared" si="377"/>
        <v>-36655847.705200002</v>
      </c>
      <c r="AB960">
        <f t="shared" si="378"/>
        <v>-59852492.916400015</v>
      </c>
      <c r="AC960">
        <f t="shared" si="379"/>
        <v>-74588364.633599997</v>
      </c>
      <c r="AD960">
        <f t="shared" si="380"/>
        <v>-89295885.792199999</v>
      </c>
      <c r="AE960">
        <f t="shared" si="381"/>
        <v>-89711466.014799997</v>
      </c>
    </row>
    <row r="961" spans="1:31" x14ac:dyDescent="0.25">
      <c r="A961">
        <v>46.508446419999999</v>
      </c>
      <c r="B961">
        <v>124.5596493</v>
      </c>
      <c r="C961">
        <v>3.6697926500000002</v>
      </c>
      <c r="D961">
        <v>4.9010999999999999E-2</v>
      </c>
      <c r="E961" t="b">
        <f t="shared" si="359"/>
        <v>0</v>
      </c>
      <c r="F961">
        <f t="shared" si="360"/>
        <v>-18.29995225</v>
      </c>
      <c r="G961">
        <f t="shared" si="361"/>
        <v>-36.648915500000001</v>
      </c>
      <c r="H961">
        <f t="shared" si="362"/>
        <v>-54.997878750000005</v>
      </c>
      <c r="I961">
        <f t="shared" si="363"/>
        <v>-73.346842000000009</v>
      </c>
      <c r="J961">
        <f t="shared" si="364"/>
        <v>-91.695805250000006</v>
      </c>
      <c r="L961">
        <f t="shared" si="365"/>
        <v>94101.12000000001</v>
      </c>
      <c r="M961">
        <f t="shared" si="366"/>
        <v>-29645922.645000003</v>
      </c>
      <c r="N961">
        <f t="shared" si="367"/>
        <v>-50575503.389999993</v>
      </c>
      <c r="O961">
        <f t="shared" si="368"/>
        <v>-56097836.32500001</v>
      </c>
      <c r="P961">
        <f t="shared" si="369"/>
        <v>-67479094.640000015</v>
      </c>
      <c r="Q961">
        <f t="shared" si="370"/>
        <v>-69688811.989999995</v>
      </c>
      <c r="S961">
        <f t="shared" si="371"/>
        <v>102923.1</v>
      </c>
      <c r="T961">
        <f t="shared" si="372"/>
        <v>-33305913.095000003</v>
      </c>
      <c r="U961">
        <f t="shared" si="373"/>
        <v>-55339862.405000001</v>
      </c>
      <c r="V961">
        <f t="shared" si="374"/>
        <v>-58847730.262499996</v>
      </c>
      <c r="W961">
        <f t="shared" si="375"/>
        <v>-78481120.939999998</v>
      </c>
      <c r="X961">
        <f t="shared" si="376"/>
        <v>-79775350.567499995</v>
      </c>
      <c r="Z961">
        <f t="shared" si="389"/>
        <v>18.173278799999999</v>
      </c>
      <c r="AA961">
        <f t="shared" si="377"/>
        <v>-36965903.545000002</v>
      </c>
      <c r="AB961">
        <f t="shared" si="378"/>
        <v>-60104221.420000002</v>
      </c>
      <c r="AC961">
        <f t="shared" si="379"/>
        <v>-74797115.100000009</v>
      </c>
      <c r="AD961">
        <f t="shared" si="380"/>
        <v>-89483147.24000001</v>
      </c>
      <c r="AE961">
        <f t="shared" si="381"/>
        <v>-89861889.144999996</v>
      </c>
    </row>
    <row r="962" spans="1:31" x14ac:dyDescent="0.25">
      <c r="A962">
        <v>46.515137160000002</v>
      </c>
      <c r="B962">
        <v>124.1628022</v>
      </c>
      <c r="C962">
        <v>4.5470686000000002</v>
      </c>
      <c r="D962">
        <v>1.7568229399999999</v>
      </c>
      <c r="E962" t="b">
        <f t="shared" si="359"/>
        <v>0</v>
      </c>
      <c r="F962">
        <f t="shared" si="360"/>
        <v>-20.978520060000001</v>
      </c>
      <c r="G962">
        <f t="shared" si="361"/>
        <v>-43.713863060000001</v>
      </c>
      <c r="H962">
        <f t="shared" si="362"/>
        <v>-66.449206059999995</v>
      </c>
      <c r="I962">
        <f t="shared" si="363"/>
        <v>-89.184549059999995</v>
      </c>
      <c r="J962">
        <f t="shared" si="364"/>
        <v>-111.91989206</v>
      </c>
      <c r="L962">
        <f t="shared" si="365"/>
        <v>3373100.0448000003</v>
      </c>
      <c r="M962">
        <f t="shared" si="366"/>
        <v>-33985202.497200005</v>
      </c>
      <c r="N962">
        <f t="shared" si="367"/>
        <v>-60325131.022799999</v>
      </c>
      <c r="O962">
        <f t="shared" si="368"/>
        <v>-67778190.181199998</v>
      </c>
      <c r="P962">
        <f t="shared" si="369"/>
        <v>-82049785.135199979</v>
      </c>
      <c r="Q962">
        <f t="shared" si="370"/>
        <v>-85059117.965599999</v>
      </c>
      <c r="S962">
        <f t="shared" si="371"/>
        <v>3689328.1740000001</v>
      </c>
      <c r="T962">
        <f t="shared" si="372"/>
        <v>-38180906.509200007</v>
      </c>
      <c r="U962">
        <f t="shared" si="373"/>
        <v>-66007933.220600002</v>
      </c>
      <c r="V962">
        <f t="shared" si="374"/>
        <v>-71100650.484199986</v>
      </c>
      <c r="W962">
        <f t="shared" si="375"/>
        <v>-95427467.494199976</v>
      </c>
      <c r="X962">
        <f t="shared" si="376"/>
        <v>-97370306.092199996</v>
      </c>
      <c r="Z962">
        <f t="shared" si="389"/>
        <v>651.42994615199996</v>
      </c>
      <c r="AA962">
        <f t="shared" si="377"/>
        <v>-42376610.521200009</v>
      </c>
      <c r="AB962">
        <f t="shared" si="378"/>
        <v>-71690735.418400005</v>
      </c>
      <c r="AC962">
        <f t="shared" si="379"/>
        <v>-90370920.241599992</v>
      </c>
      <c r="AD962">
        <f t="shared" si="380"/>
        <v>-108805149.85319999</v>
      </c>
      <c r="AE962">
        <f t="shared" si="381"/>
        <v>-109681494.21879999</v>
      </c>
    </row>
    <row r="963" spans="1:31" x14ac:dyDescent="0.25">
      <c r="A963">
        <v>46.544826810000004</v>
      </c>
      <c r="B963">
        <v>124.9691073</v>
      </c>
      <c r="C963">
        <v>5.3287997200000001</v>
      </c>
      <c r="D963">
        <v>612.26196289999996</v>
      </c>
      <c r="E963" t="b">
        <f t="shared" ref="E963:E981" si="390">D963&gt;C963</f>
        <v>1</v>
      </c>
      <c r="F963">
        <f t="shared" ref="F963:F981" si="391">D963-(C963*(2030-2025))</f>
        <v>585.61796429999993</v>
      </c>
      <c r="G963">
        <f t="shared" ref="G963:G981" si="392">D963-(C963*(2035-2025))</f>
        <v>558.97396570000001</v>
      </c>
      <c r="H963">
        <f t="shared" ref="H963:H981" si="393">D963-(C963*(2040-2025))</f>
        <v>532.32996709999998</v>
      </c>
      <c r="I963">
        <f t="shared" ref="I963:I981" si="394">D963-(C963*(2045-2025))</f>
        <v>505.68596849999994</v>
      </c>
      <c r="J963">
        <f t="shared" ref="J963:J981" si="395">D963-(C963*(2050-2025))</f>
        <v>479.04196989999991</v>
      </c>
      <c r="L963">
        <f t="shared" ref="L963:L981" si="396">MIN(C963,D963)*1000000*((280/250)+0.8)</f>
        <v>10231295.462400001</v>
      </c>
      <c r="M963">
        <f t="shared" ref="M963:M981" si="397">MIN(F963,C963)*1000000*((230/250)+0.7)</f>
        <v>8632655.5463999994</v>
      </c>
      <c r="N963">
        <f t="shared" ref="N963:N981" si="398">MIN(G963,C963)*1000000*((195/250)+0.6)</f>
        <v>7353743.6135999989</v>
      </c>
      <c r="O963">
        <f t="shared" ref="O963:O981" si="399">MIN(H963,C963)*1000000*((130/250)+0.5)</f>
        <v>5435375.7143999999</v>
      </c>
      <c r="P963">
        <f t="shared" ref="P963:P981" si="400">MIN(I963,C963)*1000000*((105/250)+0.5)</f>
        <v>4902495.7423999989</v>
      </c>
      <c r="Q963">
        <f t="shared" ref="Q963:Q981" si="401">MIN(J963,C963)*1000000*((90/250)+0.4)</f>
        <v>4049887.7871999997</v>
      </c>
      <c r="S963">
        <f t="shared" ref="S963:S981" si="402">MIN(C963,D963)*1000000*((325/250)+0.8)</f>
        <v>11190479.412</v>
      </c>
      <c r="T963">
        <f t="shared" ref="T963:T981" si="403">MIN(F963,C963)*1000000*((280/250)+0.7)</f>
        <v>9698415.4903999995</v>
      </c>
      <c r="U963">
        <f t="shared" ref="U963:U981" si="404">MIN(G963,C963)*1000000*((227.5/250)+0.6)</f>
        <v>8046487.5771999992</v>
      </c>
      <c r="V963">
        <f t="shared" ref="V963:V981" si="405">MIN(H963,C963)*1000000*((142.5/250)+0.5)</f>
        <v>5701815.7003999986</v>
      </c>
      <c r="W963">
        <f t="shared" ref="W963:W981" si="406">MIN(I963,C963)*1000000*((142.5/250)+0.5)</f>
        <v>5701815.7003999986</v>
      </c>
      <c r="X963">
        <f t="shared" ref="X963:X981" si="407">MIN(J963,C963)*1000000*( (117.5/250)+0.4)</f>
        <v>4636055.7563999994</v>
      </c>
      <c r="Z963">
        <f>C963*(310+0.8+60)</f>
        <v>1975.9189361760002</v>
      </c>
      <c r="AA963">
        <f t="shared" ref="AA963:AA981" si="408">MIN(C963,F963)*1000000*((330/250)+0.7)</f>
        <v>10764175.4344</v>
      </c>
      <c r="AB963">
        <f t="shared" ref="AB963:AB981" si="409">MIN(C963,G963)*1000000*((260/250)+0.6)</f>
        <v>8739231.5407999996</v>
      </c>
      <c r="AC963">
        <f t="shared" ref="AC963:AC981" si="410">MIN(C963,H963)*1000000*((215/250)+0.5)</f>
        <v>7247167.6191999987</v>
      </c>
      <c r="AD963">
        <f t="shared" ref="AD963:AD981" si="411">MIN(C963,I963)*1000000*((180/250)+0.5)</f>
        <v>6501135.6583999991</v>
      </c>
      <c r="AE963">
        <f t="shared" ref="AE963:AE981" si="412">MIN(C963,J963)*1000000*((145/250)+0.4)</f>
        <v>5222223.7255999995</v>
      </c>
    </row>
    <row r="964" spans="1:31" x14ac:dyDescent="0.25">
      <c r="A964">
        <v>46.620408670000003</v>
      </c>
      <c r="B964">
        <v>124.0587314</v>
      </c>
      <c r="C964">
        <v>4.5470686000000002</v>
      </c>
      <c r="D964">
        <v>0.184725</v>
      </c>
      <c r="E964" t="b">
        <f t="shared" si="390"/>
        <v>0</v>
      </c>
      <c r="F964">
        <f t="shared" si="391"/>
        <v>-22.550618</v>
      </c>
      <c r="G964">
        <f t="shared" si="392"/>
        <v>-45.285961</v>
      </c>
      <c r="H964">
        <f t="shared" si="393"/>
        <v>-68.021304000000001</v>
      </c>
      <c r="I964">
        <f t="shared" si="394"/>
        <v>-90.756647000000001</v>
      </c>
      <c r="J964">
        <f t="shared" si="395"/>
        <v>-113.49199</v>
      </c>
      <c r="L964">
        <f t="shared" si="396"/>
        <v>354672</v>
      </c>
      <c r="M964">
        <f t="shared" si="397"/>
        <v>-36532001.160000004</v>
      </c>
      <c r="N964">
        <f t="shared" si="398"/>
        <v>-62494626.179999992</v>
      </c>
      <c r="O964">
        <f t="shared" si="399"/>
        <v>-69381730.079999998</v>
      </c>
      <c r="P964">
        <f t="shared" si="400"/>
        <v>-83496115.239999995</v>
      </c>
      <c r="Q964">
        <f t="shared" si="401"/>
        <v>-86253912.400000006</v>
      </c>
      <c r="S964">
        <f t="shared" si="402"/>
        <v>387922.5</v>
      </c>
      <c r="T964">
        <f t="shared" si="403"/>
        <v>-41042124.759999998</v>
      </c>
      <c r="U964">
        <f t="shared" si="404"/>
        <v>-68381801.109999999</v>
      </c>
      <c r="V964">
        <f t="shared" si="405"/>
        <v>-72782795.279999986</v>
      </c>
      <c r="W964">
        <f t="shared" si="406"/>
        <v>-97109612.289999992</v>
      </c>
      <c r="X964">
        <f t="shared" si="407"/>
        <v>-98738031.299999997</v>
      </c>
      <c r="Z964">
        <f>D964*(310+0.8+60)</f>
        <v>68.496030000000005</v>
      </c>
      <c r="AA964">
        <f t="shared" si="408"/>
        <v>-45552248.359999999</v>
      </c>
      <c r="AB964">
        <f t="shared" si="409"/>
        <v>-74268976.040000007</v>
      </c>
      <c r="AC964">
        <f t="shared" si="410"/>
        <v>-92508973.439999998</v>
      </c>
      <c r="AD964">
        <f t="shared" si="411"/>
        <v>-110723109.34</v>
      </c>
      <c r="AE964">
        <f t="shared" si="412"/>
        <v>-111222150.2</v>
      </c>
    </row>
    <row r="965" spans="1:31" x14ac:dyDescent="0.25">
      <c r="A965">
        <v>46.622529270000001</v>
      </c>
      <c r="B965">
        <v>124.39202950000001</v>
      </c>
      <c r="C965">
        <v>4.5470686000000002</v>
      </c>
      <c r="D965">
        <v>0.31957500999999999</v>
      </c>
      <c r="E965" t="b">
        <f t="shared" si="390"/>
        <v>0</v>
      </c>
      <c r="F965">
        <f t="shared" si="391"/>
        <v>-22.415767989999999</v>
      </c>
      <c r="G965">
        <f t="shared" si="392"/>
        <v>-45.151110989999999</v>
      </c>
      <c r="H965">
        <f t="shared" si="393"/>
        <v>-67.886453990000007</v>
      </c>
      <c r="I965">
        <f t="shared" si="394"/>
        <v>-90.621796990000007</v>
      </c>
      <c r="J965">
        <f t="shared" si="395"/>
        <v>-113.35713999000001</v>
      </c>
      <c r="L965">
        <f t="shared" si="396"/>
        <v>613584.0192000001</v>
      </c>
      <c r="M965">
        <f t="shared" si="397"/>
        <v>-36313544.143799998</v>
      </c>
      <c r="N965">
        <f t="shared" si="398"/>
        <v>-62308533.166199997</v>
      </c>
      <c r="O965">
        <f t="shared" si="399"/>
        <v>-69244183.069800004</v>
      </c>
      <c r="P965">
        <f t="shared" si="400"/>
        <v>-83372053.230800003</v>
      </c>
      <c r="Q965">
        <f t="shared" si="401"/>
        <v>-86151426.392400011</v>
      </c>
      <c r="S965">
        <f t="shared" si="402"/>
        <v>671107.52100000007</v>
      </c>
      <c r="T965">
        <f t="shared" si="403"/>
        <v>-40796697.741799995</v>
      </c>
      <c r="U965">
        <f t="shared" si="404"/>
        <v>-68178177.594899997</v>
      </c>
      <c r="V965">
        <f t="shared" si="405"/>
        <v>-72638505.769299999</v>
      </c>
      <c r="W965">
        <f t="shared" si="406"/>
        <v>-96965322.779299989</v>
      </c>
      <c r="X965">
        <f t="shared" si="407"/>
        <v>-98620711.791300014</v>
      </c>
      <c r="Z965">
        <f t="shared" ref="Z965:Z967" si="413">D965*(310+0.8+60)</f>
        <v>118.498413708</v>
      </c>
      <c r="AA965">
        <f t="shared" si="408"/>
        <v>-45279851.3398</v>
      </c>
      <c r="AB965">
        <f t="shared" si="409"/>
        <v>-74047822.023600012</v>
      </c>
      <c r="AC965">
        <f t="shared" si="410"/>
        <v>-92325577.426400006</v>
      </c>
      <c r="AD965">
        <f t="shared" si="411"/>
        <v>-110558592.32780001</v>
      </c>
      <c r="AE965">
        <f t="shared" si="412"/>
        <v>-111089997.1902</v>
      </c>
    </row>
    <row r="966" spans="1:31" x14ac:dyDescent="0.25">
      <c r="A966">
        <v>46.639471409999999</v>
      </c>
      <c r="B966">
        <v>124.2636088</v>
      </c>
      <c r="C966">
        <v>4.5470686000000002</v>
      </c>
      <c r="D966">
        <v>0.58188403</v>
      </c>
      <c r="E966" t="b">
        <f t="shared" si="390"/>
        <v>0</v>
      </c>
      <c r="F966">
        <f t="shared" si="391"/>
        <v>-22.153458969999999</v>
      </c>
      <c r="G966">
        <f t="shared" si="392"/>
        <v>-44.888801970000003</v>
      </c>
      <c r="H966">
        <f t="shared" si="393"/>
        <v>-67.624144970000003</v>
      </c>
      <c r="I966">
        <f t="shared" si="394"/>
        <v>-90.359487970000004</v>
      </c>
      <c r="J966">
        <f t="shared" si="395"/>
        <v>-113.09483097</v>
      </c>
      <c r="L966">
        <f t="shared" si="396"/>
        <v>1117217.3376000002</v>
      </c>
      <c r="M966">
        <f t="shared" si="397"/>
        <v>-35888603.531400003</v>
      </c>
      <c r="N966">
        <f t="shared" si="398"/>
        <v>-61946546.718600005</v>
      </c>
      <c r="O966">
        <f t="shared" si="399"/>
        <v>-68976627.869399995</v>
      </c>
      <c r="P966">
        <f t="shared" si="400"/>
        <v>-83130728.932399988</v>
      </c>
      <c r="Q966">
        <f t="shared" si="401"/>
        <v>-85952071.537200004</v>
      </c>
      <c r="S966">
        <f t="shared" si="402"/>
        <v>1221956.4630000002</v>
      </c>
      <c r="T966">
        <f t="shared" si="403"/>
        <v>-40319295.325400002</v>
      </c>
      <c r="U966">
        <f t="shared" si="404"/>
        <v>-67782090.974700004</v>
      </c>
      <c r="V966">
        <f t="shared" si="405"/>
        <v>-72357835.117899984</v>
      </c>
      <c r="W966">
        <f t="shared" si="406"/>
        <v>-96684652.127899989</v>
      </c>
      <c r="X966">
        <f t="shared" si="407"/>
        <v>-98392502.943900004</v>
      </c>
      <c r="Z966">
        <f t="shared" si="413"/>
        <v>215.76259832400001</v>
      </c>
      <c r="AA966">
        <f t="shared" si="408"/>
        <v>-44749987.119399995</v>
      </c>
      <c r="AB966">
        <f t="shared" si="409"/>
        <v>-73617635.230800018</v>
      </c>
      <c r="AC966">
        <f t="shared" si="410"/>
        <v>-91968837.159199983</v>
      </c>
      <c r="AD966">
        <f t="shared" si="411"/>
        <v>-110238575.32339999</v>
      </c>
      <c r="AE966">
        <f t="shared" si="412"/>
        <v>-110832934.3506</v>
      </c>
    </row>
    <row r="967" spans="1:31" x14ac:dyDescent="0.25">
      <c r="A967">
        <v>46.738092530000003</v>
      </c>
      <c r="B967">
        <v>124.5577184</v>
      </c>
      <c r="C967">
        <v>4.5470686000000002</v>
      </c>
      <c r="D967">
        <v>3.4366679200000001</v>
      </c>
      <c r="E967" t="b">
        <f t="shared" si="390"/>
        <v>0</v>
      </c>
      <c r="F967">
        <f t="shared" si="391"/>
        <v>-19.298675079999999</v>
      </c>
      <c r="G967">
        <f t="shared" si="392"/>
        <v>-42.034018080000003</v>
      </c>
      <c r="H967">
        <f t="shared" si="393"/>
        <v>-64.769361079999996</v>
      </c>
      <c r="I967">
        <f t="shared" si="394"/>
        <v>-87.504704079999996</v>
      </c>
      <c r="J967">
        <f t="shared" si="395"/>
        <v>-110.24004708</v>
      </c>
      <c r="L967">
        <f t="shared" si="396"/>
        <v>6598402.4064000007</v>
      </c>
      <c r="M967">
        <f t="shared" si="397"/>
        <v>-31263853.6296</v>
      </c>
      <c r="N967">
        <f t="shared" si="398"/>
        <v>-58006944.950400002</v>
      </c>
      <c r="O967">
        <f t="shared" si="399"/>
        <v>-66064748.301600002</v>
      </c>
      <c r="P967">
        <f t="shared" si="400"/>
        <v>-80504327.753599986</v>
      </c>
      <c r="Q967">
        <f t="shared" si="401"/>
        <v>-83782435.7808</v>
      </c>
      <c r="S967">
        <f t="shared" si="402"/>
        <v>7217002.6320000002</v>
      </c>
      <c r="T967">
        <f t="shared" si="403"/>
        <v>-35123588.645599999</v>
      </c>
      <c r="U967">
        <f t="shared" si="404"/>
        <v>-63471367.300800011</v>
      </c>
      <c r="V967">
        <f t="shared" si="405"/>
        <v>-69303216.355599985</v>
      </c>
      <c r="W967">
        <f t="shared" si="406"/>
        <v>-93630033.36559999</v>
      </c>
      <c r="X967">
        <f t="shared" si="407"/>
        <v>-95908840.959600002</v>
      </c>
      <c r="Z967">
        <f t="shared" si="413"/>
        <v>1274.3164647360002</v>
      </c>
      <c r="AA967">
        <f t="shared" si="408"/>
        <v>-38983323.661599994</v>
      </c>
      <c r="AB967">
        <f t="shared" si="409"/>
        <v>-68935789.651200011</v>
      </c>
      <c r="AC967">
        <f t="shared" si="410"/>
        <v>-88086331.068799987</v>
      </c>
      <c r="AD967">
        <f t="shared" si="411"/>
        <v>-106755738.97759999</v>
      </c>
      <c r="AE967">
        <f t="shared" si="412"/>
        <v>-108035246.1384</v>
      </c>
    </row>
    <row r="968" spans="1:31" x14ac:dyDescent="0.25">
      <c r="A968">
        <v>46.73902897</v>
      </c>
      <c r="B968">
        <v>124.8916139</v>
      </c>
      <c r="C968">
        <v>3.6697926500000002</v>
      </c>
      <c r="D968">
        <v>78.619300839999994</v>
      </c>
      <c r="E968" t="b">
        <f t="shared" si="390"/>
        <v>1</v>
      </c>
      <c r="F968">
        <f t="shared" si="391"/>
        <v>60.270337589999997</v>
      </c>
      <c r="G968">
        <f t="shared" si="392"/>
        <v>41.921374339999993</v>
      </c>
      <c r="H968">
        <f t="shared" si="393"/>
        <v>23.572411089999989</v>
      </c>
      <c r="I968">
        <f t="shared" si="394"/>
        <v>5.2234478399999915</v>
      </c>
      <c r="J968">
        <f t="shared" si="395"/>
        <v>-13.125515410000006</v>
      </c>
      <c r="L968">
        <f t="shared" si="396"/>
        <v>7046001.8880000012</v>
      </c>
      <c r="M968">
        <f t="shared" si="397"/>
        <v>5945064.0930000013</v>
      </c>
      <c r="N968">
        <f t="shared" si="398"/>
        <v>5064313.8569999998</v>
      </c>
      <c r="O968">
        <f t="shared" si="399"/>
        <v>3743188.5030000005</v>
      </c>
      <c r="P968">
        <f t="shared" si="400"/>
        <v>3376209.2379999999</v>
      </c>
      <c r="Q968">
        <f t="shared" si="401"/>
        <v>-9975391.7116000038</v>
      </c>
      <c r="S968">
        <f t="shared" si="402"/>
        <v>7706564.5650000013</v>
      </c>
      <c r="T968">
        <f t="shared" si="403"/>
        <v>6679022.6230000006</v>
      </c>
      <c r="U968">
        <f t="shared" si="404"/>
        <v>5541386.9015000006</v>
      </c>
      <c r="V968">
        <f t="shared" si="405"/>
        <v>3926678.1354999999</v>
      </c>
      <c r="W968">
        <f t="shared" si="406"/>
        <v>3926678.1354999999</v>
      </c>
      <c r="X968">
        <f t="shared" si="407"/>
        <v>-11419198.406700006</v>
      </c>
      <c r="Z968">
        <f>C968*(310+0.8+60)</f>
        <v>1360.7591146200002</v>
      </c>
      <c r="AA968">
        <f t="shared" si="408"/>
        <v>7412981.1530000009</v>
      </c>
      <c r="AB968">
        <f t="shared" si="409"/>
        <v>6018459.9460000014</v>
      </c>
      <c r="AC968">
        <f t="shared" si="410"/>
        <v>4990918.0039999997</v>
      </c>
      <c r="AD968">
        <f t="shared" si="411"/>
        <v>4477147.0330000008</v>
      </c>
      <c r="AE968">
        <f t="shared" si="412"/>
        <v>-12863005.101800006</v>
      </c>
    </row>
    <row r="969" spans="1:31" x14ac:dyDescent="0.25">
      <c r="A969">
        <v>46.758516159999999</v>
      </c>
      <c r="B969">
        <v>123.6968102</v>
      </c>
      <c r="C969">
        <v>5.9802422499999999</v>
      </c>
      <c r="D969">
        <v>0.57160699000000004</v>
      </c>
      <c r="E969" t="b">
        <f t="shared" si="390"/>
        <v>0</v>
      </c>
      <c r="F969">
        <f t="shared" si="391"/>
        <v>-29.32960426</v>
      </c>
      <c r="G969">
        <f t="shared" si="392"/>
        <v>-59.230815509999999</v>
      </c>
      <c r="H969">
        <f t="shared" si="393"/>
        <v>-89.132026759999988</v>
      </c>
      <c r="I969">
        <f t="shared" si="394"/>
        <v>-119.03323800999999</v>
      </c>
      <c r="J969">
        <f t="shared" si="395"/>
        <v>-148.93444926000001</v>
      </c>
      <c r="L969">
        <f t="shared" si="396"/>
        <v>1097485.4208</v>
      </c>
      <c r="M969">
        <f t="shared" si="397"/>
        <v>-47513958.901200004</v>
      </c>
      <c r="N969">
        <f t="shared" si="398"/>
        <v>-81738525.403799996</v>
      </c>
      <c r="O969">
        <f t="shared" si="399"/>
        <v>-90914667.29519999</v>
      </c>
      <c r="P969">
        <f t="shared" si="400"/>
        <v>-109510578.96919999</v>
      </c>
      <c r="Q969">
        <f t="shared" si="401"/>
        <v>-113190181.43760002</v>
      </c>
      <c r="S969">
        <f t="shared" si="402"/>
        <v>1200374.679</v>
      </c>
      <c r="T969">
        <f t="shared" si="403"/>
        <v>-53379879.753200002</v>
      </c>
      <c r="U969">
        <f t="shared" si="404"/>
        <v>-89438531.420100003</v>
      </c>
      <c r="V969">
        <f t="shared" si="405"/>
        <v>-95371268.633199975</v>
      </c>
      <c r="W969">
        <f t="shared" si="406"/>
        <v>-127365564.67069997</v>
      </c>
      <c r="X969">
        <f t="shared" si="407"/>
        <v>-129572970.85620001</v>
      </c>
      <c r="Z969">
        <f>D969*(310+0.8+60)</f>
        <v>211.95187189200001</v>
      </c>
      <c r="AA969">
        <f t="shared" si="408"/>
        <v>-59245800.605200008</v>
      </c>
      <c r="AB969">
        <f t="shared" si="409"/>
        <v>-97138537.436400011</v>
      </c>
      <c r="AC969">
        <f t="shared" si="410"/>
        <v>-121219556.39359997</v>
      </c>
      <c r="AD969">
        <f t="shared" si="411"/>
        <v>-145220550.37219998</v>
      </c>
      <c r="AE969">
        <f t="shared" si="412"/>
        <v>-145955760.2748</v>
      </c>
    </row>
    <row r="970" spans="1:31" x14ac:dyDescent="0.25">
      <c r="A970">
        <v>46.80059</v>
      </c>
      <c r="B970">
        <v>124.7757143</v>
      </c>
      <c r="C970">
        <v>3.6697926500000002</v>
      </c>
      <c r="D970">
        <v>15.609274859999999</v>
      </c>
      <c r="E970" t="b">
        <f t="shared" si="390"/>
        <v>1</v>
      </c>
      <c r="F970">
        <f t="shared" si="391"/>
        <v>-2.7396883900000013</v>
      </c>
      <c r="G970">
        <f t="shared" si="392"/>
        <v>-21.088651640000002</v>
      </c>
      <c r="H970">
        <f t="shared" si="393"/>
        <v>-39.437614890000006</v>
      </c>
      <c r="I970">
        <f t="shared" si="394"/>
        <v>-57.786578140000003</v>
      </c>
      <c r="J970">
        <f t="shared" si="395"/>
        <v>-76.13554139</v>
      </c>
      <c r="L970">
        <f t="shared" si="396"/>
        <v>7046001.8880000012</v>
      </c>
      <c r="M970">
        <f t="shared" si="397"/>
        <v>-4438295.1918000029</v>
      </c>
      <c r="N970">
        <f t="shared" si="398"/>
        <v>-29102339.2632</v>
      </c>
      <c r="O970">
        <f t="shared" si="399"/>
        <v>-40226367.187800013</v>
      </c>
      <c r="P970">
        <f t="shared" si="400"/>
        <v>-53163651.888799995</v>
      </c>
      <c r="Q970">
        <f t="shared" si="401"/>
        <v>-57863011.4564</v>
      </c>
      <c r="S970">
        <f t="shared" si="402"/>
        <v>7706564.5650000013</v>
      </c>
      <c r="T970">
        <f t="shared" si="403"/>
        <v>-4986232.8698000032</v>
      </c>
      <c r="U970">
        <f t="shared" si="404"/>
        <v>-31843863.976400003</v>
      </c>
      <c r="V970">
        <f t="shared" si="405"/>
        <v>-42198247.932300001</v>
      </c>
      <c r="W970">
        <f t="shared" si="406"/>
        <v>-61831638.609799989</v>
      </c>
      <c r="X970">
        <f t="shared" si="407"/>
        <v>-66237921.009300001</v>
      </c>
      <c r="Z970">
        <f>C970*(310+0.8+60)</f>
        <v>1360.7591146200002</v>
      </c>
      <c r="AA970">
        <f t="shared" si="408"/>
        <v>-5534170.5478000036</v>
      </c>
      <c r="AB970">
        <f t="shared" si="409"/>
        <v>-34585388.689600006</v>
      </c>
      <c r="AC970">
        <f t="shared" si="410"/>
        <v>-53635156.250400007</v>
      </c>
      <c r="AD970">
        <f t="shared" si="411"/>
        <v>-70499625.330799997</v>
      </c>
      <c r="AE970">
        <f t="shared" si="412"/>
        <v>-74612830.562199995</v>
      </c>
    </row>
    <row r="971" spans="1:31" x14ac:dyDescent="0.25">
      <c r="A971">
        <v>46.807881739999999</v>
      </c>
      <c r="B971">
        <v>124.37714579999999</v>
      </c>
      <c r="C971">
        <v>4.5470686000000002</v>
      </c>
      <c r="D971">
        <v>0.92362601</v>
      </c>
      <c r="E971" t="b">
        <f t="shared" si="390"/>
        <v>0</v>
      </c>
      <c r="F971">
        <f t="shared" si="391"/>
        <v>-21.811716990000001</v>
      </c>
      <c r="G971">
        <f t="shared" si="392"/>
        <v>-44.547059990000001</v>
      </c>
      <c r="H971">
        <f t="shared" si="393"/>
        <v>-67.282402989999994</v>
      </c>
      <c r="I971">
        <f t="shared" si="394"/>
        <v>-90.017745989999995</v>
      </c>
      <c r="J971">
        <f t="shared" si="395"/>
        <v>-112.75308898999999</v>
      </c>
      <c r="L971">
        <f t="shared" si="396"/>
        <v>1773361.9392000001</v>
      </c>
      <c r="M971">
        <f t="shared" si="397"/>
        <v>-35334981.523800008</v>
      </c>
      <c r="N971">
        <f t="shared" si="398"/>
        <v>-61474942.786200002</v>
      </c>
      <c r="O971">
        <f t="shared" si="399"/>
        <v>-68628051.049799994</v>
      </c>
      <c r="P971">
        <f t="shared" si="400"/>
        <v>-82816326.310799986</v>
      </c>
      <c r="Q971">
        <f t="shared" si="401"/>
        <v>-85692347.632399991</v>
      </c>
      <c r="S971">
        <f t="shared" si="402"/>
        <v>1939614.621</v>
      </c>
      <c r="T971">
        <f t="shared" si="403"/>
        <v>-39697324.921800002</v>
      </c>
      <c r="U971">
        <f t="shared" si="404"/>
        <v>-67266060.584900007</v>
      </c>
      <c r="V971">
        <f t="shared" si="405"/>
        <v>-71992171.199299976</v>
      </c>
      <c r="W971">
        <f t="shared" si="406"/>
        <v>-96318988.209299982</v>
      </c>
      <c r="X971">
        <f t="shared" si="407"/>
        <v>-98095187.421299994</v>
      </c>
      <c r="Z971">
        <f>D971*(310+0.8+60)</f>
        <v>342.48052450800003</v>
      </c>
      <c r="AA971">
        <f t="shared" si="408"/>
        <v>-44059668.319800004</v>
      </c>
      <c r="AB971">
        <f t="shared" si="409"/>
        <v>-73057178.383600011</v>
      </c>
      <c r="AC971">
        <f t="shared" si="410"/>
        <v>-91504068.066399992</v>
      </c>
      <c r="AD971">
        <f t="shared" si="411"/>
        <v>-109821650.10779999</v>
      </c>
      <c r="AE971">
        <f t="shared" si="412"/>
        <v>-110498027.2102</v>
      </c>
    </row>
    <row r="972" spans="1:31" x14ac:dyDescent="0.25">
      <c r="A972">
        <v>46.83883127</v>
      </c>
      <c r="B972">
        <v>123.7851312</v>
      </c>
      <c r="C972">
        <v>5.9802422499999999</v>
      </c>
      <c r="D972">
        <v>0.11275399999999999</v>
      </c>
      <c r="E972" t="b">
        <f t="shared" si="390"/>
        <v>0</v>
      </c>
      <c r="F972">
        <f t="shared" si="391"/>
        <v>-29.78845725</v>
      </c>
      <c r="G972">
        <f t="shared" si="392"/>
        <v>-59.689668499999996</v>
      </c>
      <c r="H972">
        <f t="shared" si="393"/>
        <v>-89.590879749999999</v>
      </c>
      <c r="I972">
        <f t="shared" si="394"/>
        <v>-119.492091</v>
      </c>
      <c r="J972">
        <f t="shared" si="395"/>
        <v>-149.39330225</v>
      </c>
      <c r="L972">
        <f t="shared" si="396"/>
        <v>216487.68000000002</v>
      </c>
      <c r="M972">
        <f t="shared" si="397"/>
        <v>-48257300.745000005</v>
      </c>
      <c r="N972">
        <f t="shared" si="398"/>
        <v>-82371742.529999986</v>
      </c>
      <c r="O972">
        <f t="shared" si="399"/>
        <v>-91382697.344999999</v>
      </c>
      <c r="P972">
        <f t="shared" si="400"/>
        <v>-109932723.72</v>
      </c>
      <c r="Q972">
        <f t="shared" si="401"/>
        <v>-113538909.71000001</v>
      </c>
      <c r="S972">
        <f t="shared" si="402"/>
        <v>236783.40000000002</v>
      </c>
      <c r="T972">
        <f t="shared" si="403"/>
        <v>-54214992.195</v>
      </c>
      <c r="U972">
        <f t="shared" si="404"/>
        <v>-90131399.434999987</v>
      </c>
      <c r="V972">
        <f t="shared" si="405"/>
        <v>-95862241.332499981</v>
      </c>
      <c r="W972">
        <f t="shared" si="406"/>
        <v>-127856537.36999997</v>
      </c>
      <c r="X972">
        <f t="shared" si="407"/>
        <v>-129972172.9575</v>
      </c>
      <c r="Z972">
        <f>D972*(310+0.8+60)</f>
        <v>41.8091832</v>
      </c>
      <c r="AA972">
        <f t="shared" si="408"/>
        <v>-60172683.645000003</v>
      </c>
      <c r="AB972">
        <f t="shared" si="409"/>
        <v>-97891056.339999989</v>
      </c>
      <c r="AC972">
        <f t="shared" si="410"/>
        <v>-121843596.45999999</v>
      </c>
      <c r="AD972">
        <f t="shared" si="411"/>
        <v>-145780351.02000001</v>
      </c>
      <c r="AE972">
        <f t="shared" si="412"/>
        <v>-146405436.20499998</v>
      </c>
    </row>
    <row r="973" spans="1:31" x14ac:dyDescent="0.25">
      <c r="A973">
        <v>47.838156040000001</v>
      </c>
      <c r="B973">
        <v>117.12205489999999</v>
      </c>
      <c r="C973">
        <v>0.88161886</v>
      </c>
      <c r="D973">
        <v>48.136058810000002</v>
      </c>
      <c r="E973" t="b">
        <f t="shared" si="390"/>
        <v>1</v>
      </c>
      <c r="F973">
        <f t="shared" si="391"/>
        <v>43.72796451</v>
      </c>
      <c r="G973">
        <f t="shared" si="392"/>
        <v>39.319870210000005</v>
      </c>
      <c r="H973">
        <f t="shared" si="393"/>
        <v>34.911775910000003</v>
      </c>
      <c r="I973">
        <f t="shared" si="394"/>
        <v>30.503681610000001</v>
      </c>
      <c r="J973">
        <f t="shared" si="395"/>
        <v>26.095587310000003</v>
      </c>
      <c r="L973">
        <f t="shared" si="396"/>
        <v>1692708.2112</v>
      </c>
      <c r="M973">
        <f t="shared" si="397"/>
        <v>1428222.5532</v>
      </c>
      <c r="N973">
        <f t="shared" si="398"/>
        <v>1216634.0267999999</v>
      </c>
      <c r="O973">
        <f t="shared" si="399"/>
        <v>899251.23719999997</v>
      </c>
      <c r="P973">
        <f t="shared" si="400"/>
        <v>811089.35119999992</v>
      </c>
      <c r="Q973">
        <f t="shared" si="401"/>
        <v>670030.33360000001</v>
      </c>
      <c r="S973">
        <f t="shared" si="402"/>
        <v>1851399.6060000001</v>
      </c>
      <c r="T973">
        <f t="shared" si="403"/>
        <v>1604546.3252000001</v>
      </c>
      <c r="U973">
        <f t="shared" si="404"/>
        <v>1331244.4786</v>
      </c>
      <c r="V973">
        <f t="shared" si="405"/>
        <v>943332.18019999983</v>
      </c>
      <c r="W973">
        <f t="shared" si="406"/>
        <v>943332.18019999983</v>
      </c>
      <c r="X973">
        <f t="shared" si="407"/>
        <v>767008.40819999995</v>
      </c>
      <c r="Z973">
        <f>C973*(310+0.8+60)</f>
        <v>326.90427328800001</v>
      </c>
      <c r="AA973">
        <f t="shared" si="408"/>
        <v>1780870.0972</v>
      </c>
      <c r="AB973">
        <f t="shared" si="409"/>
        <v>1445854.9304000002</v>
      </c>
      <c r="AC973">
        <f t="shared" si="410"/>
        <v>1199001.6495999999</v>
      </c>
      <c r="AD973">
        <f t="shared" si="411"/>
        <v>1075575.0092</v>
      </c>
      <c r="AE973">
        <f t="shared" si="412"/>
        <v>863986.4828</v>
      </c>
    </row>
    <row r="974" spans="1:31" x14ac:dyDescent="0.25">
      <c r="A974">
        <v>47.937428519999997</v>
      </c>
      <c r="B974">
        <v>117.00484179999999</v>
      </c>
      <c r="C974">
        <v>0.88161886</v>
      </c>
      <c r="D974">
        <v>8.9706563900000003</v>
      </c>
      <c r="E974" t="b">
        <f t="shared" si="390"/>
        <v>1</v>
      </c>
      <c r="F974">
        <f t="shared" si="391"/>
        <v>4.5625620900000001</v>
      </c>
      <c r="G974">
        <f t="shared" si="392"/>
        <v>0.15446778999999999</v>
      </c>
      <c r="H974">
        <f t="shared" si="393"/>
        <v>-4.2536265100000001</v>
      </c>
      <c r="I974">
        <f t="shared" si="394"/>
        <v>-8.6617208100000003</v>
      </c>
      <c r="J974">
        <f t="shared" si="395"/>
        <v>-13.069815109999999</v>
      </c>
      <c r="L974">
        <f t="shared" si="396"/>
        <v>1692708.2112</v>
      </c>
      <c r="M974">
        <f t="shared" si="397"/>
        <v>1428222.5532</v>
      </c>
      <c r="N974">
        <f t="shared" si="398"/>
        <v>213165.5502</v>
      </c>
      <c r="O974">
        <f t="shared" si="399"/>
        <v>-4338699.0401999997</v>
      </c>
      <c r="P974">
        <f t="shared" si="400"/>
        <v>-7968783.1452000001</v>
      </c>
      <c r="Q974">
        <f t="shared" si="401"/>
        <v>-9933059.4835999999</v>
      </c>
      <c r="S974">
        <f t="shared" si="402"/>
        <v>1851399.6060000001</v>
      </c>
      <c r="T974">
        <f t="shared" si="403"/>
        <v>1604546.3252000001</v>
      </c>
      <c r="U974">
        <f t="shared" si="404"/>
        <v>233246.36290000001</v>
      </c>
      <c r="V974">
        <f t="shared" si="405"/>
        <v>-4551380.365699999</v>
      </c>
      <c r="W974">
        <f t="shared" si="406"/>
        <v>-9268041.2666999996</v>
      </c>
      <c r="X974">
        <f t="shared" si="407"/>
        <v>-11370739.1457</v>
      </c>
      <c r="Z974">
        <f t="shared" ref="Z974:Z976" si="414">C974*(310+0.8+60)</f>
        <v>326.90427328800001</v>
      </c>
      <c r="AA974">
        <f t="shared" si="408"/>
        <v>1780870.0972</v>
      </c>
      <c r="AB974">
        <f t="shared" si="409"/>
        <v>253327.17560000005</v>
      </c>
      <c r="AC974">
        <f t="shared" si="410"/>
        <v>-5784932.0535999993</v>
      </c>
      <c r="AD974">
        <f t="shared" si="411"/>
        <v>-10567299.3882</v>
      </c>
      <c r="AE974">
        <f t="shared" si="412"/>
        <v>-12808418.807799999</v>
      </c>
    </row>
    <row r="975" spans="1:31" x14ac:dyDescent="0.25">
      <c r="A975">
        <v>48.016223619999998</v>
      </c>
      <c r="B975">
        <v>117.1526538</v>
      </c>
      <c r="C975">
        <v>0.88161886</v>
      </c>
      <c r="D975">
        <v>10.97902393</v>
      </c>
      <c r="E975" t="b">
        <f t="shared" si="390"/>
        <v>1</v>
      </c>
      <c r="F975">
        <f t="shared" si="391"/>
        <v>6.5709296300000002</v>
      </c>
      <c r="G975">
        <f t="shared" si="392"/>
        <v>2.1628353300000001</v>
      </c>
      <c r="H975">
        <f t="shared" si="393"/>
        <v>-2.2452589700000001</v>
      </c>
      <c r="I975">
        <f t="shared" si="394"/>
        <v>-6.6533532700000002</v>
      </c>
      <c r="J975">
        <f t="shared" si="395"/>
        <v>-11.061447569999999</v>
      </c>
      <c r="L975">
        <f t="shared" si="396"/>
        <v>1692708.2112</v>
      </c>
      <c r="M975">
        <f t="shared" si="397"/>
        <v>1428222.5532</v>
      </c>
      <c r="N975">
        <f t="shared" si="398"/>
        <v>1216634.0267999999</v>
      </c>
      <c r="O975">
        <f t="shared" si="399"/>
        <v>-2290164.1494000005</v>
      </c>
      <c r="P975">
        <f t="shared" si="400"/>
        <v>-6121085.0083999997</v>
      </c>
      <c r="Q975">
        <f t="shared" si="401"/>
        <v>-8406700.1531999987</v>
      </c>
      <c r="S975">
        <f t="shared" si="402"/>
        <v>1851399.6060000001</v>
      </c>
      <c r="T975">
        <f t="shared" si="403"/>
        <v>1604546.3252000001</v>
      </c>
      <c r="U975">
        <f t="shared" si="404"/>
        <v>1331244.4786</v>
      </c>
      <c r="V975">
        <f t="shared" si="405"/>
        <v>-2402427.0978999999</v>
      </c>
      <c r="W975">
        <f t="shared" si="406"/>
        <v>-7119087.9988999991</v>
      </c>
      <c r="X975">
        <f t="shared" si="407"/>
        <v>-9623459.3858999982</v>
      </c>
      <c r="Z975">
        <f t="shared" si="414"/>
        <v>326.90427328800001</v>
      </c>
      <c r="AA975">
        <f t="shared" si="408"/>
        <v>1780870.0972</v>
      </c>
      <c r="AB975">
        <f t="shared" si="409"/>
        <v>1445854.9304000002</v>
      </c>
      <c r="AC975">
        <f t="shared" si="410"/>
        <v>-3053552.1992000001</v>
      </c>
      <c r="AD975">
        <f t="shared" si="411"/>
        <v>-8117090.9894000003</v>
      </c>
      <c r="AE975">
        <f t="shared" si="412"/>
        <v>-10840218.618599998</v>
      </c>
    </row>
    <row r="976" spans="1:31" x14ac:dyDescent="0.25">
      <c r="A976">
        <v>48.157305569999998</v>
      </c>
      <c r="B976">
        <v>117.64868989999999</v>
      </c>
      <c r="C976">
        <v>1.6503210100000001</v>
      </c>
      <c r="D976">
        <v>22.796184539999999</v>
      </c>
      <c r="E976" t="b">
        <f t="shared" si="390"/>
        <v>1</v>
      </c>
      <c r="F976">
        <f t="shared" si="391"/>
        <v>14.544579489999999</v>
      </c>
      <c r="G976">
        <f t="shared" si="392"/>
        <v>6.2929744399999983</v>
      </c>
      <c r="H976">
        <f t="shared" si="393"/>
        <v>-1.9586306100000037</v>
      </c>
      <c r="I976">
        <f t="shared" si="394"/>
        <v>-10.210235660000002</v>
      </c>
      <c r="J976">
        <f t="shared" si="395"/>
        <v>-18.461840710000004</v>
      </c>
      <c r="L976">
        <f t="shared" si="396"/>
        <v>3168616.3392000003</v>
      </c>
      <c r="M976">
        <f t="shared" si="397"/>
        <v>2673520.0362</v>
      </c>
      <c r="N976">
        <f t="shared" si="398"/>
        <v>2277442.9937999998</v>
      </c>
      <c r="O976">
        <f t="shared" si="399"/>
        <v>-1997803.2222000039</v>
      </c>
      <c r="P976">
        <f t="shared" si="400"/>
        <v>-9393416.8072000016</v>
      </c>
      <c r="Q976">
        <f t="shared" si="401"/>
        <v>-14030998.939600004</v>
      </c>
      <c r="S976">
        <f t="shared" si="402"/>
        <v>3465674.1210000003</v>
      </c>
      <c r="T976">
        <f t="shared" si="403"/>
        <v>3003584.2382</v>
      </c>
      <c r="U976">
        <f t="shared" si="404"/>
        <v>2491984.7250999999</v>
      </c>
      <c r="V976">
        <f t="shared" si="405"/>
        <v>-2095734.7527000038</v>
      </c>
      <c r="W976">
        <f t="shared" si="406"/>
        <v>-10924952.156200001</v>
      </c>
      <c r="X976">
        <f t="shared" si="407"/>
        <v>-16061801.417700004</v>
      </c>
      <c r="Z976">
        <f t="shared" si="414"/>
        <v>611.93903050800009</v>
      </c>
      <c r="AA976">
        <f t="shared" si="408"/>
        <v>3333648.4402000001</v>
      </c>
      <c r="AB976">
        <f t="shared" si="409"/>
        <v>2706526.4564</v>
      </c>
      <c r="AC976">
        <f t="shared" si="410"/>
        <v>-2663737.6296000048</v>
      </c>
      <c r="AD976">
        <f t="shared" si="411"/>
        <v>-12456487.505200002</v>
      </c>
      <c r="AE976">
        <f t="shared" si="412"/>
        <v>-18092603.895800006</v>
      </c>
    </row>
    <row r="977" spans="1:31" x14ac:dyDescent="0.25">
      <c r="A977">
        <v>48.188981839999997</v>
      </c>
      <c r="B977">
        <v>117.24992</v>
      </c>
      <c r="C977">
        <v>0.88161886</v>
      </c>
      <c r="D977">
        <v>0.17926601</v>
      </c>
      <c r="E977" t="b">
        <f t="shared" si="390"/>
        <v>0</v>
      </c>
      <c r="F977">
        <f t="shared" si="391"/>
        <v>-4.22882829</v>
      </c>
      <c r="G977">
        <f t="shared" si="392"/>
        <v>-8.6369225900000011</v>
      </c>
      <c r="H977">
        <f t="shared" si="393"/>
        <v>-13.045016890000001</v>
      </c>
      <c r="I977">
        <f t="shared" si="394"/>
        <v>-17.453111190000001</v>
      </c>
      <c r="J977">
        <f t="shared" si="395"/>
        <v>-21.86120549</v>
      </c>
      <c r="L977">
        <f t="shared" si="396"/>
        <v>344190.73920000007</v>
      </c>
      <c r="M977">
        <f t="shared" si="397"/>
        <v>-6850701.8298000004</v>
      </c>
      <c r="N977">
        <f t="shared" si="398"/>
        <v>-11918953.174200002</v>
      </c>
      <c r="O977">
        <f t="shared" si="399"/>
        <v>-13305917.2278</v>
      </c>
      <c r="P977">
        <f t="shared" si="400"/>
        <v>-16056862.2948</v>
      </c>
      <c r="Q977">
        <f t="shared" si="401"/>
        <v>-16614516.1724</v>
      </c>
      <c r="S977">
        <f t="shared" si="402"/>
        <v>376458.62100000004</v>
      </c>
      <c r="T977">
        <f t="shared" si="403"/>
        <v>-7696467.4878000002</v>
      </c>
      <c r="U977">
        <f t="shared" si="404"/>
        <v>-13041753.110900003</v>
      </c>
      <c r="V977">
        <f t="shared" si="405"/>
        <v>-13958168.072299998</v>
      </c>
      <c r="W977">
        <f t="shared" si="406"/>
        <v>-18674828.973299999</v>
      </c>
      <c r="X977">
        <f t="shared" si="407"/>
        <v>-19019248.776299998</v>
      </c>
      <c r="Z977">
        <f>D977*(310+0.8+60)</f>
        <v>66.47183650800001</v>
      </c>
      <c r="AA977">
        <f t="shared" si="408"/>
        <v>-8542233.1458000001</v>
      </c>
      <c r="AB977">
        <f t="shared" si="409"/>
        <v>-14164553.047600003</v>
      </c>
      <c r="AC977">
        <f t="shared" si="410"/>
        <v>-17741222.970399998</v>
      </c>
      <c r="AD977">
        <f t="shared" si="411"/>
        <v>-21292795.651800003</v>
      </c>
      <c r="AE977">
        <f t="shared" si="412"/>
        <v>-21423981.380199999</v>
      </c>
    </row>
    <row r="978" spans="1:31" x14ac:dyDescent="0.25">
      <c r="A978">
        <v>48.401524360000003</v>
      </c>
      <c r="B978">
        <v>116.2058425</v>
      </c>
      <c r="C978">
        <v>0.88161886</v>
      </c>
      <c r="D978">
        <v>0.24129701000000001</v>
      </c>
      <c r="E978" t="b">
        <f t="shared" si="390"/>
        <v>0</v>
      </c>
      <c r="F978">
        <f t="shared" si="391"/>
        <v>-4.1667972899999999</v>
      </c>
      <c r="G978">
        <f t="shared" si="392"/>
        <v>-8.57489159</v>
      </c>
      <c r="H978">
        <f t="shared" si="393"/>
        <v>-12.98298589</v>
      </c>
      <c r="I978">
        <f t="shared" si="394"/>
        <v>-17.39108019</v>
      </c>
      <c r="J978">
        <f t="shared" si="395"/>
        <v>-21.799174489999999</v>
      </c>
      <c r="L978">
        <f t="shared" si="396"/>
        <v>463290.25920000003</v>
      </c>
      <c r="M978">
        <f t="shared" si="397"/>
        <v>-6750211.6098000007</v>
      </c>
      <c r="N978">
        <f t="shared" si="398"/>
        <v>-11833350.394199999</v>
      </c>
      <c r="O978">
        <f t="shared" si="399"/>
        <v>-13242645.607800001</v>
      </c>
      <c r="P978">
        <f t="shared" si="400"/>
        <v>-15999793.774800001</v>
      </c>
      <c r="Q978">
        <f t="shared" si="401"/>
        <v>-16567372.612399999</v>
      </c>
      <c r="S978">
        <f t="shared" si="402"/>
        <v>506723.72100000002</v>
      </c>
      <c r="T978">
        <f t="shared" si="403"/>
        <v>-7583571.0678000003</v>
      </c>
      <c r="U978">
        <f t="shared" si="404"/>
        <v>-12948086.300899999</v>
      </c>
      <c r="V978">
        <f t="shared" si="405"/>
        <v>-13891794.902299998</v>
      </c>
      <c r="W978">
        <f t="shared" si="406"/>
        <v>-18608455.803299997</v>
      </c>
      <c r="X978">
        <f t="shared" si="407"/>
        <v>-18965281.806299999</v>
      </c>
      <c r="Z978">
        <f>D978*(310+0.8+60)</f>
        <v>89.472931308</v>
      </c>
      <c r="AA978">
        <f t="shared" si="408"/>
        <v>-8416930.5258000009</v>
      </c>
      <c r="AB978">
        <f t="shared" si="409"/>
        <v>-14062822.207600001</v>
      </c>
      <c r="AC978">
        <f t="shared" si="410"/>
        <v>-17656860.810399998</v>
      </c>
      <c r="AD978">
        <f t="shared" si="411"/>
        <v>-21217117.831800003</v>
      </c>
      <c r="AE978">
        <f t="shared" si="412"/>
        <v>-21363191.0002</v>
      </c>
    </row>
    <row r="979" spans="1:31" x14ac:dyDescent="0.25">
      <c r="A979">
        <v>48.546118939999999</v>
      </c>
      <c r="B979">
        <v>117.855036</v>
      </c>
      <c r="C979">
        <v>1.6503210100000001</v>
      </c>
      <c r="D979">
        <v>6.0265269300000002</v>
      </c>
      <c r="E979" t="b">
        <f t="shared" si="390"/>
        <v>1</v>
      </c>
      <c r="F979">
        <f t="shared" si="391"/>
        <v>-2.22507812</v>
      </c>
      <c r="G979">
        <f t="shared" si="392"/>
        <v>-10.476683170000001</v>
      </c>
      <c r="H979">
        <f t="shared" si="393"/>
        <v>-18.728288220000003</v>
      </c>
      <c r="I979">
        <f t="shared" si="394"/>
        <v>-26.979893270000002</v>
      </c>
      <c r="J979">
        <f t="shared" si="395"/>
        <v>-35.23149832</v>
      </c>
      <c r="L979">
        <f t="shared" si="396"/>
        <v>3168616.3392000003</v>
      </c>
      <c r="M979">
        <f t="shared" si="397"/>
        <v>-3604626.5544000003</v>
      </c>
      <c r="N979">
        <f t="shared" si="398"/>
        <v>-14457822.774600001</v>
      </c>
      <c r="O979">
        <f t="shared" si="399"/>
        <v>-19102853.984400004</v>
      </c>
      <c r="P979">
        <f t="shared" si="400"/>
        <v>-24821501.808400001</v>
      </c>
      <c r="Q979">
        <f t="shared" si="401"/>
        <v>-26775938.723200001</v>
      </c>
      <c r="S979">
        <f t="shared" si="402"/>
        <v>3465674.1210000003</v>
      </c>
      <c r="T979">
        <f t="shared" si="403"/>
        <v>-4049642.1784000006</v>
      </c>
      <c r="U979">
        <f t="shared" si="404"/>
        <v>-15819791.586700004</v>
      </c>
      <c r="V979">
        <f t="shared" si="405"/>
        <v>-20039268.395399999</v>
      </c>
      <c r="W979">
        <f t="shared" si="406"/>
        <v>-28868485.798900001</v>
      </c>
      <c r="X979">
        <f t="shared" si="407"/>
        <v>-30651403.538400002</v>
      </c>
      <c r="Z979">
        <f>C979*(310+0.8+60)</f>
        <v>611.93903050800009</v>
      </c>
      <c r="AA979">
        <f t="shared" si="408"/>
        <v>-4494657.8024000004</v>
      </c>
      <c r="AB979">
        <f t="shared" si="409"/>
        <v>-17181760.398800004</v>
      </c>
      <c r="AC979">
        <f t="shared" si="410"/>
        <v>-25470471.979200002</v>
      </c>
      <c r="AD979">
        <f t="shared" si="411"/>
        <v>-32915469.789400004</v>
      </c>
      <c r="AE979">
        <f t="shared" si="412"/>
        <v>-34526868.353600003</v>
      </c>
    </row>
    <row r="980" spans="1:31" x14ac:dyDescent="0.25">
      <c r="A980">
        <v>48.551560440000003</v>
      </c>
      <c r="B980">
        <v>117.7882175</v>
      </c>
      <c r="C980">
        <v>1.6503210100000001</v>
      </c>
      <c r="D980">
        <v>1.28356504</v>
      </c>
      <c r="E980" t="b">
        <f t="shared" si="390"/>
        <v>0</v>
      </c>
      <c r="F980">
        <f t="shared" si="391"/>
        <v>-6.9680400100000002</v>
      </c>
      <c r="G980">
        <f t="shared" si="392"/>
        <v>-15.219645060000001</v>
      </c>
      <c r="H980">
        <f t="shared" si="393"/>
        <v>-23.471250110000003</v>
      </c>
      <c r="I980">
        <f t="shared" si="394"/>
        <v>-31.722855160000002</v>
      </c>
      <c r="J980">
        <f t="shared" si="395"/>
        <v>-39.974460210000004</v>
      </c>
      <c r="L980">
        <f t="shared" si="396"/>
        <v>2464444.8768000002</v>
      </c>
      <c r="M980">
        <f t="shared" si="397"/>
        <v>-11288224.816200001</v>
      </c>
      <c r="N980">
        <f t="shared" si="398"/>
        <v>-21003110.182799999</v>
      </c>
      <c r="O980">
        <f t="shared" si="399"/>
        <v>-23940675.112200003</v>
      </c>
      <c r="P980">
        <f t="shared" si="400"/>
        <v>-29185026.747199997</v>
      </c>
      <c r="Q980">
        <f t="shared" si="401"/>
        <v>-30380589.759600002</v>
      </c>
      <c r="S980">
        <f t="shared" si="402"/>
        <v>2695486.5840000003</v>
      </c>
      <c r="T980">
        <f t="shared" si="403"/>
        <v>-12681832.8182</v>
      </c>
      <c r="U980">
        <f t="shared" si="404"/>
        <v>-22981664.040600002</v>
      </c>
      <c r="V980">
        <f t="shared" si="405"/>
        <v>-25114237.617699999</v>
      </c>
      <c r="W980">
        <f t="shared" si="406"/>
        <v>-33943455.021199994</v>
      </c>
      <c r="X980">
        <f t="shared" si="407"/>
        <v>-34777780.382700004</v>
      </c>
      <c r="Z980">
        <f>D980*(310+0.8+60)</f>
        <v>475.94591683200002</v>
      </c>
      <c r="AA980">
        <f t="shared" si="408"/>
        <v>-14075440.8202</v>
      </c>
      <c r="AB980">
        <f t="shared" si="409"/>
        <v>-24960217.898400001</v>
      </c>
      <c r="AC980">
        <f t="shared" si="410"/>
        <v>-31920900.149600003</v>
      </c>
      <c r="AD980">
        <f t="shared" si="411"/>
        <v>-38701883.295199998</v>
      </c>
      <c r="AE980">
        <f t="shared" si="412"/>
        <v>-39174971.005800001</v>
      </c>
    </row>
    <row r="981" spans="1:31" x14ac:dyDescent="0.25">
      <c r="A981">
        <v>48.579495710000003</v>
      </c>
      <c r="B981">
        <v>117.996954</v>
      </c>
      <c r="C981">
        <v>1.6503210100000001</v>
      </c>
      <c r="D981">
        <v>0.23902100000000001</v>
      </c>
      <c r="E981" t="b">
        <f t="shared" si="390"/>
        <v>0</v>
      </c>
      <c r="F981">
        <f t="shared" si="391"/>
        <v>-8.012584050000001</v>
      </c>
      <c r="G981">
        <f t="shared" si="392"/>
        <v>-16.264189099999999</v>
      </c>
      <c r="H981">
        <f t="shared" si="393"/>
        <v>-24.515794150000001</v>
      </c>
      <c r="I981">
        <f t="shared" si="394"/>
        <v>-32.7673992</v>
      </c>
      <c r="J981">
        <f t="shared" si="395"/>
        <v>-41.019004250000002</v>
      </c>
      <c r="L981">
        <f t="shared" si="396"/>
        <v>458920.32000000007</v>
      </c>
      <c r="M981">
        <f t="shared" si="397"/>
        <v>-12980386.161000002</v>
      </c>
      <c r="N981">
        <f t="shared" si="398"/>
        <v>-22444580.957999997</v>
      </c>
      <c r="O981">
        <f t="shared" si="399"/>
        <v>-25006110.033000004</v>
      </c>
      <c r="P981">
        <f t="shared" si="400"/>
        <v>-30146007.263999999</v>
      </c>
      <c r="Q981">
        <f t="shared" si="401"/>
        <v>-31174443.23</v>
      </c>
      <c r="S981">
        <f t="shared" si="402"/>
        <v>501944.10000000003</v>
      </c>
      <c r="T981">
        <f t="shared" si="403"/>
        <v>-14582902.971000003</v>
      </c>
      <c r="U981">
        <f t="shared" si="404"/>
        <v>-24558925.541000001</v>
      </c>
      <c r="V981">
        <f t="shared" si="405"/>
        <v>-26231899.740499999</v>
      </c>
      <c r="W981">
        <f t="shared" si="406"/>
        <v>-35061117.143999994</v>
      </c>
      <c r="X981">
        <f t="shared" si="407"/>
        <v>-35686533.697499998</v>
      </c>
      <c r="Z981">
        <f>D981*(310+0.8+60)</f>
        <v>88.628986800000007</v>
      </c>
      <c r="AA981">
        <f t="shared" si="408"/>
        <v>-16185419.781000001</v>
      </c>
      <c r="AB981">
        <f t="shared" si="409"/>
        <v>-26673270.124000002</v>
      </c>
      <c r="AC981">
        <f t="shared" si="410"/>
        <v>-33341480.044</v>
      </c>
      <c r="AD981">
        <f t="shared" si="411"/>
        <v>-39976227.023999996</v>
      </c>
      <c r="AE981">
        <f t="shared" si="412"/>
        <v>-40198624.164999999</v>
      </c>
    </row>
  </sheetData>
  <sortState xmlns:xlrd2="http://schemas.microsoft.com/office/spreadsheetml/2017/richdata2" ref="A2:C981">
    <sortCondition ref="A1:A98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CAROLINE ACEN</dc:creator>
  <cp:lastModifiedBy>CAROLINE ACEN</cp:lastModifiedBy>
  <dcterms:created xsi:type="dcterms:W3CDTF">2025-07-18T17:28:50Z</dcterms:created>
  <dcterms:modified xsi:type="dcterms:W3CDTF">2025-08-20T03:46:51Z</dcterms:modified>
</cp:coreProperties>
</file>